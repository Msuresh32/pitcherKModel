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 Pre-June" sheetId="2" state="visible" r:id="rId2"/>
    <sheet xmlns:r="http://schemas.openxmlformats.org/officeDocument/2006/relationships" name="June Holdout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Monthly Statistics" sheetId="6" state="visible" r:id="rId6"/>
    <sheet xmlns:r="http://schemas.openxmlformats.org/officeDocument/2006/relationships" name="Drawdown Analysis" sheetId="7" state="visible" r:id="rId7"/>
    <sheet xmlns:r="http://schemas.openxmlformats.org/officeDocument/2006/relationships" name="Bankroll Simulation" sheetId="8" state="visible" r:id="rId8"/>
    <sheet xmlns:r="http://schemas.openxmlformats.org/officeDocument/2006/relationships" name="Summary Tables" sheetId="9" state="visible" r:id="rId9"/>
    <sheet xmlns:r="http://schemas.openxmlformats.org/officeDocument/2006/relationships" name="README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$#,##0.00;[Red]($#,##0.00)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i val="1"/>
      <color rgb="00666666"/>
    </font>
    <font>
      <b val="1"/>
    </font>
    <font>
      <b val="1"/>
      <color rgb="001F4E78"/>
      <sz val="14"/>
    </font>
    <font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F7FA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4" pivotButton="0" quotePrefix="0" xfId="0"/>
    <xf numFmtId="0" fontId="5" fillId="4" borderId="1" pivotButton="0" quotePrefix="0" xfId="0"/>
    <xf numFmtId="166" fontId="5" fillId="4" borderId="1" pivotButton="0" quotePrefix="0" xfId="0"/>
    <xf numFmtId="2" fontId="5" fillId="4" borderId="1" pivotButton="0" quotePrefix="0" xfId="0"/>
    <xf numFmtId="167" fontId="5" fillId="4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Bankroll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'Dashboard'!$A$19:$A$1033</f>
            </numRef>
          </cat>
          <val>
            <numRef>
              <f>'Dashboard'!$B$19:$B$1033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Units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'Dashboard'!$A$19:$A$1033</f>
            </numRef>
          </cat>
          <val>
            <numRef>
              <f>'Dashboard'!$C$19:$C$1033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'Dashboard'!$A$19:$A$1033</f>
            </numRef>
          </cat>
          <val>
            <numRef>
              <f>'Dashboard'!$D$19:$D$1033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ROI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'Dashboard'!$J$19:$J$25</f>
            </numRef>
          </cat>
          <val>
            <numRef>
              <f>'Dashboard'!$K$19:$K$25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Win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'Dashboard'!L18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'Dashboard'!$J$19:$J$25</f>
            </numRef>
          </cat>
          <val>
            <numRef>
              <f>'Dashboard'!$L$19:$L$25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Bet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'Dashboard'!$J$19:$J$25</f>
            </numRef>
          </cat>
          <val>
            <numRef>
              <f>'Dashboard'!$M$19:$M$25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Curve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'Dashboard'!$A$19:$A$1033</f>
            </numRef>
          </cat>
          <val>
            <numRef>
              <f>'Dashboard'!$E$19:$E$1033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Rolling ROI (25 bets)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'Dashboard'!$A$19:$A$1033</f>
            </numRef>
          </cat>
          <val>
            <numRef>
              <f>'Dashboard'!$F$19:$F$1033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Rolling Win Rate (25 bets)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'Dashboard'!G18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'Dashboard'!$A$19:$A$1033</f>
            </numRef>
          </cat>
          <val>
            <numRef>
              <f>'Dashboard'!$G$19:$G$1033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33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3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17</col>
      <colOff>0</colOff>
      <row>18</row>
      <rowOff>0</rowOff>
    </from>
    <ext cx="50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33</row>
      <rowOff>0</rowOff>
    </from>
    <ext cx="504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25</col>
      <colOff>0</colOff>
      <row>3</row>
      <rowOff>0</rowOff>
    </from>
    <ext cx="504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25</col>
      <colOff>0</colOff>
      <row>18</row>
      <rowOff>0</rowOff>
    </from>
    <ext cx="504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25</col>
      <colOff>0</colOff>
      <row>33</row>
      <rowOff>0</rowOff>
    </from>
    <ext cx="504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Bets2025" displayName="TblBets2025" ref="A1:AM403" headerRowCount="1">
  <autoFilter ref="A1:AM403"/>
  <tableColumns count="39">
    <tableColumn id="1" name="Bet ID"/>
    <tableColumn id="2" name="Date"/>
    <tableColumn id="3" name="Game Date"/>
    <tableColumn id="4" name="Pitcher"/>
    <tableColumn id="5" name="Team"/>
    <tableColumn id="6" name="Opponent"/>
    <tableColumn id="7" name="Home/Away"/>
    <tableColumn id="8" name="Sportsbook"/>
    <tableColumn id="9" name="Opening Odds"/>
    <tableColumn id="10" name="Closing Odds"/>
    <tableColumn id="11" name="Executed Odds"/>
    <tableColumn id="12" name="Exchange-adjusted Odds"/>
    <tableColumn id="13" name="Strikeout Line"/>
    <tableColumn id="14" name="Model Projection"/>
    <tableColumn id="15" name="Market Projection"/>
    <tableColumn id="16" name="Margin"/>
    <tableColumn id="17" name="Devig Edge"/>
    <tableColumn id="18" name="Model Probability"/>
    <tableColumn id="19" name="Market Implied Probability"/>
    <tableColumn id="20" name="Bet Side"/>
    <tableColumn id="21" name="Odds"/>
    <tableColumn id="22" name="Decimal Odds"/>
    <tableColumn id="23" name="American Odds"/>
    <tableColumn id="24" name="Units Risked"/>
    <tableColumn id="25" name="Units Won/Lost"/>
    <tableColumn id="26" name="Stake ($)"/>
    <tableColumn id="27" name="Profit/Loss ($)"/>
    <tableColumn id="28" name="ROI for Bet"/>
    <tableColumn id="29" name="CLV"/>
    <tableColumn id="30" name="Result"/>
    <tableColumn id="31" name="Running Win %"/>
    <tableColumn id="32" name="Running ROI"/>
    <tableColumn id="33" name="Running Units"/>
    <tableColumn id="34" name="Running Bankroll"/>
    <tableColumn id="35" name="Year"/>
    <tableColumn id="36" name="Month"/>
    <tableColumn id="37" name="Odds Bucket"/>
    <tableColumn id="38" name="Model Sample"/>
    <tableColumn id="39" name="Kelly 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ets2026PreJune" displayName="TblBets2026PreJune" ref="A1:AM491" headerRowCount="1">
  <autoFilter ref="A1:AM491"/>
  <tableColumns count="39">
    <tableColumn id="1" name="Bet ID"/>
    <tableColumn id="2" name="Date"/>
    <tableColumn id="3" name="Game Date"/>
    <tableColumn id="4" name="Pitcher"/>
    <tableColumn id="5" name="Team"/>
    <tableColumn id="6" name="Opponent"/>
    <tableColumn id="7" name="Home/Away"/>
    <tableColumn id="8" name="Sportsbook"/>
    <tableColumn id="9" name="Opening Odds"/>
    <tableColumn id="10" name="Closing Odds"/>
    <tableColumn id="11" name="Executed Odds"/>
    <tableColumn id="12" name="Exchange-adjusted Odds"/>
    <tableColumn id="13" name="Strikeout Line"/>
    <tableColumn id="14" name="Model Projection"/>
    <tableColumn id="15" name="Market Projection"/>
    <tableColumn id="16" name="Margin"/>
    <tableColumn id="17" name="Devig Edge"/>
    <tableColumn id="18" name="Model Probability"/>
    <tableColumn id="19" name="Market Implied Probability"/>
    <tableColumn id="20" name="Bet Side"/>
    <tableColumn id="21" name="Odds"/>
    <tableColumn id="22" name="Decimal Odds"/>
    <tableColumn id="23" name="American Odds"/>
    <tableColumn id="24" name="Units Risked"/>
    <tableColumn id="25" name="Units Won/Lost"/>
    <tableColumn id="26" name="Stake ($)"/>
    <tableColumn id="27" name="Profit/Loss ($)"/>
    <tableColumn id="28" name="ROI for Bet"/>
    <tableColumn id="29" name="CLV"/>
    <tableColumn id="30" name="Result"/>
    <tableColumn id="31" name="Running Win %"/>
    <tableColumn id="32" name="Running ROI"/>
    <tableColumn id="33" name="Running Units"/>
    <tableColumn id="34" name="Running Bankroll"/>
    <tableColumn id="35" name="Year"/>
    <tableColumn id="36" name="Month"/>
    <tableColumn id="37" name="Odds Bucket"/>
    <tableColumn id="38" name="Model Sample"/>
    <tableColumn id="39" name="Kelly Fr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etsJuneHoldout" displayName="TblBetsJuneHoldout" ref="A1:AM124" headerRowCount="1">
  <autoFilter ref="A1:AM124"/>
  <tableColumns count="39">
    <tableColumn id="1" name="Bet ID"/>
    <tableColumn id="2" name="Date"/>
    <tableColumn id="3" name="Game Date"/>
    <tableColumn id="4" name="Pitcher"/>
    <tableColumn id="5" name="Team"/>
    <tableColumn id="6" name="Opponent"/>
    <tableColumn id="7" name="Home/Away"/>
    <tableColumn id="8" name="Sportsbook"/>
    <tableColumn id="9" name="Opening Odds"/>
    <tableColumn id="10" name="Closing Odds"/>
    <tableColumn id="11" name="Executed Odds"/>
    <tableColumn id="12" name="Exchange-adjusted Odds"/>
    <tableColumn id="13" name="Strikeout Line"/>
    <tableColumn id="14" name="Model Projection"/>
    <tableColumn id="15" name="Market Projection"/>
    <tableColumn id="16" name="Margin"/>
    <tableColumn id="17" name="Devig Edge"/>
    <tableColumn id="18" name="Model Probability"/>
    <tableColumn id="19" name="Market Implied Probability"/>
    <tableColumn id="20" name="Bet Side"/>
    <tableColumn id="21" name="Odds"/>
    <tableColumn id="22" name="Decimal Odds"/>
    <tableColumn id="23" name="American Odds"/>
    <tableColumn id="24" name="Units Risked"/>
    <tableColumn id="25" name="Units Won/Lost"/>
    <tableColumn id="26" name="Stake ($)"/>
    <tableColumn id="27" name="Profit/Loss ($)"/>
    <tableColumn id="28" name="ROI for Bet"/>
    <tableColumn id="29" name="CLV"/>
    <tableColumn id="30" name="Result"/>
    <tableColumn id="31" name="Running Win %"/>
    <tableColumn id="32" name="Running ROI"/>
    <tableColumn id="33" name="Running Units"/>
    <tableColumn id="34" name="Running Bankroll"/>
    <tableColumn id="35" name="Year"/>
    <tableColumn id="36" name="Month"/>
    <tableColumn id="37" name="Odds Bucket"/>
    <tableColumn id="38" name="Model Sample"/>
    <tableColumn id="39" name="Kelly Fr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ombinedBets" displayName="TblCombinedBets" ref="A1:AM1016" headerRowCount="1">
  <autoFilter ref="A1:AM1016"/>
  <tableColumns count="39">
    <tableColumn id="1" name="Bet ID"/>
    <tableColumn id="2" name="Date"/>
    <tableColumn id="3" name="Game Date"/>
    <tableColumn id="4" name="Pitcher"/>
    <tableColumn id="5" name="Team"/>
    <tableColumn id="6" name="Opponent"/>
    <tableColumn id="7" name="Home/Away"/>
    <tableColumn id="8" name="Sportsbook"/>
    <tableColumn id="9" name="Opening Odds"/>
    <tableColumn id="10" name="Closing Odds"/>
    <tableColumn id="11" name="Executed Odds"/>
    <tableColumn id="12" name="Exchange-adjusted Odds"/>
    <tableColumn id="13" name="Strikeout Line"/>
    <tableColumn id="14" name="Model Projection"/>
    <tableColumn id="15" name="Market Projection"/>
    <tableColumn id="16" name="Margin"/>
    <tableColumn id="17" name="Devig Edge"/>
    <tableColumn id="18" name="Model Probability"/>
    <tableColumn id="19" name="Market Implied Probability"/>
    <tableColumn id="20" name="Bet Side"/>
    <tableColumn id="21" name="Odds"/>
    <tableColumn id="22" name="Decimal Odds"/>
    <tableColumn id="23" name="American Odds"/>
    <tableColumn id="24" name="Units Risked"/>
    <tableColumn id="25" name="Units Won/Lost"/>
    <tableColumn id="26" name="Stake ($)"/>
    <tableColumn id="27" name="Profit/Loss ($)"/>
    <tableColumn id="28" name="ROI for Bet"/>
    <tableColumn id="29" name="CLV"/>
    <tableColumn id="30" name="Result"/>
    <tableColumn id="31" name="Running Win %"/>
    <tableColumn id="32" name="Running ROI"/>
    <tableColumn id="33" name="Running Units"/>
    <tableColumn id="34" name="Running Bankroll"/>
    <tableColumn id="35" name="Year"/>
    <tableColumn id="36" name="Month"/>
    <tableColumn id="37" name="Odds Bucket"/>
    <tableColumn id="38" name="Model Sample"/>
    <tableColumn id="39" name="Kelly Fr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onthlyStats" displayName="TblMonthlyStats" ref="A1:P8" headerRowCount="1">
  <autoFilter ref="A1:P8"/>
  <tableColumns count="16">
    <tableColumn id="1" name="Month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  <tableColumn id="15" name="Maximum Drawdown"/>
    <tableColumn id="16" name="Ending Bankrol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Drawdowns" displayName="TblDrawdowns" ref="A1:G60" headerRowCount="1">
  <autoFilter ref="A1:G60"/>
  <tableColumns count="7">
    <tableColumn id="1" name="Peak Date"/>
    <tableColumn id="2" name="Trough Date"/>
    <tableColumn id="3" name="Recovery Date"/>
    <tableColumn id="4" name="Drawdown %"/>
    <tableColumn id="5" name="Drawdown $"/>
    <tableColumn id="6" name="Duration"/>
    <tableColumn id="7" name="Number of Be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ankrollSummary" displayName="TblBankrollSummary" ref="A1:G5" headerRowCount="1">
  <autoFilter ref="A1:G5"/>
  <tableColumns count="7">
    <tableColumn id="1" name="Strategy"/>
    <tableColumn id="2" name="Description"/>
    <tableColumn id="3" name="Final Bankroll"/>
    <tableColumn id="4" name="Total Return"/>
    <tableColumn id="5" name="CAGR"/>
    <tableColumn id="6" name="Maximum Drawdown"/>
    <tableColumn id="7" name="Maximum Drawdown 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BankrollSimulation" displayName="TblBankrollSimulation" ref="A9:AE1024" headerRowCount="1">
  <autoFilter ref="A9:AE1024"/>
  <tableColumns count="31">
    <tableColumn id="1" name="Bet #"/>
    <tableColumn id="2" name="Bet ID"/>
    <tableColumn id="3" name="Game Date"/>
    <tableColumn id="4" name="Pitcher"/>
    <tableColumn id="5" name="Result"/>
    <tableColumn id="6" name="Profit Unit"/>
    <tableColumn id="7" name="Kelly Fraction"/>
    <tableColumn id="8" name="Strategy A Stake"/>
    <tableColumn id="9" name="Strategy A P/L"/>
    <tableColumn id="10" name="Strategy A Bankroll"/>
    <tableColumn id="11" name="Strategy A Peak"/>
    <tableColumn id="12" name="Strategy A Drawdown $"/>
    <tableColumn id="13" name="Strategy A Drawdown %"/>
    <tableColumn id="14" name="Strategy B Stake"/>
    <tableColumn id="15" name="Strategy B P/L"/>
    <tableColumn id="16" name="Strategy B Bankroll"/>
    <tableColumn id="17" name="Strategy B Peak"/>
    <tableColumn id="18" name="Strategy B Drawdown $"/>
    <tableColumn id="19" name="Strategy B Drawdown %"/>
    <tableColumn id="20" name="Strategy C Stake"/>
    <tableColumn id="21" name="Strategy C P/L"/>
    <tableColumn id="22" name="Strategy C Bankroll"/>
    <tableColumn id="23" name="Strategy C Peak"/>
    <tableColumn id="24" name="Strategy C Drawdown $"/>
    <tableColumn id="25" name="Strategy C Drawdown %"/>
    <tableColumn id="26" name="Strategy D Stake"/>
    <tableColumn id="27" name="Strategy D P/L"/>
    <tableColumn id="28" name="Strategy D Bankroll"/>
    <tableColumn id="29" name="Strategy D Peak"/>
    <tableColumn id="30" name="Strategy D Drawdown $"/>
    <tableColumn id="31" name="Strategy D Drawdown 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yYear" displayName="TblByYear" ref="A2:N4" headerRowCount="1">
  <autoFilter ref="A2:N4"/>
  <tableColumns count="14">
    <tableColumn id="1" name="Year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ByMonth" displayName="TblByMonth" ref="A9:N16" headerRowCount="1">
  <autoFilter ref="A9:N16"/>
  <tableColumns count="14">
    <tableColumn id="1" name="Month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yPitcher" displayName="TblByPitcher" ref="A21:N195" headerRowCount="1">
  <autoFilter ref="A21:N195"/>
  <tableColumns count="14">
    <tableColumn id="1" name="Pitcher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ByOpponent" displayName="TblByOpponent" ref="A200:N230" headerRowCount="1">
  <autoFilter ref="A200:N230"/>
  <tableColumns count="14">
    <tableColumn id="1" name="Opponent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ByTeam" displayName="TblByTeam" ref="A235:N265" headerRowCount="1">
  <autoFilter ref="A235:N265"/>
  <tableColumns count="14">
    <tableColumn id="1" name="Team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ByOddsBucket" displayName="TblByOddsBucket" ref="A270:N276" headerRowCount="1">
  <autoFilter ref="A270:N276"/>
  <tableColumns count="14">
    <tableColumn id="1" name="Odds Bucket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ByStrikeoutLine" displayName="TblByStrikeoutLine" ref="A281:N288" headerRowCount="1">
  <autoFilter ref="A281:N288"/>
  <tableColumns count="14">
    <tableColumn id="1" name="Strikeout Line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BySportsbook" displayName="TblBySportsbook" ref="A293:N301" headerRowCount="1">
  <autoFilter ref="A293:N301"/>
  <tableColumns count="14">
    <tableColumn id="1" name="Sportsbook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ByBetSide" displayName="TblByBetSide" ref="A306:N307" headerRowCount="1">
  <autoFilter ref="A306:N307"/>
  <tableColumns count="14">
    <tableColumn id="1" name="Bet Side"/>
    <tableColumn id="2" name="Bets"/>
    <tableColumn id="3" name="Wins"/>
    <tableColumn id="4" name="Losses"/>
    <tableColumn id="5" name="Pushes"/>
    <tableColumn id="6" name="Win Rate"/>
    <tableColumn id="7" name="ROI"/>
    <tableColumn id="8" name="Units"/>
    <tableColumn id="9" name="Profit"/>
    <tableColumn id="10" name="CLV"/>
    <tableColumn id="11" name="Average Odds"/>
    <tableColumn id="12" name="Average Margin"/>
    <tableColumn id="13" name="Average Devig Edge"/>
    <tableColumn id="14" name="Average Sta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Relationship Type="http://schemas.openxmlformats.org/officeDocument/2006/relationships/table" Target="/xl/tables/table11.xml" Id="rId3"/><Relationship Type="http://schemas.openxmlformats.org/officeDocument/2006/relationships/table" Target="/xl/tables/table12.xml" Id="rId4"/><Relationship Type="http://schemas.openxmlformats.org/officeDocument/2006/relationships/table" Target="/xl/tables/table13.xml" Id="rId5"/><Relationship Type="http://schemas.openxmlformats.org/officeDocument/2006/relationships/table" Target="/xl/tables/table14.xml" Id="rId6"/><Relationship Type="http://schemas.openxmlformats.org/officeDocument/2006/relationships/table" Target="/xl/tables/table15.xml" Id="rId7"/><Relationship Type="http://schemas.openxmlformats.org/officeDocument/2006/relationships/table" Target="/xl/tables/table16.xml" Id="rId8"/><Relationship Type="http://schemas.openxmlformats.org/officeDocument/2006/relationships/table" Target="/xl/tables/table17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0" customWidth="1" min="4" max="4"/>
    <col width="10" customWidth="1" min="5" max="5"/>
    <col width="10" customWidth="1" min="6" max="6"/>
    <col width="11" customWidth="1" min="7" max="7"/>
    <col width="13" customWidth="1" min="8" max="8"/>
    <col width="14" customWidth="1" min="9" max="9"/>
    <col width="14" customWidth="1" min="10" max="10"/>
    <col width="15" customWidth="1" min="11" max="11"/>
    <col width="24" customWidth="1" min="12" max="12"/>
    <col width="16" customWidth="1" min="13" max="13"/>
    <col width="20" customWidth="1" min="14" max="14"/>
    <col width="19" customWidth="1" min="15" max="15"/>
    <col width="24" customWidth="1" min="16" max="16"/>
    <col width="21" customWidth="1" min="17" max="17"/>
    <col width="21" customWidth="1" min="18" max="18"/>
    <col width="28" customWidth="1" min="19" max="19"/>
    <col width="10" customWidth="1" min="20" max="20"/>
    <col width="10" customWidth="1" min="21" max="21"/>
    <col width="20" customWidth="1" min="22" max="22"/>
    <col width="15" customWidth="1" min="23" max="23"/>
    <col width="14" customWidth="1" min="24" max="24"/>
    <col width="20" customWidth="1" min="25" max="25"/>
    <col width="11" customWidth="1" min="26" max="26"/>
    <col width="20" customWidth="1" min="27" max="27"/>
    <col width="20" customWidth="1" min="28" max="28"/>
    <col width="10" customWidth="1" min="29" max="29"/>
    <col width="10" customWidth="1" min="30" max="30"/>
    <col width="21" customWidth="1" min="31" max="31"/>
    <col width="23" customWidth="1" min="32" max="32"/>
    <col width="22" customWidth="1" min="33" max="33"/>
    <col width="20" customWidth="1" min="34" max="34"/>
    <col width="10" customWidth="1" min="35" max="35"/>
    <col width="10" customWidth="1" min="36" max="36"/>
    <col width="14" customWidth="1" min="37" max="37"/>
    <col width="17" customWidth="1" min="38" max="38"/>
    <col width="22" customWidth="1" min="39" max="39"/>
  </cols>
  <sheetData>
    <row r="1">
      <c r="A1" s="1" t="inlineStr">
        <is>
          <t>Bet ID</t>
        </is>
      </c>
      <c r="B1" s="1" t="inlineStr">
        <is>
          <t>Date</t>
        </is>
      </c>
      <c r="C1" s="1" t="inlineStr">
        <is>
          <t>Game Date</t>
        </is>
      </c>
      <c r="D1" s="1" t="inlineStr">
        <is>
          <t>Pitcher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Home/Away</t>
        </is>
      </c>
      <c r="H1" s="1" t="inlineStr">
        <is>
          <t>Sportsbook</t>
        </is>
      </c>
      <c r="I1" s="1" t="inlineStr">
        <is>
          <t>Opening Odds</t>
        </is>
      </c>
      <c r="J1" s="1" t="inlineStr">
        <is>
          <t>Closing Odds</t>
        </is>
      </c>
      <c r="K1" s="1" t="inlineStr">
        <is>
          <t>Executed Odds</t>
        </is>
      </c>
      <c r="L1" s="1" t="inlineStr">
        <is>
          <t>Exchange-adjusted Odds</t>
        </is>
      </c>
      <c r="M1" s="1" t="inlineStr">
        <is>
          <t>Strikeout Line</t>
        </is>
      </c>
      <c r="N1" s="1" t="inlineStr">
        <is>
          <t>Model Projection</t>
        </is>
      </c>
      <c r="O1" s="1" t="inlineStr">
        <is>
          <t>Market Projection</t>
        </is>
      </c>
      <c r="P1" s="1" t="inlineStr">
        <is>
          <t>Margin</t>
        </is>
      </c>
      <c r="Q1" s="1" t="inlineStr">
        <is>
          <t>Devig Edge</t>
        </is>
      </c>
      <c r="R1" s="1" t="inlineStr">
        <is>
          <t>Model Probability</t>
        </is>
      </c>
      <c r="S1" s="1" t="inlineStr">
        <is>
          <t>Market Implied Probability</t>
        </is>
      </c>
      <c r="T1" s="1" t="inlineStr">
        <is>
          <t>Bet Side</t>
        </is>
      </c>
      <c r="U1" s="1" t="inlineStr">
        <is>
          <t>Odds</t>
        </is>
      </c>
      <c r="V1" s="1" t="inlineStr">
        <is>
          <t>Decimal Odds</t>
        </is>
      </c>
      <c r="W1" s="1" t="inlineStr">
        <is>
          <t>American Odds</t>
        </is>
      </c>
      <c r="X1" s="1" t="inlineStr">
        <is>
          <t>Units Risked</t>
        </is>
      </c>
      <c r="Y1" s="1" t="inlineStr">
        <is>
          <t>Units Won/Lost</t>
        </is>
      </c>
      <c r="Z1" s="1" t="inlineStr">
        <is>
          <t>Stake ($)</t>
        </is>
      </c>
      <c r="AA1" s="1" t="inlineStr">
        <is>
          <t>Profit/Loss ($)</t>
        </is>
      </c>
      <c r="AB1" s="1" t="inlineStr">
        <is>
          <t>ROI for Bet</t>
        </is>
      </c>
      <c r="AC1" s="1" t="inlineStr">
        <is>
          <t>CLV</t>
        </is>
      </c>
      <c r="AD1" s="1" t="inlineStr">
        <is>
          <t>Result</t>
        </is>
      </c>
      <c r="AE1" s="1" t="inlineStr">
        <is>
          <t>Running Win %</t>
        </is>
      </c>
      <c r="AF1" s="1" t="inlineStr">
        <is>
          <t>Running ROI</t>
        </is>
      </c>
      <c r="AG1" s="1" t="inlineStr">
        <is>
          <t>Running Units</t>
        </is>
      </c>
      <c r="AH1" s="1" t="inlineStr">
        <is>
          <t>Running Bankroll</t>
        </is>
      </c>
      <c r="AI1" s="1" t="inlineStr">
        <is>
          <t>Year</t>
        </is>
      </c>
      <c r="AJ1" s="1" t="inlineStr">
        <is>
          <t>Month</t>
        </is>
      </c>
      <c r="AK1" s="1" t="inlineStr">
        <is>
          <t>Odds Bucket</t>
        </is>
      </c>
      <c r="AL1" s="1" t="inlineStr">
        <is>
          <t>Model Sample</t>
        </is>
      </c>
      <c r="AM1" s="1" t="inlineStr">
        <is>
          <t>Kelly Fraction</t>
        </is>
      </c>
    </row>
    <row r="2">
      <c r="A2" s="2" t="inlineStr">
        <is>
          <t>KPROP-00001</t>
        </is>
      </c>
      <c r="B2" s="3" t="n">
        <v>45839.77473379629</v>
      </c>
      <c r="C2" s="3" t="n">
        <v>45839</v>
      </c>
      <c r="D2" s="2" t="inlineStr">
        <is>
          <t>Joe Ryan</t>
        </is>
      </c>
      <c r="E2" s="2" t="n">
        <v>142</v>
      </c>
      <c r="F2" s="2" t="n">
        <v>146</v>
      </c>
      <c r="G2" s="2" t="inlineStr">
        <is>
          <t>Away</t>
        </is>
      </c>
      <c r="H2" s="2" t="inlineStr">
        <is>
          <t>bovada</t>
        </is>
      </c>
      <c r="I2" s="4" t="n"/>
      <c r="J2" s="4" t="n"/>
      <c r="K2" s="4" t="n">
        <v>100</v>
      </c>
      <c r="L2" s="4" t="n">
        <v>100</v>
      </c>
      <c r="M2" s="5" t="n">
        <v>6.5</v>
      </c>
      <c r="N2" s="5" t="n">
        <v>5.897896114788809</v>
      </c>
      <c r="O2" s="5" t="n">
        <v>6.5</v>
      </c>
      <c r="P2" s="5" t="n">
        <v>0.6021038852111911</v>
      </c>
      <c r="Q2" s="6" t="n">
        <v>0.2453964805424103</v>
      </c>
      <c r="R2" s="6" t="n">
        <v>0.6226982402712051</v>
      </c>
      <c r="S2" s="6" t="n">
        <v>0.4894613583138174</v>
      </c>
      <c r="T2" s="2" t="inlineStr">
        <is>
          <t>Under</t>
        </is>
      </c>
      <c r="U2" s="4" t="n">
        <v>100</v>
      </c>
      <c r="V2" s="2" t="n">
        <v>2</v>
      </c>
      <c r="W2" s="4" t="n">
        <v>100</v>
      </c>
      <c r="X2" s="2" t="n">
        <v>1</v>
      </c>
      <c r="Y2" s="5" t="n">
        <v>1</v>
      </c>
      <c r="Z2" s="7" t="n">
        <v>100</v>
      </c>
      <c r="AA2" s="7">
        <f>Y2*Z2</f>
        <v/>
      </c>
      <c r="AB2" s="6">
        <f>IF(Z2=0,0,AA2/Z2)</f>
        <v/>
      </c>
      <c r="AC2" s="6" t="n"/>
      <c r="AD2" s="2" t="inlineStr">
        <is>
          <t>Win</t>
        </is>
      </c>
      <c r="AE2" s="6">
        <f>IF((COUNTIF($AD$2:AD2,"Win")+COUNTIF($AD$2:AD2,"Loss"))=0,0,COUNTIF($AD$2:AD2,"Win")/(COUNTIF($AD$2:AD2,"Win")+COUNTIF($AD$2:AD2,"Loss")))</f>
        <v/>
      </c>
      <c r="AF2" s="6">
        <f>SUM($Y$2:Y2)/SUM($X$2:X2)</f>
        <v/>
      </c>
      <c r="AG2" s="5">
        <f>SUM($Y$2:Y2)</f>
        <v/>
      </c>
      <c r="AH2" s="7">
        <f>10000.0+SUM($AA$2:AA2)</f>
        <v/>
      </c>
      <c r="AI2" s="2" t="n">
        <v>2025</v>
      </c>
      <c r="AJ2" s="2" t="inlineStr">
        <is>
          <t>2025-07</t>
        </is>
      </c>
      <c r="AK2" s="2" t="inlineStr">
        <is>
          <t>+100 to +120</t>
        </is>
      </c>
      <c r="AL2" s="2" t="inlineStr">
        <is>
          <t>2025 Validation</t>
        </is>
      </c>
      <c r="AM2" s="6" t="n">
        <v>0.2453964805424103</v>
      </c>
    </row>
    <row r="3">
      <c r="A3" s="2" t="inlineStr">
        <is>
          <t>KPROP-00002</t>
        </is>
      </c>
      <c r="B3" s="3" t="n">
        <v>45839.62890046297</v>
      </c>
      <c r="C3" s="3" t="n">
        <v>45839</v>
      </c>
      <c r="D3" s="2" t="inlineStr">
        <is>
          <t>Kevin Gausman</t>
        </is>
      </c>
      <c r="E3" s="2" t="n">
        <v>141</v>
      </c>
      <c r="F3" s="2" t="n">
        <v>147</v>
      </c>
      <c r="G3" s="2" t="inlineStr">
        <is>
          <t>Home</t>
        </is>
      </c>
      <c r="H3" s="2" t="inlineStr">
        <is>
          <t>betrivers</t>
        </is>
      </c>
      <c r="I3" s="4" t="n"/>
      <c r="J3" s="4" t="n"/>
      <c r="K3" s="4" t="n">
        <v>-130</v>
      </c>
      <c r="L3" s="4" t="n">
        <v>-130</v>
      </c>
      <c r="M3" s="5" t="n">
        <v>6.5</v>
      </c>
      <c r="N3" s="5" t="n">
        <v>5.843536712543805</v>
      </c>
      <c r="O3" s="5" t="n">
        <v>6.5</v>
      </c>
      <c r="P3" s="5" t="n">
        <v>0.6564632874561953</v>
      </c>
      <c r="Q3" s="6" t="n">
        <v>0.1171225641093426</v>
      </c>
      <c r="R3" s="6" t="n">
        <v>0.6314171014531067</v>
      </c>
      <c r="S3" s="6" t="n">
        <v>0.5542635658914729</v>
      </c>
      <c r="T3" s="2" t="inlineStr">
        <is>
          <t>Under</t>
        </is>
      </c>
      <c r="U3" s="4" t="n">
        <v>-130</v>
      </c>
      <c r="V3" s="2" t="n">
        <v>1.769230769230769</v>
      </c>
      <c r="W3" s="4" t="n">
        <v>-130</v>
      </c>
      <c r="X3" s="2" t="n">
        <v>1</v>
      </c>
      <c r="Y3" s="5" t="n">
        <v>0.7692307692307692</v>
      </c>
      <c r="Z3" s="7" t="n">
        <v>100</v>
      </c>
      <c r="AA3" s="7">
        <f>Y3*Z3</f>
        <v/>
      </c>
      <c r="AB3" s="6">
        <f>IF(Z3=0,0,AA3/Z3)</f>
        <v/>
      </c>
      <c r="AC3" s="6" t="n"/>
      <c r="AD3" s="2" t="inlineStr">
        <is>
          <t>Win</t>
        </is>
      </c>
      <c r="AE3" s="6">
        <f>IF((COUNTIF($AD$2:AD3,"Win")+COUNTIF($AD$2:AD3,"Loss"))=0,0,COUNTIF($AD$2:AD3,"Win")/(COUNTIF($AD$2:AD3,"Win")+COUNTIF($AD$2:AD3,"Loss")))</f>
        <v/>
      </c>
      <c r="AF3" s="6">
        <f>SUM($Y$2:Y3)/SUM($X$2:X3)</f>
        <v/>
      </c>
      <c r="AG3" s="5">
        <f>SUM($Y$2:Y3)</f>
        <v/>
      </c>
      <c r="AH3" s="7">
        <f>10000.0+SUM($AA$2:AA3)</f>
        <v/>
      </c>
      <c r="AI3" s="2" t="n">
        <v>2025</v>
      </c>
      <c r="AJ3" s="2" t="inlineStr">
        <is>
          <t>2025-07</t>
        </is>
      </c>
      <c r="AK3" s="2" t="inlineStr">
        <is>
          <t>-149 to -120</t>
        </is>
      </c>
      <c r="AL3" s="2" t="inlineStr">
        <is>
          <t>2025 Validation</t>
        </is>
      </c>
      <c r="AM3" s="6" t="n">
        <v>0.1522593333421454</v>
      </c>
    </row>
    <row r="4">
      <c r="A4" s="2" t="inlineStr">
        <is>
          <t>KPROP-00003</t>
        </is>
      </c>
      <c r="B4" s="3" t="n">
        <v>45840.54557870371</v>
      </c>
      <c r="C4" s="3" t="n">
        <v>45840</v>
      </c>
      <c r="D4" s="2" t="inlineStr">
        <is>
          <t>Clay Holmes</t>
        </is>
      </c>
      <c r="E4" s="2" t="n">
        <v>121</v>
      </c>
      <c r="F4" s="2" t="n">
        <v>158</v>
      </c>
      <c r="G4" s="2" t="inlineStr">
        <is>
          <t>Home</t>
        </is>
      </c>
      <c r="H4" s="2" t="inlineStr">
        <is>
          <t>fanduel</t>
        </is>
      </c>
      <c r="I4" s="4" t="n"/>
      <c r="J4" s="4" t="n"/>
      <c r="K4" s="4" t="n">
        <v>-112</v>
      </c>
      <c r="L4" s="4" t="n">
        <v>-112</v>
      </c>
      <c r="M4" s="5" t="n">
        <v>4.5</v>
      </c>
      <c r="N4" s="5" t="n">
        <v>4.142995857204013</v>
      </c>
      <c r="O4" s="5" t="n">
        <v>4.5</v>
      </c>
      <c r="P4" s="5" t="n">
        <v>0.3570041427959874</v>
      </c>
      <c r="Q4" s="6" t="n">
        <v>0.137462637907535</v>
      </c>
      <c r="R4" s="6" t="n">
        <v>0.6009236577624714</v>
      </c>
      <c r="S4" s="6" t="n">
        <v>0.5137614678899083</v>
      </c>
      <c r="T4" s="2" t="inlineStr">
        <is>
          <t>Under</t>
        </is>
      </c>
      <c r="U4" s="4" t="n">
        <v>-112</v>
      </c>
      <c r="V4" s="2" t="n">
        <v>1.892857142857143</v>
      </c>
      <c r="W4" s="4" t="n">
        <v>-112</v>
      </c>
      <c r="X4" s="2" t="n">
        <v>1</v>
      </c>
      <c r="Y4" s="5" t="n">
        <v>0.8928571428571428</v>
      </c>
      <c r="Z4" s="7" t="n">
        <v>100</v>
      </c>
      <c r="AA4" s="7">
        <f>Y4*Z4</f>
        <v/>
      </c>
      <c r="AB4" s="6">
        <f>IF(Z4=0,0,AA4/Z4)</f>
        <v/>
      </c>
      <c r="AC4" s="6" t="n"/>
      <c r="AD4" s="2" t="inlineStr">
        <is>
          <t>Win</t>
        </is>
      </c>
      <c r="AE4" s="6">
        <f>IF((COUNTIF($AD$2:AD4,"Win")+COUNTIF($AD$2:AD4,"Loss"))=0,0,COUNTIF($AD$2:AD4,"Win")/(COUNTIF($AD$2:AD4,"Win")+COUNTIF($AD$2:AD4,"Loss")))</f>
        <v/>
      </c>
      <c r="AF4" s="6">
        <f>SUM($Y$2:Y4)/SUM($X$2:X4)</f>
        <v/>
      </c>
      <c r="AG4" s="5">
        <f>SUM($Y$2:Y4)</f>
        <v/>
      </c>
      <c r="AH4" s="7">
        <f>10000.0+SUM($AA$2:AA4)</f>
        <v/>
      </c>
      <c r="AI4" s="2" t="n">
        <v>2025</v>
      </c>
      <c r="AJ4" s="2" t="inlineStr">
        <is>
          <t>2025-07</t>
        </is>
      </c>
      <c r="AK4" s="2" t="inlineStr">
        <is>
          <t>-119 to -101</t>
        </is>
      </c>
      <c r="AL4" s="2" t="inlineStr">
        <is>
          <t>2025 Validation</t>
        </is>
      </c>
      <c r="AM4" s="6" t="n">
        <v>0.1539581544564392</v>
      </c>
    </row>
    <row r="5">
      <c r="A5" s="2" t="inlineStr">
        <is>
          <t>KPROP-00004</t>
        </is>
      </c>
      <c r="B5" s="3" t="n">
        <v>45840.77821759259</v>
      </c>
      <c r="C5" s="3" t="n">
        <v>45840</v>
      </c>
      <c r="D5" s="2" t="inlineStr">
        <is>
          <t>Jack Flaherty</t>
        </is>
      </c>
      <c r="E5" s="2" t="n">
        <v>116</v>
      </c>
      <c r="F5" s="2" t="n">
        <v>120</v>
      </c>
      <c r="G5" s="2" t="inlineStr">
        <is>
          <t>Away</t>
        </is>
      </c>
      <c r="H5" s="2" t="inlineStr">
        <is>
          <t>draftkings</t>
        </is>
      </c>
      <c r="I5" s="4" t="n"/>
      <c r="J5" s="4" t="n"/>
      <c r="K5" s="4" t="n">
        <v>105</v>
      </c>
      <c r="L5" s="4" t="n">
        <v>105</v>
      </c>
      <c r="M5" s="5" t="n">
        <v>5.5</v>
      </c>
      <c r="N5" s="5" t="n">
        <v>5.402234810859781</v>
      </c>
      <c r="O5" s="5" t="n">
        <v>5.5</v>
      </c>
      <c r="P5" s="5" t="n">
        <v>0.09776518914021892</v>
      </c>
      <c r="Q5" s="6" t="n">
        <v>0.1187791224444933</v>
      </c>
      <c r="R5" s="6" t="n">
        <v>0.5457459133875577</v>
      </c>
      <c r="S5" s="6" t="n">
        <v>0.4649265905383361</v>
      </c>
      <c r="T5" s="2" t="inlineStr">
        <is>
          <t>Under</t>
        </is>
      </c>
      <c r="U5" s="4" t="n">
        <v>105</v>
      </c>
      <c r="V5" s="2" t="n">
        <v>2.05</v>
      </c>
      <c r="W5" s="4" t="n">
        <v>105</v>
      </c>
      <c r="X5" s="2" t="n">
        <v>1</v>
      </c>
      <c r="Y5" s="5" t="n">
        <v>-1</v>
      </c>
      <c r="Z5" s="7" t="n">
        <v>100</v>
      </c>
      <c r="AA5" s="7">
        <f>Y5*Z5</f>
        <v/>
      </c>
      <c r="AB5" s="6">
        <f>IF(Z5=0,0,AA5/Z5)</f>
        <v/>
      </c>
      <c r="AC5" s="6" t="n"/>
      <c r="AD5" s="2" t="inlineStr">
        <is>
          <t>Loss</t>
        </is>
      </c>
      <c r="AE5" s="6">
        <f>IF((COUNTIF($AD$2:AD5,"Win")+COUNTIF($AD$2:AD5,"Loss"))=0,0,COUNTIF($AD$2:AD5,"Win")/(COUNTIF($AD$2:AD5,"Win")+COUNTIF($AD$2:AD5,"Loss")))</f>
        <v/>
      </c>
      <c r="AF5" s="6">
        <f>SUM($Y$2:Y5)/SUM($X$2:X5)</f>
        <v/>
      </c>
      <c r="AG5" s="5">
        <f>SUM($Y$2:Y5)</f>
        <v/>
      </c>
      <c r="AH5" s="7">
        <f>10000.0+SUM($AA$2:AA5)</f>
        <v/>
      </c>
      <c r="AI5" s="2" t="n">
        <v>2025</v>
      </c>
      <c r="AJ5" s="2" t="inlineStr">
        <is>
          <t>2025-07</t>
        </is>
      </c>
      <c r="AK5" s="2" t="inlineStr">
        <is>
          <t>+100 to +120</t>
        </is>
      </c>
      <c r="AL5" s="2" t="inlineStr">
        <is>
          <t>2025 Validation</t>
        </is>
      </c>
      <c r="AM5" s="6" t="n">
        <v>0.1131229737566603</v>
      </c>
    </row>
    <row r="6">
      <c r="A6" s="2" t="inlineStr">
        <is>
          <t>KPROP-00005</t>
        </is>
      </c>
      <c r="B6" s="3" t="n">
        <v>45840.79557870371</v>
      </c>
      <c r="C6" s="3" t="n">
        <v>45840</v>
      </c>
      <c r="D6" s="2" t="inlineStr">
        <is>
          <t>Nick Martinez</t>
        </is>
      </c>
      <c r="E6" s="2" t="n">
        <v>113</v>
      </c>
      <c r="F6" s="2" t="n">
        <v>111</v>
      </c>
      <c r="G6" s="2" t="inlineStr">
        <is>
          <t>Away</t>
        </is>
      </c>
      <c r="H6" s="2" t="inlineStr">
        <is>
          <t>fanduel</t>
        </is>
      </c>
      <c r="I6" s="4" t="n"/>
      <c r="J6" s="4" t="n"/>
      <c r="K6" s="4" t="n">
        <v>-111</v>
      </c>
      <c r="L6" s="4" t="n">
        <v>-111</v>
      </c>
      <c r="M6" s="5" t="n">
        <v>4.5</v>
      </c>
      <c r="N6" s="5" t="n">
        <v>4.304609803978205</v>
      </c>
      <c r="O6" s="5" t="n">
        <v>4.5</v>
      </c>
      <c r="P6" s="5" t="n">
        <v>0.195390196021795</v>
      </c>
      <c r="Q6" s="6" t="n">
        <v>0.08265287903395159</v>
      </c>
      <c r="R6" s="6" t="n">
        <v>0.5695472491600408</v>
      </c>
      <c r="S6" s="6" t="n">
        <v>0.4958445875753168</v>
      </c>
      <c r="T6" s="2" t="inlineStr">
        <is>
          <t>Under</t>
        </is>
      </c>
      <c r="U6" s="4" t="n">
        <v>-111</v>
      </c>
      <c r="V6" s="2" t="n">
        <v>1.900900900900901</v>
      </c>
      <c r="W6" s="4" t="n">
        <v>-111</v>
      </c>
      <c r="X6" s="2" t="n">
        <v>1</v>
      </c>
      <c r="Y6" s="5" t="n">
        <v>0.900900900900901</v>
      </c>
      <c r="Z6" s="7" t="n">
        <v>100</v>
      </c>
      <c r="AA6" s="7">
        <f>Y6*Z6</f>
        <v/>
      </c>
      <c r="AB6" s="6">
        <f>IF(Z6=0,0,AA6/Z6)</f>
        <v/>
      </c>
      <c r="AC6" s="6" t="n"/>
      <c r="AD6" s="2" t="inlineStr">
        <is>
          <t>Win</t>
        </is>
      </c>
      <c r="AE6" s="6">
        <f>IF((COUNTIF($AD$2:AD6,"Win")+COUNTIF($AD$2:AD6,"Loss"))=0,0,COUNTIF($AD$2:AD6,"Win")/(COUNTIF($AD$2:AD6,"Win")+COUNTIF($AD$2:AD6,"Loss")))</f>
        <v/>
      </c>
      <c r="AF6" s="6">
        <f>SUM($Y$2:Y6)/SUM($X$2:X6)</f>
        <v/>
      </c>
      <c r="AG6" s="5">
        <f>SUM($Y$2:Y6)</f>
        <v/>
      </c>
      <c r="AH6" s="7">
        <f>10000.0+SUM($AA$2:AA6)</f>
        <v/>
      </c>
      <c r="AI6" s="2" t="n">
        <v>2025</v>
      </c>
      <c r="AJ6" s="2" t="inlineStr">
        <is>
          <t>2025-07</t>
        </is>
      </c>
      <c r="AK6" s="2" t="inlineStr">
        <is>
          <t>-119 to -101</t>
        </is>
      </c>
      <c r="AL6" s="2" t="inlineStr">
        <is>
          <t>2025 Validation</t>
        </is>
      </c>
      <c r="AM6" s="6" t="n">
        <v>0.09174469572768623</v>
      </c>
    </row>
    <row r="7">
      <c r="A7" s="2" t="inlineStr">
        <is>
          <t>KPROP-00006</t>
        </is>
      </c>
      <c r="B7" s="3" t="n">
        <v>45840.52473379629</v>
      </c>
      <c r="C7" s="3" t="n">
        <v>45840</v>
      </c>
      <c r="D7" s="2" t="inlineStr">
        <is>
          <t>Sonny Gray</t>
        </is>
      </c>
      <c r="E7" s="2" t="n">
        <v>138</v>
      </c>
      <c r="F7" s="2" t="n">
        <v>134</v>
      </c>
      <c r="G7" s="2" t="inlineStr">
        <is>
          <t>Away</t>
        </is>
      </c>
      <c r="H7" s="2" t="inlineStr">
        <is>
          <t>betonlineag</t>
        </is>
      </c>
      <c r="I7" s="4" t="n"/>
      <c r="J7" s="4" t="n"/>
      <c r="K7" s="4" t="n">
        <v>128</v>
      </c>
      <c r="L7" s="4" t="n">
        <v>128</v>
      </c>
      <c r="M7" s="5" t="n">
        <v>5.5</v>
      </c>
      <c r="N7" s="5" t="n">
        <v>5.658093012160649</v>
      </c>
      <c r="O7" s="5" t="n">
        <v>5.5</v>
      </c>
      <c r="P7" s="5" t="n">
        <v>-0.1580930121606485</v>
      </c>
      <c r="Q7" s="6" t="n">
        <v>0.1446361842559037</v>
      </c>
      <c r="R7" s="6" t="n">
        <v>0.5020334141473262</v>
      </c>
      <c r="S7" s="6" t="n">
        <v>0.4306601042269832</v>
      </c>
      <c r="T7" s="2" t="inlineStr">
        <is>
          <t>Under</t>
        </is>
      </c>
      <c r="U7" s="4" t="n">
        <v>128</v>
      </c>
      <c r="V7" s="2" t="n">
        <v>2.28</v>
      </c>
      <c r="W7" s="4" t="n">
        <v>128</v>
      </c>
      <c r="X7" s="2" t="n">
        <v>1</v>
      </c>
      <c r="Y7" s="5" t="n">
        <v>-1</v>
      </c>
      <c r="Z7" s="7" t="n">
        <v>100</v>
      </c>
      <c r="AA7" s="7">
        <f>Y7*Z7</f>
        <v/>
      </c>
      <c r="AB7" s="6">
        <f>IF(Z7=0,0,AA7/Z7)</f>
        <v/>
      </c>
      <c r="AC7" s="6" t="n"/>
      <c r="AD7" s="2" t="inlineStr">
        <is>
          <t>Loss</t>
        </is>
      </c>
      <c r="AE7" s="6">
        <f>IF((COUNTIF($AD$2:AD7,"Win")+COUNTIF($AD$2:AD7,"Loss"))=0,0,COUNTIF($AD$2:AD7,"Win")/(COUNTIF($AD$2:AD7,"Win")+COUNTIF($AD$2:AD7,"Loss")))</f>
        <v/>
      </c>
      <c r="AF7" s="6">
        <f>SUM($Y$2:Y7)/SUM($X$2:X7)</f>
        <v/>
      </c>
      <c r="AG7" s="5">
        <f>SUM($Y$2:Y7)</f>
        <v/>
      </c>
      <c r="AH7" s="7">
        <f>10000.0+SUM($AA$2:AA7)</f>
        <v/>
      </c>
      <c r="AI7" s="2" t="n">
        <v>2025</v>
      </c>
      <c r="AJ7" s="2" t="inlineStr">
        <is>
          <t>2025-07</t>
        </is>
      </c>
      <c r="AK7" s="2" t="inlineStr">
        <is>
          <t>+121 to +150</t>
        </is>
      </c>
      <c r="AL7" s="2" t="inlineStr">
        <is>
          <t>2025 Validation</t>
        </is>
      </c>
      <c r="AM7" s="6" t="n">
        <v>0.1129970189499248</v>
      </c>
    </row>
    <row r="8">
      <c r="A8" s="2" t="inlineStr">
        <is>
          <t>KPROP-00007</t>
        </is>
      </c>
      <c r="B8" s="3" t="n">
        <v>45841.79556712963</v>
      </c>
      <c r="C8" s="3" t="n">
        <v>45841</v>
      </c>
      <c r="D8" s="2" t="inlineStr">
        <is>
          <t>Chris Bassitt</t>
        </is>
      </c>
      <c r="E8" s="2" t="n">
        <v>141</v>
      </c>
      <c r="F8" s="2" t="n">
        <v>147</v>
      </c>
      <c r="G8" s="2" t="inlineStr">
        <is>
          <t>Home</t>
        </is>
      </c>
      <c r="H8" s="2" t="inlineStr">
        <is>
          <t>fanduel</t>
        </is>
      </c>
      <c r="I8" s="4" t="n"/>
      <c r="J8" s="4" t="n"/>
      <c r="K8" s="4" t="n">
        <v>106</v>
      </c>
      <c r="L8" s="4" t="n">
        <v>106</v>
      </c>
      <c r="M8" s="5" t="n">
        <v>5.5</v>
      </c>
      <c r="N8" s="5" t="n">
        <v>5.254391245616934</v>
      </c>
      <c r="O8" s="5" t="n">
        <v>5.5</v>
      </c>
      <c r="P8" s="5" t="n">
        <v>0.2456087543830661</v>
      </c>
      <c r="Q8" s="6" t="n">
        <v>0.1771190784406433</v>
      </c>
      <c r="R8" s="6" t="n">
        <v>0.5714170283692444</v>
      </c>
      <c r="S8" s="6" t="n">
        <v>0.4708904109589041</v>
      </c>
      <c r="T8" s="2" t="inlineStr">
        <is>
          <t>Under</t>
        </is>
      </c>
      <c r="U8" s="4" t="n">
        <v>106</v>
      </c>
      <c r="V8" s="2" t="n">
        <v>2.06</v>
      </c>
      <c r="W8" s="4" t="n">
        <v>106</v>
      </c>
      <c r="X8" s="2" t="n">
        <v>1</v>
      </c>
      <c r="Y8" s="5" t="n">
        <v>-1</v>
      </c>
      <c r="Z8" s="7" t="n">
        <v>100</v>
      </c>
      <c r="AA8" s="7">
        <f>Y8*Z8</f>
        <v/>
      </c>
      <c r="AB8" s="6">
        <f>IF(Z8=0,0,AA8/Z8)</f>
        <v/>
      </c>
      <c r="AC8" s="6" t="n"/>
      <c r="AD8" s="2" t="inlineStr">
        <is>
          <t>Loss</t>
        </is>
      </c>
      <c r="AE8" s="6">
        <f>IF((COUNTIF($AD$2:AD8,"Win")+COUNTIF($AD$2:AD8,"Loss"))=0,0,COUNTIF($AD$2:AD8,"Win")/(COUNTIF($AD$2:AD8,"Win")+COUNTIF($AD$2:AD8,"Loss")))</f>
        <v/>
      </c>
      <c r="AF8" s="6">
        <f>SUM($Y$2:Y8)/SUM($X$2:X8)</f>
        <v/>
      </c>
      <c r="AG8" s="5">
        <f>SUM($Y$2:Y8)</f>
        <v/>
      </c>
      <c r="AH8" s="7">
        <f>10000.0+SUM($AA$2:AA8)</f>
        <v/>
      </c>
      <c r="AI8" s="2" t="n">
        <v>2025</v>
      </c>
      <c r="AJ8" s="2" t="inlineStr">
        <is>
          <t>2025-07</t>
        </is>
      </c>
      <c r="AK8" s="2" t="inlineStr">
        <is>
          <t>+100 to +120</t>
        </is>
      </c>
      <c r="AL8" s="2" t="inlineStr">
        <is>
          <t>2025 Validation</t>
        </is>
      </c>
      <c r="AM8" s="6" t="n">
        <v>0.167093470227022</v>
      </c>
    </row>
    <row r="9">
      <c r="A9" s="2" t="inlineStr">
        <is>
          <t>KPROP-00008</t>
        </is>
      </c>
      <c r="B9" s="3" t="n">
        <v>45841.79903935185</v>
      </c>
      <c r="C9" s="3" t="n">
        <v>45841</v>
      </c>
      <c r="D9" s="2" t="inlineStr">
        <is>
          <t>David Peterson</t>
        </is>
      </c>
      <c r="E9" s="2" t="n">
        <v>121</v>
      </c>
      <c r="F9" s="2" t="n">
        <v>158</v>
      </c>
      <c r="G9" s="2" t="inlineStr">
        <is>
          <t>Home</t>
        </is>
      </c>
      <c r="H9" s="2" t="inlineStr">
        <is>
          <t>betrivers</t>
        </is>
      </c>
      <c r="I9" s="4" t="n"/>
      <c r="J9" s="4" t="n"/>
      <c r="K9" s="4" t="n">
        <v>116</v>
      </c>
      <c r="L9" s="4" t="n">
        <v>116</v>
      </c>
      <c r="M9" s="5" t="n">
        <v>4.5</v>
      </c>
      <c r="N9" s="5" t="n">
        <v>4.603398741662082</v>
      </c>
      <c r="O9" s="5" t="n">
        <v>4.5</v>
      </c>
      <c r="P9" s="5" t="n">
        <v>-0.1033987416620823</v>
      </c>
      <c r="Q9" s="6" t="n">
        <v>0.1072090534711159</v>
      </c>
      <c r="R9" s="6" t="n">
        <v>0.5125967840144054</v>
      </c>
      <c r="S9" s="6" t="n">
        <v>0.4462590201291302</v>
      </c>
      <c r="T9" s="2" t="inlineStr">
        <is>
          <t>Under</t>
        </is>
      </c>
      <c r="U9" s="4" t="n">
        <v>116</v>
      </c>
      <c r="V9" s="2" t="n">
        <v>2.16</v>
      </c>
      <c r="W9" s="4" t="n">
        <v>116</v>
      </c>
      <c r="X9" s="2" t="n">
        <v>1</v>
      </c>
      <c r="Y9" s="5" t="n">
        <v>1.16</v>
      </c>
      <c r="Z9" s="7" t="n">
        <v>100</v>
      </c>
      <c r="AA9" s="7">
        <f>Y9*Z9</f>
        <v/>
      </c>
      <c r="AB9" s="6">
        <f>IF(Z9=0,0,AA9/Z9)</f>
        <v/>
      </c>
      <c r="AC9" s="6" t="n"/>
      <c r="AD9" s="2" t="inlineStr">
        <is>
          <t>Win</t>
        </is>
      </c>
      <c r="AE9" s="6">
        <f>IF((COUNTIF($AD$2:AD9,"Win")+COUNTIF($AD$2:AD9,"Loss"))=0,0,COUNTIF($AD$2:AD9,"Win")/(COUNTIF($AD$2:AD9,"Win")+COUNTIF($AD$2:AD9,"Loss")))</f>
        <v/>
      </c>
      <c r="AF9" s="6">
        <f>SUM($Y$2:Y9)/SUM($X$2:X9)</f>
        <v/>
      </c>
      <c r="AG9" s="5">
        <f>SUM($Y$2:Y9)</f>
        <v/>
      </c>
      <c r="AH9" s="7">
        <f>10000.0+SUM($AA$2:AA9)</f>
        <v/>
      </c>
      <c r="AI9" s="2" t="n">
        <v>2025</v>
      </c>
      <c r="AJ9" s="2" t="inlineStr">
        <is>
          <t>2025-07</t>
        </is>
      </c>
      <c r="AK9" s="2" t="inlineStr">
        <is>
          <t>+100 to +120</t>
        </is>
      </c>
      <c r="AL9" s="2" t="inlineStr">
        <is>
          <t>2025 Validation</t>
        </is>
      </c>
      <c r="AM9" s="6" t="n">
        <v>0.09242159781992745</v>
      </c>
    </row>
    <row r="10">
      <c r="A10" s="2" t="inlineStr">
        <is>
          <t>KPROP-00009</t>
        </is>
      </c>
      <c r="B10" s="3" t="n">
        <v>45842.67405092593</v>
      </c>
      <c r="C10" s="3" t="n">
        <v>45842</v>
      </c>
      <c r="D10" s="2" t="inlineStr">
        <is>
          <t>Chris Paddack</t>
        </is>
      </c>
      <c r="E10" s="2" t="n">
        <v>142</v>
      </c>
      <c r="F10" s="2" t="n">
        <v>139</v>
      </c>
      <c r="G10" s="2" t="inlineStr">
        <is>
          <t>Home</t>
        </is>
      </c>
      <c r="H10" s="2" t="inlineStr">
        <is>
          <t>fanduel</t>
        </is>
      </c>
      <c r="I10" s="4" t="n"/>
      <c r="J10" s="4" t="n"/>
      <c r="K10" s="4" t="n">
        <v>-102</v>
      </c>
      <c r="L10" s="4" t="n">
        <v>-102</v>
      </c>
      <c r="M10" s="5" t="n">
        <v>3.5</v>
      </c>
      <c r="N10" s="5" t="n">
        <v>3.422676815985905</v>
      </c>
      <c r="O10" s="5" t="n">
        <v>3.5</v>
      </c>
      <c r="P10" s="5" t="n">
        <v>0.07732318401409488</v>
      </c>
      <c r="Q10" s="6" t="n">
        <v>0.09596135909379801</v>
      </c>
      <c r="R10" s="6" t="n">
        <v>0.5534062308295415</v>
      </c>
      <c r="S10" s="6" t="n">
        <v>0.4856067316209035</v>
      </c>
      <c r="T10" s="2" t="inlineStr">
        <is>
          <t>Under</t>
        </is>
      </c>
      <c r="U10" s="4" t="n">
        <v>-102</v>
      </c>
      <c r="V10" s="2" t="n">
        <v>1.980392156862745</v>
      </c>
      <c r="W10" s="4" t="n">
        <v>-102</v>
      </c>
      <c r="X10" s="2" t="n">
        <v>1</v>
      </c>
      <c r="Y10" s="5" t="n">
        <v>-1</v>
      </c>
      <c r="Z10" s="7" t="n">
        <v>100</v>
      </c>
      <c r="AA10" s="7">
        <f>Y10*Z10</f>
        <v/>
      </c>
      <c r="AB10" s="6">
        <f>IF(Z10=0,0,AA10/Z10)</f>
        <v/>
      </c>
      <c r="AC10" s="6" t="n"/>
      <c r="AD10" s="2" t="inlineStr">
        <is>
          <t>Loss</t>
        </is>
      </c>
      <c r="AE10" s="6">
        <f>IF((COUNTIF($AD$2:AD10,"Win")+COUNTIF($AD$2:AD10,"Loss"))=0,0,COUNTIF($AD$2:AD10,"Win")/(COUNTIF($AD$2:AD10,"Win")+COUNTIF($AD$2:AD10,"Loss")))</f>
        <v/>
      </c>
      <c r="AF10" s="6">
        <f>SUM($Y$2:Y10)/SUM($X$2:X10)</f>
        <v/>
      </c>
      <c r="AG10" s="5">
        <f>SUM($Y$2:Y10)</f>
        <v/>
      </c>
      <c r="AH10" s="7">
        <f>10000.0+SUM($AA$2:AA10)</f>
        <v/>
      </c>
      <c r="AI10" s="2" t="n">
        <v>2025</v>
      </c>
      <c r="AJ10" s="2" t="inlineStr">
        <is>
          <t>2025-07</t>
        </is>
      </c>
      <c r="AK10" s="2" t="inlineStr">
        <is>
          <t>-119 to -101</t>
        </is>
      </c>
      <c r="AL10" s="2" t="inlineStr">
        <is>
          <t>2025 Validation</t>
        </is>
      </c>
      <c r="AM10" s="6" t="n">
        <v>0.09788058627567395</v>
      </c>
    </row>
    <row r="11">
      <c r="A11" s="2" t="inlineStr">
        <is>
          <t>KPROP-00010</t>
        </is>
      </c>
      <c r="B11" s="3" t="n">
        <v>45842.46223379629</v>
      </c>
      <c r="C11" s="3" t="n">
        <v>45842</v>
      </c>
      <c r="D11" s="2" t="inlineStr">
        <is>
          <t>Lucas Giolito</t>
        </is>
      </c>
      <c r="E11" s="2" t="n">
        <v>111</v>
      </c>
      <c r="F11" s="2" t="n">
        <v>120</v>
      </c>
      <c r="G11" s="2" t="inlineStr">
        <is>
          <t>Away</t>
        </is>
      </c>
      <c r="H11" s="2" t="inlineStr">
        <is>
          <t>fanatics</t>
        </is>
      </c>
      <c r="I11" s="4" t="n"/>
      <c r="J11" s="4" t="n"/>
      <c r="K11" s="4" t="n">
        <v>-145</v>
      </c>
      <c r="L11" s="4" t="n">
        <v>-145</v>
      </c>
      <c r="M11" s="5" t="n">
        <v>5.5</v>
      </c>
      <c r="N11" s="5" t="n">
        <v>4.506872689722134</v>
      </c>
      <c r="O11" s="5" t="n">
        <v>5.5</v>
      </c>
      <c r="P11" s="5" t="n">
        <v>0.9931273102778659</v>
      </c>
      <c r="Q11" s="6" t="n">
        <v>0.1857255686052805</v>
      </c>
      <c r="R11" s="6" t="n">
        <v>0.7017559487663905</v>
      </c>
      <c r="S11" s="6" t="n">
        <v>0.5610892153350053</v>
      </c>
      <c r="T11" s="2" t="inlineStr">
        <is>
          <t>Under</t>
        </is>
      </c>
      <c r="U11" s="4" t="n">
        <v>-145</v>
      </c>
      <c r="V11" s="2" t="n">
        <v>1.689655172413793</v>
      </c>
      <c r="W11" s="4" t="n">
        <v>-145</v>
      </c>
      <c r="X11" s="2" t="n">
        <v>1</v>
      </c>
      <c r="Y11" s="5" t="n">
        <v>-1</v>
      </c>
      <c r="Z11" s="7" t="n">
        <v>100</v>
      </c>
      <c r="AA11" s="7">
        <f>Y11*Z11</f>
        <v/>
      </c>
      <c r="AB11" s="6">
        <f>IF(Z11=0,0,AA11/Z11)</f>
        <v/>
      </c>
      <c r="AC11" s="6" t="n"/>
      <c r="AD11" s="2" t="inlineStr">
        <is>
          <t>Loss</t>
        </is>
      </c>
      <c r="AE11" s="6">
        <f>IF((COUNTIF($AD$2:AD11,"Win")+COUNTIF($AD$2:AD11,"Loss"))=0,0,COUNTIF($AD$2:AD11,"Win")/(COUNTIF($AD$2:AD11,"Win")+COUNTIF($AD$2:AD11,"Loss")))</f>
        <v/>
      </c>
      <c r="AF11" s="6">
        <f>SUM($Y$2:Y11)/SUM($X$2:X11)</f>
        <v/>
      </c>
      <c r="AG11" s="5">
        <f>SUM($Y$2:Y11)</f>
        <v/>
      </c>
      <c r="AH11" s="7">
        <f>10000.0+SUM($AA$2:AA11)</f>
        <v/>
      </c>
      <c r="AI11" s="2" t="n">
        <v>2025</v>
      </c>
      <c r="AJ11" s="2" t="inlineStr">
        <is>
          <t>2025-07</t>
        </is>
      </c>
      <c r="AK11" s="2" t="inlineStr">
        <is>
          <t>-149 to -120</t>
        </is>
      </c>
      <c r="AL11" s="2" t="inlineStr">
        <is>
          <t>2025 Validation</t>
        </is>
      </c>
      <c r="AM11" s="6" t="n">
        <v>0.2693020744776567</v>
      </c>
    </row>
    <row r="12">
      <c r="A12" s="2" t="inlineStr">
        <is>
          <t>KPROP-00011</t>
        </is>
      </c>
      <c r="B12" s="3" t="n">
        <v>45843.67056712963</v>
      </c>
      <c r="C12" s="3" t="n">
        <v>45843</v>
      </c>
      <c r="D12" s="2" t="inlineStr">
        <is>
          <t>Ranger Suarez</t>
        </is>
      </c>
      <c r="E12" s="2" t="n">
        <v>143</v>
      </c>
      <c r="F12" s="2" t="n">
        <v>113</v>
      </c>
      <c r="G12" s="2" t="inlineStr">
        <is>
          <t>Home</t>
        </is>
      </c>
      <c r="H12" s="2" t="inlineStr">
        <is>
          <t>bovada</t>
        </is>
      </c>
      <c r="I12" s="4" t="n"/>
      <c r="J12" s="4" t="n"/>
      <c r="K12" s="4" t="n">
        <v>120</v>
      </c>
      <c r="L12" s="4" t="n">
        <v>120</v>
      </c>
      <c r="M12" s="5" t="n">
        <v>5.5</v>
      </c>
      <c r="N12" s="5" t="n">
        <v>5.516849912965744</v>
      </c>
      <c r="O12" s="5" t="n">
        <v>5.5</v>
      </c>
      <c r="P12" s="5" t="n">
        <v>-0.01684991296574445</v>
      </c>
      <c r="Q12" s="6" t="n">
        <v>0.1572722332960648</v>
      </c>
      <c r="R12" s="6" t="n">
        <v>0.5260328333163931</v>
      </c>
      <c r="S12" s="6" t="n">
        <v>0.4357962697274032</v>
      </c>
      <c r="T12" s="2" t="inlineStr">
        <is>
          <t>Under</t>
        </is>
      </c>
      <c r="U12" s="4" t="n">
        <v>120</v>
      </c>
      <c r="V12" s="2" t="n">
        <v>2.2</v>
      </c>
      <c r="W12" s="4" t="n">
        <v>120</v>
      </c>
      <c r="X12" s="2" t="n">
        <v>1</v>
      </c>
      <c r="Y12" s="5" t="n">
        <v>-1</v>
      </c>
      <c r="Z12" s="7" t="n">
        <v>100</v>
      </c>
      <c r="AA12" s="7">
        <f>Y12*Z12</f>
        <v/>
      </c>
      <c r="AB12" s="6">
        <f>IF(Z12=0,0,AA12/Z12)</f>
        <v/>
      </c>
      <c r="AC12" s="6" t="n"/>
      <c r="AD12" s="2" t="inlineStr">
        <is>
          <t>Loss</t>
        </is>
      </c>
      <c r="AE12" s="6">
        <f>IF((COUNTIF($AD$2:AD12,"Win")+COUNTIF($AD$2:AD12,"Loss"))=0,0,COUNTIF($AD$2:AD12,"Win")/(COUNTIF($AD$2:AD12,"Win")+COUNTIF($AD$2:AD12,"Loss")))</f>
        <v/>
      </c>
      <c r="AF12" s="6">
        <f>SUM($Y$2:Y12)/SUM($X$2:X12)</f>
        <v/>
      </c>
      <c r="AG12" s="5">
        <f>SUM($Y$2:Y12)</f>
        <v/>
      </c>
      <c r="AH12" s="7">
        <f>10000.0+SUM($AA$2:AA12)</f>
        <v/>
      </c>
      <c r="AI12" s="2" t="n">
        <v>2025</v>
      </c>
      <c r="AJ12" s="2" t="inlineStr">
        <is>
          <t>2025-07</t>
        </is>
      </c>
      <c r="AK12" s="2" t="inlineStr">
        <is>
          <t>+100 to +120</t>
        </is>
      </c>
      <c r="AL12" s="2" t="inlineStr">
        <is>
          <t>2025 Validation</t>
        </is>
      </c>
      <c r="AM12" s="6" t="n">
        <v>0.1310601944133873</v>
      </c>
    </row>
    <row r="13">
      <c r="A13" s="2" t="inlineStr">
        <is>
          <t>KPROP-00012</t>
        </is>
      </c>
      <c r="B13" s="3" t="n">
        <v>45844.56640046297</v>
      </c>
      <c r="C13" s="3" t="n">
        <v>45844</v>
      </c>
      <c r="D13" s="2" t="inlineStr">
        <is>
          <t>Chase Burns</t>
        </is>
      </c>
      <c r="E13" s="2" t="n">
        <v>113</v>
      </c>
      <c r="F13" s="2" t="n">
        <v>143</v>
      </c>
      <c r="G13" s="2" t="inlineStr">
        <is>
          <t>Away</t>
        </is>
      </c>
      <c r="H13" s="2" t="inlineStr">
        <is>
          <t>draftkings</t>
        </is>
      </c>
      <c r="I13" s="4" t="n"/>
      <c r="J13" s="4" t="n"/>
      <c r="K13" s="4" t="n">
        <v>-105</v>
      </c>
      <c r="L13" s="4" t="n">
        <v>-105</v>
      </c>
      <c r="M13" s="5" t="n">
        <v>4.5</v>
      </c>
      <c r="N13" s="5" t="n">
        <v>3.914703917051354</v>
      </c>
      <c r="O13" s="5" t="n">
        <v>4.5</v>
      </c>
      <c r="P13" s="5" t="n">
        <v>0.5852960829486458</v>
      </c>
      <c r="Q13" s="6" t="n">
        <v>0.2602538111640714</v>
      </c>
      <c r="R13" s="6" t="n">
        <v>0.6454958544986708</v>
      </c>
      <c r="S13" s="6" t="n">
        <v>0.4933199732798931</v>
      </c>
      <c r="T13" s="2" t="inlineStr">
        <is>
          <t>Under</t>
        </is>
      </c>
      <c r="U13" s="4" t="n">
        <v>-105</v>
      </c>
      <c r="V13" s="2" t="n">
        <v>1.952380952380952</v>
      </c>
      <c r="W13" s="4" t="n">
        <v>-105</v>
      </c>
      <c r="X13" s="2" t="n">
        <v>1</v>
      </c>
      <c r="Y13" s="5" t="n">
        <v>-1</v>
      </c>
      <c r="Z13" s="7" t="n">
        <v>100</v>
      </c>
      <c r="AA13" s="7">
        <f>Y13*Z13</f>
        <v/>
      </c>
      <c r="AB13" s="6">
        <f>IF(Z13=0,0,AA13/Z13)</f>
        <v/>
      </c>
      <c r="AC13" s="6" t="n"/>
      <c r="AD13" s="2" t="inlineStr">
        <is>
          <t>Loss</t>
        </is>
      </c>
      <c r="AE13" s="6">
        <f>IF((COUNTIF($AD$2:AD13,"Win")+COUNTIF($AD$2:AD13,"Loss"))=0,0,COUNTIF($AD$2:AD13,"Win")/(COUNTIF($AD$2:AD13,"Win")+COUNTIF($AD$2:AD13,"Loss")))</f>
        <v/>
      </c>
      <c r="AF13" s="6">
        <f>SUM($Y$2:Y13)/SUM($X$2:X13)</f>
        <v/>
      </c>
      <c r="AG13" s="5">
        <f>SUM($Y$2:Y13)</f>
        <v/>
      </c>
      <c r="AH13" s="7">
        <f>10000.0+SUM($AA$2:AA13)</f>
        <v/>
      </c>
      <c r="AI13" s="2" t="n">
        <v>2025</v>
      </c>
      <c r="AJ13" s="2" t="inlineStr">
        <is>
          <t>2025-07</t>
        </is>
      </c>
      <c r="AK13" s="2" t="inlineStr">
        <is>
          <t>-119 to -101</t>
        </is>
      </c>
      <c r="AL13" s="2" t="inlineStr">
        <is>
          <t>2025 Validation</t>
        </is>
      </c>
      <c r="AM13" s="6" t="n">
        <v>0.273266501722275</v>
      </c>
    </row>
    <row r="14">
      <c r="A14" s="2" t="inlineStr">
        <is>
          <t>KPROP-00013</t>
        </is>
      </c>
      <c r="B14" s="3" t="n">
        <v>45844.75737268518</v>
      </c>
      <c r="C14" s="3" t="n">
        <v>45844</v>
      </c>
      <c r="D14" s="2" t="inlineStr">
        <is>
          <t>Erick Fedde</t>
        </is>
      </c>
      <c r="E14" s="2" t="n">
        <v>138</v>
      </c>
      <c r="F14" s="2" t="n">
        <v>112</v>
      </c>
      <c r="G14" s="2" t="inlineStr">
        <is>
          <t>Away</t>
        </is>
      </c>
      <c r="H14" s="2" t="inlineStr">
        <is>
          <t>fanduel</t>
        </is>
      </c>
      <c r="I14" s="4" t="n"/>
      <c r="J14" s="4" t="n"/>
      <c r="K14" s="4" t="n">
        <v>130</v>
      </c>
      <c r="L14" s="4" t="n">
        <v>130</v>
      </c>
      <c r="M14" s="5" t="n">
        <v>3.5</v>
      </c>
      <c r="N14" s="5" t="n">
        <v>3.7950359346191</v>
      </c>
      <c r="O14" s="5" t="n">
        <v>3.5</v>
      </c>
      <c r="P14" s="5" t="n">
        <v>-0.2950359346190998</v>
      </c>
      <c r="Q14" s="6" t="n">
        <v>0.09135221325719123</v>
      </c>
      <c r="R14" s="6" t="n">
        <v>0.4745009622857354</v>
      </c>
      <c r="S14" s="6" t="n">
        <v>0.4307974335472044</v>
      </c>
      <c r="T14" s="2" t="inlineStr">
        <is>
          <t>Under</t>
        </is>
      </c>
      <c r="U14" s="4" t="n">
        <v>130</v>
      </c>
      <c r="V14" s="2" t="n">
        <v>2.3</v>
      </c>
      <c r="W14" s="4" t="n">
        <v>130</v>
      </c>
      <c r="X14" s="2" t="n">
        <v>1</v>
      </c>
      <c r="Y14" s="5" t="n">
        <v>1.3</v>
      </c>
      <c r="Z14" s="7" t="n">
        <v>100</v>
      </c>
      <c r="AA14" s="7">
        <f>Y14*Z14</f>
        <v/>
      </c>
      <c r="AB14" s="6">
        <f>IF(Z14=0,0,AA14/Z14)</f>
        <v/>
      </c>
      <c r="AC14" s="6" t="n"/>
      <c r="AD14" s="2" t="inlineStr">
        <is>
          <t>Win</t>
        </is>
      </c>
      <c r="AE14" s="6">
        <f>IF((COUNTIF($AD$2:AD14,"Win")+COUNTIF($AD$2:AD14,"Loss"))=0,0,COUNTIF($AD$2:AD14,"Win")/(COUNTIF($AD$2:AD14,"Win")+COUNTIF($AD$2:AD14,"Loss")))</f>
        <v/>
      </c>
      <c r="AF14" s="6">
        <f>SUM($Y$2:Y14)/SUM($X$2:X14)</f>
        <v/>
      </c>
      <c r="AG14" s="5">
        <f>SUM($Y$2:Y14)</f>
        <v/>
      </c>
      <c r="AH14" s="7">
        <f>10000.0+SUM($AA$2:AA14)</f>
        <v/>
      </c>
      <c r="AI14" s="2" t="n">
        <v>2025</v>
      </c>
      <c r="AJ14" s="2" t="inlineStr">
        <is>
          <t>2025-07</t>
        </is>
      </c>
      <c r="AK14" s="2" t="inlineStr">
        <is>
          <t>+121 to +150</t>
        </is>
      </c>
      <c r="AL14" s="2" t="inlineStr">
        <is>
          <t>2025 Validation</t>
        </is>
      </c>
      <c r="AM14" s="6" t="n">
        <v>0.0702709332747625</v>
      </c>
    </row>
    <row r="15">
      <c r="A15" s="2" t="inlineStr">
        <is>
          <t>KPROP-00014</t>
        </is>
      </c>
      <c r="B15" s="3" t="n">
        <v>45844.56292824074</v>
      </c>
      <c r="C15" s="3" t="n">
        <v>45844</v>
      </c>
      <c r="D15" s="2" t="inlineStr">
        <is>
          <t>Garrett Crochet</t>
        </is>
      </c>
      <c r="E15" s="2" t="n">
        <v>111</v>
      </c>
      <c r="F15" s="2" t="n">
        <v>120</v>
      </c>
      <c r="G15" s="2" t="inlineStr">
        <is>
          <t>Away</t>
        </is>
      </c>
      <c r="H15" s="2" t="inlineStr">
        <is>
          <t>fanduel</t>
        </is>
      </c>
      <c r="I15" s="4" t="n"/>
      <c r="J15" s="4" t="n"/>
      <c r="K15" s="4" t="n">
        <v>120</v>
      </c>
      <c r="L15" s="4" t="n">
        <v>120</v>
      </c>
      <c r="M15" s="5" t="n">
        <v>7.5</v>
      </c>
      <c r="N15" s="5" t="n">
        <v>7.742046730722975</v>
      </c>
      <c r="O15" s="5" t="n">
        <v>7.5</v>
      </c>
      <c r="P15" s="5" t="n">
        <v>-0.2420467307229748</v>
      </c>
      <c r="Q15" s="6" t="n">
        <v>0.07691974519623546</v>
      </c>
      <c r="R15" s="6" t="n">
        <v>0.4895089750891979</v>
      </c>
      <c r="S15" s="6" t="n">
        <v>0.4379562043795621</v>
      </c>
      <c r="T15" s="2" t="inlineStr">
        <is>
          <t>Under</t>
        </is>
      </c>
      <c r="U15" s="4" t="n">
        <v>120</v>
      </c>
      <c r="V15" s="2" t="n">
        <v>2.2</v>
      </c>
      <c r="W15" s="4" t="n">
        <v>120</v>
      </c>
      <c r="X15" s="2" t="n">
        <v>1</v>
      </c>
      <c r="Y15" s="5" t="n">
        <v>1.2</v>
      </c>
      <c r="Z15" s="7" t="n">
        <v>100</v>
      </c>
      <c r="AA15" s="7">
        <f>Y15*Z15</f>
        <v/>
      </c>
      <c r="AB15" s="6">
        <f>IF(Z15=0,0,AA15/Z15)</f>
        <v/>
      </c>
      <c r="AC15" s="6" t="n"/>
      <c r="AD15" s="2" t="inlineStr">
        <is>
          <t>Win</t>
        </is>
      </c>
      <c r="AE15" s="6">
        <f>IF((COUNTIF($AD$2:AD15,"Win")+COUNTIF($AD$2:AD15,"Loss"))=0,0,COUNTIF($AD$2:AD15,"Win")/(COUNTIF($AD$2:AD15,"Win")+COUNTIF($AD$2:AD15,"Loss")))</f>
        <v/>
      </c>
      <c r="AF15" s="6">
        <f>SUM($Y$2:Y15)/SUM($X$2:X15)</f>
        <v/>
      </c>
      <c r="AG15" s="5">
        <f>SUM($Y$2:Y15)</f>
        <v/>
      </c>
      <c r="AH15" s="7">
        <f>10000.0+SUM($AA$2:AA15)</f>
        <v/>
      </c>
      <c r="AI15" s="2" t="n">
        <v>2025</v>
      </c>
      <c r="AJ15" s="2" t="inlineStr">
        <is>
          <t>2025-07</t>
        </is>
      </c>
      <c r="AK15" s="2" t="inlineStr">
        <is>
          <t>+100 to +120</t>
        </is>
      </c>
      <c r="AL15" s="2" t="inlineStr">
        <is>
          <t>2025 Validation</t>
        </is>
      </c>
      <c r="AM15" s="6" t="n">
        <v>0.06409978766352954</v>
      </c>
    </row>
    <row r="16">
      <c r="A16" s="2" t="inlineStr">
        <is>
          <t>KPROP-00015</t>
        </is>
      </c>
      <c r="B16" s="3" t="n">
        <v>45844.67403935185</v>
      </c>
      <c r="C16" s="3" t="n">
        <v>45844</v>
      </c>
      <c r="D16" s="2" t="inlineStr">
        <is>
          <t>George Kirby</t>
        </is>
      </c>
      <c r="E16" s="2" t="n">
        <v>136</v>
      </c>
      <c r="F16" s="2" t="n">
        <v>134</v>
      </c>
      <c r="G16" s="2" t="inlineStr">
        <is>
          <t>Home</t>
        </is>
      </c>
      <c r="H16" s="2" t="inlineStr">
        <is>
          <t>fanduel</t>
        </is>
      </c>
      <c r="I16" s="4" t="n"/>
      <c r="J16" s="4" t="n"/>
      <c r="K16" s="4" t="n">
        <v>108</v>
      </c>
      <c r="L16" s="4" t="n">
        <v>108</v>
      </c>
      <c r="M16" s="5" t="n">
        <v>5.5</v>
      </c>
      <c r="N16" s="5" t="n">
        <v>5.279102412170667</v>
      </c>
      <c r="O16" s="5" t="n">
        <v>5.5</v>
      </c>
      <c r="P16" s="5" t="n">
        <v>0.2208975878293327</v>
      </c>
      <c r="Q16" s="6" t="n">
        <v>0.1795903380379539</v>
      </c>
      <c r="R16" s="6" t="n">
        <v>0.567110739441324</v>
      </c>
      <c r="S16" s="6" t="n">
        <v>0.4596322941646683</v>
      </c>
      <c r="T16" s="2" t="inlineStr">
        <is>
          <t>Under</t>
        </is>
      </c>
      <c r="U16" s="4" t="n">
        <v>108</v>
      </c>
      <c r="V16" s="2" t="n">
        <v>2.08</v>
      </c>
      <c r="W16" s="4" t="n">
        <v>108</v>
      </c>
      <c r="X16" s="2" t="n">
        <v>1</v>
      </c>
      <c r="Y16" s="5" t="n">
        <v>-1</v>
      </c>
      <c r="Z16" s="7" t="n">
        <v>100</v>
      </c>
      <c r="AA16" s="7">
        <f>Y16*Z16</f>
        <v/>
      </c>
      <c r="AB16" s="6">
        <f>IF(Z16=0,0,AA16/Z16)</f>
        <v/>
      </c>
      <c r="AC16" s="6" t="n"/>
      <c r="AD16" s="2" t="inlineStr">
        <is>
          <t>Loss</t>
        </is>
      </c>
      <c r="AE16" s="6">
        <f>IF((COUNTIF($AD$2:AD16,"Win")+COUNTIF($AD$2:AD16,"Loss"))=0,0,COUNTIF($AD$2:AD16,"Win")/(COUNTIF($AD$2:AD16,"Win")+COUNTIF($AD$2:AD16,"Loss")))</f>
        <v/>
      </c>
      <c r="AF16" s="6">
        <f>SUM($Y$2:Y16)/SUM($X$2:X16)</f>
        <v/>
      </c>
      <c r="AG16" s="5">
        <f>SUM($Y$2:Y16)</f>
        <v/>
      </c>
      <c r="AH16" s="7">
        <f>10000.0+SUM($AA$2:AA16)</f>
        <v/>
      </c>
      <c r="AI16" s="2" t="n">
        <v>2025</v>
      </c>
      <c r="AJ16" s="2" t="inlineStr">
        <is>
          <t>2025-07</t>
        </is>
      </c>
      <c r="AK16" s="2" t="inlineStr">
        <is>
          <t>+100 to +120</t>
        </is>
      </c>
      <c r="AL16" s="2" t="inlineStr">
        <is>
          <t>2025 Validation</t>
        </is>
      </c>
      <c r="AM16" s="6" t="n">
        <v>0.1662873500351425</v>
      </c>
    </row>
    <row r="17">
      <c r="A17" s="2" t="inlineStr">
        <is>
          <t>KPROP-00016</t>
        </is>
      </c>
      <c r="B17" s="3" t="n">
        <v>45844.59070601852</v>
      </c>
      <c r="C17" s="3" t="n">
        <v>45844</v>
      </c>
      <c r="D17" s="2" t="inlineStr">
        <is>
          <t>Joe Ryan</t>
        </is>
      </c>
      <c r="E17" s="2" t="n">
        <v>142</v>
      </c>
      <c r="F17" s="2" t="n">
        <v>139</v>
      </c>
      <c r="G17" s="2" t="inlineStr">
        <is>
          <t>Home</t>
        </is>
      </c>
      <c r="H17" s="2" t="inlineStr">
        <is>
          <t>bovada</t>
        </is>
      </c>
      <c r="I17" s="4" t="n"/>
      <c r="J17" s="4" t="n"/>
      <c r="K17" s="4" t="n">
        <v>120</v>
      </c>
      <c r="L17" s="4" t="n">
        <v>120</v>
      </c>
      <c r="M17" s="5" t="n">
        <v>5.5</v>
      </c>
      <c r="N17" s="5" t="n">
        <v>5.521019626305564</v>
      </c>
      <c r="O17" s="5" t="n">
        <v>5.5</v>
      </c>
      <c r="P17" s="5" t="n">
        <v>-0.02101962630556375</v>
      </c>
      <c r="Q17" s="6" t="n">
        <v>0.1557026622684834</v>
      </c>
      <c r="R17" s="6" t="n">
        <v>0.5253193919402197</v>
      </c>
      <c r="S17" s="6" t="n">
        <v>0.4545454545454545</v>
      </c>
      <c r="T17" s="2" t="inlineStr">
        <is>
          <t>Under</t>
        </is>
      </c>
      <c r="U17" s="4" t="n">
        <v>120</v>
      </c>
      <c r="V17" s="2" t="n">
        <v>2.2</v>
      </c>
      <c r="W17" s="4" t="n">
        <v>120</v>
      </c>
      <c r="X17" s="2" t="n">
        <v>1</v>
      </c>
      <c r="Y17" s="5" t="n">
        <v>-1</v>
      </c>
      <c r="Z17" s="7" t="n">
        <v>100</v>
      </c>
      <c r="AA17" s="7">
        <f>Y17*Z17</f>
        <v/>
      </c>
      <c r="AB17" s="6">
        <f>IF(Z17=0,0,AA17/Z17)</f>
        <v/>
      </c>
      <c r="AC17" s="6" t="n"/>
      <c r="AD17" s="2" t="inlineStr">
        <is>
          <t>Loss</t>
        </is>
      </c>
      <c r="AE17" s="6">
        <f>IF((COUNTIF($AD$2:AD17,"Win")+COUNTIF($AD$2:AD17,"Loss"))=0,0,COUNTIF($AD$2:AD17,"Win")/(COUNTIF($AD$2:AD17,"Win")+COUNTIF($AD$2:AD17,"Loss")))</f>
        <v/>
      </c>
      <c r="AF17" s="6">
        <f>SUM($Y$2:Y17)/SUM($X$2:X17)</f>
        <v/>
      </c>
      <c r="AG17" s="5">
        <f>SUM($Y$2:Y17)</f>
        <v/>
      </c>
      <c r="AH17" s="7">
        <f>10000.0+SUM($AA$2:AA17)</f>
        <v/>
      </c>
      <c r="AI17" s="2" t="n">
        <v>2025</v>
      </c>
      <c r="AJ17" s="2" t="inlineStr">
        <is>
          <t>2025-07</t>
        </is>
      </c>
      <c r="AK17" s="2" t="inlineStr">
        <is>
          <t>+100 to +120</t>
        </is>
      </c>
      <c r="AL17" s="2" t="inlineStr">
        <is>
          <t>2025 Validation</t>
        </is>
      </c>
      <c r="AM17" s="6" t="n">
        <v>0.1297522185570695</v>
      </c>
    </row>
    <row r="18">
      <c r="A18" s="2" t="inlineStr">
        <is>
          <t>KPROP-00017</t>
        </is>
      </c>
      <c r="B18" s="3" t="n">
        <v>45844.56640046297</v>
      </c>
      <c r="C18" s="3" t="n">
        <v>45844</v>
      </c>
      <c r="D18" s="2" t="inlineStr">
        <is>
          <t>Kevin Gausman</t>
        </is>
      </c>
      <c r="E18" s="2" t="n">
        <v>141</v>
      </c>
      <c r="F18" s="2" t="n">
        <v>108</v>
      </c>
      <c r="G18" s="2" t="inlineStr">
        <is>
          <t>Home</t>
        </is>
      </c>
      <c r="H18" s="2" t="inlineStr">
        <is>
          <t>draftkings</t>
        </is>
      </c>
      <c r="I18" s="4" t="n"/>
      <c r="J18" s="4" t="n"/>
      <c r="K18" s="4" t="n">
        <v>-125</v>
      </c>
      <c r="L18" s="4" t="n">
        <v>-125</v>
      </c>
      <c r="M18" s="5" t="n">
        <v>6.5</v>
      </c>
      <c r="N18" s="5" t="n">
        <v>5.701976543432917</v>
      </c>
      <c r="O18" s="5" t="n">
        <v>6.5</v>
      </c>
      <c r="P18" s="5" t="n">
        <v>0.7980234565670834</v>
      </c>
      <c r="Q18" s="6" t="n">
        <v>0.1772925156614057</v>
      </c>
      <c r="R18" s="6" t="n">
        <v>0.6540513975896698</v>
      </c>
      <c r="S18" s="6" t="n">
        <v>0.5443037974683544</v>
      </c>
      <c r="T18" s="2" t="inlineStr">
        <is>
          <t>Under</t>
        </is>
      </c>
      <c r="U18" s="4" t="n">
        <v>-125</v>
      </c>
      <c r="V18" s="2" t="n">
        <v>1.8</v>
      </c>
      <c r="W18" s="4" t="n">
        <v>-125</v>
      </c>
      <c r="X18" s="2" t="n">
        <v>1</v>
      </c>
      <c r="Y18" s="5" t="n">
        <v>-1</v>
      </c>
      <c r="Z18" s="7" t="n">
        <v>100</v>
      </c>
      <c r="AA18" s="7">
        <f>Y18*Z18</f>
        <v/>
      </c>
      <c r="AB18" s="6">
        <f>IF(Z18=0,0,AA18/Z18)</f>
        <v/>
      </c>
      <c r="AC18" s="6" t="n"/>
      <c r="AD18" s="2" t="inlineStr">
        <is>
          <t>Loss</t>
        </is>
      </c>
      <c r="AE18" s="6">
        <f>IF((COUNTIF($AD$2:AD18,"Win")+COUNTIF($AD$2:AD18,"Loss"))=0,0,COUNTIF($AD$2:AD18,"Win")/(COUNTIF($AD$2:AD18,"Win")+COUNTIF($AD$2:AD18,"Loss")))</f>
        <v/>
      </c>
      <c r="AF18" s="6">
        <f>SUM($Y$2:Y18)/SUM($X$2:X18)</f>
        <v/>
      </c>
      <c r="AG18" s="5">
        <f>SUM($Y$2:Y18)</f>
        <v/>
      </c>
      <c r="AH18" s="7">
        <f>10000.0+SUM($AA$2:AA18)</f>
        <v/>
      </c>
      <c r="AI18" s="2" t="n">
        <v>2025</v>
      </c>
      <c r="AJ18" s="2" t="inlineStr">
        <is>
          <t>2025-07</t>
        </is>
      </c>
      <c r="AK18" s="2" t="inlineStr">
        <is>
          <t>-149 to -120</t>
        </is>
      </c>
      <c r="AL18" s="2" t="inlineStr">
        <is>
          <t>2025 Validation</t>
        </is>
      </c>
      <c r="AM18" s="6" t="n">
        <v>0.2216156445767571</v>
      </c>
    </row>
    <row r="19">
      <c r="A19" s="2" t="inlineStr">
        <is>
          <t>KPROP-00018</t>
        </is>
      </c>
      <c r="B19" s="3" t="n">
        <v>45844.75737268518</v>
      </c>
      <c r="C19" s="3" t="n">
        <v>45844</v>
      </c>
      <c r="D19" s="2" t="inlineStr">
        <is>
          <t>Matthew Boyd</t>
        </is>
      </c>
      <c r="E19" s="2" t="n">
        <v>112</v>
      </c>
      <c r="F19" s="2" t="n">
        <v>138</v>
      </c>
      <c r="G19" s="2" t="inlineStr">
        <is>
          <t>Home</t>
        </is>
      </c>
      <c r="H19" s="2" t="inlineStr">
        <is>
          <t>betrivers</t>
        </is>
      </c>
      <c r="I19" s="4" t="n"/>
      <c r="J19" s="4" t="n"/>
      <c r="K19" s="4" t="n">
        <v>132</v>
      </c>
      <c r="L19" s="4" t="n">
        <v>132</v>
      </c>
      <c r="M19" s="5" t="n">
        <v>4.5</v>
      </c>
      <c r="N19" s="5" t="n">
        <v>4.268010108774256</v>
      </c>
      <c r="O19" s="5" t="n">
        <v>4.5</v>
      </c>
      <c r="P19" s="5" t="n">
        <v>0.2319898912257443</v>
      </c>
      <c r="Q19" s="6" t="n">
        <v>0.3377767812936643</v>
      </c>
      <c r="R19" s="6" t="n">
        <v>0.576627922971407</v>
      </c>
      <c r="S19" s="6" t="n">
        <v>0.4004316710212427</v>
      </c>
      <c r="T19" s="2" t="inlineStr">
        <is>
          <t>Under</t>
        </is>
      </c>
      <c r="U19" s="4" t="n">
        <v>132</v>
      </c>
      <c r="V19" s="2" t="n">
        <v>2.32</v>
      </c>
      <c r="W19" s="4" t="n">
        <v>132</v>
      </c>
      <c r="X19" s="2" t="n">
        <v>1</v>
      </c>
      <c r="Y19" s="5" t="n">
        <v>-1</v>
      </c>
      <c r="Z19" s="7" t="n">
        <v>100</v>
      </c>
      <c r="AA19" s="7">
        <f>Y19*Z19</f>
        <v/>
      </c>
      <c r="AB19" s="6">
        <f>IF(Z19=0,0,AA19/Z19)</f>
        <v/>
      </c>
      <c r="AC19" s="6" t="n"/>
      <c r="AD19" s="2" t="inlineStr">
        <is>
          <t>Loss</t>
        </is>
      </c>
      <c r="AE19" s="6">
        <f>IF((COUNTIF($AD$2:AD19,"Win")+COUNTIF($AD$2:AD19,"Loss"))=0,0,COUNTIF($AD$2:AD19,"Win")/(COUNTIF($AD$2:AD19,"Win")+COUNTIF($AD$2:AD19,"Loss")))</f>
        <v/>
      </c>
      <c r="AF19" s="6">
        <f>SUM($Y$2:Y19)/SUM($X$2:X19)</f>
        <v/>
      </c>
      <c r="AG19" s="5">
        <f>SUM($Y$2:Y19)</f>
        <v/>
      </c>
      <c r="AH19" s="7">
        <f>10000.0+SUM($AA$2:AA19)</f>
        <v/>
      </c>
      <c r="AI19" s="2" t="n">
        <v>2025</v>
      </c>
      <c r="AJ19" s="2" t="inlineStr">
        <is>
          <t>2025-07</t>
        </is>
      </c>
      <c r="AK19" s="2" t="inlineStr">
        <is>
          <t>+121 to +150</t>
        </is>
      </c>
      <c r="AL19" s="2" t="inlineStr">
        <is>
          <t>2025 Validation</t>
        </is>
      </c>
      <c r="AM19" s="6" t="n">
        <v>0.2558915009800486</v>
      </c>
    </row>
    <row r="20">
      <c r="A20" s="2" t="inlineStr">
        <is>
          <t>KPROP-00019</t>
        </is>
      </c>
      <c r="B20" s="3" t="n">
        <v>45844.75737268518</v>
      </c>
      <c r="C20" s="3" t="n">
        <v>45844</v>
      </c>
      <c r="D20" s="2" t="inlineStr">
        <is>
          <t>Matthew Boyd</t>
        </is>
      </c>
      <c r="E20" s="2" t="n">
        <v>112</v>
      </c>
      <c r="F20" s="2" t="n">
        <v>138</v>
      </c>
      <c r="G20" s="2" t="inlineStr">
        <is>
          <t>Home</t>
        </is>
      </c>
      <c r="H20" s="2" t="inlineStr">
        <is>
          <t>fanatics</t>
        </is>
      </c>
      <c r="I20" s="4" t="n"/>
      <c r="J20" s="4" t="n"/>
      <c r="K20" s="4" t="n">
        <v>-140</v>
      </c>
      <c r="L20" s="4" t="n">
        <v>-140</v>
      </c>
      <c r="M20" s="5" t="n">
        <v>5.5</v>
      </c>
      <c r="N20" s="5" t="n">
        <v>4.268010108774256</v>
      </c>
      <c r="O20" s="5" t="n">
        <v>5.5</v>
      </c>
      <c r="P20" s="5" t="n">
        <v>1.231989891225744</v>
      </c>
      <c r="Q20" s="6" t="n">
        <v>0.2719416031156179</v>
      </c>
      <c r="R20" s="6" t="n">
        <v>0.741965935150777</v>
      </c>
      <c r="S20" s="6" t="n">
        <v>0.5675675675675677</v>
      </c>
      <c r="T20" s="2" t="inlineStr">
        <is>
          <t>Under</t>
        </is>
      </c>
      <c r="U20" s="4" t="n">
        <v>-140</v>
      </c>
      <c r="V20" s="2" t="n">
        <v>1.714285714285714</v>
      </c>
      <c r="W20" s="4" t="n">
        <v>-140</v>
      </c>
      <c r="X20" s="2" t="n">
        <v>1</v>
      </c>
      <c r="Y20" s="5" t="n">
        <v>-1</v>
      </c>
      <c r="Z20" s="7" t="n">
        <v>100</v>
      </c>
      <c r="AA20" s="7">
        <f>Y20*Z20</f>
        <v/>
      </c>
      <c r="AB20" s="6">
        <f>IF(Z20=0,0,AA20/Z20)</f>
        <v/>
      </c>
      <c r="AC20" s="6" t="n"/>
      <c r="AD20" s="2" t="inlineStr">
        <is>
          <t>Loss</t>
        </is>
      </c>
      <c r="AE20" s="6">
        <f>IF((COUNTIF($AD$2:AD20,"Win")+COUNTIF($AD$2:AD20,"Loss"))=0,0,COUNTIF($AD$2:AD20,"Win")/(COUNTIF($AD$2:AD20,"Win")+COUNTIF($AD$2:AD20,"Loss")))</f>
        <v/>
      </c>
      <c r="AF20" s="6">
        <f>SUM($Y$2:Y20)/SUM($X$2:X20)</f>
        <v/>
      </c>
      <c r="AG20" s="5">
        <f>SUM($Y$2:Y20)</f>
        <v/>
      </c>
      <c r="AH20" s="7">
        <f>10000.0+SUM($AA$2:AA20)</f>
        <v/>
      </c>
      <c r="AI20" s="2" t="n">
        <v>2025</v>
      </c>
      <c r="AJ20" s="2" t="inlineStr">
        <is>
          <t>2025-07</t>
        </is>
      </c>
      <c r="AK20" s="2" t="inlineStr">
        <is>
          <t>-149 to -120</t>
        </is>
      </c>
      <c r="AL20" s="2" t="inlineStr">
        <is>
          <t>2025 Validation</t>
        </is>
      </c>
      <c r="AM20" s="6" t="n">
        <v>0.380718244361865</v>
      </c>
    </row>
    <row r="21">
      <c r="A21" s="2" t="inlineStr">
        <is>
          <t>KPROP-00020</t>
        </is>
      </c>
      <c r="B21" s="3" t="n">
        <v>45845.79905092593</v>
      </c>
      <c r="C21" s="3" t="n">
        <v>45845</v>
      </c>
      <c r="D21" s="2" t="inlineStr">
        <is>
          <t>Brady Singer</t>
        </is>
      </c>
      <c r="E21" s="2" t="n">
        <v>113</v>
      </c>
      <c r="F21" s="2" t="n">
        <v>146</v>
      </c>
      <c r="G21" s="2" t="inlineStr">
        <is>
          <t>Home</t>
        </is>
      </c>
      <c r="H21" s="2" t="inlineStr">
        <is>
          <t>bovada</t>
        </is>
      </c>
      <c r="I21" s="4" t="n"/>
      <c r="J21" s="4" t="n"/>
      <c r="K21" s="4" t="n">
        <v>120</v>
      </c>
      <c r="L21" s="4" t="n">
        <v>120</v>
      </c>
      <c r="M21" s="5" t="n">
        <v>4.5</v>
      </c>
      <c r="N21" s="5" t="n">
        <v>4.382038664619885</v>
      </c>
      <c r="O21" s="5" t="n">
        <v>4.5</v>
      </c>
      <c r="P21" s="5" t="n">
        <v>0.117961335380115</v>
      </c>
      <c r="Q21" s="6" t="n">
        <v>0.2201869208449306</v>
      </c>
      <c r="R21" s="6" t="n">
        <v>0.5546304185658775</v>
      </c>
      <c r="S21" s="6" t="n">
        <v>0.4409566517189835</v>
      </c>
      <c r="T21" s="2" t="inlineStr">
        <is>
          <t>Under</t>
        </is>
      </c>
      <c r="U21" s="4" t="n">
        <v>120</v>
      </c>
      <c r="V21" s="2" t="n">
        <v>2.2</v>
      </c>
      <c r="W21" s="4" t="n">
        <v>120</v>
      </c>
      <c r="X21" s="2" t="n">
        <v>1</v>
      </c>
      <c r="Y21" s="5" t="n">
        <v>1.2</v>
      </c>
      <c r="Z21" s="7" t="n">
        <v>100</v>
      </c>
      <c r="AA21" s="7">
        <f>Y21*Z21</f>
        <v/>
      </c>
      <c r="AB21" s="6">
        <f>IF(Z21=0,0,AA21/Z21)</f>
        <v/>
      </c>
      <c r="AC21" s="6" t="n"/>
      <c r="AD21" s="2" t="inlineStr">
        <is>
          <t>Win</t>
        </is>
      </c>
      <c r="AE21" s="6">
        <f>IF((COUNTIF($AD$2:AD21,"Win")+COUNTIF($AD$2:AD21,"Loss"))=0,0,COUNTIF($AD$2:AD21,"Win")/(COUNTIF($AD$2:AD21,"Win")+COUNTIF($AD$2:AD21,"Loss")))</f>
        <v/>
      </c>
      <c r="AF21" s="6">
        <f>SUM($Y$2:Y21)/SUM($X$2:X21)</f>
        <v/>
      </c>
      <c r="AG21" s="5">
        <f>SUM($Y$2:Y21)</f>
        <v/>
      </c>
      <c r="AH21" s="7">
        <f>10000.0+SUM($AA$2:AA21)</f>
        <v/>
      </c>
      <c r="AI21" s="2" t="n">
        <v>2025</v>
      </c>
      <c r="AJ21" s="2" t="inlineStr">
        <is>
          <t>2025-07</t>
        </is>
      </c>
      <c r="AK21" s="2" t="inlineStr">
        <is>
          <t>+100 to +120</t>
        </is>
      </c>
      <c r="AL21" s="2" t="inlineStr">
        <is>
          <t>2025 Validation</t>
        </is>
      </c>
      <c r="AM21" s="6" t="n">
        <v>0.1834891007041087</v>
      </c>
    </row>
    <row r="22">
      <c r="A22" s="2" t="inlineStr">
        <is>
          <t>KPROP-00021</t>
        </is>
      </c>
      <c r="B22" s="3" t="n">
        <v>45845.81640046297</v>
      </c>
      <c r="C22" s="3" t="n">
        <v>45845</v>
      </c>
      <c r="D22" s="2" t="inlineStr">
        <is>
          <t>Freddy Peralta</t>
        </is>
      </c>
      <c r="E22" s="2" t="n">
        <v>158</v>
      </c>
      <c r="F22" s="2" t="n">
        <v>119</v>
      </c>
      <c r="G22" s="2" t="inlineStr">
        <is>
          <t>Home</t>
        </is>
      </c>
      <c r="H22" s="2" t="inlineStr">
        <is>
          <t>betmgm</t>
        </is>
      </c>
      <c r="I22" s="4" t="n"/>
      <c r="J22" s="4" t="n"/>
      <c r="K22" s="4" t="n">
        <v>120</v>
      </c>
      <c r="L22" s="4" t="n">
        <v>120</v>
      </c>
      <c r="M22" s="5" t="n">
        <v>5.5</v>
      </c>
      <c r="N22" s="5" t="n">
        <v>5.503488087928107</v>
      </c>
      <c r="O22" s="5" t="n">
        <v>5.5</v>
      </c>
      <c r="P22" s="5" t="n">
        <v>-0.003488087928106509</v>
      </c>
      <c r="Q22" s="6" t="n">
        <v>0.1623060258689589</v>
      </c>
      <c r="R22" s="6" t="n">
        <v>0.5283209208495268</v>
      </c>
      <c r="S22" s="6" t="n">
        <v>0.4425113464447806</v>
      </c>
      <c r="T22" s="2" t="inlineStr">
        <is>
          <t>Under</t>
        </is>
      </c>
      <c r="U22" s="4" t="n">
        <v>120</v>
      </c>
      <c r="V22" s="2" t="n">
        <v>2.2</v>
      </c>
      <c r="W22" s="4" t="n">
        <v>120</v>
      </c>
      <c r="X22" s="2" t="n">
        <v>1</v>
      </c>
      <c r="Y22" s="5" t="n">
        <v>-1</v>
      </c>
      <c r="Z22" s="7" t="n">
        <v>100</v>
      </c>
      <c r="AA22" s="7">
        <f>Y22*Z22</f>
        <v/>
      </c>
      <c r="AB22" s="6">
        <f>IF(Z22=0,0,AA22/Z22)</f>
        <v/>
      </c>
      <c r="AC22" s="6" t="n"/>
      <c r="AD22" s="2" t="inlineStr">
        <is>
          <t>Loss</t>
        </is>
      </c>
      <c r="AE22" s="6">
        <f>IF((COUNTIF($AD$2:AD22,"Win")+COUNTIF($AD$2:AD22,"Loss"))=0,0,COUNTIF($AD$2:AD22,"Win")/(COUNTIF($AD$2:AD22,"Win")+COUNTIF($AD$2:AD22,"Loss")))</f>
        <v/>
      </c>
      <c r="AF22" s="6">
        <f>SUM($Y$2:Y22)/SUM($X$2:X22)</f>
        <v/>
      </c>
      <c r="AG22" s="5">
        <f>SUM($Y$2:Y22)</f>
        <v/>
      </c>
      <c r="AH22" s="7">
        <f>10000.0+SUM($AA$2:AA22)</f>
        <v/>
      </c>
      <c r="AI22" s="2" t="n">
        <v>2025</v>
      </c>
      <c r="AJ22" s="2" t="inlineStr">
        <is>
          <t>2025-07</t>
        </is>
      </c>
      <c r="AK22" s="2" t="inlineStr">
        <is>
          <t>+100 to +120</t>
        </is>
      </c>
      <c r="AL22" s="2" t="inlineStr">
        <is>
          <t>2025 Validation</t>
        </is>
      </c>
      <c r="AM22" s="6" t="n">
        <v>0.1352550215574657</v>
      </c>
    </row>
    <row r="23">
      <c r="A23" s="2" t="inlineStr">
        <is>
          <t>KPROP-00022</t>
        </is>
      </c>
      <c r="B23" s="3" t="n">
        <v>45845.81640046297</v>
      </c>
      <c r="C23" s="3" t="n">
        <v>45845</v>
      </c>
      <c r="D23" s="2" t="inlineStr">
        <is>
          <t>Noah Cameron</t>
        </is>
      </c>
      <c r="E23" s="2" t="n">
        <v>118</v>
      </c>
      <c r="F23" s="2" t="n">
        <v>134</v>
      </c>
      <c r="G23" s="2" t="inlineStr">
        <is>
          <t>Home</t>
        </is>
      </c>
      <c r="H23" s="2" t="inlineStr">
        <is>
          <t>bovada</t>
        </is>
      </c>
      <c r="I23" s="4" t="n"/>
      <c r="J23" s="4" t="n"/>
      <c r="K23" s="4" t="n">
        <v>110</v>
      </c>
      <c r="L23" s="4" t="n">
        <v>110</v>
      </c>
      <c r="M23" s="5" t="n">
        <v>4.5</v>
      </c>
      <c r="N23" s="5" t="n">
        <v>4.428737477472014</v>
      </c>
      <c r="O23" s="5" t="n">
        <v>4.5</v>
      </c>
      <c r="P23" s="5" t="n">
        <v>0.07126252252798615</v>
      </c>
      <c r="Q23" s="6" t="n">
        <v>0.1459304057440447</v>
      </c>
      <c r="R23" s="6" t="n">
        <v>0.5456811455924022</v>
      </c>
      <c r="S23" s="6" t="n">
        <v>0.4642409033877039</v>
      </c>
      <c r="T23" s="2" t="inlineStr">
        <is>
          <t>Under</t>
        </is>
      </c>
      <c r="U23" s="4" t="n">
        <v>110</v>
      </c>
      <c r="V23" s="2" t="n">
        <v>2.1</v>
      </c>
      <c r="W23" s="4" t="n">
        <v>110</v>
      </c>
      <c r="X23" s="2" t="n">
        <v>1</v>
      </c>
      <c r="Y23" s="5" t="n">
        <v>-1</v>
      </c>
      <c r="Z23" s="7" t="n">
        <v>100</v>
      </c>
      <c r="AA23" s="7">
        <f>Y23*Z23</f>
        <v/>
      </c>
      <c r="AB23" s="6">
        <f>IF(Z23=0,0,AA23/Z23)</f>
        <v/>
      </c>
      <c r="AC23" s="6" t="n"/>
      <c r="AD23" s="2" t="inlineStr">
        <is>
          <t>Loss</t>
        </is>
      </c>
      <c r="AE23" s="6">
        <f>IF((COUNTIF($AD$2:AD23,"Win")+COUNTIF($AD$2:AD23,"Loss"))=0,0,COUNTIF($AD$2:AD23,"Win")/(COUNTIF($AD$2:AD23,"Win")+COUNTIF($AD$2:AD23,"Loss")))</f>
        <v/>
      </c>
      <c r="AF23" s="6">
        <f>SUM($Y$2:Y23)/SUM($X$2:X23)</f>
        <v/>
      </c>
      <c r="AG23" s="5">
        <f>SUM($Y$2:Y23)</f>
        <v/>
      </c>
      <c r="AH23" s="7">
        <f>10000.0+SUM($AA$2:AA23)</f>
        <v/>
      </c>
      <c r="AI23" s="2" t="n">
        <v>2025</v>
      </c>
      <c r="AJ23" s="2" t="inlineStr">
        <is>
          <t>2025-07</t>
        </is>
      </c>
      <c r="AK23" s="2" t="inlineStr">
        <is>
          <t>+100 to +120</t>
        </is>
      </c>
      <c r="AL23" s="2" t="inlineStr">
        <is>
          <t>2025 Validation</t>
        </is>
      </c>
      <c r="AM23" s="6" t="n">
        <v>0.1326640052218588</v>
      </c>
    </row>
    <row r="24">
      <c r="A24" s="2" t="inlineStr">
        <is>
          <t>KPROP-00023</t>
        </is>
      </c>
      <c r="B24" s="3" t="n">
        <v>45845.79905092593</v>
      </c>
      <c r="C24" s="3" t="n">
        <v>45845</v>
      </c>
      <c r="D24" s="2" t="inlineStr">
        <is>
          <t>Richard Fitts</t>
        </is>
      </c>
      <c r="E24" s="2" t="n">
        <v>111</v>
      </c>
      <c r="F24" s="2" t="n">
        <v>115</v>
      </c>
      <c r="G24" s="2" t="inlineStr">
        <is>
          <t>Home</t>
        </is>
      </c>
      <c r="H24" s="2" t="inlineStr">
        <is>
          <t>bovada</t>
        </is>
      </c>
      <c r="I24" s="4" t="n"/>
      <c r="J24" s="4" t="n"/>
      <c r="K24" s="4" t="n">
        <v>105</v>
      </c>
      <c r="L24" s="4" t="n">
        <v>105</v>
      </c>
      <c r="M24" s="5" t="n">
        <v>4.5</v>
      </c>
      <c r="N24" s="5" t="n">
        <v>4.281809700861622</v>
      </c>
      <c r="O24" s="5" t="n">
        <v>4.5</v>
      </c>
      <c r="P24" s="5" t="n">
        <v>0.218190299138378</v>
      </c>
      <c r="Q24" s="6" t="n">
        <v>0.1766101983288509</v>
      </c>
      <c r="R24" s="6" t="n">
        <v>0.5739561943067566</v>
      </c>
      <c r="S24" s="6" t="n">
        <v>0.4740160904544466</v>
      </c>
      <c r="T24" s="2" t="inlineStr">
        <is>
          <t>Under</t>
        </is>
      </c>
      <c r="U24" s="4" t="n">
        <v>105</v>
      </c>
      <c r="V24" s="2" t="n">
        <v>2.05</v>
      </c>
      <c r="W24" s="4" t="n">
        <v>105</v>
      </c>
      <c r="X24" s="2" t="n">
        <v>1</v>
      </c>
      <c r="Y24" s="5" t="n">
        <v>-1</v>
      </c>
      <c r="Z24" s="7" t="n">
        <v>100</v>
      </c>
      <c r="AA24" s="7">
        <f>Y24*Z24</f>
        <v/>
      </c>
      <c r="AB24" s="6">
        <f>IF(Z24=0,0,AA24/Z24)</f>
        <v/>
      </c>
      <c r="AC24" s="6" t="n"/>
      <c r="AD24" s="2" t="inlineStr">
        <is>
          <t>Loss</t>
        </is>
      </c>
      <c r="AE24" s="6">
        <f>IF((COUNTIF($AD$2:AD24,"Win")+COUNTIF($AD$2:AD24,"Loss"))=0,0,COUNTIF($AD$2:AD24,"Win")/(COUNTIF($AD$2:AD24,"Win")+COUNTIF($AD$2:AD24,"Loss")))</f>
        <v/>
      </c>
      <c r="AF24" s="6">
        <f>SUM($Y$2:Y24)/SUM($X$2:X24)</f>
        <v/>
      </c>
      <c r="AG24" s="5">
        <f>SUM($Y$2:Y24)</f>
        <v/>
      </c>
      <c r="AH24" s="7">
        <f>10000.0+SUM($AA$2:AA24)</f>
        <v/>
      </c>
      <c r="AI24" s="2" t="n">
        <v>2025</v>
      </c>
      <c r="AJ24" s="2" t="inlineStr">
        <is>
          <t>2025-07</t>
        </is>
      </c>
      <c r="AK24" s="2" t="inlineStr">
        <is>
          <t>+100 to +120</t>
        </is>
      </c>
      <c r="AL24" s="2" t="inlineStr">
        <is>
          <t>2025 Validation</t>
        </is>
      </c>
      <c r="AM24" s="6" t="n">
        <v>0.16820018888462</v>
      </c>
    </row>
    <row r="25">
      <c r="A25" s="2" t="inlineStr">
        <is>
          <t>KPROP-00024</t>
        </is>
      </c>
      <c r="B25" s="3" t="n">
        <v>45845.81640046297</v>
      </c>
      <c r="C25" s="3" t="n">
        <v>45845</v>
      </c>
      <c r="D25" s="2" t="inlineStr">
        <is>
          <t>Yoshinobu Yamamoto</t>
        </is>
      </c>
      <c r="E25" s="2" t="n">
        <v>119</v>
      </c>
      <c r="F25" s="2" t="n">
        <v>158</v>
      </c>
      <c r="G25" s="2" t="inlineStr">
        <is>
          <t>Away</t>
        </is>
      </c>
      <c r="H25" s="2" t="inlineStr">
        <is>
          <t>betrivers</t>
        </is>
      </c>
      <c r="I25" s="4" t="n"/>
      <c r="J25" s="4" t="n"/>
      <c r="K25" s="4" t="n">
        <v>123</v>
      </c>
      <c r="L25" s="4" t="n">
        <v>123</v>
      </c>
      <c r="M25" s="5" t="n">
        <v>5.5</v>
      </c>
      <c r="N25" s="5" t="n">
        <v>5.320093309730795</v>
      </c>
      <c r="O25" s="5" t="n">
        <v>5.5</v>
      </c>
      <c r="P25" s="5" t="n">
        <v>0.1799066902692052</v>
      </c>
      <c r="Q25" s="6" t="n">
        <v>0.2487555914212876</v>
      </c>
      <c r="R25" s="6" t="n">
        <v>0.5599800858391424</v>
      </c>
      <c r="S25" s="6" t="n">
        <v>0.4175724496019769</v>
      </c>
      <c r="T25" s="2" t="inlineStr">
        <is>
          <t>Under</t>
        </is>
      </c>
      <c r="U25" s="4" t="n">
        <v>123</v>
      </c>
      <c r="V25" s="2" t="n">
        <v>2.23</v>
      </c>
      <c r="W25" s="4" t="n">
        <v>123</v>
      </c>
      <c r="X25" s="2" t="n">
        <v>1</v>
      </c>
      <c r="Y25" s="5" t="n">
        <v>1.23</v>
      </c>
      <c r="Z25" s="7" t="n">
        <v>100</v>
      </c>
      <c r="AA25" s="7">
        <f>Y25*Z25</f>
        <v/>
      </c>
      <c r="AB25" s="6">
        <f>IF(Z25=0,0,AA25/Z25)</f>
        <v/>
      </c>
      <c r="AC25" s="6" t="n"/>
      <c r="AD25" s="2" t="inlineStr">
        <is>
          <t>Win</t>
        </is>
      </c>
      <c r="AE25" s="6">
        <f>IF((COUNTIF($AD$2:AD25,"Win")+COUNTIF($AD$2:AD25,"Loss"))=0,0,COUNTIF($AD$2:AD25,"Win")/(COUNTIF($AD$2:AD25,"Win")+COUNTIF($AD$2:AD25,"Loss")))</f>
        <v/>
      </c>
      <c r="AF25" s="6">
        <f>SUM($Y$2:Y25)/SUM($X$2:X25)</f>
        <v/>
      </c>
      <c r="AG25" s="5">
        <f>SUM($Y$2:Y25)</f>
        <v/>
      </c>
      <c r="AH25" s="7">
        <f>10000.0+SUM($AA$2:AA25)</f>
        <v/>
      </c>
      <c r="AI25" s="2" t="n">
        <v>2025</v>
      </c>
      <c r="AJ25" s="2" t="inlineStr">
        <is>
          <t>2025-07</t>
        </is>
      </c>
      <c r="AK25" s="2" t="inlineStr">
        <is>
          <t>+121 to +150</t>
        </is>
      </c>
      <c r="AL25" s="2" t="inlineStr">
        <is>
          <t>2025 Validation</t>
        </is>
      </c>
      <c r="AM25" s="6" t="n">
        <v>0.2022403182286891</v>
      </c>
    </row>
    <row r="26">
      <c r="A26" s="2" t="inlineStr">
        <is>
          <t>KPROP-00025</t>
        </is>
      </c>
      <c r="B26" s="3" t="n">
        <v>45845.81640046297</v>
      </c>
      <c r="C26" s="3" t="n">
        <v>45845</v>
      </c>
      <c r="D26" s="2" t="inlineStr">
        <is>
          <t>Yoshinobu Yamamoto</t>
        </is>
      </c>
      <c r="E26" s="2" t="n">
        <v>119</v>
      </c>
      <c r="F26" s="2" t="n">
        <v>158</v>
      </c>
      <c r="G26" s="2" t="inlineStr">
        <is>
          <t>Away</t>
        </is>
      </c>
      <c r="H26" s="2" t="inlineStr">
        <is>
          <t>fanduel</t>
        </is>
      </c>
      <c r="I26" s="4" t="n"/>
      <c r="J26" s="4" t="n"/>
      <c r="K26" s="4" t="n">
        <v>-158</v>
      </c>
      <c r="L26" s="4" t="n">
        <v>-158</v>
      </c>
      <c r="M26" s="5" t="n">
        <v>6.5</v>
      </c>
      <c r="N26" s="5" t="n">
        <v>5.320093309730795</v>
      </c>
      <c r="O26" s="5" t="n">
        <v>6.5</v>
      </c>
      <c r="P26" s="5" t="n">
        <v>1.179906690269205</v>
      </c>
      <c r="Q26" s="6" t="n">
        <v>0.1659676312586879</v>
      </c>
      <c r="R26" s="6" t="n">
        <v>0.7140421927863282</v>
      </c>
      <c r="S26" s="6" t="n">
        <v>0.5794621026894865</v>
      </c>
      <c r="T26" s="2" t="inlineStr">
        <is>
          <t>Under</t>
        </is>
      </c>
      <c r="U26" s="4" t="n">
        <v>-158</v>
      </c>
      <c r="V26" s="2" t="n">
        <v>1.632911392405063</v>
      </c>
      <c r="W26" s="4" t="n">
        <v>-158</v>
      </c>
      <c r="X26" s="2" t="n">
        <v>1</v>
      </c>
      <c r="Y26" s="5" t="n">
        <v>0.6329113924050633</v>
      </c>
      <c r="Z26" s="7" t="n">
        <v>100</v>
      </c>
      <c r="AA26" s="7">
        <f>Y26*Z26</f>
        <v/>
      </c>
      <c r="AB26" s="6">
        <f>IF(Z26=0,0,AA26/Z26)</f>
        <v/>
      </c>
      <c r="AC26" s="6" t="n"/>
      <c r="AD26" s="2" t="inlineStr">
        <is>
          <t>Win</t>
        </is>
      </c>
      <c r="AE26" s="6">
        <f>IF((COUNTIF($AD$2:AD26,"Win")+COUNTIF($AD$2:AD26,"Loss"))=0,0,COUNTIF($AD$2:AD26,"Win")/(COUNTIF($AD$2:AD26,"Win")+COUNTIF($AD$2:AD26,"Loss")))</f>
        <v/>
      </c>
      <c r="AF26" s="6">
        <f>SUM($Y$2:Y26)/SUM($X$2:X26)</f>
        <v/>
      </c>
      <c r="AG26" s="5">
        <f>SUM($Y$2:Y26)</f>
        <v/>
      </c>
      <c r="AH26" s="7">
        <f>10000.0+SUM($AA$2:AA26)</f>
        <v/>
      </c>
      <c r="AI26" s="2" t="n">
        <v>2025</v>
      </c>
      <c r="AJ26" s="2" t="inlineStr">
        <is>
          <t>2025-07</t>
        </is>
      </c>
      <c r="AK26" s="2" t="inlineStr">
        <is>
          <t>&lt;= -150</t>
        </is>
      </c>
      <c r="AL26" s="2" t="inlineStr">
        <is>
          <t>2025 Validation</t>
        </is>
      </c>
      <c r="AM26" s="6" t="n">
        <v>0.2622288573887268</v>
      </c>
    </row>
    <row r="27">
      <c r="A27" s="2" t="inlineStr">
        <is>
          <t>KPROP-00026</t>
        </is>
      </c>
      <c r="B27" s="3" t="n">
        <v>45846.81641203703</v>
      </c>
      <c r="C27" s="3" t="n">
        <v>45846</v>
      </c>
      <c r="D27" s="2" t="inlineStr">
        <is>
          <t>Clayton Kershaw</t>
        </is>
      </c>
      <c r="E27" s="2" t="n">
        <v>119</v>
      </c>
      <c r="F27" s="2" t="n">
        <v>158</v>
      </c>
      <c r="G27" s="2" t="inlineStr">
        <is>
          <t>Away</t>
        </is>
      </c>
      <c r="H27" s="2" t="inlineStr">
        <is>
          <t>fanduel</t>
        </is>
      </c>
      <c r="I27" s="4" t="n"/>
      <c r="J27" s="4" t="n"/>
      <c r="K27" s="4" t="n">
        <v>122</v>
      </c>
      <c r="L27" s="4" t="n">
        <v>122</v>
      </c>
      <c r="M27" s="5" t="n">
        <v>3.5</v>
      </c>
      <c r="N27" s="5" t="n">
        <v>3.621448066112058</v>
      </c>
      <c r="O27" s="5" t="n">
        <v>3.5</v>
      </c>
      <c r="P27" s="5" t="n">
        <v>-0.1214480661120576</v>
      </c>
      <c r="Q27" s="6" t="n">
        <v>0.1336813423571345</v>
      </c>
      <c r="R27" s="6" t="n">
        <v>0.5106672713320426</v>
      </c>
      <c r="S27" s="6" t="n">
        <v>0.4357298474945534</v>
      </c>
      <c r="T27" s="2" t="inlineStr">
        <is>
          <t>Under</t>
        </is>
      </c>
      <c r="U27" s="4" t="n">
        <v>122</v>
      </c>
      <c r="V27" s="2" t="n">
        <v>2.22</v>
      </c>
      <c r="W27" s="4" t="n">
        <v>122</v>
      </c>
      <c r="X27" s="2" t="n">
        <v>1</v>
      </c>
      <c r="Y27" s="5" t="n">
        <v>1.22</v>
      </c>
      <c r="Z27" s="7" t="n">
        <v>100</v>
      </c>
      <c r="AA27" s="7">
        <f>Y27*Z27</f>
        <v/>
      </c>
      <c r="AB27" s="6">
        <f>IF(Z27=0,0,AA27/Z27)</f>
        <v/>
      </c>
      <c r="AC27" s="6" t="n"/>
      <c r="AD27" s="2" t="inlineStr">
        <is>
          <t>Win</t>
        </is>
      </c>
      <c r="AE27" s="6">
        <f>IF((COUNTIF($AD$2:AD27,"Win")+COUNTIF($AD$2:AD27,"Loss"))=0,0,COUNTIF($AD$2:AD27,"Win")/(COUNTIF($AD$2:AD27,"Win")+COUNTIF($AD$2:AD27,"Loss")))</f>
        <v/>
      </c>
      <c r="AF27" s="6">
        <f>SUM($Y$2:Y27)/SUM($X$2:X27)</f>
        <v/>
      </c>
      <c r="AG27" s="5">
        <f>SUM($Y$2:Y27)</f>
        <v/>
      </c>
      <c r="AH27" s="7">
        <f>10000.0+SUM($AA$2:AA27)</f>
        <v/>
      </c>
      <c r="AI27" s="2" t="n">
        <v>2025</v>
      </c>
      <c r="AJ27" s="2" t="inlineStr">
        <is>
          <t>2025-07</t>
        </is>
      </c>
      <c r="AK27" s="2" t="inlineStr">
        <is>
          <t>+121 to +150</t>
        </is>
      </c>
      <c r="AL27" s="2" t="inlineStr">
        <is>
          <t>2025 Validation</t>
        </is>
      </c>
      <c r="AM27" s="6" t="n">
        <v>0.1095748707845365</v>
      </c>
    </row>
    <row r="28">
      <c r="A28" s="2" t="inlineStr">
        <is>
          <t>KPROP-00027</t>
        </is>
      </c>
      <c r="B28" s="3" t="n">
        <v>45846.81641203703</v>
      </c>
      <c r="C28" s="3" t="n">
        <v>45846</v>
      </c>
      <c r="D28" s="2" t="inlineStr">
        <is>
          <t>Clayton Kershaw</t>
        </is>
      </c>
      <c r="E28" s="2" t="n">
        <v>119</v>
      </c>
      <c r="F28" s="2" t="n">
        <v>158</v>
      </c>
      <c r="G28" s="2" t="inlineStr">
        <is>
          <t>Away</t>
        </is>
      </c>
      <c r="H28" s="2" t="inlineStr">
        <is>
          <t>bovada</t>
        </is>
      </c>
      <c r="I28" s="4" t="n"/>
      <c r="J28" s="4" t="n"/>
      <c r="K28" s="4" t="n">
        <v>-185</v>
      </c>
      <c r="L28" s="4" t="n">
        <v>-185</v>
      </c>
      <c r="M28" s="5" t="n">
        <v>4.5</v>
      </c>
      <c r="N28" s="5" t="n">
        <v>3.621448066112058</v>
      </c>
      <c r="O28" s="5" t="n">
        <v>4.5</v>
      </c>
      <c r="P28" s="5" t="n">
        <v>0.8785519338879424</v>
      </c>
      <c r="Q28" s="6" t="n">
        <v>0.08197139081560045</v>
      </c>
      <c r="R28" s="6" t="n">
        <v>0.7023323063188985</v>
      </c>
      <c r="S28" s="6" t="n">
        <v>0.6090534979423868</v>
      </c>
      <c r="T28" s="2" t="inlineStr">
        <is>
          <t>Under</t>
        </is>
      </c>
      <c r="U28" s="4" t="n">
        <v>-185</v>
      </c>
      <c r="V28" s="2" t="n">
        <v>1.540540540540541</v>
      </c>
      <c r="W28" s="4" t="n">
        <v>-185</v>
      </c>
      <c r="X28" s="2" t="n">
        <v>1</v>
      </c>
      <c r="Y28" s="5" t="n">
        <v>0.5405405405405406</v>
      </c>
      <c r="Z28" s="7" t="n">
        <v>100</v>
      </c>
      <c r="AA28" s="7">
        <f>Y28*Z28</f>
        <v/>
      </c>
      <c r="AB28" s="6">
        <f>IF(Z28=0,0,AA28/Z28)</f>
        <v/>
      </c>
      <c r="AC28" s="6" t="n"/>
      <c r="AD28" s="2" t="inlineStr">
        <is>
          <t>Win</t>
        </is>
      </c>
      <c r="AE28" s="6">
        <f>IF((COUNTIF($AD$2:AD28,"Win")+COUNTIF($AD$2:AD28,"Loss"))=0,0,COUNTIF($AD$2:AD28,"Win")/(COUNTIF($AD$2:AD28,"Win")+COUNTIF($AD$2:AD28,"Loss")))</f>
        <v/>
      </c>
      <c r="AF28" s="6">
        <f>SUM($Y$2:Y28)/SUM($X$2:X28)</f>
        <v/>
      </c>
      <c r="AG28" s="5">
        <f>SUM($Y$2:Y28)</f>
        <v/>
      </c>
      <c r="AH28" s="7">
        <f>10000.0+SUM($AA$2:AA28)</f>
        <v/>
      </c>
      <c r="AI28" s="2" t="n">
        <v>2025</v>
      </c>
      <c r="AJ28" s="2" t="inlineStr">
        <is>
          <t>2025-07</t>
        </is>
      </c>
      <c r="AK28" s="2" t="inlineStr">
        <is>
          <t>&lt;= -150</t>
        </is>
      </c>
      <c r="AL28" s="2" t="inlineStr">
        <is>
          <t>2025 Validation</t>
        </is>
      </c>
      <c r="AM28" s="6" t="n">
        <v>0.1516470730088608</v>
      </c>
    </row>
    <row r="29">
      <c r="A29" s="2" t="inlineStr">
        <is>
          <t>KPROP-00028</t>
        </is>
      </c>
      <c r="B29" s="3" t="n">
        <v>45846.77820601852</v>
      </c>
      <c r="C29" s="3" t="n">
        <v>45846</v>
      </c>
      <c r="D29" s="2" t="inlineStr">
        <is>
          <t>Jack Flaherty</t>
        </is>
      </c>
      <c r="E29" s="2" t="n">
        <v>116</v>
      </c>
      <c r="F29" s="2" t="n">
        <v>139</v>
      </c>
      <c r="G29" s="2" t="inlineStr">
        <is>
          <t>Home</t>
        </is>
      </c>
      <c r="H29" s="2" t="inlineStr">
        <is>
          <t>draftkings</t>
        </is>
      </c>
      <c r="I29" s="4" t="n"/>
      <c r="J29" s="4" t="n"/>
      <c r="K29" s="4" t="n">
        <v>125</v>
      </c>
      <c r="L29" s="4" t="n">
        <v>125</v>
      </c>
      <c r="M29" s="5" t="n">
        <v>5.5</v>
      </c>
      <c r="N29" s="5" t="n">
        <v>5.133919309083316</v>
      </c>
      <c r="O29" s="5" t="n">
        <v>5.5</v>
      </c>
      <c r="P29" s="5" t="n">
        <v>0.366080690916684</v>
      </c>
      <c r="Q29" s="6" t="n">
        <v>0.3330710924741483</v>
      </c>
      <c r="R29" s="6" t="n">
        <v>0.5924760410996215</v>
      </c>
      <c r="S29" s="6" t="n">
        <v>0.4346629986244842</v>
      </c>
      <c r="T29" s="2" t="inlineStr">
        <is>
          <t>Under</t>
        </is>
      </c>
      <c r="U29" s="4" t="n">
        <v>125</v>
      </c>
      <c r="V29" s="2" t="n">
        <v>2.25</v>
      </c>
      <c r="W29" s="4" t="n">
        <v>125</v>
      </c>
      <c r="X29" s="2" t="n">
        <v>1</v>
      </c>
      <c r="Y29" s="5" t="n">
        <v>-1</v>
      </c>
      <c r="Z29" s="7" t="n">
        <v>100</v>
      </c>
      <c r="AA29" s="7">
        <f>Y29*Z29</f>
        <v/>
      </c>
      <c r="AB29" s="6">
        <f>IF(Z29=0,0,AA29/Z29)</f>
        <v/>
      </c>
      <c r="AC29" s="6" t="n"/>
      <c r="AD29" s="2" t="inlineStr">
        <is>
          <t>Loss</t>
        </is>
      </c>
      <c r="AE29" s="6">
        <f>IF((COUNTIF($AD$2:AD29,"Win")+COUNTIF($AD$2:AD29,"Loss"))=0,0,COUNTIF($AD$2:AD29,"Win")/(COUNTIF($AD$2:AD29,"Win")+COUNTIF($AD$2:AD29,"Loss")))</f>
        <v/>
      </c>
      <c r="AF29" s="6">
        <f>SUM($Y$2:Y29)/SUM($X$2:X29)</f>
        <v/>
      </c>
      <c r="AG29" s="5">
        <f>SUM($Y$2:Y29)</f>
        <v/>
      </c>
      <c r="AH29" s="7">
        <f>10000.0+SUM($AA$2:AA29)</f>
        <v/>
      </c>
      <c r="AI29" s="2" t="n">
        <v>2025</v>
      </c>
      <c r="AJ29" s="2" t="inlineStr">
        <is>
          <t>2025-07</t>
        </is>
      </c>
      <c r="AK29" s="2" t="inlineStr">
        <is>
          <t>+121 to +150</t>
        </is>
      </c>
      <c r="AL29" s="2" t="inlineStr">
        <is>
          <t>2025 Validation</t>
        </is>
      </c>
      <c r="AM29" s="6" t="n">
        <v>0.2664568739793187</v>
      </c>
    </row>
    <row r="30">
      <c r="A30" s="2" t="inlineStr">
        <is>
          <t>KPROP-00029</t>
        </is>
      </c>
      <c r="B30" s="3" t="n">
        <v>45846.79557870371</v>
      </c>
      <c r="C30" s="3" t="n">
        <v>45846</v>
      </c>
      <c r="D30" s="2" t="inlineStr">
        <is>
          <t>Logan Gilbert</t>
        </is>
      </c>
      <c r="E30" s="2" t="n">
        <v>136</v>
      </c>
      <c r="F30" s="2" t="n">
        <v>147</v>
      </c>
      <c r="G30" s="2" t="inlineStr">
        <is>
          <t>Away</t>
        </is>
      </c>
      <c r="H30" s="2" t="inlineStr">
        <is>
          <t>betmgm</t>
        </is>
      </c>
      <c r="I30" s="4" t="n"/>
      <c r="J30" s="4" t="n"/>
      <c r="K30" s="4" t="n">
        <v>115</v>
      </c>
      <c r="L30" s="4" t="n">
        <v>115</v>
      </c>
      <c r="M30" s="5" t="n">
        <v>6.5</v>
      </c>
      <c r="N30" s="5" t="n">
        <v>6.546505410626652</v>
      </c>
      <c r="O30" s="5" t="n">
        <v>6.5</v>
      </c>
      <c r="P30" s="5" t="n">
        <v>-0.04650541062665159</v>
      </c>
      <c r="Q30" s="6" t="n">
        <v>0.1163085317695405</v>
      </c>
      <c r="R30" s="6" t="n">
        <v>0.5192132705904839</v>
      </c>
      <c r="S30" s="6" t="n">
        <v>0.451422963689892</v>
      </c>
      <c r="T30" s="2" t="inlineStr">
        <is>
          <t>Under</t>
        </is>
      </c>
      <c r="U30" s="4" t="n">
        <v>115</v>
      </c>
      <c r="V30" s="2" t="n">
        <v>2.15</v>
      </c>
      <c r="W30" s="4" t="n">
        <v>115</v>
      </c>
      <c r="X30" s="2" t="n">
        <v>1</v>
      </c>
      <c r="Y30" s="5" t="n">
        <v>1.15</v>
      </c>
      <c r="Z30" s="7" t="n">
        <v>100</v>
      </c>
      <c r="AA30" s="7">
        <f>Y30*Z30</f>
        <v/>
      </c>
      <c r="AB30" s="6">
        <f>IF(Z30=0,0,AA30/Z30)</f>
        <v/>
      </c>
      <c r="AC30" s="6" t="n"/>
      <c r="AD30" s="2" t="inlineStr">
        <is>
          <t>Win</t>
        </is>
      </c>
      <c r="AE30" s="6">
        <f>IF((COUNTIF($AD$2:AD30,"Win")+COUNTIF($AD$2:AD30,"Loss"))=0,0,COUNTIF($AD$2:AD30,"Win")/(COUNTIF($AD$2:AD30,"Win")+COUNTIF($AD$2:AD30,"Loss")))</f>
        <v/>
      </c>
      <c r="AF30" s="6">
        <f>SUM($Y$2:Y30)/SUM($X$2:X30)</f>
        <v/>
      </c>
      <c r="AG30" s="5">
        <f>SUM($Y$2:Y30)</f>
        <v/>
      </c>
      <c r="AH30" s="7">
        <f>10000.0+SUM($AA$2:AA30)</f>
        <v/>
      </c>
      <c r="AI30" s="2" t="n">
        <v>2025</v>
      </c>
      <c r="AJ30" s="2" t="inlineStr">
        <is>
          <t>2025-07</t>
        </is>
      </c>
      <c r="AK30" s="2" t="inlineStr">
        <is>
          <t>+100 to +120</t>
        </is>
      </c>
      <c r="AL30" s="2" t="inlineStr">
        <is>
          <t>2025 Validation</t>
        </is>
      </c>
      <c r="AM30" s="6" t="n">
        <v>0.1011378537126439</v>
      </c>
    </row>
    <row r="31">
      <c r="A31" s="2" t="inlineStr">
        <is>
          <t>KPROP-00030</t>
        </is>
      </c>
      <c r="B31" s="3" t="n">
        <v>45846.81641203703</v>
      </c>
      <c r="C31" s="3" t="n">
        <v>45846</v>
      </c>
      <c r="D31" s="2" t="inlineStr">
        <is>
          <t>Seth Lugo</t>
        </is>
      </c>
      <c r="E31" s="2" t="n">
        <v>118</v>
      </c>
      <c r="F31" s="2" t="n">
        <v>134</v>
      </c>
      <c r="G31" s="2" t="inlineStr">
        <is>
          <t>Home</t>
        </is>
      </c>
      <c r="H31" s="2" t="inlineStr">
        <is>
          <t>betmgm</t>
        </is>
      </c>
      <c r="I31" s="4" t="n"/>
      <c r="J31" s="4" t="n"/>
      <c r="K31" s="4" t="n">
        <v>115</v>
      </c>
      <c r="L31" s="4" t="n">
        <v>115</v>
      </c>
      <c r="M31" s="5" t="n">
        <v>5.5</v>
      </c>
      <c r="N31" s="5" t="n">
        <v>5.057852264948694</v>
      </c>
      <c r="O31" s="5" t="n">
        <v>5.5</v>
      </c>
      <c r="P31" s="5" t="n">
        <v>0.4421477350513063</v>
      </c>
      <c r="Q31" s="6" t="n">
        <v>0.3024927812781613</v>
      </c>
      <c r="R31" s="6" t="n">
        <v>0.6058105959433309</v>
      </c>
      <c r="S31" s="6" t="n">
        <v>0.453954604539546</v>
      </c>
      <c r="T31" s="2" t="inlineStr">
        <is>
          <t>Under</t>
        </is>
      </c>
      <c r="U31" s="4" t="n">
        <v>115</v>
      </c>
      <c r="V31" s="2" t="n">
        <v>2.15</v>
      </c>
      <c r="W31" s="4" t="n">
        <v>115</v>
      </c>
      <c r="X31" s="2" t="n">
        <v>1</v>
      </c>
      <c r="Y31" s="5" t="n">
        <v>1.15</v>
      </c>
      <c r="Z31" s="7" t="n">
        <v>100</v>
      </c>
      <c r="AA31" s="7">
        <f>Y31*Z31</f>
        <v/>
      </c>
      <c r="AB31" s="6">
        <f>IF(Z31=0,0,AA31/Z31)</f>
        <v/>
      </c>
      <c r="AC31" s="6" t="n"/>
      <c r="AD31" s="2" t="inlineStr">
        <is>
          <t>Win</t>
        </is>
      </c>
      <c r="AE31" s="6">
        <f>IF((COUNTIF($AD$2:AD31,"Win")+COUNTIF($AD$2:AD31,"Loss"))=0,0,COUNTIF($AD$2:AD31,"Win")/(COUNTIF($AD$2:AD31,"Win")+COUNTIF($AD$2:AD31,"Loss")))</f>
        <v/>
      </c>
      <c r="AF31" s="6">
        <f>SUM($Y$2:Y31)/SUM($X$2:X31)</f>
        <v/>
      </c>
      <c r="AG31" s="5">
        <f>SUM($Y$2:Y31)</f>
        <v/>
      </c>
      <c r="AH31" s="7">
        <f>10000.0+SUM($AA$2:AA31)</f>
        <v/>
      </c>
      <c r="AI31" s="2" t="n">
        <v>2025</v>
      </c>
      <c r="AJ31" s="2" t="inlineStr">
        <is>
          <t>2025-07</t>
        </is>
      </c>
      <c r="AK31" s="2" t="inlineStr">
        <is>
          <t>+100 to +120</t>
        </is>
      </c>
      <c r="AL31" s="2" t="inlineStr">
        <is>
          <t>2025 Validation</t>
        </is>
      </c>
      <c r="AM31" s="6" t="n">
        <v>0.2630372011114446</v>
      </c>
    </row>
    <row r="32">
      <c r="A32" s="2" t="inlineStr">
        <is>
          <t>KPROP-00031</t>
        </is>
      </c>
      <c r="B32" s="3" t="n">
        <v>45846.81641203703</v>
      </c>
      <c r="C32" s="3" t="n">
        <v>45846</v>
      </c>
      <c r="D32" s="2" t="inlineStr">
        <is>
          <t>Shota Imanaga</t>
        </is>
      </c>
      <c r="E32" s="2" t="n">
        <v>112</v>
      </c>
      <c r="F32" s="2" t="n">
        <v>142</v>
      </c>
      <c r="G32" s="2" t="inlineStr">
        <is>
          <t>Away</t>
        </is>
      </c>
      <c r="H32" s="2" t="inlineStr">
        <is>
          <t>fanduel</t>
        </is>
      </c>
      <c r="I32" s="4" t="n"/>
      <c r="J32" s="4" t="n"/>
      <c r="K32" s="4" t="n">
        <v>-106</v>
      </c>
      <c r="L32" s="4" t="n">
        <v>-106</v>
      </c>
      <c r="M32" s="5" t="n">
        <v>4.5</v>
      </c>
      <c r="N32" s="5" t="n">
        <v>4.340794634173402</v>
      </c>
      <c r="O32" s="5" t="n">
        <v>4.5</v>
      </c>
      <c r="P32" s="5" t="n">
        <v>0.1592053658265975</v>
      </c>
      <c r="Q32" s="6" t="n">
        <v>0.09328636784645351</v>
      </c>
      <c r="R32" s="6" t="n">
        <v>0.5625648300569129</v>
      </c>
      <c r="S32" s="6" t="n">
        <v>0.4903184165232359</v>
      </c>
      <c r="T32" s="2" t="inlineStr">
        <is>
          <t>Under</t>
        </is>
      </c>
      <c r="U32" s="4" t="n">
        <v>-106</v>
      </c>
      <c r="V32" s="2" t="n">
        <v>1.943396226415094</v>
      </c>
      <c r="W32" s="4" t="n">
        <v>-106</v>
      </c>
      <c r="X32" s="2" t="n">
        <v>1</v>
      </c>
      <c r="Y32" s="5" t="n">
        <v>0.9433962264150944</v>
      </c>
      <c r="Z32" s="7" t="n">
        <v>100</v>
      </c>
      <c r="AA32" s="7">
        <f>Y32*Z32</f>
        <v/>
      </c>
      <c r="AB32" s="6">
        <f>IF(Z32=0,0,AA32/Z32)</f>
        <v/>
      </c>
      <c r="AC32" s="6" t="n"/>
      <c r="AD32" s="2" t="inlineStr">
        <is>
          <t>Win</t>
        </is>
      </c>
      <c r="AE32" s="6">
        <f>IF((COUNTIF($AD$2:AD32,"Win")+COUNTIF($AD$2:AD32,"Loss"))=0,0,COUNTIF($AD$2:AD32,"Win")/(COUNTIF($AD$2:AD32,"Win")+COUNTIF($AD$2:AD32,"Loss")))</f>
        <v/>
      </c>
      <c r="AF32" s="6">
        <f>SUM($Y$2:Y32)/SUM($X$2:X32)</f>
        <v/>
      </c>
      <c r="AG32" s="5">
        <f>SUM($Y$2:Y32)</f>
        <v/>
      </c>
      <c r="AH32" s="7">
        <f>10000.0+SUM($AA$2:AA32)</f>
        <v/>
      </c>
      <c r="AI32" s="2" t="n">
        <v>2025</v>
      </c>
      <c r="AJ32" s="2" t="inlineStr">
        <is>
          <t>2025-07</t>
        </is>
      </c>
      <c r="AK32" s="2" t="inlineStr">
        <is>
          <t>-119 to -101</t>
        </is>
      </c>
      <c r="AL32" s="2" t="inlineStr">
        <is>
          <t>2025 Validation</t>
        </is>
      </c>
      <c r="AM32" s="6" t="n">
        <v>0.09888354991724072</v>
      </c>
    </row>
    <row r="33">
      <c r="A33" s="2" t="inlineStr">
        <is>
          <t>KPROP-00032</t>
        </is>
      </c>
      <c r="B33" s="3" t="n">
        <v>45846.81987268518</v>
      </c>
      <c r="C33" s="3" t="n">
        <v>45846</v>
      </c>
      <c r="D33" s="2" t="inlineStr">
        <is>
          <t>Sonny Gray</t>
        </is>
      </c>
      <c r="E33" s="2" t="n">
        <v>138</v>
      </c>
      <c r="F33" s="2" t="n">
        <v>120</v>
      </c>
      <c r="G33" s="2" t="inlineStr">
        <is>
          <t>Home</t>
        </is>
      </c>
      <c r="H33" s="2" t="inlineStr">
        <is>
          <t>bovada</t>
        </is>
      </c>
      <c r="I33" s="4" t="n"/>
      <c r="J33" s="4" t="n"/>
      <c r="K33" s="4" t="n">
        <v>105</v>
      </c>
      <c r="L33" s="4" t="n">
        <v>105</v>
      </c>
      <c r="M33" s="5" t="n">
        <v>5.5</v>
      </c>
      <c r="N33" s="5" t="n">
        <v>5.407233331924897</v>
      </c>
      <c r="O33" s="5" t="n">
        <v>5.5</v>
      </c>
      <c r="P33" s="5" t="n">
        <v>0.09276666807510292</v>
      </c>
      <c r="Q33" s="6" t="n">
        <v>0.1170088523418352</v>
      </c>
      <c r="R33" s="6" t="n">
        <v>0.5448823669960172</v>
      </c>
      <c r="S33" s="6" t="n">
        <v>0.4822043628013777</v>
      </c>
      <c r="T33" s="2" t="inlineStr">
        <is>
          <t>Under</t>
        </is>
      </c>
      <c r="U33" s="4" t="n">
        <v>105</v>
      </c>
      <c r="V33" s="2" t="n">
        <v>2.05</v>
      </c>
      <c r="W33" s="4" t="n">
        <v>105</v>
      </c>
      <c r="X33" s="2" t="n">
        <v>1</v>
      </c>
      <c r="Y33" s="5" t="n">
        <v>-1</v>
      </c>
      <c r="Z33" s="7" t="n">
        <v>100</v>
      </c>
      <c r="AA33" s="7">
        <f>Y33*Z33</f>
        <v/>
      </c>
      <c r="AB33" s="6">
        <f>IF(Z33=0,0,AA33/Z33)</f>
        <v/>
      </c>
      <c r="AC33" s="6" t="n"/>
      <c r="AD33" s="2" t="inlineStr">
        <is>
          <t>Loss</t>
        </is>
      </c>
      <c r="AE33" s="6">
        <f>IF((COUNTIF($AD$2:AD33,"Win")+COUNTIF($AD$2:AD33,"Loss"))=0,0,COUNTIF($AD$2:AD33,"Win")/(COUNTIF($AD$2:AD33,"Win")+COUNTIF($AD$2:AD33,"Loss")))</f>
        <v/>
      </c>
      <c r="AF33" s="6">
        <f>SUM($Y$2:Y33)/SUM($X$2:X33)</f>
        <v/>
      </c>
      <c r="AG33" s="5">
        <f>SUM($Y$2:Y33)</f>
        <v/>
      </c>
      <c r="AH33" s="7">
        <f>10000.0+SUM($AA$2:AA33)</f>
        <v/>
      </c>
      <c r="AI33" s="2" t="n">
        <v>2025</v>
      </c>
      <c r="AJ33" s="2" t="inlineStr">
        <is>
          <t>2025-07</t>
        </is>
      </c>
      <c r="AK33" s="2" t="inlineStr">
        <is>
          <t>+100 to +120</t>
        </is>
      </c>
      <c r="AL33" s="2" t="inlineStr">
        <is>
          <t>2025 Validation</t>
        </is>
      </c>
      <c r="AM33" s="6" t="n">
        <v>0.1114370022303193</v>
      </c>
    </row>
    <row r="34">
      <c r="A34" s="2" t="inlineStr">
        <is>
          <t>KPROP-00033</t>
        </is>
      </c>
      <c r="B34" s="3" t="n">
        <v>45847.79905092593</v>
      </c>
      <c r="C34" s="3" t="n">
        <v>45847</v>
      </c>
      <c r="D34" s="2" t="inlineStr">
        <is>
          <t>Lucas Giolito</t>
        </is>
      </c>
      <c r="E34" s="2" t="n">
        <v>111</v>
      </c>
      <c r="F34" s="2" t="n">
        <v>115</v>
      </c>
      <c r="G34" s="2" t="inlineStr">
        <is>
          <t>Home</t>
        </is>
      </c>
      <c r="H34" s="2" t="inlineStr">
        <is>
          <t>draftkings</t>
        </is>
      </c>
      <c r="I34" s="4" t="n"/>
      <c r="J34" s="4" t="n"/>
      <c r="K34" s="4" t="n">
        <v>-130</v>
      </c>
      <c r="L34" s="4" t="n">
        <v>-130</v>
      </c>
      <c r="M34" s="5" t="n">
        <v>6.5</v>
      </c>
      <c r="N34" s="5" t="n">
        <v>5.911056056640091</v>
      </c>
      <c r="O34" s="5" t="n">
        <v>6.5</v>
      </c>
      <c r="P34" s="5" t="n">
        <v>0.5889439433599089</v>
      </c>
      <c r="Q34" s="6" t="n">
        <v>0.09795998002479461</v>
      </c>
      <c r="R34" s="6" t="n">
        <v>0.6205860756661883</v>
      </c>
      <c r="S34" s="6" t="n">
        <v>0.5542635658914729</v>
      </c>
      <c r="T34" s="2" t="inlineStr">
        <is>
          <t>Under</t>
        </is>
      </c>
      <c r="U34" s="4" t="n">
        <v>-130</v>
      </c>
      <c r="V34" s="2" t="n">
        <v>1.769230769230769</v>
      </c>
      <c r="W34" s="4" t="n">
        <v>-130</v>
      </c>
      <c r="X34" s="2" t="n">
        <v>1</v>
      </c>
      <c r="Y34" s="5" t="n">
        <v>0.7692307692307692</v>
      </c>
      <c r="Z34" s="7" t="n">
        <v>100</v>
      </c>
      <c r="AA34" s="7">
        <f>Y34*Z34</f>
        <v/>
      </c>
      <c r="AB34" s="6">
        <f>IF(Z34=0,0,AA34/Z34)</f>
        <v/>
      </c>
      <c r="AC34" s="6" t="n"/>
      <c r="AD34" s="2" t="inlineStr">
        <is>
          <t>Win</t>
        </is>
      </c>
      <c r="AE34" s="6">
        <f>IF((COUNTIF($AD$2:AD34,"Win")+COUNTIF($AD$2:AD34,"Loss"))=0,0,COUNTIF($AD$2:AD34,"Win")/(COUNTIF($AD$2:AD34,"Win")+COUNTIF($AD$2:AD34,"Loss")))</f>
        <v/>
      </c>
      <c r="AF34" s="6">
        <f>SUM($Y$2:Y34)/SUM($X$2:X34)</f>
        <v/>
      </c>
      <c r="AG34" s="5">
        <f>SUM($Y$2:Y34)</f>
        <v/>
      </c>
      <c r="AH34" s="7">
        <f>10000.0+SUM($AA$2:AA34)</f>
        <v/>
      </c>
      <c r="AI34" s="2" t="n">
        <v>2025</v>
      </c>
      <c r="AJ34" s="2" t="inlineStr">
        <is>
          <t>2025-07</t>
        </is>
      </c>
      <c r="AK34" s="2" t="inlineStr">
        <is>
          <t>-149 to -120</t>
        </is>
      </c>
      <c r="AL34" s="2" t="inlineStr">
        <is>
          <t>2025 Validation</t>
        </is>
      </c>
      <c r="AM34" s="6" t="n">
        <v>0.127347974032233</v>
      </c>
    </row>
    <row r="35">
      <c r="A35" s="2" t="inlineStr">
        <is>
          <t>KPROP-00034</t>
        </is>
      </c>
      <c r="B35" s="3" t="n">
        <v>45847.71572916667</v>
      </c>
      <c r="C35" s="3" t="n">
        <v>45847</v>
      </c>
      <c r="D35" s="2" t="inlineStr">
        <is>
          <t>Reese Olson</t>
        </is>
      </c>
      <c r="E35" s="2" t="n">
        <v>116</v>
      </c>
      <c r="F35" s="2" t="n">
        <v>139</v>
      </c>
      <c r="G35" s="2" t="inlineStr">
        <is>
          <t>Home</t>
        </is>
      </c>
      <c r="H35" s="2" t="inlineStr">
        <is>
          <t>draftkings</t>
        </is>
      </c>
      <c r="I35" s="4" t="n"/>
      <c r="J35" s="4" t="n"/>
      <c r="K35" s="4" t="n">
        <v>110</v>
      </c>
      <c r="L35" s="4" t="n">
        <v>110</v>
      </c>
      <c r="M35" s="5" t="n">
        <v>4.5</v>
      </c>
      <c r="N35" s="5" t="n">
        <v>4.480398173459048</v>
      </c>
      <c r="O35" s="5" t="n">
        <v>4.5</v>
      </c>
      <c r="P35" s="5" t="n">
        <v>0.01960182654095188</v>
      </c>
      <c r="Q35" s="6" t="n">
        <v>0.1252391355802005</v>
      </c>
      <c r="R35" s="6" t="n">
        <v>0.5358281598000955</v>
      </c>
      <c r="S35" s="6" t="n">
        <v>0.4572564612326044</v>
      </c>
      <c r="T35" s="2" t="inlineStr">
        <is>
          <t>Under</t>
        </is>
      </c>
      <c r="U35" s="4" t="n">
        <v>110</v>
      </c>
      <c r="V35" s="2" t="n">
        <v>2.1</v>
      </c>
      <c r="W35" s="4" t="n">
        <v>110</v>
      </c>
      <c r="X35" s="2" t="n">
        <v>1</v>
      </c>
      <c r="Y35" s="5" t="n">
        <v>1.1</v>
      </c>
      <c r="Z35" s="7" t="n">
        <v>100</v>
      </c>
      <c r="AA35" s="7">
        <f>Y35*Z35</f>
        <v/>
      </c>
      <c r="AB35" s="6">
        <f>IF(Z35=0,0,AA35/Z35)</f>
        <v/>
      </c>
      <c r="AC35" s="6" t="n"/>
      <c r="AD35" s="2" t="inlineStr">
        <is>
          <t>Win</t>
        </is>
      </c>
      <c r="AE35" s="6">
        <f>IF((COUNTIF($AD$2:AD35,"Win")+COUNTIF($AD$2:AD35,"Loss"))=0,0,COUNTIF($AD$2:AD35,"Win")/(COUNTIF($AD$2:AD35,"Win")+COUNTIF($AD$2:AD35,"Loss")))</f>
        <v/>
      </c>
      <c r="AF35" s="6">
        <f>SUM($Y$2:Y35)/SUM($X$2:X35)</f>
        <v/>
      </c>
      <c r="AG35" s="5">
        <f>SUM($Y$2:Y35)</f>
        <v/>
      </c>
      <c r="AH35" s="7">
        <f>10000.0+SUM($AA$2:AA35)</f>
        <v/>
      </c>
      <c r="AI35" s="2" t="n">
        <v>2025</v>
      </c>
      <c r="AJ35" s="2" t="inlineStr">
        <is>
          <t>2025-07</t>
        </is>
      </c>
      <c r="AK35" s="2" t="inlineStr">
        <is>
          <t>+100 to +120</t>
        </is>
      </c>
      <c r="AL35" s="2" t="inlineStr">
        <is>
          <t>2025 Validation</t>
        </is>
      </c>
      <c r="AM35" s="6" t="n">
        <v>0.1138537596183641</v>
      </c>
    </row>
    <row r="36">
      <c r="A36" s="2" t="inlineStr">
        <is>
          <t>KPROP-00035</t>
        </is>
      </c>
      <c r="B36" s="3" t="n">
        <v>45847.59070601852</v>
      </c>
      <c r="C36" s="3" t="n">
        <v>45847</v>
      </c>
      <c r="D36" s="2" t="inlineStr">
        <is>
          <t>Tyler Glasnow</t>
        </is>
      </c>
      <c r="E36" s="2" t="n">
        <v>119</v>
      </c>
      <c r="F36" s="2" t="n">
        <v>158</v>
      </c>
      <c r="G36" s="2" t="inlineStr">
        <is>
          <t>Away</t>
        </is>
      </c>
      <c r="H36" s="2" t="inlineStr">
        <is>
          <t>bovada</t>
        </is>
      </c>
      <c r="I36" s="4" t="n"/>
      <c r="J36" s="4" t="n"/>
      <c r="K36" s="4" t="n">
        <v>-105</v>
      </c>
      <c r="L36" s="4" t="n">
        <v>-105</v>
      </c>
      <c r="M36" s="5" t="n">
        <v>5.5</v>
      </c>
      <c r="N36" s="5" t="n">
        <v>4.987651645375807</v>
      </c>
      <c r="O36" s="5" t="n">
        <v>5.5</v>
      </c>
      <c r="P36" s="5" t="n">
        <v>0.5123483546241934</v>
      </c>
      <c r="Q36" s="6" t="n">
        <v>0.2068201172214874</v>
      </c>
      <c r="R36" s="6" t="n">
        <v>0.6181273771134448</v>
      </c>
      <c r="S36" s="6" t="n">
        <v>0.4943946188340808</v>
      </c>
      <c r="T36" s="2" t="inlineStr">
        <is>
          <t>Under</t>
        </is>
      </c>
      <c r="U36" s="4" t="n">
        <v>-105</v>
      </c>
      <c r="V36" s="2" t="n">
        <v>1.952380952380952</v>
      </c>
      <c r="W36" s="4" t="n">
        <v>-105</v>
      </c>
      <c r="X36" s="2" t="n">
        <v>1</v>
      </c>
      <c r="Y36" s="5" t="n">
        <v>0.9523809523809523</v>
      </c>
      <c r="Z36" s="7" t="n">
        <v>100</v>
      </c>
      <c r="AA36" s="7">
        <f>Y36*Z36</f>
        <v/>
      </c>
      <c r="AB36" s="6">
        <f>IF(Z36=0,0,AA36/Z36)</f>
        <v/>
      </c>
      <c r="AC36" s="6" t="n"/>
      <c r="AD36" s="2" t="inlineStr">
        <is>
          <t>Win</t>
        </is>
      </c>
      <c r="AE36" s="6">
        <f>IF((COUNTIF($AD$2:AD36,"Win")+COUNTIF($AD$2:AD36,"Loss"))=0,0,COUNTIF($AD$2:AD36,"Win")/(COUNTIF($AD$2:AD36,"Win")+COUNTIF($AD$2:AD36,"Loss")))</f>
        <v/>
      </c>
      <c r="AF36" s="6">
        <f>SUM($Y$2:Y36)/SUM($X$2:X36)</f>
        <v/>
      </c>
      <c r="AG36" s="5">
        <f>SUM($Y$2:Y36)</f>
        <v/>
      </c>
      <c r="AH36" s="7">
        <f>10000.0+SUM($AA$2:AA36)</f>
        <v/>
      </c>
      <c r="AI36" s="2" t="n">
        <v>2025</v>
      </c>
      <c r="AJ36" s="2" t="inlineStr">
        <is>
          <t>2025-07</t>
        </is>
      </c>
      <c r="AK36" s="2" t="inlineStr">
        <is>
          <t>-119 to -101</t>
        </is>
      </c>
      <c r="AL36" s="2" t="inlineStr">
        <is>
          <t>2025 Validation</t>
        </is>
      </c>
      <c r="AM36" s="6" t="n">
        <v>0.2171611230825618</v>
      </c>
    </row>
    <row r="37">
      <c r="A37" s="2" t="inlineStr">
        <is>
          <t>KPROP-00036</t>
        </is>
      </c>
      <c r="B37" s="3" t="n">
        <v>45848.54903935185</v>
      </c>
      <c r="C37" s="3" t="n">
        <v>45848</v>
      </c>
      <c r="D37" s="2" t="inlineStr">
        <is>
          <t>Chris Paddack</t>
        </is>
      </c>
      <c r="E37" s="2" t="n">
        <v>142</v>
      </c>
      <c r="F37" s="2" t="n">
        <v>112</v>
      </c>
      <c r="G37" s="2" t="inlineStr">
        <is>
          <t>Home</t>
        </is>
      </c>
      <c r="H37" s="2" t="inlineStr">
        <is>
          <t>betrivers</t>
        </is>
      </c>
      <c r="I37" s="4" t="n"/>
      <c r="J37" s="4" t="n"/>
      <c r="K37" s="4" t="n">
        <v>132</v>
      </c>
      <c r="L37" s="4" t="n">
        <v>132</v>
      </c>
      <c r="M37" s="5" t="n">
        <v>3.5</v>
      </c>
      <c r="N37" s="5" t="n">
        <v>3.724616169675982</v>
      </c>
      <c r="O37" s="5" t="n">
        <v>3.5</v>
      </c>
      <c r="P37" s="5" t="n">
        <v>-0.2246161696759823</v>
      </c>
      <c r="Q37" s="6" t="n">
        <v>0.1345435963997151</v>
      </c>
      <c r="R37" s="6" t="n">
        <v>0.4890274122412565</v>
      </c>
      <c r="S37" s="6" t="n">
        <v>0.4090768755788824</v>
      </c>
      <c r="T37" s="2" t="inlineStr">
        <is>
          <t>Under</t>
        </is>
      </c>
      <c r="U37" s="4" t="n">
        <v>132</v>
      </c>
      <c r="V37" s="2" t="n">
        <v>2.32</v>
      </c>
      <c r="W37" s="4" t="n">
        <v>132</v>
      </c>
      <c r="X37" s="2" t="n">
        <v>1</v>
      </c>
      <c r="Y37" s="5" t="n">
        <v>1.32</v>
      </c>
      <c r="Z37" s="7" t="n">
        <v>100</v>
      </c>
      <c r="AA37" s="7">
        <f>Y37*Z37</f>
        <v/>
      </c>
      <c r="AB37" s="6">
        <f>IF(Z37=0,0,AA37/Z37)</f>
        <v/>
      </c>
      <c r="AC37" s="6" t="n"/>
      <c r="AD37" s="2" t="inlineStr">
        <is>
          <t>Win</t>
        </is>
      </c>
      <c r="AE37" s="6">
        <f>IF((COUNTIF($AD$2:AD37,"Win")+COUNTIF($AD$2:AD37,"Loss"))=0,0,COUNTIF($AD$2:AD37,"Win")/(COUNTIF($AD$2:AD37,"Win")+COUNTIF($AD$2:AD37,"Loss")))</f>
        <v/>
      </c>
      <c r="AF37" s="6">
        <f>SUM($Y$2:Y37)/SUM($X$2:X37)</f>
        <v/>
      </c>
      <c r="AG37" s="5">
        <f>SUM($Y$2:Y37)</f>
        <v/>
      </c>
      <c r="AH37" s="7">
        <f>10000.0+SUM($AA$2:AA37)</f>
        <v/>
      </c>
      <c r="AI37" s="2" t="n">
        <v>2025</v>
      </c>
      <c r="AJ37" s="2" t="inlineStr">
        <is>
          <t>2025-07</t>
        </is>
      </c>
      <c r="AK37" s="2" t="inlineStr">
        <is>
          <t>+121 to +150</t>
        </is>
      </c>
      <c r="AL37" s="2" t="inlineStr">
        <is>
          <t>2025 Validation</t>
        </is>
      </c>
      <c r="AM37" s="6" t="n">
        <v>0.1019269669694811</v>
      </c>
    </row>
    <row r="38">
      <c r="A38" s="2" t="inlineStr">
        <is>
          <t>KPROP-00037</t>
        </is>
      </c>
      <c r="B38" s="3" t="n">
        <v>45848.54903935185</v>
      </c>
      <c r="C38" s="3" t="n">
        <v>45848</v>
      </c>
      <c r="D38" s="2" t="inlineStr">
        <is>
          <t>Chris Paddack</t>
        </is>
      </c>
      <c r="E38" s="2" t="n">
        <v>142</v>
      </c>
      <c r="F38" s="2" t="n">
        <v>112</v>
      </c>
      <c r="G38" s="2" t="inlineStr">
        <is>
          <t>Home</t>
        </is>
      </c>
      <c r="H38" s="2" t="inlineStr">
        <is>
          <t>fanduel</t>
        </is>
      </c>
      <c r="I38" s="4" t="n"/>
      <c r="J38" s="4" t="n"/>
      <c r="K38" s="4" t="n">
        <v>-156</v>
      </c>
      <c r="L38" s="4" t="n">
        <v>-156</v>
      </c>
      <c r="M38" s="5" t="n">
        <v>4.5</v>
      </c>
      <c r="N38" s="5" t="n">
        <v>3.724616169675982</v>
      </c>
      <c r="O38" s="5" t="n">
        <v>4.5</v>
      </c>
      <c r="P38" s="5" t="n">
        <v>0.7753838303240177</v>
      </c>
      <c r="Q38" s="6" t="n">
        <v>0.1199379872468033</v>
      </c>
      <c r="R38" s="6" t="n">
        <v>0.6824622109785208</v>
      </c>
      <c r="S38" s="6" t="n">
        <v>0.5782537067545305</v>
      </c>
      <c r="T38" s="2" t="inlineStr">
        <is>
          <t>Under</t>
        </is>
      </c>
      <c r="U38" s="4" t="n">
        <v>-156</v>
      </c>
      <c r="V38" s="2" t="n">
        <v>1.641025641025641</v>
      </c>
      <c r="W38" s="4" t="n">
        <v>-156</v>
      </c>
      <c r="X38" s="2" t="n">
        <v>1</v>
      </c>
      <c r="Y38" s="5" t="n">
        <v>0.641025641025641</v>
      </c>
      <c r="Z38" s="7" t="n">
        <v>100</v>
      </c>
      <c r="AA38" s="7">
        <f>Y38*Z38</f>
        <v/>
      </c>
      <c r="AB38" s="6">
        <f>IF(Z38=0,0,AA38/Z38)</f>
        <v/>
      </c>
      <c r="AC38" s="6" t="n"/>
      <c r="AD38" s="2" t="inlineStr">
        <is>
          <t>Win</t>
        </is>
      </c>
      <c r="AE38" s="6">
        <f>IF((COUNTIF($AD$2:AD38,"Win")+COUNTIF($AD$2:AD38,"Loss"))=0,0,COUNTIF($AD$2:AD38,"Win")/(COUNTIF($AD$2:AD38,"Win")+COUNTIF($AD$2:AD38,"Loss")))</f>
        <v/>
      </c>
      <c r="AF38" s="6">
        <f>SUM($Y$2:Y38)/SUM($X$2:X38)</f>
        <v/>
      </c>
      <c r="AG38" s="5">
        <f>SUM($Y$2:Y38)</f>
        <v/>
      </c>
      <c r="AH38" s="7">
        <f>10000.0+SUM($AA$2:AA38)</f>
        <v/>
      </c>
      <c r="AI38" s="2" t="n">
        <v>2025</v>
      </c>
      <c r="AJ38" s="2" t="inlineStr">
        <is>
          <t>2025-07</t>
        </is>
      </c>
      <c r="AK38" s="2" t="inlineStr">
        <is>
          <t>&lt;= -150</t>
        </is>
      </c>
      <c r="AL38" s="2" t="inlineStr">
        <is>
          <t>2025 Validation</t>
        </is>
      </c>
      <c r="AM38" s="6" t="n">
        <v>0.1871032601050131</v>
      </c>
    </row>
    <row r="39">
      <c r="A39" s="2" t="inlineStr">
        <is>
          <t>KPROP-00038</t>
        </is>
      </c>
      <c r="B39" s="3" t="n">
        <v>45848.71571759259</v>
      </c>
      <c r="C39" s="3" t="n">
        <v>45848</v>
      </c>
      <c r="D39" s="2" t="inlineStr">
        <is>
          <t>Nick Lodolo</t>
        </is>
      </c>
      <c r="E39" s="2" t="n">
        <v>113</v>
      </c>
      <c r="F39" s="2" t="n">
        <v>146</v>
      </c>
      <c r="G39" s="2" t="inlineStr">
        <is>
          <t>Home</t>
        </is>
      </c>
      <c r="H39" s="2" t="inlineStr">
        <is>
          <t>betmgm</t>
        </is>
      </c>
      <c r="I39" s="4" t="n"/>
      <c r="J39" s="4" t="n"/>
      <c r="K39" s="4" t="n">
        <v>-105</v>
      </c>
      <c r="L39" s="4" t="n">
        <v>-105</v>
      </c>
      <c r="M39" s="5" t="n">
        <v>5.5</v>
      </c>
      <c r="N39" s="5" t="n">
        <v>5.235166062390426</v>
      </c>
      <c r="O39" s="5" t="n">
        <v>5.5</v>
      </c>
      <c r="P39" s="5" t="n">
        <v>0.2648339376095743</v>
      </c>
      <c r="Q39" s="6" t="n">
        <v>0.1221717420326062</v>
      </c>
      <c r="R39" s="6" t="n">
        <v>0.5747708922606032</v>
      </c>
      <c r="S39" s="6" t="n">
        <v>0.4954843079701965</v>
      </c>
      <c r="T39" s="2" t="inlineStr">
        <is>
          <t>Under</t>
        </is>
      </c>
      <c r="U39" s="4" t="n">
        <v>-105</v>
      </c>
      <c r="V39" s="2" t="n">
        <v>1.952380952380952</v>
      </c>
      <c r="W39" s="4" t="n">
        <v>-105</v>
      </c>
      <c r="X39" s="2" t="n">
        <v>1</v>
      </c>
      <c r="Y39" s="5" t="n">
        <v>0.9523809523809523</v>
      </c>
      <c r="Z39" s="7" t="n">
        <v>100</v>
      </c>
      <c r="AA39" s="7">
        <f>Y39*Z39</f>
        <v/>
      </c>
      <c r="AB39" s="6">
        <f>IF(Z39=0,0,AA39/Z39)</f>
        <v/>
      </c>
      <c r="AC39" s="6" t="n"/>
      <c r="AD39" s="2" t="inlineStr">
        <is>
          <t>Win</t>
        </is>
      </c>
      <c r="AE39" s="6">
        <f>IF((COUNTIF($AD$2:AD39,"Win")+COUNTIF($AD$2:AD39,"Loss"))=0,0,COUNTIF($AD$2:AD39,"Win")/(COUNTIF($AD$2:AD39,"Win")+COUNTIF($AD$2:AD39,"Loss")))</f>
        <v/>
      </c>
      <c r="AF39" s="6">
        <f>SUM($Y$2:Y39)/SUM($X$2:X39)</f>
        <v/>
      </c>
      <c r="AG39" s="5">
        <f>SUM($Y$2:Y39)</f>
        <v/>
      </c>
      <c r="AH39" s="7">
        <f>10000.0+SUM($AA$2:AA39)</f>
        <v/>
      </c>
      <c r="AI39" s="2" t="n">
        <v>2025</v>
      </c>
      <c r="AJ39" s="2" t="inlineStr">
        <is>
          <t>2025-07</t>
        </is>
      </c>
      <c r="AK39" s="2" t="inlineStr">
        <is>
          <t>-119 to -101</t>
        </is>
      </c>
      <c r="AL39" s="2" t="inlineStr">
        <is>
          <t>2025 Validation</t>
        </is>
      </c>
      <c r="AM39" s="6" t="n">
        <v>0.1282803291342365</v>
      </c>
    </row>
    <row r="40">
      <c r="A40" s="2" t="inlineStr">
        <is>
          <t>KPROP-00039</t>
        </is>
      </c>
      <c r="B40" s="3" t="n">
        <v>45849.79557870371</v>
      </c>
      <c r="C40" s="3" t="n">
        <v>45849</v>
      </c>
      <c r="D40" s="2" t="inlineStr">
        <is>
          <t>Dean Kremer</t>
        </is>
      </c>
      <c r="E40" s="2" t="n">
        <v>110</v>
      </c>
      <c r="F40" s="2" t="n">
        <v>146</v>
      </c>
      <c r="G40" s="2" t="inlineStr">
        <is>
          <t>Home</t>
        </is>
      </c>
      <c r="H40" s="2" t="inlineStr">
        <is>
          <t>fanduel</t>
        </is>
      </c>
      <c r="I40" s="4" t="n"/>
      <c r="J40" s="4" t="n"/>
      <c r="K40" s="4" t="n">
        <v>-110</v>
      </c>
      <c r="L40" s="4" t="n">
        <v>-110</v>
      </c>
      <c r="M40" s="5" t="n">
        <v>4.5</v>
      </c>
      <c r="N40" s="5" t="n">
        <v>4.103476973708609</v>
      </c>
      <c r="O40" s="5" t="n">
        <v>4.5</v>
      </c>
      <c r="P40" s="5" t="n">
        <v>0.3965230262913915</v>
      </c>
      <c r="Q40" s="6" t="n">
        <v>0.1619297504370012</v>
      </c>
      <c r="R40" s="6" t="n">
        <v>0.6086298692765244</v>
      </c>
      <c r="S40" s="6" t="n">
        <v>0.5010897994768962</v>
      </c>
      <c r="T40" s="2" t="inlineStr">
        <is>
          <t>Under</t>
        </is>
      </c>
      <c r="U40" s="4" t="n">
        <v>-110</v>
      </c>
      <c r="V40" s="2" t="n">
        <v>1.909090909090909</v>
      </c>
      <c r="W40" s="4" t="n">
        <v>-110</v>
      </c>
      <c r="X40" s="2" t="n">
        <v>1</v>
      </c>
      <c r="Y40" s="5" t="n">
        <v>-1</v>
      </c>
      <c r="Z40" s="7" t="n">
        <v>100</v>
      </c>
      <c r="AA40" s="7">
        <f>Y40*Z40</f>
        <v/>
      </c>
      <c r="AB40" s="6">
        <f>IF(Z40=0,0,AA40/Z40)</f>
        <v/>
      </c>
      <c r="AC40" s="6" t="n"/>
      <c r="AD40" s="2" t="inlineStr">
        <is>
          <t>Loss</t>
        </is>
      </c>
      <c r="AE40" s="6">
        <f>IF((COUNTIF($AD$2:AD40,"Win")+COUNTIF($AD$2:AD40,"Loss"))=0,0,COUNTIF($AD$2:AD40,"Win")/(COUNTIF($AD$2:AD40,"Win")+COUNTIF($AD$2:AD40,"Loss")))</f>
        <v/>
      </c>
      <c r="AF40" s="6">
        <f>SUM($Y$2:Y40)/SUM($X$2:X40)</f>
        <v/>
      </c>
      <c r="AG40" s="5">
        <f>SUM($Y$2:Y40)</f>
        <v/>
      </c>
      <c r="AH40" s="7">
        <f>10000.0+SUM($AA$2:AA40)</f>
        <v/>
      </c>
      <c r="AI40" s="2" t="n">
        <v>2025</v>
      </c>
      <c r="AJ40" s="2" t="inlineStr">
        <is>
          <t>2025-07</t>
        </is>
      </c>
      <c r="AK40" s="2" t="inlineStr">
        <is>
          <t>-119 to -101</t>
        </is>
      </c>
      <c r="AL40" s="2" t="inlineStr">
        <is>
          <t>2025 Validation</t>
        </is>
      </c>
      <c r="AM40" s="6" t="n">
        <v>0.1781227254807013</v>
      </c>
    </row>
    <row r="41">
      <c r="A41" s="2" t="inlineStr">
        <is>
          <t>KPROP-00040</t>
        </is>
      </c>
      <c r="B41" s="3" t="n">
        <v>45850.67403935185</v>
      </c>
      <c r="C41" s="3" t="n">
        <v>45850</v>
      </c>
      <c r="D41" s="2" t="inlineStr">
        <is>
          <t>Brady Singer</t>
        </is>
      </c>
      <c r="E41" s="2" t="n">
        <v>113</v>
      </c>
      <c r="F41" s="2" t="n">
        <v>115</v>
      </c>
      <c r="G41" s="2" t="inlineStr">
        <is>
          <t>Home</t>
        </is>
      </c>
      <c r="H41" s="2" t="inlineStr">
        <is>
          <t>draftkings</t>
        </is>
      </c>
      <c r="I41" s="4" t="n"/>
      <c r="J41" s="4" t="n"/>
      <c r="K41" s="4" t="n">
        <v>125</v>
      </c>
      <c r="L41" s="4" t="n">
        <v>125</v>
      </c>
      <c r="M41" s="5" t="n">
        <v>5.5</v>
      </c>
      <c r="N41" s="5" t="n">
        <v>5.315113076154229</v>
      </c>
      <c r="O41" s="5" t="n">
        <v>5.5</v>
      </c>
      <c r="P41" s="5" t="n">
        <v>0.1848869238457711</v>
      </c>
      <c r="Q41" s="6" t="n">
        <v>0.2619024570501519</v>
      </c>
      <c r="R41" s="6" t="n">
        <v>0.5608455364667342</v>
      </c>
      <c r="S41" s="6" t="n">
        <v>0.4242424242424243</v>
      </c>
      <c r="T41" s="2" t="inlineStr">
        <is>
          <t>Under</t>
        </is>
      </c>
      <c r="U41" s="4" t="n">
        <v>125</v>
      </c>
      <c r="V41" s="2" t="n">
        <v>2.25</v>
      </c>
      <c r="W41" s="4" t="n">
        <v>125</v>
      </c>
      <c r="X41" s="2" t="n">
        <v>1</v>
      </c>
      <c r="Y41" s="5" t="n">
        <v>-1</v>
      </c>
      <c r="Z41" s="7" t="n">
        <v>100</v>
      </c>
      <c r="AA41" s="7">
        <f>Y41*Z41</f>
        <v/>
      </c>
      <c r="AB41" s="6">
        <f>IF(Z41=0,0,AA41/Z41)</f>
        <v/>
      </c>
      <c r="AC41" s="6" t="n"/>
      <c r="AD41" s="2" t="inlineStr">
        <is>
          <t>Loss</t>
        </is>
      </c>
      <c r="AE41" s="6">
        <f>IF((COUNTIF($AD$2:AD41,"Win")+COUNTIF($AD$2:AD41,"Loss"))=0,0,COUNTIF($AD$2:AD41,"Win")/(COUNTIF($AD$2:AD41,"Win")+COUNTIF($AD$2:AD41,"Loss")))</f>
        <v/>
      </c>
      <c r="AF41" s="6">
        <f>SUM($Y$2:Y41)/SUM($X$2:X41)</f>
        <v/>
      </c>
      <c r="AG41" s="5">
        <f>SUM($Y$2:Y41)</f>
        <v/>
      </c>
      <c r="AH41" s="7">
        <f>10000.0+SUM($AA$2:AA41)</f>
        <v/>
      </c>
      <c r="AI41" s="2" t="n">
        <v>2025</v>
      </c>
      <c r="AJ41" s="2" t="inlineStr">
        <is>
          <t>2025-07</t>
        </is>
      </c>
      <c r="AK41" s="2" t="inlineStr">
        <is>
          <t>+121 to +150</t>
        </is>
      </c>
      <c r="AL41" s="2" t="inlineStr">
        <is>
          <t>2025 Validation</t>
        </is>
      </c>
      <c r="AM41" s="6" t="n">
        <v>0.2095219656401215</v>
      </c>
    </row>
    <row r="42">
      <c r="A42" s="2" t="inlineStr">
        <is>
          <t>KPROP-00041</t>
        </is>
      </c>
      <c r="B42" s="3" t="n">
        <v>45850.67403935185</v>
      </c>
      <c r="C42" s="3" t="n">
        <v>45850</v>
      </c>
      <c r="D42" s="2" t="inlineStr">
        <is>
          <t>Brady Singer</t>
        </is>
      </c>
      <c r="E42" s="2" t="n">
        <v>113</v>
      </c>
      <c r="F42" s="2" t="n">
        <v>115</v>
      </c>
      <c r="G42" s="2" t="inlineStr">
        <is>
          <t>Home</t>
        </is>
      </c>
      <c r="H42" s="2" t="inlineStr">
        <is>
          <t>betmgm</t>
        </is>
      </c>
      <c r="I42" s="4" t="n"/>
      <c r="J42" s="4" t="n"/>
      <c r="K42" s="4" t="n">
        <v>-160</v>
      </c>
      <c r="L42" s="4" t="n">
        <v>-160</v>
      </c>
      <c r="M42" s="5" t="n">
        <v>6.5</v>
      </c>
      <c r="N42" s="5" t="n">
        <v>5.315113076154229</v>
      </c>
      <c r="O42" s="5" t="n">
        <v>6.5</v>
      </c>
      <c r="P42" s="5" t="n">
        <v>1.184886923845771</v>
      </c>
      <c r="Q42" s="6" t="n">
        <v>0.1615649715669305</v>
      </c>
      <c r="R42" s="6" t="n">
        <v>0.7148092132719572</v>
      </c>
      <c r="S42" s="6" t="n">
        <v>0.5817245817245817</v>
      </c>
      <c r="T42" s="2" t="inlineStr">
        <is>
          <t>Under</t>
        </is>
      </c>
      <c r="U42" s="4" t="n">
        <v>-160</v>
      </c>
      <c r="V42" s="2" t="n">
        <v>1.625</v>
      </c>
      <c r="W42" s="4" t="n">
        <v>-160</v>
      </c>
      <c r="X42" s="2" t="n">
        <v>1</v>
      </c>
      <c r="Y42" s="5" t="n">
        <v>-1</v>
      </c>
      <c r="Z42" s="7" t="n">
        <v>100</v>
      </c>
      <c r="AA42" s="7">
        <f>Y42*Z42</f>
        <v/>
      </c>
      <c r="AB42" s="6">
        <f>IF(Z42=0,0,AA42/Z42)</f>
        <v/>
      </c>
      <c r="AC42" s="6" t="n"/>
      <c r="AD42" s="2" t="inlineStr">
        <is>
          <t>Loss</t>
        </is>
      </c>
      <c r="AE42" s="6">
        <f>IF((COUNTIF($AD$2:AD42,"Win")+COUNTIF($AD$2:AD42,"Loss"))=0,0,COUNTIF($AD$2:AD42,"Win")/(COUNTIF($AD$2:AD42,"Win")+COUNTIF($AD$2:AD42,"Loss")))</f>
        <v/>
      </c>
      <c r="AF42" s="6">
        <f>SUM($Y$2:Y42)/SUM($X$2:X42)</f>
        <v/>
      </c>
      <c r="AG42" s="5">
        <f>SUM($Y$2:Y42)</f>
        <v/>
      </c>
      <c r="AH42" s="7">
        <f>10000.0+SUM($AA$2:AA42)</f>
        <v/>
      </c>
      <c r="AI42" s="2" t="n">
        <v>2025</v>
      </c>
      <c r="AJ42" s="2" t="inlineStr">
        <is>
          <t>2025-07</t>
        </is>
      </c>
      <c r="AK42" s="2" t="inlineStr">
        <is>
          <t>&lt;= -150</t>
        </is>
      </c>
      <c r="AL42" s="2" t="inlineStr">
        <is>
          <t>2025 Validation</t>
        </is>
      </c>
      <c r="AM42" s="6" t="n">
        <v>0.2585039545070888</v>
      </c>
    </row>
    <row r="43">
      <c r="A43" s="2" t="inlineStr">
        <is>
          <t>KPROP-00042</t>
        </is>
      </c>
      <c r="B43" s="3" t="n">
        <v>45850.81641203703</v>
      </c>
      <c r="C43" s="3" t="n">
        <v>45850</v>
      </c>
      <c r="D43" s="2" t="inlineStr">
        <is>
          <t>Framber Valdez</t>
        </is>
      </c>
      <c r="E43" s="2" t="n">
        <v>117</v>
      </c>
      <c r="F43" s="2" t="n">
        <v>140</v>
      </c>
      <c r="G43" s="2" t="inlineStr">
        <is>
          <t>Home</t>
        </is>
      </c>
      <c r="H43" s="2" t="inlineStr">
        <is>
          <t>fanduel</t>
        </is>
      </c>
      <c r="I43" s="4" t="n"/>
      <c r="J43" s="4" t="n"/>
      <c r="K43" s="4" t="n">
        <v>-128</v>
      </c>
      <c r="L43" s="4" t="n">
        <v>-128</v>
      </c>
      <c r="M43" s="5" t="n">
        <v>6.5</v>
      </c>
      <c r="N43" s="5" t="n">
        <v>5.579702908189972</v>
      </c>
      <c r="O43" s="5" t="n">
        <v>6.5</v>
      </c>
      <c r="P43" s="5" t="n">
        <v>0.9202970918100277</v>
      </c>
      <c r="Q43" s="6" t="n">
        <v>0.1996191890072433</v>
      </c>
      <c r="R43" s="6" t="n">
        <v>0.6734704218988032</v>
      </c>
      <c r="S43" s="6" t="n">
        <v>0.5350734094616639</v>
      </c>
      <c r="T43" s="2" t="inlineStr">
        <is>
          <t>Under</t>
        </is>
      </c>
      <c r="U43" s="4" t="n">
        <v>-128</v>
      </c>
      <c r="V43" s="2" t="n">
        <v>1.78125</v>
      </c>
      <c r="W43" s="4" t="n">
        <v>-128</v>
      </c>
      <c r="X43" s="2" t="n">
        <v>1</v>
      </c>
      <c r="Y43" s="5" t="n">
        <v>-1</v>
      </c>
      <c r="Z43" s="7" t="n">
        <v>100</v>
      </c>
      <c r="AA43" s="7">
        <f>Y43*Z43</f>
        <v/>
      </c>
      <c r="AB43" s="6">
        <f>IF(Z43=0,0,AA43/Z43)</f>
        <v/>
      </c>
      <c r="AC43" s="6" t="n"/>
      <c r="AD43" s="2" t="inlineStr">
        <is>
          <t>Loss</t>
        </is>
      </c>
      <c r="AE43" s="6">
        <f>IF((COUNTIF($AD$2:AD43,"Win")+COUNTIF($AD$2:AD43,"Loss"))=0,0,COUNTIF($AD$2:AD43,"Win")/(COUNTIF($AD$2:AD43,"Win")+COUNTIF($AD$2:AD43,"Loss")))</f>
        <v/>
      </c>
      <c r="AF43" s="6">
        <f>SUM($Y$2:Y43)/SUM($X$2:X43)</f>
        <v/>
      </c>
      <c r="AG43" s="5">
        <f>SUM($Y$2:Y43)</f>
        <v/>
      </c>
      <c r="AH43" s="7">
        <f>10000.0+SUM($AA$2:AA43)</f>
        <v/>
      </c>
      <c r="AI43" s="2" t="n">
        <v>2025</v>
      </c>
      <c r="AJ43" s="2" t="inlineStr">
        <is>
          <t>2025-07</t>
        </is>
      </c>
      <c r="AK43" s="2" t="inlineStr">
        <is>
          <t>-149 to -120</t>
        </is>
      </c>
      <c r="AL43" s="2" t="inlineStr">
        <is>
          <t>2025 Validation</t>
        </is>
      </c>
      <c r="AM43" s="6" t="n">
        <v>0.2555125619292714</v>
      </c>
    </row>
    <row r="44">
      <c r="A44" s="2" t="inlineStr">
        <is>
          <t>KPROP-00043</t>
        </is>
      </c>
      <c r="B44" s="3" t="n">
        <v>45850.67403935185</v>
      </c>
      <c r="C44" s="3" t="n">
        <v>45850</v>
      </c>
      <c r="D44" s="2" t="inlineStr">
        <is>
          <t>Garrett Crochet</t>
        </is>
      </c>
      <c r="E44" s="2" t="n">
        <v>111</v>
      </c>
      <c r="F44" s="2" t="n">
        <v>139</v>
      </c>
      <c r="G44" s="2" t="inlineStr">
        <is>
          <t>Home</t>
        </is>
      </c>
      <c r="H44" s="2" t="inlineStr">
        <is>
          <t>betrivers</t>
        </is>
      </c>
      <c r="I44" s="4" t="n"/>
      <c r="J44" s="4" t="n"/>
      <c r="K44" s="4" t="n">
        <v>132</v>
      </c>
      <c r="L44" s="4" t="n">
        <v>132</v>
      </c>
      <c r="M44" s="5" t="n">
        <v>6.5</v>
      </c>
      <c r="N44" s="5" t="n">
        <v>6.713673233589651</v>
      </c>
      <c r="O44" s="5" t="n">
        <v>6.5</v>
      </c>
      <c r="P44" s="5" t="n">
        <v>-0.2136732335896507</v>
      </c>
      <c r="Q44" s="6" t="n">
        <v>0.1441870463827042</v>
      </c>
      <c r="R44" s="6" t="n">
        <v>0.4931840717166828</v>
      </c>
      <c r="S44" s="6" t="n">
        <v>0.4004316710212427</v>
      </c>
      <c r="T44" s="2" t="inlineStr">
        <is>
          <t>Under</t>
        </is>
      </c>
      <c r="U44" s="4" t="n">
        <v>132</v>
      </c>
      <c r="V44" s="2" t="n">
        <v>2.32</v>
      </c>
      <c r="W44" s="4" t="n">
        <v>132</v>
      </c>
      <c r="X44" s="2" t="n">
        <v>1</v>
      </c>
      <c r="Y44" s="5" t="n">
        <v>-1</v>
      </c>
      <c r="Z44" s="7" t="n">
        <v>100</v>
      </c>
      <c r="AA44" s="7">
        <f>Y44*Z44</f>
        <v/>
      </c>
      <c r="AB44" s="6">
        <f>IF(Z44=0,0,AA44/Z44)</f>
        <v/>
      </c>
      <c r="AC44" s="6" t="n"/>
      <c r="AD44" s="2" t="inlineStr">
        <is>
          <t>Loss</t>
        </is>
      </c>
      <c r="AE44" s="6">
        <f>IF((COUNTIF($AD$2:AD44,"Win")+COUNTIF($AD$2:AD44,"Loss"))=0,0,COUNTIF($AD$2:AD44,"Win")/(COUNTIF($AD$2:AD44,"Win")+COUNTIF($AD$2:AD44,"Loss")))</f>
        <v/>
      </c>
      <c r="AF44" s="6">
        <f>SUM($Y$2:Y44)/SUM($X$2:X44)</f>
        <v/>
      </c>
      <c r="AG44" s="5">
        <f>SUM($Y$2:Y44)</f>
        <v/>
      </c>
      <c r="AH44" s="7">
        <f>10000.0+SUM($AA$2:AA44)</f>
        <v/>
      </c>
      <c r="AI44" s="2" t="n">
        <v>2025</v>
      </c>
      <c r="AJ44" s="2" t="inlineStr">
        <is>
          <t>2025-07</t>
        </is>
      </c>
      <c r="AK44" s="2" t="inlineStr">
        <is>
          <t>+121 to +150</t>
        </is>
      </c>
      <c r="AL44" s="2" t="inlineStr">
        <is>
          <t>2025 Validation</t>
        </is>
      </c>
      <c r="AM44" s="6" t="n">
        <v>0.109232610895988</v>
      </c>
    </row>
    <row r="45">
      <c r="A45" s="2" t="inlineStr">
        <is>
          <t>KPROP-00044</t>
        </is>
      </c>
      <c r="B45" s="3" t="n">
        <v>45850.67403935185</v>
      </c>
      <c r="C45" s="3" t="n">
        <v>45850</v>
      </c>
      <c r="D45" s="2" t="inlineStr">
        <is>
          <t>Garrett Crochet</t>
        </is>
      </c>
      <c r="E45" s="2" t="n">
        <v>111</v>
      </c>
      <c r="F45" s="2" t="n">
        <v>139</v>
      </c>
      <c r="G45" s="2" t="inlineStr">
        <is>
          <t>Home</t>
        </is>
      </c>
      <c r="H45" s="2" t="inlineStr">
        <is>
          <t>fanduel</t>
        </is>
      </c>
      <c r="I45" s="4" t="n"/>
      <c r="J45" s="4" t="n"/>
      <c r="K45" s="4" t="n">
        <v>-136</v>
      </c>
      <c r="L45" s="4" t="n">
        <v>-136</v>
      </c>
      <c r="M45" s="5" t="n">
        <v>7.5</v>
      </c>
      <c r="N45" s="5" t="n">
        <v>6.713673233589651</v>
      </c>
      <c r="O45" s="5" t="n">
        <v>7.5</v>
      </c>
      <c r="P45" s="5" t="n">
        <v>0.7863267664103493</v>
      </c>
      <c r="Q45" s="6" t="n">
        <v>0.1128310132486224</v>
      </c>
      <c r="R45" s="6" t="n">
        <v>0.6412924483127654</v>
      </c>
      <c r="S45" s="6" t="n">
        <v>0.5475460122699387</v>
      </c>
      <c r="T45" s="2" t="inlineStr">
        <is>
          <t>Under</t>
        </is>
      </c>
      <c r="U45" s="4" t="n">
        <v>-136</v>
      </c>
      <c r="V45" s="2" t="n">
        <v>1.735294117647059</v>
      </c>
      <c r="W45" s="4" t="n">
        <v>-136</v>
      </c>
      <c r="X45" s="2" t="n">
        <v>1</v>
      </c>
      <c r="Y45" s="5" t="n">
        <v>-1</v>
      </c>
      <c r="Z45" s="7" t="n">
        <v>100</v>
      </c>
      <c r="AA45" s="7">
        <f>Y45*Z45</f>
        <v/>
      </c>
      <c r="AB45" s="6">
        <f>IF(Z45=0,0,AA45/Z45)</f>
        <v/>
      </c>
      <c r="AC45" s="6" t="n"/>
      <c r="AD45" s="2" t="inlineStr">
        <is>
          <t>Loss</t>
        </is>
      </c>
      <c r="AE45" s="6">
        <f>IF((COUNTIF($AD$2:AD45,"Win")+COUNTIF($AD$2:AD45,"Loss"))=0,0,COUNTIF($AD$2:AD45,"Win")/(COUNTIF($AD$2:AD45,"Win")+COUNTIF($AD$2:AD45,"Loss")))</f>
        <v/>
      </c>
      <c r="AF45" s="6">
        <f>SUM($Y$2:Y45)/SUM($X$2:X45)</f>
        <v/>
      </c>
      <c r="AG45" s="5">
        <f>SUM($Y$2:Y45)</f>
        <v/>
      </c>
      <c r="AH45" s="7">
        <f>10000.0+SUM($AA$2:AA45)</f>
        <v/>
      </c>
      <c r="AI45" s="2" t="n">
        <v>2025</v>
      </c>
      <c r="AJ45" s="2" t="inlineStr">
        <is>
          <t>2025-07</t>
        </is>
      </c>
      <c r="AK45" s="2" t="inlineStr">
        <is>
          <t>-149 to -120</t>
        </is>
      </c>
      <c r="AL45" s="2" t="inlineStr">
        <is>
          <t>2025 Validation</t>
        </is>
      </c>
      <c r="AM45" s="6" t="n">
        <v>0.1534501780181265</v>
      </c>
    </row>
    <row r="46">
      <c r="A46" s="2" t="inlineStr">
        <is>
          <t>KPROP-00045</t>
        </is>
      </c>
      <c r="B46" s="3" t="n">
        <v>45850.59071759259</v>
      </c>
      <c r="C46" s="3" t="n">
        <v>45850</v>
      </c>
      <c r="D46" s="2" t="inlineStr">
        <is>
          <t>Mike Burrows</t>
        </is>
      </c>
      <c r="E46" s="2" t="n">
        <v>134</v>
      </c>
      <c r="F46" s="2" t="n">
        <v>142</v>
      </c>
      <c r="G46" s="2" t="inlineStr">
        <is>
          <t>Away</t>
        </is>
      </c>
      <c r="H46" s="2" t="inlineStr">
        <is>
          <t>bovada</t>
        </is>
      </c>
      <c r="I46" s="4" t="n"/>
      <c r="J46" s="4" t="n"/>
      <c r="K46" s="4" t="n">
        <v>130</v>
      </c>
      <c r="L46" s="4" t="n">
        <v>130</v>
      </c>
      <c r="M46" s="5" t="n">
        <v>4.5</v>
      </c>
      <c r="N46" s="5" t="n">
        <v>4.803504426511019</v>
      </c>
      <c r="O46" s="5" t="n">
        <v>4.5</v>
      </c>
      <c r="P46" s="5" t="n">
        <v>-0.3035044265110187</v>
      </c>
      <c r="Q46" s="6" t="n">
        <v>0.09392837687672706</v>
      </c>
      <c r="R46" s="6" t="n">
        <v>0.475621033424664</v>
      </c>
      <c r="S46" s="6" t="n">
        <v>0.4270462633451957</v>
      </c>
      <c r="T46" s="2" t="inlineStr">
        <is>
          <t>Under</t>
        </is>
      </c>
      <c r="U46" s="4" t="n">
        <v>130</v>
      </c>
      <c r="V46" s="2" t="n">
        <v>2.3</v>
      </c>
      <c r="W46" s="4" t="n">
        <v>130</v>
      </c>
      <c r="X46" s="2" t="n">
        <v>1</v>
      </c>
      <c r="Y46" s="5" t="n">
        <v>1.3</v>
      </c>
      <c r="Z46" s="7" t="n">
        <v>100</v>
      </c>
      <c r="AA46" s="7">
        <f>Y46*Z46</f>
        <v/>
      </c>
      <c r="AB46" s="6">
        <f>IF(Z46=0,0,AA46/Z46)</f>
        <v/>
      </c>
      <c r="AC46" s="6" t="n"/>
      <c r="AD46" s="2" t="inlineStr">
        <is>
          <t>Win</t>
        </is>
      </c>
      <c r="AE46" s="6">
        <f>IF((COUNTIF($AD$2:AD46,"Win")+COUNTIF($AD$2:AD46,"Loss"))=0,0,COUNTIF($AD$2:AD46,"Win")/(COUNTIF($AD$2:AD46,"Win")+COUNTIF($AD$2:AD46,"Loss")))</f>
        <v/>
      </c>
      <c r="AF46" s="6">
        <f>SUM($Y$2:Y46)/SUM($X$2:X46)</f>
        <v/>
      </c>
      <c r="AG46" s="5">
        <f>SUM($Y$2:Y46)</f>
        <v/>
      </c>
      <c r="AH46" s="7">
        <f>10000.0+SUM($AA$2:AA46)</f>
        <v/>
      </c>
      <c r="AI46" s="2" t="n">
        <v>2025</v>
      </c>
      <c r="AJ46" s="2" t="inlineStr">
        <is>
          <t>2025-07</t>
        </is>
      </c>
      <c r="AK46" s="2" t="inlineStr">
        <is>
          <t>+121 to +150</t>
        </is>
      </c>
      <c r="AL46" s="2" t="inlineStr">
        <is>
          <t>2025 Validation</t>
        </is>
      </c>
      <c r="AM46" s="6" t="n">
        <v>0.07225259759748236</v>
      </c>
    </row>
    <row r="47">
      <c r="A47" s="2" t="inlineStr">
        <is>
          <t>KPROP-00046</t>
        </is>
      </c>
      <c r="B47" s="3" t="n">
        <v>45851.56640046297</v>
      </c>
      <c r="C47" s="3" t="n">
        <v>45851</v>
      </c>
      <c r="D47" s="2" t="inlineStr">
        <is>
          <t>Austin Gomber</t>
        </is>
      </c>
      <c r="E47" s="2" t="n">
        <v>115</v>
      </c>
      <c r="F47" s="2" t="n">
        <v>113</v>
      </c>
      <c r="G47" s="2" t="inlineStr">
        <is>
          <t>Away</t>
        </is>
      </c>
      <c r="H47" s="2" t="inlineStr">
        <is>
          <t>betmgm</t>
        </is>
      </c>
      <c r="I47" s="4" t="n"/>
      <c r="J47" s="4" t="n"/>
      <c r="K47" s="4" t="n">
        <v>-110</v>
      </c>
      <c r="L47" s="4" t="n">
        <v>-110</v>
      </c>
      <c r="M47" s="5" t="n">
        <v>3.5</v>
      </c>
      <c r="N47" s="5" t="n">
        <v>3.381818511506641</v>
      </c>
      <c r="O47" s="5" t="n">
        <v>3.5</v>
      </c>
      <c r="P47" s="5" t="n">
        <v>0.1181814884933585</v>
      </c>
      <c r="Q47" s="6" t="n">
        <v>0.07355061757925219</v>
      </c>
      <c r="R47" s="6" t="n">
        <v>0.5623360377796083</v>
      </c>
      <c r="S47" s="6" t="n">
        <v>0.5056053811659194</v>
      </c>
      <c r="T47" s="2" t="inlineStr">
        <is>
          <t>Under</t>
        </is>
      </c>
      <c r="U47" s="4" t="n">
        <v>-110</v>
      </c>
      <c r="V47" s="2" t="n">
        <v>1.909090909090909</v>
      </c>
      <c r="W47" s="4" t="n">
        <v>-110</v>
      </c>
      <c r="X47" s="2" t="n">
        <v>1</v>
      </c>
      <c r="Y47" s="5" t="n">
        <v>0.9090909090909092</v>
      </c>
      <c r="Z47" s="7" t="n">
        <v>100</v>
      </c>
      <c r="AA47" s="7">
        <f>Y47*Z47</f>
        <v/>
      </c>
      <c r="AB47" s="6">
        <f>IF(Z47=0,0,AA47/Z47)</f>
        <v/>
      </c>
      <c r="AC47" s="6" t="n"/>
      <c r="AD47" s="2" t="inlineStr">
        <is>
          <t>Win</t>
        </is>
      </c>
      <c r="AE47" s="6">
        <f>IF((COUNTIF($AD$2:AD47,"Win")+COUNTIF($AD$2:AD47,"Loss"))=0,0,COUNTIF($AD$2:AD47,"Win")/(COUNTIF($AD$2:AD47,"Win")+COUNTIF($AD$2:AD47,"Loss")))</f>
        <v/>
      </c>
      <c r="AF47" s="6">
        <f>SUM($Y$2:Y47)/SUM($X$2:X47)</f>
        <v/>
      </c>
      <c r="AG47" s="5">
        <f>SUM($Y$2:Y47)</f>
        <v/>
      </c>
      <c r="AH47" s="7">
        <f>10000.0+SUM($AA$2:AA47)</f>
        <v/>
      </c>
      <c r="AI47" s="2" t="n">
        <v>2025</v>
      </c>
      <c r="AJ47" s="2" t="inlineStr">
        <is>
          <t>2025-07</t>
        </is>
      </c>
      <c r="AK47" s="2" t="inlineStr">
        <is>
          <t>-119 to -101</t>
        </is>
      </c>
      <c r="AL47" s="2" t="inlineStr">
        <is>
          <t>2025 Validation</t>
        </is>
      </c>
      <c r="AM47" s="6" t="n">
        <v>0.08090567933717739</v>
      </c>
    </row>
    <row r="48">
      <c r="A48" s="2" t="inlineStr">
        <is>
          <t>KPROP-00047</t>
        </is>
      </c>
      <c r="B48" s="3" t="n">
        <v>45851.59070601852</v>
      </c>
      <c r="C48" s="3" t="n">
        <v>45851</v>
      </c>
      <c r="D48" s="2" t="inlineStr">
        <is>
          <t>Freddy Peralta</t>
        </is>
      </c>
      <c r="E48" s="2" t="n">
        <v>158</v>
      </c>
      <c r="F48" s="2" t="n">
        <v>120</v>
      </c>
      <c r="G48" s="2" t="inlineStr">
        <is>
          <t>Home</t>
        </is>
      </c>
      <c r="H48" s="2" t="inlineStr">
        <is>
          <t>betmgm</t>
        </is>
      </c>
      <c r="I48" s="4" t="n"/>
      <c r="J48" s="4" t="n"/>
      <c r="K48" s="4" t="n">
        <v>-135</v>
      </c>
      <c r="L48" s="4" t="n">
        <v>-135</v>
      </c>
      <c r="M48" s="5" t="n">
        <v>6.5</v>
      </c>
      <c r="N48" s="5" t="n">
        <v>5.671645291876422</v>
      </c>
      <c r="O48" s="5" t="n">
        <v>6.5</v>
      </c>
      <c r="P48" s="5" t="n">
        <v>0.8283547081235785</v>
      </c>
      <c r="Q48" s="6" t="n">
        <v>0.146943043424633</v>
      </c>
      <c r="R48" s="6" t="n">
        <v>0.658882173882236</v>
      </c>
      <c r="S48" s="6" t="n">
        <v>0.552594002855783</v>
      </c>
      <c r="T48" s="2" t="inlineStr">
        <is>
          <t>Under</t>
        </is>
      </c>
      <c r="U48" s="4" t="n">
        <v>-135</v>
      </c>
      <c r="V48" s="2" t="n">
        <v>1.740740740740741</v>
      </c>
      <c r="W48" s="4" t="n">
        <v>-135</v>
      </c>
      <c r="X48" s="2" t="n">
        <v>1</v>
      </c>
      <c r="Y48" s="5" t="n">
        <v>-1</v>
      </c>
      <c r="Z48" s="7" t="n">
        <v>100</v>
      </c>
      <c r="AA48" s="7">
        <f>Y48*Z48</f>
        <v/>
      </c>
      <c r="AB48" s="6">
        <f>IF(Z48=0,0,AA48/Z48)</f>
        <v/>
      </c>
      <c r="AC48" s="6" t="n"/>
      <c r="AD48" s="2" t="inlineStr">
        <is>
          <t>Loss</t>
        </is>
      </c>
      <c r="AE48" s="6">
        <f>IF((COUNTIF($AD$2:AD48,"Win")+COUNTIF($AD$2:AD48,"Loss"))=0,0,COUNTIF($AD$2:AD48,"Win")/(COUNTIF($AD$2:AD48,"Win")+COUNTIF($AD$2:AD48,"Loss")))</f>
        <v/>
      </c>
      <c r="AF48" s="6">
        <f>SUM($Y$2:Y48)/SUM($X$2:X48)</f>
        <v/>
      </c>
      <c r="AG48" s="5">
        <f>SUM($Y$2:Y48)</f>
        <v/>
      </c>
      <c r="AH48" s="7">
        <f>10000.0+SUM($AA$2:AA48)</f>
        <v/>
      </c>
      <c r="AI48" s="2" t="n">
        <v>2025</v>
      </c>
      <c r="AJ48" s="2" t="inlineStr">
        <is>
          <t>2025-07</t>
        </is>
      </c>
      <c r="AK48" s="2" t="inlineStr">
        <is>
          <t>-149 to -120</t>
        </is>
      </c>
      <c r="AL48" s="2" t="inlineStr">
        <is>
          <t>2025 Validation</t>
        </is>
      </c>
      <c r="AM48" s="6" t="n">
        <v>0.1983731086232546</v>
      </c>
    </row>
    <row r="49">
      <c r="A49" s="2" t="inlineStr">
        <is>
          <t>KPROP-00048</t>
        </is>
      </c>
      <c r="B49" s="3" t="n">
        <v>45851.67057870371</v>
      </c>
      <c r="C49" s="3" t="n">
        <v>45851</v>
      </c>
      <c r="D49" s="2" t="inlineStr">
        <is>
          <t>Jeffrey Springs</t>
        </is>
      </c>
      <c r="E49" s="2" t="n">
        <v>133</v>
      </c>
      <c r="F49" s="2" t="n">
        <v>141</v>
      </c>
      <c r="G49" s="2" t="inlineStr">
        <is>
          <t>Home</t>
        </is>
      </c>
      <c r="H49" s="2" t="inlineStr">
        <is>
          <t>draftkings</t>
        </is>
      </c>
      <c r="I49" s="4" t="n"/>
      <c r="J49" s="4" t="n"/>
      <c r="K49" s="4" t="n">
        <v>115</v>
      </c>
      <c r="L49" s="4" t="n">
        <v>115</v>
      </c>
      <c r="M49" s="5" t="n">
        <v>3.5</v>
      </c>
      <c r="N49" s="5" t="n">
        <v>3.679338621579114</v>
      </c>
      <c r="O49" s="5" t="n">
        <v>3.5</v>
      </c>
      <c r="P49" s="5" t="n">
        <v>-0.1793386215791144</v>
      </c>
      <c r="Q49" s="6" t="n">
        <v>0.07171923246594492</v>
      </c>
      <c r="R49" s="6" t="n">
        <v>0.4984740616120674</v>
      </c>
      <c r="S49" s="6" t="n">
        <v>0.4428925847652301</v>
      </c>
      <c r="T49" s="2" t="inlineStr">
        <is>
          <t>Under</t>
        </is>
      </c>
      <c r="U49" s="4" t="n">
        <v>115</v>
      </c>
      <c r="V49" s="2" t="n">
        <v>2.15</v>
      </c>
      <c r="W49" s="4" t="n">
        <v>115</v>
      </c>
      <c r="X49" s="2" t="n">
        <v>1</v>
      </c>
      <c r="Y49" s="5" t="n">
        <v>-1</v>
      </c>
      <c r="Z49" s="7" t="n">
        <v>100</v>
      </c>
      <c r="AA49" s="7">
        <f>Y49*Z49</f>
        <v/>
      </c>
      <c r="AB49" s="6">
        <f>IF(Z49=0,0,AA49/Z49)</f>
        <v/>
      </c>
      <c r="AC49" s="6" t="n"/>
      <c r="AD49" s="2" t="inlineStr">
        <is>
          <t>Loss</t>
        </is>
      </c>
      <c r="AE49" s="6">
        <f>IF((COUNTIF($AD$2:AD49,"Win")+COUNTIF($AD$2:AD49,"Loss"))=0,0,COUNTIF($AD$2:AD49,"Win")/(COUNTIF($AD$2:AD49,"Win")+COUNTIF($AD$2:AD49,"Loss")))</f>
        <v/>
      </c>
      <c r="AF49" s="6">
        <f>SUM($Y$2:Y49)/SUM($X$2:X49)</f>
        <v/>
      </c>
      <c r="AG49" s="5">
        <f>SUM($Y$2:Y49)</f>
        <v/>
      </c>
      <c r="AH49" s="7">
        <f>10000.0+SUM($AA$2:AA49)</f>
        <v/>
      </c>
      <c r="AI49" s="2" t="n">
        <v>2025</v>
      </c>
      <c r="AJ49" s="2" t="inlineStr">
        <is>
          <t>2025-07</t>
        </is>
      </c>
      <c r="AK49" s="2" t="inlineStr">
        <is>
          <t>+100 to +120</t>
        </is>
      </c>
      <c r="AL49" s="2" t="inlineStr">
        <is>
          <t>2025 Validation</t>
        </is>
      </c>
      <c r="AM49" s="6" t="n">
        <v>0.06236454997038689</v>
      </c>
    </row>
    <row r="50">
      <c r="A50" s="2" t="inlineStr">
        <is>
          <t>KPROP-00049</t>
        </is>
      </c>
      <c r="B50" s="3" t="n">
        <v>45851.59070601852</v>
      </c>
      <c r="C50" s="3" t="n">
        <v>45851</v>
      </c>
      <c r="D50" s="2" t="inlineStr">
        <is>
          <t>Nathan Eovaldi</t>
        </is>
      </c>
      <c r="E50" s="2" t="n">
        <v>140</v>
      </c>
      <c r="F50" s="2" t="n">
        <v>117</v>
      </c>
      <c r="G50" s="2" t="inlineStr">
        <is>
          <t>Away</t>
        </is>
      </c>
      <c r="H50" s="2" t="inlineStr">
        <is>
          <t>fanduel</t>
        </is>
      </c>
      <c r="I50" s="4" t="n"/>
      <c r="J50" s="4" t="n"/>
      <c r="K50" s="4" t="n">
        <v>130</v>
      </c>
      <c r="L50" s="4" t="n">
        <v>130</v>
      </c>
      <c r="M50" s="5" t="n">
        <v>4.5</v>
      </c>
      <c r="N50" s="5" t="n">
        <v>4.558931977733761</v>
      </c>
      <c r="O50" s="5" t="n">
        <v>4.5</v>
      </c>
      <c r="P50" s="5" t="n">
        <v>-0.05893197773376091</v>
      </c>
      <c r="Q50" s="6" t="n">
        <v>0.1981979823028697</v>
      </c>
      <c r="R50" s="6" t="n">
        <v>0.5209556444795086</v>
      </c>
      <c r="S50" s="6" t="n">
        <v>0.4170073589533933</v>
      </c>
      <c r="T50" s="2" t="inlineStr">
        <is>
          <t>Under</t>
        </is>
      </c>
      <c r="U50" s="4" t="n">
        <v>130</v>
      </c>
      <c r="V50" s="2" t="n">
        <v>2.3</v>
      </c>
      <c r="W50" s="4" t="n">
        <v>130</v>
      </c>
      <c r="X50" s="2" t="n">
        <v>1</v>
      </c>
      <c r="Y50" s="5" t="n">
        <v>-1</v>
      </c>
      <c r="Z50" s="7" t="n">
        <v>100</v>
      </c>
      <c r="AA50" s="7">
        <f>Y50*Z50</f>
        <v/>
      </c>
      <c r="AB50" s="6">
        <f>IF(Z50=0,0,AA50/Z50)</f>
        <v/>
      </c>
      <c r="AC50" s="6" t="n"/>
      <c r="AD50" s="2" t="inlineStr">
        <is>
          <t>Loss</t>
        </is>
      </c>
      <c r="AE50" s="6">
        <f>IF((COUNTIF($AD$2:AD50,"Win")+COUNTIF($AD$2:AD50,"Loss"))=0,0,COUNTIF($AD$2:AD50,"Win")/(COUNTIF($AD$2:AD50,"Win")+COUNTIF($AD$2:AD50,"Loss")))</f>
        <v/>
      </c>
      <c r="AF50" s="6">
        <f>SUM($Y$2:Y50)/SUM($X$2:X50)</f>
        <v/>
      </c>
      <c r="AG50" s="5">
        <f>SUM($Y$2:Y50)</f>
        <v/>
      </c>
      <c r="AH50" s="7">
        <f>10000.0+SUM($AA$2:AA50)</f>
        <v/>
      </c>
      <c r="AI50" s="2" t="n">
        <v>2025</v>
      </c>
      <c r="AJ50" s="2" t="inlineStr">
        <is>
          <t>2025-07</t>
        </is>
      </c>
      <c r="AK50" s="2" t="inlineStr">
        <is>
          <t>+121 to +150</t>
        </is>
      </c>
      <c r="AL50" s="2" t="inlineStr">
        <is>
          <t>2025 Validation</t>
        </is>
      </c>
      <c r="AM50" s="6" t="n">
        <v>0.1524599863868228</v>
      </c>
    </row>
    <row r="51">
      <c r="A51" s="2" t="inlineStr">
        <is>
          <t>KPROP-00050</t>
        </is>
      </c>
      <c r="B51" s="3" t="n">
        <v>45851.59070601852</v>
      </c>
      <c r="C51" s="3" t="n">
        <v>45851</v>
      </c>
      <c r="D51" s="2" t="inlineStr">
        <is>
          <t>Nathan Eovaldi</t>
        </is>
      </c>
      <c r="E51" s="2" t="n">
        <v>140</v>
      </c>
      <c r="F51" s="2" t="n">
        <v>117</v>
      </c>
      <c r="G51" s="2" t="inlineStr">
        <is>
          <t>Away</t>
        </is>
      </c>
      <c r="H51" s="2" t="inlineStr">
        <is>
          <t>fanatics</t>
        </is>
      </c>
      <c r="I51" s="4" t="n"/>
      <c r="J51" s="4" t="n"/>
      <c r="K51" s="4" t="n">
        <v>-160</v>
      </c>
      <c r="L51" s="4" t="n">
        <v>-160</v>
      </c>
      <c r="M51" s="5" t="n">
        <v>5.5</v>
      </c>
      <c r="N51" s="5" t="n">
        <v>4.558931977733761</v>
      </c>
      <c r="O51" s="5" t="n">
        <v>5.5</v>
      </c>
      <c r="P51" s="5" t="n">
        <v>0.9410680222662391</v>
      </c>
      <c r="Q51" s="6" t="n">
        <v>0.1258514712408474</v>
      </c>
      <c r="R51" s="6" t="n">
        <v>0.6928316746097523</v>
      </c>
      <c r="S51" s="6" t="n">
        <v>0.5806451612903226</v>
      </c>
      <c r="T51" s="2" t="inlineStr">
        <is>
          <t>Under</t>
        </is>
      </c>
      <c r="U51" s="4" t="n">
        <v>-160</v>
      </c>
      <c r="V51" s="2" t="n">
        <v>1.625</v>
      </c>
      <c r="W51" s="4" t="n">
        <v>-160</v>
      </c>
      <c r="X51" s="2" t="n">
        <v>1</v>
      </c>
      <c r="Y51" s="5" t="n">
        <v>-1</v>
      </c>
      <c r="Z51" s="7" t="n">
        <v>100</v>
      </c>
      <c r="AA51" s="7">
        <f>Y51*Z51</f>
        <v/>
      </c>
      <c r="AB51" s="6">
        <f>IF(Z51=0,0,AA51/Z51)</f>
        <v/>
      </c>
      <c r="AC51" s="6" t="n"/>
      <c r="AD51" s="2" t="inlineStr">
        <is>
          <t>Loss</t>
        </is>
      </c>
      <c r="AE51" s="6">
        <f>IF((COUNTIF($AD$2:AD51,"Win")+COUNTIF($AD$2:AD51,"Loss"))=0,0,COUNTIF($AD$2:AD51,"Win")/(COUNTIF($AD$2:AD51,"Win")+COUNTIF($AD$2:AD51,"Loss")))</f>
        <v/>
      </c>
      <c r="AF51" s="6">
        <f>SUM($Y$2:Y51)/SUM($X$2:X51)</f>
        <v/>
      </c>
      <c r="AG51" s="5">
        <f>SUM($Y$2:Y51)</f>
        <v/>
      </c>
      <c r="AH51" s="7">
        <f>10000.0+SUM($AA$2:AA51)</f>
        <v/>
      </c>
      <c r="AI51" s="2" t="n">
        <v>2025</v>
      </c>
      <c r="AJ51" s="2" t="inlineStr">
        <is>
          <t>2025-07</t>
        </is>
      </c>
      <c r="AK51" s="2" t="inlineStr">
        <is>
          <t>&lt;= -150</t>
        </is>
      </c>
      <c r="AL51" s="2" t="inlineStr">
        <is>
          <t>2025 Validation</t>
        </is>
      </c>
      <c r="AM51" s="6" t="n">
        <v>0.2013623539853558</v>
      </c>
    </row>
    <row r="52">
      <c r="A52" s="2" t="inlineStr">
        <is>
          <t>KPROP-00051</t>
        </is>
      </c>
      <c r="B52" s="3" t="n">
        <v>45851.56640046297</v>
      </c>
      <c r="C52" s="3" t="n">
        <v>45851</v>
      </c>
      <c r="D52" s="2" t="inlineStr">
        <is>
          <t>Shota Imanaga</t>
        </is>
      </c>
      <c r="E52" s="2" t="n">
        <v>112</v>
      </c>
      <c r="F52" s="2" t="n">
        <v>147</v>
      </c>
      <c r="G52" s="2" t="inlineStr">
        <is>
          <t>Away</t>
        </is>
      </c>
      <c r="H52" s="2" t="inlineStr">
        <is>
          <t>fanduel</t>
        </is>
      </c>
      <c r="I52" s="4" t="n"/>
      <c r="J52" s="4" t="n"/>
      <c r="K52" s="4" t="n">
        <v>118</v>
      </c>
      <c r="L52" s="4" t="n">
        <v>118</v>
      </c>
      <c r="M52" s="5" t="n">
        <v>4.5</v>
      </c>
      <c r="N52" s="5" t="n">
        <v>4.71624153683377</v>
      </c>
      <c r="O52" s="5" t="n">
        <v>4.5</v>
      </c>
      <c r="P52" s="5" t="n">
        <v>-0.2162415368337696</v>
      </c>
      <c r="Q52" s="6" t="n">
        <v>0.07170755452875133</v>
      </c>
      <c r="R52" s="6" t="n">
        <v>0.4916089699673172</v>
      </c>
      <c r="S52" s="6" t="n">
        <v>0.4402054292002935</v>
      </c>
      <c r="T52" s="2" t="inlineStr">
        <is>
          <t>Under</t>
        </is>
      </c>
      <c r="U52" s="4" t="n">
        <v>118</v>
      </c>
      <c r="V52" s="2" t="n">
        <v>2.18</v>
      </c>
      <c r="W52" s="4" t="n">
        <v>118</v>
      </c>
      <c r="X52" s="2" t="n">
        <v>1</v>
      </c>
      <c r="Y52" s="5" t="n">
        <v>-1</v>
      </c>
      <c r="Z52" s="7" t="n">
        <v>100</v>
      </c>
      <c r="AA52" s="7">
        <f>Y52*Z52</f>
        <v/>
      </c>
      <c r="AB52" s="6">
        <f>IF(Z52=0,0,AA52/Z52)</f>
        <v/>
      </c>
      <c r="AC52" s="6" t="n"/>
      <c r="AD52" s="2" t="inlineStr">
        <is>
          <t>Loss</t>
        </is>
      </c>
      <c r="AE52" s="6">
        <f>IF((COUNTIF($AD$2:AD52,"Win")+COUNTIF($AD$2:AD52,"Loss"))=0,0,COUNTIF($AD$2:AD52,"Win")/(COUNTIF($AD$2:AD52,"Win")+COUNTIF($AD$2:AD52,"Loss")))</f>
        <v/>
      </c>
      <c r="AF52" s="6">
        <f>SUM($Y$2:Y52)/SUM($X$2:X52)</f>
        <v/>
      </c>
      <c r="AG52" s="5">
        <f>SUM($Y$2:Y52)</f>
        <v/>
      </c>
      <c r="AH52" s="7">
        <f>10000.0+SUM($AA$2:AA52)</f>
        <v/>
      </c>
      <c r="AI52" s="2" t="n">
        <v>2025</v>
      </c>
      <c r="AJ52" s="2" t="inlineStr">
        <is>
          <t>2025-07</t>
        </is>
      </c>
      <c r="AK52" s="2" t="inlineStr">
        <is>
          <t>+100 to +120</t>
        </is>
      </c>
      <c r="AL52" s="2" t="inlineStr">
        <is>
          <t>2025 Validation</t>
        </is>
      </c>
      <c r="AM52" s="6" t="n">
        <v>0.06076911400741639</v>
      </c>
    </row>
    <row r="53">
      <c r="A53" s="2" t="inlineStr">
        <is>
          <t>KPROP-00052</t>
        </is>
      </c>
      <c r="B53" s="3" t="n">
        <v>45851.67057870371</v>
      </c>
      <c r="C53" s="3" t="n">
        <v>45851</v>
      </c>
      <c r="D53" s="2" t="inlineStr">
        <is>
          <t>Yoshinobu Yamamoto</t>
        </is>
      </c>
      <c r="E53" s="2" t="n">
        <v>119</v>
      </c>
      <c r="F53" s="2" t="n">
        <v>137</v>
      </c>
      <c r="G53" s="2" t="inlineStr">
        <is>
          <t>Away</t>
        </is>
      </c>
      <c r="H53" s="2" t="inlineStr">
        <is>
          <t>draftkings</t>
        </is>
      </c>
      <c r="I53" s="4" t="n"/>
      <c r="J53" s="4" t="n"/>
      <c r="K53" s="4" t="n">
        <v>120</v>
      </c>
      <c r="L53" s="4" t="n">
        <v>120</v>
      </c>
      <c r="M53" s="5" t="n">
        <v>5.5</v>
      </c>
      <c r="N53" s="5" t="n">
        <v>5.298894020837397</v>
      </c>
      <c r="O53" s="5" t="n">
        <v>5.5</v>
      </c>
      <c r="P53" s="5" t="n">
        <v>0.2011059791626026</v>
      </c>
      <c r="Q53" s="6" t="n">
        <v>0.2400647360194424</v>
      </c>
      <c r="R53" s="6" t="n">
        <v>0.5636657890997465</v>
      </c>
      <c r="S53" s="6" t="n">
        <v>0.4594017094017094</v>
      </c>
      <c r="T53" s="2" t="inlineStr">
        <is>
          <t>Under</t>
        </is>
      </c>
      <c r="U53" s="4" t="n">
        <v>120</v>
      </c>
      <c r="V53" s="2" t="n">
        <v>2.2</v>
      </c>
      <c r="W53" s="4" t="n">
        <v>120</v>
      </c>
      <c r="X53" s="2" t="n">
        <v>1</v>
      </c>
      <c r="Y53" s="5" t="n">
        <v>-1</v>
      </c>
      <c r="Z53" s="7" t="n">
        <v>100</v>
      </c>
      <c r="AA53" s="7">
        <f>Y53*Z53</f>
        <v/>
      </c>
      <c r="AB53" s="6">
        <f>IF(Z53=0,0,AA53/Z53)</f>
        <v/>
      </c>
      <c r="AC53" s="6" t="n"/>
      <c r="AD53" s="2" t="inlineStr">
        <is>
          <t>Loss</t>
        </is>
      </c>
      <c r="AE53" s="6">
        <f>IF((COUNTIF($AD$2:AD53,"Win")+COUNTIF($AD$2:AD53,"Loss"))=0,0,COUNTIF($AD$2:AD53,"Win")/(COUNTIF($AD$2:AD53,"Win")+COUNTIF($AD$2:AD53,"Loss")))</f>
        <v/>
      </c>
      <c r="AF53" s="6">
        <f>SUM($Y$2:Y53)/SUM($X$2:X53)</f>
        <v/>
      </c>
      <c r="AG53" s="5">
        <f>SUM($Y$2:Y53)</f>
        <v/>
      </c>
      <c r="AH53" s="7">
        <f>10000.0+SUM($AA$2:AA53)</f>
        <v/>
      </c>
      <c r="AI53" s="2" t="n">
        <v>2025</v>
      </c>
      <c r="AJ53" s="2" t="inlineStr">
        <is>
          <t>2025-07</t>
        </is>
      </c>
      <c r="AK53" s="2" t="inlineStr">
        <is>
          <t>+100 to +120</t>
        </is>
      </c>
      <c r="AL53" s="2" t="inlineStr">
        <is>
          <t>2025 Validation</t>
        </is>
      </c>
      <c r="AM53" s="6" t="n">
        <v>0.2000539466828687</v>
      </c>
    </row>
    <row r="54">
      <c r="A54" s="2" t="inlineStr">
        <is>
          <t>KPROP-00053</t>
        </is>
      </c>
      <c r="B54" s="3" t="n">
        <v>45856.79557870371</v>
      </c>
      <c r="C54" s="3" t="n">
        <v>45856</v>
      </c>
      <c r="D54" s="2" t="inlineStr">
        <is>
          <t>Chris Bassitt</t>
        </is>
      </c>
      <c r="E54" s="2" t="n">
        <v>141</v>
      </c>
      <c r="F54" s="2" t="n">
        <v>137</v>
      </c>
      <c r="G54" s="2" t="inlineStr">
        <is>
          <t>Home</t>
        </is>
      </c>
      <c r="H54" s="2" t="inlineStr">
        <is>
          <t>betrivers</t>
        </is>
      </c>
      <c r="I54" s="4" t="n"/>
      <c r="J54" s="4" t="n"/>
      <c r="K54" s="4" t="n">
        <v>140</v>
      </c>
      <c r="L54" s="4" t="n">
        <v>140</v>
      </c>
      <c r="M54" s="5" t="n">
        <v>4.5</v>
      </c>
      <c r="N54" s="5" t="n">
        <v>4.834750752150929</v>
      </c>
      <c r="O54" s="5" t="n">
        <v>4.5</v>
      </c>
      <c r="P54" s="5" t="n">
        <v>-0.3347507521509288</v>
      </c>
      <c r="Q54" s="6" t="n">
        <v>0.1278838807446556</v>
      </c>
      <c r="R54" s="6" t="n">
        <v>0.4699516169769399</v>
      </c>
      <c r="S54" s="6" t="n">
        <v>0.3846153846153846</v>
      </c>
      <c r="T54" s="2" t="inlineStr">
        <is>
          <t>Under</t>
        </is>
      </c>
      <c r="U54" s="4" t="n">
        <v>140</v>
      </c>
      <c r="V54" s="2" t="n">
        <v>2.4</v>
      </c>
      <c r="W54" s="4" t="n">
        <v>140</v>
      </c>
      <c r="X54" s="2" t="n">
        <v>1</v>
      </c>
      <c r="Y54" s="5" t="n">
        <v>-1</v>
      </c>
      <c r="Z54" s="7" t="n">
        <v>100</v>
      </c>
      <c r="AA54" s="7">
        <f>Y54*Z54</f>
        <v/>
      </c>
      <c r="AB54" s="6">
        <f>IF(Z54=0,0,AA54/Z54)</f>
        <v/>
      </c>
      <c r="AC54" s="6" t="n"/>
      <c r="AD54" s="2" t="inlineStr">
        <is>
          <t>Loss</t>
        </is>
      </c>
      <c r="AE54" s="6">
        <f>IF((COUNTIF($AD$2:AD54,"Win")+COUNTIF($AD$2:AD54,"Loss"))=0,0,COUNTIF($AD$2:AD54,"Win")/(COUNTIF($AD$2:AD54,"Win")+COUNTIF($AD$2:AD54,"Loss")))</f>
        <v/>
      </c>
      <c r="AF54" s="6">
        <f>SUM($Y$2:Y54)/SUM($X$2:X54)</f>
        <v/>
      </c>
      <c r="AG54" s="5">
        <f>SUM($Y$2:Y54)</f>
        <v/>
      </c>
      <c r="AH54" s="7">
        <f>10000.0+SUM($AA$2:AA54)</f>
        <v/>
      </c>
      <c r="AI54" s="2" t="n">
        <v>2025</v>
      </c>
      <c r="AJ54" s="2" t="inlineStr">
        <is>
          <t>2025-07</t>
        </is>
      </c>
      <c r="AK54" s="2" t="inlineStr">
        <is>
          <t>+121 to +150</t>
        </is>
      </c>
      <c r="AL54" s="2" t="inlineStr">
        <is>
          <t>2025 Validation</t>
        </is>
      </c>
      <c r="AM54" s="6" t="n">
        <v>0.09134562910332544</v>
      </c>
    </row>
    <row r="55">
      <c r="A55" s="2" t="inlineStr">
        <is>
          <t>KPROP-00054</t>
        </is>
      </c>
      <c r="B55" s="3" t="n">
        <v>45856.79557870371</v>
      </c>
      <c r="C55" s="3" t="n">
        <v>45856</v>
      </c>
      <c r="D55" s="2" t="inlineStr">
        <is>
          <t>Chris Bassitt</t>
        </is>
      </c>
      <c r="E55" s="2" t="n">
        <v>141</v>
      </c>
      <c r="F55" s="2" t="n">
        <v>137</v>
      </c>
      <c r="G55" s="2" t="inlineStr">
        <is>
          <t>Home</t>
        </is>
      </c>
      <c r="H55" s="2" t="inlineStr">
        <is>
          <t>fanduel</t>
        </is>
      </c>
      <c r="I55" s="4" t="n"/>
      <c r="J55" s="4" t="n"/>
      <c r="K55" s="4" t="n">
        <v>-128</v>
      </c>
      <c r="L55" s="4" t="n">
        <v>-128</v>
      </c>
      <c r="M55" s="5" t="n">
        <v>5.5</v>
      </c>
      <c r="N55" s="5" t="n">
        <v>4.834750752150929</v>
      </c>
      <c r="O55" s="5" t="n">
        <v>5.5</v>
      </c>
      <c r="P55" s="5" t="n">
        <v>0.6652492478490712</v>
      </c>
      <c r="Q55" s="6" t="n">
        <v>0.1487810100468018</v>
      </c>
      <c r="R55" s="6" t="n">
        <v>0.6449296898508361</v>
      </c>
      <c r="S55" s="6" t="n">
        <v>0.5410628019323671</v>
      </c>
      <c r="T55" s="2" t="inlineStr">
        <is>
          <t>Under</t>
        </is>
      </c>
      <c r="U55" s="4" t="n">
        <v>-128</v>
      </c>
      <c r="V55" s="2" t="n">
        <v>1.78125</v>
      </c>
      <c r="W55" s="4" t="n">
        <v>-128</v>
      </c>
      <c r="X55" s="2" t="n">
        <v>1</v>
      </c>
      <c r="Y55" s="5" t="n">
        <v>0.78125</v>
      </c>
      <c r="Z55" s="7" t="n">
        <v>100</v>
      </c>
      <c r="AA55" s="7">
        <f>Y55*Z55</f>
        <v/>
      </c>
      <c r="AB55" s="6">
        <f>IF(Z55=0,0,AA55/Z55)</f>
        <v/>
      </c>
      <c r="AC55" s="6" t="n"/>
      <c r="AD55" s="2" t="inlineStr">
        <is>
          <t>Win</t>
        </is>
      </c>
      <c r="AE55" s="6">
        <f>IF((COUNTIF($AD$2:AD55,"Win")+COUNTIF($AD$2:AD55,"Loss"))=0,0,COUNTIF($AD$2:AD55,"Win")/(COUNTIF($AD$2:AD55,"Win")+COUNTIF($AD$2:AD55,"Loss")))</f>
        <v/>
      </c>
      <c r="AF55" s="6">
        <f>SUM($Y$2:Y55)/SUM($X$2:X55)</f>
        <v/>
      </c>
      <c r="AG55" s="5">
        <f>SUM($Y$2:Y55)</f>
        <v/>
      </c>
      <c r="AH55" s="7">
        <f>10000.0+SUM($AA$2:AA55)</f>
        <v/>
      </c>
      <c r="AI55" s="2" t="n">
        <v>2025</v>
      </c>
      <c r="AJ55" s="2" t="inlineStr">
        <is>
          <t>2025-07</t>
        </is>
      </c>
      <c r="AK55" s="2" t="inlineStr">
        <is>
          <t>-149 to -120</t>
        </is>
      </c>
      <c r="AL55" s="2" t="inlineStr">
        <is>
          <t>2025 Validation</t>
        </is>
      </c>
      <c r="AM55" s="6" t="n">
        <v>0.1904396928599063</v>
      </c>
    </row>
    <row r="56">
      <c r="A56" s="2" t="inlineStr">
        <is>
          <t>KPROP-00055</t>
        </is>
      </c>
      <c r="B56" s="3" t="n">
        <v>45856.79905092593</v>
      </c>
      <c r="C56" s="3" t="n">
        <v>45856</v>
      </c>
      <c r="D56" s="2" t="inlineStr">
        <is>
          <t>Seth Lugo</t>
        </is>
      </c>
      <c r="E56" s="2" t="n">
        <v>118</v>
      </c>
      <c r="F56" s="2" t="n">
        <v>146</v>
      </c>
      <c r="G56" s="2" t="inlineStr">
        <is>
          <t>Away</t>
        </is>
      </c>
      <c r="H56" s="2" t="inlineStr">
        <is>
          <t>fanduel</t>
        </is>
      </c>
      <c r="I56" s="4" t="n"/>
      <c r="J56" s="4" t="n"/>
      <c r="K56" s="4" t="n">
        <v>124</v>
      </c>
      <c r="L56" s="4" t="n">
        <v>124</v>
      </c>
      <c r="M56" s="5" t="n">
        <v>4.5</v>
      </c>
      <c r="N56" s="5" t="n">
        <v>4.53226734711435</v>
      </c>
      <c r="O56" s="5" t="n">
        <v>4.5</v>
      </c>
      <c r="P56" s="5" t="n">
        <v>-0.03226734711434975</v>
      </c>
      <c r="Q56" s="6" t="n">
        <v>0.1782179642923729</v>
      </c>
      <c r="R56" s="6" t="n">
        <v>0.5259901626305236</v>
      </c>
      <c r="S56" s="6" t="n">
        <v>0.4335260115606936</v>
      </c>
      <c r="T56" s="2" t="inlineStr">
        <is>
          <t>Under</t>
        </is>
      </c>
      <c r="U56" s="4" t="n">
        <v>124</v>
      </c>
      <c r="V56" s="2" t="n">
        <v>2.24</v>
      </c>
      <c r="W56" s="4" t="n">
        <v>124</v>
      </c>
      <c r="X56" s="2" t="n">
        <v>1</v>
      </c>
      <c r="Y56" s="5" t="n">
        <v>-1</v>
      </c>
      <c r="Z56" s="7" t="n">
        <v>100</v>
      </c>
      <c r="AA56" s="7">
        <f>Y56*Z56</f>
        <v/>
      </c>
      <c r="AB56" s="6">
        <f>IF(Z56=0,0,AA56/Z56)</f>
        <v/>
      </c>
      <c r="AC56" s="6" t="n"/>
      <c r="AD56" s="2" t="inlineStr">
        <is>
          <t>Loss</t>
        </is>
      </c>
      <c r="AE56" s="6">
        <f>IF((COUNTIF($AD$2:AD56,"Win")+COUNTIF($AD$2:AD56,"Loss"))=0,0,COUNTIF($AD$2:AD56,"Win")/(COUNTIF($AD$2:AD56,"Win")+COUNTIF($AD$2:AD56,"Loss")))</f>
        <v/>
      </c>
      <c r="AF56" s="6">
        <f>SUM($Y$2:Y56)/SUM($X$2:X56)</f>
        <v/>
      </c>
      <c r="AG56" s="5">
        <f>SUM($Y$2:Y56)</f>
        <v/>
      </c>
      <c r="AH56" s="7">
        <f>10000.0+SUM($AA$2:AA56)</f>
        <v/>
      </c>
      <c r="AI56" s="2" t="n">
        <v>2025</v>
      </c>
      <c r="AJ56" s="2" t="inlineStr">
        <is>
          <t>2025-07</t>
        </is>
      </c>
      <c r="AK56" s="2" t="inlineStr">
        <is>
          <t>+121 to +150</t>
        </is>
      </c>
      <c r="AL56" s="2" t="inlineStr">
        <is>
          <t>2025 Validation</t>
        </is>
      </c>
      <c r="AM56" s="6" t="n">
        <v>0.1437241647519136</v>
      </c>
    </row>
    <row r="57">
      <c r="A57" s="2" t="inlineStr">
        <is>
          <t>KPROP-00056</t>
        </is>
      </c>
      <c r="B57" s="3" t="n">
        <v>45857.67057870371</v>
      </c>
      <c r="C57" s="3" t="n">
        <v>45857</v>
      </c>
      <c r="D57" s="2" t="inlineStr">
        <is>
          <t>Clay Holmes</t>
        </is>
      </c>
      <c r="E57" s="2" t="n">
        <v>121</v>
      </c>
      <c r="F57" s="2" t="n">
        <v>113</v>
      </c>
      <c r="G57" s="2" t="inlineStr">
        <is>
          <t>Home</t>
        </is>
      </c>
      <c r="H57" s="2" t="inlineStr">
        <is>
          <t>bovada</t>
        </is>
      </c>
      <c r="I57" s="4" t="n"/>
      <c r="J57" s="4" t="n"/>
      <c r="K57" s="4" t="n">
        <v>115</v>
      </c>
      <c r="L57" s="4" t="n">
        <v>115</v>
      </c>
      <c r="M57" s="5" t="n">
        <v>4.5</v>
      </c>
      <c r="N57" s="5" t="n">
        <v>4.419171370725206</v>
      </c>
      <c r="O57" s="5" t="n">
        <v>4.5</v>
      </c>
      <c r="P57" s="5" t="n">
        <v>0.08082862927479439</v>
      </c>
      <c r="Q57" s="6" t="n">
        <v>0.1771491093402335</v>
      </c>
      <c r="R57" s="6" t="n">
        <v>0.5475112136466203</v>
      </c>
      <c r="S57" s="6" t="n">
        <v>0.4661293835765629</v>
      </c>
      <c r="T57" s="2" t="inlineStr">
        <is>
          <t>Under</t>
        </is>
      </c>
      <c r="U57" s="4" t="n">
        <v>115</v>
      </c>
      <c r="V57" s="2" t="n">
        <v>2.15</v>
      </c>
      <c r="W57" s="4" t="n">
        <v>115</v>
      </c>
      <c r="X57" s="2" t="n">
        <v>1</v>
      </c>
      <c r="Y57" s="5" t="n">
        <v>1.15</v>
      </c>
      <c r="Z57" s="7" t="n">
        <v>100</v>
      </c>
      <c r="AA57" s="7">
        <f>Y57*Z57</f>
        <v/>
      </c>
      <c r="AB57" s="6">
        <f>IF(Z57=0,0,AA57/Z57)</f>
        <v/>
      </c>
      <c r="AC57" s="6" t="n"/>
      <c r="AD57" s="2" t="inlineStr">
        <is>
          <t>Win</t>
        </is>
      </c>
      <c r="AE57" s="6">
        <f>IF((COUNTIF($AD$2:AD57,"Win")+COUNTIF($AD$2:AD57,"Loss"))=0,0,COUNTIF($AD$2:AD57,"Win")/(COUNTIF($AD$2:AD57,"Win")+COUNTIF($AD$2:AD57,"Loss")))</f>
        <v/>
      </c>
      <c r="AF57" s="6">
        <f>SUM($Y$2:Y57)/SUM($X$2:X57)</f>
        <v/>
      </c>
      <c r="AG57" s="5">
        <f>SUM($Y$2:Y57)</f>
        <v/>
      </c>
      <c r="AH57" s="7">
        <f>10000.0+SUM($AA$2:AA57)</f>
        <v/>
      </c>
      <c r="AI57" s="2" t="n">
        <v>2025</v>
      </c>
      <c r="AJ57" s="2" t="inlineStr">
        <is>
          <t>2025-07</t>
        </is>
      </c>
      <c r="AK57" s="2" t="inlineStr">
        <is>
          <t>+100 to +120</t>
        </is>
      </c>
      <c r="AL57" s="2" t="inlineStr">
        <is>
          <t>2025 Validation</t>
        </is>
      </c>
      <c r="AM57" s="6" t="n">
        <v>0.1540427037741161</v>
      </c>
    </row>
    <row r="58">
      <c r="A58" s="2" t="inlineStr">
        <is>
          <t>KPROP-00057</t>
        </is>
      </c>
      <c r="B58" s="3" t="n">
        <v>45857.79210648148</v>
      </c>
      <c r="C58" s="3" t="n">
        <v>45857</v>
      </c>
      <c r="D58" s="2" t="inlineStr">
        <is>
          <t>Keider Montero</t>
        </is>
      </c>
      <c r="E58" s="2" t="n">
        <v>116</v>
      </c>
      <c r="F58" s="2" t="n">
        <v>140</v>
      </c>
      <c r="G58" s="2" t="inlineStr">
        <is>
          <t>Away</t>
        </is>
      </c>
      <c r="H58" s="2" t="inlineStr">
        <is>
          <t>bovada</t>
        </is>
      </c>
      <c r="I58" s="4" t="n"/>
      <c r="J58" s="4" t="n"/>
      <c r="K58" s="4" t="n">
        <v>120</v>
      </c>
      <c r="L58" s="4" t="n">
        <v>120</v>
      </c>
      <c r="M58" s="5" t="n">
        <v>3.5</v>
      </c>
      <c r="N58" s="5" t="n">
        <v>3.614345339638295</v>
      </c>
      <c r="O58" s="5" t="n">
        <v>3.5</v>
      </c>
      <c r="P58" s="5" t="n">
        <v>-0.114345339638295</v>
      </c>
      <c r="Q58" s="6" t="n">
        <v>0.1267780293890174</v>
      </c>
      <c r="R58" s="6" t="n">
        <v>0.5121718315404624</v>
      </c>
      <c r="S58" s="6" t="n">
        <v>0.4517828200972447</v>
      </c>
      <c r="T58" s="2" t="inlineStr">
        <is>
          <t>Under</t>
        </is>
      </c>
      <c r="U58" s="4" t="n">
        <v>120</v>
      </c>
      <c r="V58" s="2" t="n">
        <v>2.2</v>
      </c>
      <c r="W58" s="4" t="n">
        <v>120</v>
      </c>
      <c r="X58" s="2" t="n">
        <v>1</v>
      </c>
      <c r="Y58" s="5" t="n">
        <v>-1</v>
      </c>
      <c r="Z58" s="7" t="n">
        <v>100</v>
      </c>
      <c r="AA58" s="7">
        <f>Y58*Z58</f>
        <v/>
      </c>
      <c r="AB58" s="6">
        <f>IF(Z58=0,0,AA58/Z58)</f>
        <v/>
      </c>
      <c r="AC58" s="6" t="n"/>
      <c r="AD58" s="2" t="inlineStr">
        <is>
          <t>Loss</t>
        </is>
      </c>
      <c r="AE58" s="6">
        <f>IF((COUNTIF($AD$2:AD58,"Win")+COUNTIF($AD$2:AD58,"Loss"))=0,0,COUNTIF($AD$2:AD58,"Win")/(COUNTIF($AD$2:AD58,"Win")+COUNTIF($AD$2:AD58,"Loss")))</f>
        <v/>
      </c>
      <c r="AF58" s="6">
        <f>SUM($Y$2:Y58)/SUM($X$2:X58)</f>
        <v/>
      </c>
      <c r="AG58" s="5">
        <f>SUM($Y$2:Y58)</f>
        <v/>
      </c>
      <c r="AH58" s="7">
        <f>10000.0+SUM($AA$2:AA58)</f>
        <v/>
      </c>
      <c r="AI58" s="2" t="n">
        <v>2025</v>
      </c>
      <c r="AJ58" s="2" t="inlineStr">
        <is>
          <t>2025-07</t>
        </is>
      </c>
      <c r="AK58" s="2" t="inlineStr">
        <is>
          <t>+100 to +120</t>
        </is>
      </c>
      <c r="AL58" s="2" t="inlineStr">
        <is>
          <t>2025 Validation</t>
        </is>
      </c>
      <c r="AM58" s="6" t="n">
        <v>0.1056483578241811</v>
      </c>
    </row>
    <row r="59">
      <c r="A59" s="2" t="inlineStr">
        <is>
          <t>KPROP-00058</t>
        </is>
      </c>
      <c r="B59" s="3" t="n">
        <v>45857.80252314815</v>
      </c>
      <c r="C59" s="3" t="n">
        <v>45857</v>
      </c>
      <c r="D59" s="2" t="inlineStr">
        <is>
          <t>Shota Imanaga</t>
        </is>
      </c>
      <c r="E59" s="2" t="n">
        <v>112</v>
      </c>
      <c r="F59" s="2" t="n">
        <v>111</v>
      </c>
      <c r="G59" s="2" t="inlineStr">
        <is>
          <t>Home</t>
        </is>
      </c>
      <c r="H59" s="2" t="inlineStr">
        <is>
          <t>draftkings</t>
        </is>
      </c>
      <c r="I59" s="4" t="n"/>
      <c r="J59" s="4" t="n"/>
      <c r="K59" s="4" t="n">
        <v>-135</v>
      </c>
      <c r="L59" s="4" t="n">
        <v>-135</v>
      </c>
      <c r="M59" s="5" t="n">
        <v>5.5</v>
      </c>
      <c r="N59" s="5" t="n">
        <v>4.403272392801689</v>
      </c>
      <c r="O59" s="5" t="n">
        <v>5.5</v>
      </c>
      <c r="P59" s="5" t="n">
        <v>1.096727607198311</v>
      </c>
      <c r="Q59" s="6" t="n">
        <v>0.252217960151362</v>
      </c>
      <c r="R59" s="6" t="n">
        <v>0.7193592537039739</v>
      </c>
      <c r="S59" s="6" t="n">
        <v>0.552594002855783</v>
      </c>
      <c r="T59" s="2" t="inlineStr">
        <is>
          <t>Under</t>
        </is>
      </c>
      <c r="U59" s="4" t="n">
        <v>-135</v>
      </c>
      <c r="V59" s="2" t="n">
        <v>1.740740740740741</v>
      </c>
      <c r="W59" s="4" t="n">
        <v>-135</v>
      </c>
      <c r="X59" s="2" t="n">
        <v>1</v>
      </c>
      <c r="Y59" s="5" t="n">
        <v>0.7407407407407407</v>
      </c>
      <c r="Z59" s="7" t="n">
        <v>100</v>
      </c>
      <c r="AA59" s="7">
        <f>Y59*Z59</f>
        <v/>
      </c>
      <c r="AB59" s="6">
        <f>IF(Z59=0,0,AA59/Z59)</f>
        <v/>
      </c>
      <c r="AC59" s="6" t="n"/>
      <c r="AD59" s="2" t="inlineStr">
        <is>
          <t>Win</t>
        </is>
      </c>
      <c r="AE59" s="6">
        <f>IF((COUNTIF($AD$2:AD59,"Win")+COUNTIF($AD$2:AD59,"Loss"))=0,0,COUNTIF($AD$2:AD59,"Win")/(COUNTIF($AD$2:AD59,"Win")+COUNTIF($AD$2:AD59,"Loss")))</f>
        <v/>
      </c>
      <c r="AF59" s="6">
        <f>SUM($Y$2:Y59)/SUM($X$2:X59)</f>
        <v/>
      </c>
      <c r="AG59" s="5">
        <f>SUM($Y$2:Y59)</f>
        <v/>
      </c>
      <c r="AH59" s="7">
        <f>10000.0+SUM($AA$2:AA59)</f>
        <v/>
      </c>
      <c r="AI59" s="2" t="n">
        <v>2025</v>
      </c>
      <c r="AJ59" s="2" t="inlineStr">
        <is>
          <t>2025-07</t>
        </is>
      </c>
      <c r="AK59" s="2" t="inlineStr">
        <is>
          <t>-149 to -120</t>
        </is>
      </c>
      <c r="AL59" s="2" t="inlineStr">
        <is>
          <t>2025 Validation</t>
        </is>
      </c>
      <c r="AM59" s="6" t="n">
        <v>0.3404942462043387</v>
      </c>
    </row>
    <row r="60">
      <c r="A60" s="2" t="inlineStr">
        <is>
          <t>KPROP-00059</t>
        </is>
      </c>
      <c r="B60" s="3" t="n">
        <v>45857.80252314815</v>
      </c>
      <c r="C60" s="3" t="n">
        <v>45857</v>
      </c>
      <c r="D60" s="2" t="inlineStr">
        <is>
          <t>Sonny Gray</t>
        </is>
      </c>
      <c r="E60" s="2" t="n">
        <v>138</v>
      </c>
      <c r="F60" s="2" t="n">
        <v>109</v>
      </c>
      <c r="G60" s="2" t="inlineStr">
        <is>
          <t>Away</t>
        </is>
      </c>
      <c r="H60" s="2" t="inlineStr">
        <is>
          <t>draftkings</t>
        </is>
      </c>
      <c r="I60" s="4" t="n"/>
      <c r="J60" s="4" t="n"/>
      <c r="K60" s="4" t="n">
        <v>110</v>
      </c>
      <c r="L60" s="4" t="n">
        <v>110</v>
      </c>
      <c r="M60" s="5" t="n">
        <v>5.5</v>
      </c>
      <c r="N60" s="5" t="n">
        <v>5.183091950490223</v>
      </c>
      <c r="O60" s="5" t="n">
        <v>5.5</v>
      </c>
      <c r="P60" s="5" t="n">
        <v>0.3169080495097774</v>
      </c>
      <c r="Q60" s="6" t="n">
        <v>0.2261253474198189</v>
      </c>
      <c r="R60" s="6" t="n">
        <v>0.5838692130570566</v>
      </c>
      <c r="S60" s="6" t="n">
        <v>0.4661016949152542</v>
      </c>
      <c r="T60" s="2" t="inlineStr">
        <is>
          <t>Under</t>
        </is>
      </c>
      <c r="U60" s="4" t="n">
        <v>110</v>
      </c>
      <c r="V60" s="2" t="n">
        <v>2.1</v>
      </c>
      <c r="W60" s="4" t="n">
        <v>110</v>
      </c>
      <c r="X60" s="2" t="n">
        <v>1</v>
      </c>
      <c r="Y60" s="5" t="n">
        <v>1.1</v>
      </c>
      <c r="Z60" s="7" t="n">
        <v>100</v>
      </c>
      <c r="AA60" s="7">
        <f>Y60*Z60</f>
        <v/>
      </c>
      <c r="AB60" s="6">
        <f>IF(Z60=0,0,AA60/Z60)</f>
        <v/>
      </c>
      <c r="AC60" s="6" t="n"/>
      <c r="AD60" s="2" t="inlineStr">
        <is>
          <t>Win</t>
        </is>
      </c>
      <c r="AE60" s="6">
        <f>IF((COUNTIF($AD$2:AD60,"Win")+COUNTIF($AD$2:AD60,"Loss"))=0,0,COUNTIF($AD$2:AD60,"Win")/(COUNTIF($AD$2:AD60,"Win")+COUNTIF($AD$2:AD60,"Loss")))</f>
        <v/>
      </c>
      <c r="AF60" s="6">
        <f>SUM($Y$2:Y60)/SUM($X$2:X60)</f>
        <v/>
      </c>
      <c r="AG60" s="5">
        <f>SUM($Y$2:Y60)</f>
        <v/>
      </c>
      <c r="AH60" s="7">
        <f>10000.0+SUM($AA$2:AA60)</f>
        <v/>
      </c>
      <c r="AI60" s="2" t="n">
        <v>2025</v>
      </c>
      <c r="AJ60" s="2" t="inlineStr">
        <is>
          <t>2025-07</t>
        </is>
      </c>
      <c r="AK60" s="2" t="inlineStr">
        <is>
          <t>+100 to +120</t>
        </is>
      </c>
      <c r="AL60" s="2" t="inlineStr">
        <is>
          <t>2025 Validation</t>
        </is>
      </c>
      <c r="AM60" s="6" t="n">
        <v>0.2055684976543808</v>
      </c>
    </row>
    <row r="61">
      <c r="A61" s="2" t="inlineStr">
        <is>
          <t>KPROP-00060</t>
        </is>
      </c>
      <c r="B61" s="3" t="n">
        <v>45857.80252314815</v>
      </c>
      <c r="C61" s="3" t="n">
        <v>45857</v>
      </c>
      <c r="D61" s="2" t="inlineStr">
        <is>
          <t>Will Warren</t>
        </is>
      </c>
      <c r="E61" s="2" t="n">
        <v>147</v>
      </c>
      <c r="F61" s="2" t="n">
        <v>144</v>
      </c>
      <c r="G61" s="2" t="inlineStr">
        <is>
          <t>Away</t>
        </is>
      </c>
      <c r="H61" s="2" t="inlineStr">
        <is>
          <t>fanduel</t>
        </is>
      </c>
      <c r="I61" s="4" t="n"/>
      <c r="J61" s="4" t="n"/>
      <c r="K61" s="4" t="n">
        <v>134</v>
      </c>
      <c r="L61" s="4" t="n">
        <v>134</v>
      </c>
      <c r="M61" s="5" t="n">
        <v>4.5</v>
      </c>
      <c r="N61" s="5" t="n">
        <v>4.877853491488392</v>
      </c>
      <c r="O61" s="5" t="n">
        <v>4.5</v>
      </c>
      <c r="P61" s="5" t="n">
        <v>-0.3778534914883922</v>
      </c>
      <c r="Q61" s="6" t="n">
        <v>0.08150391486804665</v>
      </c>
      <c r="R61" s="6" t="n">
        <v>0.46218116020002</v>
      </c>
      <c r="S61" s="6" t="n">
        <v>0.4265746959520784</v>
      </c>
      <c r="T61" s="2" t="inlineStr">
        <is>
          <t>Under</t>
        </is>
      </c>
      <c r="U61" s="4" t="n">
        <v>134</v>
      </c>
      <c r="V61" s="2" t="n">
        <v>2.34</v>
      </c>
      <c r="W61" s="4" t="n">
        <v>134</v>
      </c>
      <c r="X61" s="2" t="n">
        <v>1</v>
      </c>
      <c r="Y61" s="5" t="n">
        <v>-1</v>
      </c>
      <c r="Z61" s="7" t="n">
        <v>100</v>
      </c>
      <c r="AA61" s="7">
        <f>Y61*Z61</f>
        <v/>
      </c>
      <c r="AB61" s="6">
        <f>IF(Z61=0,0,AA61/Z61)</f>
        <v/>
      </c>
      <c r="AC61" s="6" t="n"/>
      <c r="AD61" s="2" t="inlineStr">
        <is>
          <t>Loss</t>
        </is>
      </c>
      <c r="AE61" s="6">
        <f>IF((COUNTIF($AD$2:AD61,"Win")+COUNTIF($AD$2:AD61,"Loss"))=0,0,COUNTIF($AD$2:AD61,"Win")/(COUNTIF($AD$2:AD61,"Win")+COUNTIF($AD$2:AD61,"Loss")))</f>
        <v/>
      </c>
      <c r="AF61" s="6">
        <f>SUM($Y$2:Y61)/SUM($X$2:X61)</f>
        <v/>
      </c>
      <c r="AG61" s="5">
        <f>SUM($Y$2:Y61)</f>
        <v/>
      </c>
      <c r="AH61" s="7">
        <f>10000.0+SUM($AA$2:AA61)</f>
        <v/>
      </c>
      <c r="AI61" s="2" t="n">
        <v>2025</v>
      </c>
      <c r="AJ61" s="2" t="inlineStr">
        <is>
          <t>2025-07</t>
        </is>
      </c>
      <c r="AK61" s="2" t="inlineStr">
        <is>
          <t>+121 to +150</t>
        </is>
      </c>
      <c r="AL61" s="2" t="inlineStr">
        <is>
          <t>2025 Validation</t>
        </is>
      </c>
      <c r="AM61" s="6" t="n">
        <v>0.06082381706570646</v>
      </c>
    </row>
    <row r="62">
      <c r="A62" s="2" t="inlineStr">
        <is>
          <t>KPROP-00061</t>
        </is>
      </c>
      <c r="B62" s="3" t="n">
        <v>45857.78168981482</v>
      </c>
      <c r="C62" s="3" t="n">
        <v>45857</v>
      </c>
      <c r="D62" s="2" t="inlineStr">
        <is>
          <t>Yu Darvish</t>
        </is>
      </c>
      <c r="E62" s="2" t="n">
        <v>135</v>
      </c>
      <c r="F62" s="2" t="n">
        <v>120</v>
      </c>
      <c r="G62" s="2" t="inlineStr">
        <is>
          <t>Away</t>
        </is>
      </c>
      <c r="H62" s="2" t="inlineStr">
        <is>
          <t>bovada</t>
        </is>
      </c>
      <c r="I62" s="4" t="n"/>
      <c r="J62" s="4" t="n"/>
      <c r="K62" s="4" t="n">
        <v>105</v>
      </c>
      <c r="L62" s="4" t="n">
        <v>105</v>
      </c>
      <c r="M62" s="5" t="n">
        <v>4.5</v>
      </c>
      <c r="N62" s="5" t="n">
        <v>4.382727591343432</v>
      </c>
      <c r="O62" s="5" t="n">
        <v>4.5</v>
      </c>
      <c r="P62" s="5" t="n">
        <v>0.117272408656568</v>
      </c>
      <c r="Q62" s="6" t="n">
        <v>0.1367211439934809</v>
      </c>
      <c r="R62" s="6" t="n">
        <v>0.5544981190212103</v>
      </c>
      <c r="S62" s="6" t="n">
        <v>0.488974113135187</v>
      </c>
      <c r="T62" s="2" t="inlineStr">
        <is>
          <t>Under</t>
        </is>
      </c>
      <c r="U62" s="4" t="n">
        <v>105</v>
      </c>
      <c r="V62" s="2" t="n">
        <v>2.05</v>
      </c>
      <c r="W62" s="4" t="n">
        <v>105</v>
      </c>
      <c r="X62" s="2" t="n">
        <v>1</v>
      </c>
      <c r="Y62" s="5" t="n">
        <v>1.05</v>
      </c>
      <c r="Z62" s="7" t="n">
        <v>100</v>
      </c>
      <c r="AA62" s="7">
        <f>Y62*Z62</f>
        <v/>
      </c>
      <c r="AB62" s="6">
        <f>IF(Z62=0,0,AA62/Z62)</f>
        <v/>
      </c>
      <c r="AC62" s="6" t="n"/>
      <c r="AD62" s="2" t="inlineStr">
        <is>
          <t>Win</t>
        </is>
      </c>
      <c r="AE62" s="6">
        <f>IF((COUNTIF($AD$2:AD62,"Win")+COUNTIF($AD$2:AD62,"Loss"))=0,0,COUNTIF($AD$2:AD62,"Win")/(COUNTIF($AD$2:AD62,"Win")+COUNTIF($AD$2:AD62,"Loss")))</f>
        <v/>
      </c>
      <c r="AF62" s="6">
        <f>SUM($Y$2:Y62)/SUM($X$2:X62)</f>
        <v/>
      </c>
      <c r="AG62" s="5">
        <f>SUM($Y$2:Y62)</f>
        <v/>
      </c>
      <c r="AH62" s="7">
        <f>10000.0+SUM($AA$2:AA62)</f>
        <v/>
      </c>
      <c r="AI62" s="2" t="n">
        <v>2025</v>
      </c>
      <c r="AJ62" s="2" t="inlineStr">
        <is>
          <t>2025-07</t>
        </is>
      </c>
      <c r="AK62" s="2" t="inlineStr">
        <is>
          <t>+100 to +120</t>
        </is>
      </c>
      <c r="AL62" s="2" t="inlineStr">
        <is>
          <t>2025 Validation</t>
        </is>
      </c>
      <c r="AM62" s="6" t="n">
        <v>0.1302106133271247</v>
      </c>
    </row>
    <row r="63">
      <c r="A63" s="2" t="inlineStr">
        <is>
          <t>KPROP-00062</t>
        </is>
      </c>
      <c r="B63" s="3" t="n">
        <v>45858.59418981482</v>
      </c>
      <c r="C63" s="3" t="n">
        <v>45858</v>
      </c>
      <c r="D63" s="2" t="inlineStr">
        <is>
          <t>Garrett Crochet</t>
        </is>
      </c>
      <c r="E63" s="2" t="n">
        <v>111</v>
      </c>
      <c r="F63" s="2" t="n">
        <v>112</v>
      </c>
      <c r="G63" s="2" t="inlineStr">
        <is>
          <t>Away</t>
        </is>
      </c>
      <c r="H63" s="2" t="inlineStr">
        <is>
          <t>draftkings</t>
        </is>
      </c>
      <c r="I63" s="4" t="n"/>
      <c r="J63" s="4" t="n"/>
      <c r="K63" s="4" t="n">
        <v>120</v>
      </c>
      <c r="L63" s="4" t="n">
        <v>120</v>
      </c>
      <c r="M63" s="5" t="n">
        <v>6.5</v>
      </c>
      <c r="N63" s="5" t="n">
        <v>6.624918502160689</v>
      </c>
      <c r="O63" s="5" t="n">
        <v>6.5</v>
      </c>
      <c r="P63" s="5" t="n">
        <v>-0.1249185021606891</v>
      </c>
      <c r="Q63" s="6" t="n">
        <v>0.1152953863179615</v>
      </c>
      <c r="R63" s="6" t="n">
        <v>0.5069524483263461</v>
      </c>
      <c r="S63" s="6" t="n">
        <v>0.4417293233082706</v>
      </c>
      <c r="T63" s="2" t="inlineStr">
        <is>
          <t>Under</t>
        </is>
      </c>
      <c r="U63" s="4" t="n">
        <v>120</v>
      </c>
      <c r="V63" s="2" t="n">
        <v>2.2</v>
      </c>
      <c r="W63" s="4" t="n">
        <v>120</v>
      </c>
      <c r="X63" s="2" t="n">
        <v>1</v>
      </c>
      <c r="Y63" s="5" t="n">
        <v>1.2</v>
      </c>
      <c r="Z63" s="7" t="n">
        <v>100</v>
      </c>
      <c r="AA63" s="7">
        <f>Y63*Z63</f>
        <v/>
      </c>
      <c r="AB63" s="6">
        <f>IF(Z63=0,0,AA63/Z63)</f>
        <v/>
      </c>
      <c r="AC63" s="6" t="n"/>
      <c r="AD63" s="2" t="inlineStr">
        <is>
          <t>Win</t>
        </is>
      </c>
      <c r="AE63" s="6">
        <f>IF((COUNTIF($AD$2:AD63,"Win")+COUNTIF($AD$2:AD63,"Loss"))=0,0,COUNTIF($AD$2:AD63,"Win")/(COUNTIF($AD$2:AD63,"Win")+COUNTIF($AD$2:AD63,"Loss")))</f>
        <v/>
      </c>
      <c r="AF63" s="6">
        <f>SUM($Y$2:Y63)/SUM($X$2:X63)</f>
        <v/>
      </c>
      <c r="AG63" s="5">
        <f>SUM($Y$2:Y63)</f>
        <v/>
      </c>
      <c r="AH63" s="7">
        <f>10000.0+SUM($AA$2:AA63)</f>
        <v/>
      </c>
      <c r="AI63" s="2" t="n">
        <v>2025</v>
      </c>
      <c r="AJ63" s="2" t="inlineStr">
        <is>
          <t>2025-07</t>
        </is>
      </c>
      <c r="AK63" s="2" t="inlineStr">
        <is>
          <t>+100 to +120</t>
        </is>
      </c>
      <c r="AL63" s="2" t="inlineStr">
        <is>
          <t>2025 Validation</t>
        </is>
      </c>
      <c r="AM63" s="6" t="n">
        <v>0.09607948859830127</v>
      </c>
    </row>
    <row r="64">
      <c r="A64" s="2" t="inlineStr">
        <is>
          <t>KPROP-00063</t>
        </is>
      </c>
      <c r="B64" s="3" t="n">
        <v>45858.67405092593</v>
      </c>
      <c r="C64" s="3" t="n">
        <v>45858</v>
      </c>
      <c r="D64" s="2" t="inlineStr">
        <is>
          <t>Merrill Kelly</t>
        </is>
      </c>
      <c r="E64" s="2" t="n">
        <v>109</v>
      </c>
      <c r="F64" s="2" t="n">
        <v>138</v>
      </c>
      <c r="G64" s="2" t="inlineStr">
        <is>
          <t>Home</t>
        </is>
      </c>
      <c r="H64" s="2" t="inlineStr">
        <is>
          <t>fanduel</t>
        </is>
      </c>
      <c r="I64" s="4" t="n"/>
      <c r="J64" s="4" t="n"/>
      <c r="K64" s="4" t="n">
        <v>-128</v>
      </c>
      <c r="L64" s="4" t="n">
        <v>-128</v>
      </c>
      <c r="M64" s="5" t="n">
        <v>5.5</v>
      </c>
      <c r="N64" s="5" t="n">
        <v>4.77789935196175</v>
      </c>
      <c r="O64" s="5" t="n">
        <v>5.5</v>
      </c>
      <c r="P64" s="5" t="n">
        <v>0.7221006480382499</v>
      </c>
      <c r="Q64" s="6" t="n">
        <v>0.1664811817151733</v>
      </c>
      <c r="R64" s="6" t="n">
        <v>0.6548666283313254</v>
      </c>
      <c r="S64" s="6" t="n">
        <v>0.5581395348837209</v>
      </c>
      <c r="T64" s="2" t="inlineStr">
        <is>
          <t>Under</t>
        </is>
      </c>
      <c r="U64" s="4" t="n">
        <v>-128</v>
      </c>
      <c r="V64" s="2" t="n">
        <v>1.78125</v>
      </c>
      <c r="W64" s="4" t="n">
        <v>-128</v>
      </c>
      <c r="X64" s="2" t="n">
        <v>1</v>
      </c>
      <c r="Y64" s="5" t="n">
        <v>0.78125</v>
      </c>
      <c r="Z64" s="7" t="n">
        <v>100</v>
      </c>
      <c r="AA64" s="7">
        <f>Y64*Z64</f>
        <v/>
      </c>
      <c r="AB64" s="6">
        <f>IF(Z64=0,0,AA64/Z64)</f>
        <v/>
      </c>
      <c r="AC64" s="6" t="n"/>
      <c r="AD64" s="2" t="inlineStr">
        <is>
          <t>Win</t>
        </is>
      </c>
      <c r="AE64" s="6">
        <f>IF((COUNTIF($AD$2:AD64,"Win")+COUNTIF($AD$2:AD64,"Loss"))=0,0,COUNTIF($AD$2:AD64,"Win")/(COUNTIF($AD$2:AD64,"Win")+COUNTIF($AD$2:AD64,"Loss")))</f>
        <v/>
      </c>
      <c r="AF64" s="6">
        <f>SUM($Y$2:Y64)/SUM($X$2:X64)</f>
        <v/>
      </c>
      <c r="AG64" s="5">
        <f>SUM($Y$2:Y64)</f>
        <v/>
      </c>
      <c r="AH64" s="7">
        <f>10000.0+SUM($AA$2:AA64)</f>
        <v/>
      </c>
      <c r="AI64" s="2" t="n">
        <v>2025</v>
      </c>
      <c r="AJ64" s="2" t="inlineStr">
        <is>
          <t>2025-07</t>
        </is>
      </c>
      <c r="AK64" s="2" t="inlineStr">
        <is>
          <t>-149 to -120</t>
        </is>
      </c>
      <c r="AL64" s="2" t="inlineStr">
        <is>
          <t>2025 Validation</t>
        </is>
      </c>
      <c r="AM64" s="6" t="n">
        <v>0.2130959125954219</v>
      </c>
    </row>
    <row r="65">
      <c r="A65" s="2" t="inlineStr">
        <is>
          <t>KPROP-00064</t>
        </is>
      </c>
      <c r="B65" s="3" t="n">
        <v>45858.50390046297</v>
      </c>
      <c r="C65" s="3" t="n">
        <v>45858</v>
      </c>
      <c r="D65" s="2" t="inlineStr">
        <is>
          <t>Robbie Ray</t>
        </is>
      </c>
      <c r="E65" s="2" t="n">
        <v>137</v>
      </c>
      <c r="F65" s="2" t="n">
        <v>141</v>
      </c>
      <c r="G65" s="2" t="inlineStr">
        <is>
          <t>Away</t>
        </is>
      </c>
      <c r="H65" s="2" t="inlineStr">
        <is>
          <t>draftkings</t>
        </is>
      </c>
      <c r="I65" s="4" t="n"/>
      <c r="J65" s="4" t="n"/>
      <c r="K65" s="4" t="n">
        <v>105</v>
      </c>
      <c r="L65" s="4" t="n">
        <v>105</v>
      </c>
      <c r="M65" s="5" t="n">
        <v>5.5</v>
      </c>
      <c r="N65" s="5" t="n">
        <v>5.483119301899178</v>
      </c>
      <c r="O65" s="5" t="n">
        <v>5.5</v>
      </c>
      <c r="P65" s="5" t="n">
        <v>0.01688069810082204</v>
      </c>
      <c r="Q65" s="6" t="n">
        <v>0.09021920877079681</v>
      </c>
      <c r="R65" s="6" t="n">
        <v>0.5318142481808765</v>
      </c>
      <c r="S65" s="6" t="n">
        <v>0.4675324675324675</v>
      </c>
      <c r="T65" s="2" t="inlineStr">
        <is>
          <t>Under</t>
        </is>
      </c>
      <c r="U65" s="4" t="n">
        <v>105</v>
      </c>
      <c r="V65" s="2" t="n">
        <v>2.05</v>
      </c>
      <c r="W65" s="4" t="n">
        <v>105</v>
      </c>
      <c r="X65" s="2" t="n">
        <v>1</v>
      </c>
      <c r="Y65" s="5" t="n">
        <v>1.05</v>
      </c>
      <c r="Z65" s="7" t="n">
        <v>100</v>
      </c>
      <c r="AA65" s="7">
        <f>Y65*Z65</f>
        <v/>
      </c>
      <c r="AB65" s="6">
        <f>IF(Z65=0,0,AA65/Z65)</f>
        <v/>
      </c>
      <c r="AC65" s="6" t="n"/>
      <c r="AD65" s="2" t="inlineStr">
        <is>
          <t>Win</t>
        </is>
      </c>
      <c r="AE65" s="6">
        <f>IF((COUNTIF($AD$2:AD65,"Win")+COUNTIF($AD$2:AD65,"Loss"))=0,0,COUNTIF($AD$2:AD65,"Win")/(COUNTIF($AD$2:AD65,"Win")+COUNTIF($AD$2:AD65,"Loss")))</f>
        <v/>
      </c>
      <c r="AF65" s="6">
        <f>SUM($Y$2:Y65)/SUM($X$2:X65)</f>
        <v/>
      </c>
      <c r="AG65" s="5">
        <f>SUM($Y$2:Y65)</f>
        <v/>
      </c>
      <c r="AH65" s="7">
        <f>10000.0+SUM($AA$2:AA65)</f>
        <v/>
      </c>
      <c r="AI65" s="2" t="n">
        <v>2025</v>
      </c>
      <c r="AJ65" s="2" t="inlineStr">
        <is>
          <t>2025-07</t>
        </is>
      </c>
      <c r="AK65" s="2" t="inlineStr">
        <is>
          <t>+100 to +120</t>
        </is>
      </c>
      <c r="AL65" s="2" t="inlineStr">
        <is>
          <t>2025 Validation</t>
        </is>
      </c>
      <c r="AM65" s="6" t="n">
        <v>0.08592305597218745</v>
      </c>
    </row>
    <row r="66">
      <c r="A66" s="2" t="inlineStr">
        <is>
          <t>KPROP-00065</t>
        </is>
      </c>
      <c r="B66" s="3" t="n">
        <v>45859.77821759259</v>
      </c>
      <c r="C66" s="3" t="n">
        <v>45859</v>
      </c>
      <c r="D66" s="2" t="inlineStr">
        <is>
          <t>Brady Singer</t>
        </is>
      </c>
      <c r="E66" s="2" t="n">
        <v>113</v>
      </c>
      <c r="F66" s="2" t="n">
        <v>120</v>
      </c>
      <c r="G66" s="2" t="inlineStr">
        <is>
          <t>Away</t>
        </is>
      </c>
      <c r="H66" s="2" t="inlineStr">
        <is>
          <t>betmgm</t>
        </is>
      </c>
      <c r="I66" s="4" t="n"/>
      <c r="J66" s="4" t="n"/>
      <c r="K66" s="4" t="n">
        <v>125</v>
      </c>
      <c r="L66" s="4" t="n">
        <v>125</v>
      </c>
      <c r="M66" s="5" t="n">
        <v>4.5</v>
      </c>
      <c r="N66" s="5" t="n">
        <v>4.579544481282818</v>
      </c>
      <c r="O66" s="5" t="n">
        <v>4.5</v>
      </c>
      <c r="P66" s="5" t="n">
        <v>-0.07954448128281832</v>
      </c>
      <c r="Q66" s="6" t="n">
        <v>0.1634188596059072</v>
      </c>
      <c r="R66" s="6" t="n">
        <v>0.5170750487137366</v>
      </c>
      <c r="S66" s="6" t="n">
        <v>0.4302788844621515</v>
      </c>
      <c r="T66" s="2" t="inlineStr">
        <is>
          <t>Under</t>
        </is>
      </c>
      <c r="U66" s="4" t="n">
        <v>125</v>
      </c>
      <c r="V66" s="2" t="n">
        <v>2.25</v>
      </c>
      <c r="W66" s="4" t="n">
        <v>125</v>
      </c>
      <c r="X66" s="2" t="n">
        <v>1</v>
      </c>
      <c r="Y66" s="5" t="n">
        <v>1.25</v>
      </c>
      <c r="Z66" s="7" t="n">
        <v>100</v>
      </c>
      <c r="AA66" s="7">
        <f>Y66*Z66</f>
        <v/>
      </c>
      <c r="AB66" s="6">
        <f>IF(Z66=0,0,AA66/Z66)</f>
        <v/>
      </c>
      <c r="AC66" s="6" t="n"/>
      <c r="AD66" s="2" t="inlineStr">
        <is>
          <t>Win</t>
        </is>
      </c>
      <c r="AE66" s="6">
        <f>IF((COUNTIF($AD$2:AD66,"Win")+COUNTIF($AD$2:AD66,"Loss"))=0,0,COUNTIF($AD$2:AD66,"Win")/(COUNTIF($AD$2:AD66,"Win")+COUNTIF($AD$2:AD66,"Loss")))</f>
        <v/>
      </c>
      <c r="AF66" s="6">
        <f>SUM($Y$2:Y66)/SUM($X$2:X66)</f>
        <v/>
      </c>
      <c r="AG66" s="5">
        <f>SUM($Y$2:Y66)</f>
        <v/>
      </c>
      <c r="AH66" s="7">
        <f>10000.0+SUM($AA$2:AA66)</f>
        <v/>
      </c>
      <c r="AI66" s="2" t="n">
        <v>2025</v>
      </c>
      <c r="AJ66" s="2" t="inlineStr">
        <is>
          <t>2025-07</t>
        </is>
      </c>
      <c r="AK66" s="2" t="inlineStr">
        <is>
          <t>+121 to +150</t>
        </is>
      </c>
      <c r="AL66" s="2" t="inlineStr">
        <is>
          <t>2025 Validation</t>
        </is>
      </c>
      <c r="AM66" s="6" t="n">
        <v>0.1307350876847257</v>
      </c>
    </row>
    <row r="67">
      <c r="A67" s="2" t="inlineStr">
        <is>
          <t>KPROP-00066</t>
        </is>
      </c>
      <c r="B67" s="3" t="n">
        <v>45859.77474537037</v>
      </c>
      <c r="C67" s="3" t="n">
        <v>45859</v>
      </c>
      <c r="D67" s="2" t="inlineStr">
        <is>
          <t>Jack Flaherty</t>
        </is>
      </c>
      <c r="E67" s="2" t="n">
        <v>116</v>
      </c>
      <c r="F67" s="2" t="n">
        <v>134</v>
      </c>
      <c r="G67" s="2" t="inlineStr">
        <is>
          <t>Away</t>
        </is>
      </c>
      <c r="H67" s="2" t="inlineStr">
        <is>
          <t>betmgm</t>
        </is>
      </c>
      <c r="I67" s="4" t="n"/>
      <c r="J67" s="4" t="n"/>
      <c r="K67" s="4" t="n">
        <v>-125</v>
      </c>
      <c r="L67" s="4" t="n">
        <v>-125</v>
      </c>
      <c r="M67" s="5" t="n">
        <v>6.5</v>
      </c>
      <c r="N67" s="5" t="n">
        <v>5.935653714618964</v>
      </c>
      <c r="O67" s="5" t="n">
        <v>6.5</v>
      </c>
      <c r="P67" s="5" t="n">
        <v>0.5643462853810357</v>
      </c>
      <c r="Q67" s="6" t="n">
        <v>0.1099467617911888</v>
      </c>
      <c r="R67" s="6" t="n">
        <v>0.6166370898839938</v>
      </c>
      <c r="S67" s="6" t="n">
        <v>0.5384615384615385</v>
      </c>
      <c r="T67" s="2" t="inlineStr">
        <is>
          <t>Under</t>
        </is>
      </c>
      <c r="U67" s="4" t="n">
        <v>-125</v>
      </c>
      <c r="V67" s="2" t="n">
        <v>1.8</v>
      </c>
      <c r="W67" s="4" t="n">
        <v>-125</v>
      </c>
      <c r="X67" s="2" t="n">
        <v>1</v>
      </c>
      <c r="Y67" s="5" t="n">
        <v>0.8</v>
      </c>
      <c r="Z67" s="7" t="n">
        <v>100</v>
      </c>
      <c r="AA67" s="7">
        <f>Y67*Z67</f>
        <v/>
      </c>
      <c r="AB67" s="6">
        <f>IF(Z67=0,0,AA67/Z67)</f>
        <v/>
      </c>
      <c r="AC67" s="6" t="n"/>
      <c r="AD67" s="2" t="inlineStr">
        <is>
          <t>Win</t>
        </is>
      </c>
      <c r="AE67" s="6">
        <f>IF((COUNTIF($AD$2:AD67,"Win")+COUNTIF($AD$2:AD67,"Loss"))=0,0,COUNTIF($AD$2:AD67,"Win")/(COUNTIF($AD$2:AD67,"Win")+COUNTIF($AD$2:AD67,"Loss")))</f>
        <v/>
      </c>
      <c r="AF67" s="6">
        <f>SUM($Y$2:Y67)/SUM($X$2:X67)</f>
        <v/>
      </c>
      <c r="AG67" s="5">
        <f>SUM($Y$2:Y67)</f>
        <v/>
      </c>
      <c r="AH67" s="7">
        <f>10000.0+SUM($AA$2:AA67)</f>
        <v/>
      </c>
      <c r="AI67" s="2" t="n">
        <v>2025</v>
      </c>
      <c r="AJ67" s="2" t="inlineStr">
        <is>
          <t>2025-07</t>
        </is>
      </c>
      <c r="AK67" s="2" t="inlineStr">
        <is>
          <t>-149 to -120</t>
        </is>
      </c>
      <c r="AL67" s="2" t="inlineStr">
        <is>
          <t>2025 Validation</t>
        </is>
      </c>
      <c r="AM67" s="6" t="n">
        <v>0.137433452238986</v>
      </c>
    </row>
    <row r="68">
      <c r="A68" s="2" t="inlineStr">
        <is>
          <t>KPROP-00067</t>
        </is>
      </c>
      <c r="B68" s="3" t="n">
        <v>45859.77821759259</v>
      </c>
      <c r="C68" s="3" t="n">
        <v>45859</v>
      </c>
      <c r="D68" s="2" t="inlineStr">
        <is>
          <t>Jake Irvin</t>
        </is>
      </c>
      <c r="E68" s="2" t="n">
        <v>120</v>
      </c>
      <c r="F68" s="2" t="n">
        <v>113</v>
      </c>
      <c r="G68" s="2" t="inlineStr">
        <is>
          <t>Home</t>
        </is>
      </c>
      <c r="H68" s="2" t="inlineStr">
        <is>
          <t>fanduel</t>
        </is>
      </c>
      <c r="I68" s="4" t="n"/>
      <c r="J68" s="4" t="n"/>
      <c r="K68" s="4" t="n">
        <v>-104</v>
      </c>
      <c r="L68" s="4" t="n">
        <v>-104</v>
      </c>
      <c r="M68" s="5" t="n">
        <v>4.5</v>
      </c>
      <c r="N68" s="5" t="n">
        <v>4.302030354651897</v>
      </c>
      <c r="O68" s="5" t="n">
        <v>4.5</v>
      </c>
      <c r="P68" s="5" t="n">
        <v>0.1979696453481035</v>
      </c>
      <c r="Q68" s="6" t="n">
        <v>0.118166565016906</v>
      </c>
      <c r="R68" s="6" t="n">
        <v>0.5700456998125403</v>
      </c>
      <c r="S68" s="6" t="n">
        <v>0.4932249322493225</v>
      </c>
      <c r="T68" s="2" t="inlineStr">
        <is>
          <t>Under</t>
        </is>
      </c>
      <c r="U68" s="4" t="n">
        <v>-104</v>
      </c>
      <c r="V68" s="2" t="n">
        <v>1.961538461538462</v>
      </c>
      <c r="W68" s="4" t="n">
        <v>-104</v>
      </c>
      <c r="X68" s="2" t="n">
        <v>1</v>
      </c>
      <c r="Y68" s="5" t="n">
        <v>0.9615384615384617</v>
      </c>
      <c r="Z68" s="7" t="n">
        <v>100</v>
      </c>
      <c r="AA68" s="7">
        <f>Y68*Z68</f>
        <v/>
      </c>
      <c r="AB68" s="6">
        <f>IF(Z68=0,0,AA68/Z68)</f>
        <v/>
      </c>
      <c r="AC68" s="6" t="n"/>
      <c r="AD68" s="2" t="inlineStr">
        <is>
          <t>Win</t>
        </is>
      </c>
      <c r="AE68" s="6">
        <f>IF((COUNTIF($AD$2:AD68,"Win")+COUNTIF($AD$2:AD68,"Loss"))=0,0,COUNTIF($AD$2:AD68,"Win")/(COUNTIF($AD$2:AD68,"Win")+COUNTIF($AD$2:AD68,"Loss")))</f>
        <v/>
      </c>
      <c r="AF68" s="6">
        <f>SUM($Y$2:Y68)/SUM($X$2:X68)</f>
        <v/>
      </c>
      <c r="AG68" s="5">
        <f>SUM($Y$2:Y68)</f>
        <v/>
      </c>
      <c r="AH68" s="7">
        <f>10000.0+SUM($AA$2:AA68)</f>
        <v/>
      </c>
      <c r="AI68" s="2" t="n">
        <v>2025</v>
      </c>
      <c r="AJ68" s="2" t="inlineStr">
        <is>
          <t>2025-07</t>
        </is>
      </c>
      <c r="AK68" s="2" t="inlineStr">
        <is>
          <t>-119 to -101</t>
        </is>
      </c>
      <c r="AL68" s="2" t="inlineStr">
        <is>
          <t>2025 Validation</t>
        </is>
      </c>
      <c r="AM68" s="6" t="n">
        <v>0.1228932276175823</v>
      </c>
    </row>
    <row r="69">
      <c r="A69" s="2" t="inlineStr">
        <is>
          <t>KPROP-00068</t>
        </is>
      </c>
      <c r="B69" s="3" t="n">
        <v>45860.78168981482</v>
      </c>
      <c r="C69" s="3" t="n">
        <v>45860</v>
      </c>
      <c r="D69" s="2" t="inlineStr">
        <is>
          <t>Chase Burns</t>
        </is>
      </c>
      <c r="E69" s="2" t="n">
        <v>113</v>
      </c>
      <c r="F69" s="2" t="n">
        <v>120</v>
      </c>
      <c r="G69" s="2" t="inlineStr">
        <is>
          <t>Away</t>
        </is>
      </c>
      <c r="H69" s="2" t="inlineStr">
        <is>
          <t>draftkings</t>
        </is>
      </c>
      <c r="I69" s="4" t="n"/>
      <c r="J69" s="4" t="n"/>
      <c r="K69" s="4" t="n">
        <v>125</v>
      </c>
      <c r="L69" s="4" t="n">
        <v>125</v>
      </c>
      <c r="M69" s="5" t="n">
        <v>5.5</v>
      </c>
      <c r="N69" s="5" t="n">
        <v>5.80330342364607</v>
      </c>
      <c r="O69" s="5" t="n">
        <v>5.5</v>
      </c>
      <c r="P69" s="5" t="n">
        <v>-0.3033034236460699</v>
      </c>
      <c r="Q69" s="6" t="n">
        <v>0.0749774983792435</v>
      </c>
      <c r="R69" s="6" t="n">
        <v>0.4777677770574416</v>
      </c>
      <c r="S69" s="6" t="n">
        <v>0.4339106654512306</v>
      </c>
      <c r="T69" s="2" t="inlineStr">
        <is>
          <t>Under</t>
        </is>
      </c>
      <c r="U69" s="4" t="n">
        <v>125</v>
      </c>
      <c r="V69" s="2" t="n">
        <v>2.25</v>
      </c>
      <c r="W69" s="4" t="n">
        <v>125</v>
      </c>
      <c r="X69" s="2" t="n">
        <v>1</v>
      </c>
      <c r="Y69" s="5" t="n">
        <v>-1</v>
      </c>
      <c r="Z69" s="7" t="n">
        <v>100</v>
      </c>
      <c r="AA69" s="7">
        <f>Y69*Z69</f>
        <v/>
      </c>
      <c r="AB69" s="6">
        <f>IF(Z69=0,0,AA69/Z69)</f>
        <v/>
      </c>
      <c r="AC69" s="6" t="n"/>
      <c r="AD69" s="2" t="inlineStr">
        <is>
          <t>Loss</t>
        </is>
      </c>
      <c r="AE69" s="6">
        <f>IF((COUNTIF($AD$2:AD69,"Win")+COUNTIF($AD$2:AD69,"Loss"))=0,0,COUNTIF($AD$2:AD69,"Win")/(COUNTIF($AD$2:AD69,"Win")+COUNTIF($AD$2:AD69,"Loss")))</f>
        <v/>
      </c>
      <c r="AF69" s="6">
        <f>SUM($Y$2:Y69)/SUM($X$2:X69)</f>
        <v/>
      </c>
      <c r="AG69" s="5">
        <f>SUM($Y$2:Y69)</f>
        <v/>
      </c>
      <c r="AH69" s="7">
        <f>10000.0+SUM($AA$2:AA69)</f>
        <v/>
      </c>
      <c r="AI69" s="2" t="n">
        <v>2025</v>
      </c>
      <c r="AJ69" s="2" t="inlineStr">
        <is>
          <t>2025-07</t>
        </is>
      </c>
      <c r="AK69" s="2" t="inlineStr">
        <is>
          <t>+121 to +150</t>
        </is>
      </c>
      <c r="AL69" s="2" t="inlineStr">
        <is>
          <t>2025 Validation</t>
        </is>
      </c>
      <c r="AM69" s="6" t="n">
        <v>0.0599819987033948</v>
      </c>
    </row>
    <row r="70">
      <c r="A70" s="2" t="inlineStr">
        <is>
          <t>KPROP-00069</t>
        </is>
      </c>
      <c r="B70" s="3" t="n">
        <v>45860.79559027778</v>
      </c>
      <c r="C70" s="3" t="n">
        <v>45860</v>
      </c>
      <c r="D70" s="2" t="inlineStr">
        <is>
          <t>Max Scherzer</t>
        </is>
      </c>
      <c r="E70" s="2" t="n">
        <v>141</v>
      </c>
      <c r="F70" s="2" t="n">
        <v>147</v>
      </c>
      <c r="G70" s="2" t="inlineStr">
        <is>
          <t>Home</t>
        </is>
      </c>
      <c r="H70" s="2" t="inlineStr">
        <is>
          <t>betmgm</t>
        </is>
      </c>
      <c r="I70" s="4" t="n"/>
      <c r="J70" s="4" t="n"/>
      <c r="K70" s="4" t="n">
        <v>110</v>
      </c>
      <c r="L70" s="4" t="n">
        <v>110</v>
      </c>
      <c r="M70" s="5" t="n">
        <v>5.5</v>
      </c>
      <c r="N70" s="5" t="n">
        <v>5.23208200581149</v>
      </c>
      <c r="O70" s="5" t="n">
        <v>5.5</v>
      </c>
      <c r="P70" s="5" t="n">
        <v>0.2679179941885099</v>
      </c>
      <c r="Q70" s="6" t="n">
        <v>0.2081492913767836</v>
      </c>
      <c r="R70" s="6" t="n">
        <v>0.5753091863698969</v>
      </c>
      <c r="S70" s="6" t="n">
        <v>0.4615384615384616</v>
      </c>
      <c r="T70" s="2" t="inlineStr">
        <is>
          <t>Under</t>
        </is>
      </c>
      <c r="U70" s="4" t="n">
        <v>110</v>
      </c>
      <c r="V70" s="2" t="n">
        <v>2.1</v>
      </c>
      <c r="W70" s="4" t="n">
        <v>110</v>
      </c>
      <c r="X70" s="2" t="n">
        <v>1</v>
      </c>
      <c r="Y70" s="5" t="n">
        <v>1.1</v>
      </c>
      <c r="Z70" s="7" t="n">
        <v>100</v>
      </c>
      <c r="AA70" s="7">
        <f>Y70*Z70</f>
        <v/>
      </c>
      <c r="AB70" s="6">
        <f>IF(Z70=0,0,AA70/Z70)</f>
        <v/>
      </c>
      <c r="AC70" s="6" t="n"/>
      <c r="AD70" s="2" t="inlineStr">
        <is>
          <t>Win</t>
        </is>
      </c>
      <c r="AE70" s="6">
        <f>IF((COUNTIF($AD$2:AD70,"Win")+COUNTIF($AD$2:AD70,"Loss"))=0,0,COUNTIF($AD$2:AD70,"Win")/(COUNTIF($AD$2:AD70,"Win")+COUNTIF($AD$2:AD70,"Loss")))</f>
        <v/>
      </c>
      <c r="AF70" s="6">
        <f>SUM($Y$2:Y70)/SUM($X$2:X70)</f>
        <v/>
      </c>
      <c r="AG70" s="5">
        <f>SUM($Y$2:Y70)</f>
        <v/>
      </c>
      <c r="AH70" s="7">
        <f>10000.0+SUM($AA$2:AA70)</f>
        <v/>
      </c>
      <c r="AI70" s="2" t="n">
        <v>2025</v>
      </c>
      <c r="AJ70" s="2" t="inlineStr">
        <is>
          <t>2025-07</t>
        </is>
      </c>
      <c r="AK70" s="2" t="inlineStr">
        <is>
          <t>+100 to +120</t>
        </is>
      </c>
      <c r="AL70" s="2" t="inlineStr">
        <is>
          <t>2025 Validation</t>
        </is>
      </c>
      <c r="AM70" s="6" t="n">
        <v>0.1892266285243487</v>
      </c>
    </row>
    <row r="71">
      <c r="A71" s="2" t="inlineStr">
        <is>
          <t>KPROP-00070</t>
        </is>
      </c>
      <c r="B71" s="3" t="n">
        <v>45860.79559027778</v>
      </c>
      <c r="C71" s="3" t="n">
        <v>45860</v>
      </c>
      <c r="D71" s="2" t="inlineStr">
        <is>
          <t>Max Scherzer</t>
        </is>
      </c>
      <c r="E71" s="2" t="n">
        <v>141</v>
      </c>
      <c r="F71" s="2" t="n">
        <v>147</v>
      </c>
      <c r="G71" s="2" t="inlineStr">
        <is>
          <t>Home</t>
        </is>
      </c>
      <c r="H71" s="2" t="inlineStr">
        <is>
          <t>betrivers</t>
        </is>
      </c>
      <c r="I71" s="4" t="n"/>
      <c r="J71" s="4" t="n"/>
      <c r="K71" s="4" t="n">
        <v>-186</v>
      </c>
      <c r="L71" s="4" t="n">
        <v>-186</v>
      </c>
      <c r="M71" s="5" t="n">
        <v>6.5</v>
      </c>
      <c r="N71" s="5" t="n">
        <v>5.23208200581149</v>
      </c>
      <c r="O71" s="5" t="n">
        <v>6.5</v>
      </c>
      <c r="P71" s="5" t="n">
        <v>1.26791799418851</v>
      </c>
      <c r="Q71" s="6" t="n">
        <v>0.1186624289611948</v>
      </c>
      <c r="R71" s="6" t="n">
        <v>0.7275217195342036</v>
      </c>
      <c r="S71" s="6" t="n">
        <v>0.6044807080625086</v>
      </c>
      <c r="T71" s="2" t="inlineStr">
        <is>
          <t>Under</t>
        </is>
      </c>
      <c r="U71" s="4" t="n">
        <v>-186</v>
      </c>
      <c r="V71" s="2" t="n">
        <v>1.537634408602151</v>
      </c>
      <c r="W71" s="4" t="n">
        <v>-186</v>
      </c>
      <c r="X71" s="2" t="n">
        <v>1</v>
      </c>
      <c r="Y71" s="5" t="n">
        <v>0.5376344086021505</v>
      </c>
      <c r="Z71" s="7" t="n">
        <v>100</v>
      </c>
      <c r="AA71" s="7">
        <f>Y71*Z71</f>
        <v/>
      </c>
      <c r="AB71" s="6">
        <f>IF(Z71=0,0,AA71/Z71)</f>
        <v/>
      </c>
      <c r="AC71" s="6" t="n"/>
      <c r="AD71" s="2" t="inlineStr">
        <is>
          <t>Win</t>
        </is>
      </c>
      <c r="AE71" s="6">
        <f>IF((COUNTIF($AD$2:AD71,"Win")+COUNTIF($AD$2:AD71,"Loss"))=0,0,COUNTIF($AD$2:AD71,"Win")/(COUNTIF($AD$2:AD71,"Win")+COUNTIF($AD$2:AD71,"Loss")))</f>
        <v/>
      </c>
      <c r="AF71" s="6">
        <f>SUM($Y$2:Y71)/SUM($X$2:X71)</f>
        <v/>
      </c>
      <c r="AG71" s="5">
        <f>SUM($Y$2:Y71)</f>
        <v/>
      </c>
      <c r="AH71" s="7">
        <f>10000.0+SUM($AA$2:AA71)</f>
        <v/>
      </c>
      <c r="AI71" s="2" t="n">
        <v>2025</v>
      </c>
      <c r="AJ71" s="2" t="inlineStr">
        <is>
          <t>2025-07</t>
        </is>
      </c>
      <c r="AK71" s="2" t="inlineStr">
        <is>
          <t>&lt;= -150</t>
        </is>
      </c>
      <c r="AL71" s="2" t="inlineStr">
        <is>
          <t>2025 Validation</t>
        </is>
      </c>
      <c r="AM71" s="6" t="n">
        <v>0.2207121178678224</v>
      </c>
    </row>
    <row r="72">
      <c r="A72" s="2" t="inlineStr">
        <is>
          <t>KPROP-00071</t>
        </is>
      </c>
      <c r="B72" s="3" t="n">
        <v>45860.77821759259</v>
      </c>
      <c r="C72" s="3" t="n">
        <v>45860</v>
      </c>
      <c r="D72" s="2" t="inlineStr">
        <is>
          <t>Mitch Keller</t>
        </is>
      </c>
      <c r="E72" s="2" t="n">
        <v>134</v>
      </c>
      <c r="F72" s="2" t="n">
        <v>116</v>
      </c>
      <c r="G72" s="2" t="inlineStr">
        <is>
          <t>Home</t>
        </is>
      </c>
      <c r="H72" s="2" t="inlineStr">
        <is>
          <t>bovada</t>
        </is>
      </c>
      <c r="I72" s="4" t="n"/>
      <c r="J72" s="4" t="n"/>
      <c r="K72" s="4" t="n">
        <v>130</v>
      </c>
      <c r="L72" s="4" t="n">
        <v>130</v>
      </c>
      <c r="M72" s="5" t="n">
        <v>4.5</v>
      </c>
      <c r="N72" s="5" t="n">
        <v>4.806379728215197</v>
      </c>
      <c r="O72" s="5" t="n">
        <v>4.5</v>
      </c>
      <c r="P72" s="5" t="n">
        <v>-0.3063797282151972</v>
      </c>
      <c r="Q72" s="6" t="n">
        <v>0.09272557861697672</v>
      </c>
      <c r="R72" s="6" t="n">
        <v>0.4750980776595551</v>
      </c>
      <c r="S72" s="6" t="n">
        <v>0.4188829787234042</v>
      </c>
      <c r="T72" s="2" t="inlineStr">
        <is>
          <t>Under</t>
        </is>
      </c>
      <c r="U72" s="4" t="n">
        <v>130</v>
      </c>
      <c r="V72" s="2" t="n">
        <v>2.3</v>
      </c>
      <c r="W72" s="4" t="n">
        <v>130</v>
      </c>
      <c r="X72" s="2" t="n">
        <v>1</v>
      </c>
      <c r="Y72" s="5" t="n">
        <v>-1</v>
      </c>
      <c r="Z72" s="7" t="n">
        <v>100</v>
      </c>
      <c r="AA72" s="7">
        <f>Y72*Z72</f>
        <v/>
      </c>
      <c r="AB72" s="6">
        <f>IF(Z72=0,0,AA72/Z72)</f>
        <v/>
      </c>
      <c r="AC72" s="6" t="n"/>
      <c r="AD72" s="2" t="inlineStr">
        <is>
          <t>Loss</t>
        </is>
      </c>
      <c r="AE72" s="6">
        <f>IF((COUNTIF($AD$2:AD72,"Win")+COUNTIF($AD$2:AD72,"Loss"))=0,0,COUNTIF($AD$2:AD72,"Win")/(COUNTIF($AD$2:AD72,"Win")+COUNTIF($AD$2:AD72,"Loss")))</f>
        <v/>
      </c>
      <c r="AF72" s="6">
        <f>SUM($Y$2:Y72)/SUM($X$2:X72)</f>
        <v/>
      </c>
      <c r="AG72" s="5">
        <f>SUM($Y$2:Y72)</f>
        <v/>
      </c>
      <c r="AH72" s="7">
        <f>10000.0+SUM($AA$2:AA72)</f>
        <v/>
      </c>
      <c r="AI72" s="2" t="n">
        <v>2025</v>
      </c>
      <c r="AJ72" s="2" t="inlineStr">
        <is>
          <t>2025-07</t>
        </is>
      </c>
      <c r="AK72" s="2" t="inlineStr">
        <is>
          <t>+121 to +150</t>
        </is>
      </c>
      <c r="AL72" s="2" t="inlineStr">
        <is>
          <t>2025 Validation</t>
        </is>
      </c>
      <c r="AM72" s="6" t="n">
        <v>0.07132736816690519</v>
      </c>
    </row>
    <row r="73">
      <c r="A73" s="2" t="inlineStr">
        <is>
          <t>KPROP-00072</t>
        </is>
      </c>
      <c r="B73" s="3" t="n">
        <v>45861.50738425926</v>
      </c>
      <c r="C73" s="3" t="n">
        <v>45861</v>
      </c>
      <c r="D73" s="2" t="inlineStr">
        <is>
          <t>Dylan Cease</t>
        </is>
      </c>
      <c r="E73" s="2" t="n">
        <v>135</v>
      </c>
      <c r="F73" s="2" t="n">
        <v>146</v>
      </c>
      <c r="G73" s="2" t="inlineStr">
        <is>
          <t>Away</t>
        </is>
      </c>
      <c r="H73" s="2" t="inlineStr">
        <is>
          <t>betonlineag</t>
        </is>
      </c>
      <c r="I73" s="4" t="n"/>
      <c r="J73" s="4" t="n"/>
      <c r="K73" s="4" t="n">
        <v>116</v>
      </c>
      <c r="L73" s="4" t="n">
        <v>116</v>
      </c>
      <c r="M73" s="5" t="n">
        <v>6.5</v>
      </c>
      <c r="N73" s="5" t="n">
        <v>6.288320169786076</v>
      </c>
      <c r="O73" s="5" t="n">
        <v>6.5</v>
      </c>
      <c r="P73" s="5" t="n">
        <v>0.2116798302139244</v>
      </c>
      <c r="Q73" s="6" t="n">
        <v>0.2098076206280229</v>
      </c>
      <c r="R73" s="6" t="n">
        <v>0.5600961206611217</v>
      </c>
      <c r="S73" s="6" t="n">
        <v>0.4424778761061947</v>
      </c>
      <c r="T73" s="2" t="inlineStr">
        <is>
          <t>Under</t>
        </is>
      </c>
      <c r="U73" s="4" t="n">
        <v>116</v>
      </c>
      <c r="V73" s="2" t="n">
        <v>2.16</v>
      </c>
      <c r="W73" s="4" t="n">
        <v>116</v>
      </c>
      <c r="X73" s="2" t="n">
        <v>1</v>
      </c>
      <c r="Y73" s="5" t="n">
        <v>1.16</v>
      </c>
      <c r="Z73" s="7" t="n">
        <v>100</v>
      </c>
      <c r="AA73" s="7">
        <f>Y73*Z73</f>
        <v/>
      </c>
      <c r="AB73" s="6">
        <f>IF(Z73=0,0,AA73/Z73)</f>
        <v/>
      </c>
      <c r="AC73" s="6" t="n"/>
      <c r="AD73" s="2" t="inlineStr">
        <is>
          <t>Win</t>
        </is>
      </c>
      <c r="AE73" s="6">
        <f>IF((COUNTIF($AD$2:AD73,"Win")+COUNTIF($AD$2:AD73,"Loss"))=0,0,COUNTIF($AD$2:AD73,"Win")/(COUNTIF($AD$2:AD73,"Win")+COUNTIF($AD$2:AD73,"Loss")))</f>
        <v/>
      </c>
      <c r="AF73" s="6">
        <f>SUM($Y$2:Y73)/SUM($X$2:X73)</f>
        <v/>
      </c>
      <c r="AG73" s="5">
        <f>SUM($Y$2:Y73)</f>
        <v/>
      </c>
      <c r="AH73" s="7">
        <f>10000.0+SUM($AA$2:AA73)</f>
        <v/>
      </c>
      <c r="AI73" s="2" t="n">
        <v>2025</v>
      </c>
      <c r="AJ73" s="2" t="inlineStr">
        <is>
          <t>2025-07</t>
        </is>
      </c>
      <c r="AK73" s="2" t="inlineStr">
        <is>
          <t>+100 to +120</t>
        </is>
      </c>
      <c r="AL73" s="2" t="inlineStr">
        <is>
          <t>2025 Validation</t>
        </is>
      </c>
      <c r="AM73" s="6" t="n">
        <v>0.1808686384724335</v>
      </c>
    </row>
    <row r="74">
      <c r="A74" s="2" t="inlineStr">
        <is>
          <t>KPROP-00073</t>
        </is>
      </c>
      <c r="B74" s="3" t="n">
        <v>45861.50738425926</v>
      </c>
      <c r="C74" s="3" t="n">
        <v>45861</v>
      </c>
      <c r="D74" s="2" t="inlineStr">
        <is>
          <t>Dylan Cease</t>
        </is>
      </c>
      <c r="E74" s="2" t="n">
        <v>135</v>
      </c>
      <c r="F74" s="2" t="n">
        <v>146</v>
      </c>
      <c r="G74" s="2" t="inlineStr">
        <is>
          <t>Away</t>
        </is>
      </c>
      <c r="H74" s="2" t="inlineStr">
        <is>
          <t>betrivers</t>
        </is>
      </c>
      <c r="I74" s="4" t="n"/>
      <c r="J74" s="4" t="n"/>
      <c r="K74" s="4" t="n">
        <v>-180</v>
      </c>
      <c r="L74" s="4" t="n">
        <v>-180</v>
      </c>
      <c r="M74" s="5" t="n">
        <v>7.5</v>
      </c>
      <c r="N74" s="5" t="n">
        <v>6.288320169786076</v>
      </c>
      <c r="O74" s="5" t="n">
        <v>7.5</v>
      </c>
      <c r="P74" s="5" t="n">
        <v>1.211679830213924</v>
      </c>
      <c r="Q74" s="6" t="n">
        <v>0.09421437087708667</v>
      </c>
      <c r="R74" s="6" t="n">
        <v>0.70342352413527</v>
      </c>
      <c r="S74" s="6" t="n">
        <v>0.5965417867435159</v>
      </c>
      <c r="T74" s="2" t="inlineStr">
        <is>
          <t>Under</t>
        </is>
      </c>
      <c r="U74" s="4" t="n">
        <v>-180</v>
      </c>
      <c r="V74" s="2" t="n">
        <v>1.555555555555556</v>
      </c>
      <c r="W74" s="4" t="n">
        <v>-180</v>
      </c>
      <c r="X74" s="2" t="n">
        <v>1</v>
      </c>
      <c r="Y74" s="5" t="n">
        <v>0.5555555555555556</v>
      </c>
      <c r="Z74" s="7" t="n">
        <v>100</v>
      </c>
      <c r="AA74" s="7">
        <f>Y74*Z74</f>
        <v/>
      </c>
      <c r="AB74" s="6">
        <f>IF(Z74=0,0,AA74/Z74)</f>
        <v/>
      </c>
      <c r="AC74" s="6" t="n"/>
      <c r="AD74" s="2" t="inlineStr">
        <is>
          <t>Win</t>
        </is>
      </c>
      <c r="AE74" s="6">
        <f>IF((COUNTIF($AD$2:AD74,"Win")+COUNTIF($AD$2:AD74,"Loss"))=0,0,COUNTIF($AD$2:AD74,"Win")/(COUNTIF($AD$2:AD74,"Win")+COUNTIF($AD$2:AD74,"Loss")))</f>
        <v/>
      </c>
      <c r="AF74" s="6">
        <f>SUM($Y$2:Y74)/SUM($X$2:X74)</f>
        <v/>
      </c>
      <c r="AG74" s="5">
        <f>SUM($Y$2:Y74)</f>
        <v/>
      </c>
      <c r="AH74" s="7">
        <f>10000.0+SUM($AA$2:AA74)</f>
        <v/>
      </c>
      <c r="AI74" s="2" t="n">
        <v>2025</v>
      </c>
      <c r="AJ74" s="2" t="inlineStr">
        <is>
          <t>2025-07</t>
        </is>
      </c>
      <c r="AK74" s="2" t="inlineStr">
        <is>
          <t>&lt;= -150</t>
        </is>
      </c>
      <c r="AL74" s="2" t="inlineStr">
        <is>
          <t>2025 Validation</t>
        </is>
      </c>
      <c r="AM74" s="6" t="n">
        <v>0.169585867578756</v>
      </c>
    </row>
    <row r="75">
      <c r="A75" s="2" t="inlineStr">
        <is>
          <t>KPROP-00074</t>
        </is>
      </c>
      <c r="B75" s="3" t="n">
        <v>45861.65321759259</v>
      </c>
      <c r="C75" s="3" t="n">
        <v>45861</v>
      </c>
      <c r="D75" s="2" t="inlineStr">
        <is>
          <t>Luis Castillo</t>
        </is>
      </c>
      <c r="E75" s="2" t="n">
        <v>136</v>
      </c>
      <c r="F75" s="2" t="n">
        <v>158</v>
      </c>
      <c r="G75" s="2" t="inlineStr">
        <is>
          <t>Home</t>
        </is>
      </c>
      <c r="H75" s="2" t="inlineStr">
        <is>
          <t>bovada</t>
        </is>
      </c>
      <c r="I75" s="4" t="n"/>
      <c r="J75" s="4" t="n"/>
      <c r="K75" s="4" t="n">
        <v>100</v>
      </c>
      <c r="L75" s="4" t="n">
        <v>100</v>
      </c>
      <c r="M75" s="5" t="n">
        <v>5.5</v>
      </c>
      <c r="N75" s="5" t="n">
        <v>5.07337186522891</v>
      </c>
      <c r="O75" s="5" t="n">
        <v>5.5</v>
      </c>
      <c r="P75" s="5" t="n">
        <v>0.4266281347710903</v>
      </c>
      <c r="Q75" s="6" t="n">
        <v>0.2061771594635822</v>
      </c>
      <c r="R75" s="6" t="n">
        <v>0.6030885797317911</v>
      </c>
      <c r="S75" s="6" t="n">
        <v>0.4939759036144578</v>
      </c>
      <c r="T75" s="2" t="inlineStr">
        <is>
          <t>Under</t>
        </is>
      </c>
      <c r="U75" s="4" t="n">
        <v>100</v>
      </c>
      <c r="V75" s="2" t="n">
        <v>2</v>
      </c>
      <c r="W75" s="4" t="n">
        <v>100</v>
      </c>
      <c r="X75" s="2" t="n">
        <v>1</v>
      </c>
      <c r="Y75" s="5" t="n">
        <v>-1</v>
      </c>
      <c r="Z75" s="7" t="n">
        <v>100</v>
      </c>
      <c r="AA75" s="7">
        <f>Y75*Z75</f>
        <v/>
      </c>
      <c r="AB75" s="6">
        <f>IF(Z75=0,0,AA75/Z75)</f>
        <v/>
      </c>
      <c r="AC75" s="6" t="n"/>
      <c r="AD75" s="2" t="inlineStr">
        <is>
          <t>Loss</t>
        </is>
      </c>
      <c r="AE75" s="6">
        <f>IF((COUNTIF($AD$2:AD75,"Win")+COUNTIF($AD$2:AD75,"Loss"))=0,0,COUNTIF($AD$2:AD75,"Win")/(COUNTIF($AD$2:AD75,"Win")+COUNTIF($AD$2:AD75,"Loss")))</f>
        <v/>
      </c>
      <c r="AF75" s="6">
        <f>SUM($Y$2:Y75)/SUM($X$2:X75)</f>
        <v/>
      </c>
      <c r="AG75" s="5">
        <f>SUM($Y$2:Y75)</f>
        <v/>
      </c>
      <c r="AH75" s="7">
        <f>10000.0+SUM($AA$2:AA75)</f>
        <v/>
      </c>
      <c r="AI75" s="2" t="n">
        <v>2025</v>
      </c>
      <c r="AJ75" s="2" t="inlineStr">
        <is>
          <t>2025-07</t>
        </is>
      </c>
      <c r="AK75" s="2" t="inlineStr">
        <is>
          <t>+100 to +120</t>
        </is>
      </c>
      <c r="AL75" s="2" t="inlineStr">
        <is>
          <t>2025 Validation</t>
        </is>
      </c>
      <c r="AM75" s="6" t="n">
        <v>0.2061771594635822</v>
      </c>
    </row>
    <row r="76">
      <c r="A76" s="2" t="inlineStr">
        <is>
          <t>KPROP-00075</t>
        </is>
      </c>
      <c r="B76" s="3" t="n">
        <v>45861.50391203703</v>
      </c>
      <c r="C76" s="3" t="n">
        <v>45861</v>
      </c>
      <c r="D76" s="2" t="inlineStr">
        <is>
          <t>Michael Soroka</t>
        </is>
      </c>
      <c r="E76" s="2" t="n">
        <v>120</v>
      </c>
      <c r="F76" s="2" t="n">
        <v>113</v>
      </c>
      <c r="G76" s="2" t="inlineStr">
        <is>
          <t>Home</t>
        </is>
      </c>
      <c r="H76" s="2" t="inlineStr">
        <is>
          <t>fanduel</t>
        </is>
      </c>
      <c r="I76" s="4" t="n"/>
      <c r="J76" s="4" t="n"/>
      <c r="K76" s="4" t="n">
        <v>-122</v>
      </c>
      <c r="L76" s="4" t="n">
        <v>-122</v>
      </c>
      <c r="M76" s="5" t="n">
        <v>5.5</v>
      </c>
      <c r="N76" s="5" t="n">
        <v>5.048045023048202</v>
      </c>
      <c r="O76" s="5" t="n">
        <v>5.5</v>
      </c>
      <c r="P76" s="5" t="n">
        <v>0.4519549769517983</v>
      </c>
      <c r="Q76" s="6" t="n">
        <v>0.1055071686038734</v>
      </c>
      <c r="R76" s="6" t="n">
        <v>0.6075309665300566</v>
      </c>
      <c r="S76" s="6" t="n">
        <v>0.5309727034564354</v>
      </c>
      <c r="T76" s="2" t="inlineStr">
        <is>
          <t>Under</t>
        </is>
      </c>
      <c r="U76" s="4" t="n">
        <v>-122</v>
      </c>
      <c r="V76" s="2" t="n">
        <v>1.819672131147541</v>
      </c>
      <c r="W76" s="4" t="n">
        <v>-122</v>
      </c>
      <c r="X76" s="2" t="n">
        <v>1</v>
      </c>
      <c r="Y76" s="5" t="n">
        <v>-1</v>
      </c>
      <c r="Z76" s="7" t="n">
        <v>100</v>
      </c>
      <c r="AA76" s="7">
        <f>Y76*Z76</f>
        <v/>
      </c>
      <c r="AB76" s="6">
        <f>IF(Z76=0,0,AA76/Z76)</f>
        <v/>
      </c>
      <c r="AC76" s="6" t="n"/>
      <c r="AD76" s="2" t="inlineStr">
        <is>
          <t>Loss</t>
        </is>
      </c>
      <c r="AE76" s="6">
        <f>IF((COUNTIF($AD$2:AD76,"Win")+COUNTIF($AD$2:AD76,"Loss"))=0,0,COUNTIF($AD$2:AD76,"Win")/(COUNTIF($AD$2:AD76,"Win")+COUNTIF($AD$2:AD76,"Loss")))</f>
        <v/>
      </c>
      <c r="AF76" s="6">
        <f>SUM($Y$2:Y76)/SUM($X$2:X76)</f>
        <v/>
      </c>
      <c r="AG76" s="5">
        <f>SUM($Y$2:Y76)</f>
        <v/>
      </c>
      <c r="AH76" s="7">
        <f>10000.0+SUM($AA$2:AA76)</f>
        <v/>
      </c>
      <c r="AI76" s="2" t="n">
        <v>2025</v>
      </c>
      <c r="AJ76" s="2" t="inlineStr">
        <is>
          <t>2025-07</t>
        </is>
      </c>
      <c r="AK76" s="2" t="inlineStr">
        <is>
          <t>-149 to -120</t>
        </is>
      </c>
      <c r="AL76" s="2" t="inlineStr">
        <is>
          <t>2025 Validation</t>
        </is>
      </c>
      <c r="AM76" s="6" t="n">
        <v>0.1287187456967256</v>
      </c>
    </row>
    <row r="77">
      <c r="A77" s="2" t="inlineStr">
        <is>
          <t>KPROP-00076</t>
        </is>
      </c>
      <c r="B77" s="3" t="n">
        <v>45861.50391203703</v>
      </c>
      <c r="C77" s="3" t="n">
        <v>45861</v>
      </c>
      <c r="D77" s="2" t="inlineStr">
        <is>
          <t>Nick Lodolo</t>
        </is>
      </c>
      <c r="E77" s="2" t="n">
        <v>113</v>
      </c>
      <c r="F77" s="2" t="n">
        <v>120</v>
      </c>
      <c r="G77" s="2" t="inlineStr">
        <is>
          <t>Away</t>
        </is>
      </c>
      <c r="H77" s="2" t="inlineStr">
        <is>
          <t>fanatics</t>
        </is>
      </c>
      <c r="I77" s="4" t="n"/>
      <c r="J77" s="4" t="n"/>
      <c r="K77" s="4" t="n">
        <v>-120</v>
      </c>
      <c r="L77" s="4" t="n">
        <v>-120</v>
      </c>
      <c r="M77" s="5" t="n">
        <v>5.5</v>
      </c>
      <c r="N77" s="5" t="n">
        <v>5.046114204456978</v>
      </c>
      <c r="O77" s="5" t="n">
        <v>5.5</v>
      </c>
      <c r="P77" s="5" t="n">
        <v>0.4538857955430222</v>
      </c>
      <c r="Q77" s="6" t="n">
        <v>0.114427760530357</v>
      </c>
      <c r="R77" s="6" t="n">
        <v>0.6078696875620129</v>
      </c>
      <c r="S77" s="6" t="n">
        <v>0.5157232704402516</v>
      </c>
      <c r="T77" s="2" t="inlineStr">
        <is>
          <t>Under</t>
        </is>
      </c>
      <c r="U77" s="4" t="n">
        <v>-120</v>
      </c>
      <c r="V77" s="2" t="n">
        <v>1.833333333333333</v>
      </c>
      <c r="W77" s="4" t="n">
        <v>-120</v>
      </c>
      <c r="X77" s="2" t="n">
        <v>1</v>
      </c>
      <c r="Y77" s="5" t="n">
        <v>-1</v>
      </c>
      <c r="Z77" s="7" t="n">
        <v>100</v>
      </c>
      <c r="AA77" s="7">
        <f>Y77*Z77</f>
        <v/>
      </c>
      <c r="AB77" s="6">
        <f>IF(Z77=0,0,AA77/Z77)</f>
        <v/>
      </c>
      <c r="AC77" s="6" t="n"/>
      <c r="AD77" s="2" t="inlineStr">
        <is>
          <t>Loss</t>
        </is>
      </c>
      <c r="AE77" s="6">
        <f>IF((COUNTIF($AD$2:AD77,"Win")+COUNTIF($AD$2:AD77,"Loss"))=0,0,COUNTIF($AD$2:AD77,"Win")/(COUNTIF($AD$2:AD77,"Win")+COUNTIF($AD$2:AD77,"Loss")))</f>
        <v/>
      </c>
      <c r="AF77" s="6">
        <f>SUM($Y$2:Y77)/SUM($X$2:X77)</f>
        <v/>
      </c>
      <c r="AG77" s="5">
        <f>SUM($Y$2:Y77)</f>
        <v/>
      </c>
      <c r="AH77" s="7">
        <f>10000.0+SUM($AA$2:AA77)</f>
        <v/>
      </c>
      <c r="AI77" s="2" t="n">
        <v>2025</v>
      </c>
      <c r="AJ77" s="2" t="inlineStr">
        <is>
          <t>2025-07</t>
        </is>
      </c>
      <c r="AK77" s="2" t="inlineStr">
        <is>
          <t>-149 to -120</t>
        </is>
      </c>
      <c r="AL77" s="2" t="inlineStr">
        <is>
          <t>2025 Validation</t>
        </is>
      </c>
      <c r="AM77" s="6" t="n">
        <v>0.1373133126364283</v>
      </c>
    </row>
    <row r="78">
      <c r="A78" s="2" t="inlineStr">
        <is>
          <t>KPROP-00077</t>
        </is>
      </c>
      <c r="B78" s="3" t="n">
        <v>45861.59766203703</v>
      </c>
      <c r="C78" s="3" t="n">
        <v>45861</v>
      </c>
      <c r="D78" s="2" t="inlineStr">
        <is>
          <t>Seth Lugo</t>
        </is>
      </c>
      <c r="E78" s="2" t="n">
        <v>118</v>
      </c>
      <c r="F78" s="2" t="n">
        <v>112</v>
      </c>
      <c r="G78" s="2" t="inlineStr">
        <is>
          <t>Away</t>
        </is>
      </c>
      <c r="H78" s="2" t="inlineStr">
        <is>
          <t>bovada</t>
        </is>
      </c>
      <c r="I78" s="4" t="n"/>
      <c r="J78" s="4" t="n"/>
      <c r="K78" s="4" t="n">
        <v>110</v>
      </c>
      <c r="L78" s="4" t="n">
        <v>110</v>
      </c>
      <c r="M78" s="5" t="n">
        <v>4.5</v>
      </c>
      <c r="N78" s="5" t="n">
        <v>4.429734199788526</v>
      </c>
      <c r="O78" s="5" t="n">
        <v>4.5</v>
      </c>
      <c r="P78" s="5" t="n">
        <v>0.07026580021147399</v>
      </c>
      <c r="Q78" s="6" t="n">
        <v>0.145530180231806</v>
      </c>
      <c r="R78" s="6" t="n">
        <v>0.5454905620151457</v>
      </c>
      <c r="S78" s="6" t="n">
        <v>0.4572564612326044</v>
      </c>
      <c r="T78" s="2" t="inlineStr">
        <is>
          <t>Under</t>
        </is>
      </c>
      <c r="U78" s="4" t="n">
        <v>110</v>
      </c>
      <c r="V78" s="2" t="n">
        <v>2.1</v>
      </c>
      <c r="W78" s="4" t="n">
        <v>110</v>
      </c>
      <c r="X78" s="2" t="n">
        <v>1</v>
      </c>
      <c r="Y78" s="5" t="n">
        <v>-1</v>
      </c>
      <c r="Z78" s="7" t="n">
        <v>100</v>
      </c>
      <c r="AA78" s="7">
        <f>Y78*Z78</f>
        <v/>
      </c>
      <c r="AB78" s="6">
        <f>IF(Z78=0,0,AA78/Z78)</f>
        <v/>
      </c>
      <c r="AC78" s="6" t="n"/>
      <c r="AD78" s="2" t="inlineStr">
        <is>
          <t>Loss</t>
        </is>
      </c>
      <c r="AE78" s="6">
        <f>IF((COUNTIF($AD$2:AD78,"Win")+COUNTIF($AD$2:AD78,"Loss"))=0,0,COUNTIF($AD$2:AD78,"Win")/(COUNTIF($AD$2:AD78,"Win")+COUNTIF($AD$2:AD78,"Loss")))</f>
        <v/>
      </c>
      <c r="AF78" s="6">
        <f>SUM($Y$2:Y78)/SUM($X$2:X78)</f>
        <v/>
      </c>
      <c r="AG78" s="5">
        <f>SUM($Y$2:Y78)</f>
        <v/>
      </c>
      <c r="AH78" s="7">
        <f>10000.0+SUM($AA$2:AA78)</f>
        <v/>
      </c>
      <c r="AI78" s="2" t="n">
        <v>2025</v>
      </c>
      <c r="AJ78" s="2" t="inlineStr">
        <is>
          <t>2025-07</t>
        </is>
      </c>
      <c r="AK78" s="2" t="inlineStr">
        <is>
          <t>+100 to +120</t>
        </is>
      </c>
      <c r="AL78" s="2" t="inlineStr">
        <is>
          <t>2025 Validation</t>
        </is>
      </c>
      <c r="AM78" s="6" t="n">
        <v>0.1323001638470963</v>
      </c>
    </row>
    <row r="79">
      <c r="A79" s="2" t="inlineStr">
        <is>
          <t>KPROP-00078</t>
        </is>
      </c>
      <c r="B79" s="3" t="n">
        <v>45861.51085648148</v>
      </c>
      <c r="C79" s="3" t="n">
        <v>45861</v>
      </c>
      <c r="D79" s="2" t="inlineStr">
        <is>
          <t>Spencer Strider</t>
        </is>
      </c>
      <c r="E79" s="2" t="n">
        <v>144</v>
      </c>
      <c r="F79" s="2" t="n">
        <v>137</v>
      </c>
      <c r="G79" s="2" t="inlineStr">
        <is>
          <t>Home</t>
        </is>
      </c>
      <c r="H79" s="2" t="inlineStr">
        <is>
          <t>fanduel</t>
        </is>
      </c>
      <c r="I79" s="4" t="n"/>
      <c r="J79" s="4" t="n"/>
      <c r="K79" s="4" t="n">
        <v>108</v>
      </c>
      <c r="L79" s="4" t="n">
        <v>108</v>
      </c>
      <c r="M79" s="5" t="n">
        <v>7.5</v>
      </c>
      <c r="N79" s="5" t="n">
        <v>7.38727040660153</v>
      </c>
      <c r="O79" s="5" t="n">
        <v>7.5</v>
      </c>
      <c r="P79" s="5" t="n">
        <v>0.1127295933984698</v>
      </c>
      <c r="Q79" s="6" t="n">
        <v>0.1257155234577542</v>
      </c>
      <c r="R79" s="6" t="n">
        <v>0.5412093862777664</v>
      </c>
      <c r="S79" s="6" t="n">
        <v>0.4639175257731958</v>
      </c>
      <c r="T79" s="2" t="inlineStr">
        <is>
          <t>Under</t>
        </is>
      </c>
      <c r="U79" s="4" t="n">
        <v>108</v>
      </c>
      <c r="V79" s="2" t="n">
        <v>2.08</v>
      </c>
      <c r="W79" s="4" t="n">
        <v>108</v>
      </c>
      <c r="X79" s="2" t="n">
        <v>1</v>
      </c>
      <c r="Y79" s="5" t="n">
        <v>1.08</v>
      </c>
      <c r="Z79" s="7" t="n">
        <v>100</v>
      </c>
      <c r="AA79" s="7">
        <f>Y79*Z79</f>
        <v/>
      </c>
      <c r="AB79" s="6">
        <f>IF(Z79=0,0,AA79/Z79)</f>
        <v/>
      </c>
      <c r="AC79" s="6" t="n"/>
      <c r="AD79" s="2" t="inlineStr">
        <is>
          <t>Win</t>
        </is>
      </c>
      <c r="AE79" s="6">
        <f>IF((COUNTIF($AD$2:AD79,"Win")+COUNTIF($AD$2:AD79,"Loss"))=0,0,COUNTIF($AD$2:AD79,"Win")/(COUNTIF($AD$2:AD79,"Win")+COUNTIF($AD$2:AD79,"Loss")))</f>
        <v/>
      </c>
      <c r="AF79" s="6">
        <f>SUM($Y$2:Y79)/SUM($X$2:X79)</f>
        <v/>
      </c>
      <c r="AG79" s="5">
        <f>SUM($Y$2:Y79)</f>
        <v/>
      </c>
      <c r="AH79" s="7">
        <f>10000.0+SUM($AA$2:AA79)</f>
        <v/>
      </c>
      <c r="AI79" s="2" t="n">
        <v>2025</v>
      </c>
      <c r="AJ79" s="2" t="inlineStr">
        <is>
          <t>2025-07</t>
        </is>
      </c>
      <c r="AK79" s="2" t="inlineStr">
        <is>
          <t>+100 to +120</t>
        </is>
      </c>
      <c r="AL79" s="2" t="inlineStr">
        <is>
          <t>2025 Validation</t>
        </is>
      </c>
      <c r="AM79" s="6" t="n">
        <v>0.1164032624608835</v>
      </c>
    </row>
    <row r="80">
      <c r="A80" s="2" t="inlineStr">
        <is>
          <t>KPROP-00079</t>
        </is>
      </c>
      <c r="B80" s="3" t="n">
        <v>45861.67405092593</v>
      </c>
      <c r="C80" s="3" t="n">
        <v>45861</v>
      </c>
      <c r="D80" s="2" t="inlineStr">
        <is>
          <t>Tyler Glasnow</t>
        </is>
      </c>
      <c r="E80" s="2" t="n">
        <v>119</v>
      </c>
      <c r="F80" s="2" t="n">
        <v>142</v>
      </c>
      <c r="G80" s="2" t="inlineStr">
        <is>
          <t>Home</t>
        </is>
      </c>
      <c r="H80" s="2" t="inlineStr">
        <is>
          <t>betonlineag</t>
        </is>
      </c>
      <c r="I80" s="4" t="n"/>
      <c r="J80" s="4" t="n"/>
      <c r="K80" s="4" t="n">
        <v>124</v>
      </c>
      <c r="L80" s="4" t="n">
        <v>124</v>
      </c>
      <c r="M80" s="5" t="n">
        <v>6.5</v>
      </c>
      <c r="N80" s="5" t="n">
        <v>5.715299753097168</v>
      </c>
      <c r="O80" s="5" t="n">
        <v>6.5</v>
      </c>
      <c r="P80" s="5" t="n">
        <v>0.7847002469028324</v>
      </c>
      <c r="Q80" s="6" t="n">
        <v>0.4603164249045085</v>
      </c>
      <c r="R80" s="6" t="n">
        <v>0.6519269754037984</v>
      </c>
      <c r="S80" s="6" t="n">
        <v>0.4357578877693609</v>
      </c>
      <c r="T80" s="2" t="inlineStr">
        <is>
          <t>Under</t>
        </is>
      </c>
      <c r="U80" s="4" t="n">
        <v>124</v>
      </c>
      <c r="V80" s="2" t="n">
        <v>2.24</v>
      </c>
      <c r="W80" s="4" t="n">
        <v>124</v>
      </c>
      <c r="X80" s="2" t="n">
        <v>1</v>
      </c>
      <c r="Y80" s="5" t="n">
        <v>-1</v>
      </c>
      <c r="Z80" s="7" t="n">
        <v>100</v>
      </c>
      <c r="AA80" s="7">
        <f>Y80*Z80</f>
        <v/>
      </c>
      <c r="AB80" s="6">
        <f>IF(Z80=0,0,AA80/Z80)</f>
        <v/>
      </c>
      <c r="AC80" s="6" t="n"/>
      <c r="AD80" s="2" t="inlineStr">
        <is>
          <t>Loss</t>
        </is>
      </c>
      <c r="AE80" s="6">
        <f>IF((COUNTIF($AD$2:AD80,"Win")+COUNTIF($AD$2:AD80,"Loss"))=0,0,COUNTIF($AD$2:AD80,"Win")/(COUNTIF($AD$2:AD80,"Win")+COUNTIF($AD$2:AD80,"Loss")))</f>
        <v/>
      </c>
      <c r="AF80" s="6">
        <f>SUM($Y$2:Y80)/SUM($X$2:X80)</f>
        <v/>
      </c>
      <c r="AG80" s="5">
        <f>SUM($Y$2:Y80)</f>
        <v/>
      </c>
      <c r="AH80" s="7">
        <f>10000.0+SUM($AA$2:AA80)</f>
        <v/>
      </c>
      <c r="AI80" s="2" t="n">
        <v>2025</v>
      </c>
      <c r="AJ80" s="2" t="inlineStr">
        <is>
          <t>2025-07</t>
        </is>
      </c>
      <c r="AK80" s="2" t="inlineStr">
        <is>
          <t>+121 to +150</t>
        </is>
      </c>
      <c r="AL80" s="2" t="inlineStr">
        <is>
          <t>2025 Validation</t>
        </is>
      </c>
      <c r="AM80" s="6" t="n">
        <v>0.3712229233100874</v>
      </c>
    </row>
    <row r="81">
      <c r="A81" s="2" t="inlineStr">
        <is>
          <t>KPROP-00080</t>
        </is>
      </c>
      <c r="B81" s="3" t="n">
        <v>45862.82335648148</v>
      </c>
      <c r="C81" s="3" t="n">
        <v>45862</v>
      </c>
      <c r="D81" s="2" t="inlineStr">
        <is>
          <t>Sonny Gray</t>
        </is>
      </c>
      <c r="E81" s="2" t="n">
        <v>138</v>
      </c>
      <c r="F81" s="2" t="n">
        <v>135</v>
      </c>
      <c r="G81" s="2" t="inlineStr">
        <is>
          <t>Home</t>
        </is>
      </c>
      <c r="H81" s="2" t="inlineStr">
        <is>
          <t>fanatics</t>
        </is>
      </c>
      <c r="I81" s="4" t="n"/>
      <c r="J81" s="4" t="n"/>
      <c r="K81" s="4" t="n">
        <v>125</v>
      </c>
      <c r="L81" s="4" t="n">
        <v>125</v>
      </c>
      <c r="M81" s="5" t="n">
        <v>4.5</v>
      </c>
      <c r="N81" s="5" t="n">
        <v>4.535379002016017</v>
      </c>
      <c r="O81" s="5" t="n">
        <v>4.5</v>
      </c>
      <c r="P81" s="5" t="n">
        <v>-0.03537900201601651</v>
      </c>
      <c r="Q81" s="6" t="n">
        <v>0.1821541140208942</v>
      </c>
      <c r="R81" s="6" t="n">
        <v>0.5254018284537307</v>
      </c>
      <c r="S81" s="6" t="n">
        <v>0.4242424242424243</v>
      </c>
      <c r="T81" s="2" t="inlineStr">
        <is>
          <t>Under</t>
        </is>
      </c>
      <c r="U81" s="4" t="n">
        <v>125</v>
      </c>
      <c r="V81" s="2" t="n">
        <v>2.25</v>
      </c>
      <c r="W81" s="4" t="n">
        <v>125</v>
      </c>
      <c r="X81" s="2" t="n">
        <v>1</v>
      </c>
      <c r="Y81" s="5" t="n">
        <v>-1</v>
      </c>
      <c r="Z81" s="7" t="n">
        <v>100</v>
      </c>
      <c r="AA81" s="7">
        <f>Y81*Z81</f>
        <v/>
      </c>
      <c r="AB81" s="6">
        <f>IF(Z81=0,0,AA81/Z81)</f>
        <v/>
      </c>
      <c r="AC81" s="6" t="n"/>
      <c r="AD81" s="2" t="inlineStr">
        <is>
          <t>Loss</t>
        </is>
      </c>
      <c r="AE81" s="6">
        <f>IF((COUNTIF($AD$2:AD81,"Win")+COUNTIF($AD$2:AD81,"Loss"))=0,0,COUNTIF($AD$2:AD81,"Win")/(COUNTIF($AD$2:AD81,"Win")+COUNTIF($AD$2:AD81,"Loss")))</f>
        <v/>
      </c>
      <c r="AF81" s="6">
        <f>SUM($Y$2:Y81)/SUM($X$2:X81)</f>
        <v/>
      </c>
      <c r="AG81" s="5">
        <f>SUM($Y$2:Y81)</f>
        <v/>
      </c>
      <c r="AH81" s="7">
        <f>10000.0+SUM($AA$2:AA81)</f>
        <v/>
      </c>
      <c r="AI81" s="2" t="n">
        <v>2025</v>
      </c>
      <c r="AJ81" s="2" t="inlineStr">
        <is>
          <t>2025-07</t>
        </is>
      </c>
      <c r="AK81" s="2" t="inlineStr">
        <is>
          <t>+121 to +150</t>
        </is>
      </c>
      <c r="AL81" s="2" t="inlineStr">
        <is>
          <t>2025 Validation</t>
        </is>
      </c>
      <c r="AM81" s="6" t="n">
        <v>0.1457232912167154</v>
      </c>
    </row>
    <row r="82">
      <c r="A82" s="2" t="inlineStr">
        <is>
          <t>KPROP-00081</t>
        </is>
      </c>
      <c r="B82" s="3" t="n">
        <v>45862.82335648148</v>
      </c>
      <c r="C82" s="3" t="n">
        <v>45862</v>
      </c>
      <c r="D82" s="2" t="inlineStr">
        <is>
          <t>Sonny Gray</t>
        </is>
      </c>
      <c r="E82" s="2" t="n">
        <v>138</v>
      </c>
      <c r="F82" s="2" t="n">
        <v>135</v>
      </c>
      <c r="G82" s="2" t="inlineStr">
        <is>
          <t>Home</t>
        </is>
      </c>
      <c r="H82" s="2" t="inlineStr">
        <is>
          <t>draftkings</t>
        </is>
      </c>
      <c r="I82" s="4" t="n"/>
      <c r="J82" s="4" t="n"/>
      <c r="K82" s="4" t="n">
        <v>-160</v>
      </c>
      <c r="L82" s="4" t="n">
        <v>-160</v>
      </c>
      <c r="M82" s="5" t="n">
        <v>5.5</v>
      </c>
      <c r="N82" s="5" t="n">
        <v>4.535379002016017</v>
      </c>
      <c r="O82" s="5" t="n">
        <v>5.5</v>
      </c>
      <c r="P82" s="5" t="n">
        <v>0.9646209979839835</v>
      </c>
      <c r="Q82" s="6" t="n">
        <v>0.1324221474097785</v>
      </c>
      <c r="R82" s="6" t="n">
        <v>0.6968751676367868</v>
      </c>
      <c r="S82" s="6" t="n">
        <v>0.5806451612903226</v>
      </c>
      <c r="T82" s="2" t="inlineStr">
        <is>
          <t>Under</t>
        </is>
      </c>
      <c r="U82" s="4" t="n">
        <v>-160</v>
      </c>
      <c r="V82" s="2" t="n">
        <v>1.625</v>
      </c>
      <c r="W82" s="4" t="n">
        <v>-160</v>
      </c>
      <c r="X82" s="2" t="n">
        <v>1</v>
      </c>
      <c r="Y82" s="5" t="n">
        <v>0.625</v>
      </c>
      <c r="Z82" s="7" t="n">
        <v>100</v>
      </c>
      <c r="AA82" s="7">
        <f>Y82*Z82</f>
        <v/>
      </c>
      <c r="AB82" s="6">
        <f>IF(Z82=0,0,AA82/Z82)</f>
        <v/>
      </c>
      <c r="AC82" s="6" t="n"/>
      <c r="AD82" s="2" t="inlineStr">
        <is>
          <t>Win</t>
        </is>
      </c>
      <c r="AE82" s="6">
        <f>IF((COUNTIF($AD$2:AD82,"Win")+COUNTIF($AD$2:AD82,"Loss"))=0,0,COUNTIF($AD$2:AD82,"Win")/(COUNTIF($AD$2:AD82,"Win")+COUNTIF($AD$2:AD82,"Loss")))</f>
        <v/>
      </c>
      <c r="AF82" s="6">
        <f>SUM($Y$2:Y82)/SUM($X$2:X82)</f>
        <v/>
      </c>
      <c r="AG82" s="5">
        <f>SUM($Y$2:Y82)</f>
        <v/>
      </c>
      <c r="AH82" s="7">
        <f>10000.0+SUM($AA$2:AA82)</f>
        <v/>
      </c>
      <c r="AI82" s="2" t="n">
        <v>2025</v>
      </c>
      <c r="AJ82" s="2" t="inlineStr">
        <is>
          <t>2025-07</t>
        </is>
      </c>
      <c r="AK82" s="2" t="inlineStr">
        <is>
          <t>&lt;= -150</t>
        </is>
      </c>
      <c r="AL82" s="2" t="inlineStr">
        <is>
          <t>2025 Validation</t>
        </is>
      </c>
      <c r="AM82" s="6" t="n">
        <v>0.2118754358556457</v>
      </c>
    </row>
    <row r="83">
      <c r="A83" s="2" t="inlineStr">
        <is>
          <t>KPROP-00082</t>
        </is>
      </c>
      <c r="B83" s="3" t="n">
        <v>45863.79557870371</v>
      </c>
      <c r="C83" s="3" t="n">
        <v>45863</v>
      </c>
      <c r="D83" s="2" t="inlineStr">
        <is>
          <t>Dean Kremer</t>
        </is>
      </c>
      <c r="E83" s="2" t="n">
        <v>110</v>
      </c>
      <c r="F83" s="2" t="n">
        <v>115</v>
      </c>
      <c r="G83" s="2" t="inlineStr">
        <is>
          <t>Home</t>
        </is>
      </c>
      <c r="H83" s="2" t="inlineStr">
        <is>
          <t>betonlineag</t>
        </is>
      </c>
      <c r="I83" s="4" t="n"/>
      <c r="J83" s="4" t="n"/>
      <c r="K83" s="4" t="n">
        <v>118</v>
      </c>
      <c r="L83" s="4" t="n">
        <v>118</v>
      </c>
      <c r="M83" s="5" t="n">
        <v>5.5</v>
      </c>
      <c r="N83" s="5" t="n">
        <v>5.444529799826696</v>
      </c>
      <c r="O83" s="5" t="n">
        <v>5.5</v>
      </c>
      <c r="P83" s="5" t="n">
        <v>0.05547020017330428</v>
      </c>
      <c r="Q83" s="6" t="n">
        <v>0.173819945761123</v>
      </c>
      <c r="R83" s="6" t="n">
        <v>0.5384495164041849</v>
      </c>
      <c r="S83" s="6" t="n">
        <v>0.4409431386295709</v>
      </c>
      <c r="T83" s="2" t="inlineStr">
        <is>
          <t>Under</t>
        </is>
      </c>
      <c r="U83" s="4" t="n">
        <v>118</v>
      </c>
      <c r="V83" s="2" t="n">
        <v>2.18</v>
      </c>
      <c r="W83" s="4" t="n">
        <v>118</v>
      </c>
      <c r="X83" s="2" t="n">
        <v>1</v>
      </c>
      <c r="Y83" s="5" t="n">
        <v>1.18</v>
      </c>
      <c r="Z83" s="7" t="n">
        <v>100</v>
      </c>
      <c r="AA83" s="7">
        <f>Y83*Z83</f>
        <v/>
      </c>
      <c r="AB83" s="6">
        <f>IF(Z83=0,0,AA83/Z83)</f>
        <v/>
      </c>
      <c r="AC83" s="6" t="n"/>
      <c r="AD83" s="2" t="inlineStr">
        <is>
          <t>Win</t>
        </is>
      </c>
      <c r="AE83" s="6">
        <f>IF((COUNTIF($AD$2:AD83,"Win")+COUNTIF($AD$2:AD83,"Loss"))=0,0,COUNTIF($AD$2:AD83,"Win")/(COUNTIF($AD$2:AD83,"Win")+COUNTIF($AD$2:AD83,"Loss")))</f>
        <v/>
      </c>
      <c r="AF83" s="6">
        <f>SUM($Y$2:Y83)/SUM($X$2:X83)</f>
        <v/>
      </c>
      <c r="AG83" s="5">
        <f>SUM($Y$2:Y83)</f>
        <v/>
      </c>
      <c r="AH83" s="7">
        <f>10000.0+SUM($AA$2:AA83)</f>
        <v/>
      </c>
      <c r="AI83" s="2" t="n">
        <v>2025</v>
      </c>
      <c r="AJ83" s="2" t="inlineStr">
        <is>
          <t>2025-07</t>
        </is>
      </c>
      <c r="AK83" s="2" t="inlineStr">
        <is>
          <t>+100 to +120</t>
        </is>
      </c>
      <c r="AL83" s="2" t="inlineStr">
        <is>
          <t>2025 Validation</t>
        </is>
      </c>
      <c r="AM83" s="6" t="n">
        <v>0.1473050387806128</v>
      </c>
    </row>
    <row r="84">
      <c r="A84" s="2" t="inlineStr">
        <is>
          <t>KPROP-00083</t>
        </is>
      </c>
      <c r="B84" s="3" t="n">
        <v>45863.81988425926</v>
      </c>
      <c r="C84" s="3" t="n">
        <v>45863</v>
      </c>
      <c r="D84" s="2" t="inlineStr">
        <is>
          <t>Shota Imanaga</t>
        </is>
      </c>
      <c r="E84" s="2" t="n">
        <v>112</v>
      </c>
      <c r="F84" s="2" t="n">
        <v>145</v>
      </c>
      <c r="G84" s="2" t="inlineStr">
        <is>
          <t>Away</t>
        </is>
      </c>
      <c r="H84" s="2" t="inlineStr">
        <is>
          <t>betrivers</t>
        </is>
      </c>
      <c r="I84" s="4" t="n"/>
      <c r="J84" s="4" t="n"/>
      <c r="K84" s="4" t="n">
        <v>135</v>
      </c>
      <c r="L84" s="4" t="n">
        <v>135</v>
      </c>
      <c r="M84" s="5" t="n">
        <v>4.5</v>
      </c>
      <c r="N84" s="5" t="n">
        <v>4.617712725438477</v>
      </c>
      <c r="O84" s="5" t="n">
        <v>4.5</v>
      </c>
      <c r="P84" s="5" t="n">
        <v>-0.1177127254384773</v>
      </c>
      <c r="Q84" s="6" t="n">
        <v>0.1983031655232186</v>
      </c>
      <c r="R84" s="6" t="n">
        <v>0.5099162406481781</v>
      </c>
      <c r="S84" s="6" t="n">
        <v>0.4088050314465409</v>
      </c>
      <c r="T84" s="2" t="inlineStr">
        <is>
          <t>Under</t>
        </is>
      </c>
      <c r="U84" s="4" t="n">
        <v>135</v>
      </c>
      <c r="V84" s="2" t="n">
        <v>2.35</v>
      </c>
      <c r="W84" s="4" t="n">
        <v>135</v>
      </c>
      <c r="X84" s="2" t="n">
        <v>1</v>
      </c>
      <c r="Y84" s="5" t="n">
        <v>1.35</v>
      </c>
      <c r="Z84" s="7" t="n">
        <v>100</v>
      </c>
      <c r="AA84" s="7">
        <f>Y84*Z84</f>
        <v/>
      </c>
      <c r="AB84" s="6">
        <f>IF(Z84=0,0,AA84/Z84)</f>
        <v/>
      </c>
      <c r="AC84" s="6" t="n"/>
      <c r="AD84" s="2" t="inlineStr">
        <is>
          <t>Win</t>
        </is>
      </c>
      <c r="AE84" s="6">
        <f>IF((COUNTIF($AD$2:AD84,"Win")+COUNTIF($AD$2:AD84,"Loss"))=0,0,COUNTIF($AD$2:AD84,"Win")/(COUNTIF($AD$2:AD84,"Win")+COUNTIF($AD$2:AD84,"Loss")))</f>
        <v/>
      </c>
      <c r="AF84" s="6">
        <f>SUM($Y$2:Y84)/SUM($X$2:X84)</f>
        <v/>
      </c>
      <c r="AG84" s="5">
        <f>SUM($Y$2:Y84)</f>
        <v/>
      </c>
      <c r="AH84" s="7">
        <f>10000.0+SUM($AA$2:AA84)</f>
        <v/>
      </c>
      <c r="AI84" s="2" t="n">
        <v>2025</v>
      </c>
      <c r="AJ84" s="2" t="inlineStr">
        <is>
          <t>2025-07</t>
        </is>
      </c>
      <c r="AK84" s="2" t="inlineStr">
        <is>
          <t>+121 to +150</t>
        </is>
      </c>
      <c r="AL84" s="2" t="inlineStr">
        <is>
          <t>2025 Validation</t>
        </is>
      </c>
      <c r="AM84" s="6" t="n">
        <v>0.1468912337209027</v>
      </c>
    </row>
    <row r="85">
      <c r="A85" s="2" t="inlineStr">
        <is>
          <t>KPROP-00084</t>
        </is>
      </c>
      <c r="B85" s="3" t="n">
        <v>45863.81988425926</v>
      </c>
      <c r="C85" s="3" t="n">
        <v>45863</v>
      </c>
      <c r="D85" s="2" t="inlineStr">
        <is>
          <t>Shota Imanaga</t>
        </is>
      </c>
      <c r="E85" s="2" t="n">
        <v>112</v>
      </c>
      <c r="F85" s="2" t="n">
        <v>145</v>
      </c>
      <c r="G85" s="2" t="inlineStr">
        <is>
          <t>Away</t>
        </is>
      </c>
      <c r="H85" s="2" t="inlineStr">
        <is>
          <t>betrivers</t>
        </is>
      </c>
      <c r="I85" s="4" t="n"/>
      <c r="J85" s="4" t="n"/>
      <c r="K85" s="4" t="n">
        <v>-157</v>
      </c>
      <c r="L85" s="4" t="n">
        <v>-157</v>
      </c>
      <c r="M85" s="5" t="n">
        <v>5.5</v>
      </c>
      <c r="N85" s="5" t="n">
        <v>4.617712725438477</v>
      </c>
      <c r="O85" s="5" t="n">
        <v>5.5</v>
      </c>
      <c r="P85" s="5" t="n">
        <v>0.8822872745615227</v>
      </c>
      <c r="Q85" s="6" t="n">
        <v>0.1175428718076302</v>
      </c>
      <c r="R85" s="6" t="n">
        <v>0.6827012874466847</v>
      </c>
      <c r="S85" s="6" t="n">
        <v>0.5863112484708004</v>
      </c>
      <c r="T85" s="2" t="inlineStr">
        <is>
          <t>Under</t>
        </is>
      </c>
      <c r="U85" s="4" t="n">
        <v>-157</v>
      </c>
      <c r="V85" s="2" t="n">
        <v>1.636942675159236</v>
      </c>
      <c r="W85" s="4" t="n">
        <v>-157</v>
      </c>
      <c r="X85" s="2" t="n">
        <v>1</v>
      </c>
      <c r="Y85" s="5" t="n">
        <v>0.6369426751592355</v>
      </c>
      <c r="Z85" s="7" t="n">
        <v>100</v>
      </c>
      <c r="AA85" s="7">
        <f>Y85*Z85</f>
        <v/>
      </c>
      <c r="AB85" s="6">
        <f>IF(Z85=0,0,AA85/Z85)</f>
        <v/>
      </c>
      <c r="AC85" s="6" t="n"/>
      <c r="AD85" s="2" t="inlineStr">
        <is>
          <t>Win</t>
        </is>
      </c>
      <c r="AE85" s="6">
        <f>IF((COUNTIF($AD$2:AD85,"Win")+COUNTIF($AD$2:AD85,"Loss"))=0,0,COUNTIF($AD$2:AD85,"Win")/(COUNTIF($AD$2:AD85,"Win")+COUNTIF($AD$2:AD85,"Loss")))</f>
        <v/>
      </c>
      <c r="AF85" s="6">
        <f>SUM($Y$2:Y85)/SUM($X$2:X85)</f>
        <v/>
      </c>
      <c r="AG85" s="5">
        <f>SUM($Y$2:Y85)</f>
        <v/>
      </c>
      <c r="AH85" s="7">
        <f>10000.0+SUM($AA$2:AA85)</f>
        <v/>
      </c>
      <c r="AI85" s="2" t="n">
        <v>2025</v>
      </c>
      <c r="AJ85" s="2" t="inlineStr">
        <is>
          <t>2025-07</t>
        </is>
      </c>
      <c r="AK85" s="2" t="inlineStr">
        <is>
          <t>&lt;= -150</t>
        </is>
      </c>
      <c r="AL85" s="2" t="inlineStr">
        <is>
          <t>2025 Validation</t>
        </is>
      </c>
      <c r="AM85" s="6" t="n">
        <v>0.1845423087379795</v>
      </c>
    </row>
    <row r="86">
      <c r="A86" s="2" t="inlineStr">
        <is>
          <t>KPROP-00085</t>
        </is>
      </c>
      <c r="B86" s="3" t="n">
        <v>45864.79210648148</v>
      </c>
      <c r="C86" s="3" t="n">
        <v>45864</v>
      </c>
      <c r="D86" s="2" t="inlineStr">
        <is>
          <t>Grant Holmes</t>
        </is>
      </c>
      <c r="E86" s="2" t="n">
        <v>144</v>
      </c>
      <c r="F86" s="2" t="n">
        <v>140</v>
      </c>
      <c r="G86" s="2" t="inlineStr">
        <is>
          <t>Away</t>
        </is>
      </c>
      <c r="H86" s="2" t="inlineStr">
        <is>
          <t>betonlineag</t>
        </is>
      </c>
      <c r="I86" s="4" t="n"/>
      <c r="J86" s="4" t="n"/>
      <c r="K86" s="4" t="n">
        <v>132</v>
      </c>
      <c r="L86" s="4" t="n">
        <v>132</v>
      </c>
      <c r="M86" s="5" t="n">
        <v>5.5</v>
      </c>
      <c r="N86" s="5" t="n">
        <v>5.599676873418718</v>
      </c>
      <c r="O86" s="5" t="n">
        <v>5.5</v>
      </c>
      <c r="P86" s="5" t="n">
        <v>-0.09967687341871834</v>
      </c>
      <c r="Q86" s="6" t="n">
        <v>0.1876446036476631</v>
      </c>
      <c r="R86" s="6" t="n">
        <v>0.5119157774343375</v>
      </c>
      <c r="S86" s="6" t="n">
        <v>0.4249291784702549</v>
      </c>
      <c r="T86" s="2" t="inlineStr">
        <is>
          <t>Under</t>
        </is>
      </c>
      <c r="U86" s="4" t="n">
        <v>132</v>
      </c>
      <c r="V86" s="2" t="n">
        <v>2.32</v>
      </c>
      <c r="W86" s="4" t="n">
        <v>132</v>
      </c>
      <c r="X86" s="2" t="n">
        <v>1</v>
      </c>
      <c r="Y86" s="5" t="n">
        <v>1.32</v>
      </c>
      <c r="Z86" s="7" t="n">
        <v>100</v>
      </c>
      <c r="AA86" s="7">
        <f>Y86*Z86</f>
        <v/>
      </c>
      <c r="AB86" s="6">
        <f>IF(Z86=0,0,AA86/Z86)</f>
        <v/>
      </c>
      <c r="AC86" s="6" t="n"/>
      <c r="AD86" s="2" t="inlineStr">
        <is>
          <t>Win</t>
        </is>
      </c>
      <c r="AE86" s="6">
        <f>IF((COUNTIF($AD$2:AD86,"Win")+COUNTIF($AD$2:AD86,"Loss"))=0,0,COUNTIF($AD$2:AD86,"Win")/(COUNTIF($AD$2:AD86,"Win")+COUNTIF($AD$2:AD86,"Loss")))</f>
        <v/>
      </c>
      <c r="AF86" s="6">
        <f>SUM($Y$2:Y86)/SUM($X$2:X86)</f>
        <v/>
      </c>
      <c r="AG86" s="5">
        <f>SUM($Y$2:Y86)</f>
        <v/>
      </c>
      <c r="AH86" s="7">
        <f>10000.0+SUM($AA$2:AA86)</f>
        <v/>
      </c>
      <c r="AI86" s="2" t="n">
        <v>2025</v>
      </c>
      <c r="AJ86" s="2" t="inlineStr">
        <is>
          <t>2025-07</t>
        </is>
      </c>
      <c r="AK86" s="2" t="inlineStr">
        <is>
          <t>+121 to +150</t>
        </is>
      </c>
      <c r="AL86" s="2" t="inlineStr">
        <is>
          <t>2025 Validation</t>
        </is>
      </c>
      <c r="AM86" s="6" t="n">
        <v>0.1421550027633811</v>
      </c>
    </row>
    <row r="87">
      <c r="A87" s="2" t="inlineStr">
        <is>
          <t>KPROP-00086</t>
        </is>
      </c>
      <c r="B87" s="3" t="n">
        <v>45864.79557870371</v>
      </c>
      <c r="C87" s="3" t="n">
        <v>45864</v>
      </c>
      <c r="D87" s="2" t="inlineStr">
        <is>
          <t>Jacob Lopez</t>
        </is>
      </c>
      <c r="E87" s="2" t="n">
        <v>133</v>
      </c>
      <c r="F87" s="2" t="n">
        <v>117</v>
      </c>
      <c r="G87" s="2" t="inlineStr">
        <is>
          <t>Away</t>
        </is>
      </c>
      <c r="H87" s="2" t="inlineStr">
        <is>
          <t>fanduel</t>
        </is>
      </c>
      <c r="I87" s="4" t="n"/>
      <c r="J87" s="4" t="n"/>
      <c r="K87" s="4" t="n">
        <v>-130</v>
      </c>
      <c r="L87" s="4" t="n">
        <v>-130</v>
      </c>
      <c r="M87" s="5" t="n">
        <v>5.5</v>
      </c>
      <c r="N87" s="5" t="n">
        <v>5.002136556661156</v>
      </c>
      <c r="O87" s="5" t="n">
        <v>5.5</v>
      </c>
      <c r="P87" s="5" t="n">
        <v>0.4978634433388445</v>
      </c>
      <c r="Q87" s="6" t="n">
        <v>0.0891132657680983</v>
      </c>
      <c r="R87" s="6" t="n">
        <v>0.6155857589124034</v>
      </c>
      <c r="S87" s="6" t="n">
        <v>0.5427435387673957</v>
      </c>
      <c r="T87" s="2" t="inlineStr">
        <is>
          <t>Under</t>
        </is>
      </c>
      <c r="U87" s="4" t="n">
        <v>-130</v>
      </c>
      <c r="V87" s="2" t="n">
        <v>1.769230769230769</v>
      </c>
      <c r="W87" s="4" t="n">
        <v>-130</v>
      </c>
      <c r="X87" s="2" t="n">
        <v>1</v>
      </c>
      <c r="Y87" s="5" t="n">
        <v>0.7692307692307692</v>
      </c>
      <c r="Z87" s="7" t="n">
        <v>100</v>
      </c>
      <c r="AA87" s="7">
        <f>Y87*Z87</f>
        <v/>
      </c>
      <c r="AB87" s="6">
        <f>IF(Z87=0,0,AA87/Z87)</f>
        <v/>
      </c>
      <c r="AC87" s="6" t="n"/>
      <c r="AD87" s="2" t="inlineStr">
        <is>
          <t>Win</t>
        </is>
      </c>
      <c r="AE87" s="6">
        <f>IF((COUNTIF($AD$2:AD87,"Win")+COUNTIF($AD$2:AD87,"Loss"))=0,0,COUNTIF($AD$2:AD87,"Win")/(COUNTIF($AD$2:AD87,"Win")+COUNTIF($AD$2:AD87,"Loss")))</f>
        <v/>
      </c>
      <c r="AF87" s="6">
        <f>SUM($Y$2:Y87)/SUM($X$2:X87)</f>
        <v/>
      </c>
      <c r="AG87" s="5">
        <f>SUM($Y$2:Y87)</f>
        <v/>
      </c>
      <c r="AH87" s="7">
        <f>10000.0+SUM($AA$2:AA87)</f>
        <v/>
      </c>
      <c r="AI87" s="2" t="n">
        <v>2025</v>
      </c>
      <c r="AJ87" s="2" t="inlineStr">
        <is>
          <t>2025-07</t>
        </is>
      </c>
      <c r="AK87" s="2" t="inlineStr">
        <is>
          <t>-149 to -120</t>
        </is>
      </c>
      <c r="AL87" s="2" t="inlineStr">
        <is>
          <t>2025 Validation</t>
        </is>
      </c>
      <c r="AM87" s="6" t="n">
        <v>0.1158472454985278</v>
      </c>
    </row>
    <row r="88">
      <c r="A88" s="2" t="inlineStr">
        <is>
          <t>KPROP-00087</t>
        </is>
      </c>
      <c r="B88" s="3" t="n">
        <v>45864.79557870371</v>
      </c>
      <c r="C88" s="3" t="n">
        <v>45864</v>
      </c>
      <c r="D88" s="2" t="inlineStr">
        <is>
          <t>Joe Ryan</t>
        </is>
      </c>
      <c r="E88" s="2" t="n">
        <v>142</v>
      </c>
      <c r="F88" s="2" t="n">
        <v>120</v>
      </c>
      <c r="G88" s="2" t="inlineStr">
        <is>
          <t>Home</t>
        </is>
      </c>
      <c r="H88" s="2" t="inlineStr">
        <is>
          <t>betrivers</t>
        </is>
      </c>
      <c r="I88" s="4" t="n"/>
      <c r="J88" s="4" t="n"/>
      <c r="K88" s="4" t="n">
        <v>138</v>
      </c>
      <c r="L88" s="4" t="n">
        <v>138</v>
      </c>
      <c r="M88" s="5" t="n">
        <v>5.5</v>
      </c>
      <c r="N88" s="5" t="n">
        <v>5.822476726644637</v>
      </c>
      <c r="O88" s="5" t="n">
        <v>5.5</v>
      </c>
      <c r="P88" s="5" t="n">
        <v>-0.3224767266446369</v>
      </c>
      <c r="Q88" s="6" t="n">
        <v>0.129544272011309</v>
      </c>
      <c r="R88" s="6" t="n">
        <v>0.4745984336181971</v>
      </c>
      <c r="S88" s="6" t="n">
        <v>0.3886181003820313</v>
      </c>
      <c r="T88" s="2" t="inlineStr">
        <is>
          <t>Under</t>
        </is>
      </c>
      <c r="U88" s="4" t="n">
        <v>138</v>
      </c>
      <c r="V88" s="2" t="n">
        <v>2.38</v>
      </c>
      <c r="W88" s="4" t="n">
        <v>138</v>
      </c>
      <c r="X88" s="2" t="n">
        <v>1</v>
      </c>
      <c r="Y88" s="5" t="n">
        <v>1.38</v>
      </c>
      <c r="Z88" s="7" t="n">
        <v>100</v>
      </c>
      <c r="AA88" s="7">
        <f>Y88*Z88</f>
        <v/>
      </c>
      <c r="AB88" s="6">
        <f>IF(Z88=0,0,AA88/Z88)</f>
        <v/>
      </c>
      <c r="AC88" s="6" t="n"/>
      <c r="AD88" s="2" t="inlineStr">
        <is>
          <t>Win</t>
        </is>
      </c>
      <c r="AE88" s="6">
        <f>IF((COUNTIF($AD$2:AD88,"Win")+COUNTIF($AD$2:AD88,"Loss"))=0,0,COUNTIF($AD$2:AD88,"Win")/(COUNTIF($AD$2:AD88,"Win")+COUNTIF($AD$2:AD88,"Loss")))</f>
        <v/>
      </c>
      <c r="AF88" s="6">
        <f>SUM($Y$2:Y88)/SUM($X$2:X88)</f>
        <v/>
      </c>
      <c r="AG88" s="5">
        <f>SUM($Y$2:Y88)</f>
        <v/>
      </c>
      <c r="AH88" s="7">
        <f>10000.0+SUM($AA$2:AA88)</f>
        <v/>
      </c>
      <c r="AI88" s="2" t="n">
        <v>2025</v>
      </c>
      <c r="AJ88" s="2" t="inlineStr">
        <is>
          <t>2025-07</t>
        </is>
      </c>
      <c r="AK88" s="2" t="inlineStr">
        <is>
          <t>+121 to +150</t>
        </is>
      </c>
      <c r="AL88" s="2" t="inlineStr">
        <is>
          <t>2025 Validation</t>
        </is>
      </c>
      <c r="AM88" s="6" t="n">
        <v>0.09387266087776017</v>
      </c>
    </row>
    <row r="89">
      <c r="A89" s="2" t="inlineStr">
        <is>
          <t>KPROP-00088</t>
        </is>
      </c>
      <c r="B89" s="3" t="n">
        <v>45864.79557870371</v>
      </c>
      <c r="C89" s="3" t="n">
        <v>45864</v>
      </c>
      <c r="D89" s="2" t="inlineStr">
        <is>
          <t>Joe Ryan</t>
        </is>
      </c>
      <c r="E89" s="2" t="n">
        <v>142</v>
      </c>
      <c r="F89" s="2" t="n">
        <v>120</v>
      </c>
      <c r="G89" s="2" t="inlineStr">
        <is>
          <t>Home</t>
        </is>
      </c>
      <c r="H89" s="2" t="inlineStr">
        <is>
          <t>draftkings</t>
        </is>
      </c>
      <c r="I89" s="4" t="n"/>
      <c r="J89" s="4" t="n"/>
      <c r="K89" s="4" t="n">
        <v>-115</v>
      </c>
      <c r="L89" s="4" t="n">
        <v>-115</v>
      </c>
      <c r="M89" s="5" t="n">
        <v>6.5</v>
      </c>
      <c r="N89" s="5" t="n">
        <v>5.822476726644637</v>
      </c>
      <c r="O89" s="5" t="n">
        <v>6.5</v>
      </c>
      <c r="P89" s="5" t="n">
        <v>0.6775232733553631</v>
      </c>
      <c r="Q89" s="6" t="n">
        <v>0.1867846901301481</v>
      </c>
      <c r="R89" s="6" t="n">
        <v>0.6347918109998467</v>
      </c>
      <c r="S89" s="6" t="n">
        <v>0.5254386933009602</v>
      </c>
      <c r="T89" s="2" t="inlineStr">
        <is>
          <t>Under</t>
        </is>
      </c>
      <c r="U89" s="4" t="n">
        <v>-115</v>
      </c>
      <c r="V89" s="2" t="n">
        <v>1.869565217391304</v>
      </c>
      <c r="W89" s="4" t="n">
        <v>-115</v>
      </c>
      <c r="X89" s="2" t="n">
        <v>1</v>
      </c>
      <c r="Y89" s="5" t="n">
        <v>0.8695652173913042</v>
      </c>
      <c r="Z89" s="7" t="n">
        <v>100</v>
      </c>
      <c r="AA89" s="7">
        <f>Y89*Z89</f>
        <v/>
      </c>
      <c r="AB89" s="6">
        <f>IF(Z89=0,0,AA89/Z89)</f>
        <v/>
      </c>
      <c r="AC89" s="6" t="n"/>
      <c r="AD89" s="2" t="inlineStr">
        <is>
          <t>Win</t>
        </is>
      </c>
      <c r="AE89" s="6">
        <f>IF((COUNTIF($AD$2:AD89,"Win")+COUNTIF($AD$2:AD89,"Loss"))=0,0,COUNTIF($AD$2:AD89,"Win")/(COUNTIF($AD$2:AD89,"Win")+COUNTIF($AD$2:AD89,"Loss")))</f>
        <v/>
      </c>
      <c r="AF89" s="6">
        <f>SUM($Y$2:Y89)/SUM($X$2:X89)</f>
        <v/>
      </c>
      <c r="AG89" s="5">
        <f>SUM($Y$2:Y89)</f>
        <v/>
      </c>
      <c r="AH89" s="7">
        <f>10000.0+SUM($AA$2:AA89)</f>
        <v/>
      </c>
      <c r="AI89" s="2" t="n">
        <v>2025</v>
      </c>
      <c r="AJ89" s="2" t="inlineStr">
        <is>
          <t>2025-07</t>
        </is>
      </c>
      <c r="AK89" s="2" t="inlineStr">
        <is>
          <t>-119 to -101</t>
        </is>
      </c>
      <c r="AL89" s="2" t="inlineStr">
        <is>
          <t>2025 Validation</t>
        </is>
      </c>
      <c r="AM89" s="6" t="n">
        <v>0.2148023936496703</v>
      </c>
    </row>
    <row r="90">
      <c r="A90" s="2" t="inlineStr">
        <is>
          <t>KPROP-00089</t>
        </is>
      </c>
      <c r="B90" s="3" t="n">
        <v>45865.56640046297</v>
      </c>
      <c r="C90" s="3" t="n">
        <v>45865</v>
      </c>
      <c r="D90" s="2" t="inlineStr">
        <is>
          <t>Austin Gomber</t>
        </is>
      </c>
      <c r="E90" s="2" t="n">
        <v>115</v>
      </c>
      <c r="F90" s="2" t="n">
        <v>110</v>
      </c>
      <c r="G90" s="2" t="inlineStr">
        <is>
          <t>Away</t>
        </is>
      </c>
      <c r="H90" s="2" t="inlineStr">
        <is>
          <t>betrivers</t>
        </is>
      </c>
      <c r="I90" s="4" t="n"/>
      <c r="J90" s="4" t="n"/>
      <c r="K90" s="4" t="n">
        <v>133</v>
      </c>
      <c r="L90" s="4" t="n">
        <v>133</v>
      </c>
      <c r="M90" s="5" t="n">
        <v>3.5</v>
      </c>
      <c r="N90" s="5" t="n">
        <v>3.780656315221397</v>
      </c>
      <c r="O90" s="5" t="n">
        <v>3.5</v>
      </c>
      <c r="P90" s="5" t="n">
        <v>-0.2806563152213966</v>
      </c>
      <c r="Q90" s="6" t="n">
        <v>0.1124593149887411</v>
      </c>
      <c r="R90" s="6" t="n">
        <v>0.4774503497805755</v>
      </c>
      <c r="S90" s="6" t="n">
        <v>0.3975645694903946</v>
      </c>
      <c r="T90" s="2" t="inlineStr">
        <is>
          <t>Under</t>
        </is>
      </c>
      <c r="U90" s="4" t="n">
        <v>133</v>
      </c>
      <c r="V90" s="2" t="n">
        <v>2.33</v>
      </c>
      <c r="W90" s="4" t="n">
        <v>133</v>
      </c>
      <c r="X90" s="2" t="n">
        <v>1</v>
      </c>
      <c r="Y90" s="5" t="n">
        <v>1.33</v>
      </c>
      <c r="Z90" s="7" t="n">
        <v>100</v>
      </c>
      <c r="AA90" s="7">
        <f>Y90*Z90</f>
        <v/>
      </c>
      <c r="AB90" s="6">
        <f>IF(Z90=0,0,AA90/Z90)</f>
        <v/>
      </c>
      <c r="AC90" s="6" t="n"/>
      <c r="AD90" s="2" t="inlineStr">
        <is>
          <t>Win</t>
        </is>
      </c>
      <c r="AE90" s="6">
        <f>IF((COUNTIF($AD$2:AD90,"Win")+COUNTIF($AD$2:AD90,"Loss"))=0,0,COUNTIF($AD$2:AD90,"Win")/(COUNTIF($AD$2:AD90,"Win")+COUNTIF($AD$2:AD90,"Loss")))</f>
        <v/>
      </c>
      <c r="AF90" s="6">
        <f>SUM($Y$2:Y90)/SUM($X$2:X90)</f>
        <v/>
      </c>
      <c r="AG90" s="5">
        <f>SUM($Y$2:Y90)</f>
        <v/>
      </c>
      <c r="AH90" s="7">
        <f>10000.0+SUM($AA$2:AA90)</f>
        <v/>
      </c>
      <c r="AI90" s="2" t="n">
        <v>2025</v>
      </c>
      <c r="AJ90" s="2" t="inlineStr">
        <is>
          <t>2025-07</t>
        </is>
      </c>
      <c r="AK90" s="2" t="inlineStr">
        <is>
          <t>+121 to +150</t>
        </is>
      </c>
      <c r="AL90" s="2" t="inlineStr">
        <is>
          <t>2025 Validation</t>
        </is>
      </c>
      <c r="AM90" s="6" t="n">
        <v>0.08455587593138425</v>
      </c>
    </row>
    <row r="91">
      <c r="A91" s="2" t="inlineStr">
        <is>
          <t>KPROP-00090</t>
        </is>
      </c>
      <c r="B91" s="3" t="n">
        <v>45865.56640046297</v>
      </c>
      <c r="C91" s="3" t="n">
        <v>45865</v>
      </c>
      <c r="D91" s="2" t="inlineStr">
        <is>
          <t>Austin Gomber</t>
        </is>
      </c>
      <c r="E91" s="2" t="n">
        <v>115</v>
      </c>
      <c r="F91" s="2" t="n">
        <v>110</v>
      </c>
      <c r="G91" s="2" t="inlineStr">
        <is>
          <t>Away</t>
        </is>
      </c>
      <c r="H91" s="2" t="inlineStr">
        <is>
          <t>fanduel</t>
        </is>
      </c>
      <c r="I91" s="4" t="n"/>
      <c r="J91" s="4" t="n"/>
      <c r="K91" s="4" t="n">
        <v>-154</v>
      </c>
      <c r="L91" s="4" t="n">
        <v>-154</v>
      </c>
      <c r="M91" s="5" t="n">
        <v>4.5</v>
      </c>
      <c r="N91" s="5" t="n">
        <v>3.780656315221397</v>
      </c>
      <c r="O91" s="5" t="n">
        <v>4.5</v>
      </c>
      <c r="P91" s="5" t="n">
        <v>0.7193436847786034</v>
      </c>
      <c r="Q91" s="6" t="n">
        <v>0.1077059360893534</v>
      </c>
      <c r="R91" s="6" t="n">
        <v>0.6716012368415765</v>
      </c>
      <c r="S91" s="6" t="n">
        <v>0.5823742190069057</v>
      </c>
      <c r="T91" s="2" t="inlineStr">
        <is>
          <t>Under</t>
        </is>
      </c>
      <c r="U91" s="4" t="n">
        <v>-154</v>
      </c>
      <c r="V91" s="2" t="n">
        <v>1.649350649350649</v>
      </c>
      <c r="W91" s="4" t="n">
        <v>-154</v>
      </c>
      <c r="X91" s="2" t="n">
        <v>1</v>
      </c>
      <c r="Y91" s="5" t="n">
        <v>0.6493506493506493</v>
      </c>
      <c r="Z91" s="7" t="n">
        <v>100</v>
      </c>
      <c r="AA91" s="7">
        <f>Y91*Z91</f>
        <v/>
      </c>
      <c r="AB91" s="6">
        <f>IF(Z91=0,0,AA91/Z91)</f>
        <v/>
      </c>
      <c r="AC91" s="6" t="n"/>
      <c r="AD91" s="2" t="inlineStr">
        <is>
          <t>Win</t>
        </is>
      </c>
      <c r="AE91" s="6">
        <f>IF((COUNTIF($AD$2:AD91,"Win")+COUNTIF($AD$2:AD91,"Loss"))=0,0,COUNTIF($AD$2:AD91,"Win")/(COUNTIF($AD$2:AD91,"Win")+COUNTIF($AD$2:AD91,"Loss")))</f>
        <v/>
      </c>
      <c r="AF91" s="6">
        <f>SUM($Y$2:Y91)/SUM($X$2:X91)</f>
        <v/>
      </c>
      <c r="AG91" s="5">
        <f>SUM($Y$2:Y91)</f>
        <v/>
      </c>
      <c r="AH91" s="7">
        <f>10000.0+SUM($AA$2:AA91)</f>
        <v/>
      </c>
      <c r="AI91" s="2" t="n">
        <v>2025</v>
      </c>
      <c r="AJ91" s="2" t="inlineStr">
        <is>
          <t>2025-07</t>
        </is>
      </c>
      <c r="AK91" s="2" t="inlineStr">
        <is>
          <t>&lt;= -150</t>
        </is>
      </c>
      <c r="AL91" s="2" t="inlineStr">
        <is>
          <t>2025 Validation</t>
        </is>
      </c>
      <c r="AM91" s="6" t="n">
        <v>0.1658671415776042</v>
      </c>
    </row>
    <row r="92">
      <c r="A92" s="2" t="inlineStr">
        <is>
          <t>KPROP-00091</t>
        </is>
      </c>
      <c r="B92" s="3" t="n">
        <v>45865.58724537037</v>
      </c>
      <c r="C92" s="3" t="n">
        <v>45865</v>
      </c>
      <c r="D92" s="2" t="inlineStr">
        <is>
          <t>Brandon Woodruff</t>
        </is>
      </c>
      <c r="E92" s="2" t="n">
        <v>158</v>
      </c>
      <c r="F92" s="2" t="n">
        <v>146</v>
      </c>
      <c r="G92" s="2" t="inlineStr">
        <is>
          <t>Home</t>
        </is>
      </c>
      <c r="H92" s="2" t="inlineStr">
        <is>
          <t>draftkings</t>
        </is>
      </c>
      <c r="I92" s="4" t="n"/>
      <c r="J92" s="4" t="n"/>
      <c r="K92" s="4" t="n">
        <v>120</v>
      </c>
      <c r="L92" s="4" t="n">
        <v>120</v>
      </c>
      <c r="M92" s="5" t="n">
        <v>5.5</v>
      </c>
      <c r="N92" s="5" t="n">
        <v>5.647050470570664</v>
      </c>
      <c r="O92" s="5" t="n">
        <v>5.5</v>
      </c>
      <c r="P92" s="5" t="n">
        <v>-0.1470504705706643</v>
      </c>
      <c r="Q92" s="6" t="n">
        <v>0.1085723407055068</v>
      </c>
      <c r="R92" s="6" t="n">
        <v>0.5038965185025031</v>
      </c>
      <c r="S92" s="6" t="n">
        <v>0.45</v>
      </c>
      <c r="T92" s="2" t="inlineStr">
        <is>
          <t>Under</t>
        </is>
      </c>
      <c r="U92" s="4" t="n">
        <v>120</v>
      </c>
      <c r="V92" s="2" t="n">
        <v>2.2</v>
      </c>
      <c r="W92" s="4" t="n">
        <v>120</v>
      </c>
      <c r="X92" s="2" t="n">
        <v>1</v>
      </c>
      <c r="Y92" s="5" t="n">
        <v>-1</v>
      </c>
      <c r="Z92" s="7" t="n">
        <v>100</v>
      </c>
      <c r="AA92" s="7">
        <f>Y92*Z92</f>
        <v/>
      </c>
      <c r="AB92" s="6">
        <f>IF(Z92=0,0,AA92/Z92)</f>
        <v/>
      </c>
      <c r="AC92" s="6" t="n"/>
      <c r="AD92" s="2" t="inlineStr">
        <is>
          <t>Loss</t>
        </is>
      </c>
      <c r="AE92" s="6">
        <f>IF((COUNTIF($AD$2:AD92,"Win")+COUNTIF($AD$2:AD92,"Loss"))=0,0,COUNTIF($AD$2:AD92,"Win")/(COUNTIF($AD$2:AD92,"Win")+COUNTIF($AD$2:AD92,"Loss")))</f>
        <v/>
      </c>
      <c r="AF92" s="6">
        <f>SUM($Y$2:Y92)/SUM($X$2:X92)</f>
        <v/>
      </c>
      <c r="AG92" s="5">
        <f>SUM($Y$2:Y92)</f>
        <v/>
      </c>
      <c r="AH92" s="7">
        <f>10000.0+SUM($AA$2:AA92)</f>
        <v/>
      </c>
      <c r="AI92" s="2" t="n">
        <v>2025</v>
      </c>
      <c r="AJ92" s="2" t="inlineStr">
        <is>
          <t>2025-07</t>
        </is>
      </c>
      <c r="AK92" s="2" t="inlineStr">
        <is>
          <t>+100 to +120</t>
        </is>
      </c>
      <c r="AL92" s="2" t="inlineStr">
        <is>
          <t>2025 Validation</t>
        </is>
      </c>
      <c r="AM92" s="6" t="n">
        <v>0.09047695058792232</v>
      </c>
    </row>
    <row r="93">
      <c r="A93" s="2" t="inlineStr">
        <is>
          <t>KPROP-00092</t>
        </is>
      </c>
      <c r="B93" s="3" t="n">
        <v>45865.58724537037</v>
      </c>
      <c r="C93" s="3" t="n">
        <v>45865</v>
      </c>
      <c r="D93" s="2" t="inlineStr">
        <is>
          <t>J.T. Ginn</t>
        </is>
      </c>
      <c r="E93" s="2" t="n">
        <v>133</v>
      </c>
      <c r="F93" s="2" t="n">
        <v>117</v>
      </c>
      <c r="G93" s="2" t="inlineStr">
        <is>
          <t>Away</t>
        </is>
      </c>
      <c r="H93" s="2" t="inlineStr">
        <is>
          <t>fanduel</t>
        </is>
      </c>
      <c r="I93" s="4" t="n"/>
      <c r="J93" s="4" t="n"/>
      <c r="K93" s="4" t="n">
        <v>104</v>
      </c>
      <c r="L93" s="4" t="n">
        <v>104</v>
      </c>
      <c r="M93" s="5" t="n">
        <v>4.5</v>
      </c>
      <c r="N93" s="5" t="n">
        <v>4.525442341692864</v>
      </c>
      <c r="O93" s="5" t="n">
        <v>4.5</v>
      </c>
      <c r="P93" s="5" t="n">
        <v>-0.02544234169286419</v>
      </c>
      <c r="Q93" s="6" t="n">
        <v>0.07565394959428318</v>
      </c>
      <c r="R93" s="6" t="n">
        <v>0.5272813478403349</v>
      </c>
      <c r="S93" s="6" t="n">
        <v>0.4687499999999999</v>
      </c>
      <c r="T93" s="2" t="inlineStr">
        <is>
          <t>Under</t>
        </is>
      </c>
      <c r="U93" s="4" t="n">
        <v>104</v>
      </c>
      <c r="V93" s="2" t="n">
        <v>2.04</v>
      </c>
      <c r="W93" s="4" t="n">
        <v>104</v>
      </c>
      <c r="X93" s="2" t="n">
        <v>1</v>
      </c>
      <c r="Y93" s="5" t="n">
        <v>1.04</v>
      </c>
      <c r="Z93" s="7" t="n">
        <v>100</v>
      </c>
      <c r="AA93" s="7">
        <f>Y93*Z93</f>
        <v/>
      </c>
      <c r="AB93" s="6">
        <f>IF(Z93=0,0,AA93/Z93)</f>
        <v/>
      </c>
      <c r="AC93" s="6" t="n"/>
      <c r="AD93" s="2" t="inlineStr">
        <is>
          <t>Win</t>
        </is>
      </c>
      <c r="AE93" s="6">
        <f>IF((COUNTIF($AD$2:AD93,"Win")+COUNTIF($AD$2:AD93,"Loss"))=0,0,COUNTIF($AD$2:AD93,"Win")/(COUNTIF($AD$2:AD93,"Win")+COUNTIF($AD$2:AD93,"Loss")))</f>
        <v/>
      </c>
      <c r="AF93" s="6">
        <f>SUM($Y$2:Y93)/SUM($X$2:X93)</f>
        <v/>
      </c>
      <c r="AG93" s="5">
        <f>SUM($Y$2:Y93)</f>
        <v/>
      </c>
      <c r="AH93" s="7">
        <f>10000.0+SUM($AA$2:AA93)</f>
        <v/>
      </c>
      <c r="AI93" s="2" t="n">
        <v>2025</v>
      </c>
      <c r="AJ93" s="2" t="inlineStr">
        <is>
          <t>2025-07</t>
        </is>
      </c>
      <c r="AK93" s="2" t="inlineStr">
        <is>
          <t>+100 to +120</t>
        </is>
      </c>
      <c r="AL93" s="2" t="inlineStr">
        <is>
          <t>2025 Validation</t>
        </is>
      </c>
      <c r="AM93" s="6" t="n">
        <v>0.07274418230219536</v>
      </c>
    </row>
    <row r="94">
      <c r="A94" s="2" t="inlineStr">
        <is>
          <t>KPROP-00093</t>
        </is>
      </c>
      <c r="B94" s="3" t="n">
        <v>45865.56988425926</v>
      </c>
      <c r="C94" s="3" t="n">
        <v>45865</v>
      </c>
      <c r="D94" s="2" t="inlineStr">
        <is>
          <t>Jack Flaherty</t>
        </is>
      </c>
      <c r="E94" s="2" t="n">
        <v>116</v>
      </c>
      <c r="F94" s="2" t="n">
        <v>141</v>
      </c>
      <c r="G94" s="2" t="inlineStr">
        <is>
          <t>Home</t>
        </is>
      </c>
      <c r="H94" s="2" t="inlineStr">
        <is>
          <t>betrivers</t>
        </is>
      </c>
      <c r="I94" s="4" t="n"/>
      <c r="J94" s="4" t="n"/>
      <c r="K94" s="4" t="n">
        <v>148</v>
      </c>
      <c r="L94" s="4" t="n">
        <v>148</v>
      </c>
      <c r="M94" s="5" t="n">
        <v>4.5</v>
      </c>
      <c r="N94" s="5" t="n">
        <v>5.008448523614791</v>
      </c>
      <c r="O94" s="5" t="n">
        <v>4.5</v>
      </c>
      <c r="P94" s="5" t="n">
        <v>-0.5084485236147911</v>
      </c>
      <c r="Q94" s="6" t="n">
        <v>0.08875000651651919</v>
      </c>
      <c r="R94" s="6" t="n">
        <v>0.4390120994018223</v>
      </c>
      <c r="S94" s="6" t="n">
        <v>0.3958587088915955</v>
      </c>
      <c r="T94" s="2" t="inlineStr">
        <is>
          <t>Under</t>
        </is>
      </c>
      <c r="U94" s="4" t="n">
        <v>148</v>
      </c>
      <c r="V94" s="2" t="n">
        <v>2.48</v>
      </c>
      <c r="W94" s="4" t="n">
        <v>148</v>
      </c>
      <c r="X94" s="2" t="n">
        <v>1</v>
      </c>
      <c r="Y94" s="5" t="n">
        <v>-1</v>
      </c>
      <c r="Z94" s="7" t="n">
        <v>100</v>
      </c>
      <c r="AA94" s="7">
        <f>Y94*Z94</f>
        <v/>
      </c>
      <c r="AB94" s="6">
        <f>IF(Z94=0,0,AA94/Z94)</f>
        <v/>
      </c>
      <c r="AC94" s="6" t="n"/>
      <c r="AD94" s="2" t="inlineStr">
        <is>
          <t>Loss</t>
        </is>
      </c>
      <c r="AE94" s="6">
        <f>IF((COUNTIF($AD$2:AD94,"Win")+COUNTIF($AD$2:AD94,"Loss"))=0,0,COUNTIF($AD$2:AD94,"Win")/(COUNTIF($AD$2:AD94,"Win")+COUNTIF($AD$2:AD94,"Loss")))</f>
        <v/>
      </c>
      <c r="AF94" s="6">
        <f>SUM($Y$2:Y94)/SUM($X$2:X94)</f>
        <v/>
      </c>
      <c r="AG94" s="5">
        <f>SUM($Y$2:Y94)</f>
        <v/>
      </c>
      <c r="AH94" s="7">
        <f>10000.0+SUM($AA$2:AA94)</f>
        <v/>
      </c>
      <c r="AI94" s="2" t="n">
        <v>2025</v>
      </c>
      <c r="AJ94" s="2" t="inlineStr">
        <is>
          <t>2025-07</t>
        </is>
      </c>
      <c r="AK94" s="2" t="inlineStr">
        <is>
          <t>+121 to +150</t>
        </is>
      </c>
      <c r="AL94" s="2" t="inlineStr">
        <is>
          <t>2025 Validation</t>
        </is>
      </c>
      <c r="AM94" s="6" t="n">
        <v>0.05996622061926973</v>
      </c>
    </row>
    <row r="95">
      <c r="A95" s="2" t="inlineStr">
        <is>
          <t>KPROP-00094</t>
        </is>
      </c>
      <c r="B95" s="3" t="n">
        <v>45865.60459490741</v>
      </c>
      <c r="C95" s="3" t="n">
        <v>45865</v>
      </c>
      <c r="D95" s="2" t="inlineStr">
        <is>
          <t>Jack Leiter</t>
        </is>
      </c>
      <c r="E95" s="2" t="n">
        <v>140</v>
      </c>
      <c r="F95" s="2" t="n">
        <v>144</v>
      </c>
      <c r="G95" s="2" t="inlineStr">
        <is>
          <t>Home</t>
        </is>
      </c>
      <c r="H95" s="2" t="inlineStr">
        <is>
          <t>fanatics</t>
        </is>
      </c>
      <c r="I95" s="4" t="n"/>
      <c r="J95" s="4" t="n"/>
      <c r="K95" s="4" t="n">
        <v>115</v>
      </c>
      <c r="L95" s="4" t="n">
        <v>115</v>
      </c>
      <c r="M95" s="5" t="n">
        <v>4.5</v>
      </c>
      <c r="N95" s="5" t="n">
        <v>4.559662542829623</v>
      </c>
      <c r="O95" s="5" t="n">
        <v>4.5</v>
      </c>
      <c r="P95" s="5" t="n">
        <v>-0.05966254282962336</v>
      </c>
      <c r="Q95" s="6" t="n">
        <v>0.1197585617282524</v>
      </c>
      <c r="R95" s="6" t="n">
        <v>0.5208179356875593</v>
      </c>
      <c r="S95" s="6" t="n">
        <v>0.4522563444257924</v>
      </c>
      <c r="T95" s="2" t="inlineStr">
        <is>
          <t>Under</t>
        </is>
      </c>
      <c r="U95" s="4" t="n">
        <v>115</v>
      </c>
      <c r="V95" s="2" t="n">
        <v>2.15</v>
      </c>
      <c r="W95" s="4" t="n">
        <v>115</v>
      </c>
      <c r="X95" s="2" t="n">
        <v>1</v>
      </c>
      <c r="Y95" s="5" t="n">
        <v>-1</v>
      </c>
      <c r="Z95" s="7" t="n">
        <v>100</v>
      </c>
      <c r="AA95" s="7">
        <f>Y95*Z95</f>
        <v/>
      </c>
      <c r="AB95" s="6">
        <f>IF(Z95=0,0,AA95/Z95)</f>
        <v/>
      </c>
      <c r="AC95" s="6" t="n"/>
      <c r="AD95" s="2" t="inlineStr">
        <is>
          <t>Loss</t>
        </is>
      </c>
      <c r="AE95" s="6">
        <f>IF((COUNTIF($AD$2:AD95,"Win")+COUNTIF($AD$2:AD95,"Loss"))=0,0,COUNTIF($AD$2:AD95,"Win")/(COUNTIF($AD$2:AD95,"Win")+COUNTIF($AD$2:AD95,"Loss")))</f>
        <v/>
      </c>
      <c r="AF95" s="6">
        <f>SUM($Y$2:Y95)/SUM($X$2:X95)</f>
        <v/>
      </c>
      <c r="AG95" s="5">
        <f>SUM($Y$2:Y95)</f>
        <v/>
      </c>
      <c r="AH95" s="7">
        <f>10000.0+SUM($AA$2:AA95)</f>
        <v/>
      </c>
      <c r="AI95" s="2" t="n">
        <v>2025</v>
      </c>
      <c r="AJ95" s="2" t="inlineStr">
        <is>
          <t>2025-07</t>
        </is>
      </c>
      <c r="AK95" s="2" t="inlineStr">
        <is>
          <t>+100 to +120</t>
        </is>
      </c>
      <c r="AL95" s="2" t="inlineStr">
        <is>
          <t>2025 Validation</t>
        </is>
      </c>
      <c r="AM95" s="6" t="n">
        <v>0.1041378797636977</v>
      </c>
    </row>
    <row r="96">
      <c r="A96" s="2" t="inlineStr">
        <is>
          <t>KPROP-00095</t>
        </is>
      </c>
      <c r="B96" s="3" t="n">
        <v>45865.67059027778</v>
      </c>
      <c r="C96" s="3" t="n">
        <v>45865</v>
      </c>
      <c r="D96" s="2" t="inlineStr">
        <is>
          <t>Logan Gilbert</t>
        </is>
      </c>
      <c r="E96" s="2" t="n">
        <v>136</v>
      </c>
      <c r="F96" s="2" t="n">
        <v>108</v>
      </c>
      <c r="G96" s="2" t="inlineStr">
        <is>
          <t>Away</t>
        </is>
      </c>
      <c r="H96" s="2" t="inlineStr">
        <is>
          <t>betrivers</t>
        </is>
      </c>
      <c r="I96" s="4" t="n"/>
      <c r="J96" s="4" t="n"/>
      <c r="K96" s="4" t="n">
        <v>123</v>
      </c>
      <c r="L96" s="4" t="n">
        <v>123</v>
      </c>
      <c r="M96" s="5" t="n">
        <v>6.5</v>
      </c>
      <c r="N96" s="5" t="n">
        <v>6.47616337742426</v>
      </c>
      <c r="O96" s="5" t="n">
        <v>6.5</v>
      </c>
      <c r="P96" s="5" t="n">
        <v>0.0238366225757396</v>
      </c>
      <c r="Q96" s="6" t="n">
        <v>0.1825263554221191</v>
      </c>
      <c r="R96" s="6" t="n">
        <v>0.5302808768709054</v>
      </c>
      <c r="S96" s="6" t="n">
        <v>0.4133784291619692</v>
      </c>
      <c r="T96" s="2" t="inlineStr">
        <is>
          <t>Under</t>
        </is>
      </c>
      <c r="U96" s="4" t="n">
        <v>123</v>
      </c>
      <c r="V96" s="2" t="n">
        <v>2.23</v>
      </c>
      <c r="W96" s="4" t="n">
        <v>123</v>
      </c>
      <c r="X96" s="2" t="n">
        <v>1</v>
      </c>
      <c r="Y96" s="5" t="n">
        <v>-1</v>
      </c>
      <c r="Z96" s="7" t="n">
        <v>100</v>
      </c>
      <c r="AA96" s="7">
        <f>Y96*Z96</f>
        <v/>
      </c>
      <c r="AB96" s="6">
        <f>IF(Z96=0,0,AA96/Z96)</f>
        <v/>
      </c>
      <c r="AC96" s="6" t="n"/>
      <c r="AD96" s="2" t="inlineStr">
        <is>
          <t>Loss</t>
        </is>
      </c>
      <c r="AE96" s="6">
        <f>IF((COUNTIF($AD$2:AD96,"Win")+COUNTIF($AD$2:AD96,"Loss"))=0,0,COUNTIF($AD$2:AD96,"Win")/(COUNTIF($AD$2:AD96,"Win")+COUNTIF($AD$2:AD96,"Loss")))</f>
        <v/>
      </c>
      <c r="AF96" s="6">
        <f>SUM($Y$2:Y96)/SUM($X$2:X96)</f>
        <v/>
      </c>
      <c r="AG96" s="5">
        <f>SUM($Y$2:Y96)</f>
        <v/>
      </c>
      <c r="AH96" s="7">
        <f>10000.0+SUM($AA$2:AA96)</f>
        <v/>
      </c>
      <c r="AI96" s="2" t="n">
        <v>2025</v>
      </c>
      <c r="AJ96" s="2" t="inlineStr">
        <is>
          <t>2025-07</t>
        </is>
      </c>
      <c r="AK96" s="2" t="inlineStr">
        <is>
          <t>+121 to +150</t>
        </is>
      </c>
      <c r="AL96" s="2" t="inlineStr">
        <is>
          <t>2025 Validation</t>
        </is>
      </c>
      <c r="AM96" s="6" t="n">
        <v>0.1483954109122919</v>
      </c>
    </row>
    <row r="97">
      <c r="A97" s="2" t="inlineStr">
        <is>
          <t>KPROP-00096</t>
        </is>
      </c>
      <c r="B97" s="3" t="n">
        <v>45865.67059027778</v>
      </c>
      <c r="C97" s="3" t="n">
        <v>45865</v>
      </c>
      <c r="D97" s="2" t="inlineStr">
        <is>
          <t>Logan Gilbert</t>
        </is>
      </c>
      <c r="E97" s="2" t="n">
        <v>136</v>
      </c>
      <c r="F97" s="2" t="n">
        <v>108</v>
      </c>
      <c r="G97" s="2" t="inlineStr">
        <is>
          <t>Away</t>
        </is>
      </c>
      <c r="H97" s="2" t="inlineStr">
        <is>
          <t>fanduel</t>
        </is>
      </c>
      <c r="I97" s="4" t="n"/>
      <c r="J97" s="4" t="n"/>
      <c r="K97" s="4" t="n">
        <v>-130</v>
      </c>
      <c r="L97" s="4" t="n">
        <v>-130</v>
      </c>
      <c r="M97" s="5" t="n">
        <v>7.5</v>
      </c>
      <c r="N97" s="5" t="n">
        <v>6.47616337742426</v>
      </c>
      <c r="O97" s="5" t="n">
        <v>7.5</v>
      </c>
      <c r="P97" s="5" t="n">
        <v>1.02383662257574</v>
      </c>
      <c r="Q97" s="6" t="n">
        <v>0.1964250755610312</v>
      </c>
      <c r="R97" s="6" t="n">
        <v>0.6762402600997133</v>
      </c>
      <c r="S97" s="6" t="n">
        <v>0.5542635658914729</v>
      </c>
      <c r="T97" s="2" t="inlineStr">
        <is>
          <t>Under</t>
        </is>
      </c>
      <c r="U97" s="4" t="n">
        <v>-130</v>
      </c>
      <c r="V97" s="2" t="n">
        <v>1.769230769230769</v>
      </c>
      <c r="W97" s="4" t="n">
        <v>-130</v>
      </c>
      <c r="X97" s="2" t="n">
        <v>1</v>
      </c>
      <c r="Y97" s="5" t="n">
        <v>0.7692307692307692</v>
      </c>
      <c r="Z97" s="7" t="n">
        <v>100</v>
      </c>
      <c r="AA97" s="7">
        <f>Y97*Z97</f>
        <v/>
      </c>
      <c r="AB97" s="6">
        <f>IF(Z97=0,0,AA97/Z97)</f>
        <v/>
      </c>
      <c r="AC97" s="6" t="n"/>
      <c r="AD97" s="2" t="inlineStr">
        <is>
          <t>Win</t>
        </is>
      </c>
      <c r="AE97" s="6">
        <f>IF((COUNTIF($AD$2:AD97,"Win")+COUNTIF($AD$2:AD97,"Loss"))=0,0,COUNTIF($AD$2:AD97,"Win")/(COUNTIF($AD$2:AD97,"Win")+COUNTIF($AD$2:AD97,"Loss")))</f>
        <v/>
      </c>
      <c r="AF97" s="6">
        <f>SUM($Y$2:Y97)/SUM($X$2:X97)</f>
        <v/>
      </c>
      <c r="AG97" s="5">
        <f>SUM($Y$2:Y97)</f>
        <v/>
      </c>
      <c r="AH97" s="7">
        <f>10000.0+SUM($AA$2:AA97)</f>
        <v/>
      </c>
      <c r="AI97" s="2" t="n">
        <v>2025</v>
      </c>
      <c r="AJ97" s="2" t="inlineStr">
        <is>
          <t>2025-07</t>
        </is>
      </c>
      <c r="AK97" s="2" t="inlineStr">
        <is>
          <t>-149 to -120</t>
        </is>
      </c>
      <c r="AL97" s="2" t="inlineStr">
        <is>
          <t>2025 Validation</t>
        </is>
      </c>
      <c r="AM97" s="6" t="n">
        <v>0.2553525982293405</v>
      </c>
    </row>
    <row r="98">
      <c r="A98" s="2" t="inlineStr">
        <is>
          <t>KPROP-00097</t>
        </is>
      </c>
      <c r="B98" s="3" t="n">
        <v>45865.56988425926</v>
      </c>
      <c r="C98" s="3" t="n">
        <v>45865</v>
      </c>
      <c r="D98" s="2" t="inlineStr">
        <is>
          <t>Max Scherzer</t>
        </is>
      </c>
      <c r="E98" s="2" t="n">
        <v>141</v>
      </c>
      <c r="F98" s="2" t="n">
        <v>116</v>
      </c>
      <c r="G98" s="2" t="inlineStr">
        <is>
          <t>Away</t>
        </is>
      </c>
      <c r="H98" s="2" t="inlineStr">
        <is>
          <t>bovada</t>
        </is>
      </c>
      <c r="I98" s="4" t="n"/>
      <c r="J98" s="4" t="n"/>
      <c r="K98" s="4" t="n">
        <v>110</v>
      </c>
      <c r="L98" s="4" t="n">
        <v>110</v>
      </c>
      <c r="M98" s="5" t="n">
        <v>5.5</v>
      </c>
      <c r="N98" s="5" t="n">
        <v>5.146137504550366</v>
      </c>
      <c r="O98" s="5" t="n">
        <v>5.5</v>
      </c>
      <c r="P98" s="5" t="n">
        <v>0.3538624954496337</v>
      </c>
      <c r="Q98" s="6" t="n">
        <v>0.2397061709540466</v>
      </c>
      <c r="R98" s="6" t="n">
        <v>0.5903362718828793</v>
      </c>
      <c r="S98" s="6" t="n">
        <v>0.4651652283729741</v>
      </c>
      <c r="T98" s="2" t="inlineStr">
        <is>
          <t>Under</t>
        </is>
      </c>
      <c r="U98" s="4" t="n">
        <v>110</v>
      </c>
      <c r="V98" s="2" t="n">
        <v>2.1</v>
      </c>
      <c r="W98" s="4" t="n">
        <v>110</v>
      </c>
      <c r="X98" s="2" t="n">
        <v>1</v>
      </c>
      <c r="Y98" s="5" t="n">
        <v>-1</v>
      </c>
      <c r="Z98" s="7" t="n">
        <v>100</v>
      </c>
      <c r="AA98" s="7">
        <f>Y98*Z98</f>
        <v/>
      </c>
      <c r="AB98" s="6">
        <f>IF(Z98=0,0,AA98/Z98)</f>
        <v/>
      </c>
      <c r="AC98" s="6" t="n"/>
      <c r="AD98" s="2" t="inlineStr">
        <is>
          <t>Loss</t>
        </is>
      </c>
      <c r="AE98" s="6">
        <f>IF((COUNTIF($AD$2:AD98,"Win")+COUNTIF($AD$2:AD98,"Loss"))=0,0,COUNTIF($AD$2:AD98,"Win")/(COUNTIF($AD$2:AD98,"Win")+COUNTIF($AD$2:AD98,"Loss")))</f>
        <v/>
      </c>
      <c r="AF98" s="6">
        <f>SUM($Y$2:Y98)/SUM($X$2:X98)</f>
        <v/>
      </c>
      <c r="AG98" s="5">
        <f>SUM($Y$2:Y98)</f>
        <v/>
      </c>
      <c r="AH98" s="7">
        <f>10000.0+SUM($AA$2:AA98)</f>
        <v/>
      </c>
      <c r="AI98" s="2" t="n">
        <v>2025</v>
      </c>
      <c r="AJ98" s="2" t="inlineStr">
        <is>
          <t>2025-07</t>
        </is>
      </c>
      <c r="AK98" s="2" t="inlineStr">
        <is>
          <t>+100 to +120</t>
        </is>
      </c>
      <c r="AL98" s="2" t="inlineStr">
        <is>
          <t>2025 Validation</t>
        </is>
      </c>
      <c r="AM98" s="6" t="n">
        <v>0.217914700867315</v>
      </c>
    </row>
    <row r="99">
      <c r="A99" s="2" t="inlineStr">
        <is>
          <t>KPROP-00098</t>
        </is>
      </c>
      <c r="B99" s="3" t="n">
        <v>45865.56640046297</v>
      </c>
      <c r="C99" s="3" t="n">
        <v>45865</v>
      </c>
      <c r="D99" s="2" t="inlineStr">
        <is>
          <t>Tomoyuki Sugano</t>
        </is>
      </c>
      <c r="E99" s="2" t="n">
        <v>110</v>
      </c>
      <c r="F99" s="2" t="n">
        <v>115</v>
      </c>
      <c r="G99" s="2" t="inlineStr">
        <is>
          <t>Home</t>
        </is>
      </c>
      <c r="H99" s="2" t="inlineStr">
        <is>
          <t>draftkings</t>
        </is>
      </c>
      <c r="I99" s="4" t="n"/>
      <c r="J99" s="4" t="n"/>
      <c r="K99" s="4" t="n">
        <v>130</v>
      </c>
      <c r="L99" s="4" t="n">
        <v>130</v>
      </c>
      <c r="M99" s="5" t="n">
        <v>3.5</v>
      </c>
      <c r="N99" s="5" t="n">
        <v>3.574175447102372</v>
      </c>
      <c r="O99" s="5" t="n">
        <v>3.5</v>
      </c>
      <c r="P99" s="5" t="n">
        <v>-0.07417544710237189</v>
      </c>
      <c r="Q99" s="6" t="n">
        <v>0.1976438495408595</v>
      </c>
      <c r="R99" s="6" t="n">
        <v>0.5207147171916781</v>
      </c>
      <c r="S99" s="6" t="n">
        <v>0.4221500598188344</v>
      </c>
      <c r="T99" s="2" t="inlineStr">
        <is>
          <t>Under</t>
        </is>
      </c>
      <c r="U99" s="4" t="n">
        <v>130</v>
      </c>
      <c r="V99" s="2" t="n">
        <v>2.3</v>
      </c>
      <c r="W99" s="4" t="n">
        <v>130</v>
      </c>
      <c r="X99" s="2" t="n">
        <v>1</v>
      </c>
      <c r="Y99" s="5" t="n">
        <v>-1</v>
      </c>
      <c r="Z99" s="7" t="n">
        <v>100</v>
      </c>
      <c r="AA99" s="7">
        <f>Y99*Z99</f>
        <v/>
      </c>
      <c r="AB99" s="6">
        <f>IF(Z99=0,0,AA99/Z99)</f>
        <v/>
      </c>
      <c r="AC99" s="6" t="n"/>
      <c r="AD99" s="2" t="inlineStr">
        <is>
          <t>Loss</t>
        </is>
      </c>
      <c r="AE99" s="6">
        <f>IF((COUNTIF($AD$2:AD99,"Win")+COUNTIF($AD$2:AD99,"Loss"))=0,0,COUNTIF($AD$2:AD99,"Win")/(COUNTIF($AD$2:AD99,"Win")+COUNTIF($AD$2:AD99,"Loss")))</f>
        <v/>
      </c>
      <c r="AF99" s="6">
        <f>SUM($Y$2:Y99)/SUM($X$2:X99)</f>
        <v/>
      </c>
      <c r="AG99" s="5">
        <f>SUM($Y$2:Y99)</f>
        <v/>
      </c>
      <c r="AH99" s="7">
        <f>10000.0+SUM($AA$2:AA99)</f>
        <v/>
      </c>
      <c r="AI99" s="2" t="n">
        <v>2025</v>
      </c>
      <c r="AJ99" s="2" t="inlineStr">
        <is>
          <t>2025-07</t>
        </is>
      </c>
      <c r="AK99" s="2" t="inlineStr">
        <is>
          <t>+121 to +150</t>
        </is>
      </c>
      <c r="AL99" s="2" t="inlineStr">
        <is>
          <t>2025 Validation</t>
        </is>
      </c>
      <c r="AM99" s="6" t="n">
        <v>0.1520337304160458</v>
      </c>
    </row>
    <row r="100">
      <c r="A100" s="2" t="inlineStr">
        <is>
          <t>KPROP-00099</t>
        </is>
      </c>
      <c r="B100" s="3" t="n">
        <v>45866.79210648148</v>
      </c>
      <c r="C100" s="3" t="n">
        <v>45866</v>
      </c>
      <c r="D100" s="2" t="inlineStr">
        <is>
          <t>Drew Rasmussen</t>
        </is>
      </c>
      <c r="E100" s="2" t="n">
        <v>139</v>
      </c>
      <c r="F100" s="2" t="n">
        <v>147</v>
      </c>
      <c r="G100" s="2" t="inlineStr">
        <is>
          <t>Away</t>
        </is>
      </c>
      <c r="H100" s="2" t="inlineStr">
        <is>
          <t>draftkings</t>
        </is>
      </c>
      <c r="I100" s="4" t="n"/>
      <c r="J100" s="4" t="n"/>
      <c r="K100" s="4" t="n">
        <v>105</v>
      </c>
      <c r="L100" s="4" t="n">
        <v>105</v>
      </c>
      <c r="M100" s="5" t="n">
        <v>4.5</v>
      </c>
      <c r="N100" s="5" t="n">
        <v>4.517822474275898</v>
      </c>
      <c r="O100" s="5" t="n">
        <v>4.5</v>
      </c>
      <c r="P100" s="5" t="n">
        <v>-0.01782247427589834</v>
      </c>
      <c r="Q100" s="6" t="n">
        <v>0.08388444079549962</v>
      </c>
      <c r="R100" s="6" t="n">
        <v>0.5287241174612194</v>
      </c>
      <c r="S100" s="6" t="n">
        <v>0.4721030042918455</v>
      </c>
      <c r="T100" s="2" t="inlineStr">
        <is>
          <t>Under</t>
        </is>
      </c>
      <c r="U100" s="4" t="n">
        <v>105</v>
      </c>
      <c r="V100" s="2" t="n">
        <v>2.05</v>
      </c>
      <c r="W100" s="4" t="n">
        <v>105</v>
      </c>
      <c r="X100" s="2" t="n">
        <v>1</v>
      </c>
      <c r="Y100" s="5" t="n">
        <v>-1</v>
      </c>
      <c r="Z100" s="7" t="n">
        <v>100</v>
      </c>
      <c r="AA100" s="7">
        <f>Y100*Z100</f>
        <v/>
      </c>
      <c r="AB100" s="6">
        <f>IF(Z100=0,0,AA100/Z100)</f>
        <v/>
      </c>
      <c r="AC100" s="6" t="n"/>
      <c r="AD100" s="2" t="inlineStr">
        <is>
          <t>Loss</t>
        </is>
      </c>
      <c r="AE100" s="6">
        <f>IF((COUNTIF($AD$2:AD100,"Win")+COUNTIF($AD$2:AD100,"Loss"))=0,0,COUNTIF($AD$2:AD100,"Win")/(COUNTIF($AD$2:AD100,"Win")+COUNTIF($AD$2:AD100,"Loss")))</f>
        <v/>
      </c>
      <c r="AF100" s="6">
        <f>SUM($Y$2:Y100)/SUM($X$2:X100)</f>
        <v/>
      </c>
      <c r="AG100" s="5">
        <f>SUM($Y$2:Y100)</f>
        <v/>
      </c>
      <c r="AH100" s="7">
        <f>10000.0+SUM($AA$2:AA100)</f>
        <v/>
      </c>
      <c r="AI100" s="2" t="n">
        <v>2025</v>
      </c>
      <c r="AJ100" s="2" t="inlineStr">
        <is>
          <t>2025-07</t>
        </is>
      </c>
      <c r="AK100" s="2" t="inlineStr">
        <is>
          <t>+100 to +120</t>
        </is>
      </c>
      <c r="AL100" s="2" t="inlineStr">
        <is>
          <t>2025 Validation</t>
        </is>
      </c>
      <c r="AM100" s="6" t="n">
        <v>0.07988994361476155</v>
      </c>
    </row>
    <row r="101">
      <c r="A101" s="2" t="inlineStr">
        <is>
          <t>KPROP-00100</t>
        </is>
      </c>
      <c r="B101" s="3" t="n">
        <v>45866.81641203703</v>
      </c>
      <c r="C101" s="3" t="n">
        <v>45866</v>
      </c>
      <c r="D101" s="2" t="inlineStr">
        <is>
          <t>Matthew Boyd</t>
        </is>
      </c>
      <c r="E101" s="2" t="n">
        <v>112</v>
      </c>
      <c r="F101" s="2" t="n">
        <v>158</v>
      </c>
      <c r="G101" s="2" t="inlineStr">
        <is>
          <t>Away</t>
        </is>
      </c>
      <c r="H101" s="2" t="inlineStr">
        <is>
          <t>fanduel</t>
        </is>
      </c>
      <c r="I101" s="4" t="n"/>
      <c r="J101" s="4" t="n"/>
      <c r="K101" s="4" t="n">
        <v>106</v>
      </c>
      <c r="L101" s="4" t="n">
        <v>106</v>
      </c>
      <c r="M101" s="5" t="n">
        <v>4.5</v>
      </c>
      <c r="N101" s="5" t="n">
        <v>4.512898541712249</v>
      </c>
      <c r="O101" s="5" t="n">
        <v>4.5</v>
      </c>
      <c r="P101" s="5" t="n">
        <v>-0.01289854171224913</v>
      </c>
      <c r="Q101" s="6" t="n">
        <v>0.09109362966036272</v>
      </c>
      <c r="R101" s="6" t="n">
        <v>0.5296571017768751</v>
      </c>
      <c r="S101" s="6" t="n">
        <v>0.4620329449578144</v>
      </c>
      <c r="T101" s="2" t="inlineStr">
        <is>
          <t>Under</t>
        </is>
      </c>
      <c r="U101" s="4" t="n">
        <v>106</v>
      </c>
      <c r="V101" s="2" t="n">
        <v>2.06</v>
      </c>
      <c r="W101" s="4" t="n">
        <v>106</v>
      </c>
      <c r="X101" s="2" t="n">
        <v>1</v>
      </c>
      <c r="Y101" s="5" t="n">
        <v>1.06</v>
      </c>
      <c r="Z101" s="7" t="n">
        <v>100</v>
      </c>
      <c r="AA101" s="7">
        <f>Y101*Z101</f>
        <v/>
      </c>
      <c r="AB101" s="6">
        <f>IF(Z101=0,0,AA101/Z101)</f>
        <v/>
      </c>
      <c r="AC101" s="6" t="n"/>
      <c r="AD101" s="2" t="inlineStr">
        <is>
          <t>Win</t>
        </is>
      </c>
      <c r="AE101" s="6">
        <f>IF((COUNTIF($AD$2:AD101,"Win")+COUNTIF($AD$2:AD101,"Loss"))=0,0,COUNTIF($AD$2:AD101,"Win")/(COUNTIF($AD$2:AD101,"Win")+COUNTIF($AD$2:AD101,"Loss")))</f>
        <v/>
      </c>
      <c r="AF101" s="6">
        <f>SUM($Y$2:Y101)/SUM($X$2:X101)</f>
        <v/>
      </c>
      <c r="AG101" s="5">
        <f>SUM($Y$2:Y101)</f>
        <v/>
      </c>
      <c r="AH101" s="7">
        <f>10000.0+SUM($AA$2:AA101)</f>
        <v/>
      </c>
      <c r="AI101" s="2" t="n">
        <v>2025</v>
      </c>
      <c r="AJ101" s="2" t="inlineStr">
        <is>
          <t>2025-07</t>
        </is>
      </c>
      <c r="AK101" s="2" t="inlineStr">
        <is>
          <t>+100 to +120</t>
        </is>
      </c>
      <c r="AL101" s="2" t="inlineStr">
        <is>
          <t>2025 Validation</t>
        </is>
      </c>
      <c r="AM101" s="6" t="n">
        <v>0.0859373864720403</v>
      </c>
    </row>
    <row r="102">
      <c r="A102" s="2" t="inlineStr">
        <is>
          <t>KPROP-00101</t>
        </is>
      </c>
      <c r="B102" s="3" t="n">
        <v>45866.77474537037</v>
      </c>
      <c r="C102" s="3" t="n">
        <v>45866</v>
      </c>
      <c r="D102" s="2" t="inlineStr">
        <is>
          <t>Slade Cecconi</t>
        </is>
      </c>
      <c r="E102" s="2" t="n">
        <v>114</v>
      </c>
      <c r="F102" s="2" t="n">
        <v>115</v>
      </c>
      <c r="G102" s="2" t="inlineStr">
        <is>
          <t>Home</t>
        </is>
      </c>
      <c r="H102" s="2" t="inlineStr">
        <is>
          <t>draftkings</t>
        </is>
      </c>
      <c r="I102" s="4" t="n"/>
      <c r="J102" s="4" t="n"/>
      <c r="K102" s="4" t="n">
        <v>100</v>
      </c>
      <c r="L102" s="4" t="n">
        <v>100</v>
      </c>
      <c r="M102" s="5" t="n">
        <v>5.5</v>
      </c>
      <c r="N102" s="5" t="n">
        <v>5.30847227660868</v>
      </c>
      <c r="O102" s="5" t="n">
        <v>5.5</v>
      </c>
      <c r="P102" s="5" t="n">
        <v>0.19152772339132</v>
      </c>
      <c r="Q102" s="6" t="n">
        <v>0.1239999048260079</v>
      </c>
      <c r="R102" s="6" t="n">
        <v>0.5619999524130039</v>
      </c>
      <c r="S102" s="6" t="n">
        <v>0.4831460674157303</v>
      </c>
      <c r="T102" s="2" t="inlineStr">
        <is>
          <t>Under</t>
        </is>
      </c>
      <c r="U102" s="4" t="n">
        <v>100</v>
      </c>
      <c r="V102" s="2" t="n">
        <v>2</v>
      </c>
      <c r="W102" s="4" t="n">
        <v>100</v>
      </c>
      <c r="X102" s="2" t="n">
        <v>1</v>
      </c>
      <c r="Y102" s="5" t="n">
        <v>1</v>
      </c>
      <c r="Z102" s="7" t="n">
        <v>100</v>
      </c>
      <c r="AA102" s="7">
        <f>Y102*Z102</f>
        <v/>
      </c>
      <c r="AB102" s="6">
        <f>IF(Z102=0,0,AA102/Z102)</f>
        <v/>
      </c>
      <c r="AC102" s="6" t="n"/>
      <c r="AD102" s="2" t="inlineStr">
        <is>
          <t>Win</t>
        </is>
      </c>
      <c r="AE102" s="6">
        <f>IF((COUNTIF($AD$2:AD102,"Win")+COUNTIF($AD$2:AD102,"Loss"))=0,0,COUNTIF($AD$2:AD102,"Win")/(COUNTIF($AD$2:AD102,"Win")+COUNTIF($AD$2:AD102,"Loss")))</f>
        <v/>
      </c>
      <c r="AF102" s="6">
        <f>SUM($Y$2:Y102)/SUM($X$2:X102)</f>
        <v/>
      </c>
      <c r="AG102" s="5">
        <f>SUM($Y$2:Y102)</f>
        <v/>
      </c>
      <c r="AH102" s="7">
        <f>10000.0+SUM($AA$2:AA102)</f>
        <v/>
      </c>
      <c r="AI102" s="2" t="n">
        <v>2025</v>
      </c>
      <c r="AJ102" s="2" t="inlineStr">
        <is>
          <t>2025-07</t>
        </is>
      </c>
      <c r="AK102" s="2" t="inlineStr">
        <is>
          <t>+100 to +120</t>
        </is>
      </c>
      <c r="AL102" s="2" t="inlineStr">
        <is>
          <t>2025 Validation</t>
        </is>
      </c>
      <c r="AM102" s="6" t="n">
        <v>0.1239999048260079</v>
      </c>
    </row>
    <row r="103">
      <c r="A103" s="2" t="inlineStr">
        <is>
          <t>KPROP-00102</t>
        </is>
      </c>
      <c r="B103" s="3" t="n">
        <v>45866.79560185185</v>
      </c>
      <c r="C103" s="3" t="n">
        <v>45866</v>
      </c>
      <c r="D103" s="2" t="inlineStr">
        <is>
          <t>Yoshinobu Yamamoto</t>
        </is>
      </c>
      <c r="E103" s="2" t="n">
        <v>119</v>
      </c>
      <c r="F103" s="2" t="n">
        <v>113</v>
      </c>
      <c r="G103" s="2" t="inlineStr">
        <is>
          <t>Away</t>
        </is>
      </c>
      <c r="H103" s="2" t="inlineStr">
        <is>
          <t>betrivers</t>
        </is>
      </c>
      <c r="I103" s="4" t="n"/>
      <c r="J103" s="4" t="n"/>
      <c r="K103" s="4" t="n">
        <v>165</v>
      </c>
      <c r="L103" s="4" t="n">
        <v>165</v>
      </c>
      <c r="M103" s="5" t="n">
        <v>5.5</v>
      </c>
      <c r="N103" s="5" t="n">
        <v>6.168457330932037</v>
      </c>
      <c r="O103" s="5" t="n">
        <v>5.5</v>
      </c>
      <c r="P103" s="5" t="n">
        <v>-0.6684573309320365</v>
      </c>
      <c r="Q103" s="6" t="n">
        <v>0.110389658012961</v>
      </c>
      <c r="R103" s="6" t="n">
        <v>0.4190149652879098</v>
      </c>
      <c r="S103" s="6" t="n">
        <v>0.3861003861003861</v>
      </c>
      <c r="T103" s="2" t="inlineStr">
        <is>
          <t>Under</t>
        </is>
      </c>
      <c r="U103" s="4" t="n">
        <v>165</v>
      </c>
      <c r="V103" s="2" t="n">
        <v>2.65</v>
      </c>
      <c r="W103" s="4" t="n">
        <v>165</v>
      </c>
      <c r="X103" s="2" t="n">
        <v>1</v>
      </c>
      <c r="Y103" s="5" t="n">
        <v>-1</v>
      </c>
      <c r="Z103" s="7" t="n">
        <v>100</v>
      </c>
      <c r="AA103" s="7">
        <f>Y103*Z103</f>
        <v/>
      </c>
      <c r="AB103" s="6">
        <f>IF(Z103=0,0,AA103/Z103)</f>
        <v/>
      </c>
      <c r="AC103" s="6" t="n"/>
      <c r="AD103" s="2" t="inlineStr">
        <is>
          <t>Loss</t>
        </is>
      </c>
      <c r="AE103" s="6">
        <f>IF((COUNTIF($AD$2:AD103,"Win")+COUNTIF($AD$2:AD103,"Loss"))=0,0,COUNTIF($AD$2:AD103,"Win")/(COUNTIF($AD$2:AD103,"Win")+COUNTIF($AD$2:AD103,"Loss")))</f>
        <v/>
      </c>
      <c r="AF103" s="6">
        <f>SUM($Y$2:Y103)/SUM($X$2:X103)</f>
        <v/>
      </c>
      <c r="AG103" s="5">
        <f>SUM($Y$2:Y103)</f>
        <v/>
      </c>
      <c r="AH103" s="7">
        <f>10000.0+SUM($AA$2:AA103)</f>
        <v/>
      </c>
      <c r="AI103" s="2" t="n">
        <v>2025</v>
      </c>
      <c r="AJ103" s="2" t="inlineStr">
        <is>
          <t>2025-07</t>
        </is>
      </c>
      <c r="AK103" s="2" t="inlineStr">
        <is>
          <t>&gt;= +151</t>
        </is>
      </c>
      <c r="AL103" s="2" t="inlineStr">
        <is>
          <t>2025 Validation</t>
        </is>
      </c>
      <c r="AM103" s="6" t="n">
        <v>0.06690282303815817</v>
      </c>
    </row>
    <row r="104">
      <c r="A104" s="2" t="inlineStr">
        <is>
          <t>KPROP-00103</t>
        </is>
      </c>
      <c r="B104" s="3" t="n">
        <v>45866.79560185185</v>
      </c>
      <c r="C104" s="3" t="n">
        <v>45866</v>
      </c>
      <c r="D104" s="2" t="inlineStr">
        <is>
          <t>Yoshinobu Yamamoto</t>
        </is>
      </c>
      <c r="E104" s="2" t="n">
        <v>119</v>
      </c>
      <c r="F104" s="2" t="n">
        <v>113</v>
      </c>
      <c r="G104" s="2" t="inlineStr">
        <is>
          <t>Away</t>
        </is>
      </c>
      <c r="H104" s="2" t="inlineStr">
        <is>
          <t>betrivers</t>
        </is>
      </c>
      <c r="I104" s="4" t="n"/>
      <c r="J104" s="4" t="n"/>
      <c r="K104" s="4" t="n">
        <v>-118</v>
      </c>
      <c r="L104" s="4" t="n">
        <v>-118</v>
      </c>
      <c r="M104" s="5" t="n">
        <v>6.5</v>
      </c>
      <c r="N104" s="5" t="n">
        <v>6.168457330932037</v>
      </c>
      <c r="O104" s="5" t="n">
        <v>6.5</v>
      </c>
      <c r="P104" s="5" t="n">
        <v>0.3315426690679635</v>
      </c>
      <c r="Q104" s="6" t="n">
        <v>0.07016875594949368</v>
      </c>
      <c r="R104" s="6" t="n">
        <v>0.5792656568900929</v>
      </c>
      <c r="S104" s="6" t="n">
        <v>0.5435510887772195</v>
      </c>
      <c r="T104" s="2" t="inlineStr">
        <is>
          <t>Under</t>
        </is>
      </c>
      <c r="U104" s="4" t="n">
        <v>-118</v>
      </c>
      <c r="V104" s="2" t="n">
        <v>1.847457627118644</v>
      </c>
      <c r="W104" s="4" t="n">
        <v>-118</v>
      </c>
      <c r="X104" s="2" t="n">
        <v>1</v>
      </c>
      <c r="Y104" s="5" t="n">
        <v>-1</v>
      </c>
      <c r="Z104" s="7" t="n">
        <v>100</v>
      </c>
      <c r="AA104" s="7">
        <f>Y104*Z104</f>
        <v/>
      </c>
      <c r="AB104" s="6">
        <f>IF(Z104=0,0,AA104/Z104)</f>
        <v/>
      </c>
      <c r="AC104" s="6" t="n"/>
      <c r="AD104" s="2" t="inlineStr">
        <is>
          <t>Loss</t>
        </is>
      </c>
      <c r="AE104" s="6">
        <f>IF((COUNTIF($AD$2:AD104,"Win")+COUNTIF($AD$2:AD104,"Loss"))=0,0,COUNTIF($AD$2:AD104,"Win")/(COUNTIF($AD$2:AD104,"Win")+COUNTIF($AD$2:AD104,"Loss")))</f>
        <v/>
      </c>
      <c r="AF104" s="6">
        <f>SUM($Y$2:Y104)/SUM($X$2:X104)</f>
        <v/>
      </c>
      <c r="AG104" s="5">
        <f>SUM($Y$2:Y104)</f>
        <v/>
      </c>
      <c r="AH104" s="7">
        <f>10000.0+SUM($AA$2:AA104)</f>
        <v/>
      </c>
      <c r="AI104" s="2" t="n">
        <v>2025</v>
      </c>
      <c r="AJ104" s="2" t="inlineStr">
        <is>
          <t>2025-07</t>
        </is>
      </c>
      <c r="AK104" s="2" t="inlineStr">
        <is>
          <t>-119 to -101</t>
        </is>
      </c>
      <c r="AL104" s="2" t="inlineStr">
        <is>
          <t>2025 Validation</t>
        </is>
      </c>
      <c r="AM104" s="6" t="n">
        <v>0.08279913202040254</v>
      </c>
    </row>
    <row r="105">
      <c r="A105" s="2" t="inlineStr">
        <is>
          <t>KPROP-00104</t>
        </is>
      </c>
      <c r="B105" s="3" t="n">
        <v>45866.77127314815</v>
      </c>
      <c r="C105" s="3" t="n">
        <v>45866</v>
      </c>
      <c r="D105" s="2" t="inlineStr">
        <is>
          <t>Zach Eflin</t>
        </is>
      </c>
      <c r="E105" s="2" t="n">
        <v>110</v>
      </c>
      <c r="F105" s="2" t="n">
        <v>141</v>
      </c>
      <c r="G105" s="2" t="inlineStr">
        <is>
          <t>Home</t>
        </is>
      </c>
      <c r="H105" s="2" t="inlineStr">
        <is>
          <t>bovada</t>
        </is>
      </c>
      <c r="I105" s="4" t="n"/>
      <c r="J105" s="4" t="n"/>
      <c r="K105" s="4" t="n">
        <v>100</v>
      </c>
      <c r="L105" s="4" t="n">
        <v>100</v>
      </c>
      <c r="M105" s="5" t="n">
        <v>3.5</v>
      </c>
      <c r="N105" s="5" t="n">
        <v>3.49593840733844</v>
      </c>
      <c r="O105" s="5" t="n">
        <v>3.5</v>
      </c>
      <c r="P105" s="5" t="n">
        <v>0.004061592661560365</v>
      </c>
      <c r="Q105" s="6" t="n">
        <v>0.0750187086038856</v>
      </c>
      <c r="R105" s="6" t="n">
        <v>0.5375093543019428</v>
      </c>
      <c r="S105" s="6" t="n">
        <v>0.4883720930232558</v>
      </c>
      <c r="T105" s="2" t="inlineStr">
        <is>
          <t>Under</t>
        </is>
      </c>
      <c r="U105" s="4" t="n">
        <v>100</v>
      </c>
      <c r="V105" s="2" t="n">
        <v>2</v>
      </c>
      <c r="W105" s="4" t="n">
        <v>100</v>
      </c>
      <c r="X105" s="2" t="n">
        <v>1</v>
      </c>
      <c r="Y105" s="5" t="n">
        <v>1</v>
      </c>
      <c r="Z105" s="7" t="n">
        <v>100</v>
      </c>
      <c r="AA105" s="7">
        <f>Y105*Z105</f>
        <v/>
      </c>
      <c r="AB105" s="6">
        <f>IF(Z105=0,0,AA105/Z105)</f>
        <v/>
      </c>
      <c r="AC105" s="6" t="n"/>
      <c r="AD105" s="2" t="inlineStr">
        <is>
          <t>Win</t>
        </is>
      </c>
      <c r="AE105" s="6">
        <f>IF((COUNTIF($AD$2:AD105,"Win")+COUNTIF($AD$2:AD105,"Loss"))=0,0,COUNTIF($AD$2:AD105,"Win")/(COUNTIF($AD$2:AD105,"Win")+COUNTIF($AD$2:AD105,"Loss")))</f>
        <v/>
      </c>
      <c r="AF105" s="6">
        <f>SUM($Y$2:Y105)/SUM($X$2:X105)</f>
        <v/>
      </c>
      <c r="AG105" s="5">
        <f>SUM($Y$2:Y105)</f>
        <v/>
      </c>
      <c r="AH105" s="7">
        <f>10000.0+SUM($AA$2:AA105)</f>
        <v/>
      </c>
      <c r="AI105" s="2" t="n">
        <v>2025</v>
      </c>
      <c r="AJ105" s="2" t="inlineStr">
        <is>
          <t>2025-07</t>
        </is>
      </c>
      <c r="AK105" s="2" t="inlineStr">
        <is>
          <t>+100 to +120</t>
        </is>
      </c>
      <c r="AL105" s="2" t="inlineStr">
        <is>
          <t>2025 Validation</t>
        </is>
      </c>
      <c r="AM105" s="6" t="n">
        <v>0.0750187086038856</v>
      </c>
    </row>
    <row r="106">
      <c r="A106" s="2" t="inlineStr">
        <is>
          <t>KPROP-00105</t>
        </is>
      </c>
      <c r="B106" s="3" t="n">
        <v>45867.77475694445</v>
      </c>
      <c r="C106" s="3" t="n">
        <v>45867</v>
      </c>
      <c r="D106" s="2" t="inlineStr">
        <is>
          <t>Brandon Pfaadt</t>
        </is>
      </c>
      <c r="E106" s="2" t="n">
        <v>109</v>
      </c>
      <c r="F106" s="2" t="n">
        <v>116</v>
      </c>
      <c r="G106" s="2" t="inlineStr">
        <is>
          <t>Away</t>
        </is>
      </c>
      <c r="H106" s="2" t="inlineStr">
        <is>
          <t>fanduel</t>
        </is>
      </c>
      <c r="I106" s="4" t="n"/>
      <c r="J106" s="4" t="n"/>
      <c r="K106" s="4" t="n">
        <v>130</v>
      </c>
      <c r="L106" s="4" t="n">
        <v>130</v>
      </c>
      <c r="M106" s="5" t="n">
        <v>4.5</v>
      </c>
      <c r="N106" s="5" t="n">
        <v>4.800379445095591</v>
      </c>
      <c r="O106" s="5" t="n">
        <v>4.5</v>
      </c>
      <c r="P106" s="5" t="n">
        <v>-0.300379445095591</v>
      </c>
      <c r="Q106" s="6" t="n">
        <v>0.09523627747884313</v>
      </c>
      <c r="R106" s="6" t="n">
        <v>0.4761896858603666</v>
      </c>
      <c r="S106" s="6" t="n">
        <v>0.4140127388535032</v>
      </c>
      <c r="T106" s="2" t="inlineStr">
        <is>
          <t>Under</t>
        </is>
      </c>
      <c r="U106" s="4" t="n">
        <v>130</v>
      </c>
      <c r="V106" s="2" t="n">
        <v>2.3</v>
      </c>
      <c r="W106" s="4" t="n">
        <v>130</v>
      </c>
      <c r="X106" s="2" t="n">
        <v>1</v>
      </c>
      <c r="Y106" s="5" t="n">
        <v>1.3</v>
      </c>
      <c r="Z106" s="7" t="n">
        <v>100</v>
      </c>
      <c r="AA106" s="7">
        <f>Y106*Z106</f>
        <v/>
      </c>
      <c r="AB106" s="6">
        <f>IF(Z106=0,0,AA106/Z106)</f>
        <v/>
      </c>
      <c r="AC106" s="6" t="n"/>
      <c r="AD106" s="2" t="inlineStr">
        <is>
          <t>Win</t>
        </is>
      </c>
      <c r="AE106" s="6">
        <f>IF((COUNTIF($AD$2:AD106,"Win")+COUNTIF($AD$2:AD106,"Loss"))=0,0,COUNTIF($AD$2:AD106,"Win")/(COUNTIF($AD$2:AD106,"Win")+COUNTIF($AD$2:AD106,"Loss")))</f>
        <v/>
      </c>
      <c r="AF106" s="6">
        <f>SUM($Y$2:Y106)/SUM($X$2:X106)</f>
        <v/>
      </c>
      <c r="AG106" s="5">
        <f>SUM($Y$2:Y106)</f>
        <v/>
      </c>
      <c r="AH106" s="7">
        <f>10000.0+SUM($AA$2:AA106)</f>
        <v/>
      </c>
      <c r="AI106" s="2" t="n">
        <v>2025</v>
      </c>
      <c r="AJ106" s="2" t="inlineStr">
        <is>
          <t>2025-07</t>
        </is>
      </c>
      <c r="AK106" s="2" t="inlineStr">
        <is>
          <t>+121 to +150</t>
        </is>
      </c>
      <c r="AL106" s="2" t="inlineStr">
        <is>
          <t>2025 Validation</t>
        </is>
      </c>
      <c r="AM106" s="6" t="n">
        <v>0.07325867498372549</v>
      </c>
    </row>
    <row r="107">
      <c r="A107" s="2" t="inlineStr">
        <is>
          <t>KPROP-00106</t>
        </is>
      </c>
      <c r="B107" s="3" t="n">
        <v>45867.79557870371</v>
      </c>
      <c r="C107" s="3" t="n">
        <v>45867</v>
      </c>
      <c r="D107" s="2" t="inlineStr">
        <is>
          <t>Max Fried</t>
        </is>
      </c>
      <c r="E107" s="2" t="n">
        <v>147</v>
      </c>
      <c r="F107" s="2" t="n">
        <v>139</v>
      </c>
      <c r="G107" s="2" t="inlineStr">
        <is>
          <t>Home</t>
        </is>
      </c>
      <c r="H107" s="2" t="inlineStr">
        <is>
          <t>fanduel</t>
        </is>
      </c>
      <c r="I107" s="4" t="n"/>
      <c r="J107" s="4" t="n"/>
      <c r="K107" s="4" t="n">
        <v>-108</v>
      </c>
      <c r="L107" s="4" t="n">
        <v>-108</v>
      </c>
      <c r="M107" s="5" t="n">
        <v>5.5</v>
      </c>
      <c r="N107" s="5" t="n">
        <v>5.071172239042789</v>
      </c>
      <c r="O107" s="5" t="n">
        <v>5.5</v>
      </c>
      <c r="P107" s="5" t="n">
        <v>0.4288277609572111</v>
      </c>
      <c r="Q107" s="6" t="n">
        <v>0.1622468822632523</v>
      </c>
      <c r="R107" s="6" t="n">
        <v>0.6034743427136118</v>
      </c>
      <c r="S107" s="6" t="n">
        <v>0.4925753075943997</v>
      </c>
      <c r="T107" s="2" t="inlineStr">
        <is>
          <t>Under</t>
        </is>
      </c>
      <c r="U107" s="4" t="n">
        <v>-108</v>
      </c>
      <c r="V107" s="2" t="n">
        <v>1.925925925925926</v>
      </c>
      <c r="W107" s="4" t="n">
        <v>-108</v>
      </c>
      <c r="X107" s="2" t="n">
        <v>1</v>
      </c>
      <c r="Y107" s="5" t="n">
        <v>-1</v>
      </c>
      <c r="Z107" s="7" t="n">
        <v>100</v>
      </c>
      <c r="AA107" s="7">
        <f>Y107*Z107</f>
        <v/>
      </c>
      <c r="AB107" s="6">
        <f>IF(Z107=0,0,AA107/Z107)</f>
        <v/>
      </c>
      <c r="AC107" s="6" t="n"/>
      <c r="AD107" s="2" t="inlineStr">
        <is>
          <t>Loss</t>
        </is>
      </c>
      <c r="AE107" s="6">
        <f>IF((COUNTIF($AD$2:AD107,"Win")+COUNTIF($AD$2:AD107,"Loss"))=0,0,COUNTIF($AD$2:AD107,"Win")/(COUNTIF($AD$2:AD107,"Win")+COUNTIF($AD$2:AD107,"Loss")))</f>
        <v/>
      </c>
      <c r="AF107" s="6">
        <f>SUM($Y$2:Y107)/SUM($X$2:X107)</f>
        <v/>
      </c>
      <c r="AG107" s="5">
        <f>SUM($Y$2:Y107)</f>
        <v/>
      </c>
      <c r="AH107" s="7">
        <f>10000.0+SUM($AA$2:AA107)</f>
        <v/>
      </c>
      <c r="AI107" s="2" t="n">
        <v>2025</v>
      </c>
      <c r="AJ107" s="2" t="inlineStr">
        <is>
          <t>2025-07</t>
        </is>
      </c>
      <c r="AK107" s="2" t="inlineStr">
        <is>
          <t>-119 to -101</t>
        </is>
      </c>
      <c r="AL107" s="2" t="inlineStr">
        <is>
          <t>2025 Validation</t>
        </is>
      </c>
      <c r="AM107" s="6" t="n">
        <v>0.1752266328443125</v>
      </c>
    </row>
    <row r="108">
      <c r="A108" s="2" t="inlineStr">
        <is>
          <t>KPROP-00107</t>
        </is>
      </c>
      <c r="B108" s="3" t="n">
        <v>45867.81988425926</v>
      </c>
      <c r="C108" s="3" t="n">
        <v>45867</v>
      </c>
      <c r="D108" s="2" t="inlineStr">
        <is>
          <t>Quinn Priester</t>
        </is>
      </c>
      <c r="E108" s="2" t="n">
        <v>158</v>
      </c>
      <c r="F108" s="2" t="n">
        <v>112</v>
      </c>
      <c r="G108" s="2" t="inlineStr">
        <is>
          <t>Home</t>
        </is>
      </c>
      <c r="H108" s="2" t="inlineStr">
        <is>
          <t>bovada</t>
        </is>
      </c>
      <c r="I108" s="4" t="n"/>
      <c r="J108" s="4" t="n"/>
      <c r="K108" s="4" t="n">
        <v>110</v>
      </c>
      <c r="L108" s="4" t="n">
        <v>110</v>
      </c>
      <c r="M108" s="5" t="n">
        <v>4.5</v>
      </c>
      <c r="N108" s="5" t="n">
        <v>4.593478892270768</v>
      </c>
      <c r="O108" s="5" t="n">
        <v>4.5</v>
      </c>
      <c r="P108" s="5" t="n">
        <v>-0.09347889227076767</v>
      </c>
      <c r="Q108" s="6" t="n">
        <v>0.08036055645179985</v>
      </c>
      <c r="R108" s="6" t="n">
        <v>0.5144574078341904</v>
      </c>
      <c r="S108" s="6" t="n">
        <v>0.468012022327179</v>
      </c>
      <c r="T108" s="2" t="inlineStr">
        <is>
          <t>Under</t>
        </is>
      </c>
      <c r="U108" s="4" t="n">
        <v>110</v>
      </c>
      <c r="V108" s="2" t="n">
        <v>2.1</v>
      </c>
      <c r="W108" s="4" t="n">
        <v>110</v>
      </c>
      <c r="X108" s="2" t="n">
        <v>1</v>
      </c>
      <c r="Y108" s="5" t="n">
        <v>1.1</v>
      </c>
      <c r="Z108" s="7" t="n">
        <v>100</v>
      </c>
      <c r="AA108" s="7">
        <f>Y108*Z108</f>
        <v/>
      </c>
      <c r="AB108" s="6">
        <f>IF(Z108=0,0,AA108/Z108)</f>
        <v/>
      </c>
      <c r="AC108" s="6" t="n"/>
      <c r="AD108" s="2" t="inlineStr">
        <is>
          <t>Win</t>
        </is>
      </c>
      <c r="AE108" s="6">
        <f>IF((COUNTIF($AD$2:AD108,"Win")+COUNTIF($AD$2:AD108,"Loss"))=0,0,COUNTIF($AD$2:AD108,"Win")/(COUNTIF($AD$2:AD108,"Win")+COUNTIF($AD$2:AD108,"Loss")))</f>
        <v/>
      </c>
      <c r="AF108" s="6">
        <f>SUM($Y$2:Y108)/SUM($X$2:X108)</f>
        <v/>
      </c>
      <c r="AG108" s="5">
        <f>SUM($Y$2:Y108)</f>
        <v/>
      </c>
      <c r="AH108" s="7">
        <f>10000.0+SUM($AA$2:AA108)</f>
        <v/>
      </c>
      <c r="AI108" s="2" t="n">
        <v>2025</v>
      </c>
      <c r="AJ108" s="2" t="inlineStr">
        <is>
          <t>2025-07</t>
        </is>
      </c>
      <c r="AK108" s="2" t="inlineStr">
        <is>
          <t>+100 to +120</t>
        </is>
      </c>
      <c r="AL108" s="2" t="inlineStr">
        <is>
          <t>2025 Validation</t>
        </is>
      </c>
      <c r="AM108" s="6" t="n">
        <v>0.07305505131981804</v>
      </c>
    </row>
    <row r="109">
      <c r="A109" s="2" t="inlineStr">
        <is>
          <t>KPROP-00108</t>
        </is>
      </c>
      <c r="B109" s="3" t="n">
        <v>45867.81988425926</v>
      </c>
      <c r="C109" s="3" t="n">
        <v>45867</v>
      </c>
      <c r="D109" s="2" t="inlineStr">
        <is>
          <t>Seth Lugo</t>
        </is>
      </c>
      <c r="E109" s="2" t="n">
        <v>118</v>
      </c>
      <c r="F109" s="2" t="n">
        <v>144</v>
      </c>
      <c r="G109" s="2" t="inlineStr">
        <is>
          <t>Home</t>
        </is>
      </c>
      <c r="H109" s="2" t="inlineStr">
        <is>
          <t>fanatics</t>
        </is>
      </c>
      <c r="I109" s="4" t="n"/>
      <c r="J109" s="4" t="n"/>
      <c r="K109" s="4" t="n">
        <v>120</v>
      </c>
      <c r="L109" s="4" t="n">
        <v>120</v>
      </c>
      <c r="M109" s="5" t="n">
        <v>4.5</v>
      </c>
      <c r="N109" s="5" t="n">
        <v>4.343433125056316</v>
      </c>
      <c r="O109" s="5" t="n">
        <v>4.5</v>
      </c>
      <c r="P109" s="5" t="n">
        <v>0.1565668749436844</v>
      </c>
      <c r="Q109" s="6" t="n">
        <v>0.2365241782444839</v>
      </c>
      <c r="R109" s="6" t="n">
        <v>0.5620564446565836</v>
      </c>
      <c r="S109" s="6" t="n">
        <v>0.4474097331240188</v>
      </c>
      <c r="T109" s="2" t="inlineStr">
        <is>
          <t>Under</t>
        </is>
      </c>
      <c r="U109" s="4" t="n">
        <v>120</v>
      </c>
      <c r="V109" s="2" t="n">
        <v>2.2</v>
      </c>
      <c r="W109" s="4" t="n">
        <v>120</v>
      </c>
      <c r="X109" s="2" t="n">
        <v>1</v>
      </c>
      <c r="Y109" s="5" t="n">
        <v>-1</v>
      </c>
      <c r="Z109" s="7" t="n">
        <v>100</v>
      </c>
      <c r="AA109" s="7">
        <f>Y109*Z109</f>
        <v/>
      </c>
      <c r="AB109" s="6">
        <f>IF(Z109=0,0,AA109/Z109)</f>
        <v/>
      </c>
      <c r="AC109" s="6" t="n"/>
      <c r="AD109" s="2" t="inlineStr">
        <is>
          <t>Loss</t>
        </is>
      </c>
      <c r="AE109" s="6">
        <f>IF((COUNTIF($AD$2:AD109,"Win")+COUNTIF($AD$2:AD109,"Loss"))=0,0,COUNTIF($AD$2:AD109,"Win")/(COUNTIF($AD$2:AD109,"Win")+COUNTIF($AD$2:AD109,"Loss")))</f>
        <v/>
      </c>
      <c r="AF109" s="6">
        <f>SUM($Y$2:Y109)/SUM($X$2:X109)</f>
        <v/>
      </c>
      <c r="AG109" s="5">
        <f>SUM($Y$2:Y109)</f>
        <v/>
      </c>
      <c r="AH109" s="7">
        <f>10000.0+SUM($AA$2:AA109)</f>
        <v/>
      </c>
      <c r="AI109" s="2" t="n">
        <v>2025</v>
      </c>
      <c r="AJ109" s="2" t="inlineStr">
        <is>
          <t>2025-07</t>
        </is>
      </c>
      <c r="AK109" s="2" t="inlineStr">
        <is>
          <t>+100 to +120</t>
        </is>
      </c>
      <c r="AL109" s="2" t="inlineStr">
        <is>
          <t>2025 Validation</t>
        </is>
      </c>
      <c r="AM109" s="6" t="n">
        <v>0.1971034818704032</v>
      </c>
    </row>
    <row r="110">
      <c r="A110" s="2" t="inlineStr">
        <is>
          <t>KPROP-00109</t>
        </is>
      </c>
      <c r="B110" s="3" t="n">
        <v>45867.82336805556</v>
      </c>
      <c r="C110" s="3" t="n">
        <v>45867</v>
      </c>
      <c r="D110" s="2" t="inlineStr">
        <is>
          <t>Sonny Gray</t>
        </is>
      </c>
      <c r="E110" s="2" t="n">
        <v>138</v>
      </c>
      <c r="F110" s="2" t="n">
        <v>146</v>
      </c>
      <c r="G110" s="2" t="inlineStr">
        <is>
          <t>Home</t>
        </is>
      </c>
      <c r="H110" s="2" t="inlineStr">
        <is>
          <t>betonlineag</t>
        </is>
      </c>
      <c r="I110" s="4" t="n"/>
      <c r="J110" s="4" t="n"/>
      <c r="K110" s="4" t="n">
        <v>-103</v>
      </c>
      <c r="L110" s="4" t="n">
        <v>-103</v>
      </c>
      <c r="M110" s="5" t="n">
        <v>5.5</v>
      </c>
      <c r="N110" s="5" t="n">
        <v>4.485327567853677</v>
      </c>
      <c r="O110" s="5" t="n">
        <v>5.5</v>
      </c>
      <c r="P110" s="5" t="n">
        <v>1.014672432146323</v>
      </c>
      <c r="Q110" s="6" t="n">
        <v>0.3903229871785048</v>
      </c>
      <c r="R110" s="6" t="n">
        <v>0.7054348161546108</v>
      </c>
      <c r="S110" s="6" t="n">
        <v>0.4953533757725013</v>
      </c>
      <c r="T110" s="2" t="inlineStr">
        <is>
          <t>Under</t>
        </is>
      </c>
      <c r="U110" s="4" t="n">
        <v>-103</v>
      </c>
      <c r="V110" s="2" t="n">
        <v>1.970873786407767</v>
      </c>
      <c r="W110" s="4" t="n">
        <v>-103</v>
      </c>
      <c r="X110" s="2" t="n">
        <v>1</v>
      </c>
      <c r="Y110" s="5" t="n">
        <v>0.970873786407767</v>
      </c>
      <c r="Z110" s="7" t="n">
        <v>100</v>
      </c>
      <c r="AA110" s="7">
        <f>Y110*Z110</f>
        <v/>
      </c>
      <c r="AB110" s="6">
        <f>IF(Z110=0,0,AA110/Z110)</f>
        <v/>
      </c>
      <c r="AC110" s="6" t="n"/>
      <c r="AD110" s="2" t="inlineStr">
        <is>
          <t>Win</t>
        </is>
      </c>
      <c r="AE110" s="6">
        <f>IF((COUNTIF($AD$2:AD110,"Win")+COUNTIF($AD$2:AD110,"Loss"))=0,0,COUNTIF($AD$2:AD110,"Win")/(COUNTIF($AD$2:AD110,"Win")+COUNTIF($AD$2:AD110,"Loss")))</f>
        <v/>
      </c>
      <c r="AF110" s="6">
        <f>SUM($Y$2:Y110)/SUM($X$2:X110)</f>
        <v/>
      </c>
      <c r="AG110" s="5">
        <f>SUM($Y$2:Y110)</f>
        <v/>
      </c>
      <c r="AH110" s="7">
        <f>10000.0+SUM($AA$2:AA110)</f>
        <v/>
      </c>
      <c r="AI110" s="2" t="n">
        <v>2025</v>
      </c>
      <c r="AJ110" s="2" t="inlineStr">
        <is>
          <t>2025-07</t>
        </is>
      </c>
      <c r="AK110" s="2" t="inlineStr">
        <is>
          <t>-119 to -101</t>
        </is>
      </c>
      <c r="AL110" s="2" t="inlineStr">
        <is>
          <t>2025 Validation</t>
        </is>
      </c>
      <c r="AM110" s="6" t="n">
        <v>0.4020326767938599</v>
      </c>
    </row>
    <row r="111">
      <c r="A111" s="2" t="inlineStr">
        <is>
          <t>KPROP-00110</t>
        </is>
      </c>
      <c r="B111" s="3" t="n">
        <v>45867.7990625</v>
      </c>
      <c r="C111" s="3" t="n">
        <v>45867</v>
      </c>
      <c r="D111" s="2" t="inlineStr">
        <is>
          <t>Tyler Glasnow</t>
        </is>
      </c>
      <c r="E111" s="2" t="n">
        <v>119</v>
      </c>
      <c r="F111" s="2" t="n">
        <v>113</v>
      </c>
      <c r="G111" s="2" t="inlineStr">
        <is>
          <t>Away</t>
        </is>
      </c>
      <c r="H111" s="2" t="inlineStr">
        <is>
          <t>betmgm</t>
        </is>
      </c>
      <c r="I111" s="4" t="n"/>
      <c r="J111" s="4" t="n"/>
      <c r="K111" s="4" t="n">
        <v>140</v>
      </c>
      <c r="L111" s="4" t="n">
        <v>140</v>
      </c>
      <c r="M111" s="5" t="n">
        <v>6.5</v>
      </c>
      <c r="N111" s="5" t="n">
        <v>6.378447562803811</v>
      </c>
      <c r="O111" s="5" t="n">
        <v>6.5</v>
      </c>
      <c r="P111" s="5" t="n">
        <v>0.1215524371961889</v>
      </c>
      <c r="Q111" s="6" t="n">
        <v>0.309797664571408</v>
      </c>
      <c r="R111" s="6" t="n">
        <v>0.5457490269047534</v>
      </c>
      <c r="S111" s="6" t="n">
        <v>0.4085603112840467</v>
      </c>
      <c r="T111" s="2" t="inlineStr">
        <is>
          <t>Under</t>
        </is>
      </c>
      <c r="U111" s="4" t="n">
        <v>140</v>
      </c>
      <c r="V111" s="2" t="n">
        <v>2.4</v>
      </c>
      <c r="W111" s="4" t="n">
        <v>140</v>
      </c>
      <c r="X111" s="2" t="n">
        <v>1</v>
      </c>
      <c r="Y111" s="5" t="n">
        <v>1.4</v>
      </c>
      <c r="Z111" s="7" t="n">
        <v>100</v>
      </c>
      <c r="AA111" s="7">
        <f>Y111*Z111</f>
        <v/>
      </c>
      <c r="AB111" s="6">
        <f>IF(Z111=0,0,AA111/Z111)</f>
        <v/>
      </c>
      <c r="AC111" s="6" t="n"/>
      <c r="AD111" s="2" t="inlineStr">
        <is>
          <t>Win</t>
        </is>
      </c>
      <c r="AE111" s="6">
        <f>IF((COUNTIF($AD$2:AD111,"Win")+COUNTIF($AD$2:AD111,"Loss"))=0,0,COUNTIF($AD$2:AD111,"Win")/(COUNTIF($AD$2:AD111,"Win")+COUNTIF($AD$2:AD111,"Loss")))</f>
        <v/>
      </c>
      <c r="AF111" s="6">
        <f>SUM($Y$2:Y111)/SUM($X$2:X111)</f>
        <v/>
      </c>
      <c r="AG111" s="5">
        <f>SUM($Y$2:Y111)</f>
        <v/>
      </c>
      <c r="AH111" s="7">
        <f>10000.0+SUM($AA$2:AA111)</f>
        <v/>
      </c>
      <c r="AI111" s="2" t="n">
        <v>2025</v>
      </c>
      <c r="AJ111" s="2" t="inlineStr">
        <is>
          <t>2025-07</t>
        </is>
      </c>
      <c r="AK111" s="2" t="inlineStr">
        <is>
          <t>+121 to +150</t>
        </is>
      </c>
      <c r="AL111" s="2" t="inlineStr">
        <is>
          <t>2025 Validation</t>
        </is>
      </c>
      <c r="AM111" s="6" t="n">
        <v>0.2212840461224343</v>
      </c>
    </row>
    <row r="112">
      <c r="A112" s="2" t="inlineStr">
        <is>
          <t>KPROP-00111</t>
        </is>
      </c>
      <c r="B112" s="3" t="n">
        <v>45867.7990625</v>
      </c>
      <c r="C112" s="3" t="n">
        <v>45867</v>
      </c>
      <c r="D112" s="2" t="inlineStr">
        <is>
          <t>Tyler Glasnow</t>
        </is>
      </c>
      <c r="E112" s="2" t="n">
        <v>119</v>
      </c>
      <c r="F112" s="2" t="n">
        <v>113</v>
      </c>
      <c r="G112" s="2" t="inlineStr">
        <is>
          <t>Away</t>
        </is>
      </c>
      <c r="H112" s="2" t="inlineStr">
        <is>
          <t>draftkings</t>
        </is>
      </c>
      <c r="I112" s="4" t="n"/>
      <c r="J112" s="4" t="n"/>
      <c r="K112" s="4" t="n">
        <v>-145</v>
      </c>
      <c r="L112" s="4" t="n">
        <v>-145</v>
      </c>
      <c r="M112" s="5" t="n">
        <v>7.5</v>
      </c>
      <c r="N112" s="5" t="n">
        <v>6.378447562803811</v>
      </c>
      <c r="O112" s="5" t="n">
        <v>7.5</v>
      </c>
      <c r="P112" s="5" t="n">
        <v>1.121552437196189</v>
      </c>
      <c r="Q112" s="6" t="n">
        <v>0.1666102308783971</v>
      </c>
      <c r="R112" s="6" t="n">
        <v>0.6904427897035411</v>
      </c>
      <c r="S112" s="6" t="n">
        <v>0.5711159737417943</v>
      </c>
      <c r="T112" s="2" t="inlineStr">
        <is>
          <t>Under</t>
        </is>
      </c>
      <c r="U112" s="4" t="n">
        <v>-145</v>
      </c>
      <c r="V112" s="2" t="n">
        <v>1.689655172413793</v>
      </c>
      <c r="W112" s="4" t="n">
        <v>-145</v>
      </c>
      <c r="X112" s="2" t="n">
        <v>1</v>
      </c>
      <c r="Y112" s="5" t="n">
        <v>0.6896551724137931</v>
      </c>
      <c r="Z112" s="7" t="n">
        <v>100</v>
      </c>
      <c r="AA112" s="7">
        <f>Y112*Z112</f>
        <v/>
      </c>
      <c r="AB112" s="6">
        <f>IF(Z112=0,0,AA112/Z112)</f>
        <v/>
      </c>
      <c r="AC112" s="6" t="n"/>
      <c r="AD112" s="2" t="inlineStr">
        <is>
          <t>Win</t>
        </is>
      </c>
      <c r="AE112" s="6">
        <f>IF((COUNTIF($AD$2:AD112,"Win")+COUNTIF($AD$2:AD112,"Loss"))=0,0,COUNTIF($AD$2:AD112,"Win")/(COUNTIF($AD$2:AD112,"Win")+COUNTIF($AD$2:AD112,"Loss")))</f>
        <v/>
      </c>
      <c r="AF112" s="6">
        <f>SUM($Y$2:Y112)/SUM($X$2:X112)</f>
        <v/>
      </c>
      <c r="AG112" s="5">
        <f>SUM($Y$2:Y112)</f>
        <v/>
      </c>
      <c r="AH112" s="7">
        <f>10000.0+SUM($AA$2:AA112)</f>
        <v/>
      </c>
      <c r="AI112" s="2" t="n">
        <v>2025</v>
      </c>
      <c r="AJ112" s="2" t="inlineStr">
        <is>
          <t>2025-07</t>
        </is>
      </c>
      <c r="AK112" s="2" t="inlineStr">
        <is>
          <t>-149 to -120</t>
        </is>
      </c>
      <c r="AL112" s="2" t="inlineStr">
        <is>
          <t>2025 Validation</t>
        </is>
      </c>
      <c r="AM112" s="6" t="n">
        <v>0.2415848347736758</v>
      </c>
    </row>
    <row r="113">
      <c r="A113" s="2" t="inlineStr">
        <is>
          <t>KPROP-00112</t>
        </is>
      </c>
      <c r="B113" s="3" t="n">
        <v>45868.59071759259</v>
      </c>
      <c r="C113" s="3" t="n">
        <v>45868</v>
      </c>
      <c r="D113" s="2" t="inlineStr">
        <is>
          <t>Freddy Peralta</t>
        </is>
      </c>
      <c r="E113" s="2" t="n">
        <v>158</v>
      </c>
      <c r="F113" s="2" t="n">
        <v>112</v>
      </c>
      <c r="G113" s="2" t="inlineStr">
        <is>
          <t>Home</t>
        </is>
      </c>
      <c r="H113" s="2" t="inlineStr">
        <is>
          <t>fanatics</t>
        </is>
      </c>
      <c r="I113" s="4" t="n"/>
      <c r="J113" s="4" t="n"/>
      <c r="K113" s="4" t="n">
        <v>-120</v>
      </c>
      <c r="L113" s="4" t="n">
        <v>-120</v>
      </c>
      <c r="M113" s="5" t="n">
        <v>6.5</v>
      </c>
      <c r="N113" s="5" t="n">
        <v>5.577709282925079</v>
      </c>
      <c r="O113" s="5" t="n">
        <v>6.5</v>
      </c>
      <c r="P113" s="5" t="n">
        <v>0.9222907170749206</v>
      </c>
      <c r="Q113" s="6" t="n">
        <v>0.2352738057343162</v>
      </c>
      <c r="R113" s="6" t="n">
        <v>0.6737857122187179</v>
      </c>
      <c r="S113" s="6" t="n">
        <v>0.5338983050847457</v>
      </c>
      <c r="T113" s="2" t="inlineStr">
        <is>
          <t>Under</t>
        </is>
      </c>
      <c r="U113" s="4" t="n">
        <v>-120</v>
      </c>
      <c r="V113" s="2" t="n">
        <v>1.833333333333333</v>
      </c>
      <c r="W113" s="4" t="n">
        <v>-120</v>
      </c>
      <c r="X113" s="2" t="n">
        <v>1</v>
      </c>
      <c r="Y113" s="5" t="n">
        <v>0.8333333333333335</v>
      </c>
      <c r="Z113" s="7" t="n">
        <v>100</v>
      </c>
      <c r="AA113" s="7">
        <f>Y113*Z113</f>
        <v/>
      </c>
      <c r="AB113" s="6">
        <f>IF(Z113=0,0,AA113/Z113)</f>
        <v/>
      </c>
      <c r="AC113" s="6" t="n"/>
      <c r="AD113" s="2" t="inlineStr">
        <is>
          <t>Win</t>
        </is>
      </c>
      <c r="AE113" s="6">
        <f>IF((COUNTIF($AD$2:AD113,"Win")+COUNTIF($AD$2:AD113,"Loss"))=0,0,COUNTIF($AD$2:AD113,"Win")/(COUNTIF($AD$2:AD113,"Win")+COUNTIF($AD$2:AD113,"Loss")))</f>
        <v/>
      </c>
      <c r="AF113" s="6">
        <f>SUM($Y$2:Y113)/SUM($X$2:X113)</f>
        <v/>
      </c>
      <c r="AG113" s="5">
        <f>SUM($Y$2:Y113)</f>
        <v/>
      </c>
      <c r="AH113" s="7">
        <f>10000.0+SUM($AA$2:AA113)</f>
        <v/>
      </c>
      <c r="AI113" s="2" t="n">
        <v>2025</v>
      </c>
      <c r="AJ113" s="2" t="inlineStr">
        <is>
          <t>2025-07</t>
        </is>
      </c>
      <c r="AK113" s="2" t="inlineStr">
        <is>
          <t>-149 to -120</t>
        </is>
      </c>
      <c r="AL113" s="2" t="inlineStr">
        <is>
          <t>2025 Validation</t>
        </is>
      </c>
      <c r="AM113" s="6" t="n">
        <v>0.2823285668811794</v>
      </c>
    </row>
    <row r="114">
      <c r="A114" s="2" t="inlineStr">
        <is>
          <t>KPROP-00113</t>
        </is>
      </c>
      <c r="B114" s="3" t="n">
        <v>45868.65668981482</v>
      </c>
      <c r="C114" s="3" t="n">
        <v>45868</v>
      </c>
      <c r="D114" s="2" t="inlineStr">
        <is>
          <t>Logan Webb</t>
        </is>
      </c>
      <c r="E114" s="2" t="n">
        <v>137</v>
      </c>
      <c r="F114" s="2" t="n">
        <v>134</v>
      </c>
      <c r="G114" s="2" t="inlineStr">
        <is>
          <t>Home</t>
        </is>
      </c>
      <c r="H114" s="2" t="inlineStr">
        <is>
          <t>betrivers</t>
        </is>
      </c>
      <c r="I114" s="4" t="n"/>
      <c r="J114" s="4" t="n"/>
      <c r="K114" s="4" t="n">
        <v>132</v>
      </c>
      <c r="L114" s="4" t="n">
        <v>132</v>
      </c>
      <c r="M114" s="5" t="n">
        <v>5.5</v>
      </c>
      <c r="N114" s="5" t="n">
        <v>5.518872471384635</v>
      </c>
      <c r="O114" s="5" t="n">
        <v>5.5</v>
      </c>
      <c r="P114" s="5" t="n">
        <v>-0.01887247138463533</v>
      </c>
      <c r="Q114" s="6" t="n">
        <v>0.2195932297884008</v>
      </c>
      <c r="R114" s="6" t="n">
        <v>0.5256867369777589</v>
      </c>
      <c r="S114" s="6" t="n">
        <v>0.4090768755788824</v>
      </c>
      <c r="T114" s="2" t="inlineStr">
        <is>
          <t>Under</t>
        </is>
      </c>
      <c r="U114" s="4" t="n">
        <v>132</v>
      </c>
      <c r="V114" s="2" t="n">
        <v>2.32</v>
      </c>
      <c r="W114" s="4" t="n">
        <v>132</v>
      </c>
      <c r="X114" s="2" t="n">
        <v>1</v>
      </c>
      <c r="Y114" s="5" t="n">
        <v>-1</v>
      </c>
      <c r="Z114" s="7" t="n">
        <v>100</v>
      </c>
      <c r="AA114" s="7">
        <f>Y114*Z114</f>
        <v/>
      </c>
      <c r="AB114" s="6">
        <f>IF(Z114=0,0,AA114/Z114)</f>
        <v/>
      </c>
      <c r="AC114" s="6" t="n"/>
      <c r="AD114" s="2" t="inlineStr">
        <is>
          <t>Loss</t>
        </is>
      </c>
      <c r="AE114" s="6">
        <f>IF((COUNTIF($AD$2:AD114,"Win")+COUNTIF($AD$2:AD114,"Loss"))=0,0,COUNTIF($AD$2:AD114,"Win")/(COUNTIF($AD$2:AD114,"Win")+COUNTIF($AD$2:AD114,"Loss")))</f>
        <v/>
      </c>
      <c r="AF114" s="6">
        <f>SUM($Y$2:Y114)/SUM($X$2:X114)</f>
        <v/>
      </c>
      <c r="AG114" s="5">
        <f>SUM($Y$2:Y114)</f>
        <v/>
      </c>
      <c r="AH114" s="7">
        <f>10000.0+SUM($AA$2:AA114)</f>
        <v/>
      </c>
      <c r="AI114" s="2" t="n">
        <v>2025</v>
      </c>
      <c r="AJ114" s="2" t="inlineStr">
        <is>
          <t>2025-07</t>
        </is>
      </c>
      <c r="AK114" s="2" t="inlineStr">
        <is>
          <t>+121 to +150</t>
        </is>
      </c>
      <c r="AL114" s="2" t="inlineStr">
        <is>
          <t>2025 Validation</t>
        </is>
      </c>
      <c r="AM114" s="6" t="n">
        <v>0.1663585074154551</v>
      </c>
    </row>
    <row r="115">
      <c r="A115" s="2" t="inlineStr">
        <is>
          <t>KPROP-00114</t>
        </is>
      </c>
      <c r="B115" s="3" t="n">
        <v>45868.65668981482</v>
      </c>
      <c r="C115" s="3" t="n">
        <v>45868</v>
      </c>
      <c r="D115" s="2" t="inlineStr">
        <is>
          <t>Logan Webb</t>
        </is>
      </c>
      <c r="E115" s="2" t="n">
        <v>137</v>
      </c>
      <c r="F115" s="2" t="n">
        <v>134</v>
      </c>
      <c r="G115" s="2" t="inlineStr">
        <is>
          <t>Home</t>
        </is>
      </c>
      <c r="H115" s="2" t="inlineStr">
        <is>
          <t>draftkings</t>
        </is>
      </c>
      <c r="I115" s="4" t="n"/>
      <c r="J115" s="4" t="n"/>
      <c r="K115" s="4" t="n">
        <v>-130</v>
      </c>
      <c r="L115" s="4" t="n">
        <v>-130</v>
      </c>
      <c r="M115" s="5" t="n">
        <v>6.5</v>
      </c>
      <c r="N115" s="5" t="n">
        <v>5.518872471384635</v>
      </c>
      <c r="O115" s="5" t="n">
        <v>6.5</v>
      </c>
      <c r="P115" s="5" t="n">
        <v>0.9811275286153647</v>
      </c>
      <c r="Q115" s="6" t="n">
        <v>0.2085054156931355</v>
      </c>
      <c r="R115" s="6" t="n">
        <v>0.6830682784352505</v>
      </c>
      <c r="S115" s="6" t="n">
        <v>0.5450949367088608</v>
      </c>
      <c r="T115" s="2" t="inlineStr">
        <is>
          <t>Under</t>
        </is>
      </c>
      <c r="U115" s="4" t="n">
        <v>-130</v>
      </c>
      <c r="V115" s="2" t="n">
        <v>1.769230769230769</v>
      </c>
      <c r="W115" s="4" t="n">
        <v>-130</v>
      </c>
      <c r="X115" s="2" t="n">
        <v>1</v>
      </c>
      <c r="Y115" s="5" t="n">
        <v>-1</v>
      </c>
      <c r="Z115" s="7" t="n">
        <v>100</v>
      </c>
      <c r="AA115" s="7">
        <f>Y115*Z115</f>
        <v/>
      </c>
      <c r="AB115" s="6">
        <f>IF(Z115=0,0,AA115/Z115)</f>
        <v/>
      </c>
      <c r="AC115" s="6" t="n"/>
      <c r="AD115" s="2" t="inlineStr">
        <is>
          <t>Loss</t>
        </is>
      </c>
      <c r="AE115" s="6">
        <f>IF((COUNTIF($AD$2:AD115,"Win")+COUNTIF($AD$2:AD115,"Loss"))=0,0,COUNTIF($AD$2:AD115,"Win")/(COUNTIF($AD$2:AD115,"Win")+COUNTIF($AD$2:AD115,"Loss")))</f>
        <v/>
      </c>
      <c r="AF115" s="6">
        <f>SUM($Y$2:Y115)/SUM($X$2:X115)</f>
        <v/>
      </c>
      <c r="AG115" s="5">
        <f>SUM($Y$2:Y115)</f>
        <v/>
      </c>
      <c r="AH115" s="7">
        <f>10000.0+SUM($AA$2:AA115)</f>
        <v/>
      </c>
      <c r="AI115" s="2" t="n">
        <v>2025</v>
      </c>
      <c r="AJ115" s="2" t="inlineStr">
        <is>
          <t>2025-07</t>
        </is>
      </c>
      <c r="AK115" s="2" t="inlineStr">
        <is>
          <t>-149 to -120</t>
        </is>
      </c>
      <c r="AL115" s="2" t="inlineStr">
        <is>
          <t>2025 Validation</t>
        </is>
      </c>
      <c r="AM115" s="6" t="n">
        <v>0.2710570404010762</v>
      </c>
    </row>
    <row r="116">
      <c r="A116" s="2" t="inlineStr">
        <is>
          <t>KPROP-00115</t>
        </is>
      </c>
      <c r="B116" s="3" t="n">
        <v>45868.59071759259</v>
      </c>
      <c r="C116" s="3" t="n">
        <v>45868</v>
      </c>
      <c r="D116" s="2" t="inlineStr">
        <is>
          <t>MacKenzie Gore</t>
        </is>
      </c>
      <c r="E116" s="2" t="n">
        <v>120</v>
      </c>
      <c r="F116" s="2" t="n">
        <v>117</v>
      </c>
      <c r="G116" s="2" t="inlineStr">
        <is>
          <t>Away</t>
        </is>
      </c>
      <c r="H116" s="2" t="inlineStr">
        <is>
          <t>bovada</t>
        </is>
      </c>
      <c r="I116" s="4" t="n"/>
      <c r="J116" s="4" t="n"/>
      <c r="K116" s="4" t="n">
        <v>-130</v>
      </c>
      <c r="L116" s="4" t="n">
        <v>-130</v>
      </c>
      <c r="M116" s="5" t="n">
        <v>6.5</v>
      </c>
      <c r="N116" s="5" t="n">
        <v>5.748692796713245</v>
      </c>
      <c r="O116" s="5" t="n">
        <v>6.5</v>
      </c>
      <c r="P116" s="5" t="n">
        <v>0.7513072032867552</v>
      </c>
      <c r="Q116" s="6" t="n">
        <v>0.1439780980317831</v>
      </c>
      <c r="R116" s="6" t="n">
        <v>0.646596316278834</v>
      </c>
      <c r="S116" s="6" t="n">
        <v>0.5485770363101079</v>
      </c>
      <c r="T116" s="2" t="inlineStr">
        <is>
          <t>Under</t>
        </is>
      </c>
      <c r="U116" s="4" t="n">
        <v>-130</v>
      </c>
      <c r="V116" s="2" t="n">
        <v>1.769230769230769</v>
      </c>
      <c r="W116" s="4" t="n">
        <v>-130</v>
      </c>
      <c r="X116" s="2" t="n">
        <v>1</v>
      </c>
      <c r="Y116" s="5" t="n">
        <v>0.7692307692307692</v>
      </c>
      <c r="Z116" s="7" t="n">
        <v>100</v>
      </c>
      <c r="AA116" s="7">
        <f>Y116*Z116</f>
        <v/>
      </c>
      <c r="AB116" s="6">
        <f>IF(Z116=0,0,AA116/Z116)</f>
        <v/>
      </c>
      <c r="AC116" s="6" t="n"/>
      <c r="AD116" s="2" t="inlineStr">
        <is>
          <t>Win</t>
        </is>
      </c>
      <c r="AE116" s="6">
        <f>IF((COUNTIF($AD$2:AD116,"Win")+COUNTIF($AD$2:AD116,"Loss"))=0,0,COUNTIF($AD$2:AD116,"Win")/(COUNTIF($AD$2:AD116,"Win")+COUNTIF($AD$2:AD116,"Loss")))</f>
        <v/>
      </c>
      <c r="AF116" s="6">
        <f>SUM($Y$2:Y116)/SUM($X$2:X116)</f>
        <v/>
      </c>
      <c r="AG116" s="5">
        <f>SUM($Y$2:Y116)</f>
        <v/>
      </c>
      <c r="AH116" s="7">
        <f>10000.0+SUM($AA$2:AA116)</f>
        <v/>
      </c>
      <c r="AI116" s="2" t="n">
        <v>2025</v>
      </c>
      <c r="AJ116" s="2" t="inlineStr">
        <is>
          <t>2025-07</t>
        </is>
      </c>
      <c r="AK116" s="2" t="inlineStr">
        <is>
          <t>-149 to -120</t>
        </is>
      </c>
      <c r="AL116" s="2" t="inlineStr">
        <is>
          <t>2025 Validation</t>
        </is>
      </c>
      <c r="AM116" s="6" t="n">
        <v>0.1871715274413181</v>
      </c>
    </row>
    <row r="117">
      <c r="A117" s="2" t="inlineStr">
        <is>
          <t>KPROP-00116</t>
        </is>
      </c>
      <c r="B117" s="3" t="n">
        <v>45868.59071759259</v>
      </c>
      <c r="C117" s="3" t="n">
        <v>45868</v>
      </c>
      <c r="D117" s="2" t="inlineStr">
        <is>
          <t>Shota Imanaga</t>
        </is>
      </c>
      <c r="E117" s="2" t="n">
        <v>112</v>
      </c>
      <c r="F117" s="2" t="n">
        <v>158</v>
      </c>
      <c r="G117" s="2" t="inlineStr">
        <is>
          <t>Away</t>
        </is>
      </c>
      <c r="H117" s="2" t="inlineStr">
        <is>
          <t>bovada</t>
        </is>
      </c>
      <c r="I117" s="4" t="n"/>
      <c r="J117" s="4" t="n"/>
      <c r="K117" s="4" t="n">
        <v>-130</v>
      </c>
      <c r="L117" s="4" t="n">
        <v>-130</v>
      </c>
      <c r="M117" s="5" t="n">
        <v>4.5</v>
      </c>
      <c r="N117" s="5" t="n">
        <v>3.995026572821108</v>
      </c>
      <c r="O117" s="5" t="n">
        <v>4.5</v>
      </c>
      <c r="P117" s="5" t="n">
        <v>0.5049734271788924</v>
      </c>
      <c r="Q117" s="6" t="n">
        <v>0.1142767128079585</v>
      </c>
      <c r="R117" s="6" t="n">
        <v>0.6298085768044983</v>
      </c>
      <c r="S117" s="6" t="n">
        <v>0.5485770363101079</v>
      </c>
      <c r="T117" s="2" t="inlineStr">
        <is>
          <t>Under</t>
        </is>
      </c>
      <c r="U117" s="4" t="n">
        <v>-130</v>
      </c>
      <c r="V117" s="2" t="n">
        <v>1.769230769230769</v>
      </c>
      <c r="W117" s="4" t="n">
        <v>-130</v>
      </c>
      <c r="X117" s="2" t="n">
        <v>1</v>
      </c>
      <c r="Y117" s="5" t="n">
        <v>-1</v>
      </c>
      <c r="Z117" s="7" t="n">
        <v>100</v>
      </c>
      <c r="AA117" s="7">
        <f>Y117*Z117</f>
        <v/>
      </c>
      <c r="AB117" s="6">
        <f>IF(Z117=0,0,AA117/Z117)</f>
        <v/>
      </c>
      <c r="AC117" s="6" t="n"/>
      <c r="AD117" s="2" t="inlineStr">
        <is>
          <t>Loss</t>
        </is>
      </c>
      <c r="AE117" s="6">
        <f>IF((COUNTIF($AD$2:AD117,"Win")+COUNTIF($AD$2:AD117,"Loss"))=0,0,COUNTIF($AD$2:AD117,"Win")/(COUNTIF($AD$2:AD117,"Win")+COUNTIF($AD$2:AD117,"Loss")))</f>
        <v/>
      </c>
      <c r="AF117" s="6">
        <f>SUM($Y$2:Y117)/SUM($X$2:X117)</f>
        <v/>
      </c>
      <c r="AG117" s="5">
        <f>SUM($Y$2:Y117)</f>
        <v/>
      </c>
      <c r="AH117" s="7">
        <f>10000.0+SUM($AA$2:AA117)</f>
        <v/>
      </c>
      <c r="AI117" s="2" t="n">
        <v>2025</v>
      </c>
      <c r="AJ117" s="2" t="inlineStr">
        <is>
          <t>2025-07</t>
        </is>
      </c>
      <c r="AK117" s="2" t="inlineStr">
        <is>
          <t>-149 to -120</t>
        </is>
      </c>
      <c r="AL117" s="2" t="inlineStr">
        <is>
          <t>2025 Validation</t>
        </is>
      </c>
      <c r="AM117" s="6" t="n">
        <v>0.148559726650346</v>
      </c>
    </row>
    <row r="118">
      <c r="A118" s="2" t="inlineStr">
        <is>
          <t>KPROP-00117</t>
        </is>
      </c>
      <c r="B118" s="3" t="n">
        <v>45868.6740625</v>
      </c>
      <c r="C118" s="3" t="n">
        <v>45868</v>
      </c>
      <c r="D118" s="2" t="inlineStr">
        <is>
          <t>Yu Darvish</t>
        </is>
      </c>
      <c r="E118" s="2" t="n">
        <v>135</v>
      </c>
      <c r="F118" s="2" t="n">
        <v>121</v>
      </c>
      <c r="G118" s="2" t="inlineStr">
        <is>
          <t>Home</t>
        </is>
      </c>
      <c r="H118" s="2" t="inlineStr">
        <is>
          <t>fanatics</t>
        </is>
      </c>
      <c r="I118" s="4" t="n"/>
      <c r="J118" s="4" t="n"/>
      <c r="K118" s="4" t="n">
        <v>105</v>
      </c>
      <c r="L118" s="4" t="n">
        <v>105</v>
      </c>
      <c r="M118" s="5" t="n">
        <v>4.5</v>
      </c>
      <c r="N118" s="5" t="n">
        <v>4.260021421593405</v>
      </c>
      <c r="O118" s="5" t="n">
        <v>4.5</v>
      </c>
      <c r="P118" s="5" t="n">
        <v>0.2399785784065953</v>
      </c>
      <c r="Q118" s="6" t="n">
        <v>0.1852601281358762</v>
      </c>
      <c r="R118" s="6" t="n">
        <v>0.5781756722614031</v>
      </c>
      <c r="S118" s="6" t="n">
        <v>0.4721030042918455</v>
      </c>
      <c r="T118" s="2" t="inlineStr">
        <is>
          <t>Under</t>
        </is>
      </c>
      <c r="U118" s="4" t="n">
        <v>105</v>
      </c>
      <c r="V118" s="2" t="n">
        <v>2.05</v>
      </c>
      <c r="W118" s="4" t="n">
        <v>105</v>
      </c>
      <c r="X118" s="2" t="n">
        <v>1</v>
      </c>
      <c r="Y118" s="5" t="n">
        <v>-1</v>
      </c>
      <c r="Z118" s="7" t="n">
        <v>100</v>
      </c>
      <c r="AA118" s="7">
        <f>Y118*Z118</f>
        <v/>
      </c>
      <c r="AB118" s="6">
        <f>IF(Z118=0,0,AA118/Z118)</f>
        <v/>
      </c>
      <c r="AC118" s="6" t="n"/>
      <c r="AD118" s="2" t="inlineStr">
        <is>
          <t>Loss</t>
        </is>
      </c>
      <c r="AE118" s="6">
        <f>IF((COUNTIF($AD$2:AD118,"Win")+COUNTIF($AD$2:AD118,"Loss"))=0,0,COUNTIF($AD$2:AD118,"Win")/(COUNTIF($AD$2:AD118,"Win")+COUNTIF($AD$2:AD118,"Loss")))</f>
        <v/>
      </c>
      <c r="AF118" s="6">
        <f>SUM($Y$2:Y118)/SUM($X$2:X118)</f>
        <v/>
      </c>
      <c r="AG118" s="5">
        <f>SUM($Y$2:Y118)</f>
        <v/>
      </c>
      <c r="AH118" s="7">
        <f>10000.0+SUM($AA$2:AA118)</f>
        <v/>
      </c>
      <c r="AI118" s="2" t="n">
        <v>2025</v>
      </c>
      <c r="AJ118" s="2" t="inlineStr">
        <is>
          <t>2025-07</t>
        </is>
      </c>
      <c r="AK118" s="2" t="inlineStr">
        <is>
          <t>+100 to +120</t>
        </is>
      </c>
      <c r="AL118" s="2" t="inlineStr">
        <is>
          <t>2025 Validation</t>
        </is>
      </c>
      <c r="AM118" s="6" t="n">
        <v>0.1764382172722631</v>
      </c>
    </row>
    <row r="119">
      <c r="A119" s="2" t="inlineStr">
        <is>
          <t>KPROP-00118</t>
        </is>
      </c>
      <c r="B119" s="3" t="n">
        <v>45870.52821759259</v>
      </c>
      <c r="C119" s="3" t="n">
        <v>45870</v>
      </c>
      <c r="D119" s="2" t="inlineStr">
        <is>
          <t>Brady Singer</t>
        </is>
      </c>
      <c r="E119" s="2" t="n">
        <v>113</v>
      </c>
      <c r="F119" s="2" t="n">
        <v>144</v>
      </c>
      <c r="G119" s="2" t="inlineStr">
        <is>
          <t>Home</t>
        </is>
      </c>
      <c r="H119" s="2" t="inlineStr">
        <is>
          <t>betrivers</t>
        </is>
      </c>
      <c r="I119" s="4" t="n"/>
      <c r="J119" s="4" t="n"/>
      <c r="K119" s="4" t="n">
        <v>138</v>
      </c>
      <c r="L119" s="4" t="n">
        <v>138</v>
      </c>
      <c r="M119" s="5" t="n">
        <v>4.5</v>
      </c>
      <c r="N119" s="5" t="n">
        <v>4.532023844399106</v>
      </c>
      <c r="O119" s="5" t="n">
        <v>4.5</v>
      </c>
      <c r="P119" s="5" t="n">
        <v>-0.03202384439910588</v>
      </c>
      <c r="Q119" s="6" t="n">
        <v>0.2519661841732957</v>
      </c>
      <c r="R119" s="6" t="n">
        <v>0.5260362118375193</v>
      </c>
      <c r="S119" s="6" t="n">
        <v>0.3907302613850714</v>
      </c>
      <c r="T119" s="2" t="inlineStr">
        <is>
          <t>Under</t>
        </is>
      </c>
      <c r="U119" s="4" t="n">
        <v>138</v>
      </c>
      <c r="V119" s="2" t="n">
        <v>2.38</v>
      </c>
      <c r="W119" s="4" t="n">
        <v>138</v>
      </c>
      <c r="X119" s="2" t="n">
        <v>1</v>
      </c>
      <c r="Y119" s="5" t="n">
        <v>-1</v>
      </c>
      <c r="Z119" s="7" t="n">
        <v>100</v>
      </c>
      <c r="AA119" s="7">
        <f>Y119*Z119</f>
        <v/>
      </c>
      <c r="AB119" s="6">
        <f>IF(Z119=0,0,AA119/Z119)</f>
        <v/>
      </c>
      <c r="AC119" s="6" t="n"/>
      <c r="AD119" s="2" t="inlineStr">
        <is>
          <t>Loss</t>
        </is>
      </c>
      <c r="AE119" s="6">
        <f>IF((COUNTIF($AD$2:AD119,"Win")+COUNTIF($AD$2:AD119,"Loss"))=0,0,COUNTIF($AD$2:AD119,"Win")/(COUNTIF($AD$2:AD119,"Win")+COUNTIF($AD$2:AD119,"Loss")))</f>
        <v/>
      </c>
      <c r="AF119" s="6">
        <f>SUM($Y$2:Y119)/SUM($X$2:X119)</f>
        <v/>
      </c>
      <c r="AG119" s="5">
        <f>SUM($Y$2:Y119)</f>
        <v/>
      </c>
      <c r="AH119" s="7">
        <f>10000.0+SUM($AA$2:AA119)</f>
        <v/>
      </c>
      <c r="AI119" s="2" t="n">
        <v>2025</v>
      </c>
      <c r="AJ119" s="2" t="inlineStr">
        <is>
          <t>2025-08</t>
        </is>
      </c>
      <c r="AK119" s="2" t="inlineStr">
        <is>
          <t>+121 to +150</t>
        </is>
      </c>
      <c r="AL119" s="2" t="inlineStr">
        <is>
          <t>2025 Validation</t>
        </is>
      </c>
      <c r="AM119" s="6" t="n">
        <v>0.1825841914299245</v>
      </c>
    </row>
    <row r="120">
      <c r="A120" s="2" t="inlineStr">
        <is>
          <t>KPROP-00119</t>
        </is>
      </c>
      <c r="B120" s="3" t="n">
        <v>45870.52821759259</v>
      </c>
      <c r="C120" s="3" t="n">
        <v>45870</v>
      </c>
      <c r="D120" s="2" t="inlineStr">
        <is>
          <t>Brady Singer</t>
        </is>
      </c>
      <c r="E120" s="2" t="n">
        <v>113</v>
      </c>
      <c r="F120" s="2" t="n">
        <v>144</v>
      </c>
      <c r="G120" s="2" t="inlineStr">
        <is>
          <t>Home</t>
        </is>
      </c>
      <c r="H120" s="2" t="inlineStr">
        <is>
          <t>betmgm</t>
        </is>
      </c>
      <c r="I120" s="4" t="n"/>
      <c r="J120" s="4" t="n"/>
      <c r="K120" s="4" t="n">
        <v>-145</v>
      </c>
      <c r="L120" s="4" t="n">
        <v>-145</v>
      </c>
      <c r="M120" s="5" t="n">
        <v>5.5</v>
      </c>
      <c r="N120" s="5" t="n">
        <v>4.532023844399106</v>
      </c>
      <c r="O120" s="5" t="n">
        <v>5.5</v>
      </c>
      <c r="P120" s="5" t="n">
        <v>0.9679761556008941</v>
      </c>
      <c r="Q120" s="6" t="n">
        <v>0.1784506565877731</v>
      </c>
      <c r="R120" s="6" t="n">
        <v>0.6974503885927636</v>
      </c>
      <c r="S120" s="6" t="n">
        <v>0.5656028368794326</v>
      </c>
      <c r="T120" s="2" t="inlineStr">
        <is>
          <t>Under</t>
        </is>
      </c>
      <c r="U120" s="4" t="n">
        <v>-145</v>
      </c>
      <c r="V120" s="2" t="n">
        <v>1.689655172413793</v>
      </c>
      <c r="W120" s="4" t="n">
        <v>-145</v>
      </c>
      <c r="X120" s="2" t="n">
        <v>1</v>
      </c>
      <c r="Y120" s="5" t="n">
        <v>-1</v>
      </c>
      <c r="Z120" s="7" t="n">
        <v>100</v>
      </c>
      <c r="AA120" s="7">
        <f>Y120*Z120</f>
        <v/>
      </c>
      <c r="AB120" s="6">
        <f>IF(Z120=0,0,AA120/Z120)</f>
        <v/>
      </c>
      <c r="AC120" s="6" t="n"/>
      <c r="AD120" s="2" t="inlineStr">
        <is>
          <t>Loss</t>
        </is>
      </c>
      <c r="AE120" s="6">
        <f>IF((COUNTIF($AD$2:AD120,"Win")+COUNTIF($AD$2:AD120,"Loss"))=0,0,COUNTIF($AD$2:AD120,"Win")/(COUNTIF($AD$2:AD120,"Win")+COUNTIF($AD$2:AD120,"Loss")))</f>
        <v/>
      </c>
      <c r="AF120" s="6">
        <f>SUM($Y$2:Y120)/SUM($X$2:X120)</f>
        <v/>
      </c>
      <c r="AG120" s="5">
        <f>SUM($Y$2:Y120)</f>
        <v/>
      </c>
      <c r="AH120" s="7">
        <f>10000.0+SUM($AA$2:AA120)</f>
        <v/>
      </c>
      <c r="AI120" s="2" t="n">
        <v>2025</v>
      </c>
      <c r="AJ120" s="2" t="inlineStr">
        <is>
          <t>2025-08</t>
        </is>
      </c>
      <c r="AK120" s="2" t="inlineStr">
        <is>
          <t>-149 to -120</t>
        </is>
      </c>
      <c r="AL120" s="2" t="inlineStr">
        <is>
          <t>2025 Validation</t>
        </is>
      </c>
      <c r="AM120" s="6" t="n">
        <v>0.258753452052271</v>
      </c>
    </row>
    <row r="121">
      <c r="A121" s="2" t="inlineStr">
        <is>
          <t>KPROP-00120</t>
        </is>
      </c>
      <c r="B121" s="3" t="n">
        <v>45870.81295138889</v>
      </c>
      <c r="C121" s="3" t="n">
        <v>45870</v>
      </c>
      <c r="D121" s="2" t="inlineStr">
        <is>
          <t>Clayton Kershaw</t>
        </is>
      </c>
      <c r="E121" s="2" t="n">
        <v>119</v>
      </c>
      <c r="F121" s="2" t="n">
        <v>139</v>
      </c>
      <c r="G121" s="2" t="inlineStr">
        <is>
          <t>Away</t>
        </is>
      </c>
      <c r="H121" s="2" t="inlineStr">
        <is>
          <t>fanduel</t>
        </is>
      </c>
      <c r="I121" s="4" t="n"/>
      <c r="J121" s="4" t="n"/>
      <c r="K121" s="4" t="n">
        <v>128</v>
      </c>
      <c r="L121" s="4" t="n">
        <v>128</v>
      </c>
      <c r="M121" s="5" t="n">
        <v>3.5</v>
      </c>
      <c r="N121" s="5" t="n">
        <v>3.565221619115904</v>
      </c>
      <c r="O121" s="5" t="n">
        <v>3.5</v>
      </c>
      <c r="P121" s="5" t="n">
        <v>-0.06522161911590407</v>
      </c>
      <c r="Q121" s="6" t="n">
        <v>0.1915885493472639</v>
      </c>
      <c r="R121" s="6" t="n">
        <v>0.522626556731256</v>
      </c>
      <c r="S121" s="6" t="n">
        <v>0.4222972972972973</v>
      </c>
      <c r="T121" s="2" t="inlineStr">
        <is>
          <t>Under</t>
        </is>
      </c>
      <c r="U121" s="4" t="n">
        <v>128</v>
      </c>
      <c r="V121" s="2" t="n">
        <v>2.28</v>
      </c>
      <c r="W121" s="4" t="n">
        <v>128</v>
      </c>
      <c r="X121" s="2" t="n">
        <v>1</v>
      </c>
      <c r="Y121" s="5" t="n">
        <v>1.28</v>
      </c>
      <c r="Z121" s="7" t="n">
        <v>100</v>
      </c>
      <c r="AA121" s="7">
        <f>Y121*Z121</f>
        <v/>
      </c>
      <c r="AB121" s="6">
        <f>IF(Z121=0,0,AA121/Z121)</f>
        <v/>
      </c>
      <c r="AC121" s="6" t="n"/>
      <c r="AD121" s="2" t="inlineStr">
        <is>
          <t>Win</t>
        </is>
      </c>
      <c r="AE121" s="6">
        <f>IF((COUNTIF($AD$2:AD121,"Win")+COUNTIF($AD$2:AD121,"Loss"))=0,0,COUNTIF($AD$2:AD121,"Win")/(COUNTIF($AD$2:AD121,"Win")+COUNTIF($AD$2:AD121,"Loss")))</f>
        <v/>
      </c>
      <c r="AF121" s="6">
        <f>SUM($Y$2:Y121)/SUM($X$2:X121)</f>
        <v/>
      </c>
      <c r="AG121" s="5">
        <f>SUM($Y$2:Y121)</f>
        <v/>
      </c>
      <c r="AH121" s="7">
        <f>10000.0+SUM($AA$2:AA121)</f>
        <v/>
      </c>
      <c r="AI121" s="2" t="n">
        <v>2025</v>
      </c>
      <c r="AJ121" s="2" t="inlineStr">
        <is>
          <t>2025-08</t>
        </is>
      </c>
      <c r="AK121" s="2" t="inlineStr">
        <is>
          <t>+121 to +150</t>
        </is>
      </c>
      <c r="AL121" s="2" t="inlineStr">
        <is>
          <t>2025 Validation</t>
        </is>
      </c>
      <c r="AM121" s="6" t="n">
        <v>0.1496785541775499</v>
      </c>
    </row>
    <row r="122">
      <c r="A122" s="2" t="inlineStr">
        <is>
          <t>KPROP-00121</t>
        </is>
      </c>
      <c r="B122" s="3" t="n">
        <v>45870.81295138889</v>
      </c>
      <c r="C122" s="3" t="n">
        <v>45870</v>
      </c>
      <c r="D122" s="2" t="inlineStr">
        <is>
          <t>Clayton Kershaw</t>
        </is>
      </c>
      <c r="E122" s="2" t="n">
        <v>119</v>
      </c>
      <c r="F122" s="2" t="n">
        <v>139</v>
      </c>
      <c r="G122" s="2" t="inlineStr">
        <is>
          <t>Away</t>
        </is>
      </c>
      <c r="H122" s="2" t="inlineStr">
        <is>
          <t>betmgm</t>
        </is>
      </c>
      <c r="I122" s="4" t="n"/>
      <c r="J122" s="4" t="n"/>
      <c r="K122" s="4" t="n">
        <v>-160</v>
      </c>
      <c r="L122" s="4" t="n">
        <v>-160</v>
      </c>
      <c r="M122" s="5" t="n">
        <v>4.5</v>
      </c>
      <c r="N122" s="5" t="n">
        <v>3.565221619115904</v>
      </c>
      <c r="O122" s="5" t="n">
        <v>4.5</v>
      </c>
      <c r="P122" s="5" t="n">
        <v>0.9347783808840959</v>
      </c>
      <c r="Q122" s="6" t="n">
        <v>0.1587478589353142</v>
      </c>
      <c r="R122" s="6" t="n">
        <v>0.7130756054986549</v>
      </c>
      <c r="S122" s="6" t="n">
        <v>0.5962732919254659</v>
      </c>
      <c r="T122" s="2" t="inlineStr">
        <is>
          <t>Under</t>
        </is>
      </c>
      <c r="U122" s="4" t="n">
        <v>-160</v>
      </c>
      <c r="V122" s="2" t="n">
        <v>1.625</v>
      </c>
      <c r="W122" s="4" t="n">
        <v>-160</v>
      </c>
      <c r="X122" s="2" t="n">
        <v>1</v>
      </c>
      <c r="Y122" s="5" t="n">
        <v>0.625</v>
      </c>
      <c r="Z122" s="7" t="n">
        <v>100</v>
      </c>
      <c r="AA122" s="7">
        <f>Y122*Z122</f>
        <v/>
      </c>
      <c r="AB122" s="6">
        <f>IF(Z122=0,0,AA122/Z122)</f>
        <v/>
      </c>
      <c r="AC122" s="6" t="n"/>
      <c r="AD122" s="2" t="inlineStr">
        <is>
          <t>Win</t>
        </is>
      </c>
      <c r="AE122" s="6">
        <f>IF((COUNTIF($AD$2:AD122,"Win")+COUNTIF($AD$2:AD122,"Loss"))=0,0,COUNTIF($AD$2:AD122,"Win")/(COUNTIF($AD$2:AD122,"Win")+COUNTIF($AD$2:AD122,"Loss")))</f>
        <v/>
      </c>
      <c r="AF122" s="6">
        <f>SUM($Y$2:Y122)/SUM($X$2:X122)</f>
        <v/>
      </c>
      <c r="AG122" s="5">
        <f>SUM($Y$2:Y122)</f>
        <v/>
      </c>
      <c r="AH122" s="7">
        <f>10000.0+SUM($AA$2:AA122)</f>
        <v/>
      </c>
      <c r="AI122" s="2" t="n">
        <v>2025</v>
      </c>
      <c r="AJ122" s="2" t="inlineStr">
        <is>
          <t>2025-08</t>
        </is>
      </c>
      <c r="AK122" s="2" t="inlineStr">
        <is>
          <t>&lt;= -150</t>
        </is>
      </c>
      <c r="AL122" s="2" t="inlineStr">
        <is>
          <t>2025 Validation</t>
        </is>
      </c>
      <c r="AM122" s="6" t="n">
        <v>0.2539965742965027</v>
      </c>
    </row>
    <row r="123">
      <c r="A123" s="2" t="inlineStr">
        <is>
          <t>KPROP-00122</t>
        </is>
      </c>
      <c r="B123" s="3" t="n">
        <v>45870.79557870371</v>
      </c>
      <c r="C123" s="3" t="n">
        <v>45870</v>
      </c>
      <c r="D123" s="2" t="inlineStr">
        <is>
          <t>Gavin Williams</t>
        </is>
      </c>
      <c r="E123" s="2" t="n">
        <v>114</v>
      </c>
      <c r="F123" s="2" t="n">
        <v>142</v>
      </c>
      <c r="G123" s="2" t="inlineStr">
        <is>
          <t>Home</t>
        </is>
      </c>
      <c r="H123" s="2" t="inlineStr">
        <is>
          <t>betonlineag</t>
        </is>
      </c>
      <c r="I123" s="4" t="n"/>
      <c r="J123" s="4" t="n"/>
      <c r="K123" s="4" t="n">
        <v>136</v>
      </c>
      <c r="L123" s="4" t="n">
        <v>136</v>
      </c>
      <c r="M123" s="5" t="n">
        <v>5.5</v>
      </c>
      <c r="N123" s="5" t="n">
        <v>5.466000295570465</v>
      </c>
      <c r="O123" s="5" t="n">
        <v>5.5</v>
      </c>
      <c r="P123" s="5" t="n">
        <v>0.03399970442953482</v>
      </c>
      <c r="Q123" s="6" t="n">
        <v>0.2620220076753862</v>
      </c>
      <c r="R123" s="6" t="n">
        <v>0.5347550879980449</v>
      </c>
      <c r="S123" s="6" t="n">
        <v>0.4077791718946047</v>
      </c>
      <c r="T123" s="2" t="inlineStr">
        <is>
          <t>Under</t>
        </is>
      </c>
      <c r="U123" s="4" t="n">
        <v>136</v>
      </c>
      <c r="V123" s="2" t="n">
        <v>2.36</v>
      </c>
      <c r="W123" s="4" t="n">
        <v>136</v>
      </c>
      <c r="X123" s="2" t="n">
        <v>1</v>
      </c>
      <c r="Y123" s="5" t="n">
        <v>-1</v>
      </c>
      <c r="Z123" s="7" t="n">
        <v>100</v>
      </c>
      <c r="AA123" s="7">
        <f>Y123*Z123</f>
        <v/>
      </c>
      <c r="AB123" s="6">
        <f>IF(Z123=0,0,AA123/Z123)</f>
        <v/>
      </c>
      <c r="AC123" s="6" t="n"/>
      <c r="AD123" s="2" t="inlineStr">
        <is>
          <t>Loss</t>
        </is>
      </c>
      <c r="AE123" s="6">
        <f>IF((COUNTIF($AD$2:AD123,"Win")+COUNTIF($AD$2:AD123,"Loss"))=0,0,COUNTIF($AD$2:AD123,"Win")/(COUNTIF($AD$2:AD123,"Win")+COUNTIF($AD$2:AD123,"Loss")))</f>
        <v/>
      </c>
      <c r="AF123" s="6">
        <f>SUM($Y$2:Y123)/SUM($X$2:X123)</f>
        <v/>
      </c>
      <c r="AG123" s="5">
        <f>SUM($Y$2:Y123)</f>
        <v/>
      </c>
      <c r="AH123" s="7">
        <f>10000.0+SUM($AA$2:AA123)</f>
        <v/>
      </c>
      <c r="AI123" s="2" t="n">
        <v>2025</v>
      </c>
      <c r="AJ123" s="2" t="inlineStr">
        <is>
          <t>2025-08</t>
        </is>
      </c>
      <c r="AK123" s="2" t="inlineStr">
        <is>
          <t>+121 to +150</t>
        </is>
      </c>
      <c r="AL123" s="2" t="inlineStr">
        <is>
          <t>2025 Validation</t>
        </is>
      </c>
      <c r="AM123" s="6" t="n">
        <v>0.1926632409377839</v>
      </c>
    </row>
    <row r="124">
      <c r="A124" s="2" t="inlineStr">
        <is>
          <t>KPROP-00123</t>
        </is>
      </c>
      <c r="B124" s="3" t="n">
        <v>45870.79557870371</v>
      </c>
      <c r="C124" s="3" t="n">
        <v>45870</v>
      </c>
      <c r="D124" s="2" t="inlineStr">
        <is>
          <t>Gavin Williams</t>
        </is>
      </c>
      <c r="E124" s="2" t="n">
        <v>114</v>
      </c>
      <c r="F124" s="2" t="n">
        <v>142</v>
      </c>
      <c r="G124" s="2" t="inlineStr">
        <is>
          <t>Home</t>
        </is>
      </c>
      <c r="H124" s="2" t="inlineStr">
        <is>
          <t>fanatics</t>
        </is>
      </c>
      <c r="I124" s="4" t="n"/>
      <c r="J124" s="4" t="n"/>
      <c r="K124" s="4" t="n">
        <v>-160</v>
      </c>
      <c r="L124" s="4" t="n">
        <v>-160</v>
      </c>
      <c r="M124" s="5" t="n">
        <v>6.5</v>
      </c>
      <c r="N124" s="5" t="n">
        <v>5.466000295570465</v>
      </c>
      <c r="O124" s="5" t="n">
        <v>6.5</v>
      </c>
      <c r="P124" s="5" t="n">
        <v>1.033999704429535</v>
      </c>
      <c r="Q124" s="6" t="n">
        <v>0.1234753893735973</v>
      </c>
      <c r="R124" s="6" t="n">
        <v>0.6913694703837522</v>
      </c>
      <c r="S124" s="6" t="n">
        <v>0.5751633986928104</v>
      </c>
      <c r="T124" s="2" t="inlineStr">
        <is>
          <t>Under</t>
        </is>
      </c>
      <c r="U124" s="4" t="n">
        <v>-160</v>
      </c>
      <c r="V124" s="2" t="n">
        <v>1.625</v>
      </c>
      <c r="W124" s="4" t="n">
        <v>-160</v>
      </c>
      <c r="X124" s="2" t="n">
        <v>1</v>
      </c>
      <c r="Y124" s="5" t="n">
        <v>-1</v>
      </c>
      <c r="Z124" s="7" t="n">
        <v>100</v>
      </c>
      <c r="AA124" s="7">
        <f>Y124*Z124</f>
        <v/>
      </c>
      <c r="AB124" s="6">
        <f>IF(Z124=0,0,AA124/Z124)</f>
        <v/>
      </c>
      <c r="AC124" s="6" t="n"/>
      <c r="AD124" s="2" t="inlineStr">
        <is>
          <t>Loss</t>
        </is>
      </c>
      <c r="AE124" s="6">
        <f>IF((COUNTIF($AD$2:AD124,"Win")+COUNTIF($AD$2:AD124,"Loss"))=0,0,COUNTIF($AD$2:AD124,"Win")/(COUNTIF($AD$2:AD124,"Win")+COUNTIF($AD$2:AD124,"Loss")))</f>
        <v/>
      </c>
      <c r="AF124" s="6">
        <f>SUM($Y$2:Y124)/SUM($X$2:X124)</f>
        <v/>
      </c>
      <c r="AG124" s="5">
        <f>SUM($Y$2:Y124)</f>
        <v/>
      </c>
      <c r="AH124" s="7">
        <f>10000.0+SUM($AA$2:AA124)</f>
        <v/>
      </c>
      <c r="AI124" s="2" t="n">
        <v>2025</v>
      </c>
      <c r="AJ124" s="2" t="inlineStr">
        <is>
          <t>2025-08</t>
        </is>
      </c>
      <c r="AK124" s="2" t="inlineStr">
        <is>
          <t>&lt;= -150</t>
        </is>
      </c>
      <c r="AL124" s="2" t="inlineStr">
        <is>
          <t>2025 Validation</t>
        </is>
      </c>
      <c r="AM124" s="6" t="n">
        <v>0.1975606229977557</v>
      </c>
    </row>
    <row r="125">
      <c r="A125" s="2" t="inlineStr">
        <is>
          <t>KPROP-00124</t>
        </is>
      </c>
      <c r="B125" s="3" t="n">
        <v>45870.77821759259</v>
      </c>
      <c r="C125" s="3" t="n">
        <v>45870</v>
      </c>
      <c r="D125" s="2" t="inlineStr">
        <is>
          <t>Jack Flaherty</t>
        </is>
      </c>
      <c r="E125" s="2" t="n">
        <v>116</v>
      </c>
      <c r="F125" s="2" t="n">
        <v>143</v>
      </c>
      <c r="G125" s="2" t="inlineStr">
        <is>
          <t>Away</t>
        </is>
      </c>
      <c r="H125" s="2" t="inlineStr">
        <is>
          <t>fanduel</t>
        </is>
      </c>
      <c r="I125" s="4" t="n"/>
      <c r="J125" s="4" t="n"/>
      <c r="K125" s="4" t="n">
        <v>-130</v>
      </c>
      <c r="L125" s="4" t="n">
        <v>-130</v>
      </c>
      <c r="M125" s="5" t="n">
        <v>6.5</v>
      </c>
      <c r="N125" s="5" t="n">
        <v>5.933528931354221</v>
      </c>
      <c r="O125" s="5" t="n">
        <v>6.5</v>
      </c>
      <c r="P125" s="5" t="n">
        <v>0.5664710686457788</v>
      </c>
      <c r="Q125" s="6" t="n">
        <v>0.09157691567779824</v>
      </c>
      <c r="R125" s="6" t="n">
        <v>0.6169782566874512</v>
      </c>
      <c r="S125" s="6" t="n">
        <v>0.5542635658914729</v>
      </c>
      <c r="T125" s="2" t="inlineStr">
        <is>
          <t>Under</t>
        </is>
      </c>
      <c r="U125" s="4" t="n">
        <v>-130</v>
      </c>
      <c r="V125" s="2" t="n">
        <v>1.769230769230769</v>
      </c>
      <c r="W125" s="4" t="n">
        <v>-130</v>
      </c>
      <c r="X125" s="2" t="n">
        <v>1</v>
      </c>
      <c r="Y125" s="5" t="n">
        <v>-1</v>
      </c>
      <c r="Z125" s="7" t="n">
        <v>100</v>
      </c>
      <c r="AA125" s="7">
        <f>Y125*Z125</f>
        <v/>
      </c>
      <c r="AB125" s="6">
        <f>IF(Z125=0,0,AA125/Z125)</f>
        <v/>
      </c>
      <c r="AC125" s="6" t="n"/>
      <c r="AD125" s="2" t="inlineStr">
        <is>
          <t>Loss</t>
        </is>
      </c>
      <c r="AE125" s="6">
        <f>IF((COUNTIF($AD$2:AD125,"Win")+COUNTIF($AD$2:AD125,"Loss"))=0,0,COUNTIF($AD$2:AD125,"Win")/(COUNTIF($AD$2:AD125,"Win")+COUNTIF($AD$2:AD125,"Loss")))</f>
        <v/>
      </c>
      <c r="AF125" s="6">
        <f>SUM($Y$2:Y125)/SUM($X$2:X125)</f>
        <v/>
      </c>
      <c r="AG125" s="5">
        <f>SUM($Y$2:Y125)</f>
        <v/>
      </c>
      <c r="AH125" s="7">
        <f>10000.0+SUM($AA$2:AA125)</f>
        <v/>
      </c>
      <c r="AI125" s="2" t="n">
        <v>2025</v>
      </c>
      <c r="AJ125" s="2" t="inlineStr">
        <is>
          <t>2025-08</t>
        </is>
      </c>
      <c r="AK125" s="2" t="inlineStr">
        <is>
          <t>-149 to -120</t>
        </is>
      </c>
      <c r="AL125" s="2" t="inlineStr">
        <is>
          <t>2025 Validation</t>
        </is>
      </c>
      <c r="AM125" s="6" t="n">
        <v>0.1190499903811377</v>
      </c>
    </row>
    <row r="126">
      <c r="A126" s="2" t="inlineStr">
        <is>
          <t>KPROP-00125</t>
        </is>
      </c>
      <c r="B126" s="3" t="n">
        <v>45870.77821759259</v>
      </c>
      <c r="C126" s="3" t="n">
        <v>45870</v>
      </c>
      <c r="D126" s="2" t="inlineStr">
        <is>
          <t>Ranger Suarez</t>
        </is>
      </c>
      <c r="E126" s="2" t="n">
        <v>143</v>
      </c>
      <c r="F126" s="2" t="n">
        <v>116</v>
      </c>
      <c r="G126" s="2" t="inlineStr">
        <is>
          <t>Home</t>
        </is>
      </c>
      <c r="H126" s="2" t="inlineStr">
        <is>
          <t>fanduel</t>
        </is>
      </c>
      <c r="I126" s="4" t="n"/>
      <c r="J126" s="4" t="n"/>
      <c r="K126" s="4" t="n">
        <v>128</v>
      </c>
      <c r="L126" s="4" t="n">
        <v>128</v>
      </c>
      <c r="M126" s="5" t="n">
        <v>5.5</v>
      </c>
      <c r="N126" s="5" t="n">
        <v>4.949998610623571</v>
      </c>
      <c r="O126" s="5" t="n">
        <v>5.5</v>
      </c>
      <c r="P126" s="5" t="n">
        <v>0.5500013893764288</v>
      </c>
      <c r="Q126" s="6" t="n">
        <v>0.4243924536761166</v>
      </c>
      <c r="R126" s="6" t="n">
        <v>0.6247335323140861</v>
      </c>
      <c r="S126" s="6" t="n">
        <v>0.4236130090188576</v>
      </c>
      <c r="T126" s="2" t="inlineStr">
        <is>
          <t>Under</t>
        </is>
      </c>
      <c r="U126" s="4" t="n">
        <v>128</v>
      </c>
      <c r="V126" s="2" t="n">
        <v>2.28</v>
      </c>
      <c r="W126" s="4" t="n">
        <v>128</v>
      </c>
      <c r="X126" s="2" t="n">
        <v>1</v>
      </c>
      <c r="Y126" s="5" t="n">
        <v>1.28</v>
      </c>
      <c r="Z126" s="7" t="n">
        <v>100</v>
      </c>
      <c r="AA126" s="7">
        <f>Y126*Z126</f>
        <v/>
      </c>
      <c r="AB126" s="6">
        <f>IF(Z126=0,0,AA126/Z126)</f>
        <v/>
      </c>
      <c r="AC126" s="6" t="n"/>
      <c r="AD126" s="2" t="inlineStr">
        <is>
          <t>Win</t>
        </is>
      </c>
      <c r="AE126" s="6">
        <f>IF((COUNTIF($AD$2:AD126,"Win")+COUNTIF($AD$2:AD126,"Loss"))=0,0,COUNTIF($AD$2:AD126,"Win")/(COUNTIF($AD$2:AD126,"Win")+COUNTIF($AD$2:AD126,"Loss")))</f>
        <v/>
      </c>
      <c r="AF126" s="6">
        <f>SUM($Y$2:Y126)/SUM($X$2:X126)</f>
        <v/>
      </c>
      <c r="AG126" s="5">
        <f>SUM($Y$2:Y126)</f>
        <v/>
      </c>
      <c r="AH126" s="7">
        <f>10000.0+SUM($AA$2:AA126)</f>
        <v/>
      </c>
      <c r="AI126" s="2" t="n">
        <v>2025</v>
      </c>
      <c r="AJ126" s="2" t="inlineStr">
        <is>
          <t>2025-08</t>
        </is>
      </c>
      <c r="AK126" s="2" t="inlineStr">
        <is>
          <t>+121 to +150</t>
        </is>
      </c>
      <c r="AL126" s="2" t="inlineStr">
        <is>
          <t>2025 Validation</t>
        </is>
      </c>
      <c r="AM126" s="6" t="n">
        <v>0.331556604434466</v>
      </c>
    </row>
    <row r="127">
      <c r="A127" s="2" t="inlineStr">
        <is>
          <t>KPROP-00126</t>
        </is>
      </c>
      <c r="B127" s="3" t="n">
        <v>45870.77821759259</v>
      </c>
      <c r="C127" s="3" t="n">
        <v>45870</v>
      </c>
      <c r="D127" s="2" t="inlineStr">
        <is>
          <t>Ranger Suarez</t>
        </is>
      </c>
      <c r="E127" s="2" t="n">
        <v>143</v>
      </c>
      <c r="F127" s="2" t="n">
        <v>116</v>
      </c>
      <c r="G127" s="2" t="inlineStr">
        <is>
          <t>Home</t>
        </is>
      </c>
      <c r="H127" s="2" t="inlineStr">
        <is>
          <t>fanatics</t>
        </is>
      </c>
      <c r="I127" s="4" t="n"/>
      <c r="J127" s="4" t="n"/>
      <c r="K127" s="4" t="n">
        <v>-150</v>
      </c>
      <c r="L127" s="4" t="n">
        <v>-150</v>
      </c>
      <c r="M127" s="5" t="n">
        <v>6.5</v>
      </c>
      <c r="N127" s="5" t="n">
        <v>4.949998610623571</v>
      </c>
      <c r="O127" s="5" t="n">
        <v>6.5</v>
      </c>
      <c r="P127" s="5" t="n">
        <v>1.550001389376429</v>
      </c>
      <c r="Q127" s="6" t="n">
        <v>0.2824294017793141</v>
      </c>
      <c r="R127" s="6" t="n">
        <v>0.7694576410675885</v>
      </c>
      <c r="S127" s="6" t="n">
        <v>0.5850622406639003</v>
      </c>
      <c r="T127" s="2" t="inlineStr">
        <is>
          <t>Under</t>
        </is>
      </c>
      <c r="U127" s="4" t="n">
        <v>-150</v>
      </c>
      <c r="V127" s="2" t="n">
        <v>1.666666666666667</v>
      </c>
      <c r="W127" s="4" t="n">
        <v>-150</v>
      </c>
      <c r="X127" s="2" t="n">
        <v>1</v>
      </c>
      <c r="Y127" s="5" t="n">
        <v>0.6666666666666665</v>
      </c>
      <c r="Z127" s="7" t="n">
        <v>100</v>
      </c>
      <c r="AA127" s="7">
        <f>Y127*Z127</f>
        <v/>
      </c>
      <c r="AB127" s="6">
        <f>IF(Z127=0,0,AA127/Z127)</f>
        <v/>
      </c>
      <c r="AC127" s="6" t="n"/>
      <c r="AD127" s="2" t="inlineStr">
        <is>
          <t>Win</t>
        </is>
      </c>
      <c r="AE127" s="6">
        <f>IF((COUNTIF($AD$2:AD127,"Win")+COUNTIF($AD$2:AD127,"Loss"))=0,0,COUNTIF($AD$2:AD127,"Win")/(COUNTIF($AD$2:AD127,"Win")+COUNTIF($AD$2:AD127,"Loss")))</f>
        <v/>
      </c>
      <c r="AF127" s="6">
        <f>SUM($Y$2:Y127)/SUM($X$2:X127)</f>
        <v/>
      </c>
      <c r="AG127" s="5">
        <f>SUM($Y$2:Y127)</f>
        <v/>
      </c>
      <c r="AH127" s="7">
        <f>10000.0+SUM($AA$2:AA127)</f>
        <v/>
      </c>
      <c r="AI127" s="2" t="n">
        <v>2025</v>
      </c>
      <c r="AJ127" s="2" t="inlineStr">
        <is>
          <t>2025-08</t>
        </is>
      </c>
      <c r="AK127" s="2" t="inlineStr">
        <is>
          <t>&lt;= -150</t>
        </is>
      </c>
      <c r="AL127" s="2" t="inlineStr">
        <is>
          <t>2025 Validation</t>
        </is>
      </c>
      <c r="AM127" s="6" t="n">
        <v>0.4236441026689712</v>
      </c>
    </row>
    <row r="128">
      <c r="A128" s="2" t="inlineStr">
        <is>
          <t>KPROP-00127</t>
        </is>
      </c>
      <c r="B128" s="3" t="n">
        <v>45870.7990625</v>
      </c>
      <c r="C128" s="3" t="n">
        <v>45870</v>
      </c>
      <c r="D128" s="2" t="inlineStr">
        <is>
          <t>Robbie Ray</t>
        </is>
      </c>
      <c r="E128" s="2" t="n">
        <v>137</v>
      </c>
      <c r="F128" s="2" t="n">
        <v>121</v>
      </c>
      <c r="G128" s="2" t="inlineStr">
        <is>
          <t>Away</t>
        </is>
      </c>
      <c r="H128" s="2" t="inlineStr">
        <is>
          <t>betrivers</t>
        </is>
      </c>
      <c r="I128" s="4" t="n"/>
      <c r="J128" s="4" t="n"/>
      <c r="K128" s="4" t="n">
        <v>123</v>
      </c>
      <c r="L128" s="4" t="n">
        <v>123</v>
      </c>
      <c r="M128" s="5" t="n">
        <v>5.5</v>
      </c>
      <c r="N128" s="5" t="n">
        <v>5.447075983821574</v>
      </c>
      <c r="O128" s="5" t="n">
        <v>5.5</v>
      </c>
      <c r="P128" s="5" t="n">
        <v>0.05292401617842568</v>
      </c>
      <c r="Q128" s="6" t="n">
        <v>0.1997646423068682</v>
      </c>
      <c r="R128" s="6" t="n">
        <v>0.5380110503618243</v>
      </c>
      <c r="S128" s="6" t="n">
        <v>0.4303859477238532</v>
      </c>
      <c r="T128" s="2" t="inlineStr">
        <is>
          <t>Under</t>
        </is>
      </c>
      <c r="U128" s="4" t="n">
        <v>123</v>
      </c>
      <c r="V128" s="2" t="n">
        <v>2.23</v>
      </c>
      <c r="W128" s="4" t="n">
        <v>123</v>
      </c>
      <c r="X128" s="2" t="n">
        <v>1</v>
      </c>
      <c r="Y128" s="5" t="n">
        <v>-1</v>
      </c>
      <c r="Z128" s="7" t="n">
        <v>100</v>
      </c>
      <c r="AA128" s="7">
        <f>Y128*Z128</f>
        <v/>
      </c>
      <c r="AB128" s="6">
        <f>IF(Z128=0,0,AA128/Z128)</f>
        <v/>
      </c>
      <c r="AC128" s="6" t="n"/>
      <c r="AD128" s="2" t="inlineStr">
        <is>
          <t>Loss</t>
        </is>
      </c>
      <c r="AE128" s="6">
        <f>IF((COUNTIF($AD$2:AD128,"Win")+COUNTIF($AD$2:AD128,"Loss"))=0,0,COUNTIF($AD$2:AD128,"Win")/(COUNTIF($AD$2:AD128,"Win")+COUNTIF($AD$2:AD128,"Loss")))</f>
        <v/>
      </c>
      <c r="AF128" s="6">
        <f>SUM($Y$2:Y128)/SUM($X$2:X128)</f>
        <v/>
      </c>
      <c r="AG128" s="5">
        <f>SUM($Y$2:Y128)</f>
        <v/>
      </c>
      <c r="AH128" s="7">
        <f>10000.0+SUM($AA$2:AA128)</f>
        <v/>
      </c>
      <c r="AI128" s="2" t="n">
        <v>2025</v>
      </c>
      <c r="AJ128" s="2" t="inlineStr">
        <is>
          <t>2025-08</t>
        </is>
      </c>
      <c r="AK128" s="2" t="inlineStr">
        <is>
          <t>+121 to +150</t>
        </is>
      </c>
      <c r="AL128" s="2" t="inlineStr">
        <is>
          <t>2025 Validation</t>
        </is>
      </c>
      <c r="AM128" s="6" t="n">
        <v>0.1624102782982668</v>
      </c>
    </row>
    <row r="129">
      <c r="A129" s="2" t="inlineStr">
        <is>
          <t>KPROP-00128</t>
        </is>
      </c>
      <c r="B129" s="3" t="n">
        <v>45870.7990625</v>
      </c>
      <c r="C129" s="3" t="n">
        <v>45870</v>
      </c>
      <c r="D129" s="2" t="inlineStr">
        <is>
          <t>Robbie Ray</t>
        </is>
      </c>
      <c r="E129" s="2" t="n">
        <v>137</v>
      </c>
      <c r="F129" s="2" t="n">
        <v>121</v>
      </c>
      <c r="G129" s="2" t="inlineStr">
        <is>
          <t>Away</t>
        </is>
      </c>
      <c r="H129" s="2" t="inlineStr">
        <is>
          <t>betmgm</t>
        </is>
      </c>
      <c r="I129" s="4" t="n"/>
      <c r="J129" s="4" t="n"/>
      <c r="K129" s="4" t="n">
        <v>-160</v>
      </c>
      <c r="L129" s="4" t="n">
        <v>-160</v>
      </c>
      <c r="M129" s="5" t="n">
        <v>6.5</v>
      </c>
      <c r="N129" s="5" t="n">
        <v>5.447075983821574</v>
      </c>
      <c r="O129" s="5" t="n">
        <v>6.5</v>
      </c>
      <c r="P129" s="5" t="n">
        <v>1.052924016178426</v>
      </c>
      <c r="Q129" s="6" t="n">
        <v>0.1282870887686164</v>
      </c>
      <c r="R129" s="6" t="n">
        <v>0.6943305161653024</v>
      </c>
      <c r="S129" s="6" t="n">
        <v>0.5859872611464969</v>
      </c>
      <c r="T129" s="2" t="inlineStr">
        <is>
          <t>Under</t>
        </is>
      </c>
      <c r="U129" s="4" t="n">
        <v>-160</v>
      </c>
      <c r="V129" s="2" t="n">
        <v>1.625</v>
      </c>
      <c r="W129" s="4" t="n">
        <v>-160</v>
      </c>
      <c r="X129" s="2" t="n">
        <v>1</v>
      </c>
      <c r="Y129" s="5" t="n">
        <v>0.625</v>
      </c>
      <c r="Z129" s="7" t="n">
        <v>100</v>
      </c>
      <c r="AA129" s="7">
        <f>Y129*Z129</f>
        <v/>
      </c>
      <c r="AB129" s="6">
        <f>IF(Z129=0,0,AA129/Z129)</f>
        <v/>
      </c>
      <c r="AC129" s="6" t="n"/>
      <c r="AD129" s="2" t="inlineStr">
        <is>
          <t>Win</t>
        </is>
      </c>
      <c r="AE129" s="6">
        <f>IF((COUNTIF($AD$2:AD129,"Win")+COUNTIF($AD$2:AD129,"Loss"))=0,0,COUNTIF($AD$2:AD129,"Win")/(COUNTIF($AD$2:AD129,"Win")+COUNTIF($AD$2:AD129,"Loss")))</f>
        <v/>
      </c>
      <c r="AF129" s="6">
        <f>SUM($Y$2:Y129)/SUM($X$2:X129)</f>
        <v/>
      </c>
      <c r="AG129" s="5">
        <f>SUM($Y$2:Y129)</f>
        <v/>
      </c>
      <c r="AH129" s="7">
        <f>10000.0+SUM($AA$2:AA129)</f>
        <v/>
      </c>
      <c r="AI129" s="2" t="n">
        <v>2025</v>
      </c>
      <c r="AJ129" s="2" t="inlineStr">
        <is>
          <t>2025-08</t>
        </is>
      </c>
      <c r="AK129" s="2" t="inlineStr">
        <is>
          <t>&lt;= -150</t>
        </is>
      </c>
      <c r="AL129" s="2" t="inlineStr">
        <is>
          <t>2025 Validation</t>
        </is>
      </c>
      <c r="AM129" s="6" t="n">
        <v>0.2052593420297862</v>
      </c>
    </row>
    <row r="130">
      <c r="A130" s="2" t="inlineStr">
        <is>
          <t>KPROP-00129</t>
        </is>
      </c>
      <c r="B130" s="3" t="n">
        <v>45871.67405092593</v>
      </c>
      <c r="C130" s="3" t="n">
        <v>45871</v>
      </c>
      <c r="D130" s="2" t="inlineStr">
        <is>
          <t>Kodai Senga</t>
        </is>
      </c>
      <c r="E130" s="2" t="n">
        <v>121</v>
      </c>
      <c r="F130" s="2" t="n">
        <v>137</v>
      </c>
      <c r="G130" s="2" t="inlineStr">
        <is>
          <t>Home</t>
        </is>
      </c>
      <c r="H130" s="2" t="inlineStr">
        <is>
          <t>betrivers</t>
        </is>
      </c>
      <c r="I130" s="4" t="n"/>
      <c r="J130" s="4" t="n"/>
      <c r="K130" s="4" t="n">
        <v>123</v>
      </c>
      <c r="L130" s="4" t="n">
        <v>123</v>
      </c>
      <c r="M130" s="5" t="n">
        <v>5.5</v>
      </c>
      <c r="N130" s="5" t="n">
        <v>5.348295220867496</v>
      </c>
      <c r="O130" s="5" t="n">
        <v>5.5</v>
      </c>
      <c r="P130" s="5" t="n">
        <v>0.1517047791325039</v>
      </c>
      <c r="Q130" s="6" t="n">
        <v>0.2378378528652196</v>
      </c>
      <c r="R130" s="6" t="n">
        <v>0.5550842389530133</v>
      </c>
      <c r="S130" s="6" t="n">
        <v>0.4310724025688397</v>
      </c>
      <c r="T130" s="2" t="inlineStr">
        <is>
          <t>Under</t>
        </is>
      </c>
      <c r="U130" s="4" t="n">
        <v>123</v>
      </c>
      <c r="V130" s="2" t="n">
        <v>2.23</v>
      </c>
      <c r="W130" s="4" t="n">
        <v>123</v>
      </c>
      <c r="X130" s="2" t="n">
        <v>1</v>
      </c>
      <c r="Y130" s="5" t="n">
        <v>1.23</v>
      </c>
      <c r="Z130" s="7" t="n">
        <v>100</v>
      </c>
      <c r="AA130" s="7">
        <f>Y130*Z130</f>
        <v/>
      </c>
      <c r="AB130" s="6">
        <f>IF(Z130=0,0,AA130/Z130)</f>
        <v/>
      </c>
      <c r="AC130" s="6" t="n"/>
      <c r="AD130" s="2" t="inlineStr">
        <is>
          <t>Win</t>
        </is>
      </c>
      <c r="AE130" s="6">
        <f>IF((COUNTIF($AD$2:AD130,"Win")+COUNTIF($AD$2:AD130,"Loss"))=0,0,COUNTIF($AD$2:AD130,"Win")/(COUNTIF($AD$2:AD130,"Win")+COUNTIF($AD$2:AD130,"Loss")))</f>
        <v/>
      </c>
      <c r="AF130" s="6">
        <f>SUM($Y$2:Y130)/SUM($X$2:X130)</f>
        <v/>
      </c>
      <c r="AG130" s="5">
        <f>SUM($Y$2:Y130)</f>
        <v/>
      </c>
      <c r="AH130" s="7">
        <f>10000.0+SUM($AA$2:AA130)</f>
        <v/>
      </c>
      <c r="AI130" s="2" t="n">
        <v>2025</v>
      </c>
      <c r="AJ130" s="2" t="inlineStr">
        <is>
          <t>2025-08</t>
        </is>
      </c>
      <c r="AK130" s="2" t="inlineStr">
        <is>
          <t>+121 to +150</t>
        </is>
      </c>
      <c r="AL130" s="2" t="inlineStr">
        <is>
          <t>2025 Validation</t>
        </is>
      </c>
      <c r="AM130" s="6" t="n">
        <v>0.1933641080205038</v>
      </c>
    </row>
    <row r="131">
      <c r="A131" s="2" t="inlineStr">
        <is>
          <t>KPROP-00130</t>
        </is>
      </c>
      <c r="B131" s="3" t="n">
        <v>45871.67405092593</v>
      </c>
      <c r="C131" s="3" t="n">
        <v>45871</v>
      </c>
      <c r="D131" s="2" t="inlineStr">
        <is>
          <t>Kodai Senga</t>
        </is>
      </c>
      <c r="E131" s="2" t="n">
        <v>121</v>
      </c>
      <c r="F131" s="2" t="n">
        <v>137</v>
      </c>
      <c r="G131" s="2" t="inlineStr">
        <is>
          <t>Home</t>
        </is>
      </c>
      <c r="H131" s="2" t="inlineStr">
        <is>
          <t>draftkings</t>
        </is>
      </c>
      <c r="I131" s="4" t="n"/>
      <c r="J131" s="4" t="n"/>
      <c r="K131" s="4" t="n">
        <v>-135</v>
      </c>
      <c r="L131" s="4" t="n">
        <v>-135</v>
      </c>
      <c r="M131" s="5" t="n">
        <v>6.5</v>
      </c>
      <c r="N131" s="5" t="n">
        <v>5.348295220867496</v>
      </c>
      <c r="O131" s="5" t="n">
        <v>6.5</v>
      </c>
      <c r="P131" s="5" t="n">
        <v>1.151704779132504</v>
      </c>
      <c r="Q131" s="6" t="n">
        <v>0.2353856518344751</v>
      </c>
      <c r="R131" s="6" t="n">
        <v>0.7096896297772517</v>
      </c>
      <c r="S131" s="6" t="n">
        <v>0.5582706766917294</v>
      </c>
      <c r="T131" s="2" t="inlineStr">
        <is>
          <t>Under</t>
        </is>
      </c>
      <c r="U131" s="4" t="n">
        <v>-135</v>
      </c>
      <c r="V131" s="2" t="n">
        <v>1.740740740740741</v>
      </c>
      <c r="W131" s="4" t="n">
        <v>-135</v>
      </c>
      <c r="X131" s="2" t="n">
        <v>1</v>
      </c>
      <c r="Y131" s="5" t="n">
        <v>0.7407407407407407</v>
      </c>
      <c r="Z131" s="7" t="n">
        <v>100</v>
      </c>
      <c r="AA131" s="7">
        <f>Y131*Z131</f>
        <v/>
      </c>
      <c r="AB131" s="6">
        <f>IF(Z131=0,0,AA131/Z131)</f>
        <v/>
      </c>
      <c r="AC131" s="6" t="n"/>
      <c r="AD131" s="2" t="inlineStr">
        <is>
          <t>Win</t>
        </is>
      </c>
      <c r="AE131" s="6">
        <f>IF((COUNTIF($AD$2:AD131,"Win")+COUNTIF($AD$2:AD131,"Loss"))=0,0,COUNTIF($AD$2:AD131,"Win")/(COUNTIF($AD$2:AD131,"Win")+COUNTIF($AD$2:AD131,"Loss")))</f>
        <v/>
      </c>
      <c r="AF131" s="6">
        <f>SUM($Y$2:Y131)/SUM($X$2:X131)</f>
        <v/>
      </c>
      <c r="AG131" s="5">
        <f>SUM($Y$2:Y131)</f>
        <v/>
      </c>
      <c r="AH131" s="7">
        <f>10000.0+SUM($AA$2:AA131)</f>
        <v/>
      </c>
      <c r="AI131" s="2" t="n">
        <v>2025</v>
      </c>
      <c r="AJ131" s="2" t="inlineStr">
        <is>
          <t>2025-08</t>
        </is>
      </c>
      <c r="AK131" s="2" t="inlineStr">
        <is>
          <t>-149 to -120</t>
        </is>
      </c>
      <c r="AL131" s="2" t="inlineStr">
        <is>
          <t>2025 Validation</t>
        </is>
      </c>
      <c r="AM131" s="6" t="n">
        <v>0.3177706299765414</v>
      </c>
    </row>
    <row r="132">
      <c r="A132" s="2" t="inlineStr">
        <is>
          <t>KPROP-00131</t>
        </is>
      </c>
      <c r="B132" s="3" t="n">
        <v>45871.67405092593</v>
      </c>
      <c r="C132" s="3" t="n">
        <v>45871</v>
      </c>
      <c r="D132" s="2" t="inlineStr">
        <is>
          <t>Luis Castillo</t>
        </is>
      </c>
      <c r="E132" s="2" t="n">
        <v>136</v>
      </c>
      <c r="F132" s="2" t="n">
        <v>140</v>
      </c>
      <c r="G132" s="2" t="inlineStr">
        <is>
          <t>Home</t>
        </is>
      </c>
      <c r="H132" s="2" t="inlineStr">
        <is>
          <t>fanduel</t>
        </is>
      </c>
      <c r="I132" s="4" t="n"/>
      <c r="J132" s="4" t="n"/>
      <c r="K132" s="4" t="n">
        <v>-112</v>
      </c>
      <c r="L132" s="4" t="n">
        <v>-112</v>
      </c>
      <c r="M132" s="5" t="n">
        <v>5.5</v>
      </c>
      <c r="N132" s="5" t="n">
        <v>5.183314964187366</v>
      </c>
      <c r="O132" s="5" t="n">
        <v>5.5</v>
      </c>
      <c r="P132" s="5" t="n">
        <v>0.3166850358126343</v>
      </c>
      <c r="Q132" s="6" t="n">
        <v>0.1051071821490981</v>
      </c>
      <c r="R132" s="6" t="n">
        <v>0.5838302094372594</v>
      </c>
      <c r="S132" s="6" t="n">
        <v>0.5199275362318841</v>
      </c>
      <c r="T132" s="2" t="inlineStr">
        <is>
          <t>Under</t>
        </is>
      </c>
      <c r="U132" s="4" t="n">
        <v>-112</v>
      </c>
      <c r="V132" s="2" t="n">
        <v>1.892857142857143</v>
      </c>
      <c r="W132" s="4" t="n">
        <v>-112</v>
      </c>
      <c r="X132" s="2" t="n">
        <v>1</v>
      </c>
      <c r="Y132" s="5" t="n">
        <v>0.8928571428571428</v>
      </c>
      <c r="Z132" s="7" t="n">
        <v>100</v>
      </c>
      <c r="AA132" s="7">
        <f>Y132*Z132</f>
        <v/>
      </c>
      <c r="AB132" s="6">
        <f>IF(Z132=0,0,AA132/Z132)</f>
        <v/>
      </c>
      <c r="AC132" s="6" t="n"/>
      <c r="AD132" s="2" t="inlineStr">
        <is>
          <t>Win</t>
        </is>
      </c>
      <c r="AE132" s="6">
        <f>IF((COUNTIF($AD$2:AD132,"Win")+COUNTIF($AD$2:AD132,"Loss"))=0,0,COUNTIF($AD$2:AD132,"Win")/(COUNTIF($AD$2:AD132,"Win")+COUNTIF($AD$2:AD132,"Loss")))</f>
        <v/>
      </c>
      <c r="AF132" s="6">
        <f>SUM($Y$2:Y132)/SUM($X$2:X132)</f>
        <v/>
      </c>
      <c r="AG132" s="5">
        <f>SUM($Y$2:Y132)</f>
        <v/>
      </c>
      <c r="AH132" s="7">
        <f>10000.0+SUM($AA$2:AA132)</f>
        <v/>
      </c>
      <c r="AI132" s="2" t="n">
        <v>2025</v>
      </c>
      <c r="AJ132" s="2" t="inlineStr">
        <is>
          <t>2025-08</t>
        </is>
      </c>
      <c r="AK132" s="2" t="inlineStr">
        <is>
          <t>-119 to -101</t>
        </is>
      </c>
      <c r="AL132" s="2" t="inlineStr">
        <is>
          <t>2025 Validation</t>
        </is>
      </c>
      <c r="AM132" s="6" t="n">
        <v>0.1177200440069899</v>
      </c>
    </row>
    <row r="133">
      <c r="A133" s="2" t="inlineStr">
        <is>
          <t>KPROP-00132</t>
        </is>
      </c>
      <c r="B133" s="3" t="n">
        <v>45871.62891203703</v>
      </c>
      <c r="C133" s="3" t="n">
        <v>45871</v>
      </c>
      <c r="D133" s="2" t="inlineStr">
        <is>
          <t>Max Scherzer</t>
        </is>
      </c>
      <c r="E133" s="2" t="n">
        <v>141</v>
      </c>
      <c r="F133" s="2" t="n">
        <v>118</v>
      </c>
      <c r="G133" s="2" t="inlineStr">
        <is>
          <t>Home</t>
        </is>
      </c>
      <c r="H133" s="2" t="inlineStr">
        <is>
          <t>bovada</t>
        </is>
      </c>
      <c r="I133" s="4" t="n"/>
      <c r="J133" s="4" t="n"/>
      <c r="K133" s="4" t="n">
        <v>-110</v>
      </c>
      <c r="L133" s="4" t="n">
        <v>-110</v>
      </c>
      <c r="M133" s="5" t="n">
        <v>5.5</v>
      </c>
      <c r="N133" s="5" t="n">
        <v>4.661303952402057</v>
      </c>
      <c r="O133" s="5" t="n">
        <v>5.5</v>
      </c>
      <c r="P133" s="5" t="n">
        <v>0.838696047597943</v>
      </c>
      <c r="Q133" s="6" t="n">
        <v>0.2889348051581545</v>
      </c>
      <c r="R133" s="6" t="n">
        <v>0.6751563265114142</v>
      </c>
      <c r="S133" s="6" t="n">
        <v>0.5177956371986223</v>
      </c>
      <c r="T133" s="2" t="inlineStr">
        <is>
          <t>Under</t>
        </is>
      </c>
      <c r="U133" s="4" t="n">
        <v>-110</v>
      </c>
      <c r="V133" s="2" t="n">
        <v>1.909090909090909</v>
      </c>
      <c r="W133" s="4" t="n">
        <v>-110</v>
      </c>
      <c r="X133" s="2" t="n">
        <v>1</v>
      </c>
      <c r="Y133" s="5" t="n">
        <v>0.9090909090909092</v>
      </c>
      <c r="Z133" s="7" t="n">
        <v>100</v>
      </c>
      <c r="AA133" s="7">
        <f>Y133*Z133</f>
        <v/>
      </c>
      <c r="AB133" s="6">
        <f>IF(Z133=0,0,AA133/Z133)</f>
        <v/>
      </c>
      <c r="AC133" s="6" t="n"/>
      <c r="AD133" s="2" t="inlineStr">
        <is>
          <t>Win</t>
        </is>
      </c>
      <c r="AE133" s="6">
        <f>IF((COUNTIF($AD$2:AD133,"Win")+COUNTIF($AD$2:AD133,"Loss"))=0,0,COUNTIF($AD$2:AD133,"Win")/(COUNTIF($AD$2:AD133,"Win")+COUNTIF($AD$2:AD133,"Loss")))</f>
        <v/>
      </c>
      <c r="AF133" s="6">
        <f>SUM($Y$2:Y133)/SUM($X$2:X133)</f>
        <v/>
      </c>
      <c r="AG133" s="5">
        <f>SUM($Y$2:Y133)</f>
        <v/>
      </c>
      <c r="AH133" s="7">
        <f>10000.0+SUM($AA$2:AA133)</f>
        <v/>
      </c>
      <c r="AI133" s="2" t="n">
        <v>2025</v>
      </c>
      <c r="AJ133" s="2" t="inlineStr">
        <is>
          <t>2025-08</t>
        </is>
      </c>
      <c r="AK133" s="2" t="inlineStr">
        <is>
          <t>-119 to -101</t>
        </is>
      </c>
      <c r="AL133" s="2" t="inlineStr">
        <is>
          <t>2025 Validation</t>
        </is>
      </c>
      <c r="AM133" s="6" t="n">
        <v>0.3178282856739699</v>
      </c>
    </row>
    <row r="134">
      <c r="A134" s="2" t="inlineStr">
        <is>
          <t>KPROP-00133</t>
        </is>
      </c>
      <c r="B134" s="3" t="n">
        <v>45871.67057870371</v>
      </c>
      <c r="C134" s="3" t="n">
        <v>45871</v>
      </c>
      <c r="D134" s="2" t="inlineStr">
        <is>
          <t>Zack Wheeler</t>
        </is>
      </c>
      <c r="E134" s="2" t="n">
        <v>143</v>
      </c>
      <c r="F134" s="2" t="n">
        <v>116</v>
      </c>
      <c r="G134" s="2" t="inlineStr">
        <is>
          <t>Home</t>
        </is>
      </c>
      <c r="H134" s="2" t="inlineStr">
        <is>
          <t>fanduel</t>
        </is>
      </c>
      <c r="I134" s="4" t="n"/>
      <c r="J134" s="4" t="n"/>
      <c r="K134" s="4" t="n">
        <v>126</v>
      </c>
      <c r="L134" s="4" t="n">
        <v>126</v>
      </c>
      <c r="M134" s="5" t="n">
        <v>7.5</v>
      </c>
      <c r="N134" s="5" t="n">
        <v>7.837786361489859</v>
      </c>
      <c r="O134" s="5" t="n">
        <v>7.5</v>
      </c>
      <c r="P134" s="5" t="n">
        <v>-0.3377863614898589</v>
      </c>
      <c r="Q134" s="6" t="n">
        <v>0.07536141121604412</v>
      </c>
      <c r="R134" s="6" t="n">
        <v>0.4758236332814355</v>
      </c>
      <c r="S134" s="6" t="n">
        <v>0.4313443565780015</v>
      </c>
      <c r="T134" s="2" t="inlineStr">
        <is>
          <t>Under</t>
        </is>
      </c>
      <c r="U134" s="4" t="n">
        <v>126</v>
      </c>
      <c r="V134" s="2" t="n">
        <v>2.26</v>
      </c>
      <c r="W134" s="4" t="n">
        <v>126</v>
      </c>
      <c r="X134" s="2" t="n">
        <v>1</v>
      </c>
      <c r="Y134" s="5" t="n">
        <v>-1</v>
      </c>
      <c r="Z134" s="7" t="n">
        <v>100</v>
      </c>
      <c r="AA134" s="7">
        <f>Y134*Z134</f>
        <v/>
      </c>
      <c r="AB134" s="6">
        <f>IF(Z134=0,0,AA134/Z134)</f>
        <v/>
      </c>
      <c r="AC134" s="6" t="n"/>
      <c r="AD134" s="2" t="inlineStr">
        <is>
          <t>Loss</t>
        </is>
      </c>
      <c r="AE134" s="6">
        <f>IF((COUNTIF($AD$2:AD134,"Win")+COUNTIF($AD$2:AD134,"Loss"))=0,0,COUNTIF($AD$2:AD134,"Win")/(COUNTIF($AD$2:AD134,"Win")+COUNTIF($AD$2:AD134,"Loss")))</f>
        <v/>
      </c>
      <c r="AF134" s="6">
        <f>SUM($Y$2:Y134)/SUM($X$2:X134)</f>
        <v/>
      </c>
      <c r="AG134" s="5">
        <f>SUM($Y$2:Y134)</f>
        <v/>
      </c>
      <c r="AH134" s="7">
        <f>10000.0+SUM($AA$2:AA134)</f>
        <v/>
      </c>
      <c r="AI134" s="2" t="n">
        <v>2025</v>
      </c>
      <c r="AJ134" s="2" t="inlineStr">
        <is>
          <t>2025-08</t>
        </is>
      </c>
      <c r="AK134" s="2" t="inlineStr">
        <is>
          <t>+121 to +150</t>
        </is>
      </c>
      <c r="AL134" s="2" t="inlineStr">
        <is>
          <t>2025 Validation</t>
        </is>
      </c>
      <c r="AM134" s="6" t="n">
        <v>0.05981064382225725</v>
      </c>
    </row>
    <row r="135">
      <c r="A135" s="2" t="inlineStr">
        <is>
          <t>KPROP-00134</t>
        </is>
      </c>
      <c r="B135" s="3" t="n">
        <v>45872.67405092593</v>
      </c>
      <c r="C135" s="3" t="n">
        <v>45872</v>
      </c>
      <c r="D135" s="2" t="inlineStr">
        <is>
          <t>Jacob deGrom</t>
        </is>
      </c>
      <c r="E135" s="2" t="n">
        <v>140</v>
      </c>
      <c r="F135" s="2" t="n">
        <v>136</v>
      </c>
      <c r="G135" s="2" t="inlineStr">
        <is>
          <t>Away</t>
        </is>
      </c>
      <c r="H135" s="2" t="inlineStr">
        <is>
          <t>draftkings</t>
        </is>
      </c>
      <c r="I135" s="4" t="n"/>
      <c r="J135" s="4" t="n"/>
      <c r="K135" s="4" t="n">
        <v>120</v>
      </c>
      <c r="L135" s="4" t="n">
        <v>120</v>
      </c>
      <c r="M135" s="5" t="n">
        <v>6.5</v>
      </c>
      <c r="N135" s="5" t="n">
        <v>6.430008231964148</v>
      </c>
      <c r="O135" s="5" t="n">
        <v>6.5</v>
      </c>
      <c r="P135" s="5" t="n">
        <v>0.06999176803585172</v>
      </c>
      <c r="Q135" s="6" t="n">
        <v>0.1826640487879553</v>
      </c>
      <c r="R135" s="6" t="n">
        <v>0.5375745676308887</v>
      </c>
      <c r="S135" s="6" t="n">
        <v>0.4457364341085271</v>
      </c>
      <c r="T135" s="2" t="inlineStr">
        <is>
          <t>Under</t>
        </is>
      </c>
      <c r="U135" s="4" t="n">
        <v>120</v>
      </c>
      <c r="V135" s="2" t="n">
        <v>2.2</v>
      </c>
      <c r="W135" s="4" t="n">
        <v>120</v>
      </c>
      <c r="X135" s="2" t="n">
        <v>1</v>
      </c>
      <c r="Y135" s="5" t="n">
        <v>1.2</v>
      </c>
      <c r="Z135" s="7" t="n">
        <v>100</v>
      </c>
      <c r="AA135" s="7">
        <f>Y135*Z135</f>
        <v/>
      </c>
      <c r="AB135" s="6">
        <f>IF(Z135=0,0,AA135/Z135)</f>
        <v/>
      </c>
      <c r="AC135" s="6" t="n"/>
      <c r="AD135" s="2" t="inlineStr">
        <is>
          <t>Win</t>
        </is>
      </c>
      <c r="AE135" s="6">
        <f>IF((COUNTIF($AD$2:AD135,"Win")+COUNTIF($AD$2:AD135,"Loss"))=0,0,COUNTIF($AD$2:AD135,"Win")/(COUNTIF($AD$2:AD135,"Win")+COUNTIF($AD$2:AD135,"Loss")))</f>
        <v/>
      </c>
      <c r="AF135" s="6">
        <f>SUM($Y$2:Y135)/SUM($X$2:X135)</f>
        <v/>
      </c>
      <c r="AG135" s="5">
        <f>SUM($Y$2:Y135)</f>
        <v/>
      </c>
      <c r="AH135" s="7">
        <f>10000.0+SUM($AA$2:AA135)</f>
        <v/>
      </c>
      <c r="AI135" s="2" t="n">
        <v>2025</v>
      </c>
      <c r="AJ135" s="2" t="inlineStr">
        <is>
          <t>2025-08</t>
        </is>
      </c>
      <c r="AK135" s="2" t="inlineStr">
        <is>
          <t>+100 to +120</t>
        </is>
      </c>
      <c r="AL135" s="2" t="inlineStr">
        <is>
          <t>2025 Validation</t>
        </is>
      </c>
      <c r="AM135" s="6" t="n">
        <v>0.1522200406566294</v>
      </c>
    </row>
    <row r="136">
      <c r="A136" s="2" t="inlineStr">
        <is>
          <t>KPROP-00135</t>
        </is>
      </c>
      <c r="B136" s="3" t="n">
        <v>45872.56641203703</v>
      </c>
      <c r="C136" s="3" t="n">
        <v>45872</v>
      </c>
      <c r="D136" s="2" t="inlineStr">
        <is>
          <t>Seth Lugo</t>
        </is>
      </c>
      <c r="E136" s="2" t="n">
        <v>118</v>
      </c>
      <c r="F136" s="2" t="n">
        <v>141</v>
      </c>
      <c r="G136" s="2" t="inlineStr">
        <is>
          <t>Away</t>
        </is>
      </c>
      <c r="H136" s="2" t="inlineStr">
        <is>
          <t>fanduel</t>
        </is>
      </c>
      <c r="I136" s="4" t="n"/>
      <c r="J136" s="4" t="n"/>
      <c r="K136" s="4" t="n">
        <v>-128</v>
      </c>
      <c r="L136" s="4" t="n">
        <v>-128</v>
      </c>
      <c r="M136" s="5" t="n">
        <v>4.5</v>
      </c>
      <c r="N136" s="5" t="n">
        <v>4.018693324457955</v>
      </c>
      <c r="O136" s="5" t="n">
        <v>4.5</v>
      </c>
      <c r="P136" s="5" t="n">
        <v>0.4813066755420445</v>
      </c>
      <c r="Q136" s="6" t="n">
        <v>0.1136106618557338</v>
      </c>
      <c r="R136" s="6" t="n">
        <v>0.62518493297164</v>
      </c>
      <c r="S136" s="6" t="n">
        <v>0.5581395348837209</v>
      </c>
      <c r="T136" s="2" t="inlineStr">
        <is>
          <t>Under</t>
        </is>
      </c>
      <c r="U136" s="4" t="n">
        <v>-128</v>
      </c>
      <c r="V136" s="2" t="n">
        <v>1.78125</v>
      </c>
      <c r="W136" s="4" t="n">
        <v>-128</v>
      </c>
      <c r="X136" s="2" t="n">
        <v>1</v>
      </c>
      <c r="Y136" s="5" t="n">
        <v>0.78125</v>
      </c>
      <c r="Z136" s="7" t="n">
        <v>100</v>
      </c>
      <c r="AA136" s="7">
        <f>Y136*Z136</f>
        <v/>
      </c>
      <c r="AB136" s="6">
        <f>IF(Z136=0,0,AA136/Z136)</f>
        <v/>
      </c>
      <c r="AC136" s="6" t="n"/>
      <c r="AD136" s="2" t="inlineStr">
        <is>
          <t>Win</t>
        </is>
      </c>
      <c r="AE136" s="6">
        <f>IF((COUNTIF($AD$2:AD136,"Win")+COUNTIF($AD$2:AD136,"Loss"))=0,0,COUNTIF($AD$2:AD136,"Win")/(COUNTIF($AD$2:AD136,"Win")+COUNTIF($AD$2:AD136,"Loss")))</f>
        <v/>
      </c>
      <c r="AF136" s="6">
        <f>SUM($Y$2:Y136)/SUM($X$2:X136)</f>
        <v/>
      </c>
      <c r="AG136" s="5">
        <f>SUM($Y$2:Y136)</f>
        <v/>
      </c>
      <c r="AH136" s="7">
        <f>10000.0+SUM($AA$2:AA136)</f>
        <v/>
      </c>
      <c r="AI136" s="2" t="n">
        <v>2025</v>
      </c>
      <c r="AJ136" s="2" t="inlineStr">
        <is>
          <t>2025-08</t>
        </is>
      </c>
      <c r="AK136" s="2" t="inlineStr">
        <is>
          <t>-149 to -120</t>
        </is>
      </c>
      <c r="AL136" s="2" t="inlineStr">
        <is>
          <t>2025 Validation</t>
        </is>
      </c>
      <c r="AM136" s="6" t="n">
        <v>0.1454216471753392</v>
      </c>
    </row>
    <row r="137">
      <c r="A137" s="2" t="inlineStr">
        <is>
          <t>KPROP-00136</t>
        </is>
      </c>
      <c r="B137" s="3" t="n">
        <v>45873.79905092593</v>
      </c>
      <c r="C137" s="3" t="n">
        <v>45873</v>
      </c>
      <c r="D137" s="2" t="inlineStr">
        <is>
          <t>Sean Manaea</t>
        </is>
      </c>
      <c r="E137" s="2" t="n">
        <v>121</v>
      </c>
      <c r="F137" s="2" t="n">
        <v>114</v>
      </c>
      <c r="G137" s="2" t="inlineStr">
        <is>
          <t>Home</t>
        </is>
      </c>
      <c r="H137" s="2" t="inlineStr">
        <is>
          <t>betonlineag</t>
        </is>
      </c>
      <c r="I137" s="4" t="n"/>
      <c r="J137" s="4" t="n"/>
      <c r="K137" s="4" t="n">
        <v>-119</v>
      </c>
      <c r="L137" s="4" t="n">
        <v>-119</v>
      </c>
      <c r="M137" s="5" t="n">
        <v>5.5</v>
      </c>
      <c r="N137" s="5" t="n">
        <v>4.915802823858166</v>
      </c>
      <c r="O137" s="5" t="n">
        <v>5.5</v>
      </c>
      <c r="P137" s="5" t="n">
        <v>0.5841971761418341</v>
      </c>
      <c r="Q137" s="6" t="n">
        <v>0.1607570353124655</v>
      </c>
      <c r="R137" s="6" t="n">
        <v>0.6307309917907917</v>
      </c>
      <c r="S137" s="6" t="n">
        <v>0.5329494561740244</v>
      </c>
      <c r="T137" s="2" t="inlineStr">
        <is>
          <t>Under</t>
        </is>
      </c>
      <c r="U137" s="4" t="n">
        <v>-119</v>
      </c>
      <c r="V137" s="2" t="n">
        <v>1.840336134453782</v>
      </c>
      <c r="W137" s="4" t="n">
        <v>-119</v>
      </c>
      <c r="X137" s="2" t="n">
        <v>1</v>
      </c>
      <c r="Y137" s="5" t="n">
        <v>0.8403361344537816</v>
      </c>
      <c r="Z137" s="7" t="n">
        <v>100</v>
      </c>
      <c r="AA137" s="7">
        <f>Y137*Z137</f>
        <v/>
      </c>
      <c r="AB137" s="6">
        <f>IF(Z137=0,0,AA137/Z137)</f>
        <v/>
      </c>
      <c r="AC137" s="6" t="n"/>
      <c r="AD137" s="2" t="inlineStr">
        <is>
          <t>Win</t>
        </is>
      </c>
      <c r="AE137" s="6">
        <f>IF((COUNTIF($AD$2:AD137,"Win")+COUNTIF($AD$2:AD137,"Loss"))=0,0,COUNTIF($AD$2:AD137,"Win")/(COUNTIF($AD$2:AD137,"Win")+COUNTIF($AD$2:AD137,"Loss")))</f>
        <v/>
      </c>
      <c r="AF137" s="6">
        <f>SUM($Y$2:Y137)/SUM($X$2:X137)</f>
        <v/>
      </c>
      <c r="AG137" s="5">
        <f>SUM($Y$2:Y137)</f>
        <v/>
      </c>
      <c r="AH137" s="7">
        <f>10000.0+SUM($AA$2:AA137)</f>
        <v/>
      </c>
      <c r="AI137" s="2" t="n">
        <v>2025</v>
      </c>
      <c r="AJ137" s="2" t="inlineStr">
        <is>
          <t>2025-08</t>
        </is>
      </c>
      <c r="AK137" s="2" t="inlineStr">
        <is>
          <t>-119 to -101</t>
        </is>
      </c>
      <c r="AL137" s="2" t="inlineStr">
        <is>
          <t>2025 Validation</t>
        </is>
      </c>
      <c r="AM137" s="6" t="n">
        <v>0.191300872021834</v>
      </c>
    </row>
    <row r="138">
      <c r="A138" s="2" t="inlineStr">
        <is>
          <t>KPROP-00137</t>
        </is>
      </c>
      <c r="B138" s="3" t="n">
        <v>45874.77821759259</v>
      </c>
      <c r="C138" s="3" t="n">
        <v>45874</v>
      </c>
      <c r="D138" s="2" t="inlineStr">
        <is>
          <t>Chris Paddack</t>
        </is>
      </c>
      <c r="E138" s="2" t="n">
        <v>116</v>
      </c>
      <c r="F138" s="2" t="n">
        <v>142</v>
      </c>
      <c r="G138" s="2" t="inlineStr">
        <is>
          <t>Home</t>
        </is>
      </c>
      <c r="H138" s="2" t="inlineStr">
        <is>
          <t>betmgm</t>
        </is>
      </c>
      <c r="I138" s="4" t="n"/>
      <c r="J138" s="4" t="n"/>
      <c r="K138" s="4" t="n">
        <v>-115</v>
      </c>
      <c r="L138" s="4" t="n">
        <v>-115</v>
      </c>
      <c r="M138" s="5" t="n">
        <v>4.5</v>
      </c>
      <c r="N138" s="5" t="n">
        <v>4.160437460222093</v>
      </c>
      <c r="O138" s="5" t="n">
        <v>4.5</v>
      </c>
      <c r="P138" s="5" t="n">
        <v>0.3395625397779067</v>
      </c>
      <c r="Q138" s="6" t="n">
        <v>0.117113278371214</v>
      </c>
      <c r="R138" s="6" t="n">
        <v>0.5975257070357657</v>
      </c>
      <c r="S138" s="6" t="n">
        <v>0.5168539325842696</v>
      </c>
      <c r="T138" s="2" t="inlineStr">
        <is>
          <t>Under</t>
        </is>
      </c>
      <c r="U138" s="4" t="n">
        <v>-115</v>
      </c>
      <c r="V138" s="2" t="n">
        <v>1.869565217391304</v>
      </c>
      <c r="W138" s="4" t="n">
        <v>-115</v>
      </c>
      <c r="X138" s="2" t="n">
        <v>1</v>
      </c>
      <c r="Y138" s="5" t="n">
        <v>0.8695652173913042</v>
      </c>
      <c r="Z138" s="7" t="n">
        <v>100</v>
      </c>
      <c r="AA138" s="7">
        <f>Y138*Z138</f>
        <v/>
      </c>
      <c r="AB138" s="6">
        <f>IF(Z138=0,0,AA138/Z138)</f>
        <v/>
      </c>
      <c r="AC138" s="6" t="n"/>
      <c r="AD138" s="2" t="inlineStr">
        <is>
          <t>Win</t>
        </is>
      </c>
      <c r="AE138" s="6">
        <f>IF((COUNTIF($AD$2:AD138,"Win")+COUNTIF($AD$2:AD138,"Loss"))=0,0,COUNTIF($AD$2:AD138,"Win")/(COUNTIF($AD$2:AD138,"Win")+COUNTIF($AD$2:AD138,"Loss")))</f>
        <v/>
      </c>
      <c r="AF138" s="6">
        <f>SUM($Y$2:Y138)/SUM($X$2:X138)</f>
        <v/>
      </c>
      <c r="AG138" s="5">
        <f>SUM($Y$2:Y138)</f>
        <v/>
      </c>
      <c r="AH138" s="7">
        <f>10000.0+SUM($AA$2:AA138)</f>
        <v/>
      </c>
      <c r="AI138" s="2" t="n">
        <v>2025</v>
      </c>
      <c r="AJ138" s="2" t="inlineStr">
        <is>
          <t>2025-08</t>
        </is>
      </c>
      <c r="AK138" s="2" t="inlineStr">
        <is>
          <t>-119 to -101</t>
        </is>
      </c>
      <c r="AL138" s="2" t="inlineStr">
        <is>
          <t>2025 Validation</t>
        </is>
      </c>
      <c r="AM138" s="6" t="n">
        <v>0.1346802701268961</v>
      </c>
    </row>
    <row r="139">
      <c r="A139" s="2" t="inlineStr">
        <is>
          <t>KPROP-00138</t>
        </is>
      </c>
      <c r="B139" s="3" t="n">
        <v>45874.80253472222</v>
      </c>
      <c r="C139" s="3" t="n">
        <v>45874</v>
      </c>
      <c r="D139" s="2" t="inlineStr">
        <is>
          <t>Joey Wentz</t>
        </is>
      </c>
      <c r="E139" s="2" t="n">
        <v>144</v>
      </c>
      <c r="F139" s="2" t="n">
        <v>158</v>
      </c>
      <c r="G139" s="2" t="inlineStr">
        <is>
          <t>Home</t>
        </is>
      </c>
      <c r="H139" s="2" t="inlineStr">
        <is>
          <t>draftkings</t>
        </is>
      </c>
      <c r="I139" s="4" t="n"/>
      <c r="J139" s="4" t="n"/>
      <c r="K139" s="4" t="n">
        <v>-155</v>
      </c>
      <c r="L139" s="4" t="n">
        <v>-155</v>
      </c>
      <c r="M139" s="5" t="n">
        <v>4.5</v>
      </c>
      <c r="N139" s="5" t="n">
        <v>3.888265099335304</v>
      </c>
      <c r="O139" s="5" t="n">
        <v>4.5</v>
      </c>
      <c r="P139" s="5" t="n">
        <v>0.6117349006646959</v>
      </c>
      <c r="Q139" s="6" t="n">
        <v>0.0704319513144771</v>
      </c>
      <c r="R139" s="6" t="n">
        <v>0.6506547155048783</v>
      </c>
      <c r="S139" s="6" t="n">
        <v>0.5850959973966807</v>
      </c>
      <c r="T139" s="2" t="inlineStr">
        <is>
          <t>Under</t>
        </is>
      </c>
      <c r="U139" s="4" t="n">
        <v>-155</v>
      </c>
      <c r="V139" s="2" t="n">
        <v>1.645161290322581</v>
      </c>
      <c r="W139" s="4" t="n">
        <v>-155</v>
      </c>
      <c r="X139" s="2" t="n">
        <v>1</v>
      </c>
      <c r="Y139" s="5" t="n">
        <v>0.6451612903225805</v>
      </c>
      <c r="Z139" s="7" t="n">
        <v>100</v>
      </c>
      <c r="AA139" s="7">
        <f>Y139*Z139</f>
        <v/>
      </c>
      <c r="AB139" s="6">
        <f>IF(Z139=0,0,AA139/Z139)</f>
        <v/>
      </c>
      <c r="AC139" s="6" t="n"/>
      <c r="AD139" s="2" t="inlineStr">
        <is>
          <t>Win</t>
        </is>
      </c>
      <c r="AE139" s="6">
        <f>IF((COUNTIF($AD$2:AD139,"Win")+COUNTIF($AD$2:AD139,"Loss"))=0,0,COUNTIF($AD$2:AD139,"Win")/(COUNTIF($AD$2:AD139,"Win")+COUNTIF($AD$2:AD139,"Loss")))</f>
        <v/>
      </c>
      <c r="AF139" s="6">
        <f>SUM($Y$2:Y139)/SUM($X$2:X139)</f>
        <v/>
      </c>
      <c r="AG139" s="5">
        <f>SUM($Y$2:Y139)</f>
        <v/>
      </c>
      <c r="AH139" s="7">
        <f>10000.0+SUM($AA$2:AA139)</f>
        <v/>
      </c>
      <c r="AI139" s="2" t="n">
        <v>2025</v>
      </c>
      <c r="AJ139" s="2" t="inlineStr">
        <is>
          <t>2025-08</t>
        </is>
      </c>
      <c r="AK139" s="2" t="inlineStr">
        <is>
          <t>&lt;= -150</t>
        </is>
      </c>
      <c r="AL139" s="2" t="inlineStr">
        <is>
          <t>2025 Validation</t>
        </is>
      </c>
      <c r="AM139" s="6" t="n">
        <v>0.1091695245374395</v>
      </c>
    </row>
    <row r="140">
      <c r="A140" s="2" t="inlineStr">
        <is>
          <t>KPROP-00139</t>
        </is>
      </c>
      <c r="B140" s="3" t="n">
        <v>45874.77821759259</v>
      </c>
      <c r="C140" s="3" t="n">
        <v>45874</v>
      </c>
      <c r="D140" s="2" t="inlineStr">
        <is>
          <t>Logan Webb</t>
        </is>
      </c>
      <c r="E140" s="2" t="n">
        <v>137</v>
      </c>
      <c r="F140" s="2" t="n">
        <v>134</v>
      </c>
      <c r="G140" s="2" t="inlineStr">
        <is>
          <t>Away</t>
        </is>
      </c>
      <c r="H140" s="2" t="inlineStr">
        <is>
          <t>betmgm</t>
        </is>
      </c>
      <c r="I140" s="4" t="n"/>
      <c r="J140" s="4" t="n"/>
      <c r="K140" s="4" t="n">
        <v>-135</v>
      </c>
      <c r="L140" s="4" t="n">
        <v>-135</v>
      </c>
      <c r="M140" s="5" t="n">
        <v>6.5</v>
      </c>
      <c r="N140" s="5" t="n">
        <v>5.672790766506145</v>
      </c>
      <c r="O140" s="5" t="n">
        <v>6.5</v>
      </c>
      <c r="P140" s="5" t="n">
        <v>0.8272092334938552</v>
      </c>
      <c r="Q140" s="6" t="n">
        <v>0.1466257277153276</v>
      </c>
      <c r="R140" s="6" t="n">
        <v>0.6586998861343372</v>
      </c>
      <c r="S140" s="6" t="n">
        <v>0.552594002855783</v>
      </c>
      <c r="T140" s="2" t="inlineStr">
        <is>
          <t>Under</t>
        </is>
      </c>
      <c r="U140" s="4" t="n">
        <v>-135</v>
      </c>
      <c r="V140" s="2" t="n">
        <v>1.740740740740741</v>
      </c>
      <c r="W140" s="4" t="n">
        <v>-135</v>
      </c>
      <c r="X140" s="2" t="n">
        <v>1</v>
      </c>
      <c r="Y140" s="5" t="n">
        <v>-1</v>
      </c>
      <c r="Z140" s="7" t="n">
        <v>100</v>
      </c>
      <c r="AA140" s="7">
        <f>Y140*Z140</f>
        <v/>
      </c>
      <c r="AB140" s="6">
        <f>IF(Z140=0,0,AA140/Z140)</f>
        <v/>
      </c>
      <c r="AC140" s="6" t="n"/>
      <c r="AD140" s="2" t="inlineStr">
        <is>
          <t>Loss</t>
        </is>
      </c>
      <c r="AE140" s="6">
        <f>IF((COUNTIF($AD$2:AD140,"Win")+COUNTIF($AD$2:AD140,"Loss"))=0,0,COUNTIF($AD$2:AD140,"Win")/(COUNTIF($AD$2:AD140,"Win")+COUNTIF($AD$2:AD140,"Loss")))</f>
        <v/>
      </c>
      <c r="AF140" s="6">
        <f>SUM($Y$2:Y140)/SUM($X$2:X140)</f>
        <v/>
      </c>
      <c r="AG140" s="5">
        <f>SUM($Y$2:Y140)</f>
        <v/>
      </c>
      <c r="AH140" s="7">
        <f>10000.0+SUM($AA$2:AA140)</f>
        <v/>
      </c>
      <c r="AI140" s="2" t="n">
        <v>2025</v>
      </c>
      <c r="AJ140" s="2" t="inlineStr">
        <is>
          <t>2025-08</t>
        </is>
      </c>
      <c r="AK140" s="2" t="inlineStr">
        <is>
          <t>-149 to -120</t>
        </is>
      </c>
      <c r="AL140" s="2" t="inlineStr">
        <is>
          <t>2025 Validation</t>
        </is>
      </c>
      <c r="AM140" s="6" t="n">
        <v>0.1979447324156923</v>
      </c>
    </row>
    <row r="141">
      <c r="A141" s="2" t="inlineStr">
        <is>
          <t>KPROP-00140</t>
        </is>
      </c>
      <c r="B141" s="3" t="n">
        <v>45874.78170138889</v>
      </c>
      <c r="C141" s="3" t="n">
        <v>45874</v>
      </c>
      <c r="D141" s="2" t="inlineStr">
        <is>
          <t>MacKenzie Gore</t>
        </is>
      </c>
      <c r="E141" s="2" t="n">
        <v>120</v>
      </c>
      <c r="F141" s="2" t="n">
        <v>133</v>
      </c>
      <c r="G141" s="2" t="inlineStr">
        <is>
          <t>Home</t>
        </is>
      </c>
      <c r="H141" s="2" t="inlineStr">
        <is>
          <t>betrivers</t>
        </is>
      </c>
      <c r="I141" s="4" t="n"/>
      <c r="J141" s="4" t="n"/>
      <c r="K141" s="4" t="n">
        <v>118</v>
      </c>
      <c r="L141" s="4" t="n">
        <v>118</v>
      </c>
      <c r="M141" s="5" t="n">
        <v>6.5</v>
      </c>
      <c r="N141" s="5" t="n">
        <v>6.462838832842501</v>
      </c>
      <c r="O141" s="5" t="n">
        <v>6.5</v>
      </c>
      <c r="P141" s="5" t="n">
        <v>0.03716116715749873</v>
      </c>
      <c r="Q141" s="6" t="n">
        <v>0.1605972345683777</v>
      </c>
      <c r="R141" s="6" t="n">
        <v>0.5323840525543018</v>
      </c>
      <c r="S141" s="6" t="n">
        <v>0.4439826185528055</v>
      </c>
      <c r="T141" s="2" t="inlineStr">
        <is>
          <t>Under</t>
        </is>
      </c>
      <c r="U141" s="4" t="n">
        <v>118</v>
      </c>
      <c r="V141" s="2" t="n">
        <v>2.18</v>
      </c>
      <c r="W141" s="4" t="n">
        <v>118</v>
      </c>
      <c r="X141" s="2" t="n">
        <v>1</v>
      </c>
      <c r="Y141" s="5" t="n">
        <v>1.18</v>
      </c>
      <c r="Z141" s="7" t="n">
        <v>100</v>
      </c>
      <c r="AA141" s="7">
        <f>Y141*Z141</f>
        <v/>
      </c>
      <c r="AB141" s="6">
        <f>IF(Z141=0,0,AA141/Z141)</f>
        <v/>
      </c>
      <c r="AC141" s="6" t="n"/>
      <c r="AD141" s="2" t="inlineStr">
        <is>
          <t>Win</t>
        </is>
      </c>
      <c r="AE141" s="6">
        <f>IF((COUNTIF($AD$2:AD141,"Win")+COUNTIF($AD$2:AD141,"Loss"))=0,0,COUNTIF($AD$2:AD141,"Win")/(COUNTIF($AD$2:AD141,"Win")+COUNTIF($AD$2:AD141,"Loss")))</f>
        <v/>
      </c>
      <c r="AF141" s="6">
        <f>SUM($Y$2:Y141)/SUM($X$2:X141)</f>
        <v/>
      </c>
      <c r="AG141" s="5">
        <f>SUM($Y$2:Y141)</f>
        <v/>
      </c>
      <c r="AH141" s="7">
        <f>10000.0+SUM($AA$2:AA141)</f>
        <v/>
      </c>
      <c r="AI141" s="2" t="n">
        <v>2025</v>
      </c>
      <c r="AJ141" s="2" t="inlineStr">
        <is>
          <t>2025-08</t>
        </is>
      </c>
      <c r="AK141" s="2" t="inlineStr">
        <is>
          <t>+100 to +120</t>
        </is>
      </c>
      <c r="AL141" s="2" t="inlineStr">
        <is>
          <t>2025 Validation</t>
        </is>
      </c>
      <c r="AM141" s="6" t="n">
        <v>0.1360993513291337</v>
      </c>
    </row>
    <row r="142">
      <c r="A142" s="2" t="inlineStr">
        <is>
          <t>KPROP-00141</t>
        </is>
      </c>
      <c r="B142" s="3" t="n">
        <v>45874.78170138889</v>
      </c>
      <c r="C142" s="3" t="n">
        <v>45874</v>
      </c>
      <c r="D142" s="2" t="inlineStr">
        <is>
          <t>MacKenzie Gore</t>
        </is>
      </c>
      <c r="E142" s="2" t="n">
        <v>120</v>
      </c>
      <c r="F142" s="2" t="n">
        <v>133</v>
      </c>
      <c r="G142" s="2" t="inlineStr">
        <is>
          <t>Home</t>
        </is>
      </c>
      <c r="H142" s="2" t="inlineStr">
        <is>
          <t>betrivers</t>
        </is>
      </c>
      <c r="I142" s="4" t="n"/>
      <c r="J142" s="4" t="n"/>
      <c r="K142" s="4" t="n">
        <v>-165</v>
      </c>
      <c r="L142" s="4" t="n">
        <v>-165</v>
      </c>
      <c r="M142" s="5" t="n">
        <v>7.5</v>
      </c>
      <c r="N142" s="5" t="n">
        <v>6.462838832842501</v>
      </c>
      <c r="O142" s="5" t="n">
        <v>7.5</v>
      </c>
      <c r="P142" s="5" t="n">
        <v>1.037161167157499</v>
      </c>
      <c r="Q142" s="6" t="n">
        <v>0.0892046785278523</v>
      </c>
      <c r="R142" s="6" t="n">
        <v>0.6781840451211156</v>
      </c>
      <c r="S142" s="6" t="n">
        <v>0.5780254777070064</v>
      </c>
      <c r="T142" s="2" t="inlineStr">
        <is>
          <t>Under</t>
        </is>
      </c>
      <c r="U142" s="4" t="n">
        <v>-165</v>
      </c>
      <c r="V142" s="2" t="n">
        <v>1.606060606060606</v>
      </c>
      <c r="W142" s="4" t="n">
        <v>-165</v>
      </c>
      <c r="X142" s="2" t="n">
        <v>1</v>
      </c>
      <c r="Y142" s="5" t="n">
        <v>0.606060606060606</v>
      </c>
      <c r="Z142" s="7" t="n">
        <v>100</v>
      </c>
      <c r="AA142" s="7">
        <f>Y142*Z142</f>
        <v/>
      </c>
      <c r="AB142" s="6">
        <f>IF(Z142=0,0,AA142/Z142)</f>
        <v/>
      </c>
      <c r="AC142" s="6" t="n"/>
      <c r="AD142" s="2" t="inlineStr">
        <is>
          <t>Win</t>
        </is>
      </c>
      <c r="AE142" s="6">
        <f>IF((COUNTIF($AD$2:AD142,"Win")+COUNTIF($AD$2:AD142,"Loss"))=0,0,COUNTIF($AD$2:AD142,"Win")/(COUNTIF($AD$2:AD142,"Win")+COUNTIF($AD$2:AD142,"Loss")))</f>
        <v/>
      </c>
      <c r="AF142" s="6">
        <f>SUM($Y$2:Y142)/SUM($X$2:X142)</f>
        <v/>
      </c>
      <c r="AG142" s="5">
        <f>SUM($Y$2:Y142)</f>
        <v/>
      </c>
      <c r="AH142" s="7">
        <f>10000.0+SUM($AA$2:AA142)</f>
        <v/>
      </c>
      <c r="AI142" s="2" t="n">
        <v>2025</v>
      </c>
      <c r="AJ142" s="2" t="inlineStr">
        <is>
          <t>2025-08</t>
        </is>
      </c>
      <c r="AK142" s="2" t="inlineStr">
        <is>
          <t>&lt;= -150</t>
        </is>
      </c>
      <c r="AL142" s="2" t="inlineStr">
        <is>
          <t>2025 Validation</t>
        </is>
      </c>
      <c r="AM142" s="6" t="n">
        <v>0.1471877195709563</v>
      </c>
    </row>
    <row r="143">
      <c r="A143" s="2" t="inlineStr">
        <is>
          <t>KPROP-00142</t>
        </is>
      </c>
      <c r="B143" s="3" t="n">
        <v>45875.54905092593</v>
      </c>
      <c r="C143" s="3" t="n">
        <v>45875</v>
      </c>
      <c r="D143" s="2" t="inlineStr">
        <is>
          <t>David Peterson</t>
        </is>
      </c>
      <c r="E143" s="2" t="n">
        <v>121</v>
      </c>
      <c r="F143" s="2" t="n">
        <v>114</v>
      </c>
      <c r="G143" s="2" t="inlineStr">
        <is>
          <t>Home</t>
        </is>
      </c>
      <c r="H143" s="2" t="inlineStr">
        <is>
          <t>bovada</t>
        </is>
      </c>
      <c r="I143" s="4" t="n"/>
      <c r="J143" s="4" t="n"/>
      <c r="K143" s="4" t="n">
        <v>130</v>
      </c>
      <c r="L143" s="4" t="n">
        <v>130</v>
      </c>
      <c r="M143" s="5" t="n">
        <v>4.5</v>
      </c>
      <c r="N143" s="5" t="n">
        <v>4.838191330157199</v>
      </c>
      <c r="O143" s="5" t="n">
        <v>4.5</v>
      </c>
      <c r="P143" s="5" t="n">
        <v>-0.3381913301571986</v>
      </c>
      <c r="Q143" s="6" t="n">
        <v>0.07945715871816328</v>
      </c>
      <c r="R143" s="6" t="n">
        <v>0.4693291994426797</v>
      </c>
      <c r="S143" s="6" t="n">
        <v>0.4214819850441876</v>
      </c>
      <c r="T143" s="2" t="inlineStr">
        <is>
          <t>Under</t>
        </is>
      </c>
      <c r="U143" s="4" t="n">
        <v>130</v>
      </c>
      <c r="V143" s="2" t="n">
        <v>2.3</v>
      </c>
      <c r="W143" s="4" t="n">
        <v>130</v>
      </c>
      <c r="X143" s="2" t="n">
        <v>1</v>
      </c>
      <c r="Y143" s="5" t="n">
        <v>-1</v>
      </c>
      <c r="Z143" s="7" t="n">
        <v>100</v>
      </c>
      <c r="AA143" s="7">
        <f>Y143*Z143</f>
        <v/>
      </c>
      <c r="AB143" s="6">
        <f>IF(Z143=0,0,AA143/Z143)</f>
        <v/>
      </c>
      <c r="AC143" s="6" t="n"/>
      <c r="AD143" s="2" t="inlineStr">
        <is>
          <t>Loss</t>
        </is>
      </c>
      <c r="AE143" s="6">
        <f>IF((COUNTIF($AD$2:AD143,"Win")+COUNTIF($AD$2:AD143,"Loss"))=0,0,COUNTIF($AD$2:AD143,"Win")/(COUNTIF($AD$2:AD143,"Win")+COUNTIF($AD$2:AD143,"Loss")))</f>
        <v/>
      </c>
      <c r="AF143" s="6">
        <f>SUM($Y$2:Y143)/SUM($X$2:X143)</f>
        <v/>
      </c>
      <c r="AG143" s="5">
        <f>SUM($Y$2:Y143)</f>
        <v/>
      </c>
      <c r="AH143" s="7">
        <f>10000.0+SUM($AA$2:AA143)</f>
        <v/>
      </c>
      <c r="AI143" s="2" t="n">
        <v>2025</v>
      </c>
      <c r="AJ143" s="2" t="inlineStr">
        <is>
          <t>2025-08</t>
        </is>
      </c>
      <c r="AK143" s="2" t="inlineStr">
        <is>
          <t>+121 to +150</t>
        </is>
      </c>
      <c r="AL143" s="2" t="inlineStr">
        <is>
          <t>2025 Validation</t>
        </is>
      </c>
      <c r="AM143" s="6" t="n">
        <v>0.06112089132166407</v>
      </c>
    </row>
    <row r="144">
      <c r="A144" s="2" t="inlineStr">
        <is>
          <t>KPROP-00143</t>
        </is>
      </c>
      <c r="B144" s="3" t="n">
        <v>45875.54905092593</v>
      </c>
      <c r="C144" s="3" t="n">
        <v>45875</v>
      </c>
      <c r="D144" s="2" t="inlineStr">
        <is>
          <t>Jack Flaherty</t>
        </is>
      </c>
      <c r="E144" s="2" t="n">
        <v>116</v>
      </c>
      <c r="F144" s="2" t="n">
        <v>142</v>
      </c>
      <c r="G144" s="2" t="inlineStr">
        <is>
          <t>Home</t>
        </is>
      </c>
      <c r="H144" s="2" t="inlineStr">
        <is>
          <t>bovada</t>
        </is>
      </c>
      <c r="I144" s="4" t="n"/>
      <c r="J144" s="4" t="n"/>
      <c r="K144" s="4" t="n">
        <v>-110</v>
      </c>
      <c r="L144" s="4" t="n">
        <v>-110</v>
      </c>
      <c r="M144" s="5" t="n">
        <v>6.5</v>
      </c>
      <c r="N144" s="5" t="n">
        <v>5.955247203130566</v>
      </c>
      <c r="O144" s="5" t="n">
        <v>6.5</v>
      </c>
      <c r="P144" s="5" t="n">
        <v>0.5447527968694343</v>
      </c>
      <c r="Q144" s="6" t="n">
        <v>0.1712095483929886</v>
      </c>
      <c r="R144" s="6" t="n">
        <v>0.6134907158248988</v>
      </c>
      <c r="S144" s="6" t="n">
        <v>0.5056053811659194</v>
      </c>
      <c r="T144" s="2" t="inlineStr">
        <is>
          <t>Under</t>
        </is>
      </c>
      <c r="U144" s="4" t="n">
        <v>-110</v>
      </c>
      <c r="V144" s="2" t="n">
        <v>1.909090909090909</v>
      </c>
      <c r="W144" s="4" t="n">
        <v>-110</v>
      </c>
      <c r="X144" s="2" t="n">
        <v>1</v>
      </c>
      <c r="Y144" s="5" t="n">
        <v>0.9090909090909092</v>
      </c>
      <c r="Z144" s="7" t="n">
        <v>100</v>
      </c>
      <c r="AA144" s="7">
        <f>Y144*Z144</f>
        <v/>
      </c>
      <c r="AB144" s="6">
        <f>IF(Z144=0,0,AA144/Z144)</f>
        <v/>
      </c>
      <c r="AC144" s="6" t="n"/>
      <c r="AD144" s="2" t="inlineStr">
        <is>
          <t>Win</t>
        </is>
      </c>
      <c r="AE144" s="6">
        <f>IF((COUNTIF($AD$2:AD144,"Win")+COUNTIF($AD$2:AD144,"Loss"))=0,0,COUNTIF($AD$2:AD144,"Win")/(COUNTIF($AD$2:AD144,"Win")+COUNTIF($AD$2:AD144,"Loss")))</f>
        <v/>
      </c>
      <c r="AF144" s="6">
        <f>SUM($Y$2:Y144)/SUM($X$2:X144)</f>
        <v/>
      </c>
      <c r="AG144" s="5">
        <f>SUM($Y$2:Y144)</f>
        <v/>
      </c>
      <c r="AH144" s="7">
        <f>10000.0+SUM($AA$2:AA144)</f>
        <v/>
      </c>
      <c r="AI144" s="2" t="n">
        <v>2025</v>
      </c>
      <c r="AJ144" s="2" t="inlineStr">
        <is>
          <t>2025-08</t>
        </is>
      </c>
      <c r="AK144" s="2" t="inlineStr">
        <is>
          <t>-119 to -101</t>
        </is>
      </c>
      <c r="AL144" s="2" t="inlineStr">
        <is>
          <t>2025 Validation</t>
        </is>
      </c>
      <c r="AM144" s="6" t="n">
        <v>0.1883305032322875</v>
      </c>
    </row>
    <row r="145">
      <c r="A145" s="2" t="inlineStr">
        <is>
          <t>KPROP-00144</t>
        </is>
      </c>
      <c r="B145" s="3" t="n">
        <v>45875.77821759259</v>
      </c>
      <c r="C145" s="3" t="n">
        <v>45875</v>
      </c>
      <c r="D145" s="2" t="inlineStr">
        <is>
          <t>Jeffrey Springs</t>
        </is>
      </c>
      <c r="E145" s="2" t="n">
        <v>133</v>
      </c>
      <c r="F145" s="2" t="n">
        <v>120</v>
      </c>
      <c r="G145" s="2" t="inlineStr">
        <is>
          <t>Away</t>
        </is>
      </c>
      <c r="H145" s="2" t="inlineStr">
        <is>
          <t>betrivers</t>
        </is>
      </c>
      <c r="I145" s="4" t="n"/>
      <c r="J145" s="4" t="n"/>
      <c r="K145" s="4" t="n">
        <v>128</v>
      </c>
      <c r="L145" s="4" t="n">
        <v>128</v>
      </c>
      <c r="M145" s="5" t="n">
        <v>4.5</v>
      </c>
      <c r="N145" s="5" t="n">
        <v>4.751704258142656</v>
      </c>
      <c r="O145" s="5" t="n">
        <v>4.5</v>
      </c>
      <c r="P145" s="5" t="n">
        <v>-0.2517042581426558</v>
      </c>
      <c r="Q145" s="6" t="n">
        <v>0.1059934536788661</v>
      </c>
      <c r="R145" s="6" t="n">
        <v>0.4850848481047658</v>
      </c>
      <c r="S145" s="6" t="n">
        <v>0.4132875857766687</v>
      </c>
      <c r="T145" s="2" t="inlineStr">
        <is>
          <t>Under</t>
        </is>
      </c>
      <c r="U145" s="4" t="n">
        <v>128</v>
      </c>
      <c r="V145" s="2" t="n">
        <v>2.28</v>
      </c>
      <c r="W145" s="4" t="n">
        <v>128</v>
      </c>
      <c r="X145" s="2" t="n">
        <v>1</v>
      </c>
      <c r="Y145" s="5" t="n">
        <v>-1</v>
      </c>
      <c r="Z145" s="7" t="n">
        <v>100</v>
      </c>
      <c r="AA145" s="7">
        <f>Y145*Z145</f>
        <v/>
      </c>
      <c r="AB145" s="6">
        <f>IF(Z145=0,0,AA145/Z145)</f>
        <v/>
      </c>
      <c r="AC145" s="6" t="n"/>
      <c r="AD145" s="2" t="inlineStr">
        <is>
          <t>Loss</t>
        </is>
      </c>
      <c r="AE145" s="6">
        <f>IF((COUNTIF($AD$2:AD145,"Win")+COUNTIF($AD$2:AD145,"Loss"))=0,0,COUNTIF($AD$2:AD145,"Win")/(COUNTIF($AD$2:AD145,"Win")+COUNTIF($AD$2:AD145,"Loss")))</f>
        <v/>
      </c>
      <c r="AF145" s="6">
        <f>SUM($Y$2:Y145)/SUM($X$2:X145)</f>
        <v/>
      </c>
      <c r="AG145" s="5">
        <f>SUM($Y$2:Y145)</f>
        <v/>
      </c>
      <c r="AH145" s="7">
        <f>10000.0+SUM($AA$2:AA145)</f>
        <v/>
      </c>
      <c r="AI145" s="2" t="n">
        <v>2025</v>
      </c>
      <c r="AJ145" s="2" t="inlineStr">
        <is>
          <t>2025-08</t>
        </is>
      </c>
      <c r="AK145" s="2" t="inlineStr">
        <is>
          <t>+121 to +150</t>
        </is>
      </c>
      <c r="AL145" s="2" t="inlineStr">
        <is>
          <t>2025 Validation</t>
        </is>
      </c>
      <c r="AM145" s="6" t="n">
        <v>0.08280738568661417</v>
      </c>
    </row>
    <row r="146">
      <c r="A146" s="2" t="inlineStr">
        <is>
          <t>KPROP-00145</t>
        </is>
      </c>
      <c r="B146" s="3" t="n">
        <v>45875.77821759259</v>
      </c>
      <c r="C146" s="3" t="n">
        <v>45875</v>
      </c>
      <c r="D146" s="2" t="inlineStr">
        <is>
          <t>Jeffrey Springs</t>
        </is>
      </c>
      <c r="E146" s="2" t="n">
        <v>133</v>
      </c>
      <c r="F146" s="2" t="n">
        <v>120</v>
      </c>
      <c r="G146" s="2" t="inlineStr">
        <is>
          <t>Away</t>
        </is>
      </c>
      <c r="H146" s="2" t="inlineStr">
        <is>
          <t>bovada</t>
        </is>
      </c>
      <c r="I146" s="4" t="n"/>
      <c r="J146" s="4" t="n"/>
      <c r="K146" s="4" t="n">
        <v>-160</v>
      </c>
      <c r="L146" s="4" t="n">
        <v>-160</v>
      </c>
      <c r="M146" s="5" t="n">
        <v>5.5</v>
      </c>
      <c r="N146" s="5" t="n">
        <v>4.751704258142656</v>
      </c>
      <c r="O146" s="5" t="n">
        <v>5.5</v>
      </c>
      <c r="P146" s="5" t="n">
        <v>0.7482957418573442</v>
      </c>
      <c r="Q146" s="6" t="n">
        <v>0.07158480967558972</v>
      </c>
      <c r="R146" s="6" t="n">
        <v>0.6594368059542091</v>
      </c>
      <c r="S146" s="6" t="n">
        <v>0.5880861850443601</v>
      </c>
      <c r="T146" s="2" t="inlineStr">
        <is>
          <t>Under</t>
        </is>
      </c>
      <c r="U146" s="4" t="n">
        <v>-160</v>
      </c>
      <c r="V146" s="2" t="n">
        <v>1.625</v>
      </c>
      <c r="W146" s="4" t="n">
        <v>-160</v>
      </c>
      <c r="X146" s="2" t="n">
        <v>1</v>
      </c>
      <c r="Y146" s="5" t="n">
        <v>0.625</v>
      </c>
      <c r="Z146" s="7" t="n">
        <v>100</v>
      </c>
      <c r="AA146" s="7">
        <f>Y146*Z146</f>
        <v/>
      </c>
      <c r="AB146" s="6">
        <f>IF(Z146=0,0,AA146/Z146)</f>
        <v/>
      </c>
      <c r="AC146" s="6" t="n"/>
      <c r="AD146" s="2" t="inlineStr">
        <is>
          <t>Win</t>
        </is>
      </c>
      <c r="AE146" s="6">
        <f>IF((COUNTIF($AD$2:AD146,"Win")+COUNTIF($AD$2:AD146,"Loss"))=0,0,COUNTIF($AD$2:AD146,"Win")/(COUNTIF($AD$2:AD146,"Win")+COUNTIF($AD$2:AD146,"Loss")))</f>
        <v/>
      </c>
      <c r="AF146" s="6">
        <f>SUM($Y$2:Y146)/SUM($X$2:X146)</f>
        <v/>
      </c>
      <c r="AG146" s="5">
        <f>SUM($Y$2:Y146)</f>
        <v/>
      </c>
      <c r="AH146" s="7">
        <f>10000.0+SUM($AA$2:AA146)</f>
        <v/>
      </c>
      <c r="AI146" s="2" t="n">
        <v>2025</v>
      </c>
      <c r="AJ146" s="2" t="inlineStr">
        <is>
          <t>2025-08</t>
        </is>
      </c>
      <c r="AK146" s="2" t="inlineStr">
        <is>
          <t>&lt;= -150</t>
        </is>
      </c>
      <c r="AL146" s="2" t="inlineStr">
        <is>
          <t>2025 Validation</t>
        </is>
      </c>
      <c r="AM146" s="6" t="n">
        <v>0.1145356954809436</v>
      </c>
    </row>
    <row r="147">
      <c r="A147" s="2" t="inlineStr">
        <is>
          <t>KPROP-00146</t>
        </is>
      </c>
      <c r="B147" s="3" t="n">
        <v>45875.52474537037</v>
      </c>
      <c r="C147" s="3" t="n">
        <v>45875</v>
      </c>
      <c r="D147" s="2" t="inlineStr">
        <is>
          <t>Ranger Suarez</t>
        </is>
      </c>
      <c r="E147" s="2" t="n">
        <v>143</v>
      </c>
      <c r="F147" s="2" t="n">
        <v>110</v>
      </c>
      <c r="G147" s="2" t="inlineStr">
        <is>
          <t>Home</t>
        </is>
      </c>
      <c r="H147" s="2" t="inlineStr">
        <is>
          <t>betrivers</t>
        </is>
      </c>
      <c r="I147" s="4" t="n"/>
      <c r="J147" s="4" t="n"/>
      <c r="K147" s="4" t="n">
        <v>123</v>
      </c>
      <c r="L147" s="4" t="n">
        <v>123</v>
      </c>
      <c r="M147" s="5" t="n">
        <v>5.5</v>
      </c>
      <c r="N147" s="5" t="n">
        <v>5.464794365390162</v>
      </c>
      <c r="O147" s="5" t="n">
        <v>5.5</v>
      </c>
      <c r="P147" s="5" t="n">
        <v>0.03520563460983794</v>
      </c>
      <c r="Q147" s="6" t="n">
        <v>0.1929661874151332</v>
      </c>
      <c r="R147" s="6" t="n">
        <v>0.5349624158812256</v>
      </c>
      <c r="S147" s="6" t="n">
        <v>0.4245400815782902</v>
      </c>
      <c r="T147" s="2" t="inlineStr">
        <is>
          <t>Under</t>
        </is>
      </c>
      <c r="U147" s="4" t="n">
        <v>123</v>
      </c>
      <c r="V147" s="2" t="n">
        <v>2.23</v>
      </c>
      <c r="W147" s="4" t="n">
        <v>123</v>
      </c>
      <c r="X147" s="2" t="n">
        <v>1</v>
      </c>
      <c r="Y147" s="5" t="n">
        <v>1.23</v>
      </c>
      <c r="Z147" s="7" t="n">
        <v>100</v>
      </c>
      <c r="AA147" s="7">
        <f>Y147*Z147</f>
        <v/>
      </c>
      <c r="AB147" s="6">
        <f>IF(Z147=0,0,AA147/Z147)</f>
        <v/>
      </c>
      <c r="AC147" s="6" t="n"/>
      <c r="AD147" s="2" t="inlineStr">
        <is>
          <t>Win</t>
        </is>
      </c>
      <c r="AE147" s="6">
        <f>IF((COUNTIF($AD$2:AD147,"Win")+COUNTIF($AD$2:AD147,"Loss"))=0,0,COUNTIF($AD$2:AD147,"Win")/(COUNTIF($AD$2:AD147,"Win")+COUNTIF($AD$2:AD147,"Loss")))</f>
        <v/>
      </c>
      <c r="AF147" s="6">
        <f>SUM($Y$2:Y147)/SUM($X$2:X147)</f>
        <v/>
      </c>
      <c r="AG147" s="5">
        <f>SUM($Y$2:Y147)</f>
        <v/>
      </c>
      <c r="AH147" s="7">
        <f>10000.0+SUM($AA$2:AA147)</f>
        <v/>
      </c>
      <c r="AI147" s="2" t="n">
        <v>2025</v>
      </c>
      <c r="AJ147" s="2" t="inlineStr">
        <is>
          <t>2025-08</t>
        </is>
      </c>
      <c r="AK147" s="2" t="inlineStr">
        <is>
          <t>+121 to +150</t>
        </is>
      </c>
      <c r="AL147" s="2" t="inlineStr">
        <is>
          <t>2025 Validation</t>
        </is>
      </c>
      <c r="AM147" s="6" t="n">
        <v>0.1568830791992953</v>
      </c>
    </row>
    <row r="148">
      <c r="A148" s="2" t="inlineStr">
        <is>
          <t>KPROP-00147</t>
        </is>
      </c>
      <c r="B148" s="3" t="n">
        <v>45875.52474537037</v>
      </c>
      <c r="C148" s="3" t="n">
        <v>45875</v>
      </c>
      <c r="D148" s="2" t="inlineStr">
        <is>
          <t>Ranger Suarez</t>
        </is>
      </c>
      <c r="E148" s="2" t="n">
        <v>143</v>
      </c>
      <c r="F148" s="2" t="n">
        <v>110</v>
      </c>
      <c r="G148" s="2" t="inlineStr">
        <is>
          <t>Home</t>
        </is>
      </c>
      <c r="H148" s="2" t="inlineStr">
        <is>
          <t>mybookieag</t>
        </is>
      </c>
      <c r="I148" s="4" t="n"/>
      <c r="J148" s="4" t="n"/>
      <c r="K148" s="4" t="n">
        <v>-133</v>
      </c>
      <c r="L148" s="4" t="n">
        <v>-133</v>
      </c>
      <c r="M148" s="5" t="n">
        <v>6.5</v>
      </c>
      <c r="N148" s="5" t="n">
        <v>5.464794365390162</v>
      </c>
      <c r="O148" s="5" t="n">
        <v>6.5</v>
      </c>
      <c r="P148" s="5" t="n">
        <v>1.035205634609838</v>
      </c>
      <c r="Q148" s="6" t="n">
        <v>0.2115269908689182</v>
      </c>
      <c r="R148" s="6" t="n">
        <v>0.6915583252599404</v>
      </c>
      <c r="S148" s="6" t="n">
        <v>0.5600370097622689</v>
      </c>
      <c r="T148" s="2" t="inlineStr">
        <is>
          <t>Under</t>
        </is>
      </c>
      <c r="U148" s="4" t="n">
        <v>-133</v>
      </c>
      <c r="V148" s="2" t="n">
        <v>1.75187969924812</v>
      </c>
      <c r="W148" s="4" t="n">
        <v>-133</v>
      </c>
      <c r="X148" s="2" t="n">
        <v>1</v>
      </c>
      <c r="Y148" s="5" t="n">
        <v>0.7518796992481203</v>
      </c>
      <c r="Z148" s="7" t="n">
        <v>100</v>
      </c>
      <c r="AA148" s="7">
        <f>Y148*Z148</f>
        <v/>
      </c>
      <c r="AB148" s="6">
        <f>IF(Z148=0,0,AA148/Z148)</f>
        <v/>
      </c>
      <c r="AC148" s="6" t="n"/>
      <c r="AD148" s="2" t="inlineStr">
        <is>
          <t>Win</t>
        </is>
      </c>
      <c r="AE148" s="6">
        <f>IF((COUNTIF($AD$2:AD148,"Win")+COUNTIF($AD$2:AD148,"Loss"))=0,0,COUNTIF($AD$2:AD148,"Win")/(COUNTIF($AD$2:AD148,"Win")+COUNTIF($AD$2:AD148,"Loss")))</f>
        <v/>
      </c>
      <c r="AF148" s="6">
        <f>SUM($Y$2:Y148)/SUM($X$2:X148)</f>
        <v/>
      </c>
      <c r="AG148" s="5">
        <f>SUM($Y$2:Y148)</f>
        <v/>
      </c>
      <c r="AH148" s="7">
        <f>10000.0+SUM($AA$2:AA148)</f>
        <v/>
      </c>
      <c r="AI148" s="2" t="n">
        <v>2025</v>
      </c>
      <c r="AJ148" s="2" t="inlineStr">
        <is>
          <t>2025-08</t>
        </is>
      </c>
      <c r="AK148" s="2" t="inlineStr">
        <is>
          <t>-149 to -120</t>
        </is>
      </c>
      <c r="AL148" s="2" t="inlineStr">
        <is>
          <t>2025 Validation</t>
        </is>
      </c>
      <c r="AM148" s="6" t="n">
        <v>0.2813308978556611</v>
      </c>
    </row>
    <row r="149">
      <c r="A149" s="2" t="inlineStr">
        <is>
          <t>KPROP-00148</t>
        </is>
      </c>
      <c r="B149" s="3" t="n">
        <v>45875.52474537037</v>
      </c>
      <c r="C149" s="3" t="n">
        <v>45875</v>
      </c>
      <c r="D149" s="2" t="inlineStr">
        <is>
          <t>Robbie Ray</t>
        </is>
      </c>
      <c r="E149" s="2" t="n">
        <v>137</v>
      </c>
      <c r="F149" s="2" t="n">
        <v>134</v>
      </c>
      <c r="G149" s="2" t="inlineStr">
        <is>
          <t>Away</t>
        </is>
      </c>
      <c r="H149" s="2" t="inlineStr">
        <is>
          <t>fanduel</t>
        </is>
      </c>
      <c r="I149" s="4" t="n"/>
      <c r="J149" s="4" t="n"/>
      <c r="K149" s="4" t="n">
        <v>108</v>
      </c>
      <c r="L149" s="4" t="n">
        <v>108</v>
      </c>
      <c r="M149" s="5" t="n">
        <v>6.5</v>
      </c>
      <c r="N149" s="5" t="n">
        <v>6.173286769211832</v>
      </c>
      <c r="O149" s="5" t="n">
        <v>6.5</v>
      </c>
      <c r="P149" s="5" t="n">
        <v>0.3267132307881679</v>
      </c>
      <c r="Q149" s="6" t="n">
        <v>0.2032629181531005</v>
      </c>
      <c r="R149" s="6" t="n">
        <v>0.578491787573606</v>
      </c>
      <c r="S149" s="6" t="n">
        <v>0.4639175257731958</v>
      </c>
      <c r="T149" s="2" t="inlineStr">
        <is>
          <t>Under</t>
        </is>
      </c>
      <c r="U149" s="4" t="n">
        <v>108</v>
      </c>
      <c r="V149" s="2" t="n">
        <v>2.08</v>
      </c>
      <c r="W149" s="4" t="n">
        <v>108</v>
      </c>
      <c r="X149" s="2" t="n">
        <v>1</v>
      </c>
      <c r="Y149" s="5" t="n">
        <v>-1</v>
      </c>
      <c r="Z149" s="7" t="n">
        <v>100</v>
      </c>
      <c r="AA149" s="7">
        <f>Y149*Z149</f>
        <v/>
      </c>
      <c r="AB149" s="6">
        <f>IF(Z149=0,0,AA149/Z149)</f>
        <v/>
      </c>
      <c r="AC149" s="6" t="n"/>
      <c r="AD149" s="2" t="inlineStr">
        <is>
          <t>Loss</t>
        </is>
      </c>
      <c r="AE149" s="6">
        <f>IF((COUNTIF($AD$2:AD149,"Win")+COUNTIF($AD$2:AD149,"Loss"))=0,0,COUNTIF($AD$2:AD149,"Win")/(COUNTIF($AD$2:AD149,"Win")+COUNTIF($AD$2:AD149,"Loss")))</f>
        <v/>
      </c>
      <c r="AF149" s="6">
        <f>SUM($Y$2:Y149)/SUM($X$2:X149)</f>
        <v/>
      </c>
      <c r="AG149" s="5">
        <f>SUM($Y$2:Y149)</f>
        <v/>
      </c>
      <c r="AH149" s="7">
        <f>10000.0+SUM($AA$2:AA149)</f>
        <v/>
      </c>
      <c r="AI149" s="2" t="n">
        <v>2025</v>
      </c>
      <c r="AJ149" s="2" t="inlineStr">
        <is>
          <t>2025-08</t>
        </is>
      </c>
      <c r="AK149" s="2" t="inlineStr">
        <is>
          <t>+100 to +120</t>
        </is>
      </c>
      <c r="AL149" s="2" t="inlineStr">
        <is>
          <t>2025 Validation</t>
        </is>
      </c>
      <c r="AM149" s="6" t="n">
        <v>0.1882064056973153</v>
      </c>
    </row>
    <row r="150">
      <c r="A150" s="2" t="inlineStr">
        <is>
          <t>KPROP-00149</t>
        </is>
      </c>
      <c r="B150" s="3" t="n">
        <v>45875.79905092593</v>
      </c>
      <c r="C150" s="3" t="n">
        <v>45875</v>
      </c>
      <c r="D150" s="2" t="inlineStr">
        <is>
          <t>Spencer Strider</t>
        </is>
      </c>
      <c r="E150" s="2" t="n">
        <v>144</v>
      </c>
      <c r="F150" s="2" t="n">
        <v>158</v>
      </c>
      <c r="G150" s="2" t="inlineStr">
        <is>
          <t>Home</t>
        </is>
      </c>
      <c r="H150" s="2" t="inlineStr">
        <is>
          <t>bovada</t>
        </is>
      </c>
      <c r="I150" s="4" t="n"/>
      <c r="J150" s="4" t="n"/>
      <c r="K150" s="4" t="n">
        <v>120</v>
      </c>
      <c r="L150" s="4" t="n">
        <v>120</v>
      </c>
      <c r="M150" s="5" t="n">
        <v>6.5</v>
      </c>
      <c r="N150" s="5" t="n">
        <v>5.905865200057663</v>
      </c>
      <c r="O150" s="5" t="n">
        <v>6.5</v>
      </c>
      <c r="P150" s="5" t="n">
        <v>0.5941347999423368</v>
      </c>
      <c r="Q150" s="6" t="n">
        <v>0.3671223702377141</v>
      </c>
      <c r="R150" s="6" t="n">
        <v>0.6214192591989609</v>
      </c>
      <c r="S150" s="6" t="n">
        <v>0.4343971631205674</v>
      </c>
      <c r="T150" s="2" t="inlineStr">
        <is>
          <t>Under</t>
        </is>
      </c>
      <c r="U150" s="4" t="n">
        <v>120</v>
      </c>
      <c r="V150" s="2" t="n">
        <v>2.2</v>
      </c>
      <c r="W150" s="4" t="n">
        <v>120</v>
      </c>
      <c r="X150" s="2" t="n">
        <v>1</v>
      </c>
      <c r="Y150" s="5" t="n">
        <v>1.2</v>
      </c>
      <c r="Z150" s="7" t="n">
        <v>100</v>
      </c>
      <c r="AA150" s="7">
        <f>Y150*Z150</f>
        <v/>
      </c>
      <c r="AB150" s="6">
        <f>IF(Z150=0,0,AA150/Z150)</f>
        <v/>
      </c>
      <c r="AC150" s="6" t="n"/>
      <c r="AD150" s="2" t="inlineStr">
        <is>
          <t>Win</t>
        </is>
      </c>
      <c r="AE150" s="6">
        <f>IF((COUNTIF($AD$2:AD150,"Win")+COUNTIF($AD$2:AD150,"Loss"))=0,0,COUNTIF($AD$2:AD150,"Win")/(COUNTIF($AD$2:AD150,"Win")+COUNTIF($AD$2:AD150,"Loss")))</f>
        <v/>
      </c>
      <c r="AF150" s="6">
        <f>SUM($Y$2:Y150)/SUM($X$2:X150)</f>
        <v/>
      </c>
      <c r="AG150" s="5">
        <f>SUM($Y$2:Y150)</f>
        <v/>
      </c>
      <c r="AH150" s="7">
        <f>10000.0+SUM($AA$2:AA150)</f>
        <v/>
      </c>
      <c r="AI150" s="2" t="n">
        <v>2025</v>
      </c>
      <c r="AJ150" s="2" t="inlineStr">
        <is>
          <t>2025-08</t>
        </is>
      </c>
      <c r="AK150" s="2" t="inlineStr">
        <is>
          <t>+100 to +120</t>
        </is>
      </c>
      <c r="AL150" s="2" t="inlineStr">
        <is>
          <t>2025 Validation</t>
        </is>
      </c>
      <c r="AM150" s="6" t="n">
        <v>0.3059353085314284</v>
      </c>
    </row>
    <row r="151">
      <c r="A151" s="2" t="inlineStr">
        <is>
          <t>KPROP-00150</t>
        </is>
      </c>
      <c r="B151" s="3" t="n">
        <v>45875.79905092593</v>
      </c>
      <c r="C151" s="3" t="n">
        <v>45875</v>
      </c>
      <c r="D151" s="2" t="inlineStr">
        <is>
          <t>Spencer Strider</t>
        </is>
      </c>
      <c r="E151" s="2" t="n">
        <v>144</v>
      </c>
      <c r="F151" s="2" t="n">
        <v>158</v>
      </c>
      <c r="G151" s="2" t="inlineStr">
        <is>
          <t>Home</t>
        </is>
      </c>
      <c r="H151" s="2" t="inlineStr">
        <is>
          <t>betrivers</t>
        </is>
      </c>
      <c r="I151" s="4" t="n"/>
      <c r="J151" s="4" t="n"/>
      <c r="K151" s="4" t="n">
        <v>-175</v>
      </c>
      <c r="L151" s="4" t="n">
        <v>-175</v>
      </c>
      <c r="M151" s="5" t="n">
        <v>7.5</v>
      </c>
      <c r="N151" s="5" t="n">
        <v>5.905865200057663</v>
      </c>
      <c r="O151" s="5" t="n">
        <v>7.5</v>
      </c>
      <c r="P151" s="5" t="n">
        <v>1.594134799942337</v>
      </c>
      <c r="Q151" s="6" t="n">
        <v>0.1893123177415235</v>
      </c>
      <c r="R151" s="6" t="n">
        <v>0.7568351112900604</v>
      </c>
      <c r="S151" s="6" t="n">
        <v>0.5887850467289719</v>
      </c>
      <c r="T151" s="2" t="inlineStr">
        <is>
          <t>Under</t>
        </is>
      </c>
      <c r="U151" s="4" t="n">
        <v>-175</v>
      </c>
      <c r="V151" s="2" t="n">
        <v>1.571428571428571</v>
      </c>
      <c r="W151" s="4" t="n">
        <v>-175</v>
      </c>
      <c r="X151" s="2" t="n">
        <v>1</v>
      </c>
      <c r="Y151" s="5" t="n">
        <v>0.5714285714285714</v>
      </c>
      <c r="Z151" s="7" t="n">
        <v>100</v>
      </c>
      <c r="AA151" s="7">
        <f>Y151*Z151</f>
        <v/>
      </c>
      <c r="AB151" s="6">
        <f>IF(Z151=0,0,AA151/Z151)</f>
        <v/>
      </c>
      <c r="AC151" s="6" t="n"/>
      <c r="AD151" s="2" t="inlineStr">
        <is>
          <t>Win</t>
        </is>
      </c>
      <c r="AE151" s="6">
        <f>IF((COUNTIF($AD$2:AD151,"Win")+COUNTIF($AD$2:AD151,"Loss"))=0,0,COUNTIF($AD$2:AD151,"Win")/(COUNTIF($AD$2:AD151,"Win")+COUNTIF($AD$2:AD151,"Loss")))</f>
        <v/>
      </c>
      <c r="AF151" s="6">
        <f>SUM($Y$2:Y151)/SUM($X$2:X151)</f>
        <v/>
      </c>
      <c r="AG151" s="5">
        <f>SUM($Y$2:Y151)</f>
        <v/>
      </c>
      <c r="AH151" s="7">
        <f>10000.0+SUM($AA$2:AA151)</f>
        <v/>
      </c>
      <c r="AI151" s="2" t="n">
        <v>2025</v>
      </c>
      <c r="AJ151" s="2" t="inlineStr">
        <is>
          <t>2025-08</t>
        </is>
      </c>
      <c r="AK151" s="2" t="inlineStr">
        <is>
          <t>&lt;= -150</t>
        </is>
      </c>
      <c r="AL151" s="2" t="inlineStr">
        <is>
          <t>2025 Validation</t>
        </is>
      </c>
      <c r="AM151" s="6" t="n">
        <v>0.3312965560476662</v>
      </c>
    </row>
    <row r="152">
      <c r="A152" s="2" t="inlineStr">
        <is>
          <t>KPROP-00151</t>
        </is>
      </c>
      <c r="B152" s="3" t="n">
        <v>45876.80253472222</v>
      </c>
      <c r="C152" s="3" t="n">
        <v>45876</v>
      </c>
      <c r="D152" s="2" t="inlineStr">
        <is>
          <t>Carlos Carrasco</t>
        </is>
      </c>
      <c r="E152" s="2" t="n">
        <v>144</v>
      </c>
      <c r="F152" s="2" t="n">
        <v>146</v>
      </c>
      <c r="G152" s="2" t="inlineStr">
        <is>
          <t>Home</t>
        </is>
      </c>
      <c r="H152" s="2" t="inlineStr">
        <is>
          <t>betmgm</t>
        </is>
      </c>
      <c r="I152" s="4" t="n"/>
      <c r="J152" s="4" t="n"/>
      <c r="K152" s="4" t="n">
        <v>120</v>
      </c>
      <c r="L152" s="4" t="n">
        <v>120</v>
      </c>
      <c r="M152" s="5" t="n">
        <v>3.5</v>
      </c>
      <c r="N152" s="5" t="n">
        <v>3.700972965566608</v>
      </c>
      <c r="O152" s="5" t="n">
        <v>3.5</v>
      </c>
      <c r="P152" s="5" t="n">
        <v>-0.2009729655666082</v>
      </c>
      <c r="Q152" s="6" t="n">
        <v>0.08669040776213022</v>
      </c>
      <c r="R152" s="6" t="n">
        <v>0.4939501853464228</v>
      </c>
      <c r="S152" s="6" t="n">
        <v>0.4417293233082706</v>
      </c>
      <c r="T152" s="2" t="inlineStr">
        <is>
          <t>Under</t>
        </is>
      </c>
      <c r="U152" s="4" t="n">
        <v>120</v>
      </c>
      <c r="V152" s="2" t="n">
        <v>2.2</v>
      </c>
      <c r="W152" s="4" t="n">
        <v>120</v>
      </c>
      <c r="X152" s="2" t="n">
        <v>1</v>
      </c>
      <c r="Y152" s="5" t="n">
        <v>1.2</v>
      </c>
      <c r="Z152" s="7" t="n">
        <v>100</v>
      </c>
      <c r="AA152" s="7">
        <f>Y152*Z152</f>
        <v/>
      </c>
      <c r="AB152" s="6">
        <f>IF(Z152=0,0,AA152/Z152)</f>
        <v/>
      </c>
      <c r="AC152" s="6" t="n"/>
      <c r="AD152" s="2" t="inlineStr">
        <is>
          <t>Win</t>
        </is>
      </c>
      <c r="AE152" s="6">
        <f>IF((COUNTIF($AD$2:AD152,"Win")+COUNTIF($AD$2:AD152,"Loss"))=0,0,COUNTIF($AD$2:AD152,"Win")/(COUNTIF($AD$2:AD152,"Win")+COUNTIF($AD$2:AD152,"Loss")))</f>
        <v/>
      </c>
      <c r="AF152" s="6">
        <f>SUM($Y$2:Y152)/SUM($X$2:X152)</f>
        <v/>
      </c>
      <c r="AG152" s="5">
        <f>SUM($Y$2:Y152)</f>
        <v/>
      </c>
      <c r="AH152" s="7">
        <f>10000.0+SUM($AA$2:AA152)</f>
        <v/>
      </c>
      <c r="AI152" s="2" t="n">
        <v>2025</v>
      </c>
      <c r="AJ152" s="2" t="inlineStr">
        <is>
          <t>2025-08</t>
        </is>
      </c>
      <c r="AK152" s="2" t="inlineStr">
        <is>
          <t>+100 to +120</t>
        </is>
      </c>
      <c r="AL152" s="2" t="inlineStr">
        <is>
          <t>2025 Validation</t>
        </is>
      </c>
      <c r="AM152" s="6" t="n">
        <v>0.07224200646844184</v>
      </c>
    </row>
    <row r="153">
      <c r="A153" s="2" t="inlineStr">
        <is>
          <t>KPROP-00152</t>
        </is>
      </c>
      <c r="B153" s="3" t="n">
        <v>45876.50391203703</v>
      </c>
      <c r="C153" s="3" t="n">
        <v>45876</v>
      </c>
      <c r="D153" s="2" t="inlineStr">
        <is>
          <t>Jacob Lopez</t>
        </is>
      </c>
      <c r="E153" s="2" t="n">
        <v>133</v>
      </c>
      <c r="F153" s="2" t="n">
        <v>120</v>
      </c>
      <c r="G153" s="2" t="inlineStr">
        <is>
          <t>Away</t>
        </is>
      </c>
      <c r="H153" s="2" t="inlineStr">
        <is>
          <t>betonlineag</t>
        </is>
      </c>
      <c r="I153" s="4" t="n"/>
      <c r="J153" s="4" t="n"/>
      <c r="K153" s="4" t="n">
        <v>128</v>
      </c>
      <c r="L153" s="4" t="n">
        <v>128</v>
      </c>
      <c r="M153" s="5" t="n">
        <v>5.5</v>
      </c>
      <c r="N153" s="5" t="n">
        <v>4.924534441442407</v>
      </c>
      <c r="O153" s="5" t="n">
        <v>5.5</v>
      </c>
      <c r="P153" s="5" t="n">
        <v>0.5754655585575934</v>
      </c>
      <c r="Q153" s="6" t="n">
        <v>0.4345756932208766</v>
      </c>
      <c r="R153" s="6" t="n">
        <v>0.6291998654477529</v>
      </c>
      <c r="S153" s="6" t="n">
        <v>0.4369300911854104</v>
      </c>
      <c r="T153" s="2" t="inlineStr">
        <is>
          <t>Under</t>
        </is>
      </c>
      <c r="U153" s="4" t="n">
        <v>128</v>
      </c>
      <c r="V153" s="2" t="n">
        <v>2.28</v>
      </c>
      <c r="W153" s="4" t="n">
        <v>128</v>
      </c>
      <c r="X153" s="2" t="n">
        <v>1</v>
      </c>
      <c r="Y153" s="5" t="n">
        <v>-1</v>
      </c>
      <c r="Z153" s="7" t="n">
        <v>100</v>
      </c>
      <c r="AA153" s="7">
        <f>Y153*Z153</f>
        <v/>
      </c>
      <c r="AB153" s="6">
        <f>IF(Z153=0,0,AA153/Z153)</f>
        <v/>
      </c>
      <c r="AC153" s="6" t="n"/>
      <c r="AD153" s="2" t="inlineStr">
        <is>
          <t>Loss</t>
        </is>
      </c>
      <c r="AE153" s="6">
        <f>IF((COUNTIF($AD$2:AD153,"Win")+COUNTIF($AD$2:AD153,"Loss"))=0,0,COUNTIF($AD$2:AD153,"Win")/(COUNTIF($AD$2:AD153,"Win")+COUNTIF($AD$2:AD153,"Loss")))</f>
        <v/>
      </c>
      <c r="AF153" s="6">
        <f>SUM($Y$2:Y153)/SUM($X$2:X153)</f>
        <v/>
      </c>
      <c r="AG153" s="5">
        <f>SUM($Y$2:Y153)</f>
        <v/>
      </c>
      <c r="AH153" s="7">
        <f>10000.0+SUM($AA$2:AA153)</f>
        <v/>
      </c>
      <c r="AI153" s="2" t="n">
        <v>2025</v>
      </c>
      <c r="AJ153" s="2" t="inlineStr">
        <is>
          <t>2025-08</t>
        </is>
      </c>
      <c r="AK153" s="2" t="inlineStr">
        <is>
          <t>+121 to +150</t>
        </is>
      </c>
      <c r="AL153" s="2" t="inlineStr">
        <is>
          <t>2025 Validation</t>
        </is>
      </c>
      <c r="AM153" s="6" t="n">
        <v>0.3395122603288098</v>
      </c>
    </row>
    <row r="154">
      <c r="A154" s="2" t="inlineStr">
        <is>
          <t>KPROP-00153</t>
        </is>
      </c>
      <c r="B154" s="3" t="n">
        <v>45876.50391203703</v>
      </c>
      <c r="C154" s="3" t="n">
        <v>45876</v>
      </c>
      <c r="D154" s="2" t="inlineStr">
        <is>
          <t>Jacob Lopez</t>
        </is>
      </c>
      <c r="E154" s="2" t="n">
        <v>133</v>
      </c>
      <c r="F154" s="2" t="n">
        <v>120</v>
      </c>
      <c r="G154" s="2" t="inlineStr">
        <is>
          <t>Away</t>
        </is>
      </c>
      <c r="H154" s="2" t="inlineStr">
        <is>
          <t>betrivers</t>
        </is>
      </c>
      <c r="I154" s="4" t="n"/>
      <c r="J154" s="4" t="n"/>
      <c r="K154" s="4" t="n">
        <v>-195</v>
      </c>
      <c r="L154" s="4" t="n">
        <v>-195</v>
      </c>
      <c r="M154" s="5" t="n">
        <v>6.5</v>
      </c>
      <c r="N154" s="5" t="n">
        <v>4.924534441442407</v>
      </c>
      <c r="O154" s="5" t="n">
        <v>6.5</v>
      </c>
      <c r="P154" s="5" t="n">
        <v>1.575465558557593</v>
      </c>
      <c r="Q154" s="6" t="n">
        <v>0.1696112917362847</v>
      </c>
      <c r="R154" s="6" t="n">
        <v>0.7731328877578831</v>
      </c>
      <c r="S154" s="6" t="n">
        <v>0.6113818996179686</v>
      </c>
      <c r="T154" s="2" t="inlineStr">
        <is>
          <t>Under</t>
        </is>
      </c>
      <c r="U154" s="4" t="n">
        <v>-195</v>
      </c>
      <c r="V154" s="2" t="n">
        <v>1.512820512820513</v>
      </c>
      <c r="W154" s="4" t="n">
        <v>-195</v>
      </c>
      <c r="X154" s="2" t="n">
        <v>1</v>
      </c>
      <c r="Y154" s="5" t="n">
        <v>-1</v>
      </c>
      <c r="Z154" s="7" t="n">
        <v>100</v>
      </c>
      <c r="AA154" s="7">
        <f>Y154*Z154</f>
        <v/>
      </c>
      <c r="AB154" s="6">
        <f>IF(Z154=0,0,AA154/Z154)</f>
        <v/>
      </c>
      <c r="AC154" s="6" t="n"/>
      <c r="AD154" s="2" t="inlineStr">
        <is>
          <t>Loss</t>
        </is>
      </c>
      <c r="AE154" s="6">
        <f>IF((COUNTIF($AD$2:AD154,"Win")+COUNTIF($AD$2:AD154,"Loss"))=0,0,COUNTIF($AD$2:AD154,"Win")/(COUNTIF($AD$2:AD154,"Win")+COUNTIF($AD$2:AD154,"Loss")))</f>
        <v/>
      </c>
      <c r="AF154" s="6">
        <f>SUM($Y$2:Y154)/SUM($X$2:X154)</f>
        <v/>
      </c>
      <c r="AG154" s="5">
        <f>SUM($Y$2:Y154)</f>
        <v/>
      </c>
      <c r="AH154" s="7">
        <f>10000.0+SUM($AA$2:AA154)</f>
        <v/>
      </c>
      <c r="AI154" s="2" t="n">
        <v>2025</v>
      </c>
      <c r="AJ154" s="2" t="inlineStr">
        <is>
          <t>2025-08</t>
        </is>
      </c>
      <c r="AK154" s="2" t="inlineStr">
        <is>
          <t>&lt;= -150</t>
        </is>
      </c>
      <c r="AL154" s="2" t="inlineStr">
        <is>
          <t>2025 Validation</t>
        </is>
      </c>
      <c r="AM154" s="6" t="n">
        <v>0.3307420188857552</v>
      </c>
    </row>
    <row r="155">
      <c r="A155" s="2" t="inlineStr">
        <is>
          <t>KPROP-00154</t>
        </is>
      </c>
      <c r="B155" s="3" t="n">
        <v>45876.6740625</v>
      </c>
      <c r="C155" s="3" t="n">
        <v>45876</v>
      </c>
      <c r="D155" s="2" t="inlineStr">
        <is>
          <t>Logan Gilbert</t>
        </is>
      </c>
      <c r="E155" s="2" t="n">
        <v>136</v>
      </c>
      <c r="F155" s="2" t="n">
        <v>145</v>
      </c>
      <c r="G155" s="2" t="inlineStr">
        <is>
          <t>Home</t>
        </is>
      </c>
      <c r="H155" s="2" t="inlineStr">
        <is>
          <t>betonlineag</t>
        </is>
      </c>
      <c r="I155" s="4" t="n"/>
      <c r="J155" s="4" t="n"/>
      <c r="K155" s="4" t="n">
        <v>128</v>
      </c>
      <c r="L155" s="4" t="n">
        <v>128</v>
      </c>
      <c r="M155" s="5" t="n">
        <v>7.5</v>
      </c>
      <c r="N155" s="5" t="n">
        <v>6.734332526261632</v>
      </c>
      <c r="O155" s="5" t="n">
        <v>7.5</v>
      </c>
      <c r="P155" s="5" t="n">
        <v>0.7656674737383682</v>
      </c>
      <c r="Q155" s="6" t="n">
        <v>0.4551674082639281</v>
      </c>
      <c r="R155" s="6" t="n">
        <v>0.6382313194140035</v>
      </c>
      <c r="S155" s="6" t="n">
        <v>0.4222972972972973</v>
      </c>
      <c r="T155" s="2" t="inlineStr">
        <is>
          <t>Under</t>
        </is>
      </c>
      <c r="U155" s="4" t="n">
        <v>128</v>
      </c>
      <c r="V155" s="2" t="n">
        <v>2.28</v>
      </c>
      <c r="W155" s="4" t="n">
        <v>128</v>
      </c>
      <c r="X155" s="2" t="n">
        <v>1</v>
      </c>
      <c r="Y155" s="5" t="n">
        <v>1.28</v>
      </c>
      <c r="Z155" s="7" t="n">
        <v>100</v>
      </c>
      <c r="AA155" s="7">
        <f>Y155*Z155</f>
        <v/>
      </c>
      <c r="AB155" s="6">
        <f>IF(Z155=0,0,AA155/Z155)</f>
        <v/>
      </c>
      <c r="AC155" s="6" t="n"/>
      <c r="AD155" s="2" t="inlineStr">
        <is>
          <t>Win</t>
        </is>
      </c>
      <c r="AE155" s="6">
        <f>IF((COUNTIF($AD$2:AD155,"Win")+COUNTIF($AD$2:AD155,"Loss"))=0,0,COUNTIF($AD$2:AD155,"Win")/(COUNTIF($AD$2:AD155,"Win")+COUNTIF($AD$2:AD155,"Loss")))</f>
        <v/>
      </c>
      <c r="AF155" s="6">
        <f>SUM($Y$2:Y155)/SUM($X$2:X155)</f>
        <v/>
      </c>
      <c r="AG155" s="5">
        <f>SUM($Y$2:Y155)</f>
        <v/>
      </c>
      <c r="AH155" s="7">
        <f>10000.0+SUM($AA$2:AA155)</f>
        <v/>
      </c>
      <c r="AI155" s="2" t="n">
        <v>2025</v>
      </c>
      <c r="AJ155" s="2" t="inlineStr">
        <is>
          <t>2025-08</t>
        </is>
      </c>
      <c r="AK155" s="2" t="inlineStr">
        <is>
          <t>+121 to +150</t>
        </is>
      </c>
      <c r="AL155" s="2" t="inlineStr">
        <is>
          <t>2025 Validation</t>
        </is>
      </c>
      <c r="AM155" s="6" t="n">
        <v>0.3555995377061937</v>
      </c>
    </row>
    <row r="156">
      <c r="A156" s="2" t="inlineStr">
        <is>
          <t>KPROP-00155</t>
        </is>
      </c>
      <c r="B156" s="3" t="n">
        <v>45876.6740625</v>
      </c>
      <c r="C156" s="3" t="n">
        <v>45876</v>
      </c>
      <c r="D156" s="2" t="inlineStr">
        <is>
          <t>Logan Gilbert</t>
        </is>
      </c>
      <c r="E156" s="2" t="n">
        <v>136</v>
      </c>
      <c r="F156" s="2" t="n">
        <v>145</v>
      </c>
      <c r="G156" s="2" t="inlineStr">
        <is>
          <t>Home</t>
        </is>
      </c>
      <c r="H156" s="2" t="inlineStr">
        <is>
          <t>betrivers</t>
        </is>
      </c>
      <c r="I156" s="4" t="n"/>
      <c r="J156" s="4" t="n"/>
      <c r="K156" s="4" t="n">
        <v>-150</v>
      </c>
      <c r="L156" s="4" t="n">
        <v>-150</v>
      </c>
      <c r="M156" s="5" t="n">
        <v>8.5</v>
      </c>
      <c r="N156" s="5" t="n">
        <v>6.734332526261632</v>
      </c>
      <c r="O156" s="5" t="n">
        <v>8.5</v>
      </c>
      <c r="P156" s="5" t="n">
        <v>1.765667473738368</v>
      </c>
      <c r="Q156" s="6" t="n">
        <v>0.2716891221094877</v>
      </c>
      <c r="R156" s="6" t="n">
        <v>0.7630134732656927</v>
      </c>
      <c r="S156" s="6" t="n">
        <v>0.5689655172413793</v>
      </c>
      <c r="T156" s="2" t="inlineStr">
        <is>
          <t>Under</t>
        </is>
      </c>
      <c r="U156" s="4" t="n">
        <v>-150</v>
      </c>
      <c r="V156" s="2" t="n">
        <v>1.666666666666667</v>
      </c>
      <c r="W156" s="4" t="n">
        <v>-150</v>
      </c>
      <c r="X156" s="2" t="n">
        <v>1</v>
      </c>
      <c r="Y156" s="5" t="n">
        <v>0.6666666666666665</v>
      </c>
      <c r="Z156" s="7" t="n">
        <v>100</v>
      </c>
      <c r="AA156" s="7">
        <f>Y156*Z156</f>
        <v/>
      </c>
      <c r="AB156" s="6">
        <f>IF(Z156=0,0,AA156/Z156)</f>
        <v/>
      </c>
      <c r="AC156" s="6" t="n"/>
      <c r="AD156" s="2" t="inlineStr">
        <is>
          <t>Win</t>
        </is>
      </c>
      <c r="AE156" s="6">
        <f>IF((COUNTIF($AD$2:AD156,"Win")+COUNTIF($AD$2:AD156,"Loss"))=0,0,COUNTIF($AD$2:AD156,"Win")/(COUNTIF($AD$2:AD156,"Win")+COUNTIF($AD$2:AD156,"Loss")))</f>
        <v/>
      </c>
      <c r="AF156" s="6">
        <f>SUM($Y$2:Y156)/SUM($X$2:X156)</f>
        <v/>
      </c>
      <c r="AG156" s="5">
        <f>SUM($Y$2:Y156)</f>
        <v/>
      </c>
      <c r="AH156" s="7">
        <f>10000.0+SUM($AA$2:AA156)</f>
        <v/>
      </c>
      <c r="AI156" s="2" t="n">
        <v>2025</v>
      </c>
      <c r="AJ156" s="2" t="inlineStr">
        <is>
          <t>2025-08</t>
        </is>
      </c>
      <c r="AK156" s="2" t="inlineStr">
        <is>
          <t>&lt;= -150</t>
        </is>
      </c>
      <c r="AL156" s="2" t="inlineStr">
        <is>
          <t>2025 Validation</t>
        </is>
      </c>
      <c r="AM156" s="6" t="n">
        <v>0.4075336831642317</v>
      </c>
    </row>
    <row r="157">
      <c r="A157" s="2" t="inlineStr">
        <is>
          <t>KPROP-00156</t>
        </is>
      </c>
      <c r="B157" s="3" t="n">
        <v>45876.77822916667</v>
      </c>
      <c r="C157" s="3" t="n">
        <v>45876</v>
      </c>
      <c r="D157" s="2" t="inlineStr">
        <is>
          <t>Paul Skenes</t>
        </is>
      </c>
      <c r="E157" s="2" t="n">
        <v>134</v>
      </c>
      <c r="F157" s="2" t="n">
        <v>113</v>
      </c>
      <c r="G157" s="2" t="inlineStr">
        <is>
          <t>Home</t>
        </is>
      </c>
      <c r="H157" s="2" t="inlineStr">
        <is>
          <t>draftkings</t>
        </is>
      </c>
      <c r="I157" s="4" t="n"/>
      <c r="J157" s="4" t="n"/>
      <c r="K157" s="4" t="n">
        <v>-105</v>
      </c>
      <c r="L157" s="4" t="n">
        <v>-105</v>
      </c>
      <c r="M157" s="5" t="n">
        <v>7.5</v>
      </c>
      <c r="N157" s="5" t="n">
        <v>7.046583016154973</v>
      </c>
      <c r="O157" s="5" t="n">
        <v>7.5</v>
      </c>
      <c r="P157" s="5" t="n">
        <v>0.4534169838450266</v>
      </c>
      <c r="Q157" s="6" t="n">
        <v>0.1553667121729881</v>
      </c>
      <c r="R157" s="6" t="n">
        <v>0.5917731940398232</v>
      </c>
      <c r="S157" s="6" t="n">
        <v>0.4943946188340808</v>
      </c>
      <c r="T157" s="2" t="inlineStr">
        <is>
          <t>Under</t>
        </is>
      </c>
      <c r="U157" s="4" t="n">
        <v>-105</v>
      </c>
      <c r="V157" s="2" t="n">
        <v>1.952380952380952</v>
      </c>
      <c r="W157" s="4" t="n">
        <v>-105</v>
      </c>
      <c r="X157" s="2" t="n">
        <v>1</v>
      </c>
      <c r="Y157" s="5" t="n">
        <v>-1</v>
      </c>
      <c r="Z157" s="7" t="n">
        <v>100</v>
      </c>
      <c r="AA157" s="7">
        <f>Y157*Z157</f>
        <v/>
      </c>
      <c r="AB157" s="6">
        <f>IF(Z157=0,0,AA157/Z157)</f>
        <v/>
      </c>
      <c r="AC157" s="6" t="n"/>
      <c r="AD157" s="2" t="inlineStr">
        <is>
          <t>Loss</t>
        </is>
      </c>
      <c r="AE157" s="6">
        <f>IF((COUNTIF($AD$2:AD157,"Win")+COUNTIF($AD$2:AD157,"Loss"))=0,0,COUNTIF($AD$2:AD157,"Win")/(COUNTIF($AD$2:AD157,"Win")+COUNTIF($AD$2:AD157,"Loss")))</f>
        <v/>
      </c>
      <c r="AF157" s="6">
        <f>SUM($Y$2:Y157)/SUM($X$2:X157)</f>
        <v/>
      </c>
      <c r="AG157" s="5">
        <f>SUM($Y$2:Y157)</f>
        <v/>
      </c>
      <c r="AH157" s="7">
        <f>10000.0+SUM($AA$2:AA157)</f>
        <v/>
      </c>
      <c r="AI157" s="2" t="n">
        <v>2025</v>
      </c>
      <c r="AJ157" s="2" t="inlineStr">
        <is>
          <t>2025-08</t>
        </is>
      </c>
      <c r="AK157" s="2" t="inlineStr">
        <is>
          <t>-119 to -101</t>
        </is>
      </c>
      <c r="AL157" s="2" t="inlineStr">
        <is>
          <t>2025 Validation</t>
        </is>
      </c>
      <c r="AM157" s="6" t="n">
        <v>0.1631350477816376</v>
      </c>
    </row>
    <row r="158">
      <c r="A158" s="2" t="inlineStr">
        <is>
          <t>KPROP-00157</t>
        </is>
      </c>
      <c r="B158" s="3" t="n">
        <v>45877.77822916667</v>
      </c>
      <c r="C158" s="3" t="n">
        <v>45877</v>
      </c>
      <c r="D158" s="2" t="inlineStr">
        <is>
          <t>Mitch Keller</t>
        </is>
      </c>
      <c r="E158" s="2" t="n">
        <v>134</v>
      </c>
      <c r="F158" s="2" t="n">
        <v>113</v>
      </c>
      <c r="G158" s="2" t="inlineStr">
        <is>
          <t>Home</t>
        </is>
      </c>
      <c r="H158" s="2" t="inlineStr">
        <is>
          <t>fanduel</t>
        </is>
      </c>
      <c r="I158" s="4" t="n"/>
      <c r="J158" s="4" t="n"/>
      <c r="K158" s="4" t="n">
        <v>128</v>
      </c>
      <c r="L158" s="4" t="n">
        <v>128</v>
      </c>
      <c r="M158" s="5" t="n">
        <v>4.5</v>
      </c>
      <c r="N158" s="5" t="n">
        <v>4.636876061587203</v>
      </c>
      <c r="O158" s="5" t="n">
        <v>4.5</v>
      </c>
      <c r="P158" s="5" t="n">
        <v>-0.1368760615872029</v>
      </c>
      <c r="Q158" s="6" t="n">
        <v>0.1544452033292159</v>
      </c>
      <c r="R158" s="6" t="n">
        <v>0.5063356154952701</v>
      </c>
      <c r="S158" s="6" t="n">
        <v>0.4222972972972973</v>
      </c>
      <c r="T158" s="2" t="inlineStr">
        <is>
          <t>Under</t>
        </is>
      </c>
      <c r="U158" s="4" t="n">
        <v>128</v>
      </c>
      <c r="V158" s="2" t="n">
        <v>2.28</v>
      </c>
      <c r="W158" s="4" t="n">
        <v>128</v>
      </c>
      <c r="X158" s="2" t="n">
        <v>1</v>
      </c>
      <c r="Y158" s="5" t="n">
        <v>1.28</v>
      </c>
      <c r="Z158" s="7" t="n">
        <v>100</v>
      </c>
      <c r="AA158" s="7">
        <f>Y158*Z158</f>
        <v/>
      </c>
      <c r="AB158" s="6">
        <f>IF(Z158=0,0,AA158/Z158)</f>
        <v/>
      </c>
      <c r="AC158" s="6" t="n"/>
      <c r="AD158" s="2" t="inlineStr">
        <is>
          <t>Win</t>
        </is>
      </c>
      <c r="AE158" s="6">
        <f>IF((COUNTIF($AD$2:AD158,"Win")+COUNTIF($AD$2:AD158,"Loss"))=0,0,COUNTIF($AD$2:AD158,"Win")/(COUNTIF($AD$2:AD158,"Win")+COUNTIF($AD$2:AD158,"Loss")))</f>
        <v/>
      </c>
      <c r="AF158" s="6">
        <f>SUM($Y$2:Y158)/SUM($X$2:X158)</f>
        <v/>
      </c>
      <c r="AG158" s="5">
        <f>SUM($Y$2:Y158)</f>
        <v/>
      </c>
      <c r="AH158" s="7">
        <f>10000.0+SUM($AA$2:AA158)</f>
        <v/>
      </c>
      <c r="AI158" s="2" t="n">
        <v>2025</v>
      </c>
      <c r="AJ158" s="2" t="inlineStr">
        <is>
          <t>2025-08</t>
        </is>
      </c>
      <c r="AK158" s="2" t="inlineStr">
        <is>
          <t>+121 to +150</t>
        </is>
      </c>
      <c r="AL158" s="2" t="inlineStr">
        <is>
          <t>2025 Validation</t>
        </is>
      </c>
      <c r="AM158" s="6" t="n">
        <v>0.1206603151009499</v>
      </c>
    </row>
    <row r="159">
      <c r="A159" s="2" t="inlineStr">
        <is>
          <t>KPROP-00158</t>
        </is>
      </c>
      <c r="B159" s="3" t="n">
        <v>45878.79905092593</v>
      </c>
      <c r="C159" s="3" t="n">
        <v>45878</v>
      </c>
      <c r="D159" s="2" t="inlineStr">
        <is>
          <t>Bailey Ober</t>
        </is>
      </c>
      <c r="E159" s="2" t="n">
        <v>142</v>
      </c>
      <c r="F159" s="2" t="n">
        <v>118</v>
      </c>
      <c r="G159" s="2" t="inlineStr">
        <is>
          <t>Home</t>
        </is>
      </c>
      <c r="H159" s="2" t="inlineStr">
        <is>
          <t>draftkings</t>
        </is>
      </c>
      <c r="I159" s="4" t="n"/>
      <c r="J159" s="4" t="n"/>
      <c r="K159" s="4" t="n">
        <v>-140</v>
      </c>
      <c r="L159" s="4" t="n">
        <v>-140</v>
      </c>
      <c r="M159" s="5" t="n">
        <v>4.5</v>
      </c>
      <c r="N159" s="5" t="n">
        <v>4.014558465553341</v>
      </c>
      <c r="O159" s="5" t="n">
        <v>4.5</v>
      </c>
      <c r="P159" s="5" t="n">
        <v>0.4854415344466592</v>
      </c>
      <c r="Q159" s="6" t="n">
        <v>0.07313037578585652</v>
      </c>
      <c r="R159" s="6" t="n">
        <v>0.6259927192084163</v>
      </c>
      <c r="S159" s="6" t="n">
        <v>0.5664739884393063</v>
      </c>
      <c r="T159" s="2" t="inlineStr">
        <is>
          <t>Under</t>
        </is>
      </c>
      <c r="U159" s="4" t="n">
        <v>-140</v>
      </c>
      <c r="V159" s="2" t="n">
        <v>1.714285714285714</v>
      </c>
      <c r="W159" s="4" t="n">
        <v>-140</v>
      </c>
      <c r="X159" s="2" t="n">
        <v>1</v>
      </c>
      <c r="Y159" s="5" t="n">
        <v>0.7142857142857144</v>
      </c>
      <c r="Z159" s="7" t="n">
        <v>100</v>
      </c>
      <c r="AA159" s="7">
        <f>Y159*Z159</f>
        <v/>
      </c>
      <c r="AB159" s="6">
        <f>IF(Z159=0,0,AA159/Z159)</f>
        <v/>
      </c>
      <c r="AC159" s="6" t="n"/>
      <c r="AD159" s="2" t="inlineStr">
        <is>
          <t>Win</t>
        </is>
      </c>
      <c r="AE159" s="6">
        <f>IF((COUNTIF($AD$2:AD159,"Win")+COUNTIF($AD$2:AD159,"Loss"))=0,0,COUNTIF($AD$2:AD159,"Win")/(COUNTIF($AD$2:AD159,"Win")+COUNTIF($AD$2:AD159,"Loss")))</f>
        <v/>
      </c>
      <c r="AF159" s="6">
        <f>SUM($Y$2:Y159)/SUM($X$2:X159)</f>
        <v/>
      </c>
      <c r="AG159" s="5">
        <f>SUM($Y$2:Y159)</f>
        <v/>
      </c>
      <c r="AH159" s="7">
        <f>10000.0+SUM($AA$2:AA159)</f>
        <v/>
      </c>
      <c r="AI159" s="2" t="n">
        <v>2025</v>
      </c>
      <c r="AJ159" s="2" t="inlineStr">
        <is>
          <t>2025-08</t>
        </is>
      </c>
      <c r="AK159" s="2" t="inlineStr">
        <is>
          <t>-149 to -120</t>
        </is>
      </c>
      <c r="AL159" s="2" t="inlineStr">
        <is>
          <t>2025 Validation</t>
        </is>
      </c>
      <c r="AM159" s="6" t="n">
        <v>0.1023825261001991</v>
      </c>
    </row>
    <row r="160">
      <c r="A160" s="2" t="inlineStr">
        <is>
          <t>KPROP-00159</t>
        </is>
      </c>
      <c r="B160" s="3" t="n">
        <v>45878.77821759259</v>
      </c>
      <c r="C160" s="3" t="n">
        <v>45878</v>
      </c>
      <c r="D160" s="2" t="inlineStr">
        <is>
          <t>Braxton Ashcraft</t>
        </is>
      </c>
      <c r="E160" s="2" t="n">
        <v>134</v>
      </c>
      <c r="F160" s="2" t="n">
        <v>113</v>
      </c>
      <c r="G160" s="2" t="inlineStr">
        <is>
          <t>Home</t>
        </is>
      </c>
      <c r="H160" s="2" t="inlineStr">
        <is>
          <t>bovada</t>
        </is>
      </c>
      <c r="I160" s="4" t="n"/>
      <c r="J160" s="4" t="n"/>
      <c r="K160" s="4" t="n">
        <v>130</v>
      </c>
      <c r="L160" s="4" t="n">
        <v>130</v>
      </c>
      <c r="M160" s="5" t="n">
        <v>2.5</v>
      </c>
      <c r="N160" s="5" t="n">
        <v>2.498370811182386</v>
      </c>
      <c r="O160" s="5" t="n">
        <v>2.5</v>
      </c>
      <c r="P160" s="5" t="n">
        <v>0.001629188817614313</v>
      </c>
      <c r="Q160" s="6" t="n">
        <v>0.2517315214857139</v>
      </c>
      <c r="R160" s="6" t="n">
        <v>0.5442310962981365</v>
      </c>
      <c r="S160" s="6" t="n">
        <v>0.4201680672268908</v>
      </c>
      <c r="T160" s="2" t="inlineStr">
        <is>
          <t>Under</t>
        </is>
      </c>
      <c r="U160" s="4" t="n">
        <v>130</v>
      </c>
      <c r="V160" s="2" t="n">
        <v>2.3</v>
      </c>
      <c r="W160" s="4" t="n">
        <v>130</v>
      </c>
      <c r="X160" s="2" t="n">
        <v>1</v>
      </c>
      <c r="Y160" s="5" t="n">
        <v>-1</v>
      </c>
      <c r="Z160" s="7" t="n">
        <v>100</v>
      </c>
      <c r="AA160" s="7">
        <f>Y160*Z160</f>
        <v/>
      </c>
      <c r="AB160" s="6">
        <f>IF(Z160=0,0,AA160/Z160)</f>
        <v/>
      </c>
      <c r="AC160" s="6" t="n"/>
      <c r="AD160" s="2" t="inlineStr">
        <is>
          <t>Loss</t>
        </is>
      </c>
      <c r="AE160" s="6">
        <f>IF((COUNTIF($AD$2:AD160,"Win")+COUNTIF($AD$2:AD160,"Loss"))=0,0,COUNTIF($AD$2:AD160,"Win")/(COUNTIF($AD$2:AD160,"Win")+COUNTIF($AD$2:AD160,"Loss")))</f>
        <v/>
      </c>
      <c r="AF160" s="6">
        <f>SUM($Y$2:Y160)/SUM($X$2:X160)</f>
        <v/>
      </c>
      <c r="AG160" s="5">
        <f>SUM($Y$2:Y160)</f>
        <v/>
      </c>
      <c r="AH160" s="7">
        <f>10000.0+SUM($AA$2:AA160)</f>
        <v/>
      </c>
      <c r="AI160" s="2" t="n">
        <v>2025</v>
      </c>
      <c r="AJ160" s="2" t="inlineStr">
        <is>
          <t>2025-08</t>
        </is>
      </c>
      <c r="AK160" s="2" t="inlineStr">
        <is>
          <t>+121 to +150</t>
        </is>
      </c>
      <c r="AL160" s="2" t="inlineStr">
        <is>
          <t>2025 Validation</t>
        </is>
      </c>
      <c r="AM160" s="6" t="n">
        <v>0.1936396319120876</v>
      </c>
    </row>
    <row r="161">
      <c r="A161" s="2" t="inlineStr">
        <is>
          <t>KPROP-00160</t>
        </is>
      </c>
      <c r="B161" s="3" t="n">
        <v>45878.67057870371</v>
      </c>
      <c r="C161" s="3" t="n">
        <v>45878</v>
      </c>
      <c r="D161" s="2" t="inlineStr">
        <is>
          <t>Carson Whisenhunt</t>
        </is>
      </c>
      <c r="E161" s="2" t="n">
        <v>137</v>
      </c>
      <c r="F161" s="2" t="n">
        <v>120</v>
      </c>
      <c r="G161" s="2" t="inlineStr">
        <is>
          <t>Home</t>
        </is>
      </c>
      <c r="H161" s="2" t="inlineStr">
        <is>
          <t>fanduel</t>
        </is>
      </c>
      <c r="I161" s="4" t="n"/>
      <c r="J161" s="4" t="n"/>
      <c r="K161" s="4" t="n">
        <v>-142</v>
      </c>
      <c r="L161" s="4" t="n">
        <v>-142</v>
      </c>
      <c r="M161" s="5" t="n">
        <v>4.5</v>
      </c>
      <c r="N161" s="5" t="n">
        <v>3.818164922147778</v>
      </c>
      <c r="O161" s="5" t="n">
        <v>4.5</v>
      </c>
      <c r="P161" s="5" t="n">
        <v>0.681835077852222</v>
      </c>
      <c r="Q161" s="6" t="n">
        <v>0.132136422152318</v>
      </c>
      <c r="R161" s="6" t="n">
        <v>0.6643114543207816</v>
      </c>
      <c r="S161" s="6" t="n">
        <v>0.5634920634920635</v>
      </c>
      <c r="T161" s="2" t="inlineStr">
        <is>
          <t>Under</t>
        </is>
      </c>
      <c r="U161" s="4" t="n">
        <v>-142</v>
      </c>
      <c r="V161" s="2" t="n">
        <v>1.704225352112676</v>
      </c>
      <c r="W161" s="4" t="n">
        <v>-142</v>
      </c>
      <c r="X161" s="2" t="n">
        <v>1</v>
      </c>
      <c r="Y161" s="5" t="n">
        <v>-1</v>
      </c>
      <c r="Z161" s="7" t="n">
        <v>100</v>
      </c>
      <c r="AA161" s="7">
        <f>Y161*Z161</f>
        <v/>
      </c>
      <c r="AB161" s="6">
        <f>IF(Z161=0,0,AA161/Z161)</f>
        <v/>
      </c>
      <c r="AC161" s="6" t="n"/>
      <c r="AD161" s="2" t="inlineStr">
        <is>
          <t>Loss</t>
        </is>
      </c>
      <c r="AE161" s="6">
        <f>IF((COUNTIF($AD$2:AD161,"Win")+COUNTIF($AD$2:AD161,"Loss"))=0,0,COUNTIF($AD$2:AD161,"Win")/(COUNTIF($AD$2:AD161,"Win")+COUNTIF($AD$2:AD161,"Loss")))</f>
        <v/>
      </c>
      <c r="AF161" s="6">
        <f>SUM($Y$2:Y161)/SUM($X$2:X161)</f>
        <v/>
      </c>
      <c r="AG161" s="5">
        <f>SUM($Y$2:Y161)</f>
        <v/>
      </c>
      <c r="AH161" s="7">
        <f>10000.0+SUM($AA$2:AA161)</f>
        <v/>
      </c>
      <c r="AI161" s="2" t="n">
        <v>2025</v>
      </c>
      <c r="AJ161" s="2" t="inlineStr">
        <is>
          <t>2025-08</t>
        </is>
      </c>
      <c r="AK161" s="2" t="inlineStr">
        <is>
          <t>-149 to -120</t>
        </is>
      </c>
      <c r="AL161" s="2" t="inlineStr">
        <is>
          <t>2025 Validation</t>
        </is>
      </c>
      <c r="AM161" s="6" t="n">
        <v>0.1876337194562915</v>
      </c>
    </row>
    <row r="162">
      <c r="A162" s="2" t="inlineStr">
        <is>
          <t>KPROP-00161</t>
        </is>
      </c>
      <c r="B162" s="3" t="n">
        <v>45878.80252314815</v>
      </c>
      <c r="C162" s="3" t="n">
        <v>45878</v>
      </c>
      <c r="D162" s="2" t="inlineStr">
        <is>
          <t>Erick Fedde</t>
        </is>
      </c>
      <c r="E162" s="2" t="n">
        <v>144</v>
      </c>
      <c r="F162" s="2" t="n">
        <v>146</v>
      </c>
      <c r="G162" s="2" t="inlineStr">
        <is>
          <t>Home</t>
        </is>
      </c>
      <c r="H162" s="2" t="inlineStr">
        <is>
          <t>fanduel</t>
        </is>
      </c>
      <c r="I162" s="4" t="n"/>
      <c r="J162" s="4" t="n"/>
      <c r="K162" s="4" t="n">
        <v>-158</v>
      </c>
      <c r="L162" s="4" t="n">
        <v>-158</v>
      </c>
      <c r="M162" s="5" t="n">
        <v>4.5</v>
      </c>
      <c r="N162" s="5" t="n">
        <v>3.672153475545996</v>
      </c>
      <c r="O162" s="5" t="n">
        <v>4.5</v>
      </c>
      <c r="P162" s="5" t="n">
        <v>0.8278465244540043</v>
      </c>
      <c r="Q162" s="6" t="n">
        <v>0.1309369871110976</v>
      </c>
      <c r="R162" s="6" t="n">
        <v>0.6925893176881915</v>
      </c>
      <c r="S162" s="6" t="n">
        <v>0.5783762583344229</v>
      </c>
      <c r="T162" s="2" t="inlineStr">
        <is>
          <t>Under</t>
        </is>
      </c>
      <c r="U162" s="4" t="n">
        <v>-158</v>
      </c>
      <c r="V162" s="2" t="n">
        <v>1.632911392405063</v>
      </c>
      <c r="W162" s="4" t="n">
        <v>-158</v>
      </c>
      <c r="X162" s="2" t="n">
        <v>1</v>
      </c>
      <c r="Y162" s="5" t="n">
        <v>0.6329113924050633</v>
      </c>
      <c r="Z162" s="7" t="n">
        <v>100</v>
      </c>
      <c r="AA162" s="7">
        <f>Y162*Z162</f>
        <v/>
      </c>
      <c r="AB162" s="6">
        <f>IF(Z162=0,0,AA162/Z162)</f>
        <v/>
      </c>
      <c r="AC162" s="6" t="n"/>
      <c r="AD162" s="2" t="inlineStr">
        <is>
          <t>Win</t>
        </is>
      </c>
      <c r="AE162" s="6">
        <f>IF((COUNTIF($AD$2:AD162,"Win")+COUNTIF($AD$2:AD162,"Loss"))=0,0,COUNTIF($AD$2:AD162,"Win")/(COUNTIF($AD$2:AD162,"Win")+COUNTIF($AD$2:AD162,"Loss")))</f>
        <v/>
      </c>
      <c r="AF162" s="6">
        <f>SUM($Y$2:Y162)/SUM($X$2:X162)</f>
        <v/>
      </c>
      <c r="AG162" s="5">
        <f>SUM($Y$2:Y162)</f>
        <v/>
      </c>
      <c r="AH162" s="7">
        <f>10000.0+SUM($AA$2:AA162)</f>
        <v/>
      </c>
      <c r="AI162" s="2" t="n">
        <v>2025</v>
      </c>
      <c r="AJ162" s="2" t="inlineStr">
        <is>
          <t>2025-08</t>
        </is>
      </c>
      <c r="AK162" s="2" t="inlineStr">
        <is>
          <t>&lt;= -150</t>
        </is>
      </c>
      <c r="AL162" s="2" t="inlineStr">
        <is>
          <t>2025 Validation</t>
        </is>
      </c>
      <c r="AM162" s="6" t="n">
        <v>0.2068804396355343</v>
      </c>
    </row>
    <row r="163">
      <c r="A163" s="2" t="inlineStr">
        <is>
          <t>KPROP-00162</t>
        </is>
      </c>
      <c r="B163" s="3" t="n">
        <v>45878.5490625</v>
      </c>
      <c r="C163" s="3" t="n">
        <v>45878</v>
      </c>
      <c r="D163" s="2" t="inlineStr">
        <is>
          <t>Hurston Waldrep</t>
        </is>
      </c>
      <c r="E163" s="2" t="n">
        <v>144</v>
      </c>
      <c r="F163" s="2" t="n">
        <v>146</v>
      </c>
      <c r="G163" s="2" t="inlineStr">
        <is>
          <t>Home</t>
        </is>
      </c>
      <c r="H163" s="2" t="inlineStr">
        <is>
          <t>betrivers</t>
        </is>
      </c>
      <c r="I163" s="4" t="n"/>
      <c r="J163" s="4" t="n"/>
      <c r="K163" s="4" t="n">
        <v>132</v>
      </c>
      <c r="L163" s="4" t="n">
        <v>132</v>
      </c>
      <c r="M163" s="5" t="n">
        <v>3.5</v>
      </c>
      <c r="N163" s="5" t="n">
        <v>3.701584053950443</v>
      </c>
      <c r="O163" s="5" t="n">
        <v>3.5</v>
      </c>
      <c r="P163" s="5" t="n">
        <v>-0.2015840539504432</v>
      </c>
      <c r="Q163" s="6" t="n">
        <v>0.1456685938647627</v>
      </c>
      <c r="R163" s="6" t="n">
        <v>0.4938226697692942</v>
      </c>
      <c r="S163" s="6" t="n">
        <v>0.4119138149556401</v>
      </c>
      <c r="T163" s="2" t="inlineStr">
        <is>
          <t>Under</t>
        </is>
      </c>
      <c r="U163" s="4" t="n">
        <v>132</v>
      </c>
      <c r="V163" s="2" t="n">
        <v>2.32</v>
      </c>
      <c r="W163" s="4" t="n">
        <v>132</v>
      </c>
      <c r="X163" s="2" t="n">
        <v>1</v>
      </c>
      <c r="Y163" s="5" t="n">
        <v>-1</v>
      </c>
      <c r="Z163" s="7" t="n">
        <v>100</v>
      </c>
      <c r="AA163" s="7">
        <f>Y163*Z163</f>
        <v/>
      </c>
      <c r="AB163" s="6">
        <f>IF(Z163=0,0,AA163/Z163)</f>
        <v/>
      </c>
      <c r="AC163" s="6" t="n"/>
      <c r="AD163" s="2" t="inlineStr">
        <is>
          <t>Loss</t>
        </is>
      </c>
      <c r="AE163" s="6">
        <f>IF((COUNTIF($AD$2:AD163,"Win")+COUNTIF($AD$2:AD163,"Loss"))=0,0,COUNTIF($AD$2:AD163,"Win")/(COUNTIF($AD$2:AD163,"Win")+COUNTIF($AD$2:AD163,"Loss")))</f>
        <v/>
      </c>
      <c r="AF163" s="6">
        <f>SUM($Y$2:Y163)/SUM($X$2:X163)</f>
        <v/>
      </c>
      <c r="AG163" s="5">
        <f>SUM($Y$2:Y163)</f>
        <v/>
      </c>
      <c r="AH163" s="7">
        <f>10000.0+SUM($AA$2:AA163)</f>
        <v/>
      </c>
      <c r="AI163" s="2" t="n">
        <v>2025</v>
      </c>
      <c r="AJ163" s="2" t="inlineStr">
        <is>
          <t>2025-08</t>
        </is>
      </c>
      <c r="AK163" s="2" t="inlineStr">
        <is>
          <t>+121 to +150</t>
        </is>
      </c>
      <c r="AL163" s="2" t="inlineStr">
        <is>
          <t>2025 Validation</t>
        </is>
      </c>
      <c r="AM163" s="6" t="n">
        <v>0.1103549953520929</v>
      </c>
    </row>
    <row r="164">
      <c r="A164" s="2" t="inlineStr">
        <is>
          <t>KPROP-00163</t>
        </is>
      </c>
      <c r="B164" s="3" t="n">
        <v>45878.5490625</v>
      </c>
      <c r="C164" s="3" t="n">
        <v>45878</v>
      </c>
      <c r="D164" s="2" t="inlineStr">
        <is>
          <t>Hurston Waldrep</t>
        </is>
      </c>
      <c r="E164" s="2" t="n">
        <v>144</v>
      </c>
      <c r="F164" s="2" t="n">
        <v>146</v>
      </c>
      <c r="G164" s="2" t="inlineStr">
        <is>
          <t>Home</t>
        </is>
      </c>
      <c r="H164" s="2" t="inlineStr">
        <is>
          <t>draftkings</t>
        </is>
      </c>
      <c r="I164" s="4" t="n"/>
      <c r="J164" s="4" t="n"/>
      <c r="K164" s="4" t="n">
        <v>-140</v>
      </c>
      <c r="L164" s="4" t="n">
        <v>-140</v>
      </c>
      <c r="M164" s="5" t="n">
        <v>4.5</v>
      </c>
      <c r="N164" s="5" t="n">
        <v>3.701584053950443</v>
      </c>
      <c r="O164" s="5" t="n">
        <v>4.5</v>
      </c>
      <c r="P164" s="5" t="n">
        <v>0.7984159460495568</v>
      </c>
      <c r="Q164" s="6" t="n">
        <v>0.1775660319144595</v>
      </c>
      <c r="R164" s="6" t="n">
        <v>0.686913518616768</v>
      </c>
      <c r="S164" s="6" t="n">
        <v>0.5675675675675677</v>
      </c>
      <c r="T164" s="2" t="inlineStr">
        <is>
          <t>Under</t>
        </is>
      </c>
      <c r="U164" s="4" t="n">
        <v>-140</v>
      </c>
      <c r="V164" s="2" t="n">
        <v>1.714285714285714</v>
      </c>
      <c r="W164" s="4" t="n">
        <v>-140</v>
      </c>
      <c r="X164" s="2" t="n">
        <v>1</v>
      </c>
      <c r="Y164" s="5" t="n">
        <v>-1</v>
      </c>
      <c r="Z164" s="7" t="n">
        <v>100</v>
      </c>
      <c r="AA164" s="7">
        <f>Y164*Z164</f>
        <v/>
      </c>
      <c r="AB164" s="6">
        <f>IF(Z164=0,0,AA164/Z164)</f>
        <v/>
      </c>
      <c r="AC164" s="6" t="n"/>
      <c r="AD164" s="2" t="inlineStr">
        <is>
          <t>Loss</t>
        </is>
      </c>
      <c r="AE164" s="6">
        <f>IF((COUNTIF($AD$2:AD164,"Win")+COUNTIF($AD$2:AD164,"Loss"))=0,0,COUNTIF($AD$2:AD164,"Win")/(COUNTIF($AD$2:AD164,"Win")+COUNTIF($AD$2:AD164,"Loss")))</f>
        <v/>
      </c>
      <c r="AF164" s="6">
        <f>SUM($Y$2:Y164)/SUM($X$2:X164)</f>
        <v/>
      </c>
      <c r="AG164" s="5">
        <f>SUM($Y$2:Y164)</f>
        <v/>
      </c>
      <c r="AH164" s="7">
        <f>10000.0+SUM($AA$2:AA164)</f>
        <v/>
      </c>
      <c r="AI164" s="2" t="n">
        <v>2025</v>
      </c>
      <c r="AJ164" s="2" t="inlineStr">
        <is>
          <t>2025-08</t>
        </is>
      </c>
      <c r="AK164" s="2" t="inlineStr">
        <is>
          <t>-149 to -120</t>
        </is>
      </c>
      <c r="AL164" s="2" t="inlineStr">
        <is>
          <t>2025 Validation</t>
        </is>
      </c>
      <c r="AM164" s="6" t="n">
        <v>0.2485924446802432</v>
      </c>
    </row>
    <row r="165">
      <c r="A165" s="2" t="inlineStr">
        <is>
          <t>KPROP-00164</t>
        </is>
      </c>
      <c r="B165" s="3" t="n">
        <v>45878.80252314815</v>
      </c>
      <c r="C165" s="3" t="n">
        <v>45878</v>
      </c>
      <c r="D165" s="2" t="inlineStr">
        <is>
          <t>Jacob deGrom</t>
        </is>
      </c>
      <c r="E165" s="2" t="n">
        <v>140</v>
      </c>
      <c r="F165" s="2" t="n">
        <v>143</v>
      </c>
      <c r="G165" s="2" t="inlineStr">
        <is>
          <t>Home</t>
        </is>
      </c>
      <c r="H165" s="2" t="inlineStr">
        <is>
          <t>betonlineag</t>
        </is>
      </c>
      <c r="I165" s="4" t="n"/>
      <c r="J165" s="4" t="n"/>
      <c r="K165" s="4" t="n">
        <v>100</v>
      </c>
      <c r="L165" s="4" t="n">
        <v>100</v>
      </c>
      <c r="M165" s="5" t="n">
        <v>6.5</v>
      </c>
      <c r="N165" s="5" t="n">
        <v>6.329820494627465</v>
      </c>
      <c r="O165" s="5" t="n">
        <v>6.5</v>
      </c>
      <c r="P165" s="5" t="n">
        <v>0.170179505372535</v>
      </c>
      <c r="Q165" s="6" t="n">
        <v>0.1069627802027378</v>
      </c>
      <c r="R165" s="6" t="n">
        <v>0.5534813901013689</v>
      </c>
      <c r="S165" s="6" t="n">
        <v>0.4862385321100918</v>
      </c>
      <c r="T165" s="2" t="inlineStr">
        <is>
          <t>Under</t>
        </is>
      </c>
      <c r="U165" s="4" t="n">
        <v>100</v>
      </c>
      <c r="V165" s="2" t="n">
        <v>2</v>
      </c>
      <c r="W165" s="4" t="n">
        <v>100</v>
      </c>
      <c r="X165" s="2" t="n">
        <v>1</v>
      </c>
      <c r="Y165" s="5" t="n">
        <v>-1</v>
      </c>
      <c r="Z165" s="7" t="n">
        <v>100</v>
      </c>
      <c r="AA165" s="7">
        <f>Y165*Z165</f>
        <v/>
      </c>
      <c r="AB165" s="6">
        <f>IF(Z165=0,0,AA165/Z165)</f>
        <v/>
      </c>
      <c r="AC165" s="6" t="n"/>
      <c r="AD165" s="2" t="inlineStr">
        <is>
          <t>Loss</t>
        </is>
      </c>
      <c r="AE165" s="6">
        <f>IF((COUNTIF($AD$2:AD165,"Win")+COUNTIF($AD$2:AD165,"Loss"))=0,0,COUNTIF($AD$2:AD165,"Win")/(COUNTIF($AD$2:AD165,"Win")+COUNTIF($AD$2:AD165,"Loss")))</f>
        <v/>
      </c>
      <c r="AF165" s="6">
        <f>SUM($Y$2:Y165)/SUM($X$2:X165)</f>
        <v/>
      </c>
      <c r="AG165" s="5">
        <f>SUM($Y$2:Y165)</f>
        <v/>
      </c>
      <c r="AH165" s="7">
        <f>10000.0+SUM($AA$2:AA165)</f>
        <v/>
      </c>
      <c r="AI165" s="2" t="n">
        <v>2025</v>
      </c>
      <c r="AJ165" s="2" t="inlineStr">
        <is>
          <t>2025-08</t>
        </is>
      </c>
      <c r="AK165" s="2" t="inlineStr">
        <is>
          <t>+100 to +120</t>
        </is>
      </c>
      <c r="AL165" s="2" t="inlineStr">
        <is>
          <t>2025 Validation</t>
        </is>
      </c>
      <c r="AM165" s="6" t="n">
        <v>0.1069627802027378</v>
      </c>
    </row>
    <row r="166">
      <c r="A166" s="2" t="inlineStr">
        <is>
          <t>KPROP-00165</t>
        </is>
      </c>
      <c r="B166" s="3" t="n">
        <v>45879.67405092593</v>
      </c>
      <c r="C166" s="3" t="n">
        <v>45879</v>
      </c>
      <c r="D166" s="2" t="inlineStr">
        <is>
          <t>Brandon Pfaadt</t>
        </is>
      </c>
      <c r="E166" s="2" t="n">
        <v>109</v>
      </c>
      <c r="F166" s="2" t="n">
        <v>115</v>
      </c>
      <c r="G166" s="2" t="inlineStr">
        <is>
          <t>Home</t>
        </is>
      </c>
      <c r="H166" s="2" t="inlineStr">
        <is>
          <t>betonlineag</t>
        </is>
      </c>
      <c r="I166" s="4" t="n"/>
      <c r="J166" s="4" t="n"/>
      <c r="K166" s="4" t="n">
        <v>103</v>
      </c>
      <c r="L166" s="4" t="n">
        <v>103</v>
      </c>
      <c r="M166" s="5" t="n">
        <v>5.5</v>
      </c>
      <c r="N166" s="5" t="n">
        <v>5.500867880024021</v>
      </c>
      <c r="O166" s="5" t="n">
        <v>5.5</v>
      </c>
      <c r="P166" s="5" t="n">
        <v>-0.0008678800240211615</v>
      </c>
      <c r="Q166" s="6" t="n">
        <v>0.07340297244945826</v>
      </c>
      <c r="R166" s="6" t="n">
        <v>0.5287699371672208</v>
      </c>
      <c r="S166" s="6" t="n">
        <v>0.4774372401047282</v>
      </c>
      <c r="T166" s="2" t="inlineStr">
        <is>
          <t>Under</t>
        </is>
      </c>
      <c r="U166" s="4" t="n">
        <v>103</v>
      </c>
      <c r="V166" s="2" t="n">
        <v>2.03</v>
      </c>
      <c r="W166" s="4" t="n">
        <v>103</v>
      </c>
      <c r="X166" s="2" t="n">
        <v>1</v>
      </c>
      <c r="Y166" s="5" t="n">
        <v>1.03</v>
      </c>
      <c r="Z166" s="7" t="n">
        <v>100</v>
      </c>
      <c r="AA166" s="7">
        <f>Y166*Z166</f>
        <v/>
      </c>
      <c r="AB166" s="6">
        <f>IF(Z166=0,0,AA166/Z166)</f>
        <v/>
      </c>
      <c r="AC166" s="6" t="n"/>
      <c r="AD166" s="2" t="inlineStr">
        <is>
          <t>Win</t>
        </is>
      </c>
      <c r="AE166" s="6">
        <f>IF((COUNTIF($AD$2:AD166,"Win")+COUNTIF($AD$2:AD166,"Loss"))=0,0,COUNTIF($AD$2:AD166,"Win")/(COUNTIF($AD$2:AD166,"Win")+COUNTIF($AD$2:AD166,"Loss")))</f>
        <v/>
      </c>
      <c r="AF166" s="6">
        <f>SUM($Y$2:Y166)/SUM($X$2:X166)</f>
        <v/>
      </c>
      <c r="AG166" s="5">
        <f>SUM($Y$2:Y166)</f>
        <v/>
      </c>
      <c r="AH166" s="7">
        <f>10000.0+SUM($AA$2:AA166)</f>
        <v/>
      </c>
      <c r="AI166" s="2" t="n">
        <v>2025</v>
      </c>
      <c r="AJ166" s="2" t="inlineStr">
        <is>
          <t>2025-08</t>
        </is>
      </c>
      <c r="AK166" s="2" t="inlineStr">
        <is>
          <t>+100 to +120</t>
        </is>
      </c>
      <c r="AL166" s="2" t="inlineStr">
        <is>
          <t>2025 Validation</t>
        </is>
      </c>
      <c r="AM166" s="6" t="n">
        <v>0.07126502179559052</v>
      </c>
    </row>
    <row r="167">
      <c r="A167" s="2" t="inlineStr">
        <is>
          <t>KPROP-00166</t>
        </is>
      </c>
      <c r="B167" s="3" t="n">
        <v>45879.67405092593</v>
      </c>
      <c r="C167" s="3" t="n">
        <v>45879</v>
      </c>
      <c r="D167" s="2" t="inlineStr">
        <is>
          <t>Dylan Cease</t>
        </is>
      </c>
      <c r="E167" s="2" t="n">
        <v>135</v>
      </c>
      <c r="F167" s="2" t="n">
        <v>111</v>
      </c>
      <c r="G167" s="2" t="inlineStr">
        <is>
          <t>Home</t>
        </is>
      </c>
      <c r="H167" s="2" t="inlineStr">
        <is>
          <t>draftkings</t>
        </is>
      </c>
      <c r="I167" s="4" t="n"/>
      <c r="J167" s="4" t="n"/>
      <c r="K167" s="4" t="n">
        <v>-125</v>
      </c>
      <c r="L167" s="4" t="n">
        <v>-125</v>
      </c>
      <c r="M167" s="5" t="n">
        <v>7.5</v>
      </c>
      <c r="N167" s="5" t="n">
        <v>7.005267656059794</v>
      </c>
      <c r="O167" s="5" t="n">
        <v>7.5</v>
      </c>
      <c r="P167" s="5" t="n">
        <v>0.494732343940206</v>
      </c>
      <c r="Q167" s="6" t="n">
        <v>0.07627209316301903</v>
      </c>
      <c r="R167" s="6" t="n">
        <v>0.5979289406461217</v>
      </c>
      <c r="S167" s="6" t="n">
        <v>0.5384615384615385</v>
      </c>
      <c r="T167" s="2" t="inlineStr">
        <is>
          <t>Under</t>
        </is>
      </c>
      <c r="U167" s="4" t="n">
        <v>-125</v>
      </c>
      <c r="V167" s="2" t="n">
        <v>1.8</v>
      </c>
      <c r="W167" s="4" t="n">
        <v>-125</v>
      </c>
      <c r="X167" s="2" t="n">
        <v>1</v>
      </c>
      <c r="Y167" s="5" t="n">
        <v>0.8</v>
      </c>
      <c r="Z167" s="7" t="n">
        <v>100</v>
      </c>
      <c r="AA167" s="7">
        <f>Y167*Z167</f>
        <v/>
      </c>
      <c r="AB167" s="6">
        <f>IF(Z167=0,0,AA167/Z167)</f>
        <v/>
      </c>
      <c r="AC167" s="6" t="n"/>
      <c r="AD167" s="2" t="inlineStr">
        <is>
          <t>Win</t>
        </is>
      </c>
      <c r="AE167" s="6">
        <f>IF((COUNTIF($AD$2:AD167,"Win")+COUNTIF($AD$2:AD167,"Loss"))=0,0,COUNTIF($AD$2:AD167,"Win")/(COUNTIF($AD$2:AD167,"Win")+COUNTIF($AD$2:AD167,"Loss")))</f>
        <v/>
      </c>
      <c r="AF167" s="6">
        <f>SUM($Y$2:Y167)/SUM($X$2:X167)</f>
        <v/>
      </c>
      <c r="AG167" s="5">
        <f>SUM($Y$2:Y167)</f>
        <v/>
      </c>
      <c r="AH167" s="7">
        <f>10000.0+SUM($AA$2:AA167)</f>
        <v/>
      </c>
      <c r="AI167" s="2" t="n">
        <v>2025</v>
      </c>
      <c r="AJ167" s="2" t="inlineStr">
        <is>
          <t>2025-08</t>
        </is>
      </c>
      <c r="AK167" s="2" t="inlineStr">
        <is>
          <t>-149 to -120</t>
        </is>
      </c>
      <c r="AL167" s="2" t="inlineStr">
        <is>
          <t>2025 Validation</t>
        </is>
      </c>
      <c r="AM167" s="6" t="n">
        <v>0.09534011645377378</v>
      </c>
    </row>
    <row r="168">
      <c r="A168" s="2" t="inlineStr">
        <is>
          <t>KPROP-00167</t>
        </is>
      </c>
      <c r="B168" s="3" t="n">
        <v>45879.56642361111</v>
      </c>
      <c r="C168" s="3" t="n">
        <v>45879</v>
      </c>
      <c r="D168" s="2" t="inlineStr">
        <is>
          <t>Max Fried</t>
        </is>
      </c>
      <c r="E168" s="2" t="n">
        <v>147</v>
      </c>
      <c r="F168" s="2" t="n">
        <v>117</v>
      </c>
      <c r="G168" s="2" t="inlineStr">
        <is>
          <t>Home</t>
        </is>
      </c>
      <c r="H168" s="2" t="inlineStr">
        <is>
          <t>betmgm</t>
        </is>
      </c>
      <c r="I168" s="4" t="n"/>
      <c r="J168" s="4" t="n"/>
      <c r="K168" s="4" t="n">
        <v>-120</v>
      </c>
      <c r="L168" s="4" t="n">
        <v>-120</v>
      </c>
      <c r="M168" s="5" t="n">
        <v>5.5</v>
      </c>
      <c r="N168" s="5" t="n">
        <v>5.089510308650998</v>
      </c>
      <c r="O168" s="5" t="n">
        <v>5.5</v>
      </c>
      <c r="P168" s="5" t="n">
        <v>0.4104896913490022</v>
      </c>
      <c r="Q168" s="6" t="n">
        <v>0.1004742336625136</v>
      </c>
      <c r="R168" s="6" t="n">
        <v>0.6002586729068256</v>
      </c>
      <c r="S168" s="6" t="n">
        <v>0.5315161839863713</v>
      </c>
      <c r="T168" s="2" t="inlineStr">
        <is>
          <t>Under</t>
        </is>
      </c>
      <c r="U168" s="4" t="n">
        <v>-120</v>
      </c>
      <c r="V168" s="2" t="n">
        <v>1.833333333333333</v>
      </c>
      <c r="W168" s="4" t="n">
        <v>-120</v>
      </c>
      <c r="X168" s="2" t="n">
        <v>1</v>
      </c>
      <c r="Y168" s="5" t="n">
        <v>0.8333333333333335</v>
      </c>
      <c r="Z168" s="7" t="n">
        <v>100</v>
      </c>
      <c r="AA168" s="7">
        <f>Y168*Z168</f>
        <v/>
      </c>
      <c r="AB168" s="6">
        <f>IF(Z168=0,0,AA168/Z168)</f>
        <v/>
      </c>
      <c r="AC168" s="6" t="n"/>
      <c r="AD168" s="2" t="inlineStr">
        <is>
          <t>Win</t>
        </is>
      </c>
      <c r="AE168" s="6">
        <f>IF((COUNTIF($AD$2:AD168,"Win")+COUNTIF($AD$2:AD168,"Loss"))=0,0,COUNTIF($AD$2:AD168,"Win")/(COUNTIF($AD$2:AD168,"Win")+COUNTIF($AD$2:AD168,"Loss")))</f>
        <v/>
      </c>
      <c r="AF168" s="6">
        <f>SUM($Y$2:Y168)/SUM($X$2:X168)</f>
        <v/>
      </c>
      <c r="AG168" s="5">
        <f>SUM($Y$2:Y168)</f>
        <v/>
      </c>
      <c r="AH168" s="7">
        <f>10000.0+SUM($AA$2:AA168)</f>
        <v/>
      </c>
      <c r="AI168" s="2" t="n">
        <v>2025</v>
      </c>
      <c r="AJ168" s="2" t="inlineStr">
        <is>
          <t>2025-08</t>
        </is>
      </c>
      <c r="AK168" s="2" t="inlineStr">
        <is>
          <t>-149 to -120</t>
        </is>
      </c>
      <c r="AL168" s="2" t="inlineStr">
        <is>
          <t>2025 Validation</t>
        </is>
      </c>
      <c r="AM168" s="6" t="n">
        <v>0.1205690803950163</v>
      </c>
    </row>
    <row r="169">
      <c r="A169" s="2" t="inlineStr">
        <is>
          <t>KPROP-00168</t>
        </is>
      </c>
      <c r="B169" s="3" t="n">
        <v>45879.60807870371</v>
      </c>
      <c r="C169" s="3" t="n">
        <v>45879</v>
      </c>
      <c r="D169" s="2" t="inlineStr">
        <is>
          <t>Patrick Corbin</t>
        </is>
      </c>
      <c r="E169" s="2" t="n">
        <v>140</v>
      </c>
      <c r="F169" s="2" t="n">
        <v>143</v>
      </c>
      <c r="G169" s="2" t="inlineStr">
        <is>
          <t>Home</t>
        </is>
      </c>
      <c r="H169" s="2" t="inlineStr">
        <is>
          <t>betrivers</t>
        </is>
      </c>
      <c r="I169" s="4" t="n"/>
      <c r="J169" s="4" t="n"/>
      <c r="K169" s="4" t="n">
        <v>140</v>
      </c>
      <c r="L169" s="4" t="n">
        <v>140</v>
      </c>
      <c r="M169" s="5" t="n">
        <v>4.5</v>
      </c>
      <c r="N169" s="5" t="n">
        <v>4.718490405627429</v>
      </c>
      <c r="O169" s="5" t="n">
        <v>4.5</v>
      </c>
      <c r="P169" s="5" t="n">
        <v>-0.2184904056274295</v>
      </c>
      <c r="Q169" s="6" t="n">
        <v>0.1788660391336166</v>
      </c>
      <c r="R169" s="6" t="n">
        <v>0.4911941829723403</v>
      </c>
      <c r="S169" s="6" t="n">
        <v>0.3866317169069463</v>
      </c>
      <c r="T169" s="2" t="inlineStr">
        <is>
          <t>Under</t>
        </is>
      </c>
      <c r="U169" s="4" t="n">
        <v>140</v>
      </c>
      <c r="V169" s="2" t="n">
        <v>2.4</v>
      </c>
      <c r="W169" s="4" t="n">
        <v>140</v>
      </c>
      <c r="X169" s="2" t="n">
        <v>1</v>
      </c>
      <c r="Y169" s="5" t="n">
        <v>1.4</v>
      </c>
      <c r="Z169" s="7" t="n">
        <v>100</v>
      </c>
      <c r="AA169" s="7">
        <f>Y169*Z169</f>
        <v/>
      </c>
      <c r="AB169" s="6">
        <f>IF(Z169=0,0,AA169/Z169)</f>
        <v/>
      </c>
      <c r="AC169" s="6" t="n"/>
      <c r="AD169" s="2" t="inlineStr">
        <is>
          <t>Win</t>
        </is>
      </c>
      <c r="AE169" s="6">
        <f>IF((COUNTIF($AD$2:AD169,"Win")+COUNTIF($AD$2:AD169,"Loss"))=0,0,COUNTIF($AD$2:AD169,"Win")/(COUNTIF($AD$2:AD169,"Win")+COUNTIF($AD$2:AD169,"Loss")))</f>
        <v/>
      </c>
      <c r="AF169" s="6">
        <f>SUM($Y$2:Y169)/SUM($X$2:X169)</f>
        <v/>
      </c>
      <c r="AG169" s="5">
        <f>SUM($Y$2:Y169)</f>
        <v/>
      </c>
      <c r="AH169" s="7">
        <f>10000.0+SUM($AA$2:AA169)</f>
        <v/>
      </c>
      <c r="AI169" s="2" t="n">
        <v>2025</v>
      </c>
      <c r="AJ169" s="2" t="inlineStr">
        <is>
          <t>2025-08</t>
        </is>
      </c>
      <c r="AK169" s="2" t="inlineStr">
        <is>
          <t>+121 to +150</t>
        </is>
      </c>
      <c r="AL169" s="2" t="inlineStr">
        <is>
          <t>2025 Validation</t>
        </is>
      </c>
      <c r="AM169" s="6" t="n">
        <v>0.1277614565240119</v>
      </c>
    </row>
    <row r="170">
      <c r="A170" s="2" t="inlineStr">
        <is>
          <t>KPROP-00169</t>
        </is>
      </c>
      <c r="B170" s="3" t="n">
        <v>45879.60807870371</v>
      </c>
      <c r="C170" s="3" t="n">
        <v>45879</v>
      </c>
      <c r="D170" s="2" t="inlineStr">
        <is>
          <t>Patrick Corbin</t>
        </is>
      </c>
      <c r="E170" s="2" t="n">
        <v>140</v>
      </c>
      <c r="F170" s="2" t="n">
        <v>143</v>
      </c>
      <c r="G170" s="2" t="inlineStr">
        <is>
          <t>Home</t>
        </is>
      </c>
      <c r="H170" s="2" t="inlineStr">
        <is>
          <t>betmgm</t>
        </is>
      </c>
      <c r="I170" s="4" t="n"/>
      <c r="J170" s="4" t="n"/>
      <c r="K170" s="4" t="n">
        <v>-130</v>
      </c>
      <c r="L170" s="4" t="n">
        <v>-130</v>
      </c>
      <c r="M170" s="5" t="n">
        <v>5.5</v>
      </c>
      <c r="N170" s="5" t="n">
        <v>4.718490405627429</v>
      </c>
      <c r="O170" s="5" t="n">
        <v>5.5</v>
      </c>
      <c r="P170" s="5" t="n">
        <v>0.7815095943725705</v>
      </c>
      <c r="Q170" s="6" t="n">
        <v>0.1769320226110281</v>
      </c>
      <c r="R170" s="6" t="n">
        <v>0.6652224475627551</v>
      </c>
      <c r="S170" s="6" t="n">
        <v>0.5542635658914729</v>
      </c>
      <c r="T170" s="2" t="inlineStr">
        <is>
          <t>Under</t>
        </is>
      </c>
      <c r="U170" s="4" t="n">
        <v>-130</v>
      </c>
      <c r="V170" s="2" t="n">
        <v>1.769230769230769</v>
      </c>
      <c r="W170" s="4" t="n">
        <v>-130</v>
      </c>
      <c r="X170" s="2" t="n">
        <v>1</v>
      </c>
      <c r="Y170" s="5" t="n">
        <v>0.7692307692307692</v>
      </c>
      <c r="Z170" s="7" t="n">
        <v>100</v>
      </c>
      <c r="AA170" s="7">
        <f>Y170*Z170</f>
        <v/>
      </c>
      <c r="AB170" s="6">
        <f>IF(Z170=0,0,AA170/Z170)</f>
        <v/>
      </c>
      <c r="AC170" s="6" t="n"/>
      <c r="AD170" s="2" t="inlineStr">
        <is>
          <t>Win</t>
        </is>
      </c>
      <c r="AE170" s="6">
        <f>IF((COUNTIF($AD$2:AD170,"Win")+COUNTIF($AD$2:AD170,"Loss"))=0,0,COUNTIF($AD$2:AD170,"Win")/(COUNTIF($AD$2:AD170,"Win")+COUNTIF($AD$2:AD170,"Loss")))</f>
        <v/>
      </c>
      <c r="AF170" s="6">
        <f>SUM($Y$2:Y170)/SUM($X$2:X170)</f>
        <v/>
      </c>
      <c r="AG170" s="5">
        <f>SUM($Y$2:Y170)</f>
        <v/>
      </c>
      <c r="AH170" s="7">
        <f>10000.0+SUM($AA$2:AA170)</f>
        <v/>
      </c>
      <c r="AI170" s="2" t="n">
        <v>2025</v>
      </c>
      <c r="AJ170" s="2" t="inlineStr">
        <is>
          <t>2025-08</t>
        </is>
      </c>
      <c r="AK170" s="2" t="inlineStr">
        <is>
          <t>-149 to -120</t>
        </is>
      </c>
      <c r="AL170" s="2" t="inlineStr">
        <is>
          <t>2025 Validation</t>
        </is>
      </c>
      <c r="AM170" s="6" t="n">
        <v>0.2300116293943366</v>
      </c>
    </row>
    <row r="171">
      <c r="A171" s="2" t="inlineStr">
        <is>
          <t>KPROP-00170</t>
        </is>
      </c>
      <c r="B171" s="3" t="n">
        <v>45879.54557870371</v>
      </c>
      <c r="C171" s="3" t="n">
        <v>45879</v>
      </c>
      <c r="D171" s="2" t="inlineStr">
        <is>
          <t>Ryan Bergert</t>
        </is>
      </c>
      <c r="E171" s="2" t="n">
        <v>118</v>
      </c>
      <c r="F171" s="2" t="n">
        <v>142</v>
      </c>
      <c r="G171" s="2" t="inlineStr">
        <is>
          <t>Away</t>
        </is>
      </c>
      <c r="H171" s="2" t="inlineStr">
        <is>
          <t>betrivers</t>
        </is>
      </c>
      <c r="I171" s="4" t="n"/>
      <c r="J171" s="4" t="n"/>
      <c r="K171" s="4" t="n">
        <v>130</v>
      </c>
      <c r="L171" s="4" t="n">
        <v>130</v>
      </c>
      <c r="M171" s="5" t="n">
        <v>3.5</v>
      </c>
      <c r="N171" s="5" t="n">
        <v>3.736593147831211</v>
      </c>
      <c r="O171" s="5" t="n">
        <v>3.5</v>
      </c>
      <c r="P171" s="5" t="n">
        <v>-0.2365931478312109</v>
      </c>
      <c r="Q171" s="6" t="n">
        <v>0.1190472083259705</v>
      </c>
      <c r="R171" s="6" t="n">
        <v>0.4865422644895524</v>
      </c>
      <c r="S171" s="6" t="n">
        <v>0.4034582132564841</v>
      </c>
      <c r="T171" s="2" t="inlineStr">
        <is>
          <t>Under</t>
        </is>
      </c>
      <c r="U171" s="4" t="n">
        <v>130</v>
      </c>
      <c r="V171" s="2" t="n">
        <v>2.3</v>
      </c>
      <c r="W171" s="4" t="n">
        <v>130</v>
      </c>
      <c r="X171" s="2" t="n">
        <v>1</v>
      </c>
      <c r="Y171" s="5" t="n">
        <v>-1</v>
      </c>
      <c r="Z171" s="7" t="n">
        <v>100</v>
      </c>
      <c r="AA171" s="7">
        <f>Y171*Z171</f>
        <v/>
      </c>
      <c r="AB171" s="6">
        <f>IF(Z171=0,0,AA171/Z171)</f>
        <v/>
      </c>
      <c r="AC171" s="6" t="n"/>
      <c r="AD171" s="2" t="inlineStr">
        <is>
          <t>Loss</t>
        </is>
      </c>
      <c r="AE171" s="6">
        <f>IF((COUNTIF($AD$2:AD171,"Win")+COUNTIF($AD$2:AD171,"Loss"))=0,0,COUNTIF($AD$2:AD171,"Win")/(COUNTIF($AD$2:AD171,"Win")+COUNTIF($AD$2:AD171,"Loss")))</f>
        <v/>
      </c>
      <c r="AF171" s="6">
        <f>SUM($Y$2:Y171)/SUM($X$2:X171)</f>
        <v/>
      </c>
      <c r="AG171" s="5">
        <f>SUM($Y$2:Y171)</f>
        <v/>
      </c>
      <c r="AH171" s="7">
        <f>10000.0+SUM($AA$2:AA171)</f>
        <v/>
      </c>
      <c r="AI171" s="2" t="n">
        <v>2025</v>
      </c>
      <c r="AJ171" s="2" t="inlineStr">
        <is>
          <t>2025-08</t>
        </is>
      </c>
      <c r="AK171" s="2" t="inlineStr">
        <is>
          <t>+121 to +150</t>
        </is>
      </c>
      <c r="AL171" s="2" t="inlineStr">
        <is>
          <t>2025 Validation</t>
        </is>
      </c>
      <c r="AM171" s="6" t="n">
        <v>0.09157477563536193</v>
      </c>
    </row>
    <row r="172">
      <c r="A172" s="2" t="inlineStr">
        <is>
          <t>KPROP-00171</t>
        </is>
      </c>
      <c r="B172" s="3" t="n">
        <v>45879.54557870371</v>
      </c>
      <c r="C172" s="3" t="n">
        <v>45879</v>
      </c>
      <c r="D172" s="2" t="inlineStr">
        <is>
          <t>Ryan Bergert</t>
        </is>
      </c>
      <c r="E172" s="2" t="n">
        <v>118</v>
      </c>
      <c r="F172" s="2" t="n">
        <v>142</v>
      </c>
      <c r="G172" s="2" t="inlineStr">
        <is>
          <t>Away</t>
        </is>
      </c>
      <c r="H172" s="2" t="inlineStr">
        <is>
          <t>bovada</t>
        </is>
      </c>
      <c r="I172" s="4" t="n"/>
      <c r="J172" s="4" t="n"/>
      <c r="K172" s="4" t="n">
        <v>-150</v>
      </c>
      <c r="L172" s="4" t="n">
        <v>-150</v>
      </c>
      <c r="M172" s="5" t="n">
        <v>4.5</v>
      </c>
      <c r="N172" s="5" t="n">
        <v>3.736593147831211</v>
      </c>
      <c r="O172" s="5" t="n">
        <v>4.5</v>
      </c>
      <c r="P172" s="5" t="n">
        <v>0.7634068521687891</v>
      </c>
      <c r="Q172" s="6" t="n">
        <v>0.133574060813249</v>
      </c>
      <c r="R172" s="6" t="n">
        <v>0.6801444364879494</v>
      </c>
      <c r="S172" s="6" t="n">
        <v>0.5840266222961731</v>
      </c>
      <c r="T172" s="2" t="inlineStr">
        <is>
          <t>Under</t>
        </is>
      </c>
      <c r="U172" s="4" t="n">
        <v>-150</v>
      </c>
      <c r="V172" s="2" t="n">
        <v>1.666666666666667</v>
      </c>
      <c r="W172" s="4" t="n">
        <v>-150</v>
      </c>
      <c r="X172" s="2" t="n">
        <v>1</v>
      </c>
      <c r="Y172" s="5" t="n">
        <v>-1</v>
      </c>
      <c r="Z172" s="7" t="n">
        <v>100</v>
      </c>
      <c r="AA172" s="7">
        <f>Y172*Z172</f>
        <v/>
      </c>
      <c r="AB172" s="6">
        <f>IF(Z172=0,0,AA172/Z172)</f>
        <v/>
      </c>
      <c r="AC172" s="6" t="n"/>
      <c r="AD172" s="2" t="inlineStr">
        <is>
          <t>Loss</t>
        </is>
      </c>
      <c r="AE172" s="6">
        <f>IF((COUNTIF($AD$2:AD172,"Win")+COUNTIF($AD$2:AD172,"Loss"))=0,0,COUNTIF($AD$2:AD172,"Win")/(COUNTIF($AD$2:AD172,"Win")+COUNTIF($AD$2:AD172,"Loss")))</f>
        <v/>
      </c>
      <c r="AF172" s="6">
        <f>SUM($Y$2:Y172)/SUM($X$2:X172)</f>
        <v/>
      </c>
      <c r="AG172" s="5">
        <f>SUM($Y$2:Y172)</f>
        <v/>
      </c>
      <c r="AH172" s="7">
        <f>10000.0+SUM($AA$2:AA172)</f>
        <v/>
      </c>
      <c r="AI172" s="2" t="n">
        <v>2025</v>
      </c>
      <c r="AJ172" s="2" t="inlineStr">
        <is>
          <t>2025-08</t>
        </is>
      </c>
      <c r="AK172" s="2" t="inlineStr">
        <is>
          <t>&lt;= -150</t>
        </is>
      </c>
      <c r="AL172" s="2" t="inlineStr">
        <is>
          <t>2025 Validation</t>
        </is>
      </c>
      <c r="AM172" s="6" t="n">
        <v>0.2003610912198735</v>
      </c>
    </row>
    <row r="173">
      <c r="A173" s="2" t="inlineStr">
        <is>
          <t>KPROP-00172</t>
        </is>
      </c>
      <c r="B173" s="3" t="n">
        <v>45879.59071759259</v>
      </c>
      <c r="C173" s="3" t="n">
        <v>45879</v>
      </c>
      <c r="D173" s="2" t="inlineStr">
        <is>
          <t>Sean Manaea</t>
        </is>
      </c>
      <c r="E173" s="2" t="n">
        <v>121</v>
      </c>
      <c r="F173" s="2" t="n">
        <v>158</v>
      </c>
      <c r="G173" s="2" t="inlineStr">
        <is>
          <t>Away</t>
        </is>
      </c>
      <c r="H173" s="2" t="inlineStr">
        <is>
          <t>betmgm</t>
        </is>
      </c>
      <c r="I173" s="4" t="n"/>
      <c r="J173" s="4" t="n"/>
      <c r="K173" s="4" t="n">
        <v>105</v>
      </c>
      <c r="L173" s="4" t="n">
        <v>105</v>
      </c>
      <c r="M173" s="5" t="n">
        <v>4.5</v>
      </c>
      <c r="N173" s="5" t="n">
        <v>4.438351823848639</v>
      </c>
      <c r="O173" s="5" t="n">
        <v>4.5</v>
      </c>
      <c r="P173" s="5" t="n">
        <v>0.06164817615136098</v>
      </c>
      <c r="Q173" s="6" t="n">
        <v>0.1148792894063669</v>
      </c>
      <c r="R173" s="6" t="n">
        <v>0.5438435558079839</v>
      </c>
      <c r="S173" s="6" t="n">
        <v>0.4702393560686294</v>
      </c>
      <c r="T173" s="2" t="inlineStr">
        <is>
          <t>Under</t>
        </is>
      </c>
      <c r="U173" s="4" t="n">
        <v>105</v>
      </c>
      <c r="V173" s="2" t="n">
        <v>2.05</v>
      </c>
      <c r="W173" s="4" t="n">
        <v>105</v>
      </c>
      <c r="X173" s="2" t="n">
        <v>1</v>
      </c>
      <c r="Y173" s="5" t="n">
        <v>-1</v>
      </c>
      <c r="Z173" s="7" t="n">
        <v>100</v>
      </c>
      <c r="AA173" s="7">
        <f>Y173*Z173</f>
        <v/>
      </c>
      <c r="AB173" s="6">
        <f>IF(Z173=0,0,AA173/Z173)</f>
        <v/>
      </c>
      <c r="AC173" s="6" t="n"/>
      <c r="AD173" s="2" t="inlineStr">
        <is>
          <t>Loss</t>
        </is>
      </c>
      <c r="AE173" s="6">
        <f>IF((COUNTIF($AD$2:AD173,"Win")+COUNTIF($AD$2:AD173,"Loss"))=0,0,COUNTIF($AD$2:AD173,"Win")/(COUNTIF($AD$2:AD173,"Win")+COUNTIF($AD$2:AD173,"Loss")))</f>
        <v/>
      </c>
      <c r="AF173" s="6">
        <f>SUM($Y$2:Y173)/SUM($X$2:X173)</f>
        <v/>
      </c>
      <c r="AG173" s="5">
        <f>SUM($Y$2:Y173)</f>
        <v/>
      </c>
      <c r="AH173" s="7">
        <f>10000.0+SUM($AA$2:AA173)</f>
        <v/>
      </c>
      <c r="AI173" s="2" t="n">
        <v>2025</v>
      </c>
      <c r="AJ173" s="2" t="inlineStr">
        <is>
          <t>2025-08</t>
        </is>
      </c>
      <c r="AK173" s="2" t="inlineStr">
        <is>
          <t>+100 to +120</t>
        </is>
      </c>
      <c r="AL173" s="2" t="inlineStr">
        <is>
          <t>2025 Validation</t>
        </is>
      </c>
      <c r="AM173" s="6" t="n">
        <v>0.1094088470536828</v>
      </c>
    </row>
    <row r="174">
      <c r="A174" s="2" t="inlineStr">
        <is>
          <t>KPROP-00173</t>
        </is>
      </c>
      <c r="B174" s="3" t="n">
        <v>45879.79905092593</v>
      </c>
      <c r="C174" s="3" t="n">
        <v>45879</v>
      </c>
      <c r="D174" s="2" t="inlineStr">
        <is>
          <t>Sonny Gray</t>
        </is>
      </c>
      <c r="E174" s="2" t="n">
        <v>138</v>
      </c>
      <c r="F174" s="2" t="n">
        <v>112</v>
      </c>
      <c r="G174" s="2" t="inlineStr">
        <is>
          <t>Home</t>
        </is>
      </c>
      <c r="H174" s="2" t="inlineStr">
        <is>
          <t>fanduel</t>
        </is>
      </c>
      <c r="I174" s="4" t="n"/>
      <c r="J174" s="4" t="n"/>
      <c r="K174" s="4" t="n">
        <v>-104</v>
      </c>
      <c r="L174" s="4" t="n">
        <v>-104</v>
      </c>
      <c r="M174" s="5" t="n">
        <v>5.5</v>
      </c>
      <c r="N174" s="5" t="n">
        <v>4.877867267459892</v>
      </c>
      <c r="O174" s="5" t="n">
        <v>5.5</v>
      </c>
      <c r="P174" s="5" t="n">
        <v>0.6221327325401083</v>
      </c>
      <c r="Q174" s="6" t="n">
        <v>0.2502457407483194</v>
      </c>
      <c r="R174" s="6" t="n">
        <v>0.6373801815579667</v>
      </c>
      <c r="S174" s="6" t="n">
        <v>0.4932249322493225</v>
      </c>
      <c r="T174" s="2" t="inlineStr">
        <is>
          <t>Under</t>
        </is>
      </c>
      <c r="U174" s="4" t="n">
        <v>-104</v>
      </c>
      <c r="V174" s="2" t="n">
        <v>1.961538461538462</v>
      </c>
      <c r="W174" s="4" t="n">
        <v>-104</v>
      </c>
      <c r="X174" s="2" t="n">
        <v>1</v>
      </c>
      <c r="Y174" s="5" t="n">
        <v>-1</v>
      </c>
      <c r="Z174" s="7" t="n">
        <v>100</v>
      </c>
      <c r="AA174" s="7">
        <f>Y174*Z174</f>
        <v/>
      </c>
      <c r="AB174" s="6">
        <f>IF(Z174=0,0,AA174/Z174)</f>
        <v/>
      </c>
      <c r="AC174" s="6" t="n"/>
      <c r="AD174" s="2" t="inlineStr">
        <is>
          <t>Loss</t>
        </is>
      </c>
      <c r="AE174" s="6">
        <f>IF((COUNTIF($AD$2:AD174,"Win")+COUNTIF($AD$2:AD174,"Loss"))=0,0,COUNTIF($AD$2:AD174,"Win")/(COUNTIF($AD$2:AD174,"Win")+COUNTIF($AD$2:AD174,"Loss")))</f>
        <v/>
      </c>
      <c r="AF174" s="6">
        <f>SUM($Y$2:Y174)/SUM($X$2:X174)</f>
        <v/>
      </c>
      <c r="AG174" s="5">
        <f>SUM($Y$2:Y174)</f>
        <v/>
      </c>
      <c r="AH174" s="7">
        <f>10000.0+SUM($AA$2:AA174)</f>
        <v/>
      </c>
      <c r="AI174" s="2" t="n">
        <v>2025</v>
      </c>
      <c r="AJ174" s="2" t="inlineStr">
        <is>
          <t>2025-08</t>
        </is>
      </c>
      <c r="AK174" s="2" t="inlineStr">
        <is>
          <t>-119 to -101</t>
        </is>
      </c>
      <c r="AL174" s="2" t="inlineStr">
        <is>
          <t>2025 Validation</t>
        </is>
      </c>
      <c r="AM174" s="6" t="n">
        <v>0.2602555703782521</v>
      </c>
    </row>
    <row r="175">
      <c r="A175" s="2" t="inlineStr">
        <is>
          <t>KPROP-00174</t>
        </is>
      </c>
      <c r="B175" s="3" t="n">
        <v>45879.67405092593</v>
      </c>
      <c r="C175" s="3" t="n">
        <v>45879</v>
      </c>
      <c r="D175" s="2" t="inlineStr">
        <is>
          <t>Tyler Glasnow</t>
        </is>
      </c>
      <c r="E175" s="2" t="n">
        <v>119</v>
      </c>
      <c r="F175" s="2" t="n">
        <v>141</v>
      </c>
      <c r="G175" s="2" t="inlineStr">
        <is>
          <t>Home</t>
        </is>
      </c>
      <c r="H175" s="2" t="inlineStr">
        <is>
          <t>betmgm</t>
        </is>
      </c>
      <c r="I175" s="4" t="n"/>
      <c r="J175" s="4" t="n"/>
      <c r="K175" s="4" t="n">
        <v>100</v>
      </c>
      <c r="L175" s="4" t="n">
        <v>100</v>
      </c>
      <c r="M175" s="5" t="n">
        <v>5.5</v>
      </c>
      <c r="N175" s="5" t="n">
        <v>5.420511037310474</v>
      </c>
      <c r="O175" s="5" t="n">
        <v>5.5</v>
      </c>
      <c r="P175" s="5" t="n">
        <v>0.07948896268952588</v>
      </c>
      <c r="Q175" s="6" t="n">
        <v>0.08518018700348806</v>
      </c>
      <c r="R175" s="6" t="n">
        <v>0.542590093501744</v>
      </c>
      <c r="S175" s="6" t="n">
        <v>0.4883720930232558</v>
      </c>
      <c r="T175" s="2" t="inlineStr">
        <is>
          <t>Under</t>
        </is>
      </c>
      <c r="U175" s="4" t="n">
        <v>100</v>
      </c>
      <c r="V175" s="2" t="n">
        <v>2</v>
      </c>
      <c r="W175" s="4" t="n">
        <v>100</v>
      </c>
      <c r="X175" s="2" t="n">
        <v>1</v>
      </c>
      <c r="Y175" s="5" t="n">
        <v>-1</v>
      </c>
      <c r="Z175" s="7" t="n">
        <v>100</v>
      </c>
      <c r="AA175" s="7">
        <f>Y175*Z175</f>
        <v/>
      </c>
      <c r="AB175" s="6">
        <f>IF(Z175=0,0,AA175/Z175)</f>
        <v/>
      </c>
      <c r="AC175" s="6" t="n"/>
      <c r="AD175" s="2" t="inlineStr">
        <is>
          <t>Loss</t>
        </is>
      </c>
      <c r="AE175" s="6">
        <f>IF((COUNTIF($AD$2:AD175,"Win")+COUNTIF($AD$2:AD175,"Loss"))=0,0,COUNTIF($AD$2:AD175,"Win")/(COUNTIF($AD$2:AD175,"Win")+COUNTIF($AD$2:AD175,"Loss")))</f>
        <v/>
      </c>
      <c r="AF175" s="6">
        <f>SUM($Y$2:Y175)/SUM($X$2:X175)</f>
        <v/>
      </c>
      <c r="AG175" s="5">
        <f>SUM($Y$2:Y175)</f>
        <v/>
      </c>
      <c r="AH175" s="7">
        <f>10000.0+SUM($AA$2:AA175)</f>
        <v/>
      </c>
      <c r="AI175" s="2" t="n">
        <v>2025</v>
      </c>
      <c r="AJ175" s="2" t="inlineStr">
        <is>
          <t>2025-08</t>
        </is>
      </c>
      <c r="AK175" s="2" t="inlineStr">
        <is>
          <t>+100 to +120</t>
        </is>
      </c>
      <c r="AL175" s="2" t="inlineStr">
        <is>
          <t>2025 Validation</t>
        </is>
      </c>
      <c r="AM175" s="6" t="n">
        <v>0.08518018700348806</v>
      </c>
    </row>
    <row r="176">
      <c r="A176" s="2" t="inlineStr">
        <is>
          <t>KPROP-00175</t>
        </is>
      </c>
      <c r="B176" s="3" t="n">
        <v>45880.81988425926</v>
      </c>
      <c r="C176" s="3" t="n">
        <v>45880</v>
      </c>
      <c r="D176" s="2" t="inlineStr">
        <is>
          <t>Andrew Heaney</t>
        </is>
      </c>
      <c r="E176" s="2" t="n">
        <v>134</v>
      </c>
      <c r="F176" s="2" t="n">
        <v>158</v>
      </c>
      <c r="G176" s="2" t="inlineStr">
        <is>
          <t>Away</t>
        </is>
      </c>
      <c r="H176" s="2" t="inlineStr">
        <is>
          <t>betrivers</t>
        </is>
      </c>
      <c r="I176" s="4" t="n"/>
      <c r="J176" s="4" t="n"/>
      <c r="K176" s="4" t="n">
        <v>-129</v>
      </c>
      <c r="L176" s="4" t="n">
        <v>-129</v>
      </c>
      <c r="M176" s="5" t="n">
        <v>3.5</v>
      </c>
      <c r="N176" s="5" t="n">
        <v>2.942787380503248</v>
      </c>
      <c r="O176" s="5" t="n">
        <v>3.5</v>
      </c>
      <c r="P176" s="5" t="n">
        <v>0.5572126194967524</v>
      </c>
      <c r="Q176" s="6" t="n">
        <v>0.1717123253153483</v>
      </c>
      <c r="R176" s="6" t="n">
        <v>0.6600475544352835</v>
      </c>
      <c r="S176" s="6" t="n">
        <v>0.5477436555742076</v>
      </c>
      <c r="T176" s="2" t="inlineStr">
        <is>
          <t>Under</t>
        </is>
      </c>
      <c r="U176" s="4" t="n">
        <v>-129</v>
      </c>
      <c r="V176" s="2" t="n">
        <v>1.775193798449612</v>
      </c>
      <c r="W176" s="4" t="n">
        <v>-129</v>
      </c>
      <c r="X176" s="2" t="n">
        <v>1</v>
      </c>
      <c r="Y176" s="5" t="n">
        <v>0.7751937984496124</v>
      </c>
      <c r="Z176" s="7" t="n">
        <v>100</v>
      </c>
      <c r="AA176" s="7">
        <f>Y176*Z176</f>
        <v/>
      </c>
      <c r="AB176" s="6">
        <f>IF(Z176=0,0,AA176/Z176)</f>
        <v/>
      </c>
      <c r="AC176" s="6" t="n"/>
      <c r="AD176" s="2" t="inlineStr">
        <is>
          <t>Win</t>
        </is>
      </c>
      <c r="AE176" s="6">
        <f>IF((COUNTIF($AD$2:AD176,"Win")+COUNTIF($AD$2:AD176,"Loss"))=0,0,COUNTIF($AD$2:AD176,"Win")/(COUNTIF($AD$2:AD176,"Win")+COUNTIF($AD$2:AD176,"Loss")))</f>
        <v/>
      </c>
      <c r="AF176" s="6">
        <f>SUM($Y$2:Y176)/SUM($X$2:X176)</f>
        <v/>
      </c>
      <c r="AG176" s="5">
        <f>SUM($Y$2:Y176)</f>
        <v/>
      </c>
      <c r="AH176" s="7">
        <f>10000.0+SUM($AA$2:AA176)</f>
        <v/>
      </c>
      <c r="AI176" s="2" t="n">
        <v>2025</v>
      </c>
      <c r="AJ176" s="2" t="inlineStr">
        <is>
          <t>2025-08</t>
        </is>
      </c>
      <c r="AK176" s="2" t="inlineStr">
        <is>
          <t>-149 to -120</t>
        </is>
      </c>
      <c r="AL176" s="2" t="inlineStr">
        <is>
          <t>2025 Validation</t>
        </is>
      </c>
      <c r="AM176" s="6" t="n">
        <v>0.2215088996567993</v>
      </c>
    </row>
    <row r="177">
      <c r="A177" s="2" t="inlineStr">
        <is>
          <t>KPROP-00176</t>
        </is>
      </c>
      <c r="B177" s="3" t="n">
        <v>45880.81988425926</v>
      </c>
      <c r="C177" s="3" t="n">
        <v>45880</v>
      </c>
      <c r="D177" s="2" t="inlineStr">
        <is>
          <t>Bailey Falter</t>
        </is>
      </c>
      <c r="E177" s="2" t="n">
        <v>118</v>
      </c>
      <c r="F177" s="2" t="n">
        <v>120</v>
      </c>
      <c r="G177" s="2" t="inlineStr">
        <is>
          <t>Home</t>
        </is>
      </c>
      <c r="H177" s="2" t="inlineStr">
        <is>
          <t>fanatics</t>
        </is>
      </c>
      <c r="I177" s="4" t="n"/>
      <c r="J177" s="4" t="n"/>
      <c r="K177" s="4" t="n">
        <v>125</v>
      </c>
      <c r="L177" s="4" t="n">
        <v>125</v>
      </c>
      <c r="M177" s="5" t="n">
        <v>3.5</v>
      </c>
      <c r="N177" s="5" t="n">
        <v>3.748882573050933</v>
      </c>
      <c r="O177" s="5" t="n">
        <v>3.5</v>
      </c>
      <c r="P177" s="5" t="n">
        <v>-0.2488825730509325</v>
      </c>
      <c r="Q177" s="6" t="n">
        <v>0.08899635121672667</v>
      </c>
      <c r="R177" s="6" t="n">
        <v>0.4839983783185452</v>
      </c>
      <c r="S177" s="6" t="n">
        <v>0.4288840262582057</v>
      </c>
      <c r="T177" s="2" t="inlineStr">
        <is>
          <t>Under</t>
        </is>
      </c>
      <c r="U177" s="4" t="n">
        <v>125</v>
      </c>
      <c r="V177" s="2" t="n">
        <v>2.25</v>
      </c>
      <c r="W177" s="4" t="n">
        <v>125</v>
      </c>
      <c r="X177" s="2" t="n">
        <v>1</v>
      </c>
      <c r="Y177" s="5" t="n">
        <v>-1</v>
      </c>
      <c r="Z177" s="7" t="n">
        <v>100</v>
      </c>
      <c r="AA177" s="7">
        <f>Y177*Z177</f>
        <v/>
      </c>
      <c r="AB177" s="6">
        <f>IF(Z177=0,0,AA177/Z177)</f>
        <v/>
      </c>
      <c r="AC177" s="6" t="n"/>
      <c r="AD177" s="2" t="inlineStr">
        <is>
          <t>Loss</t>
        </is>
      </c>
      <c r="AE177" s="6">
        <f>IF((COUNTIF($AD$2:AD177,"Win")+COUNTIF($AD$2:AD177,"Loss"))=0,0,COUNTIF($AD$2:AD177,"Win")/(COUNTIF($AD$2:AD177,"Win")+COUNTIF($AD$2:AD177,"Loss")))</f>
        <v/>
      </c>
      <c r="AF177" s="6">
        <f>SUM($Y$2:Y177)/SUM($X$2:X177)</f>
        <v/>
      </c>
      <c r="AG177" s="5">
        <f>SUM($Y$2:Y177)</f>
        <v/>
      </c>
      <c r="AH177" s="7">
        <f>10000.0+SUM($AA$2:AA177)</f>
        <v/>
      </c>
      <c r="AI177" s="2" t="n">
        <v>2025</v>
      </c>
      <c r="AJ177" s="2" t="inlineStr">
        <is>
          <t>2025-08</t>
        </is>
      </c>
      <c r="AK177" s="2" t="inlineStr">
        <is>
          <t>+121 to +150</t>
        </is>
      </c>
      <c r="AL177" s="2" t="inlineStr">
        <is>
          <t>2025 Validation</t>
        </is>
      </c>
      <c r="AM177" s="6" t="n">
        <v>0.07119708097338133</v>
      </c>
    </row>
    <row r="178">
      <c r="A178" s="2" t="inlineStr">
        <is>
          <t>KPROP-00177</t>
        </is>
      </c>
      <c r="B178" s="3" t="n">
        <v>45880.79557870371</v>
      </c>
      <c r="C178" s="3" t="n">
        <v>45880</v>
      </c>
      <c r="D178" s="2" t="inlineStr">
        <is>
          <t>Will Warren</t>
        </is>
      </c>
      <c r="E178" s="2" t="n">
        <v>147</v>
      </c>
      <c r="F178" s="2" t="n">
        <v>142</v>
      </c>
      <c r="G178" s="2" t="inlineStr">
        <is>
          <t>Home</t>
        </is>
      </c>
      <c r="H178" s="2" t="inlineStr">
        <is>
          <t>draftkings</t>
        </is>
      </c>
      <c r="I178" s="4" t="n"/>
      <c r="J178" s="4" t="n"/>
      <c r="K178" s="4" t="n">
        <v>-125</v>
      </c>
      <c r="L178" s="4" t="n">
        <v>-125</v>
      </c>
      <c r="M178" s="5" t="n">
        <v>5.5</v>
      </c>
      <c r="N178" s="5" t="n">
        <v>4.802538954995953</v>
      </c>
      <c r="O178" s="5" t="n">
        <v>5.5</v>
      </c>
      <c r="P178" s="5" t="n">
        <v>0.6974610450040473</v>
      </c>
      <c r="Q178" s="6" t="n">
        <v>0.1710129273190085</v>
      </c>
      <c r="R178" s="6" t="n">
        <v>0.6505627373994491</v>
      </c>
      <c r="S178" s="6" t="n">
        <v>0.5336787564766839</v>
      </c>
      <c r="T178" s="2" t="inlineStr">
        <is>
          <t>Under</t>
        </is>
      </c>
      <c r="U178" s="4" t="n">
        <v>-125</v>
      </c>
      <c r="V178" s="2" t="n">
        <v>1.8</v>
      </c>
      <c r="W178" s="4" t="n">
        <v>-125</v>
      </c>
      <c r="X178" s="2" t="n">
        <v>1</v>
      </c>
      <c r="Y178" s="5" t="n">
        <v>-1</v>
      </c>
      <c r="Z178" s="7" t="n">
        <v>100</v>
      </c>
      <c r="AA178" s="7">
        <f>Y178*Z178</f>
        <v/>
      </c>
      <c r="AB178" s="6">
        <f>IF(Z178=0,0,AA178/Z178)</f>
        <v/>
      </c>
      <c r="AC178" s="6" t="n"/>
      <c r="AD178" s="2" t="inlineStr">
        <is>
          <t>Loss</t>
        </is>
      </c>
      <c r="AE178" s="6">
        <f>IF((COUNTIF($AD$2:AD178,"Win")+COUNTIF($AD$2:AD178,"Loss"))=0,0,COUNTIF($AD$2:AD178,"Win")/(COUNTIF($AD$2:AD178,"Win")+COUNTIF($AD$2:AD178,"Loss")))</f>
        <v/>
      </c>
      <c r="AF178" s="6">
        <f>SUM($Y$2:Y178)/SUM($X$2:X178)</f>
        <v/>
      </c>
      <c r="AG178" s="5">
        <f>SUM($Y$2:Y178)</f>
        <v/>
      </c>
      <c r="AH178" s="7">
        <f>10000.0+SUM($AA$2:AA178)</f>
        <v/>
      </c>
      <c r="AI178" s="2" t="n">
        <v>2025</v>
      </c>
      <c r="AJ178" s="2" t="inlineStr">
        <is>
          <t>2025-08</t>
        </is>
      </c>
      <c r="AK178" s="2" t="inlineStr">
        <is>
          <t>-149 to -120</t>
        </is>
      </c>
      <c r="AL178" s="2" t="inlineStr">
        <is>
          <t>2025 Validation</t>
        </is>
      </c>
      <c r="AM178" s="6" t="n">
        <v>0.2137661591487607</v>
      </c>
    </row>
    <row r="179">
      <c r="A179" s="2" t="inlineStr">
        <is>
          <t>KPROP-00178</t>
        </is>
      </c>
      <c r="B179" s="3" t="n">
        <v>45881.7990625</v>
      </c>
      <c r="C179" s="3" t="n">
        <v>45881</v>
      </c>
      <c r="D179" s="2" t="inlineStr">
        <is>
          <t>Clay Holmes</t>
        </is>
      </c>
      <c r="E179" s="2" t="n">
        <v>121</v>
      </c>
      <c r="F179" s="2" t="n">
        <v>144</v>
      </c>
      <c r="G179" s="2" t="inlineStr">
        <is>
          <t>Home</t>
        </is>
      </c>
      <c r="H179" s="2" t="inlineStr">
        <is>
          <t>betrivers</t>
        </is>
      </c>
      <c r="I179" s="4" t="n"/>
      <c r="J179" s="4" t="n"/>
      <c r="K179" s="4" t="n">
        <v>123</v>
      </c>
      <c r="L179" s="4" t="n">
        <v>123</v>
      </c>
      <c r="M179" s="5" t="n">
        <v>3.5</v>
      </c>
      <c r="N179" s="5" t="n">
        <v>3.684015054076732</v>
      </c>
      <c r="O179" s="5" t="n">
        <v>3.5</v>
      </c>
      <c r="P179" s="5" t="n">
        <v>-0.184015054076732</v>
      </c>
      <c r="Q179" s="6" t="n">
        <v>0.1094130536195541</v>
      </c>
      <c r="R179" s="6" t="n">
        <v>0.4974946428787238</v>
      </c>
      <c r="S179" s="6" t="n">
        <v>0.4175724496019769</v>
      </c>
      <c r="T179" s="2" t="inlineStr">
        <is>
          <t>Under</t>
        </is>
      </c>
      <c r="U179" s="4" t="n">
        <v>123</v>
      </c>
      <c r="V179" s="2" t="n">
        <v>2.23</v>
      </c>
      <c r="W179" s="4" t="n">
        <v>123</v>
      </c>
      <c r="X179" s="2" t="n">
        <v>1</v>
      </c>
      <c r="Y179" s="5" t="n">
        <v>-1</v>
      </c>
      <c r="Z179" s="7" t="n">
        <v>100</v>
      </c>
      <c r="AA179" s="7">
        <f>Y179*Z179</f>
        <v/>
      </c>
      <c r="AB179" s="6">
        <f>IF(Z179=0,0,AA179/Z179)</f>
        <v/>
      </c>
      <c r="AC179" s="6" t="n"/>
      <c r="AD179" s="2" t="inlineStr">
        <is>
          <t>Loss</t>
        </is>
      </c>
      <c r="AE179" s="6">
        <f>IF((COUNTIF($AD$2:AD179,"Win")+COUNTIF($AD$2:AD179,"Loss"))=0,0,COUNTIF($AD$2:AD179,"Win")/(COUNTIF($AD$2:AD179,"Win")+COUNTIF($AD$2:AD179,"Loss")))</f>
        <v/>
      </c>
      <c r="AF179" s="6">
        <f>SUM($Y$2:Y179)/SUM($X$2:X179)</f>
        <v/>
      </c>
      <c r="AG179" s="5">
        <f>SUM($Y$2:Y179)</f>
        <v/>
      </c>
      <c r="AH179" s="7">
        <f>10000.0+SUM($AA$2:AA179)</f>
        <v/>
      </c>
      <c r="AI179" s="2" t="n">
        <v>2025</v>
      </c>
      <c r="AJ179" s="2" t="inlineStr">
        <is>
          <t>2025-08</t>
        </is>
      </c>
      <c r="AK179" s="2" t="inlineStr">
        <is>
          <t>+121 to +150</t>
        </is>
      </c>
      <c r="AL179" s="2" t="inlineStr">
        <is>
          <t>2025 Validation</t>
        </is>
      </c>
      <c r="AM179" s="6" t="n">
        <v>0.08895370212971879</v>
      </c>
    </row>
    <row r="180">
      <c r="A180" s="2" t="inlineStr">
        <is>
          <t>KPROP-00179</t>
        </is>
      </c>
      <c r="B180" s="3" t="n">
        <v>45881.7990625</v>
      </c>
      <c r="C180" s="3" t="n">
        <v>45881</v>
      </c>
      <c r="D180" s="2" t="inlineStr">
        <is>
          <t>Clay Holmes</t>
        </is>
      </c>
      <c r="E180" s="2" t="n">
        <v>121</v>
      </c>
      <c r="F180" s="2" t="n">
        <v>144</v>
      </c>
      <c r="G180" s="2" t="inlineStr">
        <is>
          <t>Home</t>
        </is>
      </c>
      <c r="H180" s="2" t="inlineStr">
        <is>
          <t>draftkings</t>
        </is>
      </c>
      <c r="I180" s="4" t="n"/>
      <c r="J180" s="4" t="n"/>
      <c r="K180" s="4" t="n">
        <v>-155</v>
      </c>
      <c r="L180" s="4" t="n">
        <v>-155</v>
      </c>
      <c r="M180" s="5" t="n">
        <v>4.5</v>
      </c>
      <c r="N180" s="5" t="n">
        <v>3.684015054076732</v>
      </c>
      <c r="O180" s="5" t="n">
        <v>4.5</v>
      </c>
      <c r="P180" s="5" t="n">
        <v>0.815984945923268</v>
      </c>
      <c r="Q180" s="6" t="n">
        <v>0.1356605628049177</v>
      </c>
      <c r="R180" s="6" t="n">
        <v>0.6903034793520089</v>
      </c>
      <c r="S180" s="6" t="n">
        <v>0.5829926410466066</v>
      </c>
      <c r="T180" s="2" t="inlineStr">
        <is>
          <t>Under</t>
        </is>
      </c>
      <c r="U180" s="4" t="n">
        <v>-155</v>
      </c>
      <c r="V180" s="2" t="n">
        <v>1.645161290322581</v>
      </c>
      <c r="W180" s="4" t="n">
        <v>-155</v>
      </c>
      <c r="X180" s="2" t="n">
        <v>1</v>
      </c>
      <c r="Y180" s="5" t="n">
        <v>0.6451612903225805</v>
      </c>
      <c r="Z180" s="7" t="n">
        <v>100</v>
      </c>
      <c r="AA180" s="7">
        <f>Y180*Z180</f>
        <v/>
      </c>
      <c r="AB180" s="6">
        <f>IF(Z180=0,0,AA180/Z180)</f>
        <v/>
      </c>
      <c r="AC180" s="6" t="n"/>
      <c r="AD180" s="2" t="inlineStr">
        <is>
          <t>Win</t>
        </is>
      </c>
      <c r="AE180" s="6">
        <f>IF((COUNTIF($AD$2:AD180,"Win")+COUNTIF($AD$2:AD180,"Loss"))=0,0,COUNTIF($AD$2:AD180,"Win")/(COUNTIF($AD$2:AD180,"Win")+COUNTIF($AD$2:AD180,"Loss")))</f>
        <v/>
      </c>
      <c r="AF180" s="6">
        <f>SUM($Y$2:Y180)/SUM($X$2:X180)</f>
        <v/>
      </c>
      <c r="AG180" s="5">
        <f>SUM($Y$2:Y180)</f>
        <v/>
      </c>
      <c r="AH180" s="7">
        <f>10000.0+SUM($AA$2:AA180)</f>
        <v/>
      </c>
      <c r="AI180" s="2" t="n">
        <v>2025</v>
      </c>
      <c r="AJ180" s="2" t="inlineStr">
        <is>
          <t>2025-08</t>
        </is>
      </c>
      <c r="AK180" s="2" t="inlineStr">
        <is>
          <t>&lt;= -150</t>
        </is>
      </c>
      <c r="AL180" s="2" t="inlineStr">
        <is>
          <t>2025 Validation</t>
        </is>
      </c>
      <c r="AM180" s="6" t="n">
        <v>0.2102738723476225</v>
      </c>
    </row>
    <row r="181">
      <c r="A181" s="2" t="inlineStr">
        <is>
          <t>KPROP-00180</t>
        </is>
      </c>
      <c r="B181" s="3" t="n">
        <v>45881.81989583333</v>
      </c>
      <c r="C181" s="3" t="n">
        <v>45881</v>
      </c>
      <c r="D181" s="2" t="inlineStr">
        <is>
          <t>Freddy Peralta</t>
        </is>
      </c>
      <c r="E181" s="2" t="n">
        <v>158</v>
      </c>
      <c r="F181" s="2" t="n">
        <v>134</v>
      </c>
      <c r="G181" s="2" t="inlineStr">
        <is>
          <t>Home</t>
        </is>
      </c>
      <c r="H181" s="2" t="inlineStr">
        <is>
          <t>fanduel</t>
        </is>
      </c>
      <c r="I181" s="4" t="n"/>
      <c r="J181" s="4" t="n"/>
      <c r="K181" s="4" t="n">
        <v>118</v>
      </c>
      <c r="L181" s="4" t="n">
        <v>118</v>
      </c>
      <c r="M181" s="5" t="n">
        <v>6.5</v>
      </c>
      <c r="N181" s="5" t="n">
        <v>6.5263706167763</v>
      </c>
      <c r="O181" s="5" t="n">
        <v>6.5</v>
      </c>
      <c r="P181" s="5" t="n">
        <v>-0.02637061677630026</v>
      </c>
      <c r="Q181" s="6" t="n">
        <v>0.1387774513219568</v>
      </c>
      <c r="R181" s="6" t="n">
        <v>0.5223749776706225</v>
      </c>
      <c r="S181" s="6" t="n">
        <v>0.4439826185528055</v>
      </c>
      <c r="T181" s="2" t="inlineStr">
        <is>
          <t>Under</t>
        </is>
      </c>
      <c r="U181" s="4" t="n">
        <v>118</v>
      </c>
      <c r="V181" s="2" t="n">
        <v>2.18</v>
      </c>
      <c r="W181" s="4" t="n">
        <v>118</v>
      </c>
      <c r="X181" s="2" t="n">
        <v>1</v>
      </c>
      <c r="Y181" s="5" t="n">
        <v>-1</v>
      </c>
      <c r="Z181" s="7" t="n">
        <v>100</v>
      </c>
      <c r="AA181" s="7">
        <f>Y181*Z181</f>
        <v/>
      </c>
      <c r="AB181" s="6">
        <f>IF(Z181=0,0,AA181/Z181)</f>
        <v/>
      </c>
      <c r="AC181" s="6" t="n"/>
      <c r="AD181" s="2" t="inlineStr">
        <is>
          <t>Loss</t>
        </is>
      </c>
      <c r="AE181" s="6">
        <f>IF((COUNTIF($AD$2:AD181,"Win")+COUNTIF($AD$2:AD181,"Loss"))=0,0,COUNTIF($AD$2:AD181,"Win")/(COUNTIF($AD$2:AD181,"Win")+COUNTIF($AD$2:AD181,"Loss")))</f>
        <v/>
      </c>
      <c r="AF181" s="6">
        <f>SUM($Y$2:Y181)/SUM($X$2:X181)</f>
        <v/>
      </c>
      <c r="AG181" s="5">
        <f>SUM($Y$2:Y181)</f>
        <v/>
      </c>
      <c r="AH181" s="7">
        <f>10000.0+SUM($AA$2:AA181)</f>
        <v/>
      </c>
      <c r="AI181" s="2" t="n">
        <v>2025</v>
      </c>
      <c r="AJ181" s="2" t="inlineStr">
        <is>
          <t>2025-08</t>
        </is>
      </c>
      <c r="AK181" s="2" t="inlineStr">
        <is>
          <t>+100 to +120</t>
        </is>
      </c>
      <c r="AL181" s="2" t="inlineStr">
        <is>
          <t>2025 Validation</t>
        </is>
      </c>
      <c r="AM181" s="6" t="n">
        <v>0.1176080095948787</v>
      </c>
    </row>
    <row r="182">
      <c r="A182" s="2" t="inlineStr">
        <is>
          <t>KPROP-00181</t>
        </is>
      </c>
      <c r="B182" s="3" t="n">
        <v>45881.81989583333</v>
      </c>
      <c r="C182" s="3" t="n">
        <v>45881</v>
      </c>
      <c r="D182" s="2" t="inlineStr">
        <is>
          <t>Freddy Peralta</t>
        </is>
      </c>
      <c r="E182" s="2" t="n">
        <v>158</v>
      </c>
      <c r="F182" s="2" t="n">
        <v>134</v>
      </c>
      <c r="G182" s="2" t="inlineStr">
        <is>
          <t>Home</t>
        </is>
      </c>
      <c r="H182" s="2" t="inlineStr">
        <is>
          <t>draftkings</t>
        </is>
      </c>
      <c r="I182" s="4" t="n"/>
      <c r="J182" s="4" t="n"/>
      <c r="K182" s="4" t="n">
        <v>-150</v>
      </c>
      <c r="L182" s="4" t="n">
        <v>-150</v>
      </c>
      <c r="M182" s="5" t="n">
        <v>7.5</v>
      </c>
      <c r="N182" s="5" t="n">
        <v>6.5263706167763</v>
      </c>
      <c r="O182" s="5" t="n">
        <v>7.5</v>
      </c>
      <c r="P182" s="5" t="n">
        <v>0.9736293832236997</v>
      </c>
      <c r="Q182" s="6" t="n">
        <v>0.114829425520705</v>
      </c>
      <c r="R182" s="6" t="n">
        <v>0.6688976553124231</v>
      </c>
      <c r="S182" s="6" t="n">
        <v>0.5901639344262295</v>
      </c>
      <c r="T182" s="2" t="inlineStr">
        <is>
          <t>Under</t>
        </is>
      </c>
      <c r="U182" s="4" t="n">
        <v>-150</v>
      </c>
      <c r="V182" s="2" t="n">
        <v>1.666666666666667</v>
      </c>
      <c r="W182" s="4" t="n">
        <v>-150</v>
      </c>
      <c r="X182" s="2" t="n">
        <v>1</v>
      </c>
      <c r="Y182" s="5" t="n">
        <v>0.6666666666666665</v>
      </c>
      <c r="Z182" s="7" t="n">
        <v>100</v>
      </c>
      <c r="AA182" s="7">
        <f>Y182*Z182</f>
        <v/>
      </c>
      <c r="AB182" s="6">
        <f>IF(Z182=0,0,AA182/Z182)</f>
        <v/>
      </c>
      <c r="AC182" s="6" t="n"/>
      <c r="AD182" s="2" t="inlineStr">
        <is>
          <t>Win</t>
        </is>
      </c>
      <c r="AE182" s="6">
        <f>IF((COUNTIF($AD$2:AD182,"Win")+COUNTIF($AD$2:AD182,"Loss"))=0,0,COUNTIF($AD$2:AD182,"Win")/(COUNTIF($AD$2:AD182,"Win")+COUNTIF($AD$2:AD182,"Loss")))</f>
        <v/>
      </c>
      <c r="AF182" s="6">
        <f>SUM($Y$2:Y182)/SUM($X$2:X182)</f>
        <v/>
      </c>
      <c r="AG182" s="5">
        <f>SUM($Y$2:Y182)</f>
        <v/>
      </c>
      <c r="AH182" s="7">
        <f>10000.0+SUM($AA$2:AA182)</f>
        <v/>
      </c>
      <c r="AI182" s="2" t="n">
        <v>2025</v>
      </c>
      <c r="AJ182" s="2" t="inlineStr">
        <is>
          <t>2025-08</t>
        </is>
      </c>
      <c r="AK182" s="2" t="inlineStr">
        <is>
          <t>&lt;= -150</t>
        </is>
      </c>
      <c r="AL182" s="2" t="inlineStr">
        <is>
          <t>2025 Validation</t>
        </is>
      </c>
      <c r="AM182" s="6" t="n">
        <v>0.1722441382810576</v>
      </c>
    </row>
    <row r="183">
      <c r="A183" s="2" t="inlineStr">
        <is>
          <t>KPROP-00182</t>
        </is>
      </c>
      <c r="B183" s="3" t="n">
        <v>45881.81989583333</v>
      </c>
      <c r="C183" s="3" t="n">
        <v>45881</v>
      </c>
      <c r="D183" s="2" t="inlineStr">
        <is>
          <t>Jack Flaherty</t>
        </is>
      </c>
      <c r="E183" s="2" t="n">
        <v>116</v>
      </c>
      <c r="F183" s="2" t="n">
        <v>145</v>
      </c>
      <c r="G183" s="2" t="inlineStr">
        <is>
          <t>Away</t>
        </is>
      </c>
      <c r="H183" s="2" t="inlineStr">
        <is>
          <t>bovada</t>
        </is>
      </c>
      <c r="I183" s="4" t="n"/>
      <c r="J183" s="4" t="n"/>
      <c r="K183" s="4" t="n">
        <v>-105</v>
      </c>
      <c r="L183" s="4" t="n">
        <v>-105</v>
      </c>
      <c r="M183" s="5" t="n">
        <v>6.5</v>
      </c>
      <c r="N183" s="5" t="n">
        <v>5.595179720201328</v>
      </c>
      <c r="O183" s="5" t="n">
        <v>6.5</v>
      </c>
      <c r="P183" s="5" t="n">
        <v>0.9048202797986722</v>
      </c>
      <c r="Q183" s="6" t="n">
        <v>0.3100889766543627</v>
      </c>
      <c r="R183" s="6" t="n">
        <v>0.6710211831644297</v>
      </c>
      <c r="S183" s="6" t="n">
        <v>0.5</v>
      </c>
      <c r="T183" s="2" t="inlineStr">
        <is>
          <t>Under</t>
        </is>
      </c>
      <c r="U183" s="4" t="n">
        <v>-105</v>
      </c>
      <c r="V183" s="2" t="n">
        <v>1.952380952380952</v>
      </c>
      <c r="W183" s="4" t="n">
        <v>-105</v>
      </c>
      <c r="X183" s="2" t="n">
        <v>1</v>
      </c>
      <c r="Y183" s="5" t="n">
        <v>0.9523809523809523</v>
      </c>
      <c r="Z183" s="7" t="n">
        <v>100</v>
      </c>
      <c r="AA183" s="7">
        <f>Y183*Z183</f>
        <v/>
      </c>
      <c r="AB183" s="6">
        <f>IF(Z183=0,0,AA183/Z183)</f>
        <v/>
      </c>
      <c r="AC183" s="6" t="n"/>
      <c r="AD183" s="2" t="inlineStr">
        <is>
          <t>Win</t>
        </is>
      </c>
      <c r="AE183" s="6">
        <f>IF((COUNTIF($AD$2:AD183,"Win")+COUNTIF($AD$2:AD183,"Loss"))=0,0,COUNTIF($AD$2:AD183,"Win")/(COUNTIF($AD$2:AD183,"Win")+COUNTIF($AD$2:AD183,"Loss")))</f>
        <v/>
      </c>
      <c r="AF183" s="6">
        <f>SUM($Y$2:Y183)/SUM($X$2:X183)</f>
        <v/>
      </c>
      <c r="AG183" s="5">
        <f>SUM($Y$2:Y183)</f>
        <v/>
      </c>
      <c r="AH183" s="7">
        <f>10000.0+SUM($AA$2:AA183)</f>
        <v/>
      </c>
      <c r="AI183" s="2" t="n">
        <v>2025</v>
      </c>
      <c r="AJ183" s="2" t="inlineStr">
        <is>
          <t>2025-08</t>
        </is>
      </c>
      <c r="AK183" s="2" t="inlineStr">
        <is>
          <t>-119 to -101</t>
        </is>
      </c>
      <c r="AL183" s="2" t="inlineStr">
        <is>
          <t>2025 Validation</t>
        </is>
      </c>
      <c r="AM183" s="6" t="n">
        <v>0.3255934254870809</v>
      </c>
    </row>
    <row r="184">
      <c r="A184" s="2" t="inlineStr">
        <is>
          <t>KPROP-00183</t>
        </is>
      </c>
      <c r="B184" s="3" t="n">
        <v>45881.82335648148</v>
      </c>
      <c r="C184" s="3" t="n">
        <v>45881</v>
      </c>
      <c r="D184" s="2" t="inlineStr">
        <is>
          <t>Matthew Liberatore</t>
        </is>
      </c>
      <c r="E184" s="2" t="n">
        <v>138</v>
      </c>
      <c r="F184" s="2" t="n">
        <v>115</v>
      </c>
      <c r="G184" s="2" t="inlineStr">
        <is>
          <t>Home</t>
        </is>
      </c>
      <c r="H184" s="2" t="inlineStr">
        <is>
          <t>betrivers</t>
        </is>
      </c>
      <c r="I184" s="4" t="n"/>
      <c r="J184" s="4" t="n"/>
      <c r="K184" s="4" t="n">
        <v>138</v>
      </c>
      <c r="L184" s="4" t="n">
        <v>138</v>
      </c>
      <c r="M184" s="5" t="n">
        <v>3.5</v>
      </c>
      <c r="N184" s="5" t="n">
        <v>3.659807892393603</v>
      </c>
      <c r="O184" s="5" t="n">
        <v>3.5</v>
      </c>
      <c r="P184" s="5" t="n">
        <v>-0.1598078923936033</v>
      </c>
      <c r="Q184" s="6" t="n">
        <v>0.1961252176969472</v>
      </c>
      <c r="R184" s="6" t="n">
        <v>0.5025736208810703</v>
      </c>
      <c r="S184" s="6" t="n">
        <v>0.3907302613850714</v>
      </c>
      <c r="T184" s="2" t="inlineStr">
        <is>
          <t>Under</t>
        </is>
      </c>
      <c r="U184" s="4" t="n">
        <v>138</v>
      </c>
      <c r="V184" s="2" t="n">
        <v>2.38</v>
      </c>
      <c r="W184" s="4" t="n">
        <v>138</v>
      </c>
      <c r="X184" s="2" t="n">
        <v>1</v>
      </c>
      <c r="Y184" s="5" t="n">
        <v>1.38</v>
      </c>
      <c r="Z184" s="7" t="n">
        <v>100</v>
      </c>
      <c r="AA184" s="7">
        <f>Y184*Z184</f>
        <v/>
      </c>
      <c r="AB184" s="6">
        <f>IF(Z184=0,0,AA184/Z184)</f>
        <v/>
      </c>
      <c r="AC184" s="6" t="n"/>
      <c r="AD184" s="2" t="inlineStr">
        <is>
          <t>Win</t>
        </is>
      </c>
      <c r="AE184" s="6">
        <f>IF((COUNTIF($AD$2:AD184,"Win")+COUNTIF($AD$2:AD184,"Loss"))=0,0,COUNTIF($AD$2:AD184,"Win")/(COUNTIF($AD$2:AD184,"Win")+COUNTIF($AD$2:AD184,"Loss")))</f>
        <v/>
      </c>
      <c r="AF184" s="6">
        <f>SUM($Y$2:Y184)/SUM($X$2:X184)</f>
        <v/>
      </c>
      <c r="AG184" s="5">
        <f>SUM($Y$2:Y184)</f>
        <v/>
      </c>
      <c r="AH184" s="7">
        <f>10000.0+SUM($AA$2:AA184)</f>
        <v/>
      </c>
      <c r="AI184" s="2" t="n">
        <v>2025</v>
      </c>
      <c r="AJ184" s="2" t="inlineStr">
        <is>
          <t>2025-08</t>
        </is>
      </c>
      <c r="AK184" s="2" t="inlineStr">
        <is>
          <t>+121 to +150</t>
        </is>
      </c>
      <c r="AL184" s="2" t="inlineStr">
        <is>
          <t>2025 Validation</t>
        </is>
      </c>
      <c r="AM184" s="6" t="n">
        <v>0.1421197229688023</v>
      </c>
    </row>
    <row r="185">
      <c r="A185" s="2" t="inlineStr">
        <is>
          <t>KPROP-00184</t>
        </is>
      </c>
      <c r="B185" s="3" t="n">
        <v>45881.82335648148</v>
      </c>
      <c r="C185" s="3" t="n">
        <v>45881</v>
      </c>
      <c r="D185" s="2" t="inlineStr">
        <is>
          <t>Matthew Liberatore</t>
        </is>
      </c>
      <c r="E185" s="2" t="n">
        <v>138</v>
      </c>
      <c r="F185" s="2" t="n">
        <v>115</v>
      </c>
      <c r="G185" s="2" t="inlineStr">
        <is>
          <t>Home</t>
        </is>
      </c>
      <c r="H185" s="2" t="inlineStr">
        <is>
          <t>betonlineag</t>
        </is>
      </c>
      <c r="I185" s="4" t="n"/>
      <c r="J185" s="4" t="n"/>
      <c r="K185" s="4" t="n">
        <v>-143</v>
      </c>
      <c r="L185" s="4" t="n">
        <v>-143</v>
      </c>
      <c r="M185" s="5" t="n">
        <v>4.5</v>
      </c>
      <c r="N185" s="5" t="n">
        <v>3.659807892393603</v>
      </c>
      <c r="O185" s="5" t="n">
        <v>4.5</v>
      </c>
      <c r="P185" s="5" t="n">
        <v>0.8401921076063967</v>
      </c>
      <c r="Q185" s="6" t="n">
        <v>0.1809559674800496</v>
      </c>
      <c r="R185" s="6" t="n">
        <v>0.6949658574059552</v>
      </c>
      <c r="S185" s="6" t="n">
        <v>0.5642037302725968</v>
      </c>
      <c r="T185" s="2" t="inlineStr">
        <is>
          <t>Under</t>
        </is>
      </c>
      <c r="U185" s="4" t="n">
        <v>-143</v>
      </c>
      <c r="V185" s="2" t="n">
        <v>1.699300699300699</v>
      </c>
      <c r="W185" s="4" t="n">
        <v>-143</v>
      </c>
      <c r="X185" s="2" t="n">
        <v>1</v>
      </c>
      <c r="Y185" s="5" t="n">
        <v>0.6993006993006992</v>
      </c>
      <c r="Z185" s="7" t="n">
        <v>100</v>
      </c>
      <c r="AA185" s="7">
        <f>Y185*Z185</f>
        <v/>
      </c>
      <c r="AB185" s="6">
        <f>IF(Z185=0,0,AA185/Z185)</f>
        <v/>
      </c>
      <c r="AC185" s="6" t="n"/>
      <c r="AD185" s="2" t="inlineStr">
        <is>
          <t>Win</t>
        </is>
      </c>
      <c r="AE185" s="6">
        <f>IF((COUNTIF($AD$2:AD185,"Win")+COUNTIF($AD$2:AD185,"Loss"))=0,0,COUNTIF($AD$2:AD185,"Win")/(COUNTIF($AD$2:AD185,"Win")+COUNTIF($AD$2:AD185,"Loss")))</f>
        <v/>
      </c>
      <c r="AF185" s="6">
        <f>SUM($Y$2:Y185)/SUM($X$2:X185)</f>
        <v/>
      </c>
      <c r="AG185" s="5">
        <f>SUM($Y$2:Y185)</f>
        <v/>
      </c>
      <c r="AH185" s="7">
        <f>10000.0+SUM($AA$2:AA185)</f>
        <v/>
      </c>
      <c r="AI185" s="2" t="n">
        <v>2025</v>
      </c>
      <c r="AJ185" s="2" t="inlineStr">
        <is>
          <t>2025-08</t>
        </is>
      </c>
      <c r="AK185" s="2" t="inlineStr">
        <is>
          <t>-149 to -120</t>
        </is>
      </c>
      <c r="AL185" s="2" t="inlineStr">
        <is>
          <t>2025 Validation</t>
        </is>
      </c>
      <c r="AM185" s="6" t="n">
        <v>0.258767033496471</v>
      </c>
    </row>
    <row r="186">
      <c r="A186" s="2" t="inlineStr">
        <is>
          <t>KPROP-00185</t>
        </is>
      </c>
      <c r="B186" s="3" t="n">
        <v>45881.81989583333</v>
      </c>
      <c r="C186" s="3" t="n">
        <v>45881</v>
      </c>
      <c r="D186" s="2" t="inlineStr">
        <is>
          <t>Paul Skenes</t>
        </is>
      </c>
      <c r="E186" s="2" t="n">
        <v>134</v>
      </c>
      <c r="F186" s="2" t="n">
        <v>158</v>
      </c>
      <c r="G186" s="2" t="inlineStr">
        <is>
          <t>Away</t>
        </is>
      </c>
      <c r="H186" s="2" t="inlineStr">
        <is>
          <t>bovada</t>
        </is>
      </c>
      <c r="I186" s="4" t="n"/>
      <c r="J186" s="4" t="n"/>
      <c r="K186" s="4" t="n">
        <v>115</v>
      </c>
      <c r="L186" s="4" t="n">
        <v>115</v>
      </c>
      <c r="M186" s="5" t="n">
        <v>6.5</v>
      </c>
      <c r="N186" s="5" t="n">
        <v>6.45992406139731</v>
      </c>
      <c r="O186" s="5" t="n">
        <v>6.5</v>
      </c>
      <c r="P186" s="5" t="n">
        <v>0.04007593860268965</v>
      </c>
      <c r="Q186" s="6" t="n">
        <v>0.1456154513965279</v>
      </c>
      <c r="R186" s="6" t="n">
        <v>0.5328443959983851</v>
      </c>
      <c r="S186" s="6" t="n">
        <v>0.4451094071441929</v>
      </c>
      <c r="T186" s="2" t="inlineStr">
        <is>
          <t>Under</t>
        </is>
      </c>
      <c r="U186" s="4" t="n">
        <v>115</v>
      </c>
      <c r="V186" s="2" t="n">
        <v>2.15</v>
      </c>
      <c r="W186" s="4" t="n">
        <v>115</v>
      </c>
      <c r="X186" s="2" t="n">
        <v>1</v>
      </c>
      <c r="Y186" s="5" t="n">
        <v>1.15</v>
      </c>
      <c r="Z186" s="7" t="n">
        <v>100</v>
      </c>
      <c r="AA186" s="7">
        <f>Y186*Z186</f>
        <v/>
      </c>
      <c r="AB186" s="6">
        <f>IF(Z186=0,0,AA186/Z186)</f>
        <v/>
      </c>
      <c r="AC186" s="6" t="n"/>
      <c r="AD186" s="2" t="inlineStr">
        <is>
          <t>Win</t>
        </is>
      </c>
      <c r="AE186" s="6">
        <f>IF((COUNTIF($AD$2:AD186,"Win")+COUNTIF($AD$2:AD186,"Loss"))=0,0,COUNTIF($AD$2:AD186,"Win")/(COUNTIF($AD$2:AD186,"Win")+COUNTIF($AD$2:AD186,"Loss")))</f>
        <v/>
      </c>
      <c r="AF186" s="6">
        <f>SUM($Y$2:Y186)/SUM($X$2:X186)</f>
        <v/>
      </c>
      <c r="AG186" s="5">
        <f>SUM($Y$2:Y186)</f>
        <v/>
      </c>
      <c r="AH186" s="7">
        <f>10000.0+SUM($AA$2:AA186)</f>
        <v/>
      </c>
      <c r="AI186" s="2" t="n">
        <v>2025</v>
      </c>
      <c r="AJ186" s="2" t="inlineStr">
        <is>
          <t>2025-08</t>
        </is>
      </c>
      <c r="AK186" s="2" t="inlineStr">
        <is>
          <t>+100 to +120</t>
        </is>
      </c>
      <c r="AL186" s="2" t="inlineStr">
        <is>
          <t>2025 Validation</t>
        </is>
      </c>
      <c r="AM186" s="6" t="n">
        <v>0.1266221316491547</v>
      </c>
    </row>
    <row r="187">
      <c r="A187" s="2" t="inlineStr">
        <is>
          <t>KPROP-00186</t>
        </is>
      </c>
      <c r="B187" s="3" t="n">
        <v>45881.77822916667</v>
      </c>
      <c r="C187" s="3" t="n">
        <v>45881</v>
      </c>
      <c r="D187" s="2" t="inlineStr">
        <is>
          <t>Ranger Suarez</t>
        </is>
      </c>
      <c r="E187" s="2" t="n">
        <v>143</v>
      </c>
      <c r="F187" s="2" t="n">
        <v>113</v>
      </c>
      <c r="G187" s="2" t="inlineStr">
        <is>
          <t>Away</t>
        </is>
      </c>
      <c r="H187" s="2" t="inlineStr">
        <is>
          <t>betmgm</t>
        </is>
      </c>
      <c r="I187" s="4" t="n"/>
      <c r="J187" s="4" t="n"/>
      <c r="K187" s="4" t="n">
        <v>125</v>
      </c>
      <c r="L187" s="4" t="n">
        <v>125</v>
      </c>
      <c r="M187" s="5" t="n">
        <v>4.5</v>
      </c>
      <c r="N187" s="5" t="n">
        <v>4.438165004016662</v>
      </c>
      <c r="O187" s="5" t="n">
        <v>4.5</v>
      </c>
      <c r="P187" s="5" t="n">
        <v>0.06183499598333775</v>
      </c>
      <c r="Q187" s="6" t="n">
        <v>0.2237283038795468</v>
      </c>
      <c r="R187" s="6" t="n">
        <v>0.5438792461686874</v>
      </c>
      <c r="S187" s="6" t="n">
        <v>0.4199432509120389</v>
      </c>
      <c r="T187" s="2" t="inlineStr">
        <is>
          <t>Under</t>
        </is>
      </c>
      <c r="U187" s="4" t="n">
        <v>125</v>
      </c>
      <c r="V187" s="2" t="n">
        <v>2.25</v>
      </c>
      <c r="W187" s="4" t="n">
        <v>125</v>
      </c>
      <c r="X187" s="2" t="n">
        <v>1</v>
      </c>
      <c r="Y187" s="5" t="n">
        <v>1.25</v>
      </c>
      <c r="Z187" s="7" t="n">
        <v>100</v>
      </c>
      <c r="AA187" s="7">
        <f>Y187*Z187</f>
        <v/>
      </c>
      <c r="AB187" s="6">
        <f>IF(Z187=0,0,AA187/Z187)</f>
        <v/>
      </c>
      <c r="AC187" s="6" t="n"/>
      <c r="AD187" s="2" t="inlineStr">
        <is>
          <t>Win</t>
        </is>
      </c>
      <c r="AE187" s="6">
        <f>IF((COUNTIF($AD$2:AD187,"Win")+COUNTIF($AD$2:AD187,"Loss"))=0,0,COUNTIF($AD$2:AD187,"Win")/(COUNTIF($AD$2:AD187,"Win")+COUNTIF($AD$2:AD187,"Loss")))</f>
        <v/>
      </c>
      <c r="AF187" s="6">
        <f>SUM($Y$2:Y187)/SUM($X$2:X187)</f>
        <v/>
      </c>
      <c r="AG187" s="5">
        <f>SUM($Y$2:Y187)</f>
        <v/>
      </c>
      <c r="AH187" s="7">
        <f>10000.0+SUM($AA$2:AA187)</f>
        <v/>
      </c>
      <c r="AI187" s="2" t="n">
        <v>2025</v>
      </c>
      <c r="AJ187" s="2" t="inlineStr">
        <is>
          <t>2025-08</t>
        </is>
      </c>
      <c r="AK187" s="2" t="inlineStr">
        <is>
          <t>+121 to +150</t>
        </is>
      </c>
      <c r="AL187" s="2" t="inlineStr">
        <is>
          <t>2025 Validation</t>
        </is>
      </c>
      <c r="AM187" s="6" t="n">
        <v>0.1789826431036374</v>
      </c>
    </row>
    <row r="188">
      <c r="A188" s="2" t="inlineStr">
        <is>
          <t>KPROP-00187</t>
        </is>
      </c>
      <c r="B188" s="3" t="n">
        <v>45881.77822916667</v>
      </c>
      <c r="C188" s="3" t="n">
        <v>45881</v>
      </c>
      <c r="D188" s="2" t="inlineStr">
        <is>
          <t>Ranger Suarez</t>
        </is>
      </c>
      <c r="E188" s="2" t="n">
        <v>143</v>
      </c>
      <c r="F188" s="2" t="n">
        <v>113</v>
      </c>
      <c r="G188" s="2" t="inlineStr">
        <is>
          <t>Away</t>
        </is>
      </c>
      <c r="H188" s="2" t="inlineStr">
        <is>
          <t>fanatics</t>
        </is>
      </c>
      <c r="I188" s="4" t="n"/>
      <c r="J188" s="4" t="n"/>
      <c r="K188" s="4" t="n">
        <v>-150</v>
      </c>
      <c r="L188" s="4" t="n">
        <v>-150</v>
      </c>
      <c r="M188" s="5" t="n">
        <v>5.5</v>
      </c>
      <c r="N188" s="5" t="n">
        <v>4.438165004016662</v>
      </c>
      <c r="O188" s="5" t="n">
        <v>5.5</v>
      </c>
      <c r="P188" s="5" t="n">
        <v>1.061834995983338</v>
      </c>
      <c r="Q188" s="6" t="n">
        <v>0.1890927401155703</v>
      </c>
      <c r="R188" s="6" t="n">
        <v>0.7134556440693423</v>
      </c>
      <c r="S188" s="6" t="n">
        <v>0.5850622406639003</v>
      </c>
      <c r="T188" s="2" t="inlineStr">
        <is>
          <t>Under</t>
        </is>
      </c>
      <c r="U188" s="4" t="n">
        <v>-150</v>
      </c>
      <c r="V188" s="2" t="n">
        <v>1.666666666666667</v>
      </c>
      <c r="W188" s="4" t="n">
        <v>-150</v>
      </c>
      <c r="X188" s="2" t="n">
        <v>1</v>
      </c>
      <c r="Y188" s="5" t="n">
        <v>0.6666666666666665</v>
      </c>
      <c r="Z188" s="7" t="n">
        <v>100</v>
      </c>
      <c r="AA188" s="7">
        <f>Y188*Z188</f>
        <v/>
      </c>
      <c r="AB188" s="6">
        <f>IF(Z188=0,0,AA188/Z188)</f>
        <v/>
      </c>
      <c r="AC188" s="6" t="n"/>
      <c r="AD188" s="2" t="inlineStr">
        <is>
          <t>Win</t>
        </is>
      </c>
      <c r="AE188" s="6">
        <f>IF((COUNTIF($AD$2:AD188,"Win")+COUNTIF($AD$2:AD188,"Loss"))=0,0,COUNTIF($AD$2:AD188,"Win")/(COUNTIF($AD$2:AD188,"Win")+COUNTIF($AD$2:AD188,"Loss")))</f>
        <v/>
      </c>
      <c r="AF188" s="6">
        <f>SUM($Y$2:Y188)/SUM($X$2:X188)</f>
        <v/>
      </c>
      <c r="AG188" s="5">
        <f>SUM($Y$2:Y188)</f>
        <v/>
      </c>
      <c r="AH188" s="7">
        <f>10000.0+SUM($AA$2:AA188)</f>
        <v/>
      </c>
      <c r="AI188" s="2" t="n">
        <v>2025</v>
      </c>
      <c r="AJ188" s="2" t="inlineStr">
        <is>
          <t>2025-08</t>
        </is>
      </c>
      <c r="AK188" s="2" t="inlineStr">
        <is>
          <t>&lt;= -150</t>
        </is>
      </c>
      <c r="AL188" s="2" t="inlineStr">
        <is>
          <t>2025 Validation</t>
        </is>
      </c>
      <c r="AM188" s="6" t="n">
        <v>0.2836391101733555</v>
      </c>
    </row>
    <row r="189">
      <c r="A189" s="2" t="inlineStr">
        <is>
          <t>KPROP-00188</t>
        </is>
      </c>
      <c r="B189" s="3" t="n">
        <v>45881.7990625</v>
      </c>
      <c r="C189" s="3" t="n">
        <v>45881</v>
      </c>
      <c r="D189" s="2" t="inlineStr">
        <is>
          <t>Spencer Strider</t>
        </is>
      </c>
      <c r="E189" s="2" t="n">
        <v>144</v>
      </c>
      <c r="F189" s="2" t="n">
        <v>121</v>
      </c>
      <c r="G189" s="2" t="inlineStr">
        <is>
          <t>Away</t>
        </is>
      </c>
      <c r="H189" s="2" t="inlineStr">
        <is>
          <t>betonlineag</t>
        </is>
      </c>
      <c r="I189" s="4" t="n"/>
      <c r="J189" s="4" t="n"/>
      <c r="K189" s="4" t="n">
        <v>100</v>
      </c>
      <c r="L189" s="4" t="n">
        <v>100</v>
      </c>
      <c r="M189" s="5" t="n">
        <v>6.5</v>
      </c>
      <c r="N189" s="5" t="n">
        <v>5.883026325969513</v>
      </c>
      <c r="O189" s="5" t="n">
        <v>6.5</v>
      </c>
      <c r="P189" s="5" t="n">
        <v>0.6169736740304872</v>
      </c>
      <c r="Q189" s="6" t="n">
        <v>0.2501685044700257</v>
      </c>
      <c r="R189" s="6" t="n">
        <v>0.6250842522350128</v>
      </c>
      <c r="S189" s="6" t="n">
        <v>0.4883720930232558</v>
      </c>
      <c r="T189" s="2" t="inlineStr">
        <is>
          <t>Under</t>
        </is>
      </c>
      <c r="U189" s="4" t="n">
        <v>100</v>
      </c>
      <c r="V189" s="2" t="n">
        <v>2</v>
      </c>
      <c r="W189" s="4" t="n">
        <v>100</v>
      </c>
      <c r="X189" s="2" t="n">
        <v>1</v>
      </c>
      <c r="Y189" s="5" t="n">
        <v>1</v>
      </c>
      <c r="Z189" s="7" t="n">
        <v>100</v>
      </c>
      <c r="AA189" s="7">
        <f>Y189*Z189</f>
        <v/>
      </c>
      <c r="AB189" s="6">
        <f>IF(Z189=0,0,AA189/Z189)</f>
        <v/>
      </c>
      <c r="AC189" s="6" t="n"/>
      <c r="AD189" s="2" t="inlineStr">
        <is>
          <t>Win</t>
        </is>
      </c>
      <c r="AE189" s="6">
        <f>IF((COUNTIF($AD$2:AD189,"Win")+COUNTIF($AD$2:AD189,"Loss"))=0,0,COUNTIF($AD$2:AD189,"Win")/(COUNTIF($AD$2:AD189,"Win")+COUNTIF($AD$2:AD189,"Loss")))</f>
        <v/>
      </c>
      <c r="AF189" s="6">
        <f>SUM($Y$2:Y189)/SUM($X$2:X189)</f>
        <v/>
      </c>
      <c r="AG189" s="5">
        <f>SUM($Y$2:Y189)</f>
        <v/>
      </c>
      <c r="AH189" s="7">
        <f>10000.0+SUM($AA$2:AA189)</f>
        <v/>
      </c>
      <c r="AI189" s="2" t="n">
        <v>2025</v>
      </c>
      <c r="AJ189" s="2" t="inlineStr">
        <is>
          <t>2025-08</t>
        </is>
      </c>
      <c r="AK189" s="2" t="inlineStr">
        <is>
          <t>+100 to +120</t>
        </is>
      </c>
      <c r="AL189" s="2" t="inlineStr">
        <is>
          <t>2025 Validation</t>
        </is>
      </c>
      <c r="AM189" s="6" t="n">
        <v>0.2501685044700257</v>
      </c>
    </row>
    <row r="190">
      <c r="A190" s="2" t="inlineStr">
        <is>
          <t>KPROP-00189</t>
        </is>
      </c>
      <c r="B190" s="3" t="n">
        <v>45882.58725694445</v>
      </c>
      <c r="C190" s="3" t="n">
        <v>45882</v>
      </c>
      <c r="D190" s="2" t="inlineStr">
        <is>
          <t>Brandon Woodruff</t>
        </is>
      </c>
      <c r="E190" s="2" t="n">
        <v>158</v>
      </c>
      <c r="F190" s="2" t="n">
        <v>134</v>
      </c>
      <c r="G190" s="2" t="inlineStr">
        <is>
          <t>Home</t>
        </is>
      </c>
      <c r="H190" s="2" t="inlineStr">
        <is>
          <t>bovada</t>
        </is>
      </c>
      <c r="I190" s="4" t="n"/>
      <c r="J190" s="4" t="n"/>
      <c r="K190" s="4" t="n">
        <v>135</v>
      </c>
      <c r="L190" s="4" t="n">
        <v>135</v>
      </c>
      <c r="M190" s="5" t="n">
        <v>6.5</v>
      </c>
      <c r="N190" s="5" t="n">
        <v>6.194597278349824</v>
      </c>
      <c r="O190" s="5" t="n">
        <v>6.5</v>
      </c>
      <c r="P190" s="5" t="n">
        <v>0.305402721650176</v>
      </c>
      <c r="Q190" s="6" t="n">
        <v>0.3514339628971787</v>
      </c>
      <c r="R190" s="6" t="n">
        <v>0.5750782820839058</v>
      </c>
      <c r="S190" s="6" t="n">
        <v>0.4088050314465409</v>
      </c>
      <c r="T190" s="2" t="inlineStr">
        <is>
          <t>Under</t>
        </is>
      </c>
      <c r="U190" s="4" t="n">
        <v>135</v>
      </c>
      <c r="V190" s="2" t="n">
        <v>2.35</v>
      </c>
      <c r="W190" s="4" t="n">
        <v>135</v>
      </c>
      <c r="X190" s="2" t="n">
        <v>1</v>
      </c>
      <c r="Y190" s="5" t="n">
        <v>1.35</v>
      </c>
      <c r="Z190" s="7" t="n">
        <v>100</v>
      </c>
      <c r="AA190" s="7">
        <f>Y190*Z190</f>
        <v/>
      </c>
      <c r="AB190" s="6">
        <f>IF(Z190=0,0,AA190/Z190)</f>
        <v/>
      </c>
      <c r="AC190" s="6" t="n"/>
      <c r="AD190" s="2" t="inlineStr">
        <is>
          <t>Win</t>
        </is>
      </c>
      <c r="AE190" s="6">
        <f>IF((COUNTIF($AD$2:AD190,"Win")+COUNTIF($AD$2:AD190,"Loss"))=0,0,COUNTIF($AD$2:AD190,"Win")/(COUNTIF($AD$2:AD190,"Win")+COUNTIF($AD$2:AD190,"Loss")))</f>
        <v/>
      </c>
      <c r="AF190" s="6">
        <f>SUM($Y$2:Y190)/SUM($X$2:X190)</f>
        <v/>
      </c>
      <c r="AG190" s="5">
        <f>SUM($Y$2:Y190)</f>
        <v/>
      </c>
      <c r="AH190" s="7">
        <f>10000.0+SUM($AA$2:AA190)</f>
        <v/>
      </c>
      <c r="AI190" s="2" t="n">
        <v>2025</v>
      </c>
      <c r="AJ190" s="2" t="inlineStr">
        <is>
          <t>2025-08</t>
        </is>
      </c>
      <c r="AK190" s="2" t="inlineStr">
        <is>
          <t>+121 to +150</t>
        </is>
      </c>
      <c r="AL190" s="2" t="inlineStr">
        <is>
          <t>2025 Validation</t>
        </is>
      </c>
      <c r="AM190" s="6" t="n">
        <v>0.2603214539979101</v>
      </c>
    </row>
    <row r="191">
      <c r="A191" s="2" t="inlineStr">
        <is>
          <t>KPROP-00190</t>
        </is>
      </c>
      <c r="B191" s="3" t="n">
        <v>45882.58725694445</v>
      </c>
      <c r="C191" s="3" t="n">
        <v>45882</v>
      </c>
      <c r="D191" s="2" t="inlineStr">
        <is>
          <t>Brandon Woodruff</t>
        </is>
      </c>
      <c r="E191" s="2" t="n">
        <v>158</v>
      </c>
      <c r="F191" s="2" t="n">
        <v>134</v>
      </c>
      <c r="G191" s="2" t="inlineStr">
        <is>
          <t>Home</t>
        </is>
      </c>
      <c r="H191" s="2" t="inlineStr">
        <is>
          <t>fanatics</t>
        </is>
      </c>
      <c r="I191" s="4" t="n"/>
      <c r="J191" s="4" t="n"/>
      <c r="K191" s="4" t="n">
        <v>-150</v>
      </c>
      <c r="L191" s="4" t="n">
        <v>-150</v>
      </c>
      <c r="M191" s="5" t="n">
        <v>7.5</v>
      </c>
      <c r="N191" s="5" t="n">
        <v>6.194597278349824</v>
      </c>
      <c r="O191" s="5" t="n">
        <v>7.5</v>
      </c>
      <c r="P191" s="5" t="n">
        <v>1.305402721650176</v>
      </c>
      <c r="Q191" s="6" t="n">
        <v>0.1946368540317912</v>
      </c>
      <c r="R191" s="6" t="n">
        <v>0.7167821124190747</v>
      </c>
      <c r="S191" s="6" t="n">
        <v>0.5689655172413793</v>
      </c>
      <c r="T191" s="2" t="inlineStr">
        <is>
          <t>Under</t>
        </is>
      </c>
      <c r="U191" s="4" t="n">
        <v>-150</v>
      </c>
      <c r="V191" s="2" t="n">
        <v>1.666666666666667</v>
      </c>
      <c r="W191" s="4" t="n">
        <v>-150</v>
      </c>
      <c r="X191" s="2" t="n">
        <v>1</v>
      </c>
      <c r="Y191" s="5" t="n">
        <v>0.6666666666666665</v>
      </c>
      <c r="Z191" s="7" t="n">
        <v>100</v>
      </c>
      <c r="AA191" s="7">
        <f>Y191*Z191</f>
        <v/>
      </c>
      <c r="AB191" s="6">
        <f>IF(Z191=0,0,AA191/Z191)</f>
        <v/>
      </c>
      <c r="AC191" s="6" t="n"/>
      <c r="AD191" s="2" t="inlineStr">
        <is>
          <t>Win</t>
        </is>
      </c>
      <c r="AE191" s="6">
        <f>IF((COUNTIF($AD$2:AD191,"Win")+COUNTIF($AD$2:AD191,"Loss"))=0,0,COUNTIF($AD$2:AD191,"Win")/(COUNTIF($AD$2:AD191,"Win")+COUNTIF($AD$2:AD191,"Loss")))</f>
        <v/>
      </c>
      <c r="AF191" s="6">
        <f>SUM($Y$2:Y191)/SUM($X$2:X191)</f>
        <v/>
      </c>
      <c r="AG191" s="5">
        <f>SUM($Y$2:Y191)</f>
        <v/>
      </c>
      <c r="AH191" s="7">
        <f>10000.0+SUM($AA$2:AA191)</f>
        <v/>
      </c>
      <c r="AI191" s="2" t="n">
        <v>2025</v>
      </c>
      <c r="AJ191" s="2" t="inlineStr">
        <is>
          <t>2025-08</t>
        </is>
      </c>
      <c r="AK191" s="2" t="inlineStr">
        <is>
          <t>&lt;= -150</t>
        </is>
      </c>
      <c r="AL191" s="2" t="inlineStr">
        <is>
          <t>2025 Validation</t>
        </is>
      </c>
      <c r="AM191" s="6" t="n">
        <v>0.2919552810476868</v>
      </c>
    </row>
    <row r="192">
      <c r="A192" s="2" t="inlineStr">
        <is>
          <t>KPROP-00191</t>
        </is>
      </c>
      <c r="B192" s="3" t="n">
        <v>45882.79211805556</v>
      </c>
      <c r="C192" s="3" t="n">
        <v>45882</v>
      </c>
      <c r="D192" s="2" t="inlineStr">
        <is>
          <t>Joe Ryan</t>
        </is>
      </c>
      <c r="E192" s="2" t="n">
        <v>142</v>
      </c>
      <c r="F192" s="2" t="n">
        <v>147</v>
      </c>
      <c r="G192" s="2" t="inlineStr">
        <is>
          <t>Away</t>
        </is>
      </c>
      <c r="H192" s="2" t="inlineStr">
        <is>
          <t>bovada</t>
        </is>
      </c>
      <c r="I192" s="4" t="n"/>
      <c r="J192" s="4" t="n"/>
      <c r="K192" s="4" t="n">
        <v>100</v>
      </c>
      <c r="L192" s="4" t="n">
        <v>100</v>
      </c>
      <c r="M192" s="5" t="n">
        <v>6.5</v>
      </c>
      <c r="N192" s="5" t="n">
        <v>6.356837108036529</v>
      </c>
      <c r="O192" s="5" t="n">
        <v>6.5</v>
      </c>
      <c r="P192" s="5" t="n">
        <v>0.1431628919634713</v>
      </c>
      <c r="Q192" s="6" t="n">
        <v>0.09836557839803861</v>
      </c>
      <c r="R192" s="6" t="n">
        <v>0.5491827891990193</v>
      </c>
      <c r="S192" s="6" t="n">
        <v>0.4939759036144578</v>
      </c>
      <c r="T192" s="2" t="inlineStr">
        <is>
          <t>Under</t>
        </is>
      </c>
      <c r="U192" s="4" t="n">
        <v>100</v>
      </c>
      <c r="V192" s="2" t="n">
        <v>2</v>
      </c>
      <c r="W192" s="4" t="n">
        <v>100</v>
      </c>
      <c r="X192" s="2" t="n">
        <v>1</v>
      </c>
      <c r="Y192" s="5" t="n">
        <v>-1</v>
      </c>
      <c r="Z192" s="7" t="n">
        <v>100</v>
      </c>
      <c r="AA192" s="7">
        <f>Y192*Z192</f>
        <v/>
      </c>
      <c r="AB192" s="6">
        <f>IF(Z192=0,0,AA192/Z192)</f>
        <v/>
      </c>
      <c r="AC192" s="6" t="n"/>
      <c r="AD192" s="2" t="inlineStr">
        <is>
          <t>Loss</t>
        </is>
      </c>
      <c r="AE192" s="6">
        <f>IF((COUNTIF($AD$2:AD192,"Win")+COUNTIF($AD$2:AD192,"Loss"))=0,0,COUNTIF($AD$2:AD192,"Win")/(COUNTIF($AD$2:AD192,"Win")+COUNTIF($AD$2:AD192,"Loss")))</f>
        <v/>
      </c>
      <c r="AF192" s="6">
        <f>SUM($Y$2:Y192)/SUM($X$2:X192)</f>
        <v/>
      </c>
      <c r="AG192" s="5">
        <f>SUM($Y$2:Y192)</f>
        <v/>
      </c>
      <c r="AH192" s="7">
        <f>10000.0+SUM($AA$2:AA192)</f>
        <v/>
      </c>
      <c r="AI192" s="2" t="n">
        <v>2025</v>
      </c>
      <c r="AJ192" s="2" t="inlineStr">
        <is>
          <t>2025-08</t>
        </is>
      </c>
      <c r="AK192" s="2" t="inlineStr">
        <is>
          <t>+100 to +120</t>
        </is>
      </c>
      <c r="AL192" s="2" t="inlineStr">
        <is>
          <t>2025 Validation</t>
        </is>
      </c>
      <c r="AM192" s="6" t="n">
        <v>0.09836557839803861</v>
      </c>
    </row>
    <row r="193">
      <c r="A193" s="2" t="inlineStr">
        <is>
          <t>KPROP-00192</t>
        </is>
      </c>
      <c r="B193" s="3" t="n">
        <v>45882.60461805556</v>
      </c>
      <c r="C193" s="3" t="n">
        <v>45882</v>
      </c>
      <c r="D193" s="2" t="inlineStr">
        <is>
          <t>Merrill Kelly</t>
        </is>
      </c>
      <c r="E193" s="2" t="n">
        <v>140</v>
      </c>
      <c r="F193" s="2" t="n">
        <v>109</v>
      </c>
      <c r="G193" s="2" t="inlineStr">
        <is>
          <t>Home</t>
        </is>
      </c>
      <c r="H193" s="2" t="inlineStr">
        <is>
          <t>draftkings</t>
        </is>
      </c>
      <c r="I193" s="4" t="n"/>
      <c r="J193" s="4" t="n"/>
      <c r="K193" s="4" t="n">
        <v>-105</v>
      </c>
      <c r="L193" s="4" t="n">
        <v>-105</v>
      </c>
      <c r="M193" s="5" t="n">
        <v>5.5</v>
      </c>
      <c r="N193" s="5" t="n">
        <v>5.262306438237396</v>
      </c>
      <c r="O193" s="5" t="n">
        <v>5.5</v>
      </c>
      <c r="P193" s="5" t="n">
        <v>0.2376935617626037</v>
      </c>
      <c r="Q193" s="6" t="n">
        <v>0.1129295849930648</v>
      </c>
      <c r="R193" s="6" t="n">
        <v>0.570037104508643</v>
      </c>
      <c r="S193" s="6" t="n">
        <v>0.4943946188340808</v>
      </c>
      <c r="T193" s="2" t="inlineStr">
        <is>
          <t>Under</t>
        </is>
      </c>
      <c r="U193" s="4" t="n">
        <v>-105</v>
      </c>
      <c r="V193" s="2" t="n">
        <v>1.952380952380952</v>
      </c>
      <c r="W193" s="4" t="n">
        <v>-105</v>
      </c>
      <c r="X193" s="2" t="n">
        <v>1</v>
      </c>
      <c r="Y193" s="5" t="n">
        <v>0.9523809523809523</v>
      </c>
      <c r="Z193" s="7" t="n">
        <v>100</v>
      </c>
      <c r="AA193" s="7">
        <f>Y193*Z193</f>
        <v/>
      </c>
      <c r="AB193" s="6">
        <f>IF(Z193=0,0,AA193/Z193)</f>
        <v/>
      </c>
      <c r="AC193" s="6" t="n"/>
      <c r="AD193" s="2" t="inlineStr">
        <is>
          <t>Win</t>
        </is>
      </c>
      <c r="AE193" s="6">
        <f>IF((COUNTIF($AD$2:AD193,"Win")+COUNTIF($AD$2:AD193,"Loss"))=0,0,COUNTIF($AD$2:AD193,"Win")/(COUNTIF($AD$2:AD193,"Win")+COUNTIF($AD$2:AD193,"Loss")))</f>
        <v/>
      </c>
      <c r="AF193" s="6">
        <f>SUM($Y$2:Y193)/SUM($X$2:X193)</f>
        <v/>
      </c>
      <c r="AG193" s="5">
        <f>SUM($Y$2:Y193)</f>
        <v/>
      </c>
      <c r="AH193" s="7">
        <f>10000.0+SUM($AA$2:AA193)</f>
        <v/>
      </c>
      <c r="AI193" s="2" t="n">
        <v>2025</v>
      </c>
      <c r="AJ193" s="2" t="inlineStr">
        <is>
          <t>2025-08</t>
        </is>
      </c>
      <c r="AK193" s="2" t="inlineStr">
        <is>
          <t>-119 to -101</t>
        </is>
      </c>
      <c r="AL193" s="2" t="inlineStr">
        <is>
          <t>2025 Validation</t>
        </is>
      </c>
      <c r="AM193" s="6" t="n">
        <v>0.1185760642427181</v>
      </c>
    </row>
    <row r="194">
      <c r="A194" s="2" t="inlineStr">
        <is>
          <t>KPROP-00193</t>
        </is>
      </c>
      <c r="B194" s="3" t="n">
        <v>45882.58725694445</v>
      </c>
      <c r="C194" s="3" t="n">
        <v>45882</v>
      </c>
      <c r="D194" s="2" t="inlineStr">
        <is>
          <t>Seth Lugo</t>
        </is>
      </c>
      <c r="E194" s="2" t="n">
        <v>118</v>
      </c>
      <c r="F194" s="2" t="n">
        <v>120</v>
      </c>
      <c r="G194" s="2" t="inlineStr">
        <is>
          <t>Home</t>
        </is>
      </c>
      <c r="H194" s="2" t="inlineStr">
        <is>
          <t>draftkings</t>
        </is>
      </c>
      <c r="I194" s="4" t="n"/>
      <c r="J194" s="4" t="n"/>
      <c r="K194" s="4" t="n">
        <v>120</v>
      </c>
      <c r="L194" s="4" t="n">
        <v>120</v>
      </c>
      <c r="M194" s="5" t="n">
        <v>4.5</v>
      </c>
      <c r="N194" s="5" t="n">
        <v>4.351976238726007</v>
      </c>
      <c r="O194" s="5" t="n">
        <v>4.5</v>
      </c>
      <c r="P194" s="5" t="n">
        <v>0.1480237612739925</v>
      </c>
      <c r="Q194" s="6" t="n">
        <v>0.2329043884738239</v>
      </c>
      <c r="R194" s="6" t="n">
        <v>0.5604110856699199</v>
      </c>
      <c r="S194" s="6" t="n">
        <v>0.4323570432357043</v>
      </c>
      <c r="T194" s="2" t="inlineStr">
        <is>
          <t>Under</t>
        </is>
      </c>
      <c r="U194" s="4" t="n">
        <v>120</v>
      </c>
      <c r="V194" s="2" t="n">
        <v>2.2</v>
      </c>
      <c r="W194" s="4" t="n">
        <v>120</v>
      </c>
      <c r="X194" s="2" t="n">
        <v>1</v>
      </c>
      <c r="Y194" s="5" t="n">
        <v>1.2</v>
      </c>
      <c r="Z194" s="7" t="n">
        <v>100</v>
      </c>
      <c r="AA194" s="7">
        <f>Y194*Z194</f>
        <v/>
      </c>
      <c r="AB194" s="6">
        <f>IF(Z194=0,0,AA194/Z194)</f>
        <v/>
      </c>
      <c r="AC194" s="6" t="n"/>
      <c r="AD194" s="2" t="inlineStr">
        <is>
          <t>Win</t>
        </is>
      </c>
      <c r="AE194" s="6">
        <f>IF((COUNTIF($AD$2:AD194,"Win")+COUNTIF($AD$2:AD194,"Loss"))=0,0,COUNTIF($AD$2:AD194,"Win")/(COUNTIF($AD$2:AD194,"Win")+COUNTIF($AD$2:AD194,"Loss")))</f>
        <v/>
      </c>
      <c r="AF194" s="6">
        <f>SUM($Y$2:Y194)/SUM($X$2:X194)</f>
        <v/>
      </c>
      <c r="AG194" s="5">
        <f>SUM($Y$2:Y194)</f>
        <v/>
      </c>
      <c r="AH194" s="7">
        <f>10000.0+SUM($AA$2:AA194)</f>
        <v/>
      </c>
      <c r="AI194" s="2" t="n">
        <v>2025</v>
      </c>
      <c r="AJ194" s="2" t="inlineStr">
        <is>
          <t>2025-08</t>
        </is>
      </c>
      <c r="AK194" s="2" t="inlineStr">
        <is>
          <t>+100 to +120</t>
        </is>
      </c>
      <c r="AL194" s="2" t="inlineStr">
        <is>
          <t>2025 Validation</t>
        </is>
      </c>
      <c r="AM194" s="6" t="n">
        <v>0.1940869903948532</v>
      </c>
    </row>
    <row r="195">
      <c r="A195" s="2" t="inlineStr">
        <is>
          <t>KPROP-00194</t>
        </is>
      </c>
      <c r="B195" s="3" t="n">
        <v>45882.60461805556</v>
      </c>
      <c r="C195" s="3" t="n">
        <v>45882</v>
      </c>
      <c r="D195" s="2" t="inlineStr">
        <is>
          <t>Zac Gallen</t>
        </is>
      </c>
      <c r="E195" s="2" t="n">
        <v>109</v>
      </c>
      <c r="F195" s="2" t="n">
        <v>140</v>
      </c>
      <c r="G195" s="2" t="inlineStr">
        <is>
          <t>Away</t>
        </is>
      </c>
      <c r="H195" s="2" t="inlineStr">
        <is>
          <t>bovada</t>
        </is>
      </c>
      <c r="I195" s="4" t="n"/>
      <c r="J195" s="4" t="n"/>
      <c r="K195" s="4" t="n">
        <v>-145</v>
      </c>
      <c r="L195" s="4" t="n">
        <v>-145</v>
      </c>
      <c r="M195" s="5" t="n">
        <v>5.5</v>
      </c>
      <c r="N195" s="5" t="n">
        <v>4.898657424720551</v>
      </c>
      <c r="O195" s="5" t="n">
        <v>5.5</v>
      </c>
      <c r="P195" s="5" t="n">
        <v>0.6013425752794488</v>
      </c>
      <c r="Q195" s="6" t="n">
        <v>0.07079669883434359</v>
      </c>
      <c r="R195" s="6" t="n">
        <v>0.6337368217591013</v>
      </c>
      <c r="S195" s="6" t="n">
        <v>0.5711159737417943</v>
      </c>
      <c r="T195" s="2" t="inlineStr">
        <is>
          <t>Under</t>
        </is>
      </c>
      <c r="U195" s="4" t="n">
        <v>-145</v>
      </c>
      <c r="V195" s="2" t="n">
        <v>1.689655172413793</v>
      </c>
      <c r="W195" s="4" t="n">
        <v>-145</v>
      </c>
      <c r="X195" s="2" t="n">
        <v>1</v>
      </c>
      <c r="Y195" s="5" t="n">
        <v>0.6896551724137931</v>
      </c>
      <c r="Z195" s="7" t="n">
        <v>100</v>
      </c>
      <c r="AA195" s="7">
        <f>Y195*Z195</f>
        <v/>
      </c>
      <c r="AB195" s="6">
        <f>IF(Z195=0,0,AA195/Z195)</f>
        <v/>
      </c>
      <c r="AC195" s="6" t="n"/>
      <c r="AD195" s="2" t="inlineStr">
        <is>
          <t>Win</t>
        </is>
      </c>
      <c r="AE195" s="6">
        <f>IF((COUNTIF($AD$2:AD195,"Win")+COUNTIF($AD$2:AD195,"Loss"))=0,0,COUNTIF($AD$2:AD195,"Win")/(COUNTIF($AD$2:AD195,"Win")+COUNTIF($AD$2:AD195,"Loss")))</f>
        <v/>
      </c>
      <c r="AF195" s="6">
        <f>SUM($Y$2:Y195)/SUM($X$2:X195)</f>
        <v/>
      </c>
      <c r="AG195" s="5">
        <f>SUM($Y$2:Y195)</f>
        <v/>
      </c>
      <c r="AH195" s="7">
        <f>10000.0+SUM($AA$2:AA195)</f>
        <v/>
      </c>
      <c r="AI195" s="2" t="n">
        <v>2025</v>
      </c>
      <c r="AJ195" s="2" t="inlineStr">
        <is>
          <t>2025-08</t>
        </is>
      </c>
      <c r="AK195" s="2" t="inlineStr">
        <is>
          <t>-149 to -120</t>
        </is>
      </c>
      <c r="AL195" s="2" t="inlineStr">
        <is>
          <t>2025 Validation</t>
        </is>
      </c>
      <c r="AM195" s="6" t="n">
        <v>0.1026552133097982</v>
      </c>
    </row>
    <row r="196">
      <c r="A196" s="2" t="inlineStr">
        <is>
          <t>KPROP-00195</t>
        </is>
      </c>
      <c r="B196" s="3" t="n">
        <v>45883.81989583333</v>
      </c>
      <c r="C196" s="3" t="n">
        <v>45883</v>
      </c>
      <c r="D196" s="2" t="inlineStr">
        <is>
          <t>Bailey Ober</t>
        </is>
      </c>
      <c r="E196" s="2" t="n">
        <v>142</v>
      </c>
      <c r="F196" s="2" t="n">
        <v>116</v>
      </c>
      <c r="G196" s="2" t="inlineStr">
        <is>
          <t>Home</t>
        </is>
      </c>
      <c r="H196" s="2" t="inlineStr">
        <is>
          <t>bovada</t>
        </is>
      </c>
      <c r="I196" s="4" t="n"/>
      <c r="J196" s="4" t="n"/>
      <c r="K196" s="4" t="n">
        <v>130</v>
      </c>
      <c r="L196" s="4" t="n">
        <v>130</v>
      </c>
      <c r="M196" s="5" t="n">
        <v>4.5</v>
      </c>
      <c r="N196" s="5" t="n">
        <v>4.716697063455242</v>
      </c>
      <c r="O196" s="5" t="n">
        <v>4.5</v>
      </c>
      <c r="P196" s="5" t="n">
        <v>-0.2166970634552419</v>
      </c>
      <c r="Q196" s="6" t="n">
        <v>0.1305073620968529</v>
      </c>
      <c r="R196" s="6" t="n">
        <v>0.49152494004211</v>
      </c>
      <c r="S196" s="6" t="n">
        <v>0.4145990075236113</v>
      </c>
      <c r="T196" s="2" t="inlineStr">
        <is>
          <t>Under</t>
        </is>
      </c>
      <c r="U196" s="4" t="n">
        <v>130</v>
      </c>
      <c r="V196" s="2" t="n">
        <v>2.3</v>
      </c>
      <c r="W196" s="4" t="n">
        <v>130</v>
      </c>
      <c r="X196" s="2" t="n">
        <v>1</v>
      </c>
      <c r="Y196" s="5" t="n">
        <v>1.3</v>
      </c>
      <c r="Z196" s="7" t="n">
        <v>100</v>
      </c>
      <c r="AA196" s="7">
        <f>Y196*Z196</f>
        <v/>
      </c>
      <c r="AB196" s="6">
        <f>IF(Z196=0,0,AA196/Z196)</f>
        <v/>
      </c>
      <c r="AC196" s="6" t="n"/>
      <c r="AD196" s="2" t="inlineStr">
        <is>
          <t>Win</t>
        </is>
      </c>
      <c r="AE196" s="6">
        <f>IF((COUNTIF($AD$2:AD196,"Win")+COUNTIF($AD$2:AD196,"Loss"))=0,0,COUNTIF($AD$2:AD196,"Win")/(COUNTIF($AD$2:AD196,"Win")+COUNTIF($AD$2:AD196,"Loss")))</f>
        <v/>
      </c>
      <c r="AF196" s="6">
        <f>SUM($Y$2:Y196)/SUM($X$2:X196)</f>
        <v/>
      </c>
      <c r="AG196" s="5">
        <f>SUM($Y$2:Y196)</f>
        <v/>
      </c>
      <c r="AH196" s="7">
        <f>10000.0+SUM($AA$2:AA196)</f>
        <v/>
      </c>
      <c r="AI196" s="2" t="n">
        <v>2025</v>
      </c>
      <c r="AJ196" s="2" t="inlineStr">
        <is>
          <t>2025-08</t>
        </is>
      </c>
      <c r="AK196" s="2" t="inlineStr">
        <is>
          <t>+121 to +150</t>
        </is>
      </c>
      <c r="AL196" s="2" t="inlineStr">
        <is>
          <t>2025 Validation</t>
        </is>
      </c>
      <c r="AM196" s="6" t="n">
        <v>0.1003902785360407</v>
      </c>
    </row>
    <row r="197">
      <c r="A197" s="2" t="inlineStr">
        <is>
          <t>KPROP-00196</t>
        </is>
      </c>
      <c r="B197" s="3" t="n">
        <v>45883.81989583333</v>
      </c>
      <c r="C197" s="3" t="n">
        <v>45883</v>
      </c>
      <c r="D197" s="2" t="inlineStr">
        <is>
          <t>Bailey Ober</t>
        </is>
      </c>
      <c r="E197" s="2" t="n">
        <v>142</v>
      </c>
      <c r="F197" s="2" t="n">
        <v>116</v>
      </c>
      <c r="G197" s="2" t="inlineStr">
        <is>
          <t>Home</t>
        </is>
      </c>
      <c r="H197" s="2" t="inlineStr">
        <is>
          <t>draftkings</t>
        </is>
      </c>
      <c r="I197" s="4" t="n"/>
      <c r="J197" s="4" t="n"/>
      <c r="K197" s="4" t="n">
        <v>-160</v>
      </c>
      <c r="L197" s="4" t="n">
        <v>-160</v>
      </c>
      <c r="M197" s="5" t="n">
        <v>5.5</v>
      </c>
      <c r="N197" s="5" t="n">
        <v>4.716697063455242</v>
      </c>
      <c r="O197" s="5" t="n">
        <v>5.5</v>
      </c>
      <c r="P197" s="5" t="n">
        <v>0.7833029365447581</v>
      </c>
      <c r="Q197" s="6" t="n">
        <v>0.08149359996609584</v>
      </c>
      <c r="R197" s="6" t="n">
        <v>0.665534523056059</v>
      </c>
      <c r="S197" s="6" t="n">
        <v>0.5859872611464969</v>
      </c>
      <c r="T197" s="2" t="inlineStr">
        <is>
          <t>Under</t>
        </is>
      </c>
      <c r="U197" s="4" t="n">
        <v>-160</v>
      </c>
      <c r="V197" s="2" t="n">
        <v>1.625</v>
      </c>
      <c r="W197" s="4" t="n">
        <v>-160</v>
      </c>
      <c r="X197" s="2" t="n">
        <v>1</v>
      </c>
      <c r="Y197" s="5" t="n">
        <v>0.625</v>
      </c>
      <c r="Z197" s="7" t="n">
        <v>100</v>
      </c>
      <c r="AA197" s="7">
        <f>Y197*Z197</f>
        <v/>
      </c>
      <c r="AB197" s="6">
        <f>IF(Z197=0,0,AA197/Z197)</f>
        <v/>
      </c>
      <c r="AC197" s="6" t="n"/>
      <c r="AD197" s="2" t="inlineStr">
        <is>
          <t>Win</t>
        </is>
      </c>
      <c r="AE197" s="6">
        <f>IF((COUNTIF($AD$2:AD197,"Win")+COUNTIF($AD$2:AD197,"Loss"))=0,0,COUNTIF($AD$2:AD197,"Win")/(COUNTIF($AD$2:AD197,"Win")+COUNTIF($AD$2:AD197,"Loss")))</f>
        <v/>
      </c>
      <c r="AF197" s="6">
        <f>SUM($Y$2:Y197)/SUM($X$2:X197)</f>
        <v/>
      </c>
      <c r="AG197" s="5">
        <f>SUM($Y$2:Y197)</f>
        <v/>
      </c>
      <c r="AH197" s="7">
        <f>10000.0+SUM($AA$2:AA197)</f>
        <v/>
      </c>
      <c r="AI197" s="2" t="n">
        <v>2025</v>
      </c>
      <c r="AJ197" s="2" t="inlineStr">
        <is>
          <t>2025-08</t>
        </is>
      </c>
      <c r="AK197" s="2" t="inlineStr">
        <is>
          <t>&lt;= -150</t>
        </is>
      </c>
      <c r="AL197" s="2" t="inlineStr">
        <is>
          <t>2025 Validation</t>
        </is>
      </c>
      <c r="AM197" s="6" t="n">
        <v>0.1303897599457534</v>
      </c>
    </row>
    <row r="198">
      <c r="A198" s="2" t="inlineStr">
        <is>
          <t>KPROP-00197</t>
        </is>
      </c>
      <c r="B198" s="3" t="n">
        <v>45883.79557870371</v>
      </c>
      <c r="C198" s="3" t="n">
        <v>45883</v>
      </c>
      <c r="D198" s="2" t="inlineStr">
        <is>
          <t>Kodai Senga</t>
        </is>
      </c>
      <c r="E198" s="2" t="n">
        <v>121</v>
      </c>
      <c r="F198" s="2" t="n">
        <v>144</v>
      </c>
      <c r="G198" s="2" t="inlineStr">
        <is>
          <t>Home</t>
        </is>
      </c>
      <c r="H198" s="2" t="inlineStr">
        <is>
          <t>fanatics</t>
        </is>
      </c>
      <c r="I198" s="4" t="n"/>
      <c r="J198" s="4" t="n"/>
      <c r="K198" s="4" t="n">
        <v>120</v>
      </c>
      <c r="L198" s="4" t="n">
        <v>120</v>
      </c>
      <c r="M198" s="5" t="n">
        <v>4.5</v>
      </c>
      <c r="N198" s="5" t="n">
        <v>4.348001589155507</v>
      </c>
      <c r="O198" s="5" t="n">
        <v>4.5</v>
      </c>
      <c r="P198" s="5" t="n">
        <v>0.1519984108444934</v>
      </c>
      <c r="Q198" s="6" t="n">
        <v>0.2345881735039596</v>
      </c>
      <c r="R198" s="6" t="n">
        <v>0.5611764425017998</v>
      </c>
      <c r="S198" s="6" t="n">
        <v>0.4278523489932886</v>
      </c>
      <c r="T198" s="2" t="inlineStr">
        <is>
          <t>Under</t>
        </is>
      </c>
      <c r="U198" s="4" t="n">
        <v>120</v>
      </c>
      <c r="V198" s="2" t="n">
        <v>2.2</v>
      </c>
      <c r="W198" s="4" t="n">
        <v>120</v>
      </c>
      <c r="X198" s="2" t="n">
        <v>1</v>
      </c>
      <c r="Y198" s="5" t="n">
        <v>-1</v>
      </c>
      <c r="Z198" s="7" t="n">
        <v>100</v>
      </c>
      <c r="AA198" s="7">
        <f>Y198*Z198</f>
        <v/>
      </c>
      <c r="AB198" s="6">
        <f>IF(Z198=0,0,AA198/Z198)</f>
        <v/>
      </c>
      <c r="AC198" s="6" t="n"/>
      <c r="AD198" s="2" t="inlineStr">
        <is>
          <t>Loss</t>
        </is>
      </c>
      <c r="AE198" s="6">
        <f>IF((COUNTIF($AD$2:AD198,"Win")+COUNTIF($AD$2:AD198,"Loss"))=0,0,COUNTIF($AD$2:AD198,"Win")/(COUNTIF($AD$2:AD198,"Win")+COUNTIF($AD$2:AD198,"Loss")))</f>
        <v/>
      </c>
      <c r="AF198" s="6">
        <f>SUM($Y$2:Y198)/SUM($X$2:X198)</f>
        <v/>
      </c>
      <c r="AG198" s="5">
        <f>SUM($Y$2:Y198)</f>
        <v/>
      </c>
      <c r="AH198" s="7">
        <f>10000.0+SUM($AA$2:AA198)</f>
        <v/>
      </c>
      <c r="AI198" s="2" t="n">
        <v>2025</v>
      </c>
      <c r="AJ198" s="2" t="inlineStr">
        <is>
          <t>2025-08</t>
        </is>
      </c>
      <c r="AK198" s="2" t="inlineStr">
        <is>
          <t>+100 to +120</t>
        </is>
      </c>
      <c r="AL198" s="2" t="inlineStr">
        <is>
          <t>2025 Validation</t>
        </is>
      </c>
      <c r="AM198" s="6" t="n">
        <v>0.1954901445866329</v>
      </c>
    </row>
    <row r="199">
      <c r="A199" s="2" t="inlineStr">
        <is>
          <t>KPROP-00198</t>
        </is>
      </c>
      <c r="B199" s="3" t="n">
        <v>45883.79557870371</v>
      </c>
      <c r="C199" s="3" t="n">
        <v>45883</v>
      </c>
      <c r="D199" s="2" t="inlineStr">
        <is>
          <t>Kodai Senga</t>
        </is>
      </c>
      <c r="E199" s="2" t="n">
        <v>121</v>
      </c>
      <c r="F199" s="2" t="n">
        <v>144</v>
      </c>
      <c r="G199" s="2" t="inlineStr">
        <is>
          <t>Home</t>
        </is>
      </c>
      <c r="H199" s="2" t="inlineStr">
        <is>
          <t>betmgm</t>
        </is>
      </c>
      <c r="I199" s="4" t="n"/>
      <c r="J199" s="4" t="n"/>
      <c r="K199" s="4" t="n">
        <v>-155</v>
      </c>
      <c r="L199" s="4" t="n">
        <v>-155</v>
      </c>
      <c r="M199" s="5" t="n">
        <v>5.5</v>
      </c>
      <c r="N199" s="5" t="n">
        <v>4.348001589155507</v>
      </c>
      <c r="O199" s="5" t="n">
        <v>5.5</v>
      </c>
      <c r="P199" s="5" t="n">
        <v>1.151998410844493</v>
      </c>
      <c r="Q199" s="6" t="n">
        <v>0.1987517743045057</v>
      </c>
      <c r="R199" s="6" t="n">
        <v>0.728653039283131</v>
      </c>
      <c r="S199" s="6" t="n">
        <v>0.5882115462252725</v>
      </c>
      <c r="T199" s="2" t="inlineStr">
        <is>
          <t>Under</t>
        </is>
      </c>
      <c r="U199" s="4" t="n">
        <v>-155</v>
      </c>
      <c r="V199" s="2" t="n">
        <v>1.645161290322581</v>
      </c>
      <c r="W199" s="4" t="n">
        <v>-155</v>
      </c>
      <c r="X199" s="2" t="n">
        <v>1</v>
      </c>
      <c r="Y199" s="5" t="n">
        <v>-1</v>
      </c>
      <c r="Z199" s="7" t="n">
        <v>100</v>
      </c>
      <c r="AA199" s="7">
        <f>Y199*Z199</f>
        <v/>
      </c>
      <c r="AB199" s="6">
        <f>IF(Z199=0,0,AA199/Z199)</f>
        <v/>
      </c>
      <c r="AC199" s="6" t="n"/>
      <c r="AD199" s="2" t="inlineStr">
        <is>
          <t>Loss</t>
        </is>
      </c>
      <c r="AE199" s="6">
        <f>IF((COUNTIF($AD$2:AD199,"Win")+COUNTIF($AD$2:AD199,"Loss"))=0,0,COUNTIF($AD$2:AD199,"Win")/(COUNTIF($AD$2:AD199,"Win")+COUNTIF($AD$2:AD199,"Loss")))</f>
        <v/>
      </c>
      <c r="AF199" s="6">
        <f>SUM($Y$2:Y199)/SUM($X$2:X199)</f>
        <v/>
      </c>
      <c r="AG199" s="5">
        <f>SUM($Y$2:Y199)</f>
        <v/>
      </c>
      <c r="AH199" s="7">
        <f>10000.0+SUM($AA$2:AA199)</f>
        <v/>
      </c>
      <c r="AI199" s="2" t="n">
        <v>2025</v>
      </c>
      <c r="AJ199" s="2" t="inlineStr">
        <is>
          <t>2025-08</t>
        </is>
      </c>
      <c r="AK199" s="2" t="inlineStr">
        <is>
          <t>&lt;= -150</t>
        </is>
      </c>
      <c r="AL199" s="2" t="inlineStr">
        <is>
          <t>2025 Validation</t>
        </is>
      </c>
      <c r="AM199" s="6" t="n">
        <v>0.3080652501719839</v>
      </c>
    </row>
    <row r="200">
      <c r="A200" s="2" t="inlineStr">
        <is>
          <t>KPROP-00199</t>
        </is>
      </c>
      <c r="B200" s="3" t="n">
        <v>45883.62892361111</v>
      </c>
      <c r="C200" s="3" t="n">
        <v>45883</v>
      </c>
      <c r="D200" s="2" t="inlineStr">
        <is>
          <t>Max Scherzer</t>
        </is>
      </c>
      <c r="E200" s="2" t="n">
        <v>141</v>
      </c>
      <c r="F200" s="2" t="n">
        <v>112</v>
      </c>
      <c r="G200" s="2" t="inlineStr">
        <is>
          <t>Home</t>
        </is>
      </c>
      <c r="H200" s="2" t="inlineStr">
        <is>
          <t>betmgm</t>
        </is>
      </c>
      <c r="I200" s="4" t="n"/>
      <c r="J200" s="4" t="n"/>
      <c r="K200" s="4" t="n">
        <v>-110</v>
      </c>
      <c r="L200" s="4" t="n">
        <v>-110</v>
      </c>
      <c r="M200" s="5" t="n">
        <v>5.5</v>
      </c>
      <c r="N200" s="5" t="n">
        <v>4.924284810934568</v>
      </c>
      <c r="O200" s="5" t="n">
        <v>5.5</v>
      </c>
      <c r="P200" s="5" t="n">
        <v>0.5757151890654315</v>
      </c>
      <c r="Q200" s="6" t="n">
        <v>0.2012833168899558</v>
      </c>
      <c r="R200" s="6" t="n">
        <v>0.629243642180453</v>
      </c>
      <c r="S200" s="6" t="n">
        <v>0.5</v>
      </c>
      <c r="T200" s="2" t="inlineStr">
        <is>
          <t>Under</t>
        </is>
      </c>
      <c r="U200" s="4" t="n">
        <v>-110</v>
      </c>
      <c r="V200" s="2" t="n">
        <v>1.909090909090909</v>
      </c>
      <c r="W200" s="4" t="n">
        <v>-110</v>
      </c>
      <c r="X200" s="2" t="n">
        <v>1</v>
      </c>
      <c r="Y200" s="5" t="n">
        <v>0.9090909090909092</v>
      </c>
      <c r="Z200" s="7" t="n">
        <v>100</v>
      </c>
      <c r="AA200" s="7">
        <f>Y200*Z200</f>
        <v/>
      </c>
      <c r="AB200" s="6">
        <f>IF(Z200=0,0,AA200/Z200)</f>
        <v/>
      </c>
      <c r="AC200" s="6" t="n"/>
      <c r="AD200" s="2" t="inlineStr">
        <is>
          <t>Win</t>
        </is>
      </c>
      <c r="AE200" s="6">
        <f>IF((COUNTIF($AD$2:AD200,"Win")+COUNTIF($AD$2:AD200,"Loss"))=0,0,COUNTIF($AD$2:AD200,"Win")/(COUNTIF($AD$2:AD200,"Win")+COUNTIF($AD$2:AD200,"Loss")))</f>
        <v/>
      </c>
      <c r="AF200" s="6">
        <f>SUM($Y$2:Y200)/SUM($X$2:X200)</f>
        <v/>
      </c>
      <c r="AG200" s="5">
        <f>SUM($Y$2:Y200)</f>
        <v/>
      </c>
      <c r="AH200" s="7">
        <f>10000.0+SUM($AA$2:AA200)</f>
        <v/>
      </c>
      <c r="AI200" s="2" t="n">
        <v>2025</v>
      </c>
      <c r="AJ200" s="2" t="inlineStr">
        <is>
          <t>2025-08</t>
        </is>
      </c>
      <c r="AK200" s="2" t="inlineStr">
        <is>
          <t>-119 to -101</t>
        </is>
      </c>
      <c r="AL200" s="2" t="inlineStr">
        <is>
          <t>2025 Validation</t>
        </is>
      </c>
      <c r="AM200" s="6" t="n">
        <v>0.2214116485789514</v>
      </c>
    </row>
    <row r="201">
      <c r="A201" s="2" t="inlineStr">
        <is>
          <t>KPROP-00200</t>
        </is>
      </c>
      <c r="B201" s="3" t="n">
        <v>45883.77821759259</v>
      </c>
      <c r="C201" s="3" t="n">
        <v>45883</v>
      </c>
      <c r="D201" s="2" t="inlineStr">
        <is>
          <t>Tanner Bibee</t>
        </is>
      </c>
      <c r="E201" s="2" t="n">
        <v>114</v>
      </c>
      <c r="F201" s="2" t="n">
        <v>146</v>
      </c>
      <c r="G201" s="2" t="inlineStr">
        <is>
          <t>Home</t>
        </is>
      </c>
      <c r="H201" s="2" t="inlineStr">
        <is>
          <t>betmgm</t>
        </is>
      </c>
      <c r="I201" s="4" t="n"/>
      <c r="J201" s="4" t="n"/>
      <c r="K201" s="4" t="n">
        <v>-135</v>
      </c>
      <c r="L201" s="4" t="n">
        <v>-135</v>
      </c>
      <c r="M201" s="5" t="n">
        <v>5.5</v>
      </c>
      <c r="N201" s="5" t="n">
        <v>4.905229552268969</v>
      </c>
      <c r="O201" s="5" t="n">
        <v>5.5</v>
      </c>
      <c r="P201" s="5" t="n">
        <v>0.5947704477310314</v>
      </c>
      <c r="Q201" s="6" t="n">
        <v>0.1011660484311009</v>
      </c>
      <c r="R201" s="6" t="n">
        <v>0.6325847512263771</v>
      </c>
      <c r="S201" s="6" t="n">
        <v>0.5467695274831245</v>
      </c>
      <c r="T201" s="2" t="inlineStr">
        <is>
          <t>Under</t>
        </is>
      </c>
      <c r="U201" s="4" t="n">
        <v>-135</v>
      </c>
      <c r="V201" s="2" t="n">
        <v>1.740740740740741</v>
      </c>
      <c r="W201" s="4" t="n">
        <v>-135</v>
      </c>
      <c r="X201" s="2" t="n">
        <v>1</v>
      </c>
      <c r="Y201" s="5" t="n">
        <v>0.7407407407407407</v>
      </c>
      <c r="Z201" s="7" t="n">
        <v>100</v>
      </c>
      <c r="AA201" s="7">
        <f>Y201*Z201</f>
        <v/>
      </c>
      <c r="AB201" s="6">
        <f>IF(Z201=0,0,AA201/Z201)</f>
        <v/>
      </c>
      <c r="AC201" s="6" t="n"/>
      <c r="AD201" s="2" t="inlineStr">
        <is>
          <t>Win</t>
        </is>
      </c>
      <c r="AE201" s="6">
        <f>IF((COUNTIF($AD$2:AD201,"Win")+COUNTIF($AD$2:AD201,"Loss"))=0,0,COUNTIF($AD$2:AD201,"Win")/(COUNTIF($AD$2:AD201,"Win")+COUNTIF($AD$2:AD201,"Loss")))</f>
        <v/>
      </c>
      <c r="AF201" s="6">
        <f>SUM($Y$2:Y201)/SUM($X$2:X201)</f>
        <v/>
      </c>
      <c r="AG201" s="5">
        <f>SUM($Y$2:Y201)</f>
        <v/>
      </c>
      <c r="AH201" s="7">
        <f>10000.0+SUM($AA$2:AA201)</f>
        <v/>
      </c>
      <c r="AI201" s="2" t="n">
        <v>2025</v>
      </c>
      <c r="AJ201" s="2" t="inlineStr">
        <is>
          <t>2025-08</t>
        </is>
      </c>
      <c r="AK201" s="2" t="inlineStr">
        <is>
          <t>-149 to -120</t>
        </is>
      </c>
      <c r="AL201" s="2" t="inlineStr">
        <is>
          <t>2025 Validation</t>
        </is>
      </c>
      <c r="AM201" s="6" t="n">
        <v>0.1365741653819863</v>
      </c>
    </row>
    <row r="202">
      <c r="A202" s="2" t="inlineStr">
        <is>
          <t>KPROP-00201</t>
        </is>
      </c>
      <c r="B202" s="3" t="n">
        <v>45884.79559027778</v>
      </c>
      <c r="C202" s="3" t="n">
        <v>45884</v>
      </c>
      <c r="D202" s="2" t="inlineStr">
        <is>
          <t>Chris Bassitt</t>
        </is>
      </c>
      <c r="E202" s="2" t="n">
        <v>141</v>
      </c>
      <c r="F202" s="2" t="n">
        <v>140</v>
      </c>
      <c r="G202" s="2" t="inlineStr">
        <is>
          <t>Home</t>
        </is>
      </c>
      <c r="H202" s="2" t="inlineStr">
        <is>
          <t>fanduel</t>
        </is>
      </c>
      <c r="I202" s="4" t="n"/>
      <c r="J202" s="4" t="n"/>
      <c r="K202" s="4" t="n">
        <v>122</v>
      </c>
      <c r="L202" s="4" t="n">
        <v>122</v>
      </c>
      <c r="M202" s="5" t="n">
        <v>4.5</v>
      </c>
      <c r="N202" s="5" t="n">
        <v>4.750197722683267</v>
      </c>
      <c r="O202" s="5" t="n">
        <v>4.5</v>
      </c>
      <c r="P202" s="5" t="n">
        <v>-0.250197722683267</v>
      </c>
      <c r="Q202" s="6" t="n">
        <v>0.07750202798038064</v>
      </c>
      <c r="R202" s="6" t="n">
        <v>0.4853612738650364</v>
      </c>
      <c r="S202" s="6" t="n">
        <v>0.4357298474945534</v>
      </c>
      <c r="T202" s="2" t="inlineStr">
        <is>
          <t>Under</t>
        </is>
      </c>
      <c r="U202" s="4" t="n">
        <v>122</v>
      </c>
      <c r="V202" s="2" t="n">
        <v>2.22</v>
      </c>
      <c r="W202" s="4" t="n">
        <v>122</v>
      </c>
      <c r="X202" s="2" t="n">
        <v>1</v>
      </c>
      <c r="Y202" s="5" t="n">
        <v>1.22</v>
      </c>
      <c r="Z202" s="7" t="n">
        <v>100</v>
      </c>
      <c r="AA202" s="7">
        <f>Y202*Z202</f>
        <v/>
      </c>
      <c r="AB202" s="6">
        <f>IF(Z202=0,0,AA202/Z202)</f>
        <v/>
      </c>
      <c r="AC202" s="6" t="n"/>
      <c r="AD202" s="2" t="inlineStr">
        <is>
          <t>Win</t>
        </is>
      </c>
      <c r="AE202" s="6">
        <f>IF((COUNTIF($AD$2:AD202,"Win")+COUNTIF($AD$2:AD202,"Loss"))=0,0,COUNTIF($AD$2:AD202,"Win")/(COUNTIF($AD$2:AD202,"Win")+COUNTIF($AD$2:AD202,"Loss")))</f>
        <v/>
      </c>
      <c r="AF202" s="6">
        <f>SUM($Y$2:Y202)/SUM($X$2:X202)</f>
        <v/>
      </c>
      <c r="AG202" s="5">
        <f>SUM($Y$2:Y202)</f>
        <v/>
      </c>
      <c r="AH202" s="7">
        <f>10000.0+SUM($AA$2:AA202)</f>
        <v/>
      </c>
      <c r="AI202" s="2" t="n">
        <v>2025</v>
      </c>
      <c r="AJ202" s="2" t="inlineStr">
        <is>
          <t>2025-08</t>
        </is>
      </c>
      <c r="AK202" s="2" t="inlineStr">
        <is>
          <t>+121 to +150</t>
        </is>
      </c>
      <c r="AL202" s="2" t="inlineStr">
        <is>
          <t>2025 Validation</t>
        </is>
      </c>
      <c r="AM202" s="6" t="n">
        <v>0.06352625244293496</v>
      </c>
    </row>
    <row r="203">
      <c r="A203" s="2" t="inlineStr">
        <is>
          <t>KPROP-00202</t>
        </is>
      </c>
      <c r="B203" s="3" t="n">
        <v>45884.59766203703</v>
      </c>
      <c r="C203" s="3" t="n">
        <v>45884</v>
      </c>
      <c r="D203" s="2" t="inlineStr">
        <is>
          <t>Colin Rea</t>
        </is>
      </c>
      <c r="E203" s="2" t="n">
        <v>112</v>
      </c>
      <c r="F203" s="2" t="n">
        <v>134</v>
      </c>
      <c r="G203" s="2" t="inlineStr">
        <is>
          <t>Home</t>
        </is>
      </c>
      <c r="H203" s="2" t="inlineStr">
        <is>
          <t>bovada</t>
        </is>
      </c>
      <c r="I203" s="4" t="n"/>
      <c r="J203" s="4" t="n"/>
      <c r="K203" s="4" t="n">
        <v>-135</v>
      </c>
      <c r="L203" s="4" t="n">
        <v>-135</v>
      </c>
      <c r="M203" s="5" t="n">
        <v>4.5</v>
      </c>
      <c r="N203" s="5" t="n">
        <v>4.069804546118533</v>
      </c>
      <c r="O203" s="5" t="n">
        <v>4.5</v>
      </c>
      <c r="P203" s="5" t="n">
        <v>0.430195453881467</v>
      </c>
      <c r="Q203" s="6" t="n">
        <v>0.07090751198135603</v>
      </c>
      <c r="R203" s="6" t="n">
        <v>0.6152021877339705</v>
      </c>
      <c r="S203" s="6" t="n">
        <v>0.5537409798708697</v>
      </c>
      <c r="T203" s="2" t="inlineStr">
        <is>
          <t>Under</t>
        </is>
      </c>
      <c r="U203" s="4" t="n">
        <v>-135</v>
      </c>
      <c r="V203" s="2" t="n">
        <v>1.740740740740741</v>
      </c>
      <c r="W203" s="4" t="n">
        <v>-135</v>
      </c>
      <c r="X203" s="2" t="n">
        <v>1</v>
      </c>
      <c r="Y203" s="5" t="n">
        <v>-1</v>
      </c>
      <c r="Z203" s="7" t="n">
        <v>100</v>
      </c>
      <c r="AA203" s="7">
        <f>Y203*Z203</f>
        <v/>
      </c>
      <c r="AB203" s="6">
        <f>IF(Z203=0,0,AA203/Z203)</f>
        <v/>
      </c>
      <c r="AC203" s="6" t="n"/>
      <c r="AD203" s="2" t="inlineStr">
        <is>
          <t>Loss</t>
        </is>
      </c>
      <c r="AE203" s="6">
        <f>IF((COUNTIF($AD$2:AD203,"Win")+COUNTIF($AD$2:AD203,"Loss"))=0,0,COUNTIF($AD$2:AD203,"Win")/(COUNTIF($AD$2:AD203,"Win")+COUNTIF($AD$2:AD203,"Loss")))</f>
        <v/>
      </c>
      <c r="AF203" s="6">
        <f>SUM($Y$2:Y203)/SUM($X$2:X203)</f>
        <v/>
      </c>
      <c r="AG203" s="5">
        <f>SUM($Y$2:Y203)</f>
        <v/>
      </c>
      <c r="AH203" s="7">
        <f>10000.0+SUM($AA$2:AA203)</f>
        <v/>
      </c>
      <c r="AI203" s="2" t="n">
        <v>2025</v>
      </c>
      <c r="AJ203" s="2" t="inlineStr">
        <is>
          <t>2025-08</t>
        </is>
      </c>
      <c r="AK203" s="2" t="inlineStr">
        <is>
          <t>-149 to -120</t>
        </is>
      </c>
      <c r="AL203" s="2" t="inlineStr">
        <is>
          <t>2025 Validation</t>
        </is>
      </c>
      <c r="AM203" s="6" t="n">
        <v>0.09572514117483065</v>
      </c>
    </row>
    <row r="204">
      <c r="A204" s="2" t="inlineStr">
        <is>
          <t>KPROP-00203</t>
        </is>
      </c>
      <c r="B204" s="3" t="n">
        <v>45884.79905092593</v>
      </c>
      <c r="C204" s="3" t="n">
        <v>45884</v>
      </c>
      <c r="D204" s="2" t="inlineStr">
        <is>
          <t>Lucas Giolito</t>
        </is>
      </c>
      <c r="E204" s="2" t="n">
        <v>111</v>
      </c>
      <c r="F204" s="2" t="n">
        <v>146</v>
      </c>
      <c r="G204" s="2" t="inlineStr">
        <is>
          <t>Home</t>
        </is>
      </c>
      <c r="H204" s="2" t="inlineStr">
        <is>
          <t>draftkings</t>
        </is>
      </c>
      <c r="I204" s="4" t="n"/>
      <c r="J204" s="4" t="n"/>
      <c r="K204" s="4" t="n">
        <v>125</v>
      </c>
      <c r="L204" s="4" t="n">
        <v>125</v>
      </c>
      <c r="M204" s="5" t="n">
        <v>4.5</v>
      </c>
      <c r="N204" s="5" t="n">
        <v>4.577961563125667</v>
      </c>
      <c r="O204" s="5" t="n">
        <v>4.5</v>
      </c>
      <c r="P204" s="5" t="n">
        <v>-0.07796156312566715</v>
      </c>
      <c r="Q204" s="6" t="n">
        <v>0.1640885767722662</v>
      </c>
      <c r="R204" s="6" t="n">
        <v>0.5173727007876738</v>
      </c>
      <c r="S204" s="6" t="n">
        <v>0.4255319148936171</v>
      </c>
      <c r="T204" s="2" t="inlineStr">
        <is>
          <t>Under</t>
        </is>
      </c>
      <c r="U204" s="4" t="n">
        <v>125</v>
      </c>
      <c r="V204" s="2" t="n">
        <v>2.25</v>
      </c>
      <c r="W204" s="4" t="n">
        <v>125</v>
      </c>
      <c r="X204" s="2" t="n">
        <v>1</v>
      </c>
      <c r="Y204" s="5" t="n">
        <v>-1</v>
      </c>
      <c r="Z204" s="7" t="n">
        <v>100</v>
      </c>
      <c r="AA204" s="7">
        <f>Y204*Z204</f>
        <v/>
      </c>
      <c r="AB204" s="6">
        <f>IF(Z204=0,0,AA204/Z204)</f>
        <v/>
      </c>
      <c r="AC204" s="6" t="n"/>
      <c r="AD204" s="2" t="inlineStr">
        <is>
          <t>Loss</t>
        </is>
      </c>
      <c r="AE204" s="6">
        <f>IF((COUNTIF($AD$2:AD204,"Win")+COUNTIF($AD$2:AD204,"Loss"))=0,0,COUNTIF($AD$2:AD204,"Win")/(COUNTIF($AD$2:AD204,"Win")+COUNTIF($AD$2:AD204,"Loss")))</f>
        <v/>
      </c>
      <c r="AF204" s="6">
        <f>SUM($Y$2:Y204)/SUM($X$2:X204)</f>
        <v/>
      </c>
      <c r="AG204" s="5">
        <f>SUM($Y$2:Y204)</f>
        <v/>
      </c>
      <c r="AH204" s="7">
        <f>10000.0+SUM($AA$2:AA204)</f>
        <v/>
      </c>
      <c r="AI204" s="2" t="n">
        <v>2025</v>
      </c>
      <c r="AJ204" s="2" t="inlineStr">
        <is>
          <t>2025-08</t>
        </is>
      </c>
      <c r="AK204" s="2" t="inlineStr">
        <is>
          <t>+121 to +150</t>
        </is>
      </c>
      <c r="AL204" s="2" t="inlineStr">
        <is>
          <t>2025 Validation</t>
        </is>
      </c>
      <c r="AM204" s="6" t="n">
        <v>0.1312708614178129</v>
      </c>
    </row>
    <row r="205">
      <c r="A205" s="2" t="inlineStr">
        <is>
          <t>KPROP-00204</t>
        </is>
      </c>
      <c r="B205" s="3" t="n">
        <v>45884.79905092593</v>
      </c>
      <c r="C205" s="3" t="n">
        <v>45884</v>
      </c>
      <c r="D205" s="2" t="inlineStr">
        <is>
          <t>Lucas Giolito</t>
        </is>
      </c>
      <c r="E205" s="2" t="n">
        <v>111</v>
      </c>
      <c r="F205" s="2" t="n">
        <v>146</v>
      </c>
      <c r="G205" s="2" t="inlineStr">
        <is>
          <t>Home</t>
        </is>
      </c>
      <c r="H205" s="2" t="inlineStr">
        <is>
          <t>betrivers</t>
        </is>
      </c>
      <c r="I205" s="4" t="n"/>
      <c r="J205" s="4" t="n"/>
      <c r="K205" s="4" t="n">
        <v>-175</v>
      </c>
      <c r="L205" s="4" t="n">
        <v>-175</v>
      </c>
      <c r="M205" s="5" t="n">
        <v>5.5</v>
      </c>
      <c r="N205" s="5" t="n">
        <v>4.577961563125667</v>
      </c>
      <c r="O205" s="5" t="n">
        <v>5.5</v>
      </c>
      <c r="P205" s="5" t="n">
        <v>0.9220384368743328</v>
      </c>
      <c r="Q205" s="6" t="n">
        <v>0.08359111110317724</v>
      </c>
      <c r="R205" s="6" t="n">
        <v>0.689557979792931</v>
      </c>
      <c r="S205" s="6" t="n">
        <v>0.5887850467289719</v>
      </c>
      <c r="T205" s="2" t="inlineStr">
        <is>
          <t>Under</t>
        </is>
      </c>
      <c r="U205" s="4" t="n">
        <v>-175</v>
      </c>
      <c r="V205" s="2" t="n">
        <v>1.571428571428571</v>
      </c>
      <c r="W205" s="4" t="n">
        <v>-175</v>
      </c>
      <c r="X205" s="2" t="n">
        <v>1</v>
      </c>
      <c r="Y205" s="5" t="n">
        <v>0.5714285714285714</v>
      </c>
      <c r="Z205" s="7" t="n">
        <v>100</v>
      </c>
      <c r="AA205" s="7">
        <f>Y205*Z205</f>
        <v/>
      </c>
      <c r="AB205" s="6">
        <f>IF(Z205=0,0,AA205/Z205)</f>
        <v/>
      </c>
      <c r="AC205" s="6" t="n"/>
      <c r="AD205" s="2" t="inlineStr">
        <is>
          <t>Win</t>
        </is>
      </c>
      <c r="AE205" s="6">
        <f>IF((COUNTIF($AD$2:AD205,"Win")+COUNTIF($AD$2:AD205,"Loss"))=0,0,COUNTIF($AD$2:AD205,"Win")/(COUNTIF($AD$2:AD205,"Win")+COUNTIF($AD$2:AD205,"Loss")))</f>
        <v/>
      </c>
      <c r="AF205" s="6">
        <f>SUM($Y$2:Y205)/SUM($X$2:X205)</f>
        <v/>
      </c>
      <c r="AG205" s="5">
        <f>SUM($Y$2:Y205)</f>
        <v/>
      </c>
      <c r="AH205" s="7">
        <f>10000.0+SUM($AA$2:AA205)</f>
        <v/>
      </c>
      <c r="AI205" s="2" t="n">
        <v>2025</v>
      </c>
      <c r="AJ205" s="2" t="inlineStr">
        <is>
          <t>2025-08</t>
        </is>
      </c>
      <c r="AK205" s="2" t="inlineStr">
        <is>
          <t>&lt;= -150</t>
        </is>
      </c>
      <c r="AL205" s="2" t="inlineStr">
        <is>
          <t>2025 Validation</t>
        </is>
      </c>
      <c r="AM205" s="6" t="n">
        <v>0.1462844444305602</v>
      </c>
    </row>
    <row r="206">
      <c r="A206" s="2" t="inlineStr">
        <is>
          <t>KPROP-00205</t>
        </is>
      </c>
      <c r="B206" s="3" t="n">
        <v>45884.78170138889</v>
      </c>
      <c r="C206" s="3" t="n">
        <v>45884</v>
      </c>
      <c r="D206" s="2" t="inlineStr">
        <is>
          <t>MacKenzie Gore</t>
        </is>
      </c>
      <c r="E206" s="2" t="n">
        <v>120</v>
      </c>
      <c r="F206" s="2" t="n">
        <v>143</v>
      </c>
      <c r="G206" s="2" t="inlineStr">
        <is>
          <t>Home</t>
        </is>
      </c>
      <c r="H206" s="2" t="inlineStr">
        <is>
          <t>draftkings</t>
        </is>
      </c>
      <c r="I206" s="4" t="n"/>
      <c r="J206" s="4" t="n"/>
      <c r="K206" s="4" t="n">
        <v>105</v>
      </c>
      <c r="L206" s="4" t="n">
        <v>105</v>
      </c>
      <c r="M206" s="5" t="n">
        <v>6.5</v>
      </c>
      <c r="N206" s="5" t="n">
        <v>5.944380274519782</v>
      </c>
      <c r="O206" s="5" t="n">
        <v>6.5</v>
      </c>
      <c r="P206" s="5" t="n">
        <v>0.5556197254802182</v>
      </c>
      <c r="Q206" s="6" t="n">
        <v>0.2612334437185934</v>
      </c>
      <c r="R206" s="6" t="n">
        <v>0.6152358262041919</v>
      </c>
      <c r="S206" s="6" t="n">
        <v>0.4769828064337215</v>
      </c>
      <c r="T206" s="2" t="inlineStr">
        <is>
          <t>Under</t>
        </is>
      </c>
      <c r="U206" s="4" t="n">
        <v>105</v>
      </c>
      <c r="V206" s="2" t="n">
        <v>2.05</v>
      </c>
      <c r="W206" s="4" t="n">
        <v>105</v>
      </c>
      <c r="X206" s="2" t="n">
        <v>1</v>
      </c>
      <c r="Y206" s="5" t="n">
        <v>-1</v>
      </c>
      <c r="Z206" s="7" t="n">
        <v>100</v>
      </c>
      <c r="AA206" s="7">
        <f>Y206*Z206</f>
        <v/>
      </c>
      <c r="AB206" s="6">
        <f>IF(Z206=0,0,AA206/Z206)</f>
        <v/>
      </c>
      <c r="AC206" s="6" t="n"/>
      <c r="AD206" s="2" t="inlineStr">
        <is>
          <t>Loss</t>
        </is>
      </c>
      <c r="AE206" s="6">
        <f>IF((COUNTIF($AD$2:AD206,"Win")+COUNTIF($AD$2:AD206,"Loss"))=0,0,COUNTIF($AD$2:AD206,"Win")/(COUNTIF($AD$2:AD206,"Win")+COUNTIF($AD$2:AD206,"Loss")))</f>
        <v/>
      </c>
      <c r="AF206" s="6">
        <f>SUM($Y$2:Y206)/SUM($X$2:X206)</f>
        <v/>
      </c>
      <c r="AG206" s="5">
        <f>SUM($Y$2:Y206)</f>
        <v/>
      </c>
      <c r="AH206" s="7">
        <f>10000.0+SUM($AA$2:AA206)</f>
        <v/>
      </c>
      <c r="AI206" s="2" t="n">
        <v>2025</v>
      </c>
      <c r="AJ206" s="2" t="inlineStr">
        <is>
          <t>2025-08</t>
        </is>
      </c>
      <c r="AK206" s="2" t="inlineStr">
        <is>
          <t>+100 to +120</t>
        </is>
      </c>
      <c r="AL206" s="2" t="inlineStr">
        <is>
          <t>2025 Validation</t>
        </is>
      </c>
      <c r="AM206" s="6" t="n">
        <v>0.2487937559224699</v>
      </c>
    </row>
    <row r="207">
      <c r="A207" s="2" t="inlineStr">
        <is>
          <t>KPROP-00206</t>
        </is>
      </c>
      <c r="B207" s="3" t="n">
        <v>45885.59774305556</v>
      </c>
      <c r="C207" s="3" t="n">
        <v>45885</v>
      </c>
      <c r="D207" s="2" t="inlineStr">
        <is>
          <t>Shota Imanaga</t>
        </is>
      </c>
      <c r="E207" s="2" t="n">
        <v>112</v>
      </c>
      <c r="F207" s="2" t="n">
        <v>134</v>
      </c>
      <c r="G207" s="2" t="inlineStr">
        <is>
          <t>Home</t>
        </is>
      </c>
      <c r="H207" s="2" t="inlineStr">
        <is>
          <t>bovada</t>
        </is>
      </c>
      <c r="I207" s="4" t="n"/>
      <c r="J207" s="4" t="n"/>
      <c r="K207" s="4" t="n">
        <v>110</v>
      </c>
      <c r="L207" s="4" t="n">
        <v>110</v>
      </c>
      <c r="M207" s="5" t="n">
        <v>5.5</v>
      </c>
      <c r="N207" s="5" t="n">
        <v>4.90304220837675</v>
      </c>
      <c r="O207" s="5" t="n">
        <v>5.5</v>
      </c>
      <c r="P207" s="5" t="n">
        <v>0.5969577916232502</v>
      </c>
      <c r="Q207" s="6" t="n">
        <v>0.3292332232880268</v>
      </c>
      <c r="R207" s="6" t="n">
        <v>0.632968201565727</v>
      </c>
      <c r="S207" s="6" t="n">
        <v>0.4661016949152542</v>
      </c>
      <c r="T207" s="2" t="inlineStr">
        <is>
          <t>Under</t>
        </is>
      </c>
      <c r="U207" s="4" t="n">
        <v>110</v>
      </c>
      <c r="V207" s="2" t="n">
        <v>2.1</v>
      </c>
      <c r="W207" s="4" t="n">
        <v>110</v>
      </c>
      <c r="X207" s="2" t="n">
        <v>1</v>
      </c>
      <c r="Y207" s="5" t="n">
        <v>-1</v>
      </c>
      <c r="Z207" s="7" t="n">
        <v>100</v>
      </c>
      <c r="AA207" s="7">
        <f>Y207*Z207</f>
        <v/>
      </c>
      <c r="AB207" s="6">
        <f>IF(Z207=0,0,AA207/Z207)</f>
        <v/>
      </c>
      <c r="AC207" s="6" t="n"/>
      <c r="AD207" s="2" t="inlineStr">
        <is>
          <t>Loss</t>
        </is>
      </c>
      <c r="AE207" s="6">
        <f>IF((COUNTIF($AD$2:AD207,"Win")+COUNTIF($AD$2:AD207,"Loss"))=0,0,COUNTIF($AD$2:AD207,"Win")/(COUNTIF($AD$2:AD207,"Win")+COUNTIF($AD$2:AD207,"Loss")))</f>
        <v/>
      </c>
      <c r="AF207" s="6">
        <f>SUM($Y$2:Y207)/SUM($X$2:X207)</f>
        <v/>
      </c>
      <c r="AG207" s="5">
        <f>SUM($Y$2:Y207)</f>
        <v/>
      </c>
      <c r="AH207" s="7">
        <f>10000.0+SUM($AA$2:AA207)</f>
        <v/>
      </c>
      <c r="AI207" s="2" t="n">
        <v>2025</v>
      </c>
      <c r="AJ207" s="2" t="inlineStr">
        <is>
          <t>2025-08</t>
        </is>
      </c>
      <c r="AK207" s="2" t="inlineStr">
        <is>
          <t>+100 to +120</t>
        </is>
      </c>
      <c r="AL207" s="2" t="inlineStr">
        <is>
          <t>2025 Validation</t>
        </is>
      </c>
      <c r="AM207" s="6" t="n">
        <v>0.2993029302618425</v>
      </c>
    </row>
    <row r="208">
      <c r="A208" s="2" t="inlineStr">
        <is>
          <t>KPROP-00207</t>
        </is>
      </c>
      <c r="B208" s="3" t="n">
        <v>45886.56641203703</v>
      </c>
      <c r="C208" s="3" t="n">
        <v>45886</v>
      </c>
      <c r="D208" s="2" t="inlineStr">
        <is>
          <t>Garrett Crochet</t>
        </is>
      </c>
      <c r="E208" s="2" t="n">
        <v>111</v>
      </c>
      <c r="F208" s="2" t="n">
        <v>146</v>
      </c>
      <c r="G208" s="2" t="inlineStr">
        <is>
          <t>Home</t>
        </is>
      </c>
      <c r="H208" s="2" t="inlineStr">
        <is>
          <t>betrivers</t>
        </is>
      </c>
      <c r="I208" s="4" t="n"/>
      <c r="J208" s="4" t="n"/>
      <c r="K208" s="4" t="n">
        <v>135</v>
      </c>
      <c r="L208" s="4" t="n">
        <v>135</v>
      </c>
      <c r="M208" s="5" t="n">
        <v>6.5</v>
      </c>
      <c r="N208" s="5" t="n">
        <v>6.926289779915026</v>
      </c>
      <c r="O208" s="5" t="n">
        <v>6.5</v>
      </c>
      <c r="P208" s="5" t="n">
        <v>-0.4262897799150256</v>
      </c>
      <c r="Q208" s="6" t="n">
        <v>0.08276456563361745</v>
      </c>
      <c r="R208" s="6" t="n">
        <v>0.4607508789930287</v>
      </c>
      <c r="S208" s="6" t="n">
        <v>0.3937542430414121</v>
      </c>
      <c r="T208" s="2" t="inlineStr">
        <is>
          <t>Under</t>
        </is>
      </c>
      <c r="U208" s="4" t="n">
        <v>135</v>
      </c>
      <c r="V208" s="2" t="n">
        <v>2.35</v>
      </c>
      <c r="W208" s="4" t="n">
        <v>135</v>
      </c>
      <c r="X208" s="2" t="n">
        <v>1</v>
      </c>
      <c r="Y208" s="5" t="n">
        <v>-1</v>
      </c>
      <c r="Z208" s="7" t="n">
        <v>100</v>
      </c>
      <c r="AA208" s="7">
        <f>Y208*Z208</f>
        <v/>
      </c>
      <c r="AB208" s="6">
        <f>IF(Z208=0,0,AA208/Z208)</f>
        <v/>
      </c>
      <c r="AC208" s="6" t="n"/>
      <c r="AD208" s="2" t="inlineStr">
        <is>
          <t>Loss</t>
        </is>
      </c>
      <c r="AE208" s="6">
        <f>IF((COUNTIF($AD$2:AD208,"Win")+COUNTIF($AD$2:AD208,"Loss"))=0,0,COUNTIF($AD$2:AD208,"Win")/(COUNTIF($AD$2:AD208,"Win")+COUNTIF($AD$2:AD208,"Loss")))</f>
        <v/>
      </c>
      <c r="AF208" s="6">
        <f>SUM($Y$2:Y208)/SUM($X$2:X208)</f>
        <v/>
      </c>
      <c r="AG208" s="5">
        <f>SUM($Y$2:Y208)</f>
        <v/>
      </c>
      <c r="AH208" s="7">
        <f>10000.0+SUM($AA$2:AA208)</f>
        <v/>
      </c>
      <c r="AI208" s="2" t="n">
        <v>2025</v>
      </c>
      <c r="AJ208" s="2" t="inlineStr">
        <is>
          <t>2025-08</t>
        </is>
      </c>
      <c r="AK208" s="2" t="inlineStr">
        <is>
          <t>+121 to +150</t>
        </is>
      </c>
      <c r="AL208" s="2" t="inlineStr">
        <is>
          <t>2025 Validation</t>
        </is>
      </c>
      <c r="AM208" s="6" t="n">
        <v>0.06130708565453144</v>
      </c>
    </row>
    <row r="209">
      <c r="A209" s="2" t="inlineStr">
        <is>
          <t>KPROP-00208</t>
        </is>
      </c>
      <c r="B209" s="3" t="n">
        <v>45886.56641203703</v>
      </c>
      <c r="C209" s="3" t="n">
        <v>45886</v>
      </c>
      <c r="D209" s="2" t="inlineStr">
        <is>
          <t>Garrett Crochet</t>
        </is>
      </c>
      <c r="E209" s="2" t="n">
        <v>111</v>
      </c>
      <c r="F209" s="2" t="n">
        <v>146</v>
      </c>
      <c r="G209" s="2" t="inlineStr">
        <is>
          <t>Home</t>
        </is>
      </c>
      <c r="H209" s="2" t="inlineStr">
        <is>
          <t>draftkings</t>
        </is>
      </c>
      <c r="I209" s="4" t="n"/>
      <c r="J209" s="4" t="n"/>
      <c r="K209" s="4" t="n">
        <v>-125</v>
      </c>
      <c r="L209" s="4" t="n">
        <v>-125</v>
      </c>
      <c r="M209" s="5" t="n">
        <v>7.5</v>
      </c>
      <c r="N209" s="5" t="n">
        <v>6.926289779915026</v>
      </c>
      <c r="O209" s="5" t="n">
        <v>7.5</v>
      </c>
      <c r="P209" s="5" t="n">
        <v>0.5737102200849744</v>
      </c>
      <c r="Q209" s="6" t="n">
        <v>0.09745178310967989</v>
      </c>
      <c r="R209" s="6" t="n">
        <v>0.6096954350609333</v>
      </c>
      <c r="S209" s="6" t="n">
        <v>0.5384615384615385</v>
      </c>
      <c r="T209" s="2" t="inlineStr">
        <is>
          <t>Under</t>
        </is>
      </c>
      <c r="U209" s="4" t="n">
        <v>-125</v>
      </c>
      <c r="V209" s="2" t="n">
        <v>1.8</v>
      </c>
      <c r="W209" s="4" t="n">
        <v>-125</v>
      </c>
      <c r="X209" s="2" t="n">
        <v>1</v>
      </c>
      <c r="Y209" s="5" t="n">
        <v>-1</v>
      </c>
      <c r="Z209" s="7" t="n">
        <v>100</v>
      </c>
      <c r="AA209" s="7">
        <f>Y209*Z209</f>
        <v/>
      </c>
      <c r="AB209" s="6">
        <f>IF(Z209=0,0,AA209/Z209)</f>
        <v/>
      </c>
      <c r="AC209" s="6" t="n"/>
      <c r="AD209" s="2" t="inlineStr">
        <is>
          <t>Loss</t>
        </is>
      </c>
      <c r="AE209" s="6">
        <f>IF((COUNTIF($AD$2:AD209,"Win")+COUNTIF($AD$2:AD209,"Loss"))=0,0,COUNTIF($AD$2:AD209,"Win")/(COUNTIF($AD$2:AD209,"Win")+COUNTIF($AD$2:AD209,"Loss")))</f>
        <v/>
      </c>
      <c r="AF209" s="6">
        <f>SUM($Y$2:Y209)/SUM($X$2:X209)</f>
        <v/>
      </c>
      <c r="AG209" s="5">
        <f>SUM($Y$2:Y209)</f>
        <v/>
      </c>
      <c r="AH209" s="7">
        <f>10000.0+SUM($AA$2:AA209)</f>
        <v/>
      </c>
      <c r="AI209" s="2" t="n">
        <v>2025</v>
      </c>
      <c r="AJ209" s="2" t="inlineStr">
        <is>
          <t>2025-08</t>
        </is>
      </c>
      <c r="AK209" s="2" t="inlineStr">
        <is>
          <t>-149 to -120</t>
        </is>
      </c>
      <c r="AL209" s="2" t="inlineStr">
        <is>
          <t>2025 Validation</t>
        </is>
      </c>
      <c r="AM209" s="6" t="n">
        <v>0.1218147288870999</v>
      </c>
    </row>
    <row r="210">
      <c r="A210" s="2" t="inlineStr">
        <is>
          <t>KPROP-00209</t>
        </is>
      </c>
      <c r="B210" s="3" t="n">
        <v>45886.59766203703</v>
      </c>
      <c r="C210" s="3" t="n">
        <v>45886</v>
      </c>
      <c r="D210" s="2" t="inlineStr">
        <is>
          <t>Javier Assad</t>
        </is>
      </c>
      <c r="E210" s="2" t="n">
        <v>112</v>
      </c>
      <c r="F210" s="2" t="n">
        <v>134</v>
      </c>
      <c r="G210" s="2" t="inlineStr">
        <is>
          <t>Home</t>
        </is>
      </c>
      <c r="H210" s="2" t="inlineStr">
        <is>
          <t>draftkings</t>
        </is>
      </c>
      <c r="I210" s="4" t="n"/>
      <c r="J210" s="4" t="n"/>
      <c r="K210" s="4" t="n">
        <v>-145</v>
      </c>
      <c r="L210" s="4" t="n">
        <v>-145</v>
      </c>
      <c r="M210" s="5" t="n">
        <v>4.5</v>
      </c>
      <c r="N210" s="5" t="n">
        <v>3.976195423862747</v>
      </c>
      <c r="O210" s="5" t="n">
        <v>4.5</v>
      </c>
      <c r="P210" s="5" t="n">
        <v>0.5238045761372532</v>
      </c>
      <c r="Q210" s="6" t="n">
        <v>0.07037534531411271</v>
      </c>
      <c r="R210" s="6" t="n">
        <v>0.6334874492675361</v>
      </c>
      <c r="S210" s="6" t="n">
        <v>0.5764909248055315</v>
      </c>
      <c r="T210" s="2" t="inlineStr">
        <is>
          <t>Under</t>
        </is>
      </c>
      <c r="U210" s="4" t="n">
        <v>-145</v>
      </c>
      <c r="V210" s="2" t="n">
        <v>1.689655172413793</v>
      </c>
      <c r="W210" s="4" t="n">
        <v>-145</v>
      </c>
      <c r="X210" s="2" t="n">
        <v>1</v>
      </c>
      <c r="Y210" s="5" t="n">
        <v>0.6896551724137931</v>
      </c>
      <c r="Z210" s="7" t="n">
        <v>100</v>
      </c>
      <c r="AA210" s="7">
        <f>Y210*Z210</f>
        <v/>
      </c>
      <c r="AB210" s="6">
        <f>IF(Z210=0,0,AA210/Z210)</f>
        <v/>
      </c>
      <c r="AC210" s="6" t="n"/>
      <c r="AD210" s="2" t="inlineStr">
        <is>
          <t>Win</t>
        </is>
      </c>
      <c r="AE210" s="6">
        <f>IF((COUNTIF($AD$2:AD210,"Win")+COUNTIF($AD$2:AD210,"Loss"))=0,0,COUNTIF($AD$2:AD210,"Win")/(COUNTIF($AD$2:AD210,"Win")+COUNTIF($AD$2:AD210,"Loss")))</f>
        <v/>
      </c>
      <c r="AF210" s="6">
        <f>SUM($Y$2:Y210)/SUM($X$2:X210)</f>
        <v/>
      </c>
      <c r="AG210" s="5">
        <f>SUM($Y$2:Y210)</f>
        <v/>
      </c>
      <c r="AH210" s="7">
        <f>10000.0+SUM($AA$2:AA210)</f>
        <v/>
      </c>
      <c r="AI210" s="2" t="n">
        <v>2025</v>
      </c>
      <c r="AJ210" s="2" t="inlineStr">
        <is>
          <t>2025-08</t>
        </is>
      </c>
      <c r="AK210" s="2" t="inlineStr">
        <is>
          <t>-149 to -120</t>
        </is>
      </c>
      <c r="AL210" s="2" t="inlineStr">
        <is>
          <t>2025 Validation</t>
        </is>
      </c>
      <c r="AM210" s="6" t="n">
        <v>0.1020442507054634</v>
      </c>
    </row>
    <row r="211">
      <c r="A211" s="2" t="inlineStr">
        <is>
          <t>KPROP-00210</t>
        </is>
      </c>
      <c r="B211" s="3" t="n">
        <v>45886.67059027778</v>
      </c>
      <c r="C211" s="3" t="n">
        <v>45886</v>
      </c>
      <c r="D211" s="2" t="inlineStr">
        <is>
          <t>Logan Webb</t>
        </is>
      </c>
      <c r="E211" s="2" t="n">
        <v>137</v>
      </c>
      <c r="F211" s="2" t="n">
        <v>139</v>
      </c>
      <c r="G211" s="2" t="inlineStr">
        <is>
          <t>Home</t>
        </is>
      </c>
      <c r="H211" s="2" t="inlineStr">
        <is>
          <t>betonlineag</t>
        </is>
      </c>
      <c r="I211" s="4" t="n"/>
      <c r="J211" s="4" t="n"/>
      <c r="K211" s="4" t="n">
        <v>128</v>
      </c>
      <c r="L211" s="4" t="n">
        <v>128</v>
      </c>
      <c r="M211" s="5" t="n">
        <v>5.5</v>
      </c>
      <c r="N211" s="5" t="n">
        <v>5.567401206884329</v>
      </c>
      <c r="O211" s="5" t="n">
        <v>5.5</v>
      </c>
      <c r="P211" s="5" t="n">
        <v>-0.0674012068843286</v>
      </c>
      <c r="Q211" s="6" t="n">
        <v>0.1796784416372819</v>
      </c>
      <c r="R211" s="6" t="n">
        <v>0.5174028252795095</v>
      </c>
      <c r="S211" s="6" t="n">
        <v>0.4291845493562232</v>
      </c>
      <c r="T211" s="2" t="inlineStr">
        <is>
          <t>Under</t>
        </is>
      </c>
      <c r="U211" s="4" t="n">
        <v>128</v>
      </c>
      <c r="V211" s="2" t="n">
        <v>2.28</v>
      </c>
      <c r="W211" s="4" t="n">
        <v>128</v>
      </c>
      <c r="X211" s="2" t="n">
        <v>1</v>
      </c>
      <c r="Y211" s="5" t="n">
        <v>-1</v>
      </c>
      <c r="Z211" s="7" t="n">
        <v>100</v>
      </c>
      <c r="AA211" s="7">
        <f>Y211*Z211</f>
        <v/>
      </c>
      <c r="AB211" s="6">
        <f>IF(Z211=0,0,AA211/Z211)</f>
        <v/>
      </c>
      <c r="AC211" s="6" t="n"/>
      <c r="AD211" s="2" t="inlineStr">
        <is>
          <t>Loss</t>
        </is>
      </c>
      <c r="AE211" s="6">
        <f>IF((COUNTIF($AD$2:AD211,"Win")+COUNTIF($AD$2:AD211,"Loss"))=0,0,COUNTIF($AD$2:AD211,"Win")/(COUNTIF($AD$2:AD211,"Win")+COUNTIF($AD$2:AD211,"Loss")))</f>
        <v/>
      </c>
      <c r="AF211" s="6">
        <f>SUM($Y$2:Y211)/SUM($X$2:X211)</f>
        <v/>
      </c>
      <c r="AG211" s="5">
        <f>SUM($Y$2:Y211)</f>
        <v/>
      </c>
      <c r="AH211" s="7">
        <f>10000.0+SUM($AA$2:AA211)</f>
        <v/>
      </c>
      <c r="AI211" s="2" t="n">
        <v>2025</v>
      </c>
      <c r="AJ211" s="2" t="inlineStr">
        <is>
          <t>2025-08</t>
        </is>
      </c>
      <c r="AK211" s="2" t="inlineStr">
        <is>
          <t>+121 to +150</t>
        </is>
      </c>
      <c r="AL211" s="2" t="inlineStr">
        <is>
          <t>2025 Validation</t>
        </is>
      </c>
      <c r="AM211" s="6" t="n">
        <v>0.1403737825291264</v>
      </c>
    </row>
    <row r="212">
      <c r="A212" s="2" t="inlineStr">
        <is>
          <t>KPROP-00211</t>
        </is>
      </c>
      <c r="B212" s="3" t="n">
        <v>45886.67059027778</v>
      </c>
      <c r="C212" s="3" t="n">
        <v>45886</v>
      </c>
      <c r="D212" s="2" t="inlineStr">
        <is>
          <t>Logan Webb</t>
        </is>
      </c>
      <c r="E212" s="2" t="n">
        <v>137</v>
      </c>
      <c r="F212" s="2" t="n">
        <v>139</v>
      </c>
      <c r="G212" s="2" t="inlineStr">
        <is>
          <t>Home</t>
        </is>
      </c>
      <c r="H212" s="2" t="inlineStr">
        <is>
          <t>draftkings</t>
        </is>
      </c>
      <c r="I212" s="4" t="n"/>
      <c r="J212" s="4" t="n"/>
      <c r="K212" s="4" t="n">
        <v>-155</v>
      </c>
      <c r="L212" s="4" t="n">
        <v>-155</v>
      </c>
      <c r="M212" s="5" t="n">
        <v>6.5</v>
      </c>
      <c r="N212" s="5" t="n">
        <v>5.567401206884329</v>
      </c>
      <c r="O212" s="5" t="n">
        <v>6.5</v>
      </c>
      <c r="P212" s="5" t="n">
        <v>0.9325987931156714</v>
      </c>
      <c r="Q212" s="6" t="n">
        <v>0.1111668799111029</v>
      </c>
      <c r="R212" s="6" t="n">
        <v>0.6754151622989057</v>
      </c>
      <c r="S212" s="6" t="n">
        <v>0.5962954167656138</v>
      </c>
      <c r="T212" s="2" t="inlineStr">
        <is>
          <t>Under</t>
        </is>
      </c>
      <c r="U212" s="4" t="n">
        <v>-155</v>
      </c>
      <c r="V212" s="2" t="n">
        <v>1.645161290322581</v>
      </c>
      <c r="W212" s="4" t="n">
        <v>-155</v>
      </c>
      <c r="X212" s="2" t="n">
        <v>1</v>
      </c>
      <c r="Y212" s="5" t="n">
        <v>-1</v>
      </c>
      <c r="Z212" s="7" t="n">
        <v>100</v>
      </c>
      <c r="AA212" s="7">
        <f>Y212*Z212</f>
        <v/>
      </c>
      <c r="AB212" s="6">
        <f>IF(Z212=0,0,AA212/Z212)</f>
        <v/>
      </c>
      <c r="AC212" s="6" t="n"/>
      <c r="AD212" s="2" t="inlineStr">
        <is>
          <t>Loss</t>
        </is>
      </c>
      <c r="AE212" s="6">
        <f>IF((COUNTIF($AD$2:AD212,"Win")+COUNTIF($AD$2:AD212,"Loss"))=0,0,COUNTIF($AD$2:AD212,"Win")/(COUNTIF($AD$2:AD212,"Win")+COUNTIF($AD$2:AD212,"Loss")))</f>
        <v/>
      </c>
      <c r="AF212" s="6">
        <f>SUM($Y$2:Y212)/SUM($X$2:X212)</f>
        <v/>
      </c>
      <c r="AG212" s="5">
        <f>SUM($Y$2:Y212)</f>
        <v/>
      </c>
      <c r="AH212" s="7">
        <f>10000.0+SUM($AA$2:AA212)</f>
        <v/>
      </c>
      <c r="AI212" s="2" t="n">
        <v>2025</v>
      </c>
      <c r="AJ212" s="2" t="inlineStr">
        <is>
          <t>2025-08</t>
        </is>
      </c>
      <c r="AK212" s="2" t="inlineStr">
        <is>
          <t>&lt;= -150</t>
        </is>
      </c>
      <c r="AL212" s="2" t="inlineStr">
        <is>
          <t>2025 Validation</t>
        </is>
      </c>
      <c r="AM212" s="6" t="n">
        <v>0.1723086638622096</v>
      </c>
    </row>
    <row r="213">
      <c r="A213" s="2" t="inlineStr">
        <is>
          <t>KPROP-00212</t>
        </is>
      </c>
      <c r="B213" s="3" t="n">
        <v>45886.56641203703</v>
      </c>
      <c r="C213" s="3" t="n">
        <v>45886</v>
      </c>
      <c r="D213" s="2" t="inlineStr">
        <is>
          <t>Nathan Eovaldi</t>
        </is>
      </c>
      <c r="E213" s="2" t="n">
        <v>140</v>
      </c>
      <c r="F213" s="2" t="n">
        <v>141</v>
      </c>
      <c r="G213" s="2" t="inlineStr">
        <is>
          <t>Away</t>
        </is>
      </c>
      <c r="H213" s="2" t="inlineStr">
        <is>
          <t>bovada</t>
        </is>
      </c>
      <c r="I213" s="4" t="n"/>
      <c r="J213" s="4" t="n"/>
      <c r="K213" s="4" t="n">
        <v>-115</v>
      </c>
      <c r="L213" s="4" t="n">
        <v>-115</v>
      </c>
      <c r="M213" s="5" t="n">
        <v>4.5</v>
      </c>
      <c r="N213" s="5" t="n">
        <v>4.196589629160992</v>
      </c>
      <c r="O213" s="5" t="n">
        <v>4.5</v>
      </c>
      <c r="P213" s="5" t="n">
        <v>0.3034103708390079</v>
      </c>
      <c r="Q213" s="6" t="n">
        <v>0.1039598112780403</v>
      </c>
      <c r="R213" s="6" t="n">
        <v>0.5904901316138356</v>
      </c>
      <c r="S213" s="6" t="n">
        <v>0.5168539325842696</v>
      </c>
      <c r="T213" s="2" t="inlineStr">
        <is>
          <t>Under</t>
        </is>
      </c>
      <c r="U213" s="4" t="n">
        <v>-115</v>
      </c>
      <c r="V213" s="2" t="n">
        <v>1.869565217391304</v>
      </c>
      <c r="W213" s="4" t="n">
        <v>-115</v>
      </c>
      <c r="X213" s="2" t="n">
        <v>1</v>
      </c>
      <c r="Y213" s="5" t="n">
        <v>-1</v>
      </c>
      <c r="Z213" s="7" t="n">
        <v>100</v>
      </c>
      <c r="AA213" s="7">
        <f>Y213*Z213</f>
        <v/>
      </c>
      <c r="AB213" s="6">
        <f>IF(Z213=0,0,AA213/Z213)</f>
        <v/>
      </c>
      <c r="AC213" s="6" t="n"/>
      <c r="AD213" s="2" t="inlineStr">
        <is>
          <t>Loss</t>
        </is>
      </c>
      <c r="AE213" s="6">
        <f>IF((COUNTIF($AD$2:AD213,"Win")+COUNTIF($AD$2:AD213,"Loss"))=0,0,COUNTIF($AD$2:AD213,"Win")/(COUNTIF($AD$2:AD213,"Win")+COUNTIF($AD$2:AD213,"Loss")))</f>
        <v/>
      </c>
      <c r="AF213" s="6">
        <f>SUM($Y$2:Y213)/SUM($X$2:X213)</f>
        <v/>
      </c>
      <c r="AG213" s="5">
        <f>SUM($Y$2:Y213)</f>
        <v/>
      </c>
      <c r="AH213" s="7">
        <f>10000.0+SUM($AA$2:AA213)</f>
        <v/>
      </c>
      <c r="AI213" s="2" t="n">
        <v>2025</v>
      </c>
      <c r="AJ213" s="2" t="inlineStr">
        <is>
          <t>2025-08</t>
        </is>
      </c>
      <c r="AK213" s="2" t="inlineStr">
        <is>
          <t>-119 to -101</t>
        </is>
      </c>
      <c r="AL213" s="2" t="inlineStr">
        <is>
          <t>2025 Validation</t>
        </is>
      </c>
      <c r="AM213" s="6" t="n">
        <v>0.1195537829697464</v>
      </c>
    </row>
    <row r="214">
      <c r="A214" s="2" t="inlineStr">
        <is>
          <t>KPROP-00213</t>
        </is>
      </c>
      <c r="B214" s="3" t="n">
        <v>45886.67405092593</v>
      </c>
      <c r="C214" s="3" t="n">
        <v>45886</v>
      </c>
      <c r="D214" s="2" t="inlineStr">
        <is>
          <t>Tyler Glasnow</t>
        </is>
      </c>
      <c r="E214" s="2" t="n">
        <v>119</v>
      </c>
      <c r="F214" s="2" t="n">
        <v>135</v>
      </c>
      <c r="G214" s="2" t="inlineStr">
        <is>
          <t>Home</t>
        </is>
      </c>
      <c r="H214" s="2" t="inlineStr">
        <is>
          <t>fanduel</t>
        </is>
      </c>
      <c r="I214" s="4" t="n"/>
      <c r="J214" s="4" t="n"/>
      <c r="K214" s="4" t="n">
        <v>102</v>
      </c>
      <c r="L214" s="4" t="n">
        <v>102</v>
      </c>
      <c r="M214" s="5" t="n">
        <v>5.5</v>
      </c>
      <c r="N214" s="5" t="n">
        <v>5.297572059102222</v>
      </c>
      <c r="O214" s="5" t="n">
        <v>5.5</v>
      </c>
      <c r="P214" s="5" t="n">
        <v>0.2024279408977785</v>
      </c>
      <c r="Q214" s="6" t="n">
        <v>0.1390694637148829</v>
      </c>
      <c r="R214" s="6" t="n">
        <v>0.5638957741162787</v>
      </c>
      <c r="S214" s="6" t="n">
        <v>0.4806617482673821</v>
      </c>
      <c r="T214" s="2" t="inlineStr">
        <is>
          <t>Under</t>
        </is>
      </c>
      <c r="U214" s="4" t="n">
        <v>102</v>
      </c>
      <c r="V214" s="2" t="n">
        <v>2.02</v>
      </c>
      <c r="W214" s="4" t="n">
        <v>102</v>
      </c>
      <c r="X214" s="2" t="n">
        <v>1</v>
      </c>
      <c r="Y214" s="5" t="n">
        <v>-1</v>
      </c>
      <c r="Z214" s="7" t="n">
        <v>100</v>
      </c>
      <c r="AA214" s="7">
        <f>Y214*Z214</f>
        <v/>
      </c>
      <c r="AB214" s="6">
        <f>IF(Z214=0,0,AA214/Z214)</f>
        <v/>
      </c>
      <c r="AC214" s="6" t="n"/>
      <c r="AD214" s="2" t="inlineStr">
        <is>
          <t>Loss</t>
        </is>
      </c>
      <c r="AE214" s="6">
        <f>IF((COUNTIF($AD$2:AD214,"Win")+COUNTIF($AD$2:AD214,"Loss"))=0,0,COUNTIF($AD$2:AD214,"Win")/(COUNTIF($AD$2:AD214,"Win")+COUNTIF($AD$2:AD214,"Loss")))</f>
        <v/>
      </c>
      <c r="AF214" s="6">
        <f>SUM($Y$2:Y214)/SUM($X$2:X214)</f>
        <v/>
      </c>
      <c r="AG214" s="5">
        <f>SUM($Y$2:Y214)</f>
        <v/>
      </c>
      <c r="AH214" s="7">
        <f>10000.0+SUM($AA$2:AA214)</f>
        <v/>
      </c>
      <c r="AI214" s="2" t="n">
        <v>2025</v>
      </c>
      <c r="AJ214" s="2" t="inlineStr">
        <is>
          <t>2025-08</t>
        </is>
      </c>
      <c r="AK214" s="2" t="inlineStr">
        <is>
          <t>+100 to +120</t>
        </is>
      </c>
      <c r="AL214" s="2" t="inlineStr">
        <is>
          <t>2025 Validation</t>
        </is>
      </c>
      <c r="AM214" s="6" t="n">
        <v>0.1363426114851793</v>
      </c>
    </row>
    <row r="215">
      <c r="A215" s="2" t="inlineStr">
        <is>
          <t>KPROP-00214</t>
        </is>
      </c>
      <c r="B215" s="3" t="n">
        <v>45887.77475694445</v>
      </c>
      <c r="C215" s="3" t="n">
        <v>45887</v>
      </c>
      <c r="D215" s="2" t="inlineStr">
        <is>
          <t>Jack Flaherty</t>
        </is>
      </c>
      <c r="E215" s="2" t="n">
        <v>116</v>
      </c>
      <c r="F215" s="2" t="n">
        <v>117</v>
      </c>
      <c r="G215" s="2" t="inlineStr">
        <is>
          <t>Home</t>
        </is>
      </c>
      <c r="H215" s="2" t="inlineStr">
        <is>
          <t>betonlineag</t>
        </is>
      </c>
      <c r="I215" s="4" t="n"/>
      <c r="J215" s="4" t="n"/>
      <c r="K215" s="4" t="n">
        <v>-130</v>
      </c>
      <c r="L215" s="4" t="n">
        <v>-130</v>
      </c>
      <c r="M215" s="5" t="n">
        <v>6.5</v>
      </c>
      <c r="N215" s="5" t="n">
        <v>5.667569260522157</v>
      </c>
      <c r="O215" s="5" t="n">
        <v>6.5</v>
      </c>
      <c r="P215" s="5" t="n">
        <v>0.832430739477843</v>
      </c>
      <c r="Q215" s="6" t="n">
        <v>0.1668620504976032</v>
      </c>
      <c r="R215" s="6" t="n">
        <v>0.6595307241942975</v>
      </c>
      <c r="S215" s="6" t="n">
        <v>0.5427435387673957</v>
      </c>
      <c r="T215" s="2" t="inlineStr">
        <is>
          <t>Under</t>
        </is>
      </c>
      <c r="U215" s="4" t="n">
        <v>-130</v>
      </c>
      <c r="V215" s="2" t="n">
        <v>1.769230769230769</v>
      </c>
      <c r="W215" s="4" t="n">
        <v>-130</v>
      </c>
      <c r="X215" s="2" t="n">
        <v>1</v>
      </c>
      <c r="Y215" s="5" t="n">
        <v>-1</v>
      </c>
      <c r="Z215" s="7" t="n">
        <v>100</v>
      </c>
      <c r="AA215" s="7">
        <f>Y215*Z215</f>
        <v/>
      </c>
      <c r="AB215" s="6">
        <f>IF(Z215=0,0,AA215/Z215)</f>
        <v/>
      </c>
      <c r="AC215" s="6" t="n"/>
      <c r="AD215" s="2" t="inlineStr">
        <is>
          <t>Loss</t>
        </is>
      </c>
      <c r="AE215" s="6">
        <f>IF((COUNTIF($AD$2:AD215,"Win")+COUNTIF($AD$2:AD215,"Loss"))=0,0,COUNTIF($AD$2:AD215,"Win")/(COUNTIF($AD$2:AD215,"Win")+COUNTIF($AD$2:AD215,"Loss")))</f>
        <v/>
      </c>
      <c r="AF215" s="6">
        <f>SUM($Y$2:Y215)/SUM($X$2:X215)</f>
        <v/>
      </c>
      <c r="AG215" s="5">
        <f>SUM($Y$2:Y215)</f>
        <v/>
      </c>
      <c r="AH215" s="7">
        <f>10000.0+SUM($AA$2:AA215)</f>
        <v/>
      </c>
      <c r="AI215" s="2" t="n">
        <v>2025</v>
      </c>
      <c r="AJ215" s="2" t="inlineStr">
        <is>
          <t>2025-08</t>
        </is>
      </c>
      <c r="AK215" s="2" t="inlineStr">
        <is>
          <t>-149 to -120</t>
        </is>
      </c>
      <c r="AL215" s="2" t="inlineStr">
        <is>
          <t>2025 Validation</t>
        </is>
      </c>
      <c r="AM215" s="6" t="n">
        <v>0.2169206656468841</v>
      </c>
    </row>
    <row r="216">
      <c r="A216" s="2" t="inlineStr">
        <is>
          <t>KPROP-00215</t>
        </is>
      </c>
      <c r="B216" s="3" t="n">
        <v>45887.77475694445</v>
      </c>
      <c r="C216" s="3" t="n">
        <v>45887</v>
      </c>
      <c r="D216" s="2" t="inlineStr">
        <is>
          <t>Matthew Liberatore</t>
        </is>
      </c>
      <c r="E216" s="2" t="n">
        <v>138</v>
      </c>
      <c r="F216" s="2" t="n">
        <v>146</v>
      </c>
      <c r="G216" s="2" t="inlineStr">
        <is>
          <t>Away</t>
        </is>
      </c>
      <c r="H216" s="2" t="inlineStr">
        <is>
          <t>betmgm</t>
        </is>
      </c>
      <c r="I216" s="4" t="n"/>
      <c r="J216" s="4" t="n"/>
      <c r="K216" s="4" t="n">
        <v>115</v>
      </c>
      <c r="L216" s="4" t="n">
        <v>115</v>
      </c>
      <c r="M216" s="5" t="n">
        <v>3.5</v>
      </c>
      <c r="N216" s="5" t="n">
        <v>3.207490188457284</v>
      </c>
      <c r="O216" s="5" t="n">
        <v>3.5</v>
      </c>
      <c r="P216" s="5" t="n">
        <v>0.2925098115427156</v>
      </c>
      <c r="Q216" s="6" t="n">
        <v>0.2918332695910925</v>
      </c>
      <c r="R216" s="6" t="n">
        <v>0.6008526835307407</v>
      </c>
      <c r="S216" s="6" t="n">
        <v>0.451422963689892</v>
      </c>
      <c r="T216" s="2" t="inlineStr">
        <is>
          <t>Under</t>
        </is>
      </c>
      <c r="U216" s="4" t="n">
        <v>115</v>
      </c>
      <c r="V216" s="2" t="n">
        <v>2.15</v>
      </c>
      <c r="W216" s="4" t="n">
        <v>115</v>
      </c>
      <c r="X216" s="2" t="n">
        <v>1</v>
      </c>
      <c r="Y216" s="5" t="n">
        <v>-1</v>
      </c>
      <c r="Z216" s="7" t="n">
        <v>100</v>
      </c>
      <c r="AA216" s="7">
        <f>Y216*Z216</f>
        <v/>
      </c>
      <c r="AB216" s="6">
        <f>IF(Z216=0,0,AA216/Z216)</f>
        <v/>
      </c>
      <c r="AC216" s="6" t="n"/>
      <c r="AD216" s="2" t="inlineStr">
        <is>
          <t>Loss</t>
        </is>
      </c>
      <c r="AE216" s="6">
        <f>IF((COUNTIF($AD$2:AD216,"Win")+COUNTIF($AD$2:AD216,"Loss"))=0,0,COUNTIF($AD$2:AD216,"Win")/(COUNTIF($AD$2:AD216,"Win")+COUNTIF($AD$2:AD216,"Loss")))</f>
        <v/>
      </c>
      <c r="AF216" s="6">
        <f>SUM($Y$2:Y216)/SUM($X$2:X216)</f>
        <v/>
      </c>
      <c r="AG216" s="5">
        <f>SUM($Y$2:Y216)</f>
        <v/>
      </c>
      <c r="AH216" s="7">
        <f>10000.0+SUM($AA$2:AA216)</f>
        <v/>
      </c>
      <c r="AI216" s="2" t="n">
        <v>2025</v>
      </c>
      <c r="AJ216" s="2" t="inlineStr">
        <is>
          <t>2025-08</t>
        </is>
      </c>
      <c r="AK216" s="2" t="inlineStr">
        <is>
          <t>+100 to +120</t>
        </is>
      </c>
      <c r="AL216" s="2" t="inlineStr">
        <is>
          <t>2025 Validation</t>
        </is>
      </c>
      <c r="AM216" s="6" t="n">
        <v>0.2537680605139935</v>
      </c>
    </row>
    <row r="217">
      <c r="A217" s="2" t="inlineStr">
        <is>
          <t>KPROP-00216</t>
        </is>
      </c>
      <c r="B217" s="3" t="n">
        <v>45887.78168981482</v>
      </c>
      <c r="C217" s="3" t="n">
        <v>45887</v>
      </c>
      <c r="D217" s="2" t="inlineStr">
        <is>
          <t>Ranger Suarez</t>
        </is>
      </c>
      <c r="E217" s="2" t="n">
        <v>143</v>
      </c>
      <c r="F217" s="2" t="n">
        <v>136</v>
      </c>
      <c r="G217" s="2" t="inlineStr">
        <is>
          <t>Home</t>
        </is>
      </c>
      <c r="H217" s="2" t="inlineStr">
        <is>
          <t>betonlineag</t>
        </is>
      </c>
      <c r="I217" s="4" t="n"/>
      <c r="J217" s="4" t="n"/>
      <c r="K217" s="4" t="n">
        <v>-114</v>
      </c>
      <c r="L217" s="4" t="n">
        <v>-114</v>
      </c>
      <c r="M217" s="5" t="n">
        <v>5.5</v>
      </c>
      <c r="N217" s="5" t="n">
        <v>4.743508131919579</v>
      </c>
      <c r="O217" s="5" t="n">
        <v>5.5</v>
      </c>
      <c r="P217" s="5" t="n">
        <v>0.7564918680804213</v>
      </c>
      <c r="Q217" s="6" t="n">
        <v>0.2405720922714901</v>
      </c>
      <c r="R217" s="6" t="n">
        <v>0.6608655070978966</v>
      </c>
      <c r="S217" s="6" t="n">
        <v>0.5098167539267016</v>
      </c>
      <c r="T217" s="2" t="inlineStr">
        <is>
          <t>Under</t>
        </is>
      </c>
      <c r="U217" s="4" t="n">
        <v>-114</v>
      </c>
      <c r="V217" s="2" t="n">
        <v>1.87719298245614</v>
      </c>
      <c r="W217" s="4" t="n">
        <v>-114</v>
      </c>
      <c r="X217" s="2" t="n">
        <v>1</v>
      </c>
      <c r="Y217" s="5" t="n">
        <v>-1</v>
      </c>
      <c r="Z217" s="7" t="n">
        <v>100</v>
      </c>
      <c r="AA217" s="7">
        <f>Y217*Z217</f>
        <v/>
      </c>
      <c r="AB217" s="6">
        <f>IF(Z217=0,0,AA217/Z217)</f>
        <v/>
      </c>
      <c r="AC217" s="6" t="n"/>
      <c r="AD217" s="2" t="inlineStr">
        <is>
          <t>Loss</t>
        </is>
      </c>
      <c r="AE217" s="6">
        <f>IF((COUNTIF($AD$2:AD217,"Win")+COUNTIF($AD$2:AD217,"Loss"))=0,0,COUNTIF($AD$2:AD217,"Win")/(COUNTIF($AD$2:AD217,"Win")+COUNTIF($AD$2:AD217,"Loss")))</f>
        <v/>
      </c>
      <c r="AF217" s="6">
        <f>SUM($Y$2:Y217)/SUM($X$2:X217)</f>
        <v/>
      </c>
      <c r="AG217" s="5">
        <f>SUM($Y$2:Y217)</f>
        <v/>
      </c>
      <c r="AH217" s="7">
        <f>10000.0+SUM($AA$2:AA217)</f>
        <v/>
      </c>
      <c r="AI217" s="2" t="n">
        <v>2025</v>
      </c>
      <c r="AJ217" s="2" t="inlineStr">
        <is>
          <t>2025-08</t>
        </is>
      </c>
      <c r="AK217" s="2" t="inlineStr">
        <is>
          <t>-119 to -101</t>
        </is>
      </c>
      <c r="AL217" s="2" t="inlineStr">
        <is>
          <t>2025 Validation</t>
        </is>
      </c>
      <c r="AM217" s="6" t="n">
        <v>0.2742521851894987</v>
      </c>
    </row>
    <row r="218">
      <c r="A218" s="2" t="inlineStr">
        <is>
          <t>KPROP-00217</t>
        </is>
      </c>
      <c r="B218" s="3" t="n">
        <v>45887.79905092593</v>
      </c>
      <c r="C218" s="3" t="n">
        <v>45887</v>
      </c>
      <c r="D218" s="2" t="inlineStr">
        <is>
          <t>Spencer Strider</t>
        </is>
      </c>
      <c r="E218" s="2" t="n">
        <v>144</v>
      </c>
      <c r="F218" s="2" t="n">
        <v>145</v>
      </c>
      <c r="G218" s="2" t="inlineStr">
        <is>
          <t>Home</t>
        </is>
      </c>
      <c r="H218" s="2" t="inlineStr">
        <is>
          <t>fanduel</t>
        </is>
      </c>
      <c r="I218" s="4" t="n"/>
      <c r="J218" s="4" t="n"/>
      <c r="K218" s="4" t="n">
        <v>-134</v>
      </c>
      <c r="L218" s="4" t="n">
        <v>-134</v>
      </c>
      <c r="M218" s="5" t="n">
        <v>7.5</v>
      </c>
      <c r="N218" s="5" t="n">
        <v>5.678975663381873</v>
      </c>
      <c r="O218" s="5" t="n">
        <v>7.5</v>
      </c>
      <c r="P218" s="5" t="n">
        <v>1.821024336618127</v>
      </c>
      <c r="Q218" s="6" t="n">
        <v>0.3740874304162608</v>
      </c>
      <c r="R218" s="6" t="n">
        <v>0.7868705798110212</v>
      </c>
      <c r="S218" s="6" t="n">
        <v>0.5630252100840336</v>
      </c>
      <c r="T218" s="2" t="inlineStr">
        <is>
          <t>Under</t>
        </is>
      </c>
      <c r="U218" s="4" t="n">
        <v>-134</v>
      </c>
      <c r="V218" s="2" t="n">
        <v>1.746268656716418</v>
      </c>
      <c r="W218" s="4" t="n">
        <v>-134</v>
      </c>
      <c r="X218" s="2" t="n">
        <v>1</v>
      </c>
      <c r="Y218" s="5" t="n">
        <v>0.7462686567164178</v>
      </c>
      <c r="Z218" s="7" t="n">
        <v>100</v>
      </c>
      <c r="AA218" s="7">
        <f>Y218*Z218</f>
        <v/>
      </c>
      <c r="AB218" s="6">
        <f>IF(Z218=0,0,AA218/Z218)</f>
        <v/>
      </c>
      <c r="AC218" s="6" t="n"/>
      <c r="AD218" s="2" t="inlineStr">
        <is>
          <t>Win</t>
        </is>
      </c>
      <c r="AE218" s="6">
        <f>IF((COUNTIF($AD$2:AD218,"Win")+COUNTIF($AD$2:AD218,"Loss"))=0,0,COUNTIF($AD$2:AD218,"Win")/(COUNTIF($AD$2:AD218,"Win")+COUNTIF($AD$2:AD218,"Loss")))</f>
        <v/>
      </c>
      <c r="AF218" s="6">
        <f>SUM($Y$2:Y218)/SUM($X$2:X218)</f>
        <v/>
      </c>
      <c r="AG218" s="5">
        <f>SUM($Y$2:Y218)</f>
        <v/>
      </c>
      <c r="AH218" s="7">
        <f>10000.0+SUM($AA$2:AA218)</f>
        <v/>
      </c>
      <c r="AI218" s="2" t="n">
        <v>2025</v>
      </c>
      <c r="AJ218" s="2" t="inlineStr">
        <is>
          <t>2025-08</t>
        </is>
      </c>
      <c r="AK218" s="2" t="inlineStr">
        <is>
          <t>-149 to -120</t>
        </is>
      </c>
      <c r="AL218" s="2" t="inlineStr">
        <is>
          <t>2025 Validation</t>
        </is>
      </c>
      <c r="AM218" s="6" t="n">
        <v>0.5012771567577895</v>
      </c>
    </row>
    <row r="219">
      <c r="A219" s="2" t="inlineStr">
        <is>
          <t>KPROP-00218</t>
        </is>
      </c>
      <c r="B219" s="3" t="n">
        <v>45888.79907407407</v>
      </c>
      <c r="C219" s="3" t="n">
        <v>45888</v>
      </c>
      <c r="D219" s="2" t="inlineStr">
        <is>
          <t>Bryce Elder</t>
        </is>
      </c>
      <c r="E219" s="2" t="n">
        <v>144</v>
      </c>
      <c r="F219" s="2" t="n">
        <v>145</v>
      </c>
      <c r="G219" s="2" t="inlineStr">
        <is>
          <t>Home</t>
        </is>
      </c>
      <c r="H219" s="2" t="inlineStr">
        <is>
          <t>bovada</t>
        </is>
      </c>
      <c r="I219" s="4" t="n"/>
      <c r="J219" s="4" t="n"/>
      <c r="K219" s="4" t="n">
        <v>-110</v>
      </c>
      <c r="L219" s="4" t="n">
        <v>-110</v>
      </c>
      <c r="M219" s="5" t="n">
        <v>4.5</v>
      </c>
      <c r="N219" s="5" t="n">
        <v>4.14331164645254</v>
      </c>
      <c r="O219" s="5" t="n">
        <v>4.5</v>
      </c>
      <c r="P219" s="5" t="n">
        <v>0.3566883535474599</v>
      </c>
      <c r="Q219" s="6" t="n">
        <v>0.147100405556861</v>
      </c>
      <c r="R219" s="6" t="n">
        <v>0.600862117196451</v>
      </c>
      <c r="S219" s="6" t="n">
        <v>0.5177956371986223</v>
      </c>
      <c r="T219" s="2" t="inlineStr">
        <is>
          <t>Under</t>
        </is>
      </c>
      <c r="U219" s="4" t="n">
        <v>-110</v>
      </c>
      <c r="V219" s="2" t="n">
        <v>1.909090909090909</v>
      </c>
      <c r="W219" s="4" t="n">
        <v>-110</v>
      </c>
      <c r="X219" s="2" t="n">
        <v>1</v>
      </c>
      <c r="Y219" s="5" t="n">
        <v>0.9090909090909092</v>
      </c>
      <c r="Z219" s="7" t="n">
        <v>100</v>
      </c>
      <c r="AA219" s="7">
        <f>Y219*Z219</f>
        <v/>
      </c>
      <c r="AB219" s="6">
        <f>IF(Z219=0,0,AA219/Z219)</f>
        <v/>
      </c>
      <c r="AC219" s="6" t="n"/>
      <c r="AD219" s="2" t="inlineStr">
        <is>
          <t>Win</t>
        </is>
      </c>
      <c r="AE219" s="6">
        <f>IF((COUNTIF($AD$2:AD219,"Win")+COUNTIF($AD$2:AD219,"Loss"))=0,0,COUNTIF($AD$2:AD219,"Win")/(COUNTIF($AD$2:AD219,"Win")+COUNTIF($AD$2:AD219,"Loss")))</f>
        <v/>
      </c>
      <c r="AF219" s="6">
        <f>SUM($Y$2:Y219)/SUM($X$2:X219)</f>
        <v/>
      </c>
      <c r="AG219" s="5">
        <f>SUM($Y$2:Y219)</f>
        <v/>
      </c>
      <c r="AH219" s="7">
        <f>10000.0+SUM($AA$2:AA219)</f>
        <v/>
      </c>
      <c r="AI219" s="2" t="n">
        <v>2025</v>
      </c>
      <c r="AJ219" s="2" t="inlineStr">
        <is>
          <t>2025-08</t>
        </is>
      </c>
      <c r="AK219" s="2" t="inlineStr">
        <is>
          <t>-119 to -101</t>
        </is>
      </c>
      <c r="AL219" s="2" t="inlineStr">
        <is>
          <t>2025 Validation</t>
        </is>
      </c>
      <c r="AM219" s="6" t="n">
        <v>0.1618104461125471</v>
      </c>
    </row>
    <row r="220">
      <c r="A220" s="2" t="inlineStr">
        <is>
          <t>KPROP-00219</t>
        </is>
      </c>
      <c r="B220" s="3" t="n">
        <v>45888.78170138889</v>
      </c>
      <c r="C220" s="3" t="n">
        <v>45888</v>
      </c>
      <c r="D220" s="2" t="inlineStr">
        <is>
          <t>David Peterson</t>
        </is>
      </c>
      <c r="E220" s="2" t="n">
        <v>121</v>
      </c>
      <c r="F220" s="2" t="n">
        <v>120</v>
      </c>
      <c r="G220" s="2" t="inlineStr">
        <is>
          <t>Away</t>
        </is>
      </c>
      <c r="H220" s="2" t="inlineStr">
        <is>
          <t>bovada</t>
        </is>
      </c>
      <c r="I220" s="4" t="n"/>
      <c r="J220" s="4" t="n"/>
      <c r="K220" s="4" t="n">
        <v>100</v>
      </c>
      <c r="L220" s="4" t="n">
        <v>100</v>
      </c>
      <c r="M220" s="5" t="n">
        <v>5.5</v>
      </c>
      <c r="N220" s="5" t="n">
        <v>5.01881955266589</v>
      </c>
      <c r="O220" s="5" t="n">
        <v>5.5</v>
      </c>
      <c r="P220" s="5" t="n">
        <v>0.4811804473341104</v>
      </c>
      <c r="Q220" s="6" t="n">
        <v>0.2253169526768919</v>
      </c>
      <c r="R220" s="6" t="n">
        <v>0.6126584763384459</v>
      </c>
      <c r="S220" s="6" t="n">
        <v>0.4883720930232558</v>
      </c>
      <c r="T220" s="2" t="inlineStr">
        <is>
          <t>Under</t>
        </is>
      </c>
      <c r="U220" s="4" t="n">
        <v>100</v>
      </c>
      <c r="V220" s="2" t="n">
        <v>2</v>
      </c>
      <c r="W220" s="4" t="n">
        <v>100</v>
      </c>
      <c r="X220" s="2" t="n">
        <v>1</v>
      </c>
      <c r="Y220" s="5" t="n">
        <v>-1</v>
      </c>
      <c r="Z220" s="7" t="n">
        <v>100</v>
      </c>
      <c r="AA220" s="7">
        <f>Y220*Z220</f>
        <v/>
      </c>
      <c r="AB220" s="6">
        <f>IF(Z220=0,0,AA220/Z220)</f>
        <v/>
      </c>
      <c r="AC220" s="6" t="n"/>
      <c r="AD220" s="2" t="inlineStr">
        <is>
          <t>Loss</t>
        </is>
      </c>
      <c r="AE220" s="6">
        <f>IF((COUNTIF($AD$2:AD220,"Win")+COUNTIF($AD$2:AD220,"Loss"))=0,0,COUNTIF($AD$2:AD220,"Win")/(COUNTIF($AD$2:AD220,"Win")+COUNTIF($AD$2:AD220,"Loss")))</f>
        <v/>
      </c>
      <c r="AF220" s="6">
        <f>SUM($Y$2:Y220)/SUM($X$2:X220)</f>
        <v/>
      </c>
      <c r="AG220" s="5">
        <f>SUM($Y$2:Y220)</f>
        <v/>
      </c>
      <c r="AH220" s="7">
        <f>10000.0+SUM($AA$2:AA220)</f>
        <v/>
      </c>
      <c r="AI220" s="2" t="n">
        <v>2025</v>
      </c>
      <c r="AJ220" s="2" t="inlineStr">
        <is>
          <t>2025-08</t>
        </is>
      </c>
      <c r="AK220" s="2" t="inlineStr">
        <is>
          <t>+100 to +120</t>
        </is>
      </c>
      <c r="AL220" s="2" t="inlineStr">
        <is>
          <t>2025 Validation</t>
        </is>
      </c>
      <c r="AM220" s="6" t="n">
        <v>0.2253169526768919</v>
      </c>
    </row>
    <row r="221">
      <c r="A221" s="2" t="inlineStr">
        <is>
          <t>KPROP-00220</t>
        </is>
      </c>
      <c r="B221" s="3" t="n">
        <v>45888.81642361111</v>
      </c>
      <c r="C221" s="3" t="n">
        <v>45888</v>
      </c>
      <c r="D221" s="2" t="inlineStr">
        <is>
          <t>Joe Ryan</t>
        </is>
      </c>
      <c r="E221" s="2" t="n">
        <v>142</v>
      </c>
      <c r="F221" s="2" t="n">
        <v>133</v>
      </c>
      <c r="G221" s="2" t="inlineStr">
        <is>
          <t>Home</t>
        </is>
      </c>
      <c r="H221" s="2" t="inlineStr">
        <is>
          <t>bovada</t>
        </is>
      </c>
      <c r="I221" s="4" t="n"/>
      <c r="J221" s="4" t="n"/>
      <c r="K221" s="4" t="n">
        <v>115</v>
      </c>
      <c r="L221" s="4" t="n">
        <v>115</v>
      </c>
      <c r="M221" s="5" t="n">
        <v>6.5</v>
      </c>
      <c r="N221" s="5" t="n">
        <v>6.218319444758083</v>
      </c>
      <c r="O221" s="5" t="n">
        <v>6.5</v>
      </c>
      <c r="P221" s="5" t="n">
        <v>0.281680555241917</v>
      </c>
      <c r="Q221" s="6" t="n">
        <v>0.2282545283220423</v>
      </c>
      <c r="R221" s="6" t="n">
        <v>0.5712811759637406</v>
      </c>
      <c r="S221" s="6" t="n">
        <v>0.4443618109138236</v>
      </c>
      <c r="T221" s="2" t="inlineStr">
        <is>
          <t>Under</t>
        </is>
      </c>
      <c r="U221" s="4" t="n">
        <v>115</v>
      </c>
      <c r="V221" s="2" t="n">
        <v>2.15</v>
      </c>
      <c r="W221" s="4" t="n">
        <v>115</v>
      </c>
      <c r="X221" s="2" t="n">
        <v>1</v>
      </c>
      <c r="Y221" s="5" t="n">
        <v>1.15</v>
      </c>
      <c r="Z221" s="7" t="n">
        <v>100</v>
      </c>
      <c r="AA221" s="7">
        <f>Y221*Z221</f>
        <v/>
      </c>
      <c r="AB221" s="6">
        <f>IF(Z221=0,0,AA221/Z221)</f>
        <v/>
      </c>
      <c r="AC221" s="6" t="n"/>
      <c r="AD221" s="2" t="inlineStr">
        <is>
          <t>Win</t>
        </is>
      </c>
      <c r="AE221" s="6">
        <f>IF((COUNTIF($AD$2:AD221,"Win")+COUNTIF($AD$2:AD221,"Loss"))=0,0,COUNTIF($AD$2:AD221,"Win")/(COUNTIF($AD$2:AD221,"Win")+COUNTIF($AD$2:AD221,"Loss")))</f>
        <v/>
      </c>
      <c r="AF221" s="6">
        <f>SUM($Y$2:Y221)/SUM($X$2:X221)</f>
        <v/>
      </c>
      <c r="AG221" s="5">
        <f>SUM($Y$2:Y221)</f>
        <v/>
      </c>
      <c r="AH221" s="7">
        <f>10000.0+SUM($AA$2:AA221)</f>
        <v/>
      </c>
      <c r="AI221" s="2" t="n">
        <v>2025</v>
      </c>
      <c r="AJ221" s="2" t="inlineStr">
        <is>
          <t>2025-08</t>
        </is>
      </c>
      <c r="AK221" s="2" t="inlineStr">
        <is>
          <t>+100 to +120</t>
        </is>
      </c>
      <c r="AL221" s="2" t="inlineStr">
        <is>
          <t>2025 Validation</t>
        </is>
      </c>
      <c r="AM221" s="6" t="n">
        <v>0.1984821985409063</v>
      </c>
    </row>
    <row r="222">
      <c r="A222" s="2" t="inlineStr">
        <is>
          <t>KPROP-00221</t>
        </is>
      </c>
      <c r="B222" s="3" t="n">
        <v>45888.81642361111</v>
      </c>
      <c r="C222" s="3" t="n">
        <v>45888</v>
      </c>
      <c r="D222" s="2" t="inlineStr">
        <is>
          <t>Joe Ryan</t>
        </is>
      </c>
      <c r="E222" s="2" t="n">
        <v>142</v>
      </c>
      <c r="F222" s="2" t="n">
        <v>133</v>
      </c>
      <c r="G222" s="2" t="inlineStr">
        <is>
          <t>Home</t>
        </is>
      </c>
      <c r="H222" s="2" t="inlineStr">
        <is>
          <t>betrivers</t>
        </is>
      </c>
      <c r="I222" s="4" t="n"/>
      <c r="J222" s="4" t="n"/>
      <c r="K222" s="4" t="n">
        <v>-190</v>
      </c>
      <c r="L222" s="4" t="n">
        <v>-190</v>
      </c>
      <c r="M222" s="5" t="n">
        <v>7.5</v>
      </c>
      <c r="N222" s="5" t="n">
        <v>6.218319444758083</v>
      </c>
      <c r="O222" s="5" t="n">
        <v>7.5</v>
      </c>
      <c r="P222" s="5" t="n">
        <v>1.281680555241917</v>
      </c>
      <c r="Q222" s="6" t="n">
        <v>0.08889727927066765</v>
      </c>
      <c r="R222" s="6" t="n">
        <v>0.7134154588325065</v>
      </c>
      <c r="S222" s="6" t="n">
        <v>0.606245756958588</v>
      </c>
      <c r="T222" s="2" t="inlineStr">
        <is>
          <t>Under</t>
        </is>
      </c>
      <c r="U222" s="4" t="n">
        <v>-190</v>
      </c>
      <c r="V222" s="2" t="n">
        <v>1.526315789473684</v>
      </c>
      <c r="W222" s="4" t="n">
        <v>-190</v>
      </c>
      <c r="X222" s="2" t="n">
        <v>1</v>
      </c>
      <c r="Y222" s="5" t="n">
        <v>0.5263157894736841</v>
      </c>
      <c r="Z222" s="7" t="n">
        <v>100</v>
      </c>
      <c r="AA222" s="7">
        <f>Y222*Z222</f>
        <v/>
      </c>
      <c r="AB222" s="6">
        <f>IF(Z222=0,0,AA222/Z222)</f>
        <v/>
      </c>
      <c r="AC222" s="6" t="n"/>
      <c r="AD222" s="2" t="inlineStr">
        <is>
          <t>Win</t>
        </is>
      </c>
      <c r="AE222" s="6">
        <f>IF((COUNTIF($AD$2:AD222,"Win")+COUNTIF($AD$2:AD222,"Loss"))=0,0,COUNTIF($AD$2:AD222,"Win")/(COUNTIF($AD$2:AD222,"Win")+COUNTIF($AD$2:AD222,"Loss")))</f>
        <v/>
      </c>
      <c r="AF222" s="6">
        <f>SUM($Y$2:Y222)/SUM($X$2:X222)</f>
        <v/>
      </c>
      <c r="AG222" s="5">
        <f>SUM($Y$2:Y222)</f>
        <v/>
      </c>
      <c r="AH222" s="7">
        <f>10000.0+SUM($AA$2:AA222)</f>
        <v/>
      </c>
      <c r="AI222" s="2" t="n">
        <v>2025</v>
      </c>
      <c r="AJ222" s="2" t="inlineStr">
        <is>
          <t>2025-08</t>
        </is>
      </c>
      <c r="AK222" s="2" t="inlineStr">
        <is>
          <t>&lt;= -150</t>
        </is>
      </c>
      <c r="AL222" s="2" t="inlineStr">
        <is>
          <t>2025 Validation</t>
        </is>
      </c>
      <c r="AM222" s="6" t="n">
        <v>0.1689048306142686</v>
      </c>
    </row>
    <row r="223">
      <c r="A223" s="2" t="inlineStr">
        <is>
          <t>KPROP-00222</t>
        </is>
      </c>
      <c r="B223" s="3" t="n">
        <v>45888.59766203703</v>
      </c>
      <c r="C223" s="3" t="n">
        <v>45888</v>
      </c>
      <c r="D223" s="2" t="inlineStr">
        <is>
          <t>Matthew Boyd</t>
        </is>
      </c>
      <c r="E223" s="2" t="n">
        <v>112</v>
      </c>
      <c r="F223" s="2" t="n">
        <v>158</v>
      </c>
      <c r="G223" s="2" t="inlineStr">
        <is>
          <t>Home</t>
        </is>
      </c>
      <c r="H223" s="2" t="inlineStr">
        <is>
          <t>betrivers</t>
        </is>
      </c>
      <c r="I223" s="4" t="n"/>
      <c r="J223" s="4" t="n"/>
      <c r="K223" s="4" t="n">
        <v>123</v>
      </c>
      <c r="L223" s="4" t="n">
        <v>123</v>
      </c>
      <c r="M223" s="5" t="n">
        <v>4.5</v>
      </c>
      <c r="N223" s="5" t="n">
        <v>4.492721540109783</v>
      </c>
      <c r="O223" s="5" t="n">
        <v>4.5</v>
      </c>
      <c r="P223" s="5" t="n">
        <v>0.007278459890216915</v>
      </c>
      <c r="Q223" s="6" t="n">
        <v>0.1896729769550015</v>
      </c>
      <c r="R223" s="6" t="n">
        <v>0.5334856398901352</v>
      </c>
      <c r="S223" s="6" t="n">
        <v>0.4361051049950526</v>
      </c>
      <c r="T223" s="2" t="inlineStr">
        <is>
          <t>Under</t>
        </is>
      </c>
      <c r="U223" s="4" t="n">
        <v>123</v>
      </c>
      <c r="V223" s="2" t="n">
        <v>2.23</v>
      </c>
      <c r="W223" s="4" t="n">
        <v>123</v>
      </c>
      <c r="X223" s="2" t="n">
        <v>1</v>
      </c>
      <c r="Y223" s="5" t="n">
        <v>1.23</v>
      </c>
      <c r="Z223" s="7" t="n">
        <v>100</v>
      </c>
      <c r="AA223" s="7">
        <f>Y223*Z223</f>
        <v/>
      </c>
      <c r="AB223" s="6">
        <f>IF(Z223=0,0,AA223/Z223)</f>
        <v/>
      </c>
      <c r="AC223" s="6" t="n"/>
      <c r="AD223" s="2" t="inlineStr">
        <is>
          <t>Win</t>
        </is>
      </c>
      <c r="AE223" s="6">
        <f>IF((COUNTIF($AD$2:AD223,"Win")+COUNTIF($AD$2:AD223,"Loss"))=0,0,COUNTIF($AD$2:AD223,"Win")/(COUNTIF($AD$2:AD223,"Win")+COUNTIF($AD$2:AD223,"Loss")))</f>
        <v/>
      </c>
      <c r="AF223" s="6">
        <f>SUM($Y$2:Y223)/SUM($X$2:X223)</f>
        <v/>
      </c>
      <c r="AG223" s="5">
        <f>SUM($Y$2:Y223)</f>
        <v/>
      </c>
      <c r="AH223" s="7">
        <f>10000.0+SUM($AA$2:AA223)</f>
        <v/>
      </c>
      <c r="AI223" s="2" t="n">
        <v>2025</v>
      </c>
      <c r="AJ223" s="2" t="inlineStr">
        <is>
          <t>2025-08</t>
        </is>
      </c>
      <c r="AK223" s="2" t="inlineStr">
        <is>
          <t>+121 to +150</t>
        </is>
      </c>
      <c r="AL223" s="2" t="inlineStr">
        <is>
          <t>2025 Validation</t>
        </is>
      </c>
      <c r="AM223" s="6" t="n">
        <v>0.1542056723211394</v>
      </c>
    </row>
    <row r="224">
      <c r="A224" s="2" t="inlineStr">
        <is>
          <t>KPROP-00223</t>
        </is>
      </c>
      <c r="B224" s="3" t="n">
        <v>45888.59766203703</v>
      </c>
      <c r="C224" s="3" t="n">
        <v>45888</v>
      </c>
      <c r="D224" s="2" t="inlineStr">
        <is>
          <t>Matthew Boyd</t>
        </is>
      </c>
      <c r="E224" s="2" t="n">
        <v>112</v>
      </c>
      <c r="F224" s="2" t="n">
        <v>158</v>
      </c>
      <c r="G224" s="2" t="inlineStr">
        <is>
          <t>Home</t>
        </is>
      </c>
      <c r="H224" s="2" t="inlineStr">
        <is>
          <t>draftkings</t>
        </is>
      </c>
      <c r="I224" s="4" t="n"/>
      <c r="J224" s="4" t="n"/>
      <c r="K224" s="4" t="n">
        <v>-165</v>
      </c>
      <c r="L224" s="4" t="n">
        <v>-165</v>
      </c>
      <c r="M224" s="5" t="n">
        <v>5.5</v>
      </c>
      <c r="N224" s="5" t="n">
        <v>4.492721540109783</v>
      </c>
      <c r="O224" s="5" t="n">
        <v>5.5</v>
      </c>
      <c r="P224" s="5" t="n">
        <v>1.007278459890217</v>
      </c>
      <c r="Q224" s="6" t="n">
        <v>0.1309449744215882</v>
      </c>
      <c r="R224" s="6" t="n">
        <v>0.7041732859606116</v>
      </c>
      <c r="S224" s="6" t="n">
        <v>0.5888285492629945</v>
      </c>
      <c r="T224" s="2" t="inlineStr">
        <is>
          <t>Under</t>
        </is>
      </c>
      <c r="U224" s="4" t="n">
        <v>-165</v>
      </c>
      <c r="V224" s="2" t="n">
        <v>1.606060606060606</v>
      </c>
      <c r="W224" s="4" t="n">
        <v>-165</v>
      </c>
      <c r="X224" s="2" t="n">
        <v>1</v>
      </c>
      <c r="Y224" s="5" t="n">
        <v>0.606060606060606</v>
      </c>
      <c r="Z224" s="7" t="n">
        <v>100</v>
      </c>
      <c r="AA224" s="7">
        <f>Y224*Z224</f>
        <v/>
      </c>
      <c r="AB224" s="6">
        <f>IF(Z224=0,0,AA224/Z224)</f>
        <v/>
      </c>
      <c r="AC224" s="6" t="n"/>
      <c r="AD224" s="2" t="inlineStr">
        <is>
          <t>Win</t>
        </is>
      </c>
      <c r="AE224" s="6">
        <f>IF((COUNTIF($AD$2:AD224,"Win")+COUNTIF($AD$2:AD224,"Loss"))=0,0,COUNTIF($AD$2:AD224,"Win")/(COUNTIF($AD$2:AD224,"Win")+COUNTIF($AD$2:AD224,"Loss")))</f>
        <v/>
      </c>
      <c r="AF224" s="6">
        <f>SUM($Y$2:Y224)/SUM($X$2:X224)</f>
        <v/>
      </c>
      <c r="AG224" s="5">
        <f>SUM($Y$2:Y224)</f>
        <v/>
      </c>
      <c r="AH224" s="7">
        <f>10000.0+SUM($AA$2:AA224)</f>
        <v/>
      </c>
      <c r="AI224" s="2" t="n">
        <v>2025</v>
      </c>
      <c r="AJ224" s="2" t="inlineStr">
        <is>
          <t>2025-08</t>
        </is>
      </c>
      <c r="AK224" s="2" t="inlineStr">
        <is>
          <t>&lt;= -150</t>
        </is>
      </c>
      <c r="AL224" s="2" t="inlineStr">
        <is>
          <t>2025 Validation</t>
        </is>
      </c>
      <c r="AM224" s="6" t="n">
        <v>0.2160592077956206</v>
      </c>
    </row>
    <row r="225">
      <c r="A225" s="2" t="inlineStr">
        <is>
          <t>KPROP-00224</t>
        </is>
      </c>
      <c r="B225" s="3" t="n">
        <v>45888.77822916667</v>
      </c>
      <c r="C225" s="3" t="n">
        <v>45888</v>
      </c>
      <c r="D225" s="2" t="inlineStr">
        <is>
          <t>Max Scherzer</t>
        </is>
      </c>
      <c r="E225" s="2" t="n">
        <v>141</v>
      </c>
      <c r="F225" s="2" t="n">
        <v>134</v>
      </c>
      <c r="G225" s="2" t="inlineStr">
        <is>
          <t>Away</t>
        </is>
      </c>
      <c r="H225" s="2" t="inlineStr">
        <is>
          <t>betonlineag</t>
        </is>
      </c>
      <c r="I225" s="4" t="n"/>
      <c r="J225" s="4" t="n"/>
      <c r="K225" s="4" t="n">
        <v>110</v>
      </c>
      <c r="L225" s="4" t="n">
        <v>110</v>
      </c>
      <c r="M225" s="5" t="n">
        <v>5.5</v>
      </c>
      <c r="N225" s="5" t="n">
        <v>4.994377736357911</v>
      </c>
      <c r="O225" s="5" t="n">
        <v>5.5</v>
      </c>
      <c r="P225" s="5" t="n">
        <v>0.5056222636420893</v>
      </c>
      <c r="Q225" s="6" t="n">
        <v>0.295589072973515</v>
      </c>
      <c r="R225" s="6" t="n">
        <v>0.6169471776064357</v>
      </c>
      <c r="S225" s="6" t="n">
        <v>0.4615384615384616</v>
      </c>
      <c r="T225" s="2" t="inlineStr">
        <is>
          <t>Under</t>
        </is>
      </c>
      <c r="U225" s="4" t="n">
        <v>110</v>
      </c>
      <c r="V225" s="2" t="n">
        <v>2.1</v>
      </c>
      <c r="W225" s="4" t="n">
        <v>110</v>
      </c>
      <c r="X225" s="2" t="n">
        <v>1</v>
      </c>
      <c r="Y225" s="5" t="n">
        <v>1.1</v>
      </c>
      <c r="Z225" s="7" t="n">
        <v>100</v>
      </c>
      <c r="AA225" s="7">
        <f>Y225*Z225</f>
        <v/>
      </c>
      <c r="AB225" s="6">
        <f>IF(Z225=0,0,AA225/Z225)</f>
        <v/>
      </c>
      <c r="AC225" s="6" t="n"/>
      <c r="AD225" s="2" t="inlineStr">
        <is>
          <t>Win</t>
        </is>
      </c>
      <c r="AE225" s="6">
        <f>IF((COUNTIF($AD$2:AD225,"Win")+COUNTIF($AD$2:AD225,"Loss"))=0,0,COUNTIF($AD$2:AD225,"Win")/(COUNTIF($AD$2:AD225,"Win")+COUNTIF($AD$2:AD225,"Loss")))</f>
        <v/>
      </c>
      <c r="AF225" s="6">
        <f>SUM($Y$2:Y225)/SUM($X$2:X225)</f>
        <v/>
      </c>
      <c r="AG225" s="5">
        <f>SUM($Y$2:Y225)</f>
        <v/>
      </c>
      <c r="AH225" s="7">
        <f>10000.0+SUM($AA$2:AA225)</f>
        <v/>
      </c>
      <c r="AI225" s="2" t="n">
        <v>2025</v>
      </c>
      <c r="AJ225" s="2" t="inlineStr">
        <is>
          <t>2025-08</t>
        </is>
      </c>
      <c r="AK225" s="2" t="inlineStr">
        <is>
          <t>+100 to +120</t>
        </is>
      </c>
      <c r="AL225" s="2" t="inlineStr">
        <is>
          <t>2025 Validation</t>
        </is>
      </c>
      <c r="AM225" s="6" t="n">
        <v>0.2687173390668318</v>
      </c>
    </row>
    <row r="226">
      <c r="A226" s="2" t="inlineStr">
        <is>
          <t>KPROP-00225</t>
        </is>
      </c>
      <c r="B226" s="3" t="n">
        <v>45888.81642361111</v>
      </c>
      <c r="C226" s="3" t="n">
        <v>45888</v>
      </c>
      <c r="D226" s="2" t="inlineStr">
        <is>
          <t>Seth Lugo</t>
        </is>
      </c>
      <c r="E226" s="2" t="n">
        <v>118</v>
      </c>
      <c r="F226" s="2" t="n">
        <v>140</v>
      </c>
      <c r="G226" s="2" t="inlineStr">
        <is>
          <t>Home</t>
        </is>
      </c>
      <c r="H226" s="2" t="inlineStr">
        <is>
          <t>fanduel</t>
        </is>
      </c>
      <c r="I226" s="4" t="n"/>
      <c r="J226" s="4" t="n"/>
      <c r="K226" s="4" t="n">
        <v>-108</v>
      </c>
      <c r="L226" s="4" t="n">
        <v>-108</v>
      </c>
      <c r="M226" s="5" t="n">
        <v>4.5</v>
      </c>
      <c r="N226" s="5" t="n">
        <v>3.97706261873209</v>
      </c>
      <c r="O226" s="5" t="n">
        <v>4.5</v>
      </c>
      <c r="P226" s="5" t="n">
        <v>0.5229373812679099</v>
      </c>
      <c r="Q226" s="6" t="n">
        <v>0.2197236321719149</v>
      </c>
      <c r="R226" s="6" t="n">
        <v>0.6333180397815712</v>
      </c>
      <c r="S226" s="6" t="n">
        <v>0.4978050921861282</v>
      </c>
      <c r="T226" s="2" t="inlineStr">
        <is>
          <t>Under</t>
        </is>
      </c>
      <c r="U226" s="4" t="n">
        <v>-108</v>
      </c>
      <c r="V226" s="2" t="n">
        <v>1.925925925925926</v>
      </c>
      <c r="W226" s="4" t="n">
        <v>-108</v>
      </c>
      <c r="X226" s="2" t="n">
        <v>1</v>
      </c>
      <c r="Y226" s="5" t="n">
        <v>-1</v>
      </c>
      <c r="Z226" s="7" t="n">
        <v>100</v>
      </c>
      <c r="AA226" s="7">
        <f>Y226*Z226</f>
        <v/>
      </c>
      <c r="AB226" s="6">
        <f>IF(Z226=0,0,AA226/Z226)</f>
        <v/>
      </c>
      <c r="AC226" s="6" t="n"/>
      <c r="AD226" s="2" t="inlineStr">
        <is>
          <t>Loss</t>
        </is>
      </c>
      <c r="AE226" s="6">
        <f>IF((COUNTIF($AD$2:AD226,"Win")+COUNTIF($AD$2:AD226,"Loss"))=0,0,COUNTIF($AD$2:AD226,"Win")/(COUNTIF($AD$2:AD226,"Win")+COUNTIF($AD$2:AD226,"Loss")))</f>
        <v/>
      </c>
      <c r="AF226" s="6">
        <f>SUM($Y$2:Y226)/SUM($X$2:X226)</f>
        <v/>
      </c>
      <c r="AG226" s="5">
        <f>SUM($Y$2:Y226)</f>
        <v/>
      </c>
      <c r="AH226" s="7">
        <f>10000.0+SUM($AA$2:AA226)</f>
        <v/>
      </c>
      <c r="AI226" s="2" t="n">
        <v>2025</v>
      </c>
      <c r="AJ226" s="2" t="inlineStr">
        <is>
          <t>2025-08</t>
        </is>
      </c>
      <c r="AK226" s="2" t="inlineStr">
        <is>
          <t>-119 to -101</t>
        </is>
      </c>
      <c r="AL226" s="2" t="inlineStr">
        <is>
          <t>2025 Validation</t>
        </is>
      </c>
      <c r="AM226" s="6" t="n">
        <v>0.2373015227456681</v>
      </c>
    </row>
    <row r="227">
      <c r="A227" s="2" t="inlineStr">
        <is>
          <t>KPROP-00226</t>
        </is>
      </c>
      <c r="B227" s="3" t="n">
        <v>45889.81642361111</v>
      </c>
      <c r="C227" s="3" t="n">
        <v>45889</v>
      </c>
      <c r="D227" s="2" t="inlineStr">
        <is>
          <t>Bailey Ober</t>
        </is>
      </c>
      <c r="E227" s="2" t="n">
        <v>142</v>
      </c>
      <c r="F227" s="2" t="n">
        <v>133</v>
      </c>
      <c r="G227" s="2" t="inlineStr">
        <is>
          <t>Home</t>
        </is>
      </c>
      <c r="H227" s="2" t="inlineStr">
        <is>
          <t>betrivers</t>
        </is>
      </c>
      <c r="I227" s="4" t="n"/>
      <c r="J227" s="4" t="n"/>
      <c r="K227" s="4" t="n">
        <v>135</v>
      </c>
      <c r="L227" s="4" t="n">
        <v>135</v>
      </c>
      <c r="M227" s="5" t="n">
        <v>4.5</v>
      </c>
      <c r="N227" s="5" t="n">
        <v>4.691027923549782</v>
      </c>
      <c r="O227" s="5" t="n">
        <v>4.5</v>
      </c>
      <c r="P227" s="5" t="n">
        <v>-0.1910279235497825</v>
      </c>
      <c r="Q227" s="6" t="n">
        <v>0.1662322774200411</v>
      </c>
      <c r="R227" s="6" t="n">
        <v>0.4962690542212941</v>
      </c>
      <c r="S227" s="6" t="n">
        <v>0.4088050314465409</v>
      </c>
      <c r="T227" s="2" t="inlineStr">
        <is>
          <t>Under</t>
        </is>
      </c>
      <c r="U227" s="4" t="n">
        <v>135</v>
      </c>
      <c r="V227" s="2" t="n">
        <v>2.35</v>
      </c>
      <c r="W227" s="4" t="n">
        <v>135</v>
      </c>
      <c r="X227" s="2" t="n">
        <v>1</v>
      </c>
      <c r="Y227" s="5" t="n">
        <v>-1</v>
      </c>
      <c r="Z227" s="7" t="n">
        <v>100</v>
      </c>
      <c r="AA227" s="7">
        <f>Y227*Z227</f>
        <v/>
      </c>
      <c r="AB227" s="6">
        <f>IF(Z227=0,0,AA227/Z227)</f>
        <v/>
      </c>
      <c r="AC227" s="6" t="n"/>
      <c r="AD227" s="2" t="inlineStr">
        <is>
          <t>Loss</t>
        </is>
      </c>
      <c r="AE227" s="6">
        <f>IF((COUNTIF($AD$2:AD227,"Win")+COUNTIF($AD$2:AD227,"Loss"))=0,0,COUNTIF($AD$2:AD227,"Win")/(COUNTIF($AD$2:AD227,"Win")+COUNTIF($AD$2:AD227,"Loss")))</f>
        <v/>
      </c>
      <c r="AF227" s="6">
        <f>SUM($Y$2:Y227)/SUM($X$2:X227)</f>
        <v/>
      </c>
      <c r="AG227" s="5">
        <f>SUM($Y$2:Y227)</f>
        <v/>
      </c>
      <c r="AH227" s="7">
        <f>10000.0+SUM($AA$2:AA227)</f>
        <v/>
      </c>
      <c r="AI227" s="2" t="n">
        <v>2025</v>
      </c>
      <c r="AJ227" s="2" t="inlineStr">
        <is>
          <t>2025-08</t>
        </is>
      </c>
      <c r="AK227" s="2" t="inlineStr">
        <is>
          <t>+121 to +150</t>
        </is>
      </c>
      <c r="AL227" s="2" t="inlineStr">
        <is>
          <t>2025 Validation</t>
        </is>
      </c>
      <c r="AM227" s="6" t="n">
        <v>0.1231350203111415</v>
      </c>
    </row>
    <row r="228">
      <c r="A228" s="2" t="inlineStr">
        <is>
          <t>KPROP-00227</t>
        </is>
      </c>
      <c r="B228" s="3" t="n">
        <v>45889.81642361111</v>
      </c>
      <c r="C228" s="3" t="n">
        <v>45889</v>
      </c>
      <c r="D228" s="2" t="inlineStr">
        <is>
          <t>Bailey Ober</t>
        </is>
      </c>
      <c r="E228" s="2" t="n">
        <v>142</v>
      </c>
      <c r="F228" s="2" t="n">
        <v>133</v>
      </c>
      <c r="G228" s="2" t="inlineStr">
        <is>
          <t>Home</t>
        </is>
      </c>
      <c r="H228" s="2" t="inlineStr">
        <is>
          <t>fanduel</t>
        </is>
      </c>
      <c r="I228" s="4" t="n"/>
      <c r="J228" s="4" t="n"/>
      <c r="K228" s="4" t="n">
        <v>-152</v>
      </c>
      <c r="L228" s="4" t="n">
        <v>-152</v>
      </c>
      <c r="M228" s="5" t="n">
        <v>5.5</v>
      </c>
      <c r="N228" s="5" t="n">
        <v>4.691027923549782</v>
      </c>
      <c r="O228" s="5" t="n">
        <v>5.5</v>
      </c>
      <c r="P228" s="5" t="n">
        <v>0.8089720764502175</v>
      </c>
      <c r="Q228" s="6" t="n">
        <v>0.1107855733390345</v>
      </c>
      <c r="R228" s="6" t="n">
        <v>0.6699976474108462</v>
      </c>
      <c r="S228" s="6" t="n">
        <v>0.5702592087312415</v>
      </c>
      <c r="T228" s="2" t="inlineStr">
        <is>
          <t>Under</t>
        </is>
      </c>
      <c r="U228" s="4" t="n">
        <v>-152</v>
      </c>
      <c r="V228" s="2" t="n">
        <v>1.657894736842105</v>
      </c>
      <c r="W228" s="4" t="n">
        <v>-152</v>
      </c>
      <c r="X228" s="2" t="n">
        <v>1</v>
      </c>
      <c r="Y228" s="5" t="n">
        <v>-1</v>
      </c>
      <c r="Z228" s="7" t="n">
        <v>100</v>
      </c>
      <c r="AA228" s="7">
        <f>Y228*Z228</f>
        <v/>
      </c>
      <c r="AB228" s="6">
        <f>IF(Z228=0,0,AA228/Z228)</f>
        <v/>
      </c>
      <c r="AC228" s="6" t="n"/>
      <c r="AD228" s="2" t="inlineStr">
        <is>
          <t>Loss</t>
        </is>
      </c>
      <c r="AE228" s="6">
        <f>IF((COUNTIF($AD$2:AD228,"Win")+COUNTIF($AD$2:AD228,"Loss"))=0,0,COUNTIF($AD$2:AD228,"Win")/(COUNTIF($AD$2:AD228,"Win")+COUNTIF($AD$2:AD228,"Loss")))</f>
        <v/>
      </c>
      <c r="AF228" s="6">
        <f>SUM($Y$2:Y228)/SUM($X$2:X228)</f>
        <v/>
      </c>
      <c r="AG228" s="5">
        <f>SUM($Y$2:Y228)</f>
        <v/>
      </c>
      <c r="AH228" s="7">
        <f>10000.0+SUM($AA$2:AA228)</f>
        <v/>
      </c>
      <c r="AI228" s="2" t="n">
        <v>2025</v>
      </c>
      <c r="AJ228" s="2" t="inlineStr">
        <is>
          <t>2025-08</t>
        </is>
      </c>
      <c r="AK228" s="2" t="inlineStr">
        <is>
          <t>&lt;= -150</t>
        </is>
      </c>
      <c r="AL228" s="2" t="inlineStr">
        <is>
          <t>2025 Validation</t>
        </is>
      </c>
      <c r="AM228" s="6" t="n">
        <v>0.1683940714753325</v>
      </c>
    </row>
    <row r="229">
      <c r="A229" s="2" t="inlineStr">
        <is>
          <t>KPROP-00228</t>
        </is>
      </c>
      <c r="B229" s="3" t="n">
        <v>45889.80253472222</v>
      </c>
      <c r="C229" s="3" t="n">
        <v>45889</v>
      </c>
      <c r="D229" s="2" t="inlineStr">
        <is>
          <t>Hurston Waldrep</t>
        </is>
      </c>
      <c r="E229" s="2" t="n">
        <v>144</v>
      </c>
      <c r="F229" s="2" t="n">
        <v>145</v>
      </c>
      <c r="G229" s="2" t="inlineStr">
        <is>
          <t>Home</t>
        </is>
      </c>
      <c r="H229" s="2" t="inlineStr">
        <is>
          <t>betmgm</t>
        </is>
      </c>
      <c r="I229" s="4" t="n"/>
      <c r="J229" s="4" t="n"/>
      <c r="K229" s="4" t="n">
        <v>115</v>
      </c>
      <c r="L229" s="4" t="n">
        <v>115</v>
      </c>
      <c r="M229" s="5" t="n">
        <v>4.5</v>
      </c>
      <c r="N229" s="5" t="n">
        <v>4.52516181659231</v>
      </c>
      <c r="O229" s="5" t="n">
        <v>4.5</v>
      </c>
      <c r="P229" s="5" t="n">
        <v>-0.02516181659230998</v>
      </c>
      <c r="Q229" s="6" t="n">
        <v>0.1337690477535349</v>
      </c>
      <c r="R229" s="6" t="n">
        <v>0.5273344408155977</v>
      </c>
      <c r="S229" s="6" t="n">
        <v>0.44362292051756</v>
      </c>
      <c r="T229" s="2" t="inlineStr">
        <is>
          <t>Under</t>
        </is>
      </c>
      <c r="U229" s="4" t="n">
        <v>115</v>
      </c>
      <c r="V229" s="2" t="n">
        <v>2.15</v>
      </c>
      <c r="W229" s="4" t="n">
        <v>115</v>
      </c>
      <c r="X229" s="2" t="n">
        <v>1</v>
      </c>
      <c r="Y229" s="5" t="n">
        <v>-1</v>
      </c>
      <c r="Z229" s="7" t="n">
        <v>100</v>
      </c>
      <c r="AA229" s="7">
        <f>Y229*Z229</f>
        <v/>
      </c>
      <c r="AB229" s="6">
        <f>IF(Z229=0,0,AA229/Z229)</f>
        <v/>
      </c>
      <c r="AC229" s="6" t="n"/>
      <c r="AD229" s="2" t="inlineStr">
        <is>
          <t>Loss</t>
        </is>
      </c>
      <c r="AE229" s="6">
        <f>IF((COUNTIF($AD$2:AD229,"Win")+COUNTIF($AD$2:AD229,"Loss"))=0,0,COUNTIF($AD$2:AD229,"Win")/(COUNTIF($AD$2:AD229,"Win")+COUNTIF($AD$2:AD229,"Loss")))</f>
        <v/>
      </c>
      <c r="AF229" s="6">
        <f>SUM($Y$2:Y229)/SUM($X$2:X229)</f>
        <v/>
      </c>
      <c r="AG229" s="5">
        <f>SUM($Y$2:Y229)</f>
        <v/>
      </c>
      <c r="AH229" s="7">
        <f>10000.0+SUM($AA$2:AA229)</f>
        <v/>
      </c>
      <c r="AI229" s="2" t="n">
        <v>2025</v>
      </c>
      <c r="AJ229" s="2" t="inlineStr">
        <is>
          <t>2025-08</t>
        </is>
      </c>
      <c r="AK229" s="2" t="inlineStr">
        <is>
          <t>+100 to +120</t>
        </is>
      </c>
      <c r="AL229" s="2" t="inlineStr">
        <is>
          <t>2025 Validation</t>
        </is>
      </c>
      <c r="AM229" s="6" t="n">
        <v>0.1163209110900304</v>
      </c>
    </row>
    <row r="230">
      <c r="A230" s="2" t="inlineStr">
        <is>
          <t>KPROP-00229</t>
        </is>
      </c>
      <c r="B230" s="3" t="n">
        <v>45889.80253472222</v>
      </c>
      <c r="C230" s="3" t="n">
        <v>45889</v>
      </c>
      <c r="D230" s="2" t="inlineStr">
        <is>
          <t>Hurston Waldrep</t>
        </is>
      </c>
      <c r="E230" s="2" t="n">
        <v>144</v>
      </c>
      <c r="F230" s="2" t="n">
        <v>145</v>
      </c>
      <c r="G230" s="2" t="inlineStr">
        <is>
          <t>Home</t>
        </is>
      </c>
      <c r="H230" s="2" t="inlineStr">
        <is>
          <t>betrivers</t>
        </is>
      </c>
      <c r="I230" s="4" t="n"/>
      <c r="J230" s="4" t="n"/>
      <c r="K230" s="4" t="n">
        <v>-186</v>
      </c>
      <c r="L230" s="4" t="n">
        <v>-186</v>
      </c>
      <c r="M230" s="5" t="n">
        <v>5.5</v>
      </c>
      <c r="N230" s="5" t="n">
        <v>4.52516181659231</v>
      </c>
      <c r="O230" s="5" t="n">
        <v>5.5</v>
      </c>
      <c r="P230" s="5" t="n">
        <v>0.97483818340769</v>
      </c>
      <c r="Q230" s="6" t="n">
        <v>0.07423171241305321</v>
      </c>
      <c r="R230" s="6" t="n">
        <v>0.6986262185623353</v>
      </c>
      <c r="S230" s="6" t="n">
        <v>0.6044807080625086</v>
      </c>
      <c r="T230" s="2" t="inlineStr">
        <is>
          <t>Under</t>
        </is>
      </c>
      <c r="U230" s="4" t="n">
        <v>-186</v>
      </c>
      <c r="V230" s="2" t="n">
        <v>1.537634408602151</v>
      </c>
      <c r="W230" s="4" t="n">
        <v>-186</v>
      </c>
      <c r="X230" s="2" t="n">
        <v>1</v>
      </c>
      <c r="Y230" s="5" t="n">
        <v>-1</v>
      </c>
      <c r="Z230" s="7" t="n">
        <v>100</v>
      </c>
      <c r="AA230" s="7">
        <f>Y230*Z230</f>
        <v/>
      </c>
      <c r="AB230" s="6">
        <f>IF(Z230=0,0,AA230/Z230)</f>
        <v/>
      </c>
      <c r="AC230" s="6" t="n"/>
      <c r="AD230" s="2" t="inlineStr">
        <is>
          <t>Loss</t>
        </is>
      </c>
      <c r="AE230" s="6">
        <f>IF((COUNTIF($AD$2:AD230,"Win")+COUNTIF($AD$2:AD230,"Loss"))=0,0,COUNTIF($AD$2:AD230,"Win")/(COUNTIF($AD$2:AD230,"Win")+COUNTIF($AD$2:AD230,"Loss")))</f>
        <v/>
      </c>
      <c r="AF230" s="6">
        <f>SUM($Y$2:Y230)/SUM($X$2:X230)</f>
        <v/>
      </c>
      <c r="AG230" s="5">
        <f>SUM($Y$2:Y230)</f>
        <v/>
      </c>
      <c r="AH230" s="7">
        <f>10000.0+SUM($AA$2:AA230)</f>
        <v/>
      </c>
      <c r="AI230" s="2" t="n">
        <v>2025</v>
      </c>
      <c r="AJ230" s="2" t="inlineStr">
        <is>
          <t>2025-08</t>
        </is>
      </c>
      <c r="AK230" s="2" t="inlineStr">
        <is>
          <t>&lt;= -150</t>
        </is>
      </c>
      <c r="AL230" s="2" t="inlineStr">
        <is>
          <t>2025 Validation</t>
        </is>
      </c>
      <c r="AM230" s="6" t="n">
        <v>0.138070985088279</v>
      </c>
    </row>
    <row r="231">
      <c r="A231" s="2" t="inlineStr">
        <is>
          <t>KPROP-00230</t>
        </is>
      </c>
      <c r="B231" s="3" t="n">
        <v>45889.78170138889</v>
      </c>
      <c r="C231" s="3" t="n">
        <v>45889</v>
      </c>
      <c r="D231" s="2" t="inlineStr">
        <is>
          <t>Kodai Senga</t>
        </is>
      </c>
      <c r="E231" s="2" t="n">
        <v>121</v>
      </c>
      <c r="F231" s="2" t="n">
        <v>120</v>
      </c>
      <c r="G231" s="2" t="inlineStr">
        <is>
          <t>Away</t>
        </is>
      </c>
      <c r="H231" s="2" t="inlineStr">
        <is>
          <t>betrivers</t>
        </is>
      </c>
      <c r="I231" s="4" t="n"/>
      <c r="J231" s="4" t="n"/>
      <c r="K231" s="4" t="n">
        <v>143</v>
      </c>
      <c r="L231" s="4" t="n">
        <v>143</v>
      </c>
      <c r="M231" s="5" t="n">
        <v>4.5</v>
      </c>
      <c r="N231" s="5" t="n">
        <v>4.6389295069757</v>
      </c>
      <c r="O231" s="5" t="n">
        <v>4.5</v>
      </c>
      <c r="P231" s="5" t="n">
        <v>-0.1389295069756997</v>
      </c>
      <c r="Q231" s="6" t="n">
        <v>0.2294645467833206</v>
      </c>
      <c r="R231" s="6" t="n">
        <v>0.5059524883881978</v>
      </c>
      <c r="S231" s="6" t="n">
        <v>0.4037045832343862</v>
      </c>
      <c r="T231" s="2" t="inlineStr">
        <is>
          <t>Under</t>
        </is>
      </c>
      <c r="U231" s="4" t="n">
        <v>143</v>
      </c>
      <c r="V231" s="2" t="n">
        <v>2.43</v>
      </c>
      <c r="W231" s="4" t="n">
        <v>143</v>
      </c>
      <c r="X231" s="2" t="n">
        <v>1</v>
      </c>
      <c r="Y231" s="5" t="n">
        <v>1.43</v>
      </c>
      <c r="Z231" s="7" t="n">
        <v>100</v>
      </c>
      <c r="AA231" s="7">
        <f>Y231*Z231</f>
        <v/>
      </c>
      <c r="AB231" s="6">
        <f>IF(Z231=0,0,AA231/Z231)</f>
        <v/>
      </c>
      <c r="AC231" s="6" t="n"/>
      <c r="AD231" s="2" t="inlineStr">
        <is>
          <t>Win</t>
        </is>
      </c>
      <c r="AE231" s="6">
        <f>IF((COUNTIF($AD$2:AD231,"Win")+COUNTIF($AD$2:AD231,"Loss"))=0,0,COUNTIF($AD$2:AD231,"Win")/(COUNTIF($AD$2:AD231,"Win")+COUNTIF($AD$2:AD231,"Loss")))</f>
        <v/>
      </c>
      <c r="AF231" s="6">
        <f>SUM($Y$2:Y231)/SUM($X$2:X231)</f>
        <v/>
      </c>
      <c r="AG231" s="5">
        <f>SUM($Y$2:Y231)</f>
        <v/>
      </c>
      <c r="AH231" s="7">
        <f>10000.0+SUM($AA$2:AA231)</f>
        <v/>
      </c>
      <c r="AI231" s="2" t="n">
        <v>2025</v>
      </c>
      <c r="AJ231" s="2" t="inlineStr">
        <is>
          <t>2025-08</t>
        </is>
      </c>
      <c r="AK231" s="2" t="inlineStr">
        <is>
          <t>+121 to +150</t>
        </is>
      </c>
      <c r="AL231" s="2" t="inlineStr">
        <is>
          <t>2025 Validation</t>
        </is>
      </c>
      <c r="AM231" s="6" t="n">
        <v>0.1604647180302942</v>
      </c>
    </row>
    <row r="232">
      <c r="A232" s="2" t="inlineStr">
        <is>
          <t>KPROP-00231</t>
        </is>
      </c>
      <c r="B232" s="3" t="n">
        <v>45889.78170138889</v>
      </c>
      <c r="C232" s="3" t="n">
        <v>45889</v>
      </c>
      <c r="D232" s="2" t="inlineStr">
        <is>
          <t>Kodai Senga</t>
        </is>
      </c>
      <c r="E232" s="2" t="n">
        <v>121</v>
      </c>
      <c r="F232" s="2" t="n">
        <v>120</v>
      </c>
      <c r="G232" s="2" t="inlineStr">
        <is>
          <t>Away</t>
        </is>
      </c>
      <c r="H232" s="2" t="inlineStr">
        <is>
          <t>betrivers</t>
        </is>
      </c>
      <c r="I232" s="4" t="n"/>
      <c r="J232" s="4" t="n"/>
      <c r="K232" s="4" t="n">
        <v>-143</v>
      </c>
      <c r="L232" s="4" t="n">
        <v>-143</v>
      </c>
      <c r="M232" s="5" t="n">
        <v>5.5</v>
      </c>
      <c r="N232" s="5" t="n">
        <v>4.6389295069757</v>
      </c>
      <c r="O232" s="5" t="n">
        <v>5.5</v>
      </c>
      <c r="P232" s="5" t="n">
        <v>0.8610704930243003</v>
      </c>
      <c r="Q232" s="6" t="n">
        <v>0.1538798716219638</v>
      </c>
      <c r="R232" s="6" t="n">
        <v>0.679032187826917</v>
      </c>
      <c r="S232" s="6" t="n">
        <v>0.5642037302725968</v>
      </c>
      <c r="T232" s="2" t="inlineStr">
        <is>
          <t>Under</t>
        </is>
      </c>
      <c r="U232" s="4" t="n">
        <v>-143</v>
      </c>
      <c r="V232" s="2" t="n">
        <v>1.699300699300699</v>
      </c>
      <c r="W232" s="4" t="n">
        <v>-143</v>
      </c>
      <c r="X232" s="2" t="n">
        <v>1</v>
      </c>
      <c r="Y232" s="5" t="n">
        <v>0.6993006993006992</v>
      </c>
      <c r="Z232" s="7" t="n">
        <v>100</v>
      </c>
      <c r="AA232" s="7">
        <f>Y232*Z232</f>
        <v/>
      </c>
      <c r="AB232" s="6">
        <f>IF(Z232=0,0,AA232/Z232)</f>
        <v/>
      </c>
      <c r="AC232" s="6" t="n"/>
      <c r="AD232" s="2" t="inlineStr">
        <is>
          <t>Win</t>
        </is>
      </c>
      <c r="AE232" s="6">
        <f>IF((COUNTIF($AD$2:AD232,"Win")+COUNTIF($AD$2:AD232,"Loss"))=0,0,COUNTIF($AD$2:AD232,"Win")/(COUNTIF($AD$2:AD232,"Win")+COUNTIF($AD$2:AD232,"Loss")))</f>
        <v/>
      </c>
      <c r="AF232" s="6">
        <f>SUM($Y$2:Y232)/SUM($X$2:X232)</f>
        <v/>
      </c>
      <c r="AG232" s="5">
        <f>SUM($Y$2:Y232)</f>
        <v/>
      </c>
      <c r="AH232" s="7">
        <f>10000.0+SUM($AA$2:AA232)</f>
        <v/>
      </c>
      <c r="AI232" s="2" t="n">
        <v>2025</v>
      </c>
      <c r="AJ232" s="2" t="inlineStr">
        <is>
          <t>2025-08</t>
        </is>
      </c>
      <c r="AK232" s="2" t="inlineStr">
        <is>
          <t>-149 to -120</t>
        </is>
      </c>
      <c r="AL232" s="2" t="inlineStr">
        <is>
          <t>2025 Validation</t>
        </is>
      </c>
      <c r="AM232" s="6" t="n">
        <v>0.2200482164194082</v>
      </c>
    </row>
    <row r="233">
      <c r="A233" s="2" t="inlineStr">
        <is>
          <t>KPROP-00232</t>
        </is>
      </c>
      <c r="B233" s="3" t="n">
        <v>45890.6740625</v>
      </c>
      <c r="C233" s="3" t="n">
        <v>45890</v>
      </c>
      <c r="D233" s="2" t="inlineStr">
        <is>
          <t>Dylan Cease</t>
        </is>
      </c>
      <c r="E233" s="2" t="n">
        <v>135</v>
      </c>
      <c r="F233" s="2" t="n">
        <v>137</v>
      </c>
      <c r="G233" s="2" t="inlineStr">
        <is>
          <t>Home</t>
        </is>
      </c>
      <c r="H233" s="2" t="inlineStr">
        <is>
          <t>fanduel</t>
        </is>
      </c>
      <c r="I233" s="4" t="n"/>
      <c r="J233" s="4" t="n"/>
      <c r="K233" s="4" t="n">
        <v>132</v>
      </c>
      <c r="L233" s="4" t="n">
        <v>132</v>
      </c>
      <c r="M233" s="5" t="n">
        <v>6.5</v>
      </c>
      <c r="N233" s="5" t="n">
        <v>6.697583547582225</v>
      </c>
      <c r="O233" s="5" t="n">
        <v>6.5</v>
      </c>
      <c r="P233" s="5" t="n">
        <v>-0.1975835475822247</v>
      </c>
      <c r="Q233" s="6" t="n">
        <v>0.1499563310681437</v>
      </c>
      <c r="R233" s="6" t="n">
        <v>0.4956708323569584</v>
      </c>
      <c r="S233" s="6" t="n">
        <v>0.4249291784702549</v>
      </c>
      <c r="T233" s="2" t="inlineStr">
        <is>
          <t>Under</t>
        </is>
      </c>
      <c r="U233" s="4" t="n">
        <v>132</v>
      </c>
      <c r="V233" s="2" t="n">
        <v>2.32</v>
      </c>
      <c r="W233" s="4" t="n">
        <v>132</v>
      </c>
      <c r="X233" s="2" t="n">
        <v>1</v>
      </c>
      <c r="Y233" s="5" t="n">
        <v>-1</v>
      </c>
      <c r="Z233" s="7" t="n">
        <v>100</v>
      </c>
      <c r="AA233" s="7">
        <f>Y233*Z233</f>
        <v/>
      </c>
      <c r="AB233" s="6">
        <f>IF(Z233=0,0,AA233/Z233)</f>
        <v/>
      </c>
      <c r="AC233" s="6" t="n"/>
      <c r="AD233" s="2" t="inlineStr">
        <is>
          <t>Loss</t>
        </is>
      </c>
      <c r="AE233" s="6">
        <f>IF((COUNTIF($AD$2:AD233,"Win")+COUNTIF($AD$2:AD233,"Loss"))=0,0,COUNTIF($AD$2:AD233,"Win")/(COUNTIF($AD$2:AD233,"Win")+COUNTIF($AD$2:AD233,"Loss")))</f>
        <v/>
      </c>
      <c r="AF233" s="6">
        <f>SUM($Y$2:Y233)/SUM($X$2:X233)</f>
        <v/>
      </c>
      <c r="AG233" s="5">
        <f>SUM($Y$2:Y233)</f>
        <v/>
      </c>
      <c r="AH233" s="7">
        <f>10000.0+SUM($AA$2:AA233)</f>
        <v/>
      </c>
      <c r="AI233" s="2" t="n">
        <v>2025</v>
      </c>
      <c r="AJ233" s="2" t="inlineStr">
        <is>
          <t>2025-08</t>
        </is>
      </c>
      <c r="AK233" s="2" t="inlineStr">
        <is>
          <t>+121 to +150</t>
        </is>
      </c>
      <c r="AL233" s="2" t="inlineStr">
        <is>
          <t>2025 Validation</t>
        </is>
      </c>
      <c r="AM233" s="6" t="n">
        <v>0.11360328111223</v>
      </c>
    </row>
    <row r="234">
      <c r="A234" s="2" t="inlineStr">
        <is>
          <t>KPROP-00233</t>
        </is>
      </c>
      <c r="B234" s="3" t="n">
        <v>45890.67059027778</v>
      </c>
      <c r="C234" s="3" t="n">
        <v>45890</v>
      </c>
      <c r="D234" s="2" t="inlineStr">
        <is>
          <t>MacKenzie Gore</t>
        </is>
      </c>
      <c r="E234" s="2" t="n">
        <v>120</v>
      </c>
      <c r="F234" s="2" t="n">
        <v>121</v>
      </c>
      <c r="G234" s="2" t="inlineStr">
        <is>
          <t>Home</t>
        </is>
      </c>
      <c r="H234" s="2" t="inlineStr">
        <is>
          <t>betmgm</t>
        </is>
      </c>
      <c r="I234" s="4" t="n"/>
      <c r="J234" s="4" t="n"/>
      <c r="K234" s="4" t="n">
        <v>120</v>
      </c>
      <c r="L234" s="4" t="n">
        <v>120</v>
      </c>
      <c r="M234" s="5" t="n">
        <v>5.5</v>
      </c>
      <c r="N234" s="5" t="n">
        <v>5.551063863956657</v>
      </c>
      <c r="O234" s="5" t="n">
        <v>5.5</v>
      </c>
      <c r="P234" s="5" t="n">
        <v>-0.05106386395665652</v>
      </c>
      <c r="Q234" s="6" t="n">
        <v>0.1444118675418653</v>
      </c>
      <c r="R234" s="6" t="n">
        <v>0.5201872125190297</v>
      </c>
      <c r="S234" s="6" t="n">
        <v>0.45</v>
      </c>
      <c r="T234" s="2" t="inlineStr">
        <is>
          <t>Under</t>
        </is>
      </c>
      <c r="U234" s="4" t="n">
        <v>120</v>
      </c>
      <c r="V234" s="2" t="n">
        <v>2.2</v>
      </c>
      <c r="W234" s="4" t="n">
        <v>120</v>
      </c>
      <c r="X234" s="2" t="n">
        <v>1</v>
      </c>
      <c r="Y234" s="5" t="n">
        <v>1.2</v>
      </c>
      <c r="Z234" s="7" t="n">
        <v>100</v>
      </c>
      <c r="AA234" s="7">
        <f>Y234*Z234</f>
        <v/>
      </c>
      <c r="AB234" s="6">
        <f>IF(Z234=0,0,AA234/Z234)</f>
        <v/>
      </c>
      <c r="AC234" s="6" t="n"/>
      <c r="AD234" s="2" t="inlineStr">
        <is>
          <t>Win</t>
        </is>
      </c>
      <c r="AE234" s="6">
        <f>IF((COUNTIF($AD$2:AD234,"Win")+COUNTIF($AD$2:AD234,"Loss"))=0,0,COUNTIF($AD$2:AD234,"Win")/(COUNTIF($AD$2:AD234,"Win")+COUNTIF($AD$2:AD234,"Loss")))</f>
        <v/>
      </c>
      <c r="AF234" s="6">
        <f>SUM($Y$2:Y234)/SUM($X$2:X234)</f>
        <v/>
      </c>
      <c r="AG234" s="5">
        <f>SUM($Y$2:Y234)</f>
        <v/>
      </c>
      <c r="AH234" s="7">
        <f>10000.0+SUM($AA$2:AA234)</f>
        <v/>
      </c>
      <c r="AI234" s="2" t="n">
        <v>2025</v>
      </c>
      <c r="AJ234" s="2" t="inlineStr">
        <is>
          <t>2025-08</t>
        </is>
      </c>
      <c r="AK234" s="2" t="inlineStr">
        <is>
          <t>+100 to +120</t>
        </is>
      </c>
      <c r="AL234" s="2" t="inlineStr">
        <is>
          <t>2025 Validation</t>
        </is>
      </c>
      <c r="AM234" s="6" t="n">
        <v>0.1203432229515544</v>
      </c>
    </row>
    <row r="235">
      <c r="A235" s="2" t="inlineStr">
        <is>
          <t>KPROP-00234</t>
        </is>
      </c>
      <c r="B235" s="3" t="n">
        <v>45890.67059027778</v>
      </c>
      <c r="C235" s="3" t="n">
        <v>45890</v>
      </c>
      <c r="D235" s="2" t="inlineStr">
        <is>
          <t>MacKenzie Gore</t>
        </is>
      </c>
      <c r="E235" s="2" t="n">
        <v>120</v>
      </c>
      <c r="F235" s="2" t="n">
        <v>121</v>
      </c>
      <c r="G235" s="2" t="inlineStr">
        <is>
          <t>Home</t>
        </is>
      </c>
      <c r="H235" s="2" t="inlineStr">
        <is>
          <t>draftkings</t>
        </is>
      </c>
      <c r="I235" s="4" t="n"/>
      <c r="J235" s="4" t="n"/>
      <c r="K235" s="4" t="n">
        <v>-160</v>
      </c>
      <c r="L235" s="4" t="n">
        <v>-160</v>
      </c>
      <c r="M235" s="5" t="n">
        <v>6.5</v>
      </c>
      <c r="N235" s="5" t="n">
        <v>5.551063863956657</v>
      </c>
      <c r="O235" s="5" t="n">
        <v>6.5</v>
      </c>
      <c r="P235" s="5" t="n">
        <v>0.9489361360433435</v>
      </c>
      <c r="Q235" s="6" t="n">
        <v>0.1017418814178315</v>
      </c>
      <c r="R235" s="6" t="n">
        <v>0.6779950039494348</v>
      </c>
      <c r="S235" s="6" t="n">
        <v>0.6107784431137725</v>
      </c>
      <c r="T235" s="2" t="inlineStr">
        <is>
          <t>Under</t>
        </is>
      </c>
      <c r="U235" s="4" t="n">
        <v>-160</v>
      </c>
      <c r="V235" s="2" t="n">
        <v>1.625</v>
      </c>
      <c r="W235" s="4" t="n">
        <v>-160</v>
      </c>
      <c r="X235" s="2" t="n">
        <v>1</v>
      </c>
      <c r="Y235" s="5" t="n">
        <v>0.625</v>
      </c>
      <c r="Z235" s="7" t="n">
        <v>100</v>
      </c>
      <c r="AA235" s="7">
        <f>Y235*Z235</f>
        <v/>
      </c>
      <c r="AB235" s="6">
        <f>IF(Z235=0,0,AA235/Z235)</f>
        <v/>
      </c>
      <c r="AC235" s="6" t="n"/>
      <c r="AD235" s="2" t="inlineStr">
        <is>
          <t>Win</t>
        </is>
      </c>
      <c r="AE235" s="6">
        <f>IF((COUNTIF($AD$2:AD235,"Win")+COUNTIF($AD$2:AD235,"Loss"))=0,0,COUNTIF($AD$2:AD235,"Win")/(COUNTIF($AD$2:AD235,"Win")+COUNTIF($AD$2:AD235,"Loss")))</f>
        <v/>
      </c>
      <c r="AF235" s="6">
        <f>SUM($Y$2:Y235)/SUM($X$2:X235)</f>
        <v/>
      </c>
      <c r="AG235" s="5">
        <f>SUM($Y$2:Y235)</f>
        <v/>
      </c>
      <c r="AH235" s="7">
        <f>10000.0+SUM($AA$2:AA235)</f>
        <v/>
      </c>
      <c r="AI235" s="2" t="n">
        <v>2025</v>
      </c>
      <c r="AJ235" s="2" t="inlineStr">
        <is>
          <t>2025-08</t>
        </is>
      </c>
      <c r="AK235" s="2" t="inlineStr">
        <is>
          <t>&lt;= -150</t>
        </is>
      </c>
      <c r="AL235" s="2" t="inlineStr">
        <is>
          <t>2025 Validation</t>
        </is>
      </c>
      <c r="AM235" s="6" t="n">
        <v>0.1627870102685304</v>
      </c>
    </row>
    <row r="236">
      <c r="A236" s="2" t="inlineStr">
        <is>
          <t>KPROP-00235</t>
        </is>
      </c>
      <c r="B236" s="3" t="n">
        <v>45890.67059027778</v>
      </c>
      <c r="C236" s="3" t="n">
        <v>45890</v>
      </c>
      <c r="D236" s="2" t="inlineStr">
        <is>
          <t>Sean Manaea</t>
        </is>
      </c>
      <c r="E236" s="2" t="n">
        <v>121</v>
      </c>
      <c r="F236" s="2" t="n">
        <v>120</v>
      </c>
      <c r="G236" s="2" t="inlineStr">
        <is>
          <t>Away</t>
        </is>
      </c>
      <c r="H236" s="2" t="inlineStr">
        <is>
          <t>bovada</t>
        </is>
      </c>
      <c r="I236" s="4" t="n"/>
      <c r="J236" s="4" t="n"/>
      <c r="K236" s="4" t="n">
        <v>125</v>
      </c>
      <c r="L236" s="4" t="n">
        <v>125</v>
      </c>
      <c r="M236" s="5" t="n">
        <v>5.5</v>
      </c>
      <c r="N236" s="5" t="n">
        <v>5.176365981157595</v>
      </c>
      <c r="O236" s="5" t="n">
        <v>5.5</v>
      </c>
      <c r="P236" s="5" t="n">
        <v>0.3236340188424052</v>
      </c>
      <c r="Q236" s="6" t="n">
        <v>0.3163527874744383</v>
      </c>
      <c r="R236" s="6" t="n">
        <v>0.5850456833219726</v>
      </c>
      <c r="S236" s="6" t="n">
        <v>0.4324324324324325</v>
      </c>
      <c r="T236" s="2" t="inlineStr">
        <is>
          <t>Under</t>
        </is>
      </c>
      <c r="U236" s="4" t="n">
        <v>125</v>
      </c>
      <c r="V236" s="2" t="n">
        <v>2.25</v>
      </c>
      <c r="W236" s="4" t="n">
        <v>125</v>
      </c>
      <c r="X236" s="2" t="n">
        <v>1</v>
      </c>
      <c r="Y236" s="5" t="n">
        <v>-1</v>
      </c>
      <c r="Z236" s="7" t="n">
        <v>100</v>
      </c>
      <c r="AA236" s="7">
        <f>Y236*Z236</f>
        <v/>
      </c>
      <c r="AB236" s="6">
        <f>IF(Z236=0,0,AA236/Z236)</f>
        <v/>
      </c>
      <c r="AC236" s="6" t="n"/>
      <c r="AD236" s="2" t="inlineStr">
        <is>
          <t>Loss</t>
        </is>
      </c>
      <c r="AE236" s="6">
        <f>IF((COUNTIF($AD$2:AD236,"Win")+COUNTIF($AD$2:AD236,"Loss"))=0,0,COUNTIF($AD$2:AD236,"Win")/(COUNTIF($AD$2:AD236,"Win")+COUNTIF($AD$2:AD236,"Loss")))</f>
        <v/>
      </c>
      <c r="AF236" s="6">
        <f>SUM($Y$2:Y236)/SUM($X$2:X236)</f>
        <v/>
      </c>
      <c r="AG236" s="5">
        <f>SUM($Y$2:Y236)</f>
        <v/>
      </c>
      <c r="AH236" s="7">
        <f>10000.0+SUM($AA$2:AA236)</f>
        <v/>
      </c>
      <c r="AI236" s="2" t="n">
        <v>2025</v>
      </c>
      <c r="AJ236" s="2" t="inlineStr">
        <is>
          <t>2025-08</t>
        </is>
      </c>
      <c r="AK236" s="2" t="inlineStr">
        <is>
          <t>+121 to +150</t>
        </is>
      </c>
      <c r="AL236" s="2" t="inlineStr">
        <is>
          <t>2025 Validation</t>
        </is>
      </c>
      <c r="AM236" s="6" t="n">
        <v>0.2530822299795507</v>
      </c>
    </row>
    <row r="237">
      <c r="A237" s="2" t="inlineStr">
        <is>
          <t>KPROP-00236</t>
        </is>
      </c>
      <c r="B237" s="3" t="n">
        <v>45890.67059027778</v>
      </c>
      <c r="C237" s="3" t="n">
        <v>45890</v>
      </c>
      <c r="D237" s="2" t="inlineStr">
        <is>
          <t>Sean Manaea</t>
        </is>
      </c>
      <c r="E237" s="2" t="n">
        <v>121</v>
      </c>
      <c r="F237" s="2" t="n">
        <v>120</v>
      </c>
      <c r="G237" s="2" t="inlineStr">
        <is>
          <t>Away</t>
        </is>
      </c>
      <c r="H237" s="2" t="inlineStr">
        <is>
          <t>betrivers</t>
        </is>
      </c>
      <c r="I237" s="4" t="n"/>
      <c r="J237" s="4" t="n"/>
      <c r="K237" s="4" t="n">
        <v>-182</v>
      </c>
      <c r="L237" s="4" t="n">
        <v>-182</v>
      </c>
      <c r="M237" s="5" t="n">
        <v>6.5</v>
      </c>
      <c r="N237" s="5" t="n">
        <v>5.176365981157595</v>
      </c>
      <c r="O237" s="5" t="n">
        <v>6.5</v>
      </c>
      <c r="P237" s="5" t="n">
        <v>1.323634018842405</v>
      </c>
      <c r="Q237" s="6" t="n">
        <v>0.1403442477103377</v>
      </c>
      <c r="R237" s="6" t="n">
        <v>0.7359668549052534</v>
      </c>
      <c r="S237" s="6" t="n">
        <v>0.5974878675421068</v>
      </c>
      <c r="T237" s="2" t="inlineStr">
        <is>
          <t>Under</t>
        </is>
      </c>
      <c r="U237" s="4" t="n">
        <v>-182</v>
      </c>
      <c r="V237" s="2" t="n">
        <v>1.549450549450549</v>
      </c>
      <c r="W237" s="4" t="n">
        <v>-182</v>
      </c>
      <c r="X237" s="2" t="n">
        <v>1</v>
      </c>
      <c r="Y237" s="5" t="n">
        <v>-1</v>
      </c>
      <c r="Z237" s="7" t="n">
        <v>100</v>
      </c>
      <c r="AA237" s="7">
        <f>Y237*Z237</f>
        <v/>
      </c>
      <c r="AB237" s="6">
        <f>IF(Z237=0,0,AA237/Z237)</f>
        <v/>
      </c>
      <c r="AC237" s="6" t="n"/>
      <c r="AD237" s="2" t="inlineStr">
        <is>
          <t>Loss</t>
        </is>
      </c>
      <c r="AE237" s="6">
        <f>IF((COUNTIF($AD$2:AD237,"Win")+COUNTIF($AD$2:AD237,"Loss"))=0,0,COUNTIF($AD$2:AD237,"Win")/(COUNTIF($AD$2:AD237,"Win")+COUNTIF($AD$2:AD237,"Loss")))</f>
        <v/>
      </c>
      <c r="AF237" s="6">
        <f>SUM($Y$2:Y237)/SUM($X$2:X237)</f>
        <v/>
      </c>
      <c r="AG237" s="5">
        <f>SUM($Y$2:Y237)</f>
        <v/>
      </c>
      <c r="AH237" s="7">
        <f>10000.0+SUM($AA$2:AA237)</f>
        <v/>
      </c>
      <c r="AI237" s="2" t="n">
        <v>2025</v>
      </c>
      <c r="AJ237" s="2" t="inlineStr">
        <is>
          <t>2025-08</t>
        </is>
      </c>
      <c r="AK237" s="2" t="inlineStr">
        <is>
          <t>&lt;= -150</t>
        </is>
      </c>
      <c r="AL237" s="2" t="inlineStr">
        <is>
          <t>2025 Validation</t>
        </is>
      </c>
      <c r="AM237" s="6" t="n">
        <v>0.2554265308328145</v>
      </c>
    </row>
    <row r="238">
      <c r="A238" s="2" t="inlineStr">
        <is>
          <t>KPROP-00237</t>
        </is>
      </c>
      <c r="B238" s="3" t="n">
        <v>45890.59767361111</v>
      </c>
      <c r="C238" s="3" t="n">
        <v>45890</v>
      </c>
      <c r="D238" s="2" t="inlineStr">
        <is>
          <t>Shota Imanaga</t>
        </is>
      </c>
      <c r="E238" s="2" t="n">
        <v>112</v>
      </c>
      <c r="F238" s="2" t="n">
        <v>158</v>
      </c>
      <c r="G238" s="2" t="inlineStr">
        <is>
          <t>Home</t>
        </is>
      </c>
      <c r="H238" s="2" t="inlineStr">
        <is>
          <t>betonlineag</t>
        </is>
      </c>
      <c r="I238" s="4" t="n"/>
      <c r="J238" s="4" t="n"/>
      <c r="K238" s="4" t="n">
        <v>100</v>
      </c>
      <c r="L238" s="4" t="n">
        <v>100</v>
      </c>
      <c r="M238" s="5" t="n">
        <v>4.5</v>
      </c>
      <c r="N238" s="5" t="n">
        <v>4.33601718169774</v>
      </c>
      <c r="O238" s="5" t="n">
        <v>4.5</v>
      </c>
      <c r="P238" s="5" t="n">
        <v>0.1639828183022596</v>
      </c>
      <c r="Q238" s="6" t="n">
        <v>0.1269712377381638</v>
      </c>
      <c r="R238" s="6" t="n">
        <v>0.5634856188690819</v>
      </c>
      <c r="S238" s="6" t="n">
        <v>0.4831460674157303</v>
      </c>
      <c r="T238" s="2" t="inlineStr">
        <is>
          <t>Under</t>
        </is>
      </c>
      <c r="U238" s="4" t="n">
        <v>100</v>
      </c>
      <c r="V238" s="2" t="n">
        <v>2</v>
      </c>
      <c r="W238" s="4" t="n">
        <v>100</v>
      </c>
      <c r="X238" s="2" t="n">
        <v>1</v>
      </c>
      <c r="Y238" s="5" t="n">
        <v>-1</v>
      </c>
      <c r="Z238" s="7" t="n">
        <v>100</v>
      </c>
      <c r="AA238" s="7">
        <f>Y238*Z238</f>
        <v/>
      </c>
      <c r="AB238" s="6">
        <f>IF(Z238=0,0,AA238/Z238)</f>
        <v/>
      </c>
      <c r="AC238" s="6" t="n"/>
      <c r="AD238" s="2" t="inlineStr">
        <is>
          <t>Loss</t>
        </is>
      </c>
      <c r="AE238" s="6">
        <f>IF((COUNTIF($AD$2:AD238,"Win")+COUNTIF($AD$2:AD238,"Loss"))=0,0,COUNTIF($AD$2:AD238,"Win")/(COUNTIF($AD$2:AD238,"Win")+COUNTIF($AD$2:AD238,"Loss")))</f>
        <v/>
      </c>
      <c r="AF238" s="6">
        <f>SUM($Y$2:Y238)/SUM($X$2:X238)</f>
        <v/>
      </c>
      <c r="AG238" s="5">
        <f>SUM($Y$2:Y238)</f>
        <v/>
      </c>
      <c r="AH238" s="7">
        <f>10000.0+SUM($AA$2:AA238)</f>
        <v/>
      </c>
      <c r="AI238" s="2" t="n">
        <v>2025</v>
      </c>
      <c r="AJ238" s="2" t="inlineStr">
        <is>
          <t>2025-08</t>
        </is>
      </c>
      <c r="AK238" s="2" t="inlineStr">
        <is>
          <t>+100 to +120</t>
        </is>
      </c>
      <c r="AL238" s="2" t="inlineStr">
        <is>
          <t>2025 Validation</t>
        </is>
      </c>
      <c r="AM238" s="6" t="n">
        <v>0.1269712377381638</v>
      </c>
    </row>
    <row r="239">
      <c r="A239" s="2" t="inlineStr">
        <is>
          <t>KPROP-00238</t>
        </is>
      </c>
      <c r="B239" s="3" t="n">
        <v>45891.77822916667</v>
      </c>
      <c r="C239" s="3" t="n">
        <v>45891</v>
      </c>
      <c r="D239" s="2" t="inlineStr">
        <is>
          <t>Braxton Ashcraft</t>
        </is>
      </c>
      <c r="E239" s="2" t="n">
        <v>134</v>
      </c>
      <c r="F239" s="2" t="n">
        <v>115</v>
      </c>
      <c r="G239" s="2" t="inlineStr">
        <is>
          <t>Home</t>
        </is>
      </c>
      <c r="H239" s="2" t="inlineStr">
        <is>
          <t>betonlineag</t>
        </is>
      </c>
      <c r="I239" s="4" t="n"/>
      <c r="J239" s="4" t="n"/>
      <c r="K239" s="4" t="n">
        <v>121</v>
      </c>
      <c r="L239" s="4" t="n">
        <v>121</v>
      </c>
      <c r="M239" s="5" t="n">
        <v>3.5</v>
      </c>
      <c r="N239" s="5" t="n">
        <v>3.675081410804959</v>
      </c>
      <c r="O239" s="5" t="n">
        <v>3.5</v>
      </c>
      <c r="P239" s="5" t="n">
        <v>-0.1750814108049594</v>
      </c>
      <c r="Q239" s="6" t="n">
        <v>0.1035997782766394</v>
      </c>
      <c r="R239" s="6" t="n">
        <v>0.4993664155097916</v>
      </c>
      <c r="S239" s="6" t="n">
        <v>0.4332832257494031</v>
      </c>
      <c r="T239" s="2" t="inlineStr">
        <is>
          <t>Under</t>
        </is>
      </c>
      <c r="U239" s="4" t="n">
        <v>121</v>
      </c>
      <c r="V239" s="2" t="n">
        <v>2.21</v>
      </c>
      <c r="W239" s="4" t="n">
        <v>121</v>
      </c>
      <c r="X239" s="2" t="n">
        <v>1</v>
      </c>
      <c r="Y239" s="5" t="n">
        <v>-1</v>
      </c>
      <c r="Z239" s="7" t="n">
        <v>100</v>
      </c>
      <c r="AA239" s="7">
        <f>Y239*Z239</f>
        <v/>
      </c>
      <c r="AB239" s="6">
        <f>IF(Z239=0,0,AA239/Z239)</f>
        <v/>
      </c>
      <c r="AC239" s="6" t="n"/>
      <c r="AD239" s="2" t="inlineStr">
        <is>
          <t>Loss</t>
        </is>
      </c>
      <c r="AE239" s="6">
        <f>IF((COUNTIF($AD$2:AD239,"Win")+COUNTIF($AD$2:AD239,"Loss"))=0,0,COUNTIF($AD$2:AD239,"Win")/(COUNTIF($AD$2:AD239,"Win")+COUNTIF($AD$2:AD239,"Loss")))</f>
        <v/>
      </c>
      <c r="AF239" s="6">
        <f>SUM($Y$2:Y239)/SUM($X$2:X239)</f>
        <v/>
      </c>
      <c r="AG239" s="5">
        <f>SUM($Y$2:Y239)</f>
        <v/>
      </c>
      <c r="AH239" s="7">
        <f>10000.0+SUM($AA$2:AA239)</f>
        <v/>
      </c>
      <c r="AI239" s="2" t="n">
        <v>2025</v>
      </c>
      <c r="AJ239" s="2" t="inlineStr">
        <is>
          <t>2025-08</t>
        </is>
      </c>
      <c r="AK239" s="2" t="inlineStr">
        <is>
          <t>+121 to +150</t>
        </is>
      </c>
      <c r="AL239" s="2" t="inlineStr">
        <is>
          <t>2025 Validation</t>
        </is>
      </c>
      <c r="AM239" s="6" t="n">
        <v>0.08561965146829699</v>
      </c>
    </row>
    <row r="240">
      <c r="A240" s="2" t="inlineStr">
        <is>
          <t>KPROP-00239</t>
        </is>
      </c>
      <c r="B240" s="3" t="n">
        <v>45891.77822916667</v>
      </c>
      <c r="C240" s="3" t="n">
        <v>45891</v>
      </c>
      <c r="D240" s="2" t="inlineStr">
        <is>
          <t>Braxton Ashcraft</t>
        </is>
      </c>
      <c r="E240" s="2" t="n">
        <v>134</v>
      </c>
      <c r="F240" s="2" t="n">
        <v>115</v>
      </c>
      <c r="G240" s="2" t="inlineStr">
        <is>
          <t>Home</t>
        </is>
      </c>
      <c r="H240" s="2" t="inlineStr">
        <is>
          <t>fanduel</t>
        </is>
      </c>
      <c r="I240" s="4" t="n"/>
      <c r="J240" s="4" t="n"/>
      <c r="K240" s="4" t="n">
        <v>-164</v>
      </c>
      <c r="L240" s="4" t="n">
        <v>-164</v>
      </c>
      <c r="M240" s="5" t="n">
        <v>4.5</v>
      </c>
      <c r="N240" s="5" t="n">
        <v>3.675081410804959</v>
      </c>
      <c r="O240" s="5" t="n">
        <v>4.5</v>
      </c>
      <c r="P240" s="5" t="n">
        <v>0.8249185891950406</v>
      </c>
      <c r="Q240" s="6" t="n">
        <v>0.1139919434379187</v>
      </c>
      <c r="R240" s="6" t="n">
        <v>0.6920252981962828</v>
      </c>
      <c r="S240" s="6" t="n">
        <v>0.5882719900187149</v>
      </c>
      <c r="T240" s="2" t="inlineStr">
        <is>
          <t>Under</t>
        </is>
      </c>
      <c r="U240" s="4" t="n">
        <v>-164</v>
      </c>
      <c r="V240" s="2" t="n">
        <v>1.609756097560976</v>
      </c>
      <c r="W240" s="4" t="n">
        <v>-164</v>
      </c>
      <c r="X240" s="2" t="n">
        <v>1</v>
      </c>
      <c r="Y240" s="5" t="n">
        <v>-1</v>
      </c>
      <c r="Z240" s="7" t="n">
        <v>100</v>
      </c>
      <c r="AA240" s="7">
        <f>Y240*Z240</f>
        <v/>
      </c>
      <c r="AB240" s="6">
        <f>IF(Z240=0,0,AA240/Z240)</f>
        <v/>
      </c>
      <c r="AC240" s="6" t="n"/>
      <c r="AD240" s="2" t="inlineStr">
        <is>
          <t>Loss</t>
        </is>
      </c>
      <c r="AE240" s="6">
        <f>IF((COUNTIF($AD$2:AD240,"Win")+COUNTIF($AD$2:AD240,"Loss"))=0,0,COUNTIF($AD$2:AD240,"Win")/(COUNTIF($AD$2:AD240,"Win")+COUNTIF($AD$2:AD240,"Loss")))</f>
        <v/>
      </c>
      <c r="AF240" s="6">
        <f>SUM($Y$2:Y240)/SUM($X$2:X240)</f>
        <v/>
      </c>
      <c r="AG240" s="5">
        <f>SUM($Y$2:Y240)</f>
        <v/>
      </c>
      <c r="AH240" s="7">
        <f>10000.0+SUM($AA$2:AA240)</f>
        <v/>
      </c>
      <c r="AI240" s="2" t="n">
        <v>2025</v>
      </c>
      <c r="AJ240" s="2" t="inlineStr">
        <is>
          <t>2025-08</t>
        </is>
      </c>
      <c r="AK240" s="2" t="inlineStr">
        <is>
          <t>&lt;= -150</t>
        </is>
      </c>
      <c r="AL240" s="2" t="inlineStr">
        <is>
          <t>2025 Validation</t>
        </is>
      </c>
      <c r="AM240" s="6" t="n">
        <v>0.1869467872381866</v>
      </c>
    </row>
    <row r="241">
      <c r="A241" s="2" t="inlineStr">
        <is>
          <t>KPROP-00240</t>
        </is>
      </c>
      <c r="B241" s="3" t="n">
        <v>45891.79559027778</v>
      </c>
      <c r="C241" s="3" t="n">
        <v>45891</v>
      </c>
      <c r="D241" s="2" t="inlineStr">
        <is>
          <t>Max Fried</t>
        </is>
      </c>
      <c r="E241" s="2" t="n">
        <v>147</v>
      </c>
      <c r="F241" s="2" t="n">
        <v>111</v>
      </c>
      <c r="G241" s="2" t="inlineStr">
        <is>
          <t>Home</t>
        </is>
      </c>
      <c r="H241" s="2" t="inlineStr">
        <is>
          <t>bovada</t>
        </is>
      </c>
      <c r="I241" s="4" t="n"/>
      <c r="J241" s="4" t="n"/>
      <c r="K241" s="4" t="n">
        <v>-130</v>
      </c>
      <c r="L241" s="4" t="n">
        <v>-130</v>
      </c>
      <c r="M241" s="5" t="n">
        <v>6.5</v>
      </c>
      <c r="N241" s="5" t="n">
        <v>5.637591234414152</v>
      </c>
      <c r="O241" s="5" t="n">
        <v>6.5</v>
      </c>
      <c r="P241" s="5" t="n">
        <v>0.8624087655858483</v>
      </c>
      <c r="Q241" s="6" t="n">
        <v>0.1752924477146737</v>
      </c>
      <c r="R241" s="6" t="n">
        <v>0.6642957313169895</v>
      </c>
      <c r="S241" s="6" t="n">
        <v>0.5542635658914729</v>
      </c>
      <c r="T241" s="2" t="inlineStr">
        <is>
          <t>Under</t>
        </is>
      </c>
      <c r="U241" s="4" t="n">
        <v>-130</v>
      </c>
      <c r="V241" s="2" t="n">
        <v>1.769230769230769</v>
      </c>
      <c r="W241" s="4" t="n">
        <v>-130</v>
      </c>
      <c r="X241" s="2" t="n">
        <v>1</v>
      </c>
      <c r="Y241" s="5" t="n">
        <v>-1</v>
      </c>
      <c r="Z241" s="7" t="n">
        <v>100</v>
      </c>
      <c r="AA241" s="7">
        <f>Y241*Z241</f>
        <v/>
      </c>
      <c r="AB241" s="6">
        <f>IF(Z241=0,0,AA241/Z241)</f>
        <v/>
      </c>
      <c r="AC241" s="6" t="n"/>
      <c r="AD241" s="2" t="inlineStr">
        <is>
          <t>Loss</t>
        </is>
      </c>
      <c r="AE241" s="6">
        <f>IF((COUNTIF($AD$2:AD241,"Win")+COUNTIF($AD$2:AD241,"Loss"))=0,0,COUNTIF($AD$2:AD241,"Win")/(COUNTIF($AD$2:AD241,"Win")+COUNTIF($AD$2:AD241,"Loss")))</f>
        <v/>
      </c>
      <c r="AF241" s="6">
        <f>SUM($Y$2:Y241)/SUM($X$2:X241)</f>
        <v/>
      </c>
      <c r="AG241" s="5">
        <f>SUM($Y$2:Y241)</f>
        <v/>
      </c>
      <c r="AH241" s="7">
        <f>10000.0+SUM($AA$2:AA241)</f>
        <v/>
      </c>
      <c r="AI241" s="2" t="n">
        <v>2025</v>
      </c>
      <c r="AJ241" s="2" t="inlineStr">
        <is>
          <t>2025-08</t>
        </is>
      </c>
      <c r="AK241" s="2" t="inlineStr">
        <is>
          <t>-149 to -120</t>
        </is>
      </c>
      <c r="AL241" s="2" t="inlineStr">
        <is>
          <t>2025 Validation</t>
        </is>
      </c>
      <c r="AM241" s="6" t="n">
        <v>0.2278801820290758</v>
      </c>
    </row>
    <row r="242">
      <c r="A242" s="2" t="inlineStr">
        <is>
          <t>KPROP-00241</t>
        </is>
      </c>
      <c r="B242" s="3" t="n">
        <v>45892.75392361111</v>
      </c>
      <c r="C242" s="3" t="n">
        <v>45892</v>
      </c>
      <c r="D242" s="2" t="inlineStr">
        <is>
          <t>Aaron Nola</t>
        </is>
      </c>
      <c r="E242" s="2" t="n">
        <v>143</v>
      </c>
      <c r="F242" s="2" t="n">
        <v>120</v>
      </c>
      <c r="G242" s="2" t="inlineStr">
        <is>
          <t>Home</t>
        </is>
      </c>
      <c r="H242" s="2" t="inlineStr">
        <is>
          <t>fanduel</t>
        </is>
      </c>
      <c r="I242" s="4" t="n"/>
      <c r="J242" s="4" t="n"/>
      <c r="K242" s="4" t="n">
        <v>106</v>
      </c>
      <c r="L242" s="4" t="n">
        <v>106</v>
      </c>
      <c r="M242" s="5" t="n">
        <v>5.5</v>
      </c>
      <c r="N242" s="5" t="n">
        <v>4.857139285410188</v>
      </c>
      <c r="O242" s="5" t="n">
        <v>5.5</v>
      </c>
      <c r="P242" s="5" t="n">
        <v>0.642860714589812</v>
      </c>
      <c r="Q242" s="6" t="n">
        <v>0.3204821615932817</v>
      </c>
      <c r="R242" s="6" t="n">
        <v>0.6410107580549911</v>
      </c>
      <c r="S242" s="6" t="n">
        <v>0.4663212435233161</v>
      </c>
      <c r="T242" s="2" t="inlineStr">
        <is>
          <t>Under</t>
        </is>
      </c>
      <c r="U242" s="4" t="n">
        <v>106</v>
      </c>
      <c r="V242" s="2" t="n">
        <v>2.06</v>
      </c>
      <c r="W242" s="4" t="n">
        <v>106</v>
      </c>
      <c r="X242" s="2" t="n">
        <v>1</v>
      </c>
      <c r="Y242" s="5" t="n">
        <v>-1</v>
      </c>
      <c r="Z242" s="7" t="n">
        <v>100</v>
      </c>
      <c r="AA242" s="7">
        <f>Y242*Z242</f>
        <v/>
      </c>
      <c r="AB242" s="6">
        <f>IF(Z242=0,0,AA242/Z242)</f>
        <v/>
      </c>
      <c r="AC242" s="6" t="n"/>
      <c r="AD242" s="2" t="inlineStr">
        <is>
          <t>Loss</t>
        </is>
      </c>
      <c r="AE242" s="6">
        <f>IF((COUNTIF($AD$2:AD242,"Win")+COUNTIF($AD$2:AD242,"Loss"))=0,0,COUNTIF($AD$2:AD242,"Win")/(COUNTIF($AD$2:AD242,"Win")+COUNTIF($AD$2:AD242,"Loss")))</f>
        <v/>
      </c>
      <c r="AF242" s="6">
        <f>SUM($Y$2:Y242)/SUM($X$2:X242)</f>
        <v/>
      </c>
      <c r="AG242" s="5">
        <f>SUM($Y$2:Y242)</f>
        <v/>
      </c>
      <c r="AH242" s="7">
        <f>10000.0+SUM($AA$2:AA242)</f>
        <v/>
      </c>
      <c r="AI242" s="2" t="n">
        <v>2025</v>
      </c>
      <c r="AJ242" s="2" t="inlineStr">
        <is>
          <t>2025-08</t>
        </is>
      </c>
      <c r="AK242" s="2" t="inlineStr">
        <is>
          <t>+100 to +120</t>
        </is>
      </c>
      <c r="AL242" s="2" t="inlineStr">
        <is>
          <t>2025 Validation</t>
        </is>
      </c>
      <c r="AM242" s="6" t="n">
        <v>0.3023416618804544</v>
      </c>
    </row>
    <row r="243">
      <c r="A243" s="2" t="inlineStr">
        <is>
          <t>KPROP-00242</t>
        </is>
      </c>
      <c r="B243" s="3" t="n">
        <v>45892.80253472222</v>
      </c>
      <c r="C243" s="3" t="n">
        <v>45892</v>
      </c>
      <c r="D243" s="2" t="inlineStr">
        <is>
          <t>Clay Holmes</t>
        </is>
      </c>
      <c r="E243" s="2" t="n">
        <v>121</v>
      </c>
      <c r="F243" s="2" t="n">
        <v>144</v>
      </c>
      <c r="G243" s="2" t="inlineStr">
        <is>
          <t>Away</t>
        </is>
      </c>
      <c r="H243" s="2" t="inlineStr">
        <is>
          <t>fanatics</t>
        </is>
      </c>
      <c r="I243" s="4" t="n"/>
      <c r="J243" s="4" t="n"/>
      <c r="K243" s="4" t="n">
        <v>125</v>
      </c>
      <c r="L243" s="4" t="n">
        <v>125</v>
      </c>
      <c r="M243" s="5" t="n">
        <v>3.5</v>
      </c>
      <c r="N243" s="5" t="n">
        <v>3.656314324141493</v>
      </c>
      <c r="O243" s="5" t="n">
        <v>3.5</v>
      </c>
      <c r="P243" s="5" t="n">
        <v>-0.1563143241414928</v>
      </c>
      <c r="Q243" s="6" t="n">
        <v>0.1324440456078597</v>
      </c>
      <c r="R243" s="6" t="n">
        <v>0.5033084647146043</v>
      </c>
      <c r="S243" s="6" t="n">
        <v>0.4261874197689345</v>
      </c>
      <c r="T243" s="2" t="inlineStr">
        <is>
          <t>Under</t>
        </is>
      </c>
      <c r="U243" s="4" t="n">
        <v>125</v>
      </c>
      <c r="V243" s="2" t="n">
        <v>2.25</v>
      </c>
      <c r="W243" s="4" t="n">
        <v>125</v>
      </c>
      <c r="X243" s="2" t="n">
        <v>1</v>
      </c>
      <c r="Y243" s="5" t="n">
        <v>-1</v>
      </c>
      <c r="Z243" s="7" t="n">
        <v>100</v>
      </c>
      <c r="AA243" s="7">
        <f>Y243*Z243</f>
        <v/>
      </c>
      <c r="AB243" s="6">
        <f>IF(Z243=0,0,AA243/Z243)</f>
        <v/>
      </c>
      <c r="AC243" s="6" t="n"/>
      <c r="AD243" s="2" t="inlineStr">
        <is>
          <t>Loss</t>
        </is>
      </c>
      <c r="AE243" s="6">
        <f>IF((COUNTIF($AD$2:AD243,"Win")+COUNTIF($AD$2:AD243,"Loss"))=0,0,COUNTIF($AD$2:AD243,"Win")/(COUNTIF($AD$2:AD243,"Win")+COUNTIF($AD$2:AD243,"Loss")))</f>
        <v/>
      </c>
      <c r="AF243" s="6">
        <f>SUM($Y$2:Y243)/SUM($X$2:X243)</f>
        <v/>
      </c>
      <c r="AG243" s="5">
        <f>SUM($Y$2:Y243)</f>
        <v/>
      </c>
      <c r="AH243" s="7">
        <f>10000.0+SUM($AA$2:AA243)</f>
        <v/>
      </c>
      <c r="AI243" s="2" t="n">
        <v>2025</v>
      </c>
      <c r="AJ243" s="2" t="inlineStr">
        <is>
          <t>2025-08</t>
        </is>
      </c>
      <c r="AK243" s="2" t="inlineStr">
        <is>
          <t>+121 to +150</t>
        </is>
      </c>
      <c r="AL243" s="2" t="inlineStr">
        <is>
          <t>2025 Validation</t>
        </is>
      </c>
      <c r="AM243" s="6" t="n">
        <v>0.1059552364862878</v>
      </c>
    </row>
    <row r="244">
      <c r="A244" s="2" t="inlineStr">
        <is>
          <t>KPROP-00243</t>
        </is>
      </c>
      <c r="B244" s="3" t="n">
        <v>45892.7990625</v>
      </c>
      <c r="C244" s="3" t="n">
        <v>45892</v>
      </c>
      <c r="D244" s="2" t="inlineStr">
        <is>
          <t>Freddy Peralta</t>
        </is>
      </c>
      <c r="E244" s="2" t="n">
        <v>158</v>
      </c>
      <c r="F244" s="2" t="n">
        <v>137</v>
      </c>
      <c r="G244" s="2" t="inlineStr">
        <is>
          <t>Home</t>
        </is>
      </c>
      <c r="H244" s="2" t="inlineStr">
        <is>
          <t>draftkings</t>
        </is>
      </c>
      <c r="I244" s="4" t="n"/>
      <c r="J244" s="4" t="n"/>
      <c r="K244" s="4" t="n">
        <v>-115</v>
      </c>
      <c r="L244" s="4" t="n">
        <v>-115</v>
      </c>
      <c r="M244" s="5" t="n">
        <v>6.5</v>
      </c>
      <c r="N244" s="5" t="n">
        <v>6.038027088884815</v>
      </c>
      <c r="O244" s="5" t="n">
        <v>6.5</v>
      </c>
      <c r="P244" s="5" t="n">
        <v>0.4619729111151853</v>
      </c>
      <c r="Q244" s="6" t="n">
        <v>0.1221036891404066</v>
      </c>
      <c r="R244" s="6" t="n">
        <v>0.6001949965169617</v>
      </c>
      <c r="S244" s="6" t="n">
        <v>0.5193382517326178</v>
      </c>
      <c r="T244" s="2" t="inlineStr">
        <is>
          <t>Under</t>
        </is>
      </c>
      <c r="U244" s="4" t="n">
        <v>-115</v>
      </c>
      <c r="V244" s="2" t="n">
        <v>1.869565217391304</v>
      </c>
      <c r="W244" s="4" t="n">
        <v>-115</v>
      </c>
      <c r="X244" s="2" t="n">
        <v>1</v>
      </c>
      <c r="Y244" s="5" t="n">
        <v>0.8695652173913042</v>
      </c>
      <c r="Z244" s="7" t="n">
        <v>100</v>
      </c>
      <c r="AA244" s="7">
        <f>Y244*Z244</f>
        <v/>
      </c>
      <c r="AB244" s="6">
        <f>IF(Z244=0,0,AA244/Z244)</f>
        <v/>
      </c>
      <c r="AC244" s="6" t="n"/>
      <c r="AD244" s="2" t="inlineStr">
        <is>
          <t>Win</t>
        </is>
      </c>
      <c r="AE244" s="6">
        <f>IF((COUNTIF($AD$2:AD244,"Win")+COUNTIF($AD$2:AD244,"Loss"))=0,0,COUNTIF($AD$2:AD244,"Win")/(COUNTIF($AD$2:AD244,"Win")+COUNTIF($AD$2:AD244,"Loss")))</f>
        <v/>
      </c>
      <c r="AF244" s="6">
        <f>SUM($Y$2:Y244)/SUM($X$2:X244)</f>
        <v/>
      </c>
      <c r="AG244" s="5">
        <f>SUM($Y$2:Y244)</f>
        <v/>
      </c>
      <c r="AH244" s="7">
        <f>10000.0+SUM($AA$2:AA244)</f>
        <v/>
      </c>
      <c r="AI244" s="2" t="n">
        <v>2025</v>
      </c>
      <c r="AJ244" s="2" t="inlineStr">
        <is>
          <t>2025-08</t>
        </is>
      </c>
      <c r="AK244" s="2" t="inlineStr">
        <is>
          <t>-119 to -101</t>
        </is>
      </c>
      <c r="AL244" s="2" t="inlineStr">
        <is>
          <t>2025 Validation</t>
        </is>
      </c>
      <c r="AM244" s="6" t="n">
        <v>0.1404192425114676</v>
      </c>
    </row>
    <row r="245">
      <c r="A245" s="2" t="inlineStr">
        <is>
          <t>KPROP-00244</t>
        </is>
      </c>
      <c r="B245" s="3" t="n">
        <v>45892.54559027778</v>
      </c>
      <c r="C245" s="3" t="n">
        <v>45892</v>
      </c>
      <c r="D245" s="2" t="inlineStr">
        <is>
          <t>Garrett Crochet</t>
        </is>
      </c>
      <c r="E245" s="2" t="n">
        <v>111</v>
      </c>
      <c r="F245" s="2" t="n">
        <v>147</v>
      </c>
      <c r="G245" s="2" t="inlineStr">
        <is>
          <t>Away</t>
        </is>
      </c>
      <c r="H245" s="2" t="inlineStr">
        <is>
          <t>betrivers</t>
        </is>
      </c>
      <c r="I245" s="4" t="n"/>
      <c r="J245" s="4" t="n"/>
      <c r="K245" s="4" t="n">
        <v>107</v>
      </c>
      <c r="L245" s="4" t="n">
        <v>107</v>
      </c>
      <c r="M245" s="5" t="n">
        <v>7.5</v>
      </c>
      <c r="N245" s="5" t="n">
        <v>7.379779609355828</v>
      </c>
      <c r="O245" s="5" t="n">
        <v>7.5</v>
      </c>
      <c r="P245" s="5" t="n">
        <v>0.1202203906441719</v>
      </c>
      <c r="Q245" s="6" t="n">
        <v>0.1225905540981939</v>
      </c>
      <c r="R245" s="6" t="n">
        <v>0.5423142773421226</v>
      </c>
      <c r="S245" s="6" t="n">
        <v>0.4696840307429548</v>
      </c>
      <c r="T245" s="2" t="inlineStr">
        <is>
          <t>Under</t>
        </is>
      </c>
      <c r="U245" s="4" t="n">
        <v>107</v>
      </c>
      <c r="V245" s="2" t="n">
        <v>2.07</v>
      </c>
      <c r="W245" s="4" t="n">
        <v>107</v>
      </c>
      <c r="X245" s="2" t="n">
        <v>1</v>
      </c>
      <c r="Y245" s="5" t="n">
        <v>-1</v>
      </c>
      <c r="Z245" s="7" t="n">
        <v>100</v>
      </c>
      <c r="AA245" s="7">
        <f>Y245*Z245</f>
        <v/>
      </c>
      <c r="AB245" s="6">
        <f>IF(Z245=0,0,AA245/Z245)</f>
        <v/>
      </c>
      <c r="AC245" s="6" t="n"/>
      <c r="AD245" s="2" t="inlineStr">
        <is>
          <t>Loss</t>
        </is>
      </c>
      <c r="AE245" s="6">
        <f>IF((COUNTIF($AD$2:AD245,"Win")+COUNTIF($AD$2:AD245,"Loss"))=0,0,COUNTIF($AD$2:AD245,"Win")/(COUNTIF($AD$2:AD245,"Win")+COUNTIF($AD$2:AD245,"Loss")))</f>
        <v/>
      </c>
      <c r="AF245" s="6">
        <f>SUM($Y$2:Y245)/SUM($X$2:X245)</f>
        <v/>
      </c>
      <c r="AG245" s="5">
        <f>SUM($Y$2:Y245)</f>
        <v/>
      </c>
      <c r="AH245" s="7">
        <f>10000.0+SUM($AA$2:AA245)</f>
        <v/>
      </c>
      <c r="AI245" s="2" t="n">
        <v>2025</v>
      </c>
      <c r="AJ245" s="2" t="inlineStr">
        <is>
          <t>2025-08</t>
        </is>
      </c>
      <c r="AK245" s="2" t="inlineStr">
        <is>
          <t>+100 to +120</t>
        </is>
      </c>
      <c r="AL245" s="2" t="inlineStr">
        <is>
          <t>2025 Validation</t>
        </is>
      </c>
      <c r="AM245" s="6" t="n">
        <v>0.1145706113067232</v>
      </c>
    </row>
    <row r="246">
      <c r="A246" s="2" t="inlineStr">
        <is>
          <t>KPROP-00245</t>
        </is>
      </c>
      <c r="B246" s="3" t="n">
        <v>45892.7990625</v>
      </c>
      <c r="C246" s="3" t="n">
        <v>45892</v>
      </c>
      <c r="D246" s="2" t="inlineStr">
        <is>
          <t>Logan Webb</t>
        </is>
      </c>
      <c r="E246" s="2" t="n">
        <v>137</v>
      </c>
      <c r="F246" s="2" t="n">
        <v>158</v>
      </c>
      <c r="G246" s="2" t="inlineStr">
        <is>
          <t>Away</t>
        </is>
      </c>
      <c r="H246" s="2" t="inlineStr">
        <is>
          <t>fanduel</t>
        </is>
      </c>
      <c r="I246" s="4" t="n"/>
      <c r="J246" s="4" t="n"/>
      <c r="K246" s="4" t="n">
        <v>100</v>
      </c>
      <c r="L246" s="4" t="n">
        <v>100</v>
      </c>
      <c r="M246" s="5" t="n">
        <v>5.5</v>
      </c>
      <c r="N246" s="5" t="n">
        <v>5.283294422522476</v>
      </c>
      <c r="O246" s="5" t="n">
        <v>5.5</v>
      </c>
      <c r="P246" s="5" t="n">
        <v>0.2167055774775237</v>
      </c>
      <c r="Q246" s="6" t="n">
        <v>0.13276152838064</v>
      </c>
      <c r="R246" s="6" t="n">
        <v>0.56638076419032</v>
      </c>
      <c r="S246" s="6" t="n">
        <v>0.4883720930232558</v>
      </c>
      <c r="T246" s="2" t="inlineStr">
        <is>
          <t>Under</t>
        </is>
      </c>
      <c r="U246" s="4" t="n">
        <v>100</v>
      </c>
      <c r="V246" s="2" t="n">
        <v>2</v>
      </c>
      <c r="W246" s="4" t="n">
        <v>100</v>
      </c>
      <c r="X246" s="2" t="n">
        <v>1</v>
      </c>
      <c r="Y246" s="5" t="n">
        <v>1</v>
      </c>
      <c r="Z246" s="7" t="n">
        <v>100</v>
      </c>
      <c r="AA246" s="7">
        <f>Y246*Z246</f>
        <v/>
      </c>
      <c r="AB246" s="6">
        <f>IF(Z246=0,0,AA246/Z246)</f>
        <v/>
      </c>
      <c r="AC246" s="6" t="n"/>
      <c r="AD246" s="2" t="inlineStr">
        <is>
          <t>Win</t>
        </is>
      </c>
      <c r="AE246" s="6">
        <f>IF((COUNTIF($AD$2:AD246,"Win")+COUNTIF($AD$2:AD246,"Loss"))=0,0,COUNTIF($AD$2:AD246,"Win")/(COUNTIF($AD$2:AD246,"Win")+COUNTIF($AD$2:AD246,"Loss")))</f>
        <v/>
      </c>
      <c r="AF246" s="6">
        <f>SUM($Y$2:Y246)/SUM($X$2:X246)</f>
        <v/>
      </c>
      <c r="AG246" s="5">
        <f>SUM($Y$2:Y246)</f>
        <v/>
      </c>
      <c r="AH246" s="7">
        <f>10000.0+SUM($AA$2:AA246)</f>
        <v/>
      </c>
      <c r="AI246" s="2" t="n">
        <v>2025</v>
      </c>
      <c r="AJ246" s="2" t="inlineStr">
        <is>
          <t>2025-08</t>
        </is>
      </c>
      <c r="AK246" s="2" t="inlineStr">
        <is>
          <t>+100 to +120</t>
        </is>
      </c>
      <c r="AL246" s="2" t="inlineStr">
        <is>
          <t>2025 Validation</t>
        </is>
      </c>
      <c r="AM246" s="6" t="n">
        <v>0.13276152838064</v>
      </c>
    </row>
    <row r="247">
      <c r="A247" s="2" t="inlineStr">
        <is>
          <t>KPROP-00246</t>
        </is>
      </c>
      <c r="B247" s="3" t="n">
        <v>45892.54559027778</v>
      </c>
      <c r="C247" s="3" t="n">
        <v>45892</v>
      </c>
      <c r="D247" s="2" t="inlineStr">
        <is>
          <t>Will Warren</t>
        </is>
      </c>
      <c r="E247" s="2" t="n">
        <v>147</v>
      </c>
      <c r="F247" s="2" t="n">
        <v>111</v>
      </c>
      <c r="G247" s="2" t="inlineStr">
        <is>
          <t>Home</t>
        </is>
      </c>
      <c r="H247" s="2" t="inlineStr">
        <is>
          <t>betmgm</t>
        </is>
      </c>
      <c r="I247" s="4" t="n"/>
      <c r="J247" s="4" t="n"/>
      <c r="K247" s="4" t="n">
        <v>-110</v>
      </c>
      <c r="L247" s="4" t="n">
        <v>-110</v>
      </c>
      <c r="M247" s="5" t="n">
        <v>5.5</v>
      </c>
      <c r="N247" s="5" t="n">
        <v>5.314994705123926</v>
      </c>
      <c r="O247" s="5" t="n">
        <v>5.5</v>
      </c>
      <c r="P247" s="5" t="n">
        <v>0.1850052948760741</v>
      </c>
      <c r="Q247" s="6" t="n">
        <v>0.07074439137361554</v>
      </c>
      <c r="R247" s="6" t="n">
        <v>0.5608661097671319</v>
      </c>
      <c r="S247" s="6" t="n">
        <v>0.5116279069767442</v>
      </c>
      <c r="T247" s="2" t="inlineStr">
        <is>
          <t>Under</t>
        </is>
      </c>
      <c r="U247" s="4" t="n">
        <v>-110</v>
      </c>
      <c r="V247" s="2" t="n">
        <v>1.909090909090909</v>
      </c>
      <c r="W247" s="4" t="n">
        <v>-110</v>
      </c>
      <c r="X247" s="2" t="n">
        <v>1</v>
      </c>
      <c r="Y247" s="5" t="n">
        <v>0.9090909090909092</v>
      </c>
      <c r="Z247" s="7" t="n">
        <v>100</v>
      </c>
      <c r="AA247" s="7">
        <f>Y247*Z247</f>
        <v/>
      </c>
      <c r="AB247" s="6">
        <f>IF(Z247=0,0,AA247/Z247)</f>
        <v/>
      </c>
      <c r="AC247" s="6" t="n"/>
      <c r="AD247" s="2" t="inlineStr">
        <is>
          <t>Win</t>
        </is>
      </c>
      <c r="AE247" s="6">
        <f>IF((COUNTIF($AD$2:AD247,"Win")+COUNTIF($AD$2:AD247,"Loss"))=0,0,COUNTIF($AD$2:AD247,"Win")/(COUNTIF($AD$2:AD247,"Win")+COUNTIF($AD$2:AD247,"Loss")))</f>
        <v/>
      </c>
      <c r="AF247" s="6">
        <f>SUM($Y$2:Y247)/SUM($X$2:X247)</f>
        <v/>
      </c>
      <c r="AG247" s="5">
        <f>SUM($Y$2:Y247)</f>
        <v/>
      </c>
      <c r="AH247" s="7">
        <f>10000.0+SUM($AA$2:AA247)</f>
        <v/>
      </c>
      <c r="AI247" s="2" t="n">
        <v>2025</v>
      </c>
      <c r="AJ247" s="2" t="inlineStr">
        <is>
          <t>2025-08</t>
        </is>
      </c>
      <c r="AK247" s="2" t="inlineStr">
        <is>
          <t>-119 to -101</t>
        </is>
      </c>
      <c r="AL247" s="2" t="inlineStr">
        <is>
          <t>2025 Validation</t>
        </is>
      </c>
      <c r="AM247" s="6" t="n">
        <v>0.0778188305109771</v>
      </c>
    </row>
    <row r="248">
      <c r="A248" s="2" t="inlineStr">
        <is>
          <t>KPROP-00247</t>
        </is>
      </c>
      <c r="B248" s="3" t="n">
        <v>45893.67405092593</v>
      </c>
      <c r="C248" s="3" t="n">
        <v>45893</v>
      </c>
      <c r="D248" s="2" t="inlineStr">
        <is>
          <t>Brady Singer</t>
        </is>
      </c>
      <c r="E248" s="2" t="n">
        <v>113</v>
      </c>
      <c r="F248" s="2" t="n">
        <v>109</v>
      </c>
      <c r="G248" s="2" t="inlineStr">
        <is>
          <t>Away</t>
        </is>
      </c>
      <c r="H248" s="2" t="inlineStr">
        <is>
          <t>betmgm</t>
        </is>
      </c>
      <c r="I248" s="4" t="n"/>
      <c r="J248" s="4" t="n"/>
      <c r="K248" s="4" t="n">
        <v>110</v>
      </c>
      <c r="L248" s="4" t="n">
        <v>110</v>
      </c>
      <c r="M248" s="5" t="n">
        <v>4.5</v>
      </c>
      <c r="N248" s="5" t="n">
        <v>4.18418749595411</v>
      </c>
      <c r="O248" s="5" t="n">
        <v>4.5</v>
      </c>
      <c r="P248" s="5" t="n">
        <v>0.3158125040458897</v>
      </c>
      <c r="Q248" s="6" t="n">
        <v>0.245095196881251</v>
      </c>
      <c r="R248" s="6" t="n">
        <v>0.5929024747053576</v>
      </c>
      <c r="S248" s="6" t="n">
        <v>0.4572564612326044</v>
      </c>
      <c r="T248" s="2" t="inlineStr">
        <is>
          <t>Under</t>
        </is>
      </c>
      <c r="U248" s="4" t="n">
        <v>110</v>
      </c>
      <c r="V248" s="2" t="n">
        <v>2.1</v>
      </c>
      <c r="W248" s="4" t="n">
        <v>110</v>
      </c>
      <c r="X248" s="2" t="n">
        <v>1</v>
      </c>
      <c r="Y248" s="5" t="n">
        <v>-1</v>
      </c>
      <c r="Z248" s="7" t="n">
        <v>100</v>
      </c>
      <c r="AA248" s="7">
        <f>Y248*Z248</f>
        <v/>
      </c>
      <c r="AB248" s="6">
        <f>IF(Z248=0,0,AA248/Z248)</f>
        <v/>
      </c>
      <c r="AC248" s="6" t="n"/>
      <c r="AD248" s="2" t="inlineStr">
        <is>
          <t>Loss</t>
        </is>
      </c>
      <c r="AE248" s="6">
        <f>IF((COUNTIF($AD$2:AD248,"Win")+COUNTIF($AD$2:AD248,"Loss"))=0,0,COUNTIF($AD$2:AD248,"Win")/(COUNTIF($AD$2:AD248,"Win")+COUNTIF($AD$2:AD248,"Loss")))</f>
        <v/>
      </c>
      <c r="AF248" s="6">
        <f>SUM($Y$2:Y248)/SUM($X$2:X248)</f>
        <v/>
      </c>
      <c r="AG248" s="5">
        <f>SUM($Y$2:Y248)</f>
        <v/>
      </c>
      <c r="AH248" s="7">
        <f>10000.0+SUM($AA$2:AA248)</f>
        <v/>
      </c>
      <c r="AI248" s="2" t="n">
        <v>2025</v>
      </c>
      <c r="AJ248" s="2" t="inlineStr">
        <is>
          <t>2025-08</t>
        </is>
      </c>
      <c r="AK248" s="2" t="inlineStr">
        <is>
          <t>+100 to +120</t>
        </is>
      </c>
      <c r="AL248" s="2" t="inlineStr">
        <is>
          <t>2025 Validation</t>
        </is>
      </c>
      <c r="AM248" s="6" t="n">
        <v>0.2228138153465918</v>
      </c>
    </row>
    <row r="249">
      <c r="A249" s="2" t="inlineStr">
        <is>
          <t>KPROP-00248</t>
        </is>
      </c>
      <c r="B249" s="3" t="n">
        <v>45893.56988425926</v>
      </c>
      <c r="C249" s="3" t="n">
        <v>45893</v>
      </c>
      <c r="D249" s="2" t="inlineStr">
        <is>
          <t>Jack Flaherty</t>
        </is>
      </c>
      <c r="E249" s="2" t="n">
        <v>116</v>
      </c>
      <c r="F249" s="2" t="n">
        <v>118</v>
      </c>
      <c r="G249" s="2" t="inlineStr">
        <is>
          <t>Home</t>
        </is>
      </c>
      <c r="H249" s="2" t="inlineStr">
        <is>
          <t>bovada</t>
        </is>
      </c>
      <c r="I249" s="4" t="n"/>
      <c r="J249" s="4" t="n"/>
      <c r="K249" s="4" t="n">
        <v>100</v>
      </c>
      <c r="L249" s="4" t="n">
        <v>100</v>
      </c>
      <c r="M249" s="5" t="n">
        <v>5.5</v>
      </c>
      <c r="N249" s="5" t="n">
        <v>5.267229884750114</v>
      </c>
      <c r="O249" s="5" t="n">
        <v>5.5</v>
      </c>
      <c r="P249" s="5" t="n">
        <v>0.2327701152498856</v>
      </c>
      <c r="Q249" s="6" t="n">
        <v>0.1383580623872076</v>
      </c>
      <c r="R249" s="6" t="n">
        <v>0.5691790311936038</v>
      </c>
      <c r="S249" s="6" t="n">
        <v>0.4862385321100918</v>
      </c>
      <c r="T249" s="2" t="inlineStr">
        <is>
          <t>Under</t>
        </is>
      </c>
      <c r="U249" s="4" t="n">
        <v>100</v>
      </c>
      <c r="V249" s="2" t="n">
        <v>2</v>
      </c>
      <c r="W249" s="4" t="n">
        <v>100</v>
      </c>
      <c r="X249" s="2" t="n">
        <v>1</v>
      </c>
      <c r="Y249" s="5" t="n">
        <v>1</v>
      </c>
      <c r="Z249" s="7" t="n">
        <v>100</v>
      </c>
      <c r="AA249" s="7">
        <f>Y249*Z249</f>
        <v/>
      </c>
      <c r="AB249" s="6">
        <f>IF(Z249=0,0,AA249/Z249)</f>
        <v/>
      </c>
      <c r="AC249" s="6" t="n"/>
      <c r="AD249" s="2" t="inlineStr">
        <is>
          <t>Win</t>
        </is>
      </c>
      <c r="AE249" s="6">
        <f>IF((COUNTIF($AD$2:AD249,"Win")+COUNTIF($AD$2:AD249,"Loss"))=0,0,COUNTIF($AD$2:AD249,"Win")/(COUNTIF($AD$2:AD249,"Win")+COUNTIF($AD$2:AD249,"Loss")))</f>
        <v/>
      </c>
      <c r="AF249" s="6">
        <f>SUM($Y$2:Y249)/SUM($X$2:X249)</f>
        <v/>
      </c>
      <c r="AG249" s="5">
        <f>SUM($Y$2:Y249)</f>
        <v/>
      </c>
      <c r="AH249" s="7">
        <f>10000.0+SUM($AA$2:AA249)</f>
        <v/>
      </c>
      <c r="AI249" s="2" t="n">
        <v>2025</v>
      </c>
      <c r="AJ249" s="2" t="inlineStr">
        <is>
          <t>2025-08</t>
        </is>
      </c>
      <c r="AK249" s="2" t="inlineStr">
        <is>
          <t>+100 to +120</t>
        </is>
      </c>
      <c r="AL249" s="2" t="inlineStr">
        <is>
          <t>2025 Validation</t>
        </is>
      </c>
      <c r="AM249" s="6" t="n">
        <v>0.1383580623872076</v>
      </c>
    </row>
    <row r="250">
      <c r="A250" s="2" t="inlineStr">
        <is>
          <t>KPROP-00249</t>
        </is>
      </c>
      <c r="B250" s="3" t="n">
        <v>45893.67405092593</v>
      </c>
      <c r="C250" s="3" t="n">
        <v>45893</v>
      </c>
      <c r="D250" s="2" t="inlineStr">
        <is>
          <t>Jacob Lopez</t>
        </is>
      </c>
      <c r="E250" s="2" t="n">
        <v>133</v>
      </c>
      <c r="F250" s="2" t="n">
        <v>136</v>
      </c>
      <c r="G250" s="2" t="inlineStr">
        <is>
          <t>Away</t>
        </is>
      </c>
      <c r="H250" s="2" t="inlineStr">
        <is>
          <t>fanatics</t>
        </is>
      </c>
      <c r="I250" s="4" t="n"/>
      <c r="J250" s="4" t="n"/>
      <c r="K250" s="4" t="n">
        <v>-115</v>
      </c>
      <c r="L250" s="4" t="n">
        <v>-115</v>
      </c>
      <c r="M250" s="5" t="n">
        <v>6.5</v>
      </c>
      <c r="N250" s="5" t="n">
        <v>6.013622836990441</v>
      </c>
      <c r="O250" s="5" t="n">
        <v>6.5</v>
      </c>
      <c r="P250" s="5" t="n">
        <v>0.4863771630095588</v>
      </c>
      <c r="Q250" s="6" t="n">
        <v>0.1294317384752456</v>
      </c>
      <c r="R250" s="6" t="n">
        <v>0.6041146508123407</v>
      </c>
      <c r="S250" s="6" t="n">
        <v>0.5230171935662784</v>
      </c>
      <c r="T250" s="2" t="inlineStr">
        <is>
          <t>Under</t>
        </is>
      </c>
      <c r="U250" s="4" t="n">
        <v>-115</v>
      </c>
      <c r="V250" s="2" t="n">
        <v>1.869565217391304</v>
      </c>
      <c r="W250" s="4" t="n">
        <v>-115</v>
      </c>
      <c r="X250" s="2" t="n">
        <v>1</v>
      </c>
      <c r="Y250" s="5" t="n">
        <v>0.8695652173913042</v>
      </c>
      <c r="Z250" s="7" t="n">
        <v>100</v>
      </c>
      <c r="AA250" s="7">
        <f>Y250*Z250</f>
        <v/>
      </c>
      <c r="AB250" s="6">
        <f>IF(Z250=0,0,AA250/Z250)</f>
        <v/>
      </c>
      <c r="AC250" s="6" t="n"/>
      <c r="AD250" s="2" t="inlineStr">
        <is>
          <t>Win</t>
        </is>
      </c>
      <c r="AE250" s="6">
        <f>IF((COUNTIF($AD$2:AD250,"Win")+COUNTIF($AD$2:AD250,"Loss"))=0,0,COUNTIF($AD$2:AD250,"Win")/(COUNTIF($AD$2:AD250,"Win")+COUNTIF($AD$2:AD250,"Loss")))</f>
        <v/>
      </c>
      <c r="AF250" s="6">
        <f>SUM($Y$2:Y250)/SUM($X$2:X250)</f>
        <v/>
      </c>
      <c r="AG250" s="5">
        <f>SUM($Y$2:Y250)</f>
        <v/>
      </c>
      <c r="AH250" s="7">
        <f>10000.0+SUM($AA$2:AA250)</f>
        <v/>
      </c>
      <c r="AI250" s="2" t="n">
        <v>2025</v>
      </c>
      <c r="AJ250" s="2" t="inlineStr">
        <is>
          <t>2025-08</t>
        </is>
      </c>
      <c r="AK250" s="2" t="inlineStr">
        <is>
          <t>-119 to -101</t>
        </is>
      </c>
      <c r="AL250" s="2" t="inlineStr">
        <is>
          <t>2025 Validation</t>
        </is>
      </c>
      <c r="AM250" s="6" t="n">
        <v>0.1488464992465325</v>
      </c>
    </row>
    <row r="251">
      <c r="A251" s="2" t="inlineStr">
        <is>
          <t>KPROP-00250</t>
        </is>
      </c>
      <c r="B251" s="3" t="n">
        <v>45893.56988425926</v>
      </c>
      <c r="C251" s="3" t="n">
        <v>45893</v>
      </c>
      <c r="D251" s="2" t="inlineStr">
        <is>
          <t>Kevin Gausman</t>
        </is>
      </c>
      <c r="E251" s="2" t="n">
        <v>141</v>
      </c>
      <c r="F251" s="2" t="n">
        <v>146</v>
      </c>
      <c r="G251" s="2" t="inlineStr">
        <is>
          <t>Away</t>
        </is>
      </c>
      <c r="H251" s="2" t="inlineStr">
        <is>
          <t>draftkings</t>
        </is>
      </c>
      <c r="I251" s="4" t="n"/>
      <c r="J251" s="4" t="n"/>
      <c r="K251" s="4" t="n">
        <v>-135</v>
      </c>
      <c r="L251" s="4" t="n">
        <v>-135</v>
      </c>
      <c r="M251" s="5" t="n">
        <v>5.5</v>
      </c>
      <c r="N251" s="5" t="n">
        <v>5.005159235564281</v>
      </c>
      <c r="O251" s="5" t="n">
        <v>5.5</v>
      </c>
      <c r="P251" s="5" t="n">
        <v>0.4948407644357191</v>
      </c>
      <c r="Q251" s="6" t="n">
        <v>0.07065195454241169</v>
      </c>
      <c r="R251" s="6" t="n">
        <v>0.6150553781413854</v>
      </c>
      <c r="S251" s="6" t="n">
        <v>0.552594002855783</v>
      </c>
      <c r="T251" s="2" t="inlineStr">
        <is>
          <t>Under</t>
        </is>
      </c>
      <c r="U251" s="4" t="n">
        <v>-135</v>
      </c>
      <c r="V251" s="2" t="n">
        <v>1.740740740740741</v>
      </c>
      <c r="W251" s="4" t="n">
        <v>-135</v>
      </c>
      <c r="X251" s="2" t="n">
        <v>1</v>
      </c>
      <c r="Y251" s="5" t="n">
        <v>-1</v>
      </c>
      <c r="Z251" s="7" t="n">
        <v>100</v>
      </c>
      <c r="AA251" s="7">
        <f>Y251*Z251</f>
        <v/>
      </c>
      <c r="AB251" s="6">
        <f>IF(Z251=0,0,AA251/Z251)</f>
        <v/>
      </c>
      <c r="AC251" s="6" t="n"/>
      <c r="AD251" s="2" t="inlineStr">
        <is>
          <t>Loss</t>
        </is>
      </c>
      <c r="AE251" s="6">
        <f>IF((COUNTIF($AD$2:AD251,"Win")+COUNTIF($AD$2:AD251,"Loss"))=0,0,COUNTIF($AD$2:AD251,"Win")/(COUNTIF($AD$2:AD251,"Win")+COUNTIF($AD$2:AD251,"Loss")))</f>
        <v/>
      </c>
      <c r="AF251" s="6">
        <f>SUM($Y$2:Y251)/SUM($X$2:X251)</f>
        <v/>
      </c>
      <c r="AG251" s="5">
        <f>SUM($Y$2:Y251)</f>
        <v/>
      </c>
      <c r="AH251" s="7">
        <f>10000.0+SUM($AA$2:AA251)</f>
        <v/>
      </c>
      <c r="AI251" s="2" t="n">
        <v>2025</v>
      </c>
      <c r="AJ251" s="2" t="inlineStr">
        <is>
          <t>2025-08</t>
        </is>
      </c>
      <c r="AK251" s="2" t="inlineStr">
        <is>
          <t>-149 to -120</t>
        </is>
      </c>
      <c r="AL251" s="2" t="inlineStr">
        <is>
          <t>2025 Validation</t>
        </is>
      </c>
      <c r="AM251" s="6" t="n">
        <v>0.09538013863225578</v>
      </c>
    </row>
    <row r="252">
      <c r="A252" s="2" t="inlineStr">
        <is>
          <t>KPROP-00251</t>
        </is>
      </c>
      <c r="B252" s="3" t="n">
        <v>45893.67405092593</v>
      </c>
      <c r="C252" s="3" t="n">
        <v>45893</v>
      </c>
      <c r="D252" s="2" t="inlineStr">
        <is>
          <t>Logan Gilbert</t>
        </is>
      </c>
      <c r="E252" s="2" t="n">
        <v>136</v>
      </c>
      <c r="F252" s="2" t="n">
        <v>133</v>
      </c>
      <c r="G252" s="2" t="inlineStr">
        <is>
          <t>Home</t>
        </is>
      </c>
      <c r="H252" s="2" t="inlineStr">
        <is>
          <t>bovada</t>
        </is>
      </c>
      <c r="I252" s="4" t="n"/>
      <c r="J252" s="4" t="n"/>
      <c r="K252" s="4" t="n">
        <v>125</v>
      </c>
      <c r="L252" s="4" t="n">
        <v>125</v>
      </c>
      <c r="M252" s="5" t="n">
        <v>6.5</v>
      </c>
      <c r="N252" s="5" t="n">
        <v>5.613472547850177</v>
      </c>
      <c r="O252" s="5" t="n">
        <v>6.5</v>
      </c>
      <c r="P252" s="5" t="n">
        <v>0.8865274521498234</v>
      </c>
      <c r="Q252" s="6" t="n">
        <v>0.5032762413088081</v>
      </c>
      <c r="R252" s="6" t="n">
        <v>0.6681227739150258</v>
      </c>
      <c r="S252" s="6" t="n">
        <v>0.4288840262582057</v>
      </c>
      <c r="T252" s="2" t="inlineStr">
        <is>
          <t>Under</t>
        </is>
      </c>
      <c r="U252" s="4" t="n">
        <v>125</v>
      </c>
      <c r="V252" s="2" t="n">
        <v>2.25</v>
      </c>
      <c r="W252" s="4" t="n">
        <v>125</v>
      </c>
      <c r="X252" s="2" t="n">
        <v>1</v>
      </c>
      <c r="Y252" s="5" t="n">
        <v>-1</v>
      </c>
      <c r="Z252" s="7" t="n">
        <v>100</v>
      </c>
      <c r="AA252" s="7">
        <f>Y252*Z252</f>
        <v/>
      </c>
      <c r="AB252" s="6">
        <f>IF(Z252=0,0,AA252/Z252)</f>
        <v/>
      </c>
      <c r="AC252" s="6" t="n"/>
      <c r="AD252" s="2" t="inlineStr">
        <is>
          <t>Loss</t>
        </is>
      </c>
      <c r="AE252" s="6">
        <f>IF((COUNTIF($AD$2:AD252,"Win")+COUNTIF($AD$2:AD252,"Loss"))=0,0,COUNTIF($AD$2:AD252,"Win")/(COUNTIF($AD$2:AD252,"Win")+COUNTIF($AD$2:AD252,"Loss")))</f>
        <v/>
      </c>
      <c r="AF252" s="6">
        <f>SUM($Y$2:Y252)/SUM($X$2:X252)</f>
        <v/>
      </c>
      <c r="AG252" s="5">
        <f>SUM($Y$2:Y252)</f>
        <v/>
      </c>
      <c r="AH252" s="7">
        <f>10000.0+SUM($AA$2:AA252)</f>
        <v/>
      </c>
      <c r="AI252" s="2" t="n">
        <v>2025</v>
      </c>
      <c r="AJ252" s="2" t="inlineStr">
        <is>
          <t>2025-08</t>
        </is>
      </c>
      <c r="AK252" s="2" t="inlineStr">
        <is>
          <t>+121 to +150</t>
        </is>
      </c>
      <c r="AL252" s="2" t="inlineStr">
        <is>
          <t>2025 Validation</t>
        </is>
      </c>
      <c r="AM252" s="6" t="n">
        <v>0.4026209930470465</v>
      </c>
    </row>
    <row r="253">
      <c r="A253" s="2" t="inlineStr">
        <is>
          <t>KPROP-00252</t>
        </is>
      </c>
      <c r="B253" s="3" t="n">
        <v>45893.67405092593</v>
      </c>
      <c r="C253" s="3" t="n">
        <v>45893</v>
      </c>
      <c r="D253" s="2" t="inlineStr">
        <is>
          <t>Logan Gilbert</t>
        </is>
      </c>
      <c r="E253" s="2" t="n">
        <v>136</v>
      </c>
      <c r="F253" s="2" t="n">
        <v>133</v>
      </c>
      <c r="G253" s="2" t="inlineStr">
        <is>
          <t>Home</t>
        </is>
      </c>
      <c r="H253" s="2" t="inlineStr">
        <is>
          <t>betrivers</t>
        </is>
      </c>
      <c r="I253" s="4" t="n"/>
      <c r="J253" s="4" t="n"/>
      <c r="K253" s="4" t="n">
        <v>-167</v>
      </c>
      <c r="L253" s="4" t="n">
        <v>-167</v>
      </c>
      <c r="M253" s="5" t="n">
        <v>7.5</v>
      </c>
      <c r="N253" s="5" t="n">
        <v>5.613472547850177</v>
      </c>
      <c r="O253" s="5" t="n">
        <v>7.5</v>
      </c>
      <c r="P253" s="5" t="n">
        <v>1.886527452149823</v>
      </c>
      <c r="Q253" s="6" t="n">
        <v>0.2714719249660695</v>
      </c>
      <c r="R253" s="6" t="n">
        <v>0.7952652114956316</v>
      </c>
      <c r="S253" s="6" t="n">
        <v>0.5791298865069356</v>
      </c>
      <c r="T253" s="2" t="inlineStr">
        <is>
          <t>Under</t>
        </is>
      </c>
      <c r="U253" s="4" t="n">
        <v>-167</v>
      </c>
      <c r="V253" s="2" t="n">
        <v>1.598802395209581</v>
      </c>
      <c r="W253" s="4" t="n">
        <v>-167</v>
      </c>
      <c r="X253" s="2" t="n">
        <v>1</v>
      </c>
      <c r="Y253" s="5" t="n">
        <v>-1</v>
      </c>
      <c r="Z253" s="7" t="n">
        <v>100</v>
      </c>
      <c r="AA253" s="7">
        <f>Y253*Z253</f>
        <v/>
      </c>
      <c r="AB253" s="6">
        <f>IF(Z253=0,0,AA253/Z253)</f>
        <v/>
      </c>
      <c r="AC253" s="6" t="n"/>
      <c r="AD253" s="2" t="inlineStr">
        <is>
          <t>Loss</t>
        </is>
      </c>
      <c r="AE253" s="6">
        <f>IF((COUNTIF($AD$2:AD253,"Win")+COUNTIF($AD$2:AD253,"Loss"))=0,0,COUNTIF($AD$2:AD253,"Win")/(COUNTIF($AD$2:AD253,"Win")+COUNTIF($AD$2:AD253,"Loss")))</f>
        <v/>
      </c>
      <c r="AF253" s="6">
        <f>SUM($Y$2:Y253)/SUM($X$2:X253)</f>
        <v/>
      </c>
      <c r="AG253" s="5">
        <f>SUM($Y$2:Y253)</f>
        <v/>
      </c>
      <c r="AH253" s="7">
        <f>10000.0+SUM($AA$2:AA253)</f>
        <v/>
      </c>
      <c r="AI253" s="2" t="n">
        <v>2025</v>
      </c>
      <c r="AJ253" s="2" t="inlineStr">
        <is>
          <t>2025-08</t>
        </is>
      </c>
      <c r="AK253" s="2" t="inlineStr">
        <is>
          <t>&lt;= -150</t>
        </is>
      </c>
      <c r="AL253" s="2" t="inlineStr">
        <is>
          <t>2025 Validation</t>
        </is>
      </c>
      <c r="AM253" s="6" t="n">
        <v>0.4533581146933361</v>
      </c>
    </row>
    <row r="254">
      <c r="A254" s="2" t="inlineStr">
        <is>
          <t>KPROP-00253</t>
        </is>
      </c>
      <c r="B254" s="3" t="n">
        <v>45893.50739583333</v>
      </c>
      <c r="C254" s="3" t="n">
        <v>45893</v>
      </c>
      <c r="D254" s="2" t="inlineStr">
        <is>
          <t>Matthew Liberatore</t>
        </is>
      </c>
      <c r="E254" s="2" t="n">
        <v>138</v>
      </c>
      <c r="F254" s="2" t="n">
        <v>139</v>
      </c>
      <c r="G254" s="2" t="inlineStr">
        <is>
          <t>Away</t>
        </is>
      </c>
      <c r="H254" s="2" t="inlineStr">
        <is>
          <t>bovada</t>
        </is>
      </c>
      <c r="I254" s="4" t="n"/>
      <c r="J254" s="4" t="n"/>
      <c r="K254" s="4" t="n">
        <v>-130</v>
      </c>
      <c r="L254" s="4" t="n">
        <v>-130</v>
      </c>
      <c r="M254" s="5" t="n">
        <v>4.5</v>
      </c>
      <c r="N254" s="5" t="n">
        <v>3.665444478216291</v>
      </c>
      <c r="O254" s="5" t="n">
        <v>4.5</v>
      </c>
      <c r="P254" s="5" t="n">
        <v>0.8345555217837086</v>
      </c>
      <c r="Q254" s="6" t="n">
        <v>0.227635862418568</v>
      </c>
      <c r="R254" s="6" t="n">
        <v>0.6938811396278863</v>
      </c>
      <c r="S254" s="6" t="n">
        <v>0.5427435387673957</v>
      </c>
      <c r="T254" s="2" t="inlineStr">
        <is>
          <t>Under</t>
        </is>
      </c>
      <c r="U254" s="4" t="n">
        <v>-130</v>
      </c>
      <c r="V254" s="2" t="n">
        <v>1.769230769230769</v>
      </c>
      <c r="W254" s="4" t="n">
        <v>-130</v>
      </c>
      <c r="X254" s="2" t="n">
        <v>1</v>
      </c>
      <c r="Y254" s="5" t="n">
        <v>-1</v>
      </c>
      <c r="Z254" s="7" t="n">
        <v>100</v>
      </c>
      <c r="AA254" s="7">
        <f>Y254*Z254</f>
        <v/>
      </c>
      <c r="AB254" s="6">
        <f>IF(Z254=0,0,AA254/Z254)</f>
        <v/>
      </c>
      <c r="AC254" s="6" t="n"/>
      <c r="AD254" s="2" t="inlineStr">
        <is>
          <t>Loss</t>
        </is>
      </c>
      <c r="AE254" s="6">
        <f>IF((COUNTIF($AD$2:AD254,"Win")+COUNTIF($AD$2:AD254,"Loss"))=0,0,COUNTIF($AD$2:AD254,"Win")/(COUNTIF($AD$2:AD254,"Win")+COUNTIF($AD$2:AD254,"Loss")))</f>
        <v/>
      </c>
      <c r="AF254" s="6">
        <f>SUM($Y$2:Y254)/SUM($X$2:X254)</f>
        <v/>
      </c>
      <c r="AG254" s="5">
        <f>SUM($Y$2:Y254)</f>
        <v/>
      </c>
      <c r="AH254" s="7">
        <f>10000.0+SUM($AA$2:AA254)</f>
        <v/>
      </c>
      <c r="AI254" s="2" t="n">
        <v>2025</v>
      </c>
      <c r="AJ254" s="2" t="inlineStr">
        <is>
          <t>2025-08</t>
        </is>
      </c>
      <c r="AK254" s="2" t="inlineStr">
        <is>
          <t>-149 to -120</t>
        </is>
      </c>
      <c r="AL254" s="2" t="inlineStr">
        <is>
          <t>2025 Validation</t>
        </is>
      </c>
      <c r="AM254" s="6" t="n">
        <v>0.2959266211441385</v>
      </c>
    </row>
    <row r="255">
      <c r="A255" s="2" t="inlineStr">
        <is>
          <t>KPROP-00254</t>
        </is>
      </c>
      <c r="B255" s="3" t="n">
        <v>45893.60809027778</v>
      </c>
      <c r="C255" s="3" t="n">
        <v>45893</v>
      </c>
      <c r="D255" s="2" t="inlineStr">
        <is>
          <t>Merrill Kelly</t>
        </is>
      </c>
      <c r="E255" s="2" t="n">
        <v>140</v>
      </c>
      <c r="F255" s="2" t="n">
        <v>114</v>
      </c>
      <c r="G255" s="2" t="inlineStr">
        <is>
          <t>Home</t>
        </is>
      </c>
      <c r="H255" s="2" t="inlineStr">
        <is>
          <t>betonlineag</t>
        </is>
      </c>
      <c r="I255" s="4" t="n"/>
      <c r="J255" s="4" t="n"/>
      <c r="K255" s="4" t="n">
        <v>141</v>
      </c>
      <c r="L255" s="4" t="n">
        <v>141</v>
      </c>
      <c r="M255" s="5" t="n">
        <v>4.5</v>
      </c>
      <c r="N255" s="5" t="n">
        <v>4.891884247385573</v>
      </c>
      <c r="O255" s="5" t="n">
        <v>4.5</v>
      </c>
      <c r="P255" s="5" t="n">
        <v>-0.3918842473855726</v>
      </c>
      <c r="Q255" s="6" t="n">
        <v>0.1077916571209935</v>
      </c>
      <c r="R255" s="6" t="n">
        <v>0.4596645880170097</v>
      </c>
      <c r="S255" s="6" t="n">
        <v>0.4121456808814871</v>
      </c>
      <c r="T255" s="2" t="inlineStr">
        <is>
          <t>Under</t>
        </is>
      </c>
      <c r="U255" s="4" t="n">
        <v>141</v>
      </c>
      <c r="V255" s="2" t="n">
        <v>2.41</v>
      </c>
      <c r="W255" s="4" t="n">
        <v>141</v>
      </c>
      <c r="X255" s="2" t="n">
        <v>1</v>
      </c>
      <c r="Y255" s="5" t="n">
        <v>-1</v>
      </c>
      <c r="Z255" s="7" t="n">
        <v>100</v>
      </c>
      <c r="AA255" s="7">
        <f>Y255*Z255</f>
        <v/>
      </c>
      <c r="AB255" s="6">
        <f>IF(Z255=0,0,AA255/Z255)</f>
        <v/>
      </c>
      <c r="AC255" s="6" t="n"/>
      <c r="AD255" s="2" t="inlineStr">
        <is>
          <t>Loss</t>
        </is>
      </c>
      <c r="AE255" s="6">
        <f>IF((COUNTIF($AD$2:AD255,"Win")+COUNTIF($AD$2:AD255,"Loss"))=0,0,COUNTIF($AD$2:AD255,"Win")/(COUNTIF($AD$2:AD255,"Win")+COUNTIF($AD$2:AD255,"Loss")))</f>
        <v/>
      </c>
      <c r="AF255" s="6">
        <f>SUM($Y$2:Y255)/SUM($X$2:X255)</f>
        <v/>
      </c>
      <c r="AG255" s="5">
        <f>SUM($Y$2:Y255)</f>
        <v/>
      </c>
      <c r="AH255" s="7">
        <f>10000.0+SUM($AA$2:AA255)</f>
        <v/>
      </c>
      <c r="AI255" s="2" t="n">
        <v>2025</v>
      </c>
      <c r="AJ255" s="2" t="inlineStr">
        <is>
          <t>2025-08</t>
        </is>
      </c>
      <c r="AK255" s="2" t="inlineStr">
        <is>
          <t>+121 to +150</t>
        </is>
      </c>
      <c r="AL255" s="2" t="inlineStr">
        <is>
          <t>2025 Validation</t>
        </is>
      </c>
      <c r="AM255" s="6" t="n">
        <v>0.07644798377375424</v>
      </c>
    </row>
    <row r="256">
      <c r="A256" s="2" t="inlineStr">
        <is>
          <t>KPROP-00255</t>
        </is>
      </c>
      <c r="B256" s="3" t="n">
        <v>45893.50391203703</v>
      </c>
      <c r="C256" s="3" t="n">
        <v>45893</v>
      </c>
      <c r="D256" s="2" t="inlineStr">
        <is>
          <t>Paul Skenes</t>
        </is>
      </c>
      <c r="E256" s="2" t="n">
        <v>134</v>
      </c>
      <c r="F256" s="2" t="n">
        <v>115</v>
      </c>
      <c r="G256" s="2" t="inlineStr">
        <is>
          <t>Home</t>
        </is>
      </c>
      <c r="H256" s="2" t="inlineStr">
        <is>
          <t>draftkings</t>
        </is>
      </c>
      <c r="I256" s="4" t="n"/>
      <c r="J256" s="4" t="n"/>
      <c r="K256" s="4" t="n">
        <v>120</v>
      </c>
      <c r="L256" s="4" t="n">
        <v>120</v>
      </c>
      <c r="M256" s="5" t="n">
        <v>7.5</v>
      </c>
      <c r="N256" s="5" t="n">
        <v>7.747973549157048</v>
      </c>
      <c r="O256" s="5" t="n">
        <v>7.5</v>
      </c>
      <c r="P256" s="5" t="n">
        <v>-0.2479735491570478</v>
      </c>
      <c r="Q256" s="6" t="n">
        <v>0.07504754421814308</v>
      </c>
      <c r="R256" s="6" t="n">
        <v>0.4886579746446105</v>
      </c>
      <c r="S256" s="6" t="n">
        <v>0.4425113464447806</v>
      </c>
      <c r="T256" s="2" t="inlineStr">
        <is>
          <t>Under</t>
        </is>
      </c>
      <c r="U256" s="4" t="n">
        <v>120</v>
      </c>
      <c r="V256" s="2" t="n">
        <v>2.2</v>
      </c>
      <c r="W256" s="4" t="n">
        <v>120</v>
      </c>
      <c r="X256" s="2" t="n">
        <v>1</v>
      </c>
      <c r="Y256" s="5" t="n">
        <v>1.2</v>
      </c>
      <c r="Z256" s="7" t="n">
        <v>100</v>
      </c>
      <c r="AA256" s="7">
        <f>Y256*Z256</f>
        <v/>
      </c>
      <c r="AB256" s="6">
        <f>IF(Z256=0,0,AA256/Z256)</f>
        <v/>
      </c>
      <c r="AC256" s="6" t="n"/>
      <c r="AD256" s="2" t="inlineStr">
        <is>
          <t>Win</t>
        </is>
      </c>
      <c r="AE256" s="6">
        <f>IF((COUNTIF($AD$2:AD256,"Win")+COUNTIF($AD$2:AD256,"Loss"))=0,0,COUNTIF($AD$2:AD256,"Win")/(COUNTIF($AD$2:AD256,"Win")+COUNTIF($AD$2:AD256,"Loss")))</f>
        <v/>
      </c>
      <c r="AF256" s="6">
        <f>SUM($Y$2:Y256)/SUM($X$2:X256)</f>
        <v/>
      </c>
      <c r="AG256" s="5">
        <f>SUM($Y$2:Y256)</f>
        <v/>
      </c>
      <c r="AH256" s="7">
        <f>10000.0+SUM($AA$2:AA256)</f>
        <v/>
      </c>
      <c r="AI256" s="2" t="n">
        <v>2025</v>
      </c>
      <c r="AJ256" s="2" t="inlineStr">
        <is>
          <t>2025-08</t>
        </is>
      </c>
      <c r="AK256" s="2" t="inlineStr">
        <is>
          <t>+100 to +120</t>
        </is>
      </c>
      <c r="AL256" s="2" t="inlineStr">
        <is>
          <t>2025 Validation</t>
        </is>
      </c>
      <c r="AM256" s="6" t="n">
        <v>0.0625396201817859</v>
      </c>
    </row>
    <row r="257">
      <c r="A257" s="2" t="inlineStr">
        <is>
          <t>KPROP-00256</t>
        </is>
      </c>
      <c r="B257" s="3" t="n">
        <v>45893.56642361111</v>
      </c>
      <c r="C257" s="3" t="n">
        <v>45893</v>
      </c>
      <c r="D257" s="2" t="inlineStr">
        <is>
          <t>Ranger Suarez</t>
        </is>
      </c>
      <c r="E257" s="2" t="n">
        <v>143</v>
      </c>
      <c r="F257" s="2" t="n">
        <v>120</v>
      </c>
      <c r="G257" s="2" t="inlineStr">
        <is>
          <t>Home</t>
        </is>
      </c>
      <c r="H257" s="2" t="inlineStr">
        <is>
          <t>draftkings</t>
        </is>
      </c>
      <c r="I257" s="4" t="n"/>
      <c r="J257" s="4" t="n"/>
      <c r="K257" s="4" t="n">
        <v>-125</v>
      </c>
      <c r="L257" s="4" t="n">
        <v>-125</v>
      </c>
      <c r="M257" s="5" t="n">
        <v>6.5</v>
      </c>
      <c r="N257" s="5" t="n">
        <v>5.165604015444984</v>
      </c>
      <c r="O257" s="5" t="n">
        <v>6.5</v>
      </c>
      <c r="P257" s="5" t="n">
        <v>1.334395984555016</v>
      </c>
      <c r="Q257" s="6" t="n">
        <v>0.3276613997363763</v>
      </c>
      <c r="R257" s="6" t="n">
        <v>0.7375896665202091</v>
      </c>
      <c r="S257" s="6" t="n">
        <v>0.5384615384615385</v>
      </c>
      <c r="T257" s="2" t="inlineStr">
        <is>
          <t>Under</t>
        </is>
      </c>
      <c r="U257" s="4" t="n">
        <v>-125</v>
      </c>
      <c r="V257" s="2" t="n">
        <v>1.8</v>
      </c>
      <c r="W257" s="4" t="n">
        <v>-125</v>
      </c>
      <c r="X257" s="2" t="n">
        <v>1</v>
      </c>
      <c r="Y257" s="5" t="n">
        <v>-1</v>
      </c>
      <c r="Z257" s="7" t="n">
        <v>100</v>
      </c>
      <c r="AA257" s="7">
        <f>Y257*Z257</f>
        <v/>
      </c>
      <c r="AB257" s="6">
        <f>IF(Z257=0,0,AA257/Z257)</f>
        <v/>
      </c>
      <c r="AC257" s="6" t="n"/>
      <c r="AD257" s="2" t="inlineStr">
        <is>
          <t>Loss</t>
        </is>
      </c>
      <c r="AE257" s="6">
        <f>IF((COUNTIF($AD$2:AD257,"Win")+COUNTIF($AD$2:AD257,"Loss"))=0,0,COUNTIF($AD$2:AD257,"Win")/(COUNTIF($AD$2:AD257,"Win")+COUNTIF($AD$2:AD257,"Loss")))</f>
        <v/>
      </c>
      <c r="AF257" s="6">
        <f>SUM($Y$2:Y257)/SUM($X$2:X257)</f>
        <v/>
      </c>
      <c r="AG257" s="5">
        <f>SUM($Y$2:Y257)</f>
        <v/>
      </c>
      <c r="AH257" s="7">
        <f>10000.0+SUM($AA$2:AA257)</f>
        <v/>
      </c>
      <c r="AI257" s="2" t="n">
        <v>2025</v>
      </c>
      <c r="AJ257" s="2" t="inlineStr">
        <is>
          <t>2025-08</t>
        </is>
      </c>
      <c r="AK257" s="2" t="inlineStr">
        <is>
          <t>-149 to -120</t>
        </is>
      </c>
      <c r="AL257" s="2" t="inlineStr">
        <is>
          <t>2025 Validation</t>
        </is>
      </c>
      <c r="AM257" s="6" t="n">
        <v>0.4095767496704704</v>
      </c>
    </row>
    <row r="258">
      <c r="A258" s="2" t="inlineStr">
        <is>
          <t>KPROP-00257</t>
        </is>
      </c>
      <c r="B258" s="3" t="n">
        <v>45893.58724537037</v>
      </c>
      <c r="C258" s="3" t="n">
        <v>45893</v>
      </c>
      <c r="D258" s="2" t="inlineStr">
        <is>
          <t>Robbie Ray</t>
        </is>
      </c>
      <c r="E258" s="2" t="n">
        <v>137</v>
      </c>
      <c r="F258" s="2" t="n">
        <v>158</v>
      </c>
      <c r="G258" s="2" t="inlineStr">
        <is>
          <t>Away</t>
        </is>
      </c>
      <c r="H258" s="2" t="inlineStr">
        <is>
          <t>betmgm</t>
        </is>
      </c>
      <c r="I258" s="4" t="n"/>
      <c r="J258" s="4" t="n"/>
      <c r="K258" s="4" t="n">
        <v>115</v>
      </c>
      <c r="L258" s="4" t="n">
        <v>115</v>
      </c>
      <c r="M258" s="5" t="n">
        <v>5.5</v>
      </c>
      <c r="N258" s="5" t="n">
        <v>5.325644287156472</v>
      </c>
      <c r="O258" s="5" t="n">
        <v>5.5</v>
      </c>
      <c r="P258" s="5" t="n">
        <v>0.1743557128435285</v>
      </c>
      <c r="Q258" s="6" t="n">
        <v>0.2018838812524927</v>
      </c>
      <c r="R258" s="6" t="n">
        <v>0.5590157587220896</v>
      </c>
      <c r="S258" s="6" t="n">
        <v>0.44362292051756</v>
      </c>
      <c r="T258" s="2" t="inlineStr">
        <is>
          <t>Under</t>
        </is>
      </c>
      <c r="U258" s="4" t="n">
        <v>115</v>
      </c>
      <c r="V258" s="2" t="n">
        <v>2.15</v>
      </c>
      <c r="W258" s="4" t="n">
        <v>115</v>
      </c>
      <c r="X258" s="2" t="n">
        <v>1</v>
      </c>
      <c r="Y258" s="5" t="n">
        <v>1.15</v>
      </c>
      <c r="Z258" s="7" t="n">
        <v>100</v>
      </c>
      <c r="AA258" s="7">
        <f>Y258*Z258</f>
        <v/>
      </c>
      <c r="AB258" s="6">
        <f>IF(Z258=0,0,AA258/Z258)</f>
        <v/>
      </c>
      <c r="AC258" s="6" t="n"/>
      <c r="AD258" s="2" t="inlineStr">
        <is>
          <t>Win</t>
        </is>
      </c>
      <c r="AE258" s="6">
        <f>IF((COUNTIF($AD$2:AD258,"Win")+COUNTIF($AD$2:AD258,"Loss"))=0,0,COUNTIF($AD$2:AD258,"Win")/(COUNTIF($AD$2:AD258,"Win")+COUNTIF($AD$2:AD258,"Loss")))</f>
        <v/>
      </c>
      <c r="AF258" s="6">
        <f>SUM($Y$2:Y258)/SUM($X$2:X258)</f>
        <v/>
      </c>
      <c r="AG258" s="5">
        <f>SUM($Y$2:Y258)</f>
        <v/>
      </c>
      <c r="AH258" s="7">
        <f>10000.0+SUM($AA$2:AA258)</f>
        <v/>
      </c>
      <c r="AI258" s="2" t="n">
        <v>2025</v>
      </c>
      <c r="AJ258" s="2" t="inlineStr">
        <is>
          <t>2025-08</t>
        </is>
      </c>
      <c r="AK258" s="2" t="inlineStr">
        <is>
          <t>+100 to +120</t>
        </is>
      </c>
      <c r="AL258" s="2" t="inlineStr">
        <is>
          <t>2025 Validation</t>
        </is>
      </c>
      <c r="AM258" s="6" t="n">
        <v>0.1755512010891241</v>
      </c>
    </row>
    <row r="259">
      <c r="A259" s="2" t="inlineStr">
        <is>
          <t>KPROP-00258</t>
        </is>
      </c>
      <c r="B259" s="3" t="n">
        <v>45893.56988425926</v>
      </c>
      <c r="C259" s="3" t="n">
        <v>45893</v>
      </c>
      <c r="D259" s="2" t="inlineStr">
        <is>
          <t>Seth Lugo</t>
        </is>
      </c>
      <c r="E259" s="2" t="n">
        <v>118</v>
      </c>
      <c r="F259" s="2" t="n">
        <v>116</v>
      </c>
      <c r="G259" s="2" t="inlineStr">
        <is>
          <t>Away</t>
        </is>
      </c>
      <c r="H259" s="2" t="inlineStr">
        <is>
          <t>betonlineag</t>
        </is>
      </c>
      <c r="I259" s="4" t="n"/>
      <c r="J259" s="4" t="n"/>
      <c r="K259" s="4" t="n">
        <v>128</v>
      </c>
      <c r="L259" s="4" t="n">
        <v>128</v>
      </c>
      <c r="M259" s="5" t="n">
        <v>4.5</v>
      </c>
      <c r="N259" s="5" t="n">
        <v>4.586034685616952</v>
      </c>
      <c r="O259" s="5" t="n">
        <v>4.5</v>
      </c>
      <c r="P259" s="5" t="n">
        <v>-0.08603468561695227</v>
      </c>
      <c r="Q259" s="6" t="n">
        <v>0.176149981105438</v>
      </c>
      <c r="R259" s="6" t="n">
        <v>0.5158552548708061</v>
      </c>
      <c r="S259" s="6" t="n">
        <v>0.4256428075052119</v>
      </c>
      <c r="T259" s="2" t="inlineStr">
        <is>
          <t>Under</t>
        </is>
      </c>
      <c r="U259" s="4" t="n">
        <v>128</v>
      </c>
      <c r="V259" s="2" t="n">
        <v>2.28</v>
      </c>
      <c r="W259" s="4" t="n">
        <v>128</v>
      </c>
      <c r="X259" s="2" t="n">
        <v>1</v>
      </c>
      <c r="Y259" s="5" t="n">
        <v>-1</v>
      </c>
      <c r="Z259" s="7" t="n">
        <v>100</v>
      </c>
      <c r="AA259" s="7">
        <f>Y259*Z259</f>
        <v/>
      </c>
      <c r="AB259" s="6">
        <f>IF(Z259=0,0,AA259/Z259)</f>
        <v/>
      </c>
      <c r="AC259" s="6" t="n"/>
      <c r="AD259" s="2" t="inlineStr">
        <is>
          <t>Loss</t>
        </is>
      </c>
      <c r="AE259" s="6">
        <f>IF((COUNTIF($AD$2:AD259,"Win")+COUNTIF($AD$2:AD259,"Loss"))=0,0,COUNTIF($AD$2:AD259,"Win")/(COUNTIF($AD$2:AD259,"Win")+COUNTIF($AD$2:AD259,"Loss")))</f>
        <v/>
      </c>
      <c r="AF259" s="6">
        <f>SUM($Y$2:Y259)/SUM($X$2:X259)</f>
        <v/>
      </c>
      <c r="AG259" s="5">
        <f>SUM($Y$2:Y259)</f>
        <v/>
      </c>
      <c r="AH259" s="7">
        <f>10000.0+SUM($AA$2:AA259)</f>
        <v/>
      </c>
      <c r="AI259" s="2" t="n">
        <v>2025</v>
      </c>
      <c r="AJ259" s="2" t="inlineStr">
        <is>
          <t>2025-08</t>
        </is>
      </c>
      <c r="AK259" s="2" t="inlineStr">
        <is>
          <t>+121 to +150</t>
        </is>
      </c>
      <c r="AL259" s="2" t="inlineStr">
        <is>
          <t>2025 Validation</t>
        </is>
      </c>
      <c r="AM259" s="6" t="n">
        <v>0.1376171727386234</v>
      </c>
    </row>
    <row r="260">
      <c r="A260" s="2" t="inlineStr">
        <is>
          <t>KPROP-00259</t>
        </is>
      </c>
      <c r="B260" s="3" t="n">
        <v>45893.67405092593</v>
      </c>
      <c r="C260" s="3" t="n">
        <v>45893</v>
      </c>
      <c r="D260" s="2" t="inlineStr">
        <is>
          <t>Zac Gallen</t>
        </is>
      </c>
      <c r="E260" s="2" t="n">
        <v>109</v>
      </c>
      <c r="F260" s="2" t="n">
        <v>113</v>
      </c>
      <c r="G260" s="2" t="inlineStr">
        <is>
          <t>Home</t>
        </is>
      </c>
      <c r="H260" s="2" t="inlineStr">
        <is>
          <t>draftkings</t>
        </is>
      </c>
      <c r="I260" s="4" t="n"/>
      <c r="J260" s="4" t="n"/>
      <c r="K260" s="4" t="n">
        <v>125</v>
      </c>
      <c r="L260" s="4" t="n">
        <v>125</v>
      </c>
      <c r="M260" s="5" t="n">
        <v>4.5</v>
      </c>
      <c r="N260" s="5" t="n">
        <v>4.6439556162283</v>
      </c>
      <c r="O260" s="5" t="n">
        <v>4.5</v>
      </c>
      <c r="P260" s="5" t="n">
        <v>-0.1439556162283004</v>
      </c>
      <c r="Q260" s="6" t="n">
        <v>0.1362841689267802</v>
      </c>
      <c r="R260" s="6" t="n">
        <v>0.5050151861896801</v>
      </c>
      <c r="S260" s="6" t="n">
        <v>0.4255319148936171</v>
      </c>
      <c r="T260" s="2" t="inlineStr">
        <is>
          <t>Under</t>
        </is>
      </c>
      <c r="U260" s="4" t="n">
        <v>125</v>
      </c>
      <c r="V260" s="2" t="n">
        <v>2.25</v>
      </c>
      <c r="W260" s="4" t="n">
        <v>125</v>
      </c>
      <c r="X260" s="2" t="n">
        <v>1</v>
      </c>
      <c r="Y260" s="5" t="n">
        <v>-1</v>
      </c>
      <c r="Z260" s="7" t="n">
        <v>100</v>
      </c>
      <c r="AA260" s="7">
        <f>Y260*Z260</f>
        <v/>
      </c>
      <c r="AB260" s="6">
        <f>IF(Z260=0,0,AA260/Z260)</f>
        <v/>
      </c>
      <c r="AC260" s="6" t="n"/>
      <c r="AD260" s="2" t="inlineStr">
        <is>
          <t>Loss</t>
        </is>
      </c>
      <c r="AE260" s="6">
        <f>IF((COUNTIF($AD$2:AD260,"Win")+COUNTIF($AD$2:AD260,"Loss"))=0,0,COUNTIF($AD$2:AD260,"Win")/(COUNTIF($AD$2:AD260,"Win")+COUNTIF($AD$2:AD260,"Loss")))</f>
        <v/>
      </c>
      <c r="AF260" s="6">
        <f>SUM($Y$2:Y260)/SUM($X$2:X260)</f>
        <v/>
      </c>
      <c r="AG260" s="5">
        <f>SUM($Y$2:Y260)</f>
        <v/>
      </c>
      <c r="AH260" s="7">
        <f>10000.0+SUM($AA$2:AA260)</f>
        <v/>
      </c>
      <c r="AI260" s="2" t="n">
        <v>2025</v>
      </c>
      <c r="AJ260" s="2" t="inlineStr">
        <is>
          <t>2025-08</t>
        </is>
      </c>
      <c r="AK260" s="2" t="inlineStr">
        <is>
          <t>+121 to +150</t>
        </is>
      </c>
      <c r="AL260" s="2" t="inlineStr">
        <is>
          <t>2025 Validation</t>
        </is>
      </c>
      <c r="AM260" s="6" t="n">
        <v>0.1090273351414242</v>
      </c>
    </row>
    <row r="261">
      <c r="A261" s="2" t="inlineStr">
        <is>
          <t>KPROP-00260</t>
        </is>
      </c>
      <c r="B261" s="3" t="n">
        <v>45894.81642361111</v>
      </c>
      <c r="C261" s="3" t="n">
        <v>45894</v>
      </c>
      <c r="D261" s="2" t="inlineStr">
        <is>
          <t>Brandon Woodruff</t>
        </is>
      </c>
      <c r="E261" s="2" t="n">
        <v>158</v>
      </c>
      <c r="F261" s="2" t="n">
        <v>109</v>
      </c>
      <c r="G261" s="2" t="inlineStr">
        <is>
          <t>Home</t>
        </is>
      </c>
      <c r="H261" s="2" t="inlineStr">
        <is>
          <t>betrivers</t>
        </is>
      </c>
      <c r="I261" s="4" t="n"/>
      <c r="J261" s="4" t="n"/>
      <c r="K261" s="4" t="n">
        <v>130</v>
      </c>
      <c r="L261" s="4" t="n">
        <v>130</v>
      </c>
      <c r="M261" s="5" t="n">
        <v>5.5</v>
      </c>
      <c r="N261" s="5" t="n">
        <v>5.501401776462046</v>
      </c>
      <c r="O261" s="5" t="n">
        <v>5.5</v>
      </c>
      <c r="P261" s="5" t="n">
        <v>-0.0014017764620462</v>
      </c>
      <c r="Q261" s="6" t="n">
        <v>0.2159604037261833</v>
      </c>
      <c r="R261" s="6" t="n">
        <v>0.5286784364026884</v>
      </c>
      <c r="S261" s="6" t="n">
        <v>0.4025121324578932</v>
      </c>
      <c r="T261" s="2" t="inlineStr">
        <is>
          <t>Under</t>
        </is>
      </c>
      <c r="U261" s="4" t="n">
        <v>130</v>
      </c>
      <c r="V261" s="2" t="n">
        <v>2.3</v>
      </c>
      <c r="W261" s="4" t="n">
        <v>130</v>
      </c>
      <c r="X261" s="2" t="n">
        <v>1</v>
      </c>
      <c r="Y261" s="5" t="n">
        <v>-1</v>
      </c>
      <c r="Z261" s="7" t="n">
        <v>100</v>
      </c>
      <c r="AA261" s="7">
        <f>Y261*Z261</f>
        <v/>
      </c>
      <c r="AB261" s="6">
        <f>IF(Z261=0,0,AA261/Z261)</f>
        <v/>
      </c>
      <c r="AC261" s="6" t="n"/>
      <c r="AD261" s="2" t="inlineStr">
        <is>
          <t>Loss</t>
        </is>
      </c>
      <c r="AE261" s="6">
        <f>IF((COUNTIF($AD$2:AD261,"Win")+COUNTIF($AD$2:AD261,"Loss"))=0,0,COUNTIF($AD$2:AD261,"Win")/(COUNTIF($AD$2:AD261,"Win")+COUNTIF($AD$2:AD261,"Loss")))</f>
        <v/>
      </c>
      <c r="AF261" s="6">
        <f>SUM($Y$2:Y261)/SUM($X$2:X261)</f>
        <v/>
      </c>
      <c r="AG261" s="5">
        <f>SUM($Y$2:Y261)</f>
        <v/>
      </c>
      <c r="AH261" s="7">
        <f>10000.0+SUM($AA$2:AA261)</f>
        <v/>
      </c>
      <c r="AI261" s="2" t="n">
        <v>2025</v>
      </c>
      <c r="AJ261" s="2" t="inlineStr">
        <is>
          <t>2025-08</t>
        </is>
      </c>
      <c r="AK261" s="2" t="inlineStr">
        <is>
          <t>+121 to +150</t>
        </is>
      </c>
      <c r="AL261" s="2" t="inlineStr">
        <is>
          <t>2025 Validation</t>
        </is>
      </c>
      <c r="AM261" s="6" t="n">
        <v>0.1661233874816795</v>
      </c>
    </row>
    <row r="262">
      <c r="A262" s="2" t="inlineStr">
        <is>
          <t>KPROP-00261</t>
        </is>
      </c>
      <c r="B262" s="3" t="n">
        <v>45894.81642361111</v>
      </c>
      <c r="C262" s="3" t="n">
        <v>45894</v>
      </c>
      <c r="D262" s="2" t="inlineStr">
        <is>
          <t>Brandon Woodruff</t>
        </is>
      </c>
      <c r="E262" s="2" t="n">
        <v>158</v>
      </c>
      <c r="F262" s="2" t="n">
        <v>109</v>
      </c>
      <c r="G262" s="2" t="inlineStr">
        <is>
          <t>Home</t>
        </is>
      </c>
      <c r="H262" s="2" t="inlineStr">
        <is>
          <t>draftkings</t>
        </is>
      </c>
      <c r="I262" s="4" t="n"/>
      <c r="J262" s="4" t="n"/>
      <c r="K262" s="4" t="n">
        <v>-120</v>
      </c>
      <c r="L262" s="4" t="n">
        <v>-120</v>
      </c>
      <c r="M262" s="5" t="n">
        <v>6.5</v>
      </c>
      <c r="N262" s="5" t="n">
        <v>5.501401776462046</v>
      </c>
      <c r="O262" s="5" t="n">
        <v>6.5</v>
      </c>
      <c r="P262" s="5" t="n">
        <v>0.9985982235379538</v>
      </c>
      <c r="Q262" s="6" t="n">
        <v>0.2573288253873914</v>
      </c>
      <c r="R262" s="6" t="n">
        <v>0.6858157229385771</v>
      </c>
      <c r="S262" s="6" t="n">
        <v>0.5338983050847457</v>
      </c>
      <c r="T262" s="2" t="inlineStr">
        <is>
          <t>Under</t>
        </is>
      </c>
      <c r="U262" s="4" t="n">
        <v>-120</v>
      </c>
      <c r="V262" s="2" t="n">
        <v>1.833333333333333</v>
      </c>
      <c r="W262" s="4" t="n">
        <v>-120</v>
      </c>
      <c r="X262" s="2" t="n">
        <v>1</v>
      </c>
      <c r="Y262" s="5" t="n">
        <v>-1</v>
      </c>
      <c r="Z262" s="7" t="n">
        <v>100</v>
      </c>
      <c r="AA262" s="7">
        <f>Y262*Z262</f>
        <v/>
      </c>
      <c r="AB262" s="6">
        <f>IF(Z262=0,0,AA262/Z262)</f>
        <v/>
      </c>
      <c r="AC262" s="6" t="n"/>
      <c r="AD262" s="2" t="inlineStr">
        <is>
          <t>Loss</t>
        </is>
      </c>
      <c r="AE262" s="6">
        <f>IF((COUNTIF($AD$2:AD262,"Win")+COUNTIF($AD$2:AD262,"Loss"))=0,0,COUNTIF($AD$2:AD262,"Win")/(COUNTIF($AD$2:AD262,"Win")+COUNTIF($AD$2:AD262,"Loss")))</f>
        <v/>
      </c>
      <c r="AF262" s="6">
        <f>SUM($Y$2:Y262)/SUM($X$2:X262)</f>
        <v/>
      </c>
      <c r="AG262" s="5">
        <f>SUM($Y$2:Y262)</f>
        <v/>
      </c>
      <c r="AH262" s="7">
        <f>10000.0+SUM($AA$2:AA262)</f>
        <v/>
      </c>
      <c r="AI262" s="2" t="n">
        <v>2025</v>
      </c>
      <c r="AJ262" s="2" t="inlineStr">
        <is>
          <t>2025-08</t>
        </is>
      </c>
      <c r="AK262" s="2" t="inlineStr">
        <is>
          <t>-149 to -120</t>
        </is>
      </c>
      <c r="AL262" s="2" t="inlineStr">
        <is>
          <t>2025 Validation</t>
        </is>
      </c>
      <c r="AM262" s="6" t="n">
        <v>0.3087945904648697</v>
      </c>
    </row>
    <row r="263">
      <c r="A263" s="2" t="inlineStr">
        <is>
          <t>KPROP-00262</t>
        </is>
      </c>
      <c r="B263" s="3" t="n">
        <v>45894.79559027778</v>
      </c>
      <c r="C263" s="3" t="n">
        <v>45894</v>
      </c>
      <c r="D263" s="2" t="inlineStr">
        <is>
          <t>Joe Ryan</t>
        </is>
      </c>
      <c r="E263" s="2" t="n">
        <v>142</v>
      </c>
      <c r="F263" s="2" t="n">
        <v>141</v>
      </c>
      <c r="G263" s="2" t="inlineStr">
        <is>
          <t>Away</t>
        </is>
      </c>
      <c r="H263" s="2" t="inlineStr">
        <is>
          <t>draftkings</t>
        </is>
      </c>
      <c r="I263" s="4" t="n"/>
      <c r="J263" s="4" t="n"/>
      <c r="K263" s="4" t="n">
        <v>130</v>
      </c>
      <c r="L263" s="4" t="n">
        <v>130</v>
      </c>
      <c r="M263" s="5" t="n">
        <v>4.5</v>
      </c>
      <c r="N263" s="5" t="n">
        <v>4.75448680440456</v>
      </c>
      <c r="O263" s="5" t="n">
        <v>4.5</v>
      </c>
      <c r="P263" s="5" t="n">
        <v>-0.2544868044045598</v>
      </c>
      <c r="Q263" s="6" t="n">
        <v>0.1145212753046078</v>
      </c>
      <c r="R263" s="6" t="n">
        <v>0.4845744675237426</v>
      </c>
      <c r="S263" s="6" t="n">
        <v>0.4140127388535032</v>
      </c>
      <c r="T263" s="2" t="inlineStr">
        <is>
          <t>Under</t>
        </is>
      </c>
      <c r="U263" s="4" t="n">
        <v>130</v>
      </c>
      <c r="V263" s="2" t="n">
        <v>2.3</v>
      </c>
      <c r="W263" s="4" t="n">
        <v>130</v>
      </c>
      <c r="X263" s="2" t="n">
        <v>1</v>
      </c>
      <c r="Y263" s="5" t="n">
        <v>-1</v>
      </c>
      <c r="Z263" s="7" t="n">
        <v>100</v>
      </c>
      <c r="AA263" s="7">
        <f>Y263*Z263</f>
        <v/>
      </c>
      <c r="AB263" s="6">
        <f>IF(Z263=0,0,AA263/Z263)</f>
        <v/>
      </c>
      <c r="AC263" s="6" t="n"/>
      <c r="AD263" s="2" t="inlineStr">
        <is>
          <t>Loss</t>
        </is>
      </c>
      <c r="AE263" s="6">
        <f>IF((COUNTIF($AD$2:AD263,"Win")+COUNTIF($AD$2:AD263,"Loss"))=0,0,COUNTIF($AD$2:AD263,"Win")/(COUNTIF($AD$2:AD263,"Win")+COUNTIF($AD$2:AD263,"Loss")))</f>
        <v/>
      </c>
      <c r="AF263" s="6">
        <f>SUM($Y$2:Y263)/SUM($X$2:X263)</f>
        <v/>
      </c>
      <c r="AG263" s="5">
        <f>SUM($Y$2:Y263)</f>
        <v/>
      </c>
      <c r="AH263" s="7">
        <f>10000.0+SUM($AA$2:AA263)</f>
        <v/>
      </c>
      <c r="AI263" s="2" t="n">
        <v>2025</v>
      </c>
      <c r="AJ263" s="2" t="inlineStr">
        <is>
          <t>2025-08</t>
        </is>
      </c>
      <c r="AK263" s="2" t="inlineStr">
        <is>
          <t>+121 to +150</t>
        </is>
      </c>
      <c r="AL263" s="2" t="inlineStr">
        <is>
          <t>2025 Validation</t>
        </is>
      </c>
      <c r="AM263" s="6" t="n">
        <v>0.08809328869585213</v>
      </c>
    </row>
    <row r="264">
      <c r="A264" s="2" t="inlineStr">
        <is>
          <t>KPROP-00263</t>
        </is>
      </c>
      <c r="B264" s="3" t="n">
        <v>45894.79559027778</v>
      </c>
      <c r="C264" s="3" t="n">
        <v>45894</v>
      </c>
      <c r="D264" s="2" t="inlineStr">
        <is>
          <t>Joe Ryan</t>
        </is>
      </c>
      <c r="E264" s="2" t="n">
        <v>142</v>
      </c>
      <c r="F264" s="2" t="n">
        <v>141</v>
      </c>
      <c r="G264" s="2" t="inlineStr">
        <is>
          <t>Away</t>
        </is>
      </c>
      <c r="H264" s="2" t="inlineStr">
        <is>
          <t>bovada</t>
        </is>
      </c>
      <c r="I264" s="4" t="n"/>
      <c r="J264" s="4" t="n"/>
      <c r="K264" s="4" t="n">
        <v>-150</v>
      </c>
      <c r="L264" s="4" t="n">
        <v>-150</v>
      </c>
      <c r="M264" s="5" t="n">
        <v>5.5</v>
      </c>
      <c r="N264" s="5" t="n">
        <v>4.75448680440456</v>
      </c>
      <c r="O264" s="5" t="n">
        <v>5.5</v>
      </c>
      <c r="P264" s="5" t="n">
        <v>0.7455131955954402</v>
      </c>
      <c r="Q264" s="6" t="n">
        <v>0.09825271405476999</v>
      </c>
      <c r="R264" s="6" t="n">
        <v>0.658951628432862</v>
      </c>
      <c r="S264" s="6" t="n">
        <v>0.5755517826825127</v>
      </c>
      <c r="T264" s="2" t="inlineStr">
        <is>
          <t>Under</t>
        </is>
      </c>
      <c r="U264" s="4" t="n">
        <v>-150</v>
      </c>
      <c r="V264" s="2" t="n">
        <v>1.666666666666667</v>
      </c>
      <c r="W264" s="4" t="n">
        <v>-150</v>
      </c>
      <c r="X264" s="2" t="n">
        <v>1</v>
      </c>
      <c r="Y264" s="5" t="n">
        <v>-1</v>
      </c>
      <c r="Z264" s="7" t="n">
        <v>100</v>
      </c>
      <c r="AA264" s="7">
        <f>Y264*Z264</f>
        <v/>
      </c>
      <c r="AB264" s="6">
        <f>IF(Z264=0,0,AA264/Z264)</f>
        <v/>
      </c>
      <c r="AC264" s="6" t="n"/>
      <c r="AD264" s="2" t="inlineStr">
        <is>
          <t>Loss</t>
        </is>
      </c>
      <c r="AE264" s="6">
        <f>IF((COUNTIF($AD$2:AD264,"Win")+COUNTIF($AD$2:AD264,"Loss"))=0,0,COUNTIF($AD$2:AD264,"Win")/(COUNTIF($AD$2:AD264,"Win")+COUNTIF($AD$2:AD264,"Loss")))</f>
        <v/>
      </c>
      <c r="AF264" s="6">
        <f>SUM($Y$2:Y264)/SUM($X$2:X264)</f>
        <v/>
      </c>
      <c r="AG264" s="5">
        <f>SUM($Y$2:Y264)</f>
        <v/>
      </c>
      <c r="AH264" s="7">
        <f>10000.0+SUM($AA$2:AA264)</f>
        <v/>
      </c>
      <c r="AI264" s="2" t="n">
        <v>2025</v>
      </c>
      <c r="AJ264" s="2" t="inlineStr">
        <is>
          <t>2025-08</t>
        </is>
      </c>
      <c r="AK264" s="2" t="inlineStr">
        <is>
          <t>&lt;= -150</t>
        </is>
      </c>
      <c r="AL264" s="2" t="inlineStr">
        <is>
          <t>2025 Validation</t>
        </is>
      </c>
      <c r="AM264" s="6" t="n">
        <v>0.147379071082155</v>
      </c>
    </row>
    <row r="265">
      <c r="A265" s="2" t="inlineStr">
        <is>
          <t>KPROP-00264</t>
        </is>
      </c>
      <c r="B265" s="3" t="n">
        <v>45894.79559027778</v>
      </c>
      <c r="C265" s="3" t="n">
        <v>45894</v>
      </c>
      <c r="D265" s="2" t="inlineStr">
        <is>
          <t>Kodai Senga</t>
        </is>
      </c>
      <c r="E265" s="2" t="n">
        <v>121</v>
      </c>
      <c r="F265" s="2" t="n">
        <v>143</v>
      </c>
      <c r="G265" s="2" t="inlineStr">
        <is>
          <t>Home</t>
        </is>
      </c>
      <c r="H265" s="2" t="inlineStr">
        <is>
          <t>draftkings</t>
        </is>
      </c>
      <c r="I265" s="4" t="n"/>
      <c r="J265" s="4" t="n"/>
      <c r="K265" s="4" t="n">
        <v>130</v>
      </c>
      <c r="L265" s="4" t="n">
        <v>130</v>
      </c>
      <c r="M265" s="5" t="n">
        <v>4.5</v>
      </c>
      <c r="N265" s="5" t="n">
        <v>4.68580826918885</v>
      </c>
      <c r="O265" s="5" t="n">
        <v>4.5</v>
      </c>
      <c r="P265" s="5" t="n">
        <v>-0.1858082691888496</v>
      </c>
      <c r="Q265" s="6" t="n">
        <v>0.1436426951731077</v>
      </c>
      <c r="R265" s="6" t="n">
        <v>0.4972359544230903</v>
      </c>
      <c r="S265" s="6" t="n">
        <v>0.4117280099812851</v>
      </c>
      <c r="T265" s="2" t="inlineStr">
        <is>
          <t>Under</t>
        </is>
      </c>
      <c r="U265" s="4" t="n">
        <v>130</v>
      </c>
      <c r="V265" s="2" t="n">
        <v>2.3</v>
      </c>
      <c r="W265" s="4" t="n">
        <v>130</v>
      </c>
      <c r="X265" s="2" t="n">
        <v>1</v>
      </c>
      <c r="Y265" s="5" t="n">
        <v>1.3</v>
      </c>
      <c r="Z265" s="7" t="n">
        <v>100</v>
      </c>
      <c r="AA265" s="7">
        <f>Y265*Z265</f>
        <v/>
      </c>
      <c r="AB265" s="6">
        <f>IF(Z265=0,0,AA265/Z265)</f>
        <v/>
      </c>
      <c r="AC265" s="6" t="n"/>
      <c r="AD265" s="2" t="inlineStr">
        <is>
          <t>Win</t>
        </is>
      </c>
      <c r="AE265" s="6">
        <f>IF((COUNTIF($AD$2:AD265,"Win")+COUNTIF($AD$2:AD265,"Loss"))=0,0,COUNTIF($AD$2:AD265,"Win")/(COUNTIF($AD$2:AD265,"Win")+COUNTIF($AD$2:AD265,"Loss")))</f>
        <v/>
      </c>
      <c r="AF265" s="6">
        <f>SUM($Y$2:Y265)/SUM($X$2:X265)</f>
        <v/>
      </c>
      <c r="AG265" s="5">
        <f>SUM($Y$2:Y265)</f>
        <v/>
      </c>
      <c r="AH265" s="7">
        <f>10000.0+SUM($AA$2:AA265)</f>
        <v/>
      </c>
      <c r="AI265" s="2" t="n">
        <v>2025</v>
      </c>
      <c r="AJ265" s="2" t="inlineStr">
        <is>
          <t>2025-08</t>
        </is>
      </c>
      <c r="AK265" s="2" t="inlineStr">
        <is>
          <t>+121 to +150</t>
        </is>
      </c>
      <c r="AL265" s="2" t="inlineStr">
        <is>
          <t>2025 Validation</t>
        </is>
      </c>
      <c r="AM265" s="6" t="n">
        <v>0.1104943809023905</v>
      </c>
    </row>
    <row r="266">
      <c r="A266" s="2" t="inlineStr">
        <is>
          <t>KPROP-00265</t>
        </is>
      </c>
      <c r="B266" s="3" t="n">
        <v>45894.79559027778</v>
      </c>
      <c r="C266" s="3" t="n">
        <v>45894</v>
      </c>
      <c r="D266" s="2" t="inlineStr">
        <is>
          <t>Kodai Senga</t>
        </is>
      </c>
      <c r="E266" s="2" t="n">
        <v>121</v>
      </c>
      <c r="F266" s="2" t="n">
        <v>143</v>
      </c>
      <c r="G266" s="2" t="inlineStr">
        <is>
          <t>Home</t>
        </is>
      </c>
      <c r="H266" s="2" t="inlineStr">
        <is>
          <t>betonlineag</t>
        </is>
      </c>
      <c r="I266" s="4" t="n"/>
      <c r="J266" s="4" t="n"/>
      <c r="K266" s="4" t="n">
        <v>-161</v>
      </c>
      <c r="L266" s="4" t="n">
        <v>-161</v>
      </c>
      <c r="M266" s="5" t="n">
        <v>5.5</v>
      </c>
      <c r="N266" s="5" t="n">
        <v>4.68580826918885</v>
      </c>
      <c r="O266" s="5" t="n">
        <v>5.5</v>
      </c>
      <c r="P266" s="5" t="n">
        <v>0.8141917308111504</v>
      </c>
      <c r="Q266" s="6" t="n">
        <v>0.08761503533457676</v>
      </c>
      <c r="R266" s="6" t="n">
        <v>0.6709042938270762</v>
      </c>
      <c r="S266" s="6" t="n">
        <v>0.5865674006019325</v>
      </c>
      <c r="T266" s="2" t="inlineStr">
        <is>
          <t>Under</t>
        </is>
      </c>
      <c r="U266" s="4" t="n">
        <v>-161</v>
      </c>
      <c r="V266" s="2" t="n">
        <v>1.62111801242236</v>
      </c>
      <c r="W266" s="4" t="n">
        <v>-161</v>
      </c>
      <c r="X266" s="2" t="n">
        <v>1</v>
      </c>
      <c r="Y266" s="5" t="n">
        <v>0.6211180124223601</v>
      </c>
      <c r="Z266" s="7" t="n">
        <v>100</v>
      </c>
      <c r="AA266" s="7">
        <f>Y266*Z266</f>
        <v/>
      </c>
      <c r="AB266" s="6">
        <f>IF(Z266=0,0,AA266/Z266)</f>
        <v/>
      </c>
      <c r="AC266" s="6" t="n"/>
      <c r="AD266" s="2" t="inlineStr">
        <is>
          <t>Win</t>
        </is>
      </c>
      <c r="AE266" s="6">
        <f>IF((COUNTIF($AD$2:AD266,"Win")+COUNTIF($AD$2:AD266,"Loss"))=0,0,COUNTIF($AD$2:AD266,"Win")/(COUNTIF($AD$2:AD266,"Win")+COUNTIF($AD$2:AD266,"Loss")))</f>
        <v/>
      </c>
      <c r="AF266" s="6">
        <f>SUM($Y$2:Y266)/SUM($X$2:X266)</f>
        <v/>
      </c>
      <c r="AG266" s="5">
        <f>SUM($Y$2:Y266)</f>
        <v/>
      </c>
      <c r="AH266" s="7">
        <f>10000.0+SUM($AA$2:AA266)</f>
        <v/>
      </c>
      <c r="AI266" s="2" t="n">
        <v>2025</v>
      </c>
      <c r="AJ266" s="2" t="inlineStr">
        <is>
          <t>2025-08</t>
        </is>
      </c>
      <c r="AK266" s="2" t="inlineStr">
        <is>
          <t>&lt;= -150</t>
        </is>
      </c>
      <c r="AL266" s="2" t="inlineStr">
        <is>
          <t>2025 Validation</t>
        </is>
      </c>
      <c r="AM266" s="6" t="n">
        <v>0.1410602068886686</v>
      </c>
    </row>
    <row r="267">
      <c r="A267" s="2" t="inlineStr">
        <is>
          <t>KPROP-00266</t>
        </is>
      </c>
      <c r="B267" s="3" t="n">
        <v>45894.77476851852</v>
      </c>
      <c r="C267" s="3" t="n">
        <v>45894</v>
      </c>
      <c r="D267" s="2" t="inlineStr">
        <is>
          <t>Spencer Strider</t>
        </is>
      </c>
      <c r="E267" s="2" t="n">
        <v>144</v>
      </c>
      <c r="F267" s="2" t="n">
        <v>146</v>
      </c>
      <c r="G267" s="2" t="inlineStr">
        <is>
          <t>Away</t>
        </is>
      </c>
      <c r="H267" s="2" t="inlineStr">
        <is>
          <t>betmgm</t>
        </is>
      </c>
      <c r="I267" s="4" t="n"/>
      <c r="J267" s="4" t="n"/>
      <c r="K267" s="4" t="n">
        <v>120</v>
      </c>
      <c r="L267" s="4" t="n">
        <v>120</v>
      </c>
      <c r="M267" s="5" t="n">
        <v>5.5</v>
      </c>
      <c r="N267" s="5" t="n">
        <v>5.079970966365717</v>
      </c>
      <c r="O267" s="5" t="n">
        <v>5.5</v>
      </c>
      <c r="P267" s="5" t="n">
        <v>0.4200290336342833</v>
      </c>
      <c r="Q267" s="6" t="n">
        <v>0.324248919030162</v>
      </c>
      <c r="R267" s="6" t="n">
        <v>0.6019313268318918</v>
      </c>
      <c r="S267" s="6" t="n">
        <v>0.4310344827586207</v>
      </c>
      <c r="T267" s="2" t="inlineStr">
        <is>
          <t>Under</t>
        </is>
      </c>
      <c r="U267" s="4" t="n">
        <v>120</v>
      </c>
      <c r="V267" s="2" t="n">
        <v>2.2</v>
      </c>
      <c r="W267" s="4" t="n">
        <v>120</v>
      </c>
      <c r="X267" s="2" t="n">
        <v>1</v>
      </c>
      <c r="Y267" s="5" t="n">
        <v>1.2</v>
      </c>
      <c r="Z267" s="7" t="n">
        <v>100</v>
      </c>
      <c r="AA267" s="7">
        <f>Y267*Z267</f>
        <v/>
      </c>
      <c r="AB267" s="6">
        <f>IF(Z267=0,0,AA267/Z267)</f>
        <v/>
      </c>
      <c r="AC267" s="6" t="n"/>
      <c r="AD267" s="2" t="inlineStr">
        <is>
          <t>Win</t>
        </is>
      </c>
      <c r="AE267" s="6">
        <f>IF((COUNTIF($AD$2:AD267,"Win")+COUNTIF($AD$2:AD267,"Loss"))=0,0,COUNTIF($AD$2:AD267,"Win")/(COUNTIF($AD$2:AD267,"Win")+COUNTIF($AD$2:AD267,"Loss")))</f>
        <v/>
      </c>
      <c r="AF267" s="6">
        <f>SUM($Y$2:Y267)/SUM($X$2:X267)</f>
        <v/>
      </c>
      <c r="AG267" s="5">
        <f>SUM($Y$2:Y267)</f>
        <v/>
      </c>
      <c r="AH267" s="7">
        <f>10000.0+SUM($AA$2:AA267)</f>
        <v/>
      </c>
      <c r="AI267" s="2" t="n">
        <v>2025</v>
      </c>
      <c r="AJ267" s="2" t="inlineStr">
        <is>
          <t>2025-08</t>
        </is>
      </c>
      <c r="AK267" s="2" t="inlineStr">
        <is>
          <t>+100 to +120</t>
        </is>
      </c>
      <c r="AL267" s="2" t="inlineStr">
        <is>
          <t>2025 Validation</t>
        </is>
      </c>
      <c r="AM267" s="6" t="n">
        <v>0.2702074325251349</v>
      </c>
    </row>
    <row r="268">
      <c r="A268" s="2" t="inlineStr">
        <is>
          <t>KPROP-00267</t>
        </is>
      </c>
      <c r="B268" s="3" t="n">
        <v>45894.77476851852</v>
      </c>
      <c r="C268" s="3" t="n">
        <v>45894</v>
      </c>
      <c r="D268" s="2" t="inlineStr">
        <is>
          <t>Spencer Strider</t>
        </is>
      </c>
      <c r="E268" s="2" t="n">
        <v>144</v>
      </c>
      <c r="F268" s="2" t="n">
        <v>146</v>
      </c>
      <c r="G268" s="2" t="inlineStr">
        <is>
          <t>Away</t>
        </is>
      </c>
      <c r="H268" s="2" t="inlineStr">
        <is>
          <t>betrivers</t>
        </is>
      </c>
      <c r="I268" s="4" t="n"/>
      <c r="J268" s="4" t="n"/>
      <c r="K268" s="4" t="n">
        <v>-175</v>
      </c>
      <c r="L268" s="4" t="n">
        <v>-175</v>
      </c>
      <c r="M268" s="5" t="n">
        <v>6.5</v>
      </c>
      <c r="N268" s="5" t="n">
        <v>5.079970966365717</v>
      </c>
      <c r="O268" s="5" t="n">
        <v>6.5</v>
      </c>
      <c r="P268" s="5" t="n">
        <v>1.420029033634283</v>
      </c>
      <c r="Q268" s="6" t="n">
        <v>0.1791982262751415</v>
      </c>
      <c r="R268" s="6" t="n">
        <v>0.7503988712659991</v>
      </c>
      <c r="S268" s="6" t="n">
        <v>0.5887850467289719</v>
      </c>
      <c r="T268" s="2" t="inlineStr">
        <is>
          <t>Under</t>
        </is>
      </c>
      <c r="U268" s="4" t="n">
        <v>-175</v>
      </c>
      <c r="V268" s="2" t="n">
        <v>1.571428571428571</v>
      </c>
      <c r="W268" s="4" t="n">
        <v>-175</v>
      </c>
      <c r="X268" s="2" t="n">
        <v>1</v>
      </c>
      <c r="Y268" s="5" t="n">
        <v>0.5714285714285714</v>
      </c>
      <c r="Z268" s="7" t="n">
        <v>100</v>
      </c>
      <c r="AA268" s="7">
        <f>Y268*Z268</f>
        <v/>
      </c>
      <c r="AB268" s="6">
        <f>IF(Z268=0,0,AA268/Z268)</f>
        <v/>
      </c>
      <c r="AC268" s="6" t="n"/>
      <c r="AD268" s="2" t="inlineStr">
        <is>
          <t>Win</t>
        </is>
      </c>
      <c r="AE268" s="6">
        <f>IF((COUNTIF($AD$2:AD268,"Win")+COUNTIF($AD$2:AD268,"Loss"))=0,0,COUNTIF($AD$2:AD268,"Win")/(COUNTIF($AD$2:AD268,"Win")+COUNTIF($AD$2:AD268,"Loss")))</f>
        <v/>
      </c>
      <c r="AF268" s="6">
        <f>SUM($Y$2:Y268)/SUM($X$2:X268)</f>
        <v/>
      </c>
      <c r="AG268" s="5">
        <f>SUM($Y$2:Y268)</f>
        <v/>
      </c>
      <c r="AH268" s="7">
        <f>10000.0+SUM($AA$2:AA268)</f>
        <v/>
      </c>
      <c r="AI268" s="2" t="n">
        <v>2025</v>
      </c>
      <c r="AJ268" s="2" t="inlineStr">
        <is>
          <t>2025-08</t>
        </is>
      </c>
      <c r="AK268" s="2" t="inlineStr">
        <is>
          <t>&lt;= -150</t>
        </is>
      </c>
      <c r="AL268" s="2" t="inlineStr">
        <is>
          <t>2025 Validation</t>
        </is>
      </c>
      <c r="AM268" s="6" t="n">
        <v>0.3135968959814976</v>
      </c>
    </row>
    <row r="269">
      <c r="A269" s="2" t="inlineStr">
        <is>
          <t>KPROP-00268</t>
        </is>
      </c>
      <c r="B269" s="3" t="n">
        <v>45894.77476851852</v>
      </c>
      <c r="C269" s="3" t="n">
        <v>45894</v>
      </c>
      <c r="D269" s="2" t="inlineStr">
        <is>
          <t>Tanner Bibee</t>
        </is>
      </c>
      <c r="E269" s="2" t="n">
        <v>114</v>
      </c>
      <c r="F269" s="2" t="n">
        <v>139</v>
      </c>
      <c r="G269" s="2" t="inlineStr">
        <is>
          <t>Home</t>
        </is>
      </c>
      <c r="H269" s="2" t="inlineStr">
        <is>
          <t>bovada</t>
        </is>
      </c>
      <c r="I269" s="4" t="n"/>
      <c r="J269" s="4" t="n"/>
      <c r="K269" s="4" t="n">
        <v>115</v>
      </c>
      <c r="L269" s="4" t="n">
        <v>115</v>
      </c>
      <c r="M269" s="5" t="n">
        <v>5.5</v>
      </c>
      <c r="N269" s="5" t="n">
        <v>5.406572409506541</v>
      </c>
      <c r="O269" s="5" t="n">
        <v>5.5</v>
      </c>
      <c r="P269" s="5" t="n">
        <v>0.09342759049345872</v>
      </c>
      <c r="Q269" s="6" t="n">
        <v>0.1717425387127988</v>
      </c>
      <c r="R269" s="6" t="n">
        <v>0.5449965296338599</v>
      </c>
      <c r="S269" s="6" t="n">
        <v>0.4556962025316456</v>
      </c>
      <c r="T269" s="2" t="inlineStr">
        <is>
          <t>Under</t>
        </is>
      </c>
      <c r="U269" s="4" t="n">
        <v>115</v>
      </c>
      <c r="V269" s="2" t="n">
        <v>2.15</v>
      </c>
      <c r="W269" s="4" t="n">
        <v>115</v>
      </c>
      <c r="X269" s="2" t="n">
        <v>1</v>
      </c>
      <c r="Y269" s="5" t="n">
        <v>1.15</v>
      </c>
      <c r="Z269" s="7" t="n">
        <v>100</v>
      </c>
      <c r="AA269" s="7">
        <f>Y269*Z269</f>
        <v/>
      </c>
      <c r="AB269" s="6">
        <f>IF(Z269=0,0,AA269/Z269)</f>
        <v/>
      </c>
      <c r="AC269" s="6" t="n"/>
      <c r="AD269" s="2" t="inlineStr">
        <is>
          <t>Win</t>
        </is>
      </c>
      <c r="AE269" s="6">
        <f>IF((COUNTIF($AD$2:AD269,"Win")+COUNTIF($AD$2:AD269,"Loss"))=0,0,COUNTIF($AD$2:AD269,"Win")/(COUNTIF($AD$2:AD269,"Win")+COUNTIF($AD$2:AD269,"Loss")))</f>
        <v/>
      </c>
      <c r="AF269" s="6">
        <f>SUM($Y$2:Y269)/SUM($X$2:X269)</f>
        <v/>
      </c>
      <c r="AG269" s="5">
        <f>SUM($Y$2:Y269)</f>
        <v/>
      </c>
      <c r="AH269" s="7">
        <f>10000.0+SUM($AA$2:AA269)</f>
        <v/>
      </c>
      <c r="AI269" s="2" t="n">
        <v>2025</v>
      </c>
      <c r="AJ269" s="2" t="inlineStr">
        <is>
          <t>2025-08</t>
        </is>
      </c>
      <c r="AK269" s="2" t="inlineStr">
        <is>
          <t>+100 to +120</t>
        </is>
      </c>
      <c r="AL269" s="2" t="inlineStr">
        <is>
          <t>2025 Validation</t>
        </is>
      </c>
      <c r="AM269" s="6" t="n">
        <v>0.1493413380111294</v>
      </c>
    </row>
    <row r="270">
      <c r="A270" s="2" t="inlineStr">
        <is>
          <t>KPROP-00269</t>
        </is>
      </c>
      <c r="B270" s="3" t="n">
        <v>45895.79559027778</v>
      </c>
      <c r="C270" s="3" t="n">
        <v>45895</v>
      </c>
      <c r="D270" s="2" t="inlineStr">
        <is>
          <t>Bailey Ober</t>
        </is>
      </c>
      <c r="E270" s="2" t="n">
        <v>142</v>
      </c>
      <c r="F270" s="2" t="n">
        <v>141</v>
      </c>
      <c r="G270" s="2" t="inlineStr">
        <is>
          <t>Away</t>
        </is>
      </c>
      <c r="H270" s="2" t="inlineStr">
        <is>
          <t>betmgm</t>
        </is>
      </c>
      <c r="I270" s="4" t="n"/>
      <c r="J270" s="4" t="n"/>
      <c r="K270" s="4" t="n">
        <v>125</v>
      </c>
      <c r="L270" s="4" t="n">
        <v>125</v>
      </c>
      <c r="M270" s="5" t="n">
        <v>3.5</v>
      </c>
      <c r="N270" s="5" t="n">
        <v>3.654036264692456</v>
      </c>
      <c r="O270" s="5" t="n">
        <v>3.5</v>
      </c>
      <c r="P270" s="5" t="n">
        <v>-0.1540362646924556</v>
      </c>
      <c r="Q270" s="6" t="n">
        <v>0.1335227401247787</v>
      </c>
      <c r="R270" s="6" t="n">
        <v>0.5037878844999016</v>
      </c>
      <c r="S270" s="6" t="n">
        <v>0.4324324324324325</v>
      </c>
      <c r="T270" s="2" t="inlineStr">
        <is>
          <t>Under</t>
        </is>
      </c>
      <c r="U270" s="4" t="n">
        <v>125</v>
      </c>
      <c r="V270" s="2" t="n">
        <v>2.25</v>
      </c>
      <c r="W270" s="4" t="n">
        <v>125</v>
      </c>
      <c r="X270" s="2" t="n">
        <v>1</v>
      </c>
      <c r="Y270" s="5" t="n">
        <v>1.25</v>
      </c>
      <c r="Z270" s="7" t="n">
        <v>100</v>
      </c>
      <c r="AA270" s="7">
        <f>Y270*Z270</f>
        <v/>
      </c>
      <c r="AB270" s="6">
        <f>IF(Z270=0,0,AA270/Z270)</f>
        <v/>
      </c>
      <c r="AC270" s="6" t="n"/>
      <c r="AD270" s="2" t="inlineStr">
        <is>
          <t>Win</t>
        </is>
      </c>
      <c r="AE270" s="6">
        <f>IF((COUNTIF($AD$2:AD270,"Win")+COUNTIF($AD$2:AD270,"Loss"))=0,0,COUNTIF($AD$2:AD270,"Win")/(COUNTIF($AD$2:AD270,"Win")+COUNTIF($AD$2:AD270,"Loss")))</f>
        <v/>
      </c>
      <c r="AF270" s="6">
        <f>SUM($Y$2:Y270)/SUM($X$2:X270)</f>
        <v/>
      </c>
      <c r="AG270" s="5">
        <f>SUM($Y$2:Y270)</f>
        <v/>
      </c>
      <c r="AH270" s="7">
        <f>10000.0+SUM($AA$2:AA270)</f>
        <v/>
      </c>
      <c r="AI270" s="2" t="n">
        <v>2025</v>
      </c>
      <c r="AJ270" s="2" t="inlineStr">
        <is>
          <t>2025-08</t>
        </is>
      </c>
      <c r="AK270" s="2" t="inlineStr">
        <is>
          <t>+121 to +150</t>
        </is>
      </c>
      <c r="AL270" s="2" t="inlineStr">
        <is>
          <t>2025 Validation</t>
        </is>
      </c>
      <c r="AM270" s="6" t="n">
        <v>0.106818192099823</v>
      </c>
    </row>
    <row r="271">
      <c r="A271" s="2" t="inlineStr">
        <is>
          <t>KPROP-00270</t>
        </is>
      </c>
      <c r="B271" s="3" t="n">
        <v>45895.81989583333</v>
      </c>
      <c r="C271" s="3" t="n">
        <v>45895</v>
      </c>
      <c r="D271" s="2" t="inlineStr">
        <is>
          <t>Brandon Pfaadt</t>
        </is>
      </c>
      <c r="E271" s="2" t="n">
        <v>109</v>
      </c>
      <c r="F271" s="2" t="n">
        <v>158</v>
      </c>
      <c r="G271" s="2" t="inlineStr">
        <is>
          <t>Away</t>
        </is>
      </c>
      <c r="H271" s="2" t="inlineStr">
        <is>
          <t>betrivers</t>
        </is>
      </c>
      <c r="I271" s="4" t="n"/>
      <c r="J271" s="4" t="n"/>
      <c r="K271" s="4" t="n">
        <v>-113</v>
      </c>
      <c r="L271" s="4" t="n">
        <v>-113</v>
      </c>
      <c r="M271" s="5" t="n">
        <v>4.5</v>
      </c>
      <c r="N271" s="5" t="n">
        <v>4.266417811761188</v>
      </c>
      <c r="O271" s="5" t="n">
        <v>4.5</v>
      </c>
      <c r="P271" s="5" t="n">
        <v>0.2335821882388123</v>
      </c>
      <c r="Q271" s="6" t="n">
        <v>0.08749950578219712</v>
      </c>
      <c r="R271" s="6" t="n">
        <v>0.5769363575276445</v>
      </c>
      <c r="S271" s="6" t="n">
        <v>0.513566680233347</v>
      </c>
      <c r="T271" s="2" t="inlineStr">
        <is>
          <t>Under</t>
        </is>
      </c>
      <c r="U271" s="4" t="n">
        <v>-113</v>
      </c>
      <c r="V271" s="2" t="n">
        <v>1.884955752212389</v>
      </c>
      <c r="W271" s="4" t="n">
        <v>-113</v>
      </c>
      <c r="X271" s="2" t="n">
        <v>1</v>
      </c>
      <c r="Y271" s="5" t="n">
        <v>0.8849557522123894</v>
      </c>
      <c r="Z271" s="7" t="n">
        <v>100</v>
      </c>
      <c r="AA271" s="7">
        <f>Y271*Z271</f>
        <v/>
      </c>
      <c r="AB271" s="6">
        <f>IF(Z271=0,0,AA271/Z271)</f>
        <v/>
      </c>
      <c r="AC271" s="6" t="n"/>
      <c r="AD271" s="2" t="inlineStr">
        <is>
          <t>Win</t>
        </is>
      </c>
      <c r="AE271" s="6">
        <f>IF((COUNTIF($AD$2:AD271,"Win")+COUNTIF($AD$2:AD271,"Loss"))=0,0,COUNTIF($AD$2:AD271,"Win")/(COUNTIF($AD$2:AD271,"Win")+COUNTIF($AD$2:AD271,"Loss")))</f>
        <v/>
      </c>
      <c r="AF271" s="6">
        <f>SUM($Y$2:Y271)/SUM($X$2:X271)</f>
        <v/>
      </c>
      <c r="AG271" s="5">
        <f>SUM($Y$2:Y271)</f>
        <v/>
      </c>
      <c r="AH271" s="7">
        <f>10000.0+SUM($AA$2:AA271)</f>
        <v/>
      </c>
      <c r="AI271" s="2" t="n">
        <v>2025</v>
      </c>
      <c r="AJ271" s="2" t="inlineStr">
        <is>
          <t>2025-08</t>
        </is>
      </c>
      <c r="AK271" s="2" t="inlineStr">
        <is>
          <t>-119 to -101</t>
        </is>
      </c>
      <c r="AL271" s="2" t="inlineStr">
        <is>
          <t>2025 Validation</t>
        </is>
      </c>
      <c r="AM271" s="6" t="n">
        <v>0.09887444153388274</v>
      </c>
    </row>
    <row r="272">
      <c r="A272" s="2" t="inlineStr">
        <is>
          <t>KPROP-00271</t>
        </is>
      </c>
      <c r="B272" s="3" t="n">
        <v>45895.79559027778</v>
      </c>
      <c r="C272" s="3" t="n">
        <v>45895</v>
      </c>
      <c r="D272" s="2" t="inlineStr">
        <is>
          <t>Chris Bassitt</t>
        </is>
      </c>
      <c r="E272" s="2" t="n">
        <v>141</v>
      </c>
      <c r="F272" s="2" t="n">
        <v>142</v>
      </c>
      <c r="G272" s="2" t="inlineStr">
        <is>
          <t>Home</t>
        </is>
      </c>
      <c r="H272" s="2" t="inlineStr">
        <is>
          <t>betmgm</t>
        </is>
      </c>
      <c r="I272" s="4" t="n"/>
      <c r="J272" s="4" t="n"/>
      <c r="K272" s="4" t="n">
        <v>115</v>
      </c>
      <c r="L272" s="4" t="n">
        <v>115</v>
      </c>
      <c r="M272" s="5" t="n">
        <v>5.5</v>
      </c>
      <c r="N272" s="5" t="n">
        <v>5.282559033993815</v>
      </c>
      <c r="O272" s="5" t="n">
        <v>5.5</v>
      </c>
      <c r="P272" s="5" t="n">
        <v>0.2174409660061851</v>
      </c>
      <c r="Q272" s="6" t="n">
        <v>0.2179939397520396</v>
      </c>
      <c r="R272" s="6" t="n">
        <v>0.5665088091869952</v>
      </c>
      <c r="S272" s="6" t="n">
        <v>0.4593162215525304</v>
      </c>
      <c r="T272" s="2" t="inlineStr">
        <is>
          <t>Under</t>
        </is>
      </c>
      <c r="U272" s="4" t="n">
        <v>115</v>
      </c>
      <c r="V272" s="2" t="n">
        <v>2.15</v>
      </c>
      <c r="W272" s="4" t="n">
        <v>115</v>
      </c>
      <c r="X272" s="2" t="n">
        <v>1</v>
      </c>
      <c r="Y272" s="5" t="n">
        <v>-1</v>
      </c>
      <c r="Z272" s="7" t="n">
        <v>100</v>
      </c>
      <c r="AA272" s="7">
        <f>Y272*Z272</f>
        <v/>
      </c>
      <c r="AB272" s="6">
        <f>IF(Z272=0,0,AA272/Z272)</f>
        <v/>
      </c>
      <c r="AC272" s="6" t="n"/>
      <c r="AD272" s="2" t="inlineStr">
        <is>
          <t>Loss</t>
        </is>
      </c>
      <c r="AE272" s="6">
        <f>IF((COUNTIF($AD$2:AD272,"Win")+COUNTIF($AD$2:AD272,"Loss"))=0,0,COUNTIF($AD$2:AD272,"Win")/(COUNTIF($AD$2:AD272,"Win")+COUNTIF($AD$2:AD272,"Loss")))</f>
        <v/>
      </c>
      <c r="AF272" s="6">
        <f>SUM($Y$2:Y272)/SUM($X$2:X272)</f>
        <v/>
      </c>
      <c r="AG272" s="5">
        <f>SUM($Y$2:Y272)</f>
        <v/>
      </c>
      <c r="AH272" s="7">
        <f>10000.0+SUM($AA$2:AA272)</f>
        <v/>
      </c>
      <c r="AI272" s="2" t="n">
        <v>2025</v>
      </c>
      <c r="AJ272" s="2" t="inlineStr">
        <is>
          <t>2025-08</t>
        </is>
      </c>
      <c r="AK272" s="2" t="inlineStr">
        <is>
          <t>+100 to +120</t>
        </is>
      </c>
      <c r="AL272" s="2" t="inlineStr">
        <is>
          <t>2025 Validation</t>
        </is>
      </c>
      <c r="AM272" s="6" t="n">
        <v>0.1895599476104693</v>
      </c>
    </row>
    <row r="273">
      <c r="A273" s="2" t="inlineStr">
        <is>
          <t>KPROP-00272</t>
        </is>
      </c>
      <c r="B273" s="3" t="n">
        <v>45895.82336805556</v>
      </c>
      <c r="C273" s="3" t="n">
        <v>45895</v>
      </c>
      <c r="D273" s="2" t="inlineStr">
        <is>
          <t>Mitch Keller</t>
        </is>
      </c>
      <c r="E273" s="2" t="n">
        <v>134</v>
      </c>
      <c r="F273" s="2" t="n">
        <v>138</v>
      </c>
      <c r="G273" s="2" t="inlineStr">
        <is>
          <t>Away</t>
        </is>
      </c>
      <c r="H273" s="2" t="inlineStr">
        <is>
          <t>betrivers</t>
        </is>
      </c>
      <c r="I273" s="4" t="n"/>
      <c r="J273" s="4" t="n"/>
      <c r="K273" s="4" t="n">
        <v>100</v>
      </c>
      <c r="L273" s="4" t="n">
        <v>100</v>
      </c>
      <c r="M273" s="5" t="n">
        <v>4.5</v>
      </c>
      <c r="N273" s="5" t="n">
        <v>4.357827010476045</v>
      </c>
      <c r="O273" s="5" t="n">
        <v>4.5</v>
      </c>
      <c r="P273" s="5" t="n">
        <v>0.1421729895239547</v>
      </c>
      <c r="Q273" s="6" t="n">
        <v>0.1185698236413084</v>
      </c>
      <c r="R273" s="6" t="n">
        <v>0.5592849118206542</v>
      </c>
      <c r="S273" s="6" t="n">
        <v>0.4883720930232558</v>
      </c>
      <c r="T273" s="2" t="inlineStr">
        <is>
          <t>Under</t>
        </is>
      </c>
      <c r="U273" s="4" t="n">
        <v>100</v>
      </c>
      <c r="V273" s="2" t="n">
        <v>2</v>
      </c>
      <c r="W273" s="4" t="n">
        <v>100</v>
      </c>
      <c r="X273" s="2" t="n">
        <v>1</v>
      </c>
      <c r="Y273" s="5" t="n">
        <v>-1</v>
      </c>
      <c r="Z273" s="7" t="n">
        <v>100</v>
      </c>
      <c r="AA273" s="7">
        <f>Y273*Z273</f>
        <v/>
      </c>
      <c r="AB273" s="6">
        <f>IF(Z273=0,0,AA273/Z273)</f>
        <v/>
      </c>
      <c r="AC273" s="6" t="n"/>
      <c r="AD273" s="2" t="inlineStr">
        <is>
          <t>Loss</t>
        </is>
      </c>
      <c r="AE273" s="6">
        <f>IF((COUNTIF($AD$2:AD273,"Win")+COUNTIF($AD$2:AD273,"Loss"))=0,0,COUNTIF($AD$2:AD273,"Win")/(COUNTIF($AD$2:AD273,"Win")+COUNTIF($AD$2:AD273,"Loss")))</f>
        <v/>
      </c>
      <c r="AF273" s="6">
        <f>SUM($Y$2:Y273)/SUM($X$2:X273)</f>
        <v/>
      </c>
      <c r="AG273" s="5">
        <f>SUM($Y$2:Y273)</f>
        <v/>
      </c>
      <c r="AH273" s="7">
        <f>10000.0+SUM($AA$2:AA273)</f>
        <v/>
      </c>
      <c r="AI273" s="2" t="n">
        <v>2025</v>
      </c>
      <c r="AJ273" s="2" t="inlineStr">
        <is>
          <t>2025-08</t>
        </is>
      </c>
      <c r="AK273" s="2" t="inlineStr">
        <is>
          <t>+100 to +120</t>
        </is>
      </c>
      <c r="AL273" s="2" t="inlineStr">
        <is>
          <t>2025 Validation</t>
        </is>
      </c>
      <c r="AM273" s="6" t="n">
        <v>0.1185698236413084</v>
      </c>
    </row>
    <row r="274">
      <c r="A274" s="2" t="inlineStr">
        <is>
          <t>KPROP-00273</t>
        </is>
      </c>
      <c r="B274" s="3" t="n">
        <v>45895.7990625</v>
      </c>
      <c r="C274" s="3" t="n">
        <v>45895</v>
      </c>
      <c r="D274" s="2" t="inlineStr">
        <is>
          <t>Sean Manaea</t>
        </is>
      </c>
      <c r="E274" s="2" t="n">
        <v>121</v>
      </c>
      <c r="F274" s="2" t="n">
        <v>143</v>
      </c>
      <c r="G274" s="2" t="inlineStr">
        <is>
          <t>Home</t>
        </is>
      </c>
      <c r="H274" s="2" t="inlineStr">
        <is>
          <t>bovada</t>
        </is>
      </c>
      <c r="I274" s="4" t="n"/>
      <c r="J274" s="4" t="n"/>
      <c r="K274" s="4" t="n">
        <v>120</v>
      </c>
      <c r="L274" s="4" t="n">
        <v>120</v>
      </c>
      <c r="M274" s="5" t="n">
        <v>5.5</v>
      </c>
      <c r="N274" s="5" t="n">
        <v>5.020816368653813</v>
      </c>
      <c r="O274" s="5" t="n">
        <v>5.5</v>
      </c>
      <c r="P274" s="5" t="n">
        <v>0.4791836313461868</v>
      </c>
      <c r="Q274" s="6" t="n">
        <v>0.3470778508555159</v>
      </c>
      <c r="R274" s="6" t="n">
        <v>0.6123081140252344</v>
      </c>
      <c r="S274" s="6" t="n">
        <v>0.4401931649331352</v>
      </c>
      <c r="T274" s="2" t="inlineStr">
        <is>
          <t>Under</t>
        </is>
      </c>
      <c r="U274" s="4" t="n">
        <v>120</v>
      </c>
      <c r="V274" s="2" t="n">
        <v>2.2</v>
      </c>
      <c r="W274" s="4" t="n">
        <v>120</v>
      </c>
      <c r="X274" s="2" t="n">
        <v>1</v>
      </c>
      <c r="Y274" s="5" t="n">
        <v>-1</v>
      </c>
      <c r="Z274" s="7" t="n">
        <v>100</v>
      </c>
      <c r="AA274" s="7">
        <f>Y274*Z274</f>
        <v/>
      </c>
      <c r="AB274" s="6">
        <f>IF(Z274=0,0,AA274/Z274)</f>
        <v/>
      </c>
      <c r="AC274" s="6" t="n"/>
      <c r="AD274" s="2" t="inlineStr">
        <is>
          <t>Loss</t>
        </is>
      </c>
      <c r="AE274" s="6">
        <f>IF((COUNTIF($AD$2:AD274,"Win")+COUNTIF($AD$2:AD274,"Loss"))=0,0,COUNTIF($AD$2:AD274,"Win")/(COUNTIF($AD$2:AD274,"Win")+COUNTIF($AD$2:AD274,"Loss")))</f>
        <v/>
      </c>
      <c r="AF274" s="6">
        <f>SUM($Y$2:Y274)/SUM($X$2:X274)</f>
        <v/>
      </c>
      <c r="AG274" s="5">
        <f>SUM($Y$2:Y274)</f>
        <v/>
      </c>
      <c r="AH274" s="7">
        <f>10000.0+SUM($AA$2:AA274)</f>
        <v/>
      </c>
      <c r="AI274" s="2" t="n">
        <v>2025</v>
      </c>
      <c r="AJ274" s="2" t="inlineStr">
        <is>
          <t>2025-08</t>
        </is>
      </c>
      <c r="AK274" s="2" t="inlineStr">
        <is>
          <t>+100 to +120</t>
        </is>
      </c>
      <c r="AL274" s="2" t="inlineStr">
        <is>
          <t>2025 Validation</t>
        </is>
      </c>
      <c r="AM274" s="6" t="n">
        <v>0.2892315423795965</v>
      </c>
    </row>
    <row r="275">
      <c r="A275" s="2" t="inlineStr">
        <is>
          <t>KPROP-00274</t>
        </is>
      </c>
      <c r="B275" s="3" t="n">
        <v>45896.54559027778</v>
      </c>
      <c r="C275" s="3" t="n">
        <v>45896</v>
      </c>
      <c r="D275" s="2" t="inlineStr">
        <is>
          <t>Max Fried</t>
        </is>
      </c>
      <c r="E275" s="2" t="n">
        <v>147</v>
      </c>
      <c r="F275" s="2" t="n">
        <v>120</v>
      </c>
      <c r="G275" s="2" t="inlineStr">
        <is>
          <t>Home</t>
        </is>
      </c>
      <c r="H275" s="2" t="inlineStr">
        <is>
          <t>draftkings</t>
        </is>
      </c>
      <c r="I275" s="4" t="n"/>
      <c r="J275" s="4" t="n"/>
      <c r="K275" s="4" t="n">
        <v>110</v>
      </c>
      <c r="L275" s="4" t="n">
        <v>110</v>
      </c>
      <c r="M275" s="5" t="n">
        <v>6.5</v>
      </c>
      <c r="N275" s="5" t="n">
        <v>5.595936646029129</v>
      </c>
      <c r="O275" s="5" t="n">
        <v>6.5</v>
      </c>
      <c r="P275" s="5" t="n">
        <v>0.9040633539708711</v>
      </c>
      <c r="Q275" s="6" t="n">
        <v>0.4088927861760369</v>
      </c>
      <c r="R275" s="6" t="n">
        <v>0.6709013267504937</v>
      </c>
      <c r="S275" s="6" t="n">
        <v>0.4719894133215704</v>
      </c>
      <c r="T275" s="2" t="inlineStr">
        <is>
          <t>Under</t>
        </is>
      </c>
      <c r="U275" s="4" t="n">
        <v>110</v>
      </c>
      <c r="V275" s="2" t="n">
        <v>2.1</v>
      </c>
      <c r="W275" s="4" t="n">
        <v>110</v>
      </c>
      <c r="X275" s="2" t="n">
        <v>1</v>
      </c>
      <c r="Y275" s="5" t="n">
        <v>1.1</v>
      </c>
      <c r="Z275" s="7" t="n">
        <v>100</v>
      </c>
      <c r="AA275" s="7">
        <f>Y275*Z275</f>
        <v/>
      </c>
      <c r="AB275" s="6">
        <f>IF(Z275=0,0,AA275/Z275)</f>
        <v/>
      </c>
      <c r="AC275" s="6" t="n"/>
      <c r="AD275" s="2" t="inlineStr">
        <is>
          <t>Win</t>
        </is>
      </c>
      <c r="AE275" s="6">
        <f>IF((COUNTIF($AD$2:AD275,"Win")+COUNTIF($AD$2:AD275,"Loss"))=0,0,COUNTIF($AD$2:AD275,"Win")/(COUNTIF($AD$2:AD275,"Win")+COUNTIF($AD$2:AD275,"Loss")))</f>
        <v/>
      </c>
      <c r="AF275" s="6">
        <f>SUM($Y$2:Y275)/SUM($X$2:X275)</f>
        <v/>
      </c>
      <c r="AG275" s="5">
        <f>SUM($Y$2:Y275)</f>
        <v/>
      </c>
      <c r="AH275" s="7">
        <f>10000.0+SUM($AA$2:AA275)</f>
        <v/>
      </c>
      <c r="AI275" s="2" t="n">
        <v>2025</v>
      </c>
      <c r="AJ275" s="2" t="inlineStr">
        <is>
          <t>2025-08</t>
        </is>
      </c>
      <c r="AK275" s="2" t="inlineStr">
        <is>
          <t>+100 to +120</t>
        </is>
      </c>
      <c r="AL275" s="2" t="inlineStr">
        <is>
          <t>2025 Validation</t>
        </is>
      </c>
      <c r="AM275" s="6" t="n">
        <v>0.3717207147054881</v>
      </c>
    </row>
    <row r="276">
      <c r="A276" s="2" t="inlineStr">
        <is>
          <t>KPROP-00275</t>
        </is>
      </c>
      <c r="B276" s="3" t="n">
        <v>45896.82336805556</v>
      </c>
      <c r="C276" s="3" t="n">
        <v>45896</v>
      </c>
      <c r="D276" s="2" t="inlineStr">
        <is>
          <t>Sonny Gray</t>
        </is>
      </c>
      <c r="E276" s="2" t="n">
        <v>138</v>
      </c>
      <c r="F276" s="2" t="n">
        <v>134</v>
      </c>
      <c r="G276" s="2" t="inlineStr">
        <is>
          <t>Home</t>
        </is>
      </c>
      <c r="H276" s="2" t="inlineStr">
        <is>
          <t>fanduel</t>
        </is>
      </c>
      <c r="I276" s="4" t="n"/>
      <c r="J276" s="4" t="n"/>
      <c r="K276" s="4" t="n">
        <v>-128</v>
      </c>
      <c r="L276" s="4" t="n">
        <v>-128</v>
      </c>
      <c r="M276" s="5" t="n">
        <v>6.5</v>
      </c>
      <c r="N276" s="5" t="n">
        <v>5.712525839227937</v>
      </c>
      <c r="O276" s="5" t="n">
        <v>6.5</v>
      </c>
      <c r="P276" s="5" t="n">
        <v>0.7874741607720628</v>
      </c>
      <c r="Q276" s="6" t="n">
        <v>0.1620329974480074</v>
      </c>
      <c r="R276" s="6" t="n">
        <v>0.6523694020760743</v>
      </c>
      <c r="S276" s="6" t="n">
        <v>0.5581395348837209</v>
      </c>
      <c r="T276" s="2" t="inlineStr">
        <is>
          <t>Under</t>
        </is>
      </c>
      <c r="U276" s="4" t="n">
        <v>-128</v>
      </c>
      <c r="V276" s="2" t="n">
        <v>1.78125</v>
      </c>
      <c r="W276" s="4" t="n">
        <v>-128</v>
      </c>
      <c r="X276" s="2" t="n">
        <v>1</v>
      </c>
      <c r="Y276" s="5" t="n">
        <v>-1</v>
      </c>
      <c r="Z276" s="7" t="n">
        <v>100</v>
      </c>
      <c r="AA276" s="7">
        <f>Y276*Z276</f>
        <v/>
      </c>
      <c r="AB276" s="6">
        <f>IF(Z276=0,0,AA276/Z276)</f>
        <v/>
      </c>
      <c r="AC276" s="6" t="n"/>
      <c r="AD276" s="2" t="inlineStr">
        <is>
          <t>Loss</t>
        </is>
      </c>
      <c r="AE276" s="6">
        <f>IF((COUNTIF($AD$2:AD276,"Win")+COUNTIF($AD$2:AD276,"Loss"))=0,0,COUNTIF($AD$2:AD276,"Win")/(COUNTIF($AD$2:AD276,"Win")+COUNTIF($AD$2:AD276,"Loss")))</f>
        <v/>
      </c>
      <c r="AF276" s="6">
        <f>SUM($Y$2:Y276)/SUM($X$2:X276)</f>
        <v/>
      </c>
      <c r="AG276" s="5">
        <f>SUM($Y$2:Y276)</f>
        <v/>
      </c>
      <c r="AH276" s="7">
        <f>10000.0+SUM($AA$2:AA276)</f>
        <v/>
      </c>
      <c r="AI276" s="2" t="n">
        <v>2025</v>
      </c>
      <c r="AJ276" s="2" t="inlineStr">
        <is>
          <t>2025-08</t>
        </is>
      </c>
      <c r="AK276" s="2" t="inlineStr">
        <is>
          <t>-149 to -120</t>
        </is>
      </c>
      <c r="AL276" s="2" t="inlineStr">
        <is>
          <t>2025 Validation</t>
        </is>
      </c>
      <c r="AM276" s="6" t="n">
        <v>0.2074022367334494</v>
      </c>
    </row>
    <row r="277">
      <c r="A277" s="2" t="inlineStr">
        <is>
          <t>KPROP-00276</t>
        </is>
      </c>
      <c r="B277" s="3" t="n">
        <v>45897.78170138889</v>
      </c>
      <c r="C277" s="3" t="n">
        <v>45897</v>
      </c>
      <c r="D277" s="2" t="inlineStr">
        <is>
          <t>Aaron Nola</t>
        </is>
      </c>
      <c r="E277" s="2" t="n">
        <v>143</v>
      </c>
      <c r="F277" s="2" t="n">
        <v>144</v>
      </c>
      <c r="G277" s="2" t="inlineStr">
        <is>
          <t>Home</t>
        </is>
      </c>
      <c r="H277" s="2" t="inlineStr">
        <is>
          <t>betrivers</t>
        </is>
      </c>
      <c r="I277" s="4" t="n"/>
      <c r="J277" s="4" t="n"/>
      <c r="K277" s="4" t="n">
        <v>102</v>
      </c>
      <c r="L277" s="4" t="n">
        <v>102</v>
      </c>
      <c r="M277" s="5" t="n">
        <v>5.5</v>
      </c>
      <c r="N277" s="5" t="n">
        <v>4.755122886223969</v>
      </c>
      <c r="O277" s="5" t="n">
        <v>5.5</v>
      </c>
      <c r="P277" s="5" t="n">
        <v>0.7448771137760311</v>
      </c>
      <c r="Q277" s="6" t="n">
        <v>0.3308582311116348</v>
      </c>
      <c r="R277" s="6" t="n">
        <v>0.6588407084711063</v>
      </c>
      <c r="S277" s="6" t="n">
        <v>0.4757785467128028</v>
      </c>
      <c r="T277" s="2" t="inlineStr">
        <is>
          <t>Under</t>
        </is>
      </c>
      <c r="U277" s="4" t="n">
        <v>102</v>
      </c>
      <c r="V277" s="2" t="n">
        <v>2.02</v>
      </c>
      <c r="W277" s="4" t="n">
        <v>102</v>
      </c>
      <c r="X277" s="2" t="n">
        <v>1</v>
      </c>
      <c r="Y277" s="5" t="n">
        <v>1.02</v>
      </c>
      <c r="Z277" s="7" t="n">
        <v>100</v>
      </c>
      <c r="AA277" s="7">
        <f>Y277*Z277</f>
        <v/>
      </c>
      <c r="AB277" s="6">
        <f>IF(Z277=0,0,AA277/Z277)</f>
        <v/>
      </c>
      <c r="AC277" s="6" t="n"/>
      <c r="AD277" s="2" t="inlineStr">
        <is>
          <t>Win</t>
        </is>
      </c>
      <c r="AE277" s="6">
        <f>IF((COUNTIF($AD$2:AD277,"Win")+COUNTIF($AD$2:AD277,"Loss"))=0,0,COUNTIF($AD$2:AD277,"Win")/(COUNTIF($AD$2:AD277,"Win")+COUNTIF($AD$2:AD277,"Loss")))</f>
        <v/>
      </c>
      <c r="AF277" s="6">
        <f>SUM($Y$2:Y277)/SUM($X$2:X277)</f>
        <v/>
      </c>
      <c r="AG277" s="5">
        <f>SUM($Y$2:Y277)</f>
        <v/>
      </c>
      <c r="AH277" s="7">
        <f>10000.0+SUM($AA$2:AA277)</f>
        <v/>
      </c>
      <c r="AI277" s="2" t="n">
        <v>2025</v>
      </c>
      <c r="AJ277" s="2" t="inlineStr">
        <is>
          <t>2025-08</t>
        </is>
      </c>
      <c r="AK277" s="2" t="inlineStr">
        <is>
          <t>+100 to +120</t>
        </is>
      </c>
      <c r="AL277" s="2" t="inlineStr">
        <is>
          <t>2025 Validation</t>
        </is>
      </c>
      <c r="AM277" s="6" t="n">
        <v>0.3243708148153283</v>
      </c>
    </row>
    <row r="278">
      <c r="A278" s="2" t="inlineStr">
        <is>
          <t>KPROP-00277</t>
        </is>
      </c>
      <c r="B278" s="3" t="n">
        <v>45897.59420138889</v>
      </c>
      <c r="C278" s="3" t="n">
        <v>45897</v>
      </c>
      <c r="D278" s="2" t="inlineStr">
        <is>
          <t>Braxton Ashcraft</t>
        </is>
      </c>
      <c r="E278" s="2" t="n">
        <v>134</v>
      </c>
      <c r="F278" s="2" t="n">
        <v>138</v>
      </c>
      <c r="G278" s="2" t="inlineStr">
        <is>
          <t>Away</t>
        </is>
      </c>
      <c r="H278" s="2" t="inlineStr">
        <is>
          <t>betrivers</t>
        </is>
      </c>
      <c r="I278" s="4" t="n"/>
      <c r="J278" s="4" t="n"/>
      <c r="K278" s="4" t="n">
        <v>133</v>
      </c>
      <c r="L278" s="4" t="n">
        <v>133</v>
      </c>
      <c r="M278" s="5" t="n">
        <v>3.5</v>
      </c>
      <c r="N278" s="5" t="n">
        <v>3.527604924650488</v>
      </c>
      <c r="O278" s="5" t="n">
        <v>3.5</v>
      </c>
      <c r="P278" s="5" t="n">
        <v>-0.02760492465048836</v>
      </c>
      <c r="Q278" s="6" t="n">
        <v>0.2365026677739649</v>
      </c>
      <c r="R278" s="6" t="n">
        <v>0.5306878402463369</v>
      </c>
      <c r="S278" s="6" t="n">
        <v>0.4170141784820685</v>
      </c>
      <c r="T278" s="2" t="inlineStr">
        <is>
          <t>Under</t>
        </is>
      </c>
      <c r="U278" s="4" t="n">
        <v>133</v>
      </c>
      <c r="V278" s="2" t="n">
        <v>2.33</v>
      </c>
      <c r="W278" s="4" t="n">
        <v>133</v>
      </c>
      <c r="X278" s="2" t="n">
        <v>1</v>
      </c>
      <c r="Y278" s="5" t="n">
        <v>-1</v>
      </c>
      <c r="Z278" s="7" t="n">
        <v>100</v>
      </c>
      <c r="AA278" s="7">
        <f>Y278*Z278</f>
        <v/>
      </c>
      <c r="AB278" s="6">
        <f>IF(Z278=0,0,AA278/Z278)</f>
        <v/>
      </c>
      <c r="AC278" s="6" t="n"/>
      <c r="AD278" s="2" t="inlineStr">
        <is>
          <t>Loss</t>
        </is>
      </c>
      <c r="AE278" s="6">
        <f>IF((COUNTIF($AD$2:AD278,"Win")+COUNTIF($AD$2:AD278,"Loss"))=0,0,COUNTIF($AD$2:AD278,"Win")/(COUNTIF($AD$2:AD278,"Win")+COUNTIF($AD$2:AD278,"Loss")))</f>
        <v/>
      </c>
      <c r="AF278" s="6">
        <f>SUM($Y$2:Y278)/SUM($X$2:X278)</f>
        <v/>
      </c>
      <c r="AG278" s="5">
        <f>SUM($Y$2:Y278)</f>
        <v/>
      </c>
      <c r="AH278" s="7">
        <f>10000.0+SUM($AA$2:AA278)</f>
        <v/>
      </c>
      <c r="AI278" s="2" t="n">
        <v>2025</v>
      </c>
      <c r="AJ278" s="2" t="inlineStr">
        <is>
          <t>2025-08</t>
        </is>
      </c>
      <c r="AK278" s="2" t="inlineStr">
        <is>
          <t>+121 to +150</t>
        </is>
      </c>
      <c r="AL278" s="2" t="inlineStr">
        <is>
          <t>2025 Validation</t>
        </is>
      </c>
      <c r="AM278" s="6" t="n">
        <v>0.1778215547172668</v>
      </c>
    </row>
    <row r="279">
      <c r="A279" s="2" t="inlineStr">
        <is>
          <t>KPROP-00278</t>
        </is>
      </c>
      <c r="B279" s="3" t="n">
        <v>45897.7990625</v>
      </c>
      <c r="C279" s="3" t="n">
        <v>45897</v>
      </c>
      <c r="D279" s="2" t="inlineStr">
        <is>
          <t>Clay Holmes</t>
        </is>
      </c>
      <c r="E279" s="2" t="n">
        <v>121</v>
      </c>
      <c r="F279" s="2" t="n">
        <v>146</v>
      </c>
      <c r="G279" s="2" t="inlineStr">
        <is>
          <t>Home</t>
        </is>
      </c>
      <c r="H279" s="2" t="inlineStr">
        <is>
          <t>bovada</t>
        </is>
      </c>
      <c r="I279" s="4" t="n"/>
      <c r="J279" s="4" t="n"/>
      <c r="K279" s="4" t="n">
        <v>130</v>
      </c>
      <c r="L279" s="4" t="n">
        <v>130</v>
      </c>
      <c r="M279" s="5" t="n">
        <v>3.5</v>
      </c>
      <c r="N279" s="5" t="n">
        <v>3.805672254831525</v>
      </c>
      <c r="O279" s="5" t="n">
        <v>3.5</v>
      </c>
      <c r="P279" s="5" t="n">
        <v>-0.3056722548315252</v>
      </c>
      <c r="Q279" s="6" t="n">
        <v>0.0863476402096184</v>
      </c>
      <c r="R279" s="6" t="n">
        <v>0.4723250609607037</v>
      </c>
      <c r="S279" s="6" t="n">
        <v>0.4140127388535032</v>
      </c>
      <c r="T279" s="2" t="inlineStr">
        <is>
          <t>Under</t>
        </is>
      </c>
      <c r="U279" s="4" t="n">
        <v>130</v>
      </c>
      <c r="V279" s="2" t="n">
        <v>2.3</v>
      </c>
      <c r="W279" s="4" t="n">
        <v>130</v>
      </c>
      <c r="X279" s="2" t="n">
        <v>1</v>
      </c>
      <c r="Y279" s="5" t="n">
        <v>1.3</v>
      </c>
      <c r="Z279" s="7" t="n">
        <v>100</v>
      </c>
      <c r="AA279" s="7">
        <f>Y279*Z279</f>
        <v/>
      </c>
      <c r="AB279" s="6">
        <f>IF(Z279=0,0,AA279/Z279)</f>
        <v/>
      </c>
      <c r="AC279" s="6" t="n"/>
      <c r="AD279" s="2" t="inlineStr">
        <is>
          <t>Win</t>
        </is>
      </c>
      <c r="AE279" s="6">
        <f>IF((COUNTIF($AD$2:AD279,"Win")+COUNTIF($AD$2:AD279,"Loss"))=0,0,COUNTIF($AD$2:AD279,"Win")/(COUNTIF($AD$2:AD279,"Win")+COUNTIF($AD$2:AD279,"Loss")))</f>
        <v/>
      </c>
      <c r="AF279" s="6">
        <f>SUM($Y$2:Y279)/SUM($X$2:X279)</f>
        <v/>
      </c>
      <c r="AG279" s="5">
        <f>SUM($Y$2:Y279)</f>
        <v/>
      </c>
      <c r="AH279" s="7">
        <f>10000.0+SUM($AA$2:AA279)</f>
        <v/>
      </c>
      <c r="AI279" s="2" t="n">
        <v>2025</v>
      </c>
      <c r="AJ279" s="2" t="inlineStr">
        <is>
          <t>2025-08</t>
        </is>
      </c>
      <c r="AK279" s="2" t="inlineStr">
        <is>
          <t>+121 to +150</t>
        </is>
      </c>
      <c r="AL279" s="2" t="inlineStr">
        <is>
          <t>2025 Validation</t>
        </is>
      </c>
      <c r="AM279" s="6" t="n">
        <v>0.06642126169970645</v>
      </c>
    </row>
    <row r="280">
      <c r="A280" s="2" t="inlineStr">
        <is>
          <t>KPROP-00279</t>
        </is>
      </c>
      <c r="B280" s="3" t="n">
        <v>45897.65670138889</v>
      </c>
      <c r="C280" s="3" t="n">
        <v>45897</v>
      </c>
      <c r="D280" s="2" t="inlineStr">
        <is>
          <t>Logan Webb</t>
        </is>
      </c>
      <c r="E280" s="2" t="n">
        <v>137</v>
      </c>
      <c r="F280" s="2" t="n">
        <v>112</v>
      </c>
      <c r="G280" s="2" t="inlineStr">
        <is>
          <t>Home</t>
        </is>
      </c>
      <c r="H280" s="2" t="inlineStr">
        <is>
          <t>draftkings</t>
        </is>
      </c>
      <c r="I280" s="4" t="n"/>
      <c r="J280" s="4" t="n"/>
      <c r="K280" s="4" t="n">
        <v>105</v>
      </c>
      <c r="L280" s="4" t="n">
        <v>105</v>
      </c>
      <c r="M280" s="5" t="n">
        <v>5.5</v>
      </c>
      <c r="N280" s="5" t="n">
        <v>5.132951093578044</v>
      </c>
      <c r="O280" s="5" t="n">
        <v>5.5</v>
      </c>
      <c r="P280" s="5" t="n">
        <v>0.3670489064219558</v>
      </c>
      <c r="Q280" s="6" t="n">
        <v>0.2149235504661702</v>
      </c>
      <c r="R280" s="6" t="n">
        <v>0.5926456343737416</v>
      </c>
      <c r="S280" s="6" t="n">
        <v>0.4740160904544466</v>
      </c>
      <c r="T280" s="2" t="inlineStr">
        <is>
          <t>Under</t>
        </is>
      </c>
      <c r="U280" s="4" t="n">
        <v>105</v>
      </c>
      <c r="V280" s="2" t="n">
        <v>2.05</v>
      </c>
      <c r="W280" s="4" t="n">
        <v>105</v>
      </c>
      <c r="X280" s="2" t="n">
        <v>1</v>
      </c>
      <c r="Y280" s="5" t="n">
        <v>-1</v>
      </c>
      <c r="Z280" s="7" t="n">
        <v>100</v>
      </c>
      <c r="AA280" s="7">
        <f>Y280*Z280</f>
        <v/>
      </c>
      <c r="AB280" s="6">
        <f>IF(Z280=0,0,AA280/Z280)</f>
        <v/>
      </c>
      <c r="AC280" s="6" t="n"/>
      <c r="AD280" s="2" t="inlineStr">
        <is>
          <t>Loss</t>
        </is>
      </c>
      <c r="AE280" s="6">
        <f>IF((COUNTIF($AD$2:AD280,"Win")+COUNTIF($AD$2:AD280,"Loss"))=0,0,COUNTIF($AD$2:AD280,"Win")/(COUNTIF($AD$2:AD280,"Win")+COUNTIF($AD$2:AD280,"Loss")))</f>
        <v/>
      </c>
      <c r="AF280" s="6">
        <f>SUM($Y$2:Y280)/SUM($X$2:X280)</f>
        <v/>
      </c>
      <c r="AG280" s="5">
        <f>SUM($Y$2:Y280)</f>
        <v/>
      </c>
      <c r="AH280" s="7">
        <f>10000.0+SUM($AA$2:AA280)</f>
        <v/>
      </c>
      <c r="AI280" s="2" t="n">
        <v>2025</v>
      </c>
      <c r="AJ280" s="2" t="inlineStr">
        <is>
          <t>2025-08</t>
        </is>
      </c>
      <c r="AK280" s="2" t="inlineStr">
        <is>
          <t>+100 to +120</t>
        </is>
      </c>
      <c r="AL280" s="2" t="inlineStr">
        <is>
          <t>2025 Validation</t>
        </is>
      </c>
      <c r="AM280" s="6" t="n">
        <v>0.2046890956820669</v>
      </c>
    </row>
    <row r="281">
      <c r="A281" s="2" t="inlineStr">
        <is>
          <t>KPROP-00280</t>
        </is>
      </c>
      <c r="B281" s="3" t="n">
        <v>45897.65670138889</v>
      </c>
      <c r="C281" s="3" t="n">
        <v>45897</v>
      </c>
      <c r="D281" s="2" t="inlineStr">
        <is>
          <t>Shota Imanaga</t>
        </is>
      </c>
      <c r="E281" s="2" t="n">
        <v>112</v>
      </c>
      <c r="F281" s="2" t="n">
        <v>137</v>
      </c>
      <c r="G281" s="2" t="inlineStr">
        <is>
          <t>Away</t>
        </is>
      </c>
      <c r="H281" s="2" t="inlineStr">
        <is>
          <t>betrivers</t>
        </is>
      </c>
      <c r="I281" s="4" t="n"/>
      <c r="J281" s="4" t="n"/>
      <c r="K281" s="4" t="n">
        <v>128</v>
      </c>
      <c r="L281" s="4" t="n">
        <v>128</v>
      </c>
      <c r="M281" s="5" t="n">
        <v>4.5</v>
      </c>
      <c r="N281" s="5" t="n">
        <v>4.655758563336184</v>
      </c>
      <c r="O281" s="5" t="n">
        <v>4.5</v>
      </c>
      <c r="P281" s="5" t="n">
        <v>-0.1557585633361835</v>
      </c>
      <c r="Q281" s="6" t="n">
        <v>0.1464220043719623</v>
      </c>
      <c r="R281" s="6" t="n">
        <v>0.5028166685841939</v>
      </c>
      <c r="S281" s="6" t="n">
        <v>0.4070177500881627</v>
      </c>
      <c r="T281" s="2" t="inlineStr">
        <is>
          <t>Under</t>
        </is>
      </c>
      <c r="U281" s="4" t="n">
        <v>128</v>
      </c>
      <c r="V281" s="2" t="n">
        <v>2.28</v>
      </c>
      <c r="W281" s="4" t="n">
        <v>128</v>
      </c>
      <c r="X281" s="2" t="n">
        <v>1</v>
      </c>
      <c r="Y281" s="5" t="n">
        <v>-1</v>
      </c>
      <c r="Z281" s="7" t="n">
        <v>100</v>
      </c>
      <c r="AA281" s="7">
        <f>Y281*Z281</f>
        <v/>
      </c>
      <c r="AB281" s="6">
        <f>IF(Z281=0,0,AA281/Z281)</f>
        <v/>
      </c>
      <c r="AC281" s="6" t="n"/>
      <c r="AD281" s="2" t="inlineStr">
        <is>
          <t>Loss</t>
        </is>
      </c>
      <c r="AE281" s="6">
        <f>IF((COUNTIF($AD$2:AD281,"Win")+COUNTIF($AD$2:AD281,"Loss"))=0,0,COUNTIF($AD$2:AD281,"Win")/(COUNTIF($AD$2:AD281,"Win")+COUNTIF($AD$2:AD281,"Loss")))</f>
        <v/>
      </c>
      <c r="AF281" s="6">
        <f>SUM($Y$2:Y281)/SUM($X$2:X281)</f>
        <v/>
      </c>
      <c r="AG281" s="5">
        <f>SUM($Y$2:Y281)</f>
        <v/>
      </c>
      <c r="AH281" s="7">
        <f>10000.0+SUM($AA$2:AA281)</f>
        <v/>
      </c>
      <c r="AI281" s="2" t="n">
        <v>2025</v>
      </c>
      <c r="AJ281" s="2" t="inlineStr">
        <is>
          <t>2025-08</t>
        </is>
      </c>
      <c r="AK281" s="2" t="inlineStr">
        <is>
          <t>+121 to +150</t>
        </is>
      </c>
      <c r="AL281" s="2" t="inlineStr">
        <is>
          <t>2025 Validation</t>
        </is>
      </c>
      <c r="AM281" s="6" t="n">
        <v>0.1143921909155955</v>
      </c>
    </row>
    <row r="282">
      <c r="A282" s="2" t="inlineStr">
        <is>
          <t>KPROP-00281</t>
        </is>
      </c>
      <c r="B282" s="3" t="n">
        <v>45897.65670138889</v>
      </c>
      <c r="C282" s="3" t="n">
        <v>45897</v>
      </c>
      <c r="D282" s="2" t="inlineStr">
        <is>
          <t>Shota Imanaga</t>
        </is>
      </c>
      <c r="E282" s="2" t="n">
        <v>112</v>
      </c>
      <c r="F282" s="2" t="n">
        <v>137</v>
      </c>
      <c r="G282" s="2" t="inlineStr">
        <is>
          <t>Away</t>
        </is>
      </c>
      <c r="H282" s="2" t="inlineStr">
        <is>
          <t>fanatics</t>
        </is>
      </c>
      <c r="I282" s="4" t="n"/>
      <c r="J282" s="4" t="n"/>
      <c r="K282" s="4" t="n">
        <v>-140</v>
      </c>
      <c r="L282" s="4" t="n">
        <v>-140</v>
      </c>
      <c r="M282" s="5" t="n">
        <v>5.5</v>
      </c>
      <c r="N282" s="5" t="n">
        <v>4.655758563336184</v>
      </c>
      <c r="O282" s="5" t="n">
        <v>5.5</v>
      </c>
      <c r="P282" s="5" t="n">
        <v>0.8442414366638165</v>
      </c>
      <c r="Q282" s="6" t="n">
        <v>0.1590586454795904</v>
      </c>
      <c r="R282" s="6" t="n">
        <v>0.6761175431964277</v>
      </c>
      <c r="S282" s="6" t="n">
        <v>0.562043795620438</v>
      </c>
      <c r="T282" s="2" t="inlineStr">
        <is>
          <t>Under</t>
        </is>
      </c>
      <c r="U282" s="4" t="n">
        <v>-140</v>
      </c>
      <c r="V282" s="2" t="n">
        <v>1.714285714285714</v>
      </c>
      <c r="W282" s="4" t="n">
        <v>-140</v>
      </c>
      <c r="X282" s="2" t="n">
        <v>1</v>
      </c>
      <c r="Y282" s="5" t="n">
        <v>0.7142857142857144</v>
      </c>
      <c r="Z282" s="7" t="n">
        <v>100</v>
      </c>
      <c r="AA282" s="7">
        <f>Y282*Z282</f>
        <v/>
      </c>
      <c r="AB282" s="6">
        <f>IF(Z282=0,0,AA282/Z282)</f>
        <v/>
      </c>
      <c r="AC282" s="6" t="n"/>
      <c r="AD282" s="2" t="inlineStr">
        <is>
          <t>Win</t>
        </is>
      </c>
      <c r="AE282" s="6">
        <f>IF((COUNTIF($AD$2:AD282,"Win")+COUNTIF($AD$2:AD282,"Loss"))=0,0,COUNTIF($AD$2:AD282,"Win")/(COUNTIF($AD$2:AD282,"Win")+COUNTIF($AD$2:AD282,"Loss")))</f>
        <v/>
      </c>
      <c r="AF282" s="6">
        <f>SUM($Y$2:Y282)/SUM($X$2:X282)</f>
        <v/>
      </c>
      <c r="AG282" s="5">
        <f>SUM($Y$2:Y282)</f>
        <v/>
      </c>
      <c r="AH282" s="7">
        <f>10000.0+SUM($AA$2:AA282)</f>
        <v/>
      </c>
      <c r="AI282" s="2" t="n">
        <v>2025</v>
      </c>
      <c r="AJ282" s="2" t="inlineStr">
        <is>
          <t>2025-08</t>
        </is>
      </c>
      <c r="AK282" s="2" t="inlineStr">
        <is>
          <t>-149 to -120</t>
        </is>
      </c>
      <c r="AL282" s="2" t="inlineStr">
        <is>
          <t>2025 Validation</t>
        </is>
      </c>
      <c r="AM282" s="6" t="n">
        <v>0.2226821036714265</v>
      </c>
    </row>
    <row r="283">
      <c r="A283" s="2" t="inlineStr">
        <is>
          <t>KPROP-00282</t>
        </is>
      </c>
      <c r="B283" s="3" t="n">
        <v>45898.7990625</v>
      </c>
      <c r="C283" s="3" t="n">
        <v>45898</v>
      </c>
      <c r="D283" s="2" t="inlineStr">
        <is>
          <t>Jonah Tong</t>
        </is>
      </c>
      <c r="E283" s="2" t="n">
        <v>121</v>
      </c>
      <c r="F283" s="2" t="n">
        <v>146</v>
      </c>
      <c r="G283" s="2" t="inlineStr">
        <is>
          <t>Home</t>
        </is>
      </c>
      <c r="H283" s="2" t="inlineStr">
        <is>
          <t>bovada</t>
        </is>
      </c>
      <c r="I283" s="4" t="n"/>
      <c r="J283" s="4" t="n"/>
      <c r="K283" s="4" t="n">
        <v>130</v>
      </c>
      <c r="L283" s="4" t="n">
        <v>130</v>
      </c>
      <c r="M283" s="5" t="n">
        <v>5.5</v>
      </c>
      <c r="N283" s="5" t="n">
        <v>4.362477986665666</v>
      </c>
      <c r="O283" s="5" t="n">
        <v>5.5</v>
      </c>
      <c r="P283" s="5" t="n">
        <v>1.137522013334334</v>
      </c>
      <c r="Q283" s="6" t="n">
        <v>0.6703197321340287</v>
      </c>
      <c r="R283" s="6" t="n">
        <v>0.726225970493056</v>
      </c>
      <c r="S283" s="6" t="n">
        <v>0.4201680672268908</v>
      </c>
      <c r="T283" s="2" t="inlineStr">
        <is>
          <t>Under</t>
        </is>
      </c>
      <c r="U283" s="4" t="n">
        <v>130</v>
      </c>
      <c r="V283" s="2" t="n">
        <v>2.3</v>
      </c>
      <c r="W283" s="4" t="n">
        <v>130</v>
      </c>
      <c r="X283" s="2" t="n">
        <v>1</v>
      </c>
      <c r="Y283" s="5" t="n">
        <v>-1</v>
      </c>
      <c r="Z283" s="7" t="n">
        <v>100</v>
      </c>
      <c r="AA283" s="7">
        <f>Y283*Z283</f>
        <v/>
      </c>
      <c r="AB283" s="6">
        <f>IF(Z283=0,0,AA283/Z283)</f>
        <v/>
      </c>
      <c r="AC283" s="6" t="n"/>
      <c r="AD283" s="2" t="inlineStr">
        <is>
          <t>Loss</t>
        </is>
      </c>
      <c r="AE283" s="6">
        <f>IF((COUNTIF($AD$2:AD283,"Win")+COUNTIF($AD$2:AD283,"Loss"))=0,0,COUNTIF($AD$2:AD283,"Win")/(COUNTIF($AD$2:AD283,"Win")+COUNTIF($AD$2:AD283,"Loss")))</f>
        <v/>
      </c>
      <c r="AF283" s="6">
        <f>SUM($Y$2:Y283)/SUM($X$2:X283)</f>
        <v/>
      </c>
      <c r="AG283" s="5">
        <f>SUM($Y$2:Y283)</f>
        <v/>
      </c>
      <c r="AH283" s="7">
        <f>10000.0+SUM($AA$2:AA283)</f>
        <v/>
      </c>
      <c r="AI283" s="2" t="n">
        <v>2025</v>
      </c>
      <c r="AJ283" s="2" t="inlineStr">
        <is>
          <t>2025-08</t>
        </is>
      </c>
      <c r="AK283" s="2" t="inlineStr">
        <is>
          <t>+121 to +150</t>
        </is>
      </c>
      <c r="AL283" s="2" t="inlineStr">
        <is>
          <t>2025 Validation</t>
        </is>
      </c>
      <c r="AM283" s="6" t="n">
        <v>0.5156305631800222</v>
      </c>
    </row>
    <row r="284">
      <c r="A284" s="2" t="inlineStr">
        <is>
          <t>KPROP-00283</t>
        </is>
      </c>
      <c r="B284" s="3" t="n">
        <v>45898.7990625</v>
      </c>
      <c r="C284" s="3" t="n">
        <v>45898</v>
      </c>
      <c r="D284" s="2" t="inlineStr">
        <is>
          <t>Jonah Tong</t>
        </is>
      </c>
      <c r="E284" s="2" t="n">
        <v>121</v>
      </c>
      <c r="F284" s="2" t="n">
        <v>146</v>
      </c>
      <c r="G284" s="2" t="inlineStr">
        <is>
          <t>Home</t>
        </is>
      </c>
      <c r="H284" s="2" t="inlineStr">
        <is>
          <t>betrivers</t>
        </is>
      </c>
      <c r="I284" s="4" t="n"/>
      <c r="J284" s="4" t="n"/>
      <c r="K284" s="4" t="n">
        <v>-165</v>
      </c>
      <c r="L284" s="4" t="n">
        <v>-165</v>
      </c>
      <c r="M284" s="5" t="n">
        <v>6.5</v>
      </c>
      <c r="N284" s="5" t="n">
        <v>4.362477986665666</v>
      </c>
      <c r="O284" s="5" t="n">
        <v>6.5</v>
      </c>
      <c r="P284" s="5" t="n">
        <v>2.137522013334334</v>
      </c>
      <c r="Q284" s="6" t="n">
        <v>0.3623506182125452</v>
      </c>
      <c r="R284" s="6" t="n">
        <v>0.8482560453021508</v>
      </c>
      <c r="S284" s="6" t="n">
        <v>0.5990922844175491</v>
      </c>
      <c r="T284" s="2" t="inlineStr">
        <is>
          <t>Under</t>
        </is>
      </c>
      <c r="U284" s="4" t="n">
        <v>-165</v>
      </c>
      <c r="V284" s="2" t="n">
        <v>1.606060606060606</v>
      </c>
      <c r="W284" s="4" t="n">
        <v>-165</v>
      </c>
      <c r="X284" s="2" t="n">
        <v>1</v>
      </c>
      <c r="Y284" s="5" t="n">
        <v>0.606060606060606</v>
      </c>
      <c r="Z284" s="7" t="n">
        <v>100</v>
      </c>
      <c r="AA284" s="7">
        <f>Y284*Z284</f>
        <v/>
      </c>
      <c r="AB284" s="6">
        <f>IF(Z284=0,0,AA284/Z284)</f>
        <v/>
      </c>
      <c r="AC284" s="6" t="n"/>
      <c r="AD284" s="2" t="inlineStr">
        <is>
          <t>Win</t>
        </is>
      </c>
      <c r="AE284" s="6">
        <f>IF((COUNTIF($AD$2:AD284,"Win")+COUNTIF($AD$2:AD284,"Loss"))=0,0,COUNTIF($AD$2:AD284,"Win")/(COUNTIF($AD$2:AD284,"Win")+COUNTIF($AD$2:AD284,"Loss")))</f>
        <v/>
      </c>
      <c r="AF284" s="6">
        <f>SUM($Y$2:Y284)/SUM($X$2:X284)</f>
        <v/>
      </c>
      <c r="AG284" s="5">
        <f>SUM($Y$2:Y284)</f>
        <v/>
      </c>
      <c r="AH284" s="7">
        <f>10000.0+SUM($AA$2:AA284)</f>
        <v/>
      </c>
      <c r="AI284" s="2" t="n">
        <v>2025</v>
      </c>
      <c r="AJ284" s="2" t="inlineStr">
        <is>
          <t>2025-08</t>
        </is>
      </c>
      <c r="AK284" s="2" t="inlineStr">
        <is>
          <t>&lt;= -150</t>
        </is>
      </c>
      <c r="AL284" s="2" t="inlineStr">
        <is>
          <t>2025 Validation</t>
        </is>
      </c>
      <c r="AM284" s="6" t="n">
        <v>0.5978785200506997</v>
      </c>
    </row>
    <row r="285">
      <c r="A285" s="2" t="inlineStr">
        <is>
          <t>KPROP-00284</t>
        </is>
      </c>
      <c r="B285" s="3" t="n">
        <v>45898.77824074074</v>
      </c>
      <c r="C285" s="3" t="n">
        <v>45898</v>
      </c>
      <c r="D285" s="2" t="inlineStr">
        <is>
          <t>Matthew Liberatore</t>
        </is>
      </c>
      <c r="E285" s="2" t="n">
        <v>138</v>
      </c>
      <c r="F285" s="2" t="n">
        <v>113</v>
      </c>
      <c r="G285" s="2" t="inlineStr">
        <is>
          <t>Away</t>
        </is>
      </c>
      <c r="H285" s="2" t="inlineStr">
        <is>
          <t>draftkings</t>
        </is>
      </c>
      <c r="I285" s="4" t="n"/>
      <c r="J285" s="4" t="n"/>
      <c r="K285" s="4" t="n">
        <v>125</v>
      </c>
      <c r="L285" s="4" t="n">
        <v>125</v>
      </c>
      <c r="M285" s="5" t="n">
        <v>3.5</v>
      </c>
      <c r="N285" s="5" t="n">
        <v>3.321354083453057</v>
      </c>
      <c r="O285" s="5" t="n">
        <v>3.5</v>
      </c>
      <c r="P285" s="5" t="n">
        <v>0.1786459165469432</v>
      </c>
      <c r="Q285" s="6" t="n">
        <v>0.2951573843121389</v>
      </c>
      <c r="R285" s="6" t="n">
        <v>0.5756255041387284</v>
      </c>
      <c r="S285" s="6" t="n">
        <v>0.4255319148936171</v>
      </c>
      <c r="T285" s="2" t="inlineStr">
        <is>
          <t>Under</t>
        </is>
      </c>
      <c r="U285" s="4" t="n">
        <v>125</v>
      </c>
      <c r="V285" s="2" t="n">
        <v>2.25</v>
      </c>
      <c r="W285" s="4" t="n">
        <v>125</v>
      </c>
      <c r="X285" s="2" t="n">
        <v>1</v>
      </c>
      <c r="Y285" s="5" t="n">
        <v>-1</v>
      </c>
      <c r="Z285" s="7" t="n">
        <v>100</v>
      </c>
      <c r="AA285" s="7">
        <f>Y285*Z285</f>
        <v/>
      </c>
      <c r="AB285" s="6">
        <f>IF(Z285=0,0,AA285/Z285)</f>
        <v/>
      </c>
      <c r="AC285" s="6" t="n"/>
      <c r="AD285" s="2" t="inlineStr">
        <is>
          <t>Loss</t>
        </is>
      </c>
      <c r="AE285" s="6">
        <f>IF((COUNTIF($AD$2:AD285,"Win")+COUNTIF($AD$2:AD285,"Loss"))=0,0,COUNTIF($AD$2:AD285,"Win")/(COUNTIF($AD$2:AD285,"Win")+COUNTIF($AD$2:AD285,"Loss")))</f>
        <v/>
      </c>
      <c r="AF285" s="6">
        <f>SUM($Y$2:Y285)/SUM($X$2:X285)</f>
        <v/>
      </c>
      <c r="AG285" s="5">
        <f>SUM($Y$2:Y285)</f>
        <v/>
      </c>
      <c r="AH285" s="7">
        <f>10000.0+SUM($AA$2:AA285)</f>
        <v/>
      </c>
      <c r="AI285" s="2" t="n">
        <v>2025</v>
      </c>
      <c r="AJ285" s="2" t="inlineStr">
        <is>
          <t>2025-08</t>
        </is>
      </c>
      <c r="AK285" s="2" t="inlineStr">
        <is>
          <t>+121 to +150</t>
        </is>
      </c>
      <c r="AL285" s="2" t="inlineStr">
        <is>
          <t>2025 Validation</t>
        </is>
      </c>
      <c r="AM285" s="6" t="n">
        <v>0.2361259074497111</v>
      </c>
    </row>
    <row r="286">
      <c r="A286" s="2" t="inlineStr">
        <is>
          <t>KPROP-00285</t>
        </is>
      </c>
      <c r="B286" s="3" t="n">
        <v>45898.77824074074</v>
      </c>
      <c r="C286" s="3" t="n">
        <v>45898</v>
      </c>
      <c r="D286" s="2" t="inlineStr">
        <is>
          <t>Matthew Liberatore</t>
        </is>
      </c>
      <c r="E286" s="2" t="n">
        <v>138</v>
      </c>
      <c r="F286" s="2" t="n">
        <v>113</v>
      </c>
      <c r="G286" s="2" t="inlineStr">
        <is>
          <t>Away</t>
        </is>
      </c>
      <c r="H286" s="2" t="inlineStr">
        <is>
          <t>mybookieag</t>
        </is>
      </c>
      <c r="I286" s="4" t="n"/>
      <c r="J286" s="4" t="n"/>
      <c r="K286" s="4" t="n">
        <v>-171</v>
      </c>
      <c r="L286" s="4" t="n">
        <v>-171</v>
      </c>
      <c r="M286" s="5" t="n">
        <v>4.5</v>
      </c>
      <c r="N286" s="5" t="n">
        <v>3.321354083453057</v>
      </c>
      <c r="O286" s="5" t="n">
        <v>4.5</v>
      </c>
      <c r="P286" s="5" t="n">
        <v>1.178645916546943</v>
      </c>
      <c r="Q286" s="6" t="n">
        <v>0.2023680907274556</v>
      </c>
      <c r="R286" s="6" t="n">
        <v>0.7586898284664019</v>
      </c>
      <c r="S286" s="6" t="n">
        <v>0.5972356394441555</v>
      </c>
      <c r="T286" s="2" t="inlineStr">
        <is>
          <t>Under</t>
        </is>
      </c>
      <c r="U286" s="4" t="n">
        <v>-171</v>
      </c>
      <c r="V286" s="2" t="n">
        <v>1.584795321637427</v>
      </c>
      <c r="W286" s="4" t="n">
        <v>-171</v>
      </c>
      <c r="X286" s="2" t="n">
        <v>1</v>
      </c>
      <c r="Y286" s="5" t="n">
        <v>0.5847953216374269</v>
      </c>
      <c r="Z286" s="7" t="n">
        <v>100</v>
      </c>
      <c r="AA286" s="7">
        <f>Y286*Z286</f>
        <v/>
      </c>
      <c r="AB286" s="6">
        <f>IF(Z286=0,0,AA286/Z286)</f>
        <v/>
      </c>
      <c r="AC286" s="6" t="n"/>
      <c r="AD286" s="2" t="inlineStr">
        <is>
          <t>Win</t>
        </is>
      </c>
      <c r="AE286" s="6">
        <f>IF((COUNTIF($AD$2:AD286,"Win")+COUNTIF($AD$2:AD286,"Loss"))=0,0,COUNTIF($AD$2:AD286,"Win")/(COUNTIF($AD$2:AD286,"Win")+COUNTIF($AD$2:AD286,"Loss")))</f>
        <v/>
      </c>
      <c r="AF286" s="6">
        <f>SUM($Y$2:Y286)/SUM($X$2:X286)</f>
        <v/>
      </c>
      <c r="AG286" s="5">
        <f>SUM($Y$2:Y286)</f>
        <v/>
      </c>
      <c r="AH286" s="7">
        <f>10000.0+SUM($AA$2:AA286)</f>
        <v/>
      </c>
      <c r="AI286" s="2" t="n">
        <v>2025</v>
      </c>
      <c r="AJ286" s="2" t="inlineStr">
        <is>
          <t>2025-08</t>
        </is>
      </c>
      <c r="AK286" s="2" t="inlineStr">
        <is>
          <t>&lt;= -150</t>
        </is>
      </c>
      <c r="AL286" s="2" t="inlineStr">
        <is>
          <t>2025 Validation</t>
        </is>
      </c>
      <c r="AM286" s="6" t="n">
        <v>0.3460494351439491</v>
      </c>
    </row>
    <row r="287">
      <c r="A287" s="2" t="inlineStr">
        <is>
          <t>KPROP-00286</t>
        </is>
      </c>
      <c r="B287" s="3" t="n">
        <v>45898.78170138889</v>
      </c>
      <c r="C287" s="3" t="n">
        <v>45898</v>
      </c>
      <c r="D287" s="2" t="inlineStr">
        <is>
          <t>Ranger Suarez</t>
        </is>
      </c>
      <c r="E287" s="2" t="n">
        <v>143</v>
      </c>
      <c r="F287" s="2" t="n">
        <v>144</v>
      </c>
      <c r="G287" s="2" t="inlineStr">
        <is>
          <t>Home</t>
        </is>
      </c>
      <c r="H287" s="2" t="inlineStr">
        <is>
          <t>bovada</t>
        </is>
      </c>
      <c r="I287" s="4" t="n"/>
      <c r="J287" s="4" t="n"/>
      <c r="K287" s="4" t="n">
        <v>-120</v>
      </c>
      <c r="L287" s="4" t="n">
        <v>-120</v>
      </c>
      <c r="M287" s="5" t="n">
        <v>5.5</v>
      </c>
      <c r="N287" s="5" t="n">
        <v>4.685780243751766</v>
      </c>
      <c r="O287" s="5" t="n">
        <v>5.5</v>
      </c>
      <c r="P287" s="5" t="n">
        <v>0.8142197562482343</v>
      </c>
      <c r="Q287" s="6" t="n">
        <v>0.2300001284149745</v>
      </c>
      <c r="R287" s="6" t="n">
        <v>0.6709091609536224</v>
      </c>
      <c r="S287" s="6" t="n">
        <v>0.5291095890410958</v>
      </c>
      <c r="T287" s="2" t="inlineStr">
        <is>
          <t>Under</t>
        </is>
      </c>
      <c r="U287" s="4" t="n">
        <v>-120</v>
      </c>
      <c r="V287" s="2" t="n">
        <v>1.833333333333333</v>
      </c>
      <c r="W287" s="4" t="n">
        <v>-120</v>
      </c>
      <c r="X287" s="2" t="n">
        <v>1</v>
      </c>
      <c r="Y287" s="5" t="n">
        <v>0.8333333333333335</v>
      </c>
      <c r="Z287" s="7" t="n">
        <v>100</v>
      </c>
      <c r="AA287" s="7">
        <f>Y287*Z287</f>
        <v/>
      </c>
      <c r="AB287" s="6">
        <f>IF(Z287=0,0,AA287/Z287)</f>
        <v/>
      </c>
      <c r="AC287" s="6" t="n"/>
      <c r="AD287" s="2" t="inlineStr">
        <is>
          <t>Win</t>
        </is>
      </c>
      <c r="AE287" s="6">
        <f>IF((COUNTIF($AD$2:AD287,"Win")+COUNTIF($AD$2:AD287,"Loss"))=0,0,COUNTIF($AD$2:AD287,"Win")/(COUNTIF($AD$2:AD287,"Win")+COUNTIF($AD$2:AD287,"Loss")))</f>
        <v/>
      </c>
      <c r="AF287" s="6">
        <f>SUM($Y$2:Y287)/SUM($X$2:X287)</f>
        <v/>
      </c>
      <c r="AG287" s="5">
        <f>SUM($Y$2:Y287)</f>
        <v/>
      </c>
      <c r="AH287" s="7">
        <f>10000.0+SUM($AA$2:AA287)</f>
        <v/>
      </c>
      <c r="AI287" s="2" t="n">
        <v>2025</v>
      </c>
      <c r="AJ287" s="2" t="inlineStr">
        <is>
          <t>2025-08</t>
        </is>
      </c>
      <c r="AK287" s="2" t="inlineStr">
        <is>
          <t>-149 to -120</t>
        </is>
      </c>
      <c r="AL287" s="2" t="inlineStr">
        <is>
          <t>2025 Validation</t>
        </is>
      </c>
      <c r="AM287" s="6" t="n">
        <v>0.2760001540979694</v>
      </c>
    </row>
    <row r="288">
      <c r="A288" s="2" t="inlineStr">
        <is>
          <t>KPROP-00287</t>
        </is>
      </c>
      <c r="B288" s="3" t="n">
        <v>45898.77824074074</v>
      </c>
      <c r="C288" s="3" t="n">
        <v>45898</v>
      </c>
      <c r="D288" s="2" t="inlineStr">
        <is>
          <t>Zack Littell</t>
        </is>
      </c>
      <c r="E288" s="2" t="n">
        <v>113</v>
      </c>
      <c r="F288" s="2" t="n">
        <v>138</v>
      </c>
      <c r="G288" s="2" t="inlineStr">
        <is>
          <t>Home</t>
        </is>
      </c>
      <c r="H288" s="2" t="inlineStr">
        <is>
          <t>draftkings</t>
        </is>
      </c>
      <c r="I288" s="4" t="n"/>
      <c r="J288" s="4" t="n"/>
      <c r="K288" s="4" t="n">
        <v>-130</v>
      </c>
      <c r="L288" s="4" t="n">
        <v>-130</v>
      </c>
      <c r="M288" s="5" t="n">
        <v>4.5</v>
      </c>
      <c r="N288" s="5" t="n">
        <v>4.077915141748649</v>
      </c>
      <c r="O288" s="5" t="n">
        <v>4.5</v>
      </c>
      <c r="P288" s="5" t="n">
        <v>0.4220848582513508</v>
      </c>
      <c r="Q288" s="6" t="n">
        <v>0.08563311040886434</v>
      </c>
      <c r="R288" s="6" t="n">
        <v>0.6136187145789234</v>
      </c>
      <c r="S288" s="6" t="n">
        <v>0.5427435387673957</v>
      </c>
      <c r="T288" s="2" t="inlineStr">
        <is>
          <t>Under</t>
        </is>
      </c>
      <c r="U288" s="4" t="n">
        <v>-130</v>
      </c>
      <c r="V288" s="2" t="n">
        <v>1.769230769230769</v>
      </c>
      <c r="W288" s="4" t="n">
        <v>-130</v>
      </c>
      <c r="X288" s="2" t="n">
        <v>1</v>
      </c>
      <c r="Y288" s="5" t="n">
        <v>0.7692307692307692</v>
      </c>
      <c r="Z288" s="7" t="n">
        <v>100</v>
      </c>
      <c r="AA288" s="7">
        <f>Y288*Z288</f>
        <v/>
      </c>
      <c r="AB288" s="6">
        <f>IF(Z288=0,0,AA288/Z288)</f>
        <v/>
      </c>
      <c r="AC288" s="6" t="n"/>
      <c r="AD288" s="2" t="inlineStr">
        <is>
          <t>Win</t>
        </is>
      </c>
      <c r="AE288" s="6">
        <f>IF((COUNTIF($AD$2:AD288,"Win")+COUNTIF($AD$2:AD288,"Loss"))=0,0,COUNTIF($AD$2:AD288,"Win")/(COUNTIF($AD$2:AD288,"Win")+COUNTIF($AD$2:AD288,"Loss")))</f>
        <v/>
      </c>
      <c r="AF288" s="6">
        <f>SUM($Y$2:Y288)/SUM($X$2:X288)</f>
        <v/>
      </c>
      <c r="AG288" s="5">
        <f>SUM($Y$2:Y288)</f>
        <v/>
      </c>
      <c r="AH288" s="7">
        <f>10000.0+SUM($AA$2:AA288)</f>
        <v/>
      </c>
      <c r="AI288" s="2" t="n">
        <v>2025</v>
      </c>
      <c r="AJ288" s="2" t="inlineStr">
        <is>
          <t>2025-08</t>
        </is>
      </c>
      <c r="AK288" s="2" t="inlineStr">
        <is>
          <t>-149 to -120</t>
        </is>
      </c>
      <c r="AL288" s="2" t="inlineStr">
        <is>
          <t>2025 Validation</t>
        </is>
      </c>
      <c r="AM288" s="6" t="n">
        <v>0.1113230435315237</v>
      </c>
    </row>
    <row r="289">
      <c r="A289" s="2" t="inlineStr">
        <is>
          <t>KPROP-00288</t>
        </is>
      </c>
      <c r="B289" s="3" t="n">
        <v>45899.67405092593</v>
      </c>
      <c r="C289" s="3" t="n">
        <v>45899</v>
      </c>
      <c r="D289" s="2" t="inlineStr">
        <is>
          <t>David Peterson</t>
        </is>
      </c>
      <c r="E289" s="2" t="n">
        <v>121</v>
      </c>
      <c r="F289" s="2" t="n">
        <v>146</v>
      </c>
      <c r="G289" s="2" t="inlineStr">
        <is>
          <t>Home</t>
        </is>
      </c>
      <c r="H289" s="2" t="inlineStr">
        <is>
          <t>draftkings</t>
        </is>
      </c>
      <c r="I289" s="4" t="n"/>
      <c r="J289" s="4" t="n"/>
      <c r="K289" s="4" t="n">
        <v>100</v>
      </c>
      <c r="L289" s="4" t="n">
        <v>100</v>
      </c>
      <c r="M289" s="5" t="n">
        <v>5.5</v>
      </c>
      <c r="N289" s="5" t="n">
        <v>5.373525972085767</v>
      </c>
      <c r="O289" s="5" t="n">
        <v>5.5</v>
      </c>
      <c r="P289" s="5" t="n">
        <v>0.1264740279142327</v>
      </c>
      <c r="Q289" s="6" t="n">
        <v>0.1014235564737866</v>
      </c>
      <c r="R289" s="6" t="n">
        <v>0.5507117782368933</v>
      </c>
      <c r="S289" s="6" t="n">
        <v>0.4801762114537445</v>
      </c>
      <c r="T289" s="2" t="inlineStr">
        <is>
          <t>Under</t>
        </is>
      </c>
      <c r="U289" s="4" t="n">
        <v>100</v>
      </c>
      <c r="V289" s="2" t="n">
        <v>2</v>
      </c>
      <c r="W289" s="4" t="n">
        <v>100</v>
      </c>
      <c r="X289" s="2" t="n">
        <v>1</v>
      </c>
      <c r="Y289" s="5" t="n">
        <v>1</v>
      </c>
      <c r="Z289" s="7" t="n">
        <v>100</v>
      </c>
      <c r="AA289" s="7">
        <f>Y289*Z289</f>
        <v/>
      </c>
      <c r="AB289" s="6">
        <f>IF(Z289=0,0,AA289/Z289)</f>
        <v/>
      </c>
      <c r="AC289" s="6" t="n"/>
      <c r="AD289" s="2" t="inlineStr">
        <is>
          <t>Win</t>
        </is>
      </c>
      <c r="AE289" s="6">
        <f>IF((COUNTIF($AD$2:AD289,"Win")+COUNTIF($AD$2:AD289,"Loss"))=0,0,COUNTIF($AD$2:AD289,"Win")/(COUNTIF($AD$2:AD289,"Win")+COUNTIF($AD$2:AD289,"Loss")))</f>
        <v/>
      </c>
      <c r="AF289" s="6">
        <f>SUM($Y$2:Y289)/SUM($X$2:X289)</f>
        <v/>
      </c>
      <c r="AG289" s="5">
        <f>SUM($Y$2:Y289)</f>
        <v/>
      </c>
      <c r="AH289" s="7">
        <f>10000.0+SUM($AA$2:AA289)</f>
        <v/>
      </c>
      <c r="AI289" s="2" t="n">
        <v>2025</v>
      </c>
      <c r="AJ289" s="2" t="inlineStr">
        <is>
          <t>2025-08</t>
        </is>
      </c>
      <c r="AK289" s="2" t="inlineStr">
        <is>
          <t>+100 to +120</t>
        </is>
      </c>
      <c r="AL289" s="2" t="inlineStr">
        <is>
          <t>2025 Validation</t>
        </is>
      </c>
      <c r="AM289" s="6" t="n">
        <v>0.1014235564737866</v>
      </c>
    </row>
    <row r="290">
      <c r="A290" s="2" t="inlineStr">
        <is>
          <t>KPROP-00289</t>
        </is>
      </c>
      <c r="B290" s="3" t="n">
        <v>45899.62891203703</v>
      </c>
      <c r="C290" s="3" t="n">
        <v>45899</v>
      </c>
      <c r="D290" s="2" t="inlineStr">
        <is>
          <t>Kevin Gausman</t>
        </is>
      </c>
      <c r="E290" s="2" t="n">
        <v>141</v>
      </c>
      <c r="F290" s="2" t="n">
        <v>158</v>
      </c>
      <c r="G290" s="2" t="inlineStr">
        <is>
          <t>Home</t>
        </is>
      </c>
      <c r="H290" s="2" t="inlineStr">
        <is>
          <t>betrivers</t>
        </is>
      </c>
      <c r="I290" s="4" t="n"/>
      <c r="J290" s="4" t="n"/>
      <c r="K290" s="4" t="n">
        <v>-125</v>
      </c>
      <c r="L290" s="4" t="n">
        <v>-125</v>
      </c>
      <c r="M290" s="5" t="n">
        <v>5.5</v>
      </c>
      <c r="N290" s="5" t="n">
        <v>5.05543256598438</v>
      </c>
      <c r="O290" s="5" t="n">
        <v>5.5</v>
      </c>
      <c r="P290" s="5" t="n">
        <v>0.44456743401562</v>
      </c>
      <c r="Q290" s="6" t="n">
        <v>0.09122307012353792</v>
      </c>
      <c r="R290" s="6" t="n">
        <v>0.6062350389575211</v>
      </c>
      <c r="S290" s="6" t="n">
        <v>0.5384615384615385</v>
      </c>
      <c r="T290" s="2" t="inlineStr">
        <is>
          <t>Under</t>
        </is>
      </c>
      <c r="U290" s="4" t="n">
        <v>-125</v>
      </c>
      <c r="V290" s="2" t="n">
        <v>1.8</v>
      </c>
      <c r="W290" s="4" t="n">
        <v>-125</v>
      </c>
      <c r="X290" s="2" t="n">
        <v>1</v>
      </c>
      <c r="Y290" s="5" t="n">
        <v>-1</v>
      </c>
      <c r="Z290" s="7" t="n">
        <v>100</v>
      </c>
      <c r="AA290" s="7">
        <f>Y290*Z290</f>
        <v/>
      </c>
      <c r="AB290" s="6">
        <f>IF(Z290=0,0,AA290/Z290)</f>
        <v/>
      </c>
      <c r="AC290" s="6" t="n"/>
      <c r="AD290" s="2" t="inlineStr">
        <is>
          <t>Loss</t>
        </is>
      </c>
      <c r="AE290" s="6">
        <f>IF((COUNTIF($AD$2:AD290,"Win")+COUNTIF($AD$2:AD290,"Loss"))=0,0,COUNTIF($AD$2:AD290,"Win")/(COUNTIF($AD$2:AD290,"Win")+COUNTIF($AD$2:AD290,"Loss")))</f>
        <v/>
      </c>
      <c r="AF290" s="6">
        <f>SUM($Y$2:Y290)/SUM($X$2:X290)</f>
        <v/>
      </c>
      <c r="AG290" s="5">
        <f>SUM($Y$2:Y290)</f>
        <v/>
      </c>
      <c r="AH290" s="7">
        <f>10000.0+SUM($AA$2:AA290)</f>
        <v/>
      </c>
      <c r="AI290" s="2" t="n">
        <v>2025</v>
      </c>
      <c r="AJ290" s="2" t="inlineStr">
        <is>
          <t>2025-08</t>
        </is>
      </c>
      <c r="AK290" s="2" t="inlineStr">
        <is>
          <t>-149 to -120</t>
        </is>
      </c>
      <c r="AL290" s="2" t="inlineStr">
        <is>
          <t>2025 Validation</t>
        </is>
      </c>
      <c r="AM290" s="6" t="n">
        <v>0.1140288376544224</v>
      </c>
    </row>
    <row r="291">
      <c r="A291" s="2" t="inlineStr">
        <is>
          <t>KPROP-00290</t>
        </is>
      </c>
      <c r="B291" s="3" t="n">
        <v>45899.80252314815</v>
      </c>
      <c r="C291" s="3" t="n">
        <v>45899</v>
      </c>
      <c r="D291" s="2" t="inlineStr">
        <is>
          <t>Logan Gilbert</t>
        </is>
      </c>
      <c r="E291" s="2" t="n">
        <v>136</v>
      </c>
      <c r="F291" s="2" t="n">
        <v>114</v>
      </c>
      <c r="G291" s="2" t="inlineStr">
        <is>
          <t>Away</t>
        </is>
      </c>
      <c r="H291" s="2" t="inlineStr">
        <is>
          <t>fanduel</t>
        </is>
      </c>
      <c r="I291" s="4" t="n"/>
      <c r="J291" s="4" t="n"/>
      <c r="K291" s="4" t="n">
        <v>106</v>
      </c>
      <c r="L291" s="4" t="n">
        <v>106</v>
      </c>
      <c r="M291" s="5" t="n">
        <v>6.5</v>
      </c>
      <c r="N291" s="5" t="n">
        <v>5.870060867559659</v>
      </c>
      <c r="O291" s="5" t="n">
        <v>6.5</v>
      </c>
      <c r="P291" s="5" t="n">
        <v>0.6299391324403407</v>
      </c>
      <c r="Q291" s="6" t="n">
        <v>0.2919580916063288</v>
      </c>
      <c r="R291" s="6" t="n">
        <v>0.6271641221389945</v>
      </c>
      <c r="S291" s="6" t="n">
        <v>0.4728029842977358</v>
      </c>
      <c r="T291" s="2" t="inlineStr">
        <is>
          <t>Under</t>
        </is>
      </c>
      <c r="U291" s="4" t="n">
        <v>106</v>
      </c>
      <c r="V291" s="2" t="n">
        <v>2.06</v>
      </c>
      <c r="W291" s="4" t="n">
        <v>106</v>
      </c>
      <c r="X291" s="2" t="n">
        <v>1</v>
      </c>
      <c r="Y291" s="5" t="n">
        <v>1.06</v>
      </c>
      <c r="Z291" s="7" t="n">
        <v>100</v>
      </c>
      <c r="AA291" s="7">
        <f>Y291*Z291</f>
        <v/>
      </c>
      <c r="AB291" s="6">
        <f>IF(Z291=0,0,AA291/Z291)</f>
        <v/>
      </c>
      <c r="AC291" s="6" t="n"/>
      <c r="AD291" s="2" t="inlineStr">
        <is>
          <t>Win</t>
        </is>
      </c>
      <c r="AE291" s="6">
        <f>IF((COUNTIF($AD$2:AD291,"Win")+COUNTIF($AD$2:AD291,"Loss"))=0,0,COUNTIF($AD$2:AD291,"Win")/(COUNTIF($AD$2:AD291,"Win")+COUNTIF($AD$2:AD291,"Loss")))</f>
        <v/>
      </c>
      <c r="AF291" s="6">
        <f>SUM($Y$2:Y291)/SUM($X$2:X291)</f>
        <v/>
      </c>
      <c r="AG291" s="5">
        <f>SUM($Y$2:Y291)</f>
        <v/>
      </c>
      <c r="AH291" s="7">
        <f>10000.0+SUM($AA$2:AA291)</f>
        <v/>
      </c>
      <c r="AI291" s="2" t="n">
        <v>2025</v>
      </c>
      <c r="AJ291" s="2" t="inlineStr">
        <is>
          <t>2025-08</t>
        </is>
      </c>
      <c r="AK291" s="2" t="inlineStr">
        <is>
          <t>+100 to +120</t>
        </is>
      </c>
      <c r="AL291" s="2" t="inlineStr">
        <is>
          <t>2025 Validation</t>
        </is>
      </c>
      <c r="AM291" s="6" t="n">
        <v>0.275432161892763</v>
      </c>
    </row>
    <row r="292">
      <c r="A292" s="2" t="inlineStr">
        <is>
          <t>KPROP-00291</t>
        </is>
      </c>
      <c r="B292" s="3" t="n">
        <v>45900.54557870371</v>
      </c>
      <c r="C292" s="3" t="n">
        <v>45900</v>
      </c>
      <c r="D292" s="2" t="inlineStr">
        <is>
          <t>Joe Ryan</t>
        </is>
      </c>
      <c r="E292" s="2" t="n">
        <v>142</v>
      </c>
      <c r="F292" s="2" t="n">
        <v>135</v>
      </c>
      <c r="G292" s="2" t="inlineStr">
        <is>
          <t>Home</t>
        </is>
      </c>
      <c r="H292" s="2" t="inlineStr">
        <is>
          <t>fanduel</t>
        </is>
      </c>
      <c r="I292" s="4" t="n"/>
      <c r="J292" s="4" t="n"/>
      <c r="K292" s="4" t="n">
        <v>-128</v>
      </c>
      <c r="L292" s="4" t="n">
        <v>-128</v>
      </c>
      <c r="M292" s="5" t="n">
        <v>5.5</v>
      </c>
      <c r="N292" s="5" t="n">
        <v>4.905280251345177</v>
      </c>
      <c r="O292" s="5" t="n">
        <v>5.5</v>
      </c>
      <c r="P292" s="5" t="n">
        <v>0.594719748654823</v>
      </c>
      <c r="Q292" s="6" t="n">
        <v>0.126775756462386</v>
      </c>
      <c r="R292" s="6" t="n">
        <v>0.632575863277129</v>
      </c>
      <c r="S292" s="6" t="n">
        <v>0.5362837617962902</v>
      </c>
      <c r="T292" s="2" t="inlineStr">
        <is>
          <t>Under</t>
        </is>
      </c>
      <c r="U292" s="4" t="n">
        <v>-128</v>
      </c>
      <c r="V292" s="2" t="n">
        <v>1.78125</v>
      </c>
      <c r="W292" s="4" t="n">
        <v>-128</v>
      </c>
      <c r="X292" s="2" t="n">
        <v>1</v>
      </c>
      <c r="Y292" s="5" t="n">
        <v>-1</v>
      </c>
      <c r="Z292" s="7" t="n">
        <v>100</v>
      </c>
      <c r="AA292" s="7">
        <f>Y292*Z292</f>
        <v/>
      </c>
      <c r="AB292" s="6">
        <f>IF(Z292=0,0,AA292/Z292)</f>
        <v/>
      </c>
      <c r="AC292" s="6" t="n"/>
      <c r="AD292" s="2" t="inlineStr">
        <is>
          <t>Loss</t>
        </is>
      </c>
      <c r="AE292" s="6">
        <f>IF((COUNTIF($AD$2:AD292,"Win")+COUNTIF($AD$2:AD292,"Loss"))=0,0,COUNTIF($AD$2:AD292,"Win")/(COUNTIF($AD$2:AD292,"Win")+COUNTIF($AD$2:AD292,"Loss")))</f>
        <v/>
      </c>
      <c r="AF292" s="6">
        <f>SUM($Y$2:Y292)/SUM($X$2:X292)</f>
        <v/>
      </c>
      <c r="AG292" s="5">
        <f>SUM($Y$2:Y292)</f>
        <v/>
      </c>
      <c r="AH292" s="7">
        <f>10000.0+SUM($AA$2:AA292)</f>
        <v/>
      </c>
      <c r="AI292" s="2" t="n">
        <v>2025</v>
      </c>
      <c r="AJ292" s="2" t="inlineStr">
        <is>
          <t>2025-08</t>
        </is>
      </c>
      <c r="AK292" s="2" t="inlineStr">
        <is>
          <t>-149 to -120</t>
        </is>
      </c>
      <c r="AL292" s="2" t="inlineStr">
        <is>
          <t>2025 Validation</t>
        </is>
      </c>
      <c r="AM292" s="6" t="n">
        <v>0.1622729682718541</v>
      </c>
    </row>
    <row r="293">
      <c r="A293" s="2" t="inlineStr">
        <is>
          <t>KPROP-00292</t>
        </is>
      </c>
      <c r="B293" s="3" t="n">
        <v>45900.56988425926</v>
      </c>
      <c r="C293" s="3" t="n">
        <v>45900</v>
      </c>
      <c r="D293" s="2" t="inlineStr">
        <is>
          <t>Kodai Senga</t>
        </is>
      </c>
      <c r="E293" s="2" t="n">
        <v>121</v>
      </c>
      <c r="F293" s="2" t="n">
        <v>146</v>
      </c>
      <c r="G293" s="2" t="inlineStr">
        <is>
          <t>Home</t>
        </is>
      </c>
      <c r="H293" s="2" t="inlineStr">
        <is>
          <t>fanduel</t>
        </is>
      </c>
      <c r="I293" s="4" t="n"/>
      <c r="J293" s="4" t="n"/>
      <c r="K293" s="4" t="n">
        <v>122</v>
      </c>
      <c r="L293" s="4" t="n">
        <v>122</v>
      </c>
      <c r="M293" s="5" t="n">
        <v>4.5</v>
      </c>
      <c r="N293" s="5" t="n">
        <v>4.216809559337564</v>
      </c>
      <c r="O293" s="5" t="n">
        <v>4.5</v>
      </c>
      <c r="P293" s="5" t="n">
        <v>0.2831904406624357</v>
      </c>
      <c r="Q293" s="6" t="n">
        <v>0.302163617082856</v>
      </c>
      <c r="R293" s="6" t="n">
        <v>0.5865601878751604</v>
      </c>
      <c r="S293" s="6" t="n">
        <v>0.4250232434586266</v>
      </c>
      <c r="T293" s="2" t="inlineStr">
        <is>
          <t>Under</t>
        </is>
      </c>
      <c r="U293" s="4" t="n">
        <v>122</v>
      </c>
      <c r="V293" s="2" t="n">
        <v>2.22</v>
      </c>
      <c r="W293" s="4" t="n">
        <v>122</v>
      </c>
      <c r="X293" s="2" t="n">
        <v>1</v>
      </c>
      <c r="Y293" s="5" t="n">
        <v>-1</v>
      </c>
      <c r="Z293" s="7" t="n">
        <v>100</v>
      </c>
      <c r="AA293" s="7">
        <f>Y293*Z293</f>
        <v/>
      </c>
      <c r="AB293" s="6">
        <f>IF(Z293=0,0,AA293/Z293)</f>
        <v/>
      </c>
      <c r="AC293" s="6" t="n"/>
      <c r="AD293" s="2" t="inlineStr">
        <is>
          <t>Loss</t>
        </is>
      </c>
      <c r="AE293" s="6">
        <f>IF((COUNTIF($AD$2:AD293,"Win")+COUNTIF($AD$2:AD293,"Loss"))=0,0,COUNTIF($AD$2:AD293,"Win")/(COUNTIF($AD$2:AD293,"Win")+COUNTIF($AD$2:AD293,"Loss")))</f>
        <v/>
      </c>
      <c r="AF293" s="6">
        <f>SUM($Y$2:Y293)/SUM($X$2:X293)</f>
        <v/>
      </c>
      <c r="AG293" s="5">
        <f>SUM($Y$2:Y293)</f>
        <v/>
      </c>
      <c r="AH293" s="7">
        <f>10000.0+SUM($AA$2:AA293)</f>
        <v/>
      </c>
      <c r="AI293" s="2" t="n">
        <v>2025</v>
      </c>
      <c r="AJ293" s="2" t="inlineStr">
        <is>
          <t>2025-08</t>
        </is>
      </c>
      <c r="AK293" s="2" t="inlineStr">
        <is>
          <t>+121 to +150</t>
        </is>
      </c>
      <c r="AL293" s="2" t="inlineStr">
        <is>
          <t>2025 Validation</t>
        </is>
      </c>
      <c r="AM293" s="6" t="n">
        <v>0.2476750959695541</v>
      </c>
    </row>
    <row r="294">
      <c r="A294" s="2" t="inlineStr">
        <is>
          <t>KPROP-00293</t>
        </is>
      </c>
      <c r="B294" s="3" t="n">
        <v>45900.56988425926</v>
      </c>
      <c r="C294" s="3" t="n">
        <v>45900</v>
      </c>
      <c r="D294" s="2" t="inlineStr">
        <is>
          <t>Kodai Senga</t>
        </is>
      </c>
      <c r="E294" s="2" t="n">
        <v>121</v>
      </c>
      <c r="F294" s="2" t="n">
        <v>146</v>
      </c>
      <c r="G294" s="2" t="inlineStr">
        <is>
          <t>Home</t>
        </is>
      </c>
      <c r="H294" s="2" t="inlineStr">
        <is>
          <t>betonlineag</t>
        </is>
      </c>
      <c r="I294" s="4" t="n"/>
      <c r="J294" s="4" t="n"/>
      <c r="K294" s="4" t="n">
        <v>-149</v>
      </c>
      <c r="L294" s="4" t="n">
        <v>-149</v>
      </c>
      <c r="M294" s="5" t="n">
        <v>5.5</v>
      </c>
      <c r="N294" s="5" t="n">
        <v>4.216809559337564</v>
      </c>
      <c r="O294" s="5" t="n">
        <v>5.5</v>
      </c>
      <c r="P294" s="5" t="n">
        <v>1.283190440662436</v>
      </c>
      <c r="Q294" s="6" t="n">
        <v>0.2540128942725908</v>
      </c>
      <c r="R294" s="6" t="n">
        <v>0.7503932580185383</v>
      </c>
      <c r="S294" s="6" t="n">
        <v>0.5791786378232212</v>
      </c>
      <c r="T294" s="2" t="inlineStr">
        <is>
          <t>Under</t>
        </is>
      </c>
      <c r="U294" s="4" t="n">
        <v>-149</v>
      </c>
      <c r="V294" s="2" t="n">
        <v>1.671140939597315</v>
      </c>
      <c r="W294" s="4" t="n">
        <v>-149</v>
      </c>
      <c r="X294" s="2" t="n">
        <v>1</v>
      </c>
      <c r="Y294" s="5" t="n">
        <v>-1</v>
      </c>
      <c r="Z294" s="7" t="n">
        <v>100</v>
      </c>
      <c r="AA294" s="7">
        <f>Y294*Z294</f>
        <v/>
      </c>
      <c r="AB294" s="6">
        <f>IF(Z294=0,0,AA294/Z294)</f>
        <v/>
      </c>
      <c r="AC294" s="6" t="n"/>
      <c r="AD294" s="2" t="inlineStr">
        <is>
          <t>Loss</t>
        </is>
      </c>
      <c r="AE294" s="6">
        <f>IF((COUNTIF($AD$2:AD294,"Win")+COUNTIF($AD$2:AD294,"Loss"))=0,0,COUNTIF($AD$2:AD294,"Win")/(COUNTIF($AD$2:AD294,"Win")+COUNTIF($AD$2:AD294,"Loss")))</f>
        <v/>
      </c>
      <c r="AF294" s="6">
        <f>SUM($Y$2:Y294)/SUM($X$2:X294)</f>
        <v/>
      </c>
      <c r="AG294" s="5">
        <f>SUM($Y$2:Y294)</f>
        <v/>
      </c>
      <c r="AH294" s="7">
        <f>10000.0+SUM($AA$2:AA294)</f>
        <v/>
      </c>
      <c r="AI294" s="2" t="n">
        <v>2025</v>
      </c>
      <c r="AJ294" s="2" t="inlineStr">
        <is>
          <t>2025-08</t>
        </is>
      </c>
      <c r="AK294" s="2" t="inlineStr">
        <is>
          <t>-149 to -120</t>
        </is>
      </c>
      <c r="AL294" s="2" t="inlineStr">
        <is>
          <t>2025 Validation</t>
        </is>
      </c>
      <c r="AM294" s="6" t="n">
        <v>0.3784792124661603</v>
      </c>
    </row>
    <row r="295">
      <c r="A295" s="2" t="inlineStr">
        <is>
          <t>KPROP-00294</t>
        </is>
      </c>
      <c r="B295" s="3" t="n">
        <v>45900.56641203703</v>
      </c>
      <c r="C295" s="3" t="n">
        <v>45900</v>
      </c>
      <c r="D295" s="2" t="inlineStr">
        <is>
          <t>Max Scherzer</t>
        </is>
      </c>
      <c r="E295" s="2" t="n">
        <v>141</v>
      </c>
      <c r="F295" s="2" t="n">
        <v>158</v>
      </c>
      <c r="G295" s="2" t="inlineStr">
        <is>
          <t>Home</t>
        </is>
      </c>
      <c r="H295" s="2" t="inlineStr">
        <is>
          <t>bovada</t>
        </is>
      </c>
      <c r="I295" s="4" t="n"/>
      <c r="J295" s="4" t="n"/>
      <c r="K295" s="4" t="n">
        <v>-130</v>
      </c>
      <c r="L295" s="4" t="n">
        <v>-130</v>
      </c>
      <c r="M295" s="5" t="n">
        <v>5.5</v>
      </c>
      <c r="N295" s="5" t="n">
        <v>5.008882196646969</v>
      </c>
      <c r="O295" s="5" t="n">
        <v>5.5</v>
      </c>
      <c r="P295" s="5" t="n">
        <v>0.4911178033530312</v>
      </c>
      <c r="Q295" s="6" t="n">
        <v>0.08701914112509603</v>
      </c>
      <c r="R295" s="6" t="n">
        <v>0.6144021232446195</v>
      </c>
      <c r="S295" s="6" t="n">
        <v>0.5704948646125116</v>
      </c>
      <c r="T295" s="2" t="inlineStr">
        <is>
          <t>Under</t>
        </is>
      </c>
      <c r="U295" s="4" t="n">
        <v>-130</v>
      </c>
      <c r="V295" s="2" t="n">
        <v>1.769230769230769</v>
      </c>
      <c r="W295" s="4" t="n">
        <v>-130</v>
      </c>
      <c r="X295" s="2" t="n">
        <v>1</v>
      </c>
      <c r="Y295" s="5" t="n">
        <v>0.7692307692307692</v>
      </c>
      <c r="Z295" s="7" t="n">
        <v>100</v>
      </c>
      <c r="AA295" s="7">
        <f>Y295*Z295</f>
        <v/>
      </c>
      <c r="AB295" s="6">
        <f>IF(Z295=0,0,AA295/Z295)</f>
        <v/>
      </c>
      <c r="AC295" s="6" t="n"/>
      <c r="AD295" s="2" t="inlineStr">
        <is>
          <t>Win</t>
        </is>
      </c>
      <c r="AE295" s="6">
        <f>IF((COUNTIF($AD$2:AD295,"Win")+COUNTIF($AD$2:AD295,"Loss"))=0,0,COUNTIF($AD$2:AD295,"Win")/(COUNTIF($AD$2:AD295,"Win")+COUNTIF($AD$2:AD295,"Loss")))</f>
        <v/>
      </c>
      <c r="AF295" s="6">
        <f>SUM($Y$2:Y295)/SUM($X$2:X295)</f>
        <v/>
      </c>
      <c r="AG295" s="5">
        <f>SUM($Y$2:Y295)</f>
        <v/>
      </c>
      <c r="AH295" s="7">
        <f>10000.0+SUM($AA$2:AA295)</f>
        <v/>
      </c>
      <c r="AI295" s="2" t="n">
        <v>2025</v>
      </c>
      <c r="AJ295" s="2" t="inlineStr">
        <is>
          <t>2025-08</t>
        </is>
      </c>
      <c r="AK295" s="2" t="inlineStr">
        <is>
          <t>-149 to -120</t>
        </is>
      </c>
      <c r="AL295" s="2" t="inlineStr">
        <is>
          <t>2025 Validation</t>
        </is>
      </c>
      <c r="AM295" s="6" t="n">
        <v>0.1131248834626248</v>
      </c>
    </row>
    <row r="296">
      <c r="A296" s="2" t="inlineStr">
        <is>
          <t>KPROP-00295</t>
        </is>
      </c>
      <c r="B296" s="3" t="n">
        <v>45901.59071759259</v>
      </c>
      <c r="C296" s="3" t="n">
        <v>45901</v>
      </c>
      <c r="D296" s="2" t="inlineStr">
        <is>
          <t>Bailey Ober</t>
        </is>
      </c>
      <c r="E296" s="2" t="n">
        <v>142</v>
      </c>
      <c r="F296" s="2" t="n">
        <v>145</v>
      </c>
      <c r="G296" s="2" t="inlineStr">
        <is>
          <t>Home</t>
        </is>
      </c>
      <c r="H296" s="2" t="inlineStr">
        <is>
          <t>fanatics</t>
        </is>
      </c>
      <c r="I296" s="4" t="n"/>
      <c r="J296" s="4" t="n"/>
      <c r="K296" s="4" t="n">
        <v>125</v>
      </c>
      <c r="L296" s="4" t="n">
        <v>125</v>
      </c>
      <c r="M296" s="5" t="n">
        <v>4.5</v>
      </c>
      <c r="N296" s="5" t="n">
        <v>4.017012546103379</v>
      </c>
      <c r="O296" s="5" t="n">
        <v>4.5</v>
      </c>
      <c r="P296" s="5" t="n">
        <v>0.4829874538966212</v>
      </c>
      <c r="Q296" s="6" t="n">
        <v>0.4074048985223768</v>
      </c>
      <c r="R296" s="6" t="n">
        <v>0.6255132882321675</v>
      </c>
      <c r="S296" s="6" t="n">
        <v>0.4281984334203655</v>
      </c>
      <c r="T296" s="2" t="inlineStr">
        <is>
          <t>Under</t>
        </is>
      </c>
      <c r="U296" s="4" t="n">
        <v>125</v>
      </c>
      <c r="V296" s="2" t="n">
        <v>2.25</v>
      </c>
      <c r="W296" s="4" t="n">
        <v>125</v>
      </c>
      <c r="X296" s="2" t="n">
        <v>1</v>
      </c>
      <c r="Y296" s="5" t="n">
        <v>1.25</v>
      </c>
      <c r="Z296" s="7" t="n">
        <v>100</v>
      </c>
      <c r="AA296" s="7">
        <f>Y296*Z296</f>
        <v/>
      </c>
      <c r="AB296" s="6">
        <f>IF(Z296=0,0,AA296/Z296)</f>
        <v/>
      </c>
      <c r="AC296" s="6" t="n"/>
      <c r="AD296" s="2" t="inlineStr">
        <is>
          <t>Win</t>
        </is>
      </c>
      <c r="AE296" s="6">
        <f>IF((COUNTIF($AD$2:AD296,"Win")+COUNTIF($AD$2:AD296,"Loss"))=0,0,COUNTIF($AD$2:AD296,"Win")/(COUNTIF($AD$2:AD296,"Win")+COUNTIF($AD$2:AD296,"Loss")))</f>
        <v/>
      </c>
      <c r="AF296" s="6">
        <f>SUM($Y$2:Y296)/SUM($X$2:X296)</f>
        <v/>
      </c>
      <c r="AG296" s="5">
        <f>SUM($Y$2:Y296)</f>
        <v/>
      </c>
      <c r="AH296" s="7">
        <f>10000.0+SUM($AA$2:AA296)</f>
        <v/>
      </c>
      <c r="AI296" s="2" t="n">
        <v>2025</v>
      </c>
      <c r="AJ296" s="2" t="inlineStr">
        <is>
          <t>2025-09</t>
        </is>
      </c>
      <c r="AK296" s="2" t="inlineStr">
        <is>
          <t>+121 to +150</t>
        </is>
      </c>
      <c r="AL296" s="2" t="inlineStr">
        <is>
          <t>2025 Validation</t>
        </is>
      </c>
      <c r="AM296" s="6" t="n">
        <v>0.3259239188179014</v>
      </c>
    </row>
    <row r="297">
      <c r="A297" s="2" t="inlineStr">
        <is>
          <t>KPROP-00296</t>
        </is>
      </c>
      <c r="B297" s="3" t="n">
        <v>45901.59071759259</v>
      </c>
      <c r="C297" s="3" t="n">
        <v>45901</v>
      </c>
      <c r="D297" s="2" t="inlineStr">
        <is>
          <t>Bailey Ober</t>
        </is>
      </c>
      <c r="E297" s="2" t="n">
        <v>142</v>
      </c>
      <c r="F297" s="2" t="n">
        <v>145</v>
      </c>
      <c r="G297" s="2" t="inlineStr">
        <is>
          <t>Home</t>
        </is>
      </c>
      <c r="H297" s="2" t="inlineStr">
        <is>
          <t>betmgm</t>
        </is>
      </c>
      <c r="I297" s="4" t="n"/>
      <c r="J297" s="4" t="n"/>
      <c r="K297" s="4" t="n">
        <v>-155</v>
      </c>
      <c r="L297" s="4" t="n">
        <v>-155</v>
      </c>
      <c r="M297" s="5" t="n">
        <v>5.5</v>
      </c>
      <c r="N297" s="5" t="n">
        <v>4.017012546103379</v>
      </c>
      <c r="O297" s="5" t="n">
        <v>5.5</v>
      </c>
      <c r="P297" s="5" t="n">
        <v>1.482987453896621</v>
      </c>
      <c r="Q297" s="6" t="n">
        <v>0.2872824700633646</v>
      </c>
      <c r="R297" s="6" t="n">
        <v>0.782465815136555</v>
      </c>
      <c r="S297" s="6" t="n">
        <v>0.5721476510067114</v>
      </c>
      <c r="T297" s="2" t="inlineStr">
        <is>
          <t>Under</t>
        </is>
      </c>
      <c r="U297" s="4" t="n">
        <v>-155</v>
      </c>
      <c r="V297" s="2" t="n">
        <v>1.645161290322581</v>
      </c>
      <c r="W297" s="4" t="n">
        <v>-155</v>
      </c>
      <c r="X297" s="2" t="n">
        <v>1</v>
      </c>
      <c r="Y297" s="5" t="n">
        <v>0.6451612903225805</v>
      </c>
      <c r="Z297" s="7" t="n">
        <v>100</v>
      </c>
      <c r="AA297" s="7">
        <f>Y297*Z297</f>
        <v/>
      </c>
      <c r="AB297" s="6">
        <f>IF(Z297=0,0,AA297/Z297)</f>
        <v/>
      </c>
      <c r="AC297" s="6" t="n"/>
      <c r="AD297" s="2" t="inlineStr">
        <is>
          <t>Win</t>
        </is>
      </c>
      <c r="AE297" s="6">
        <f>IF((COUNTIF($AD$2:AD297,"Win")+COUNTIF($AD$2:AD297,"Loss"))=0,0,COUNTIF($AD$2:AD297,"Win")/(COUNTIF($AD$2:AD297,"Win")+COUNTIF($AD$2:AD297,"Loss")))</f>
        <v/>
      </c>
      <c r="AF297" s="6">
        <f>SUM($Y$2:Y297)/SUM($X$2:X297)</f>
        <v/>
      </c>
      <c r="AG297" s="5">
        <f>SUM($Y$2:Y297)</f>
        <v/>
      </c>
      <c r="AH297" s="7">
        <f>10000.0+SUM($AA$2:AA297)</f>
        <v/>
      </c>
      <c r="AI297" s="2" t="n">
        <v>2025</v>
      </c>
      <c r="AJ297" s="2" t="inlineStr">
        <is>
          <t>2025-09</t>
        </is>
      </c>
      <c r="AK297" s="2" t="inlineStr">
        <is>
          <t>&lt;= -150</t>
        </is>
      </c>
      <c r="AL297" s="2" t="inlineStr">
        <is>
          <t>2025 Validation</t>
        </is>
      </c>
      <c r="AM297" s="6" t="n">
        <v>0.4452878285982153</v>
      </c>
    </row>
    <row r="298">
      <c r="A298" s="2" t="inlineStr">
        <is>
          <t>KPROP-00297</t>
        </is>
      </c>
      <c r="B298" s="3" t="n">
        <v>45901.54905092593</v>
      </c>
      <c r="C298" s="3" t="n">
        <v>45901</v>
      </c>
      <c r="D298" s="2" t="inlineStr">
        <is>
          <t>Sean Manaea</t>
        </is>
      </c>
      <c r="E298" s="2" t="n">
        <v>121</v>
      </c>
      <c r="F298" s="2" t="n">
        <v>116</v>
      </c>
      <c r="G298" s="2" t="inlineStr">
        <is>
          <t>Away</t>
        </is>
      </c>
      <c r="H298" s="2" t="inlineStr">
        <is>
          <t>fanduel</t>
        </is>
      </c>
      <c r="I298" s="4" t="n"/>
      <c r="J298" s="4" t="n"/>
      <c r="K298" s="4" t="n">
        <v>-112</v>
      </c>
      <c r="L298" s="4" t="n">
        <v>-112</v>
      </c>
      <c r="M298" s="5" t="n">
        <v>5.5</v>
      </c>
      <c r="N298" s="5" t="n">
        <v>5.269867322438174</v>
      </c>
      <c r="O298" s="5" t="n">
        <v>5.5</v>
      </c>
      <c r="P298" s="5" t="n">
        <v>0.2301326775618264</v>
      </c>
      <c r="Q298" s="6" t="n">
        <v>0.07650468912076114</v>
      </c>
      <c r="R298" s="6" t="n">
        <v>0.568719458403421</v>
      </c>
      <c r="S298" s="6" t="n">
        <v>0.5043297540699688</v>
      </c>
      <c r="T298" s="2" t="inlineStr">
        <is>
          <t>Under</t>
        </is>
      </c>
      <c r="U298" s="4" t="n">
        <v>-112</v>
      </c>
      <c r="V298" s="2" t="n">
        <v>1.892857142857143</v>
      </c>
      <c r="W298" s="4" t="n">
        <v>-112</v>
      </c>
      <c r="X298" s="2" t="n">
        <v>1</v>
      </c>
      <c r="Y298" s="5" t="n">
        <v>-1</v>
      </c>
      <c r="Z298" s="7" t="n">
        <v>100</v>
      </c>
      <c r="AA298" s="7">
        <f>Y298*Z298</f>
        <v/>
      </c>
      <c r="AB298" s="6">
        <f>IF(Z298=0,0,AA298/Z298)</f>
        <v/>
      </c>
      <c r="AC298" s="6" t="n"/>
      <c r="AD298" s="2" t="inlineStr">
        <is>
          <t>Loss</t>
        </is>
      </c>
      <c r="AE298" s="6">
        <f>IF((COUNTIF($AD$2:AD298,"Win")+COUNTIF($AD$2:AD298,"Loss"))=0,0,COUNTIF($AD$2:AD298,"Win")/(COUNTIF($AD$2:AD298,"Win")+COUNTIF($AD$2:AD298,"Loss")))</f>
        <v/>
      </c>
      <c r="AF298" s="6">
        <f>SUM($Y$2:Y298)/SUM($X$2:X298)</f>
        <v/>
      </c>
      <c r="AG298" s="5">
        <f>SUM($Y$2:Y298)</f>
        <v/>
      </c>
      <c r="AH298" s="7">
        <f>10000.0+SUM($AA$2:AA298)</f>
        <v/>
      </c>
      <c r="AI298" s="2" t="n">
        <v>2025</v>
      </c>
      <c r="AJ298" s="2" t="inlineStr">
        <is>
          <t>2025-09</t>
        </is>
      </c>
      <c r="AK298" s="2" t="inlineStr">
        <is>
          <t>-119 to -101</t>
        </is>
      </c>
      <c r="AL298" s="2" t="inlineStr">
        <is>
          <t>2025 Validation</t>
        </is>
      </c>
      <c r="AM298" s="6" t="n">
        <v>0.08568525181525248</v>
      </c>
    </row>
    <row r="299">
      <c r="A299" s="2" t="inlineStr">
        <is>
          <t>KPROP-00298</t>
        </is>
      </c>
      <c r="B299" s="3" t="n">
        <v>45901.66711805556</v>
      </c>
      <c r="C299" s="3" t="n">
        <v>45901</v>
      </c>
      <c r="D299" s="2" t="inlineStr">
        <is>
          <t>Spencer Strider</t>
        </is>
      </c>
      <c r="E299" s="2" t="n">
        <v>144</v>
      </c>
      <c r="F299" s="2" t="n">
        <v>112</v>
      </c>
      <c r="G299" s="2" t="inlineStr">
        <is>
          <t>Away</t>
        </is>
      </c>
      <c r="H299" s="2" t="inlineStr">
        <is>
          <t>bovada</t>
        </is>
      </c>
      <c r="I299" s="4" t="n"/>
      <c r="J299" s="4" t="n"/>
      <c r="K299" s="4" t="n">
        <v>135</v>
      </c>
      <c r="L299" s="4" t="n">
        <v>135</v>
      </c>
      <c r="M299" s="5" t="n">
        <v>5.5</v>
      </c>
      <c r="N299" s="5" t="n">
        <v>5.184951270205897</v>
      </c>
      <c r="O299" s="5" t="n">
        <v>5.5</v>
      </c>
      <c r="P299" s="5" t="n">
        <v>0.3150487297941034</v>
      </c>
      <c r="Q299" s="6" t="n">
        <v>0.3713284934723835</v>
      </c>
      <c r="R299" s="6" t="n">
        <v>0.5835440397754823</v>
      </c>
      <c r="S299" s="6" t="n">
        <v>0.4149377593360996</v>
      </c>
      <c r="T299" s="2" t="inlineStr">
        <is>
          <t>Under</t>
        </is>
      </c>
      <c r="U299" s="4" t="n">
        <v>135</v>
      </c>
      <c r="V299" s="2" t="n">
        <v>2.35</v>
      </c>
      <c r="W299" s="4" t="n">
        <v>135</v>
      </c>
      <c r="X299" s="2" t="n">
        <v>1</v>
      </c>
      <c r="Y299" s="5" t="n">
        <v>1.35</v>
      </c>
      <c r="Z299" s="7" t="n">
        <v>100</v>
      </c>
      <c r="AA299" s="7">
        <f>Y299*Z299</f>
        <v/>
      </c>
      <c r="AB299" s="6">
        <f>IF(Z299=0,0,AA299/Z299)</f>
        <v/>
      </c>
      <c r="AC299" s="6" t="n"/>
      <c r="AD299" s="2" t="inlineStr">
        <is>
          <t>Win</t>
        </is>
      </c>
      <c r="AE299" s="6">
        <f>IF((COUNTIF($AD$2:AD299,"Win")+COUNTIF($AD$2:AD299,"Loss"))=0,0,COUNTIF($AD$2:AD299,"Win")/(COUNTIF($AD$2:AD299,"Win")+COUNTIF($AD$2:AD299,"Loss")))</f>
        <v/>
      </c>
      <c r="AF299" s="6">
        <f>SUM($Y$2:Y299)/SUM($X$2:X299)</f>
        <v/>
      </c>
      <c r="AG299" s="5">
        <f>SUM($Y$2:Y299)</f>
        <v/>
      </c>
      <c r="AH299" s="7">
        <f>10000.0+SUM($AA$2:AA299)</f>
        <v/>
      </c>
      <c r="AI299" s="2" t="n">
        <v>2025</v>
      </c>
      <c r="AJ299" s="2" t="inlineStr">
        <is>
          <t>2025-09</t>
        </is>
      </c>
      <c r="AK299" s="2" t="inlineStr">
        <is>
          <t>+121 to +150</t>
        </is>
      </c>
      <c r="AL299" s="2" t="inlineStr">
        <is>
          <t>2025 Validation</t>
        </is>
      </c>
      <c r="AM299" s="6" t="n">
        <v>0.2750581433128766</v>
      </c>
    </row>
    <row r="300">
      <c r="A300" s="2" t="inlineStr">
        <is>
          <t>KPROP-00299</t>
        </is>
      </c>
      <c r="B300" s="3" t="n">
        <v>45901.66711805556</v>
      </c>
      <c r="C300" s="3" t="n">
        <v>45901</v>
      </c>
      <c r="D300" s="2" t="inlineStr">
        <is>
          <t>Spencer Strider</t>
        </is>
      </c>
      <c r="E300" s="2" t="n">
        <v>144</v>
      </c>
      <c r="F300" s="2" t="n">
        <v>112</v>
      </c>
      <c r="G300" s="2" t="inlineStr">
        <is>
          <t>Away</t>
        </is>
      </c>
      <c r="H300" s="2" t="inlineStr">
        <is>
          <t>fanatics</t>
        </is>
      </c>
      <c r="I300" s="4" t="n"/>
      <c r="J300" s="4" t="n"/>
      <c r="K300" s="4" t="n">
        <v>-160</v>
      </c>
      <c r="L300" s="4" t="n">
        <v>-160</v>
      </c>
      <c r="M300" s="5" t="n">
        <v>6.5</v>
      </c>
      <c r="N300" s="5" t="n">
        <v>5.184951270205897</v>
      </c>
      <c r="O300" s="5" t="n">
        <v>6.5</v>
      </c>
      <c r="P300" s="5" t="n">
        <v>1.315048729794103</v>
      </c>
      <c r="Q300" s="6" t="n">
        <v>0.193839190689527</v>
      </c>
      <c r="R300" s="6" t="n">
        <v>0.7346702711935551</v>
      </c>
      <c r="S300" s="6" t="n">
        <v>0.5838668373879642</v>
      </c>
      <c r="T300" s="2" t="inlineStr">
        <is>
          <t>Under</t>
        </is>
      </c>
      <c r="U300" s="4" t="n">
        <v>-160</v>
      </c>
      <c r="V300" s="2" t="n">
        <v>1.625</v>
      </c>
      <c r="W300" s="4" t="n">
        <v>-160</v>
      </c>
      <c r="X300" s="2" t="n">
        <v>1</v>
      </c>
      <c r="Y300" s="5" t="n">
        <v>0.625</v>
      </c>
      <c r="Z300" s="7" t="n">
        <v>100</v>
      </c>
      <c r="AA300" s="7">
        <f>Y300*Z300</f>
        <v/>
      </c>
      <c r="AB300" s="6">
        <f>IF(Z300=0,0,AA300/Z300)</f>
        <v/>
      </c>
      <c r="AC300" s="6" t="n"/>
      <c r="AD300" s="2" t="inlineStr">
        <is>
          <t>Win</t>
        </is>
      </c>
      <c r="AE300" s="6">
        <f>IF((COUNTIF($AD$2:AD300,"Win")+COUNTIF($AD$2:AD300,"Loss"))=0,0,COUNTIF($AD$2:AD300,"Win")/(COUNTIF($AD$2:AD300,"Win")+COUNTIF($AD$2:AD300,"Loss")))</f>
        <v/>
      </c>
      <c r="AF300" s="6">
        <f>SUM($Y$2:Y300)/SUM($X$2:X300)</f>
        <v/>
      </c>
      <c r="AG300" s="5">
        <f>SUM($Y$2:Y300)</f>
        <v/>
      </c>
      <c r="AH300" s="7">
        <f>10000.0+SUM($AA$2:AA300)</f>
        <v/>
      </c>
      <c r="AI300" s="2" t="n">
        <v>2025</v>
      </c>
      <c r="AJ300" s="2" t="inlineStr">
        <is>
          <t>2025-09</t>
        </is>
      </c>
      <c r="AK300" s="2" t="inlineStr">
        <is>
          <t>&lt;= -150</t>
        </is>
      </c>
      <c r="AL300" s="2" t="inlineStr">
        <is>
          <t>2025 Validation</t>
        </is>
      </c>
      <c r="AM300" s="6" t="n">
        <v>0.3101427051032433</v>
      </c>
    </row>
    <row r="301">
      <c r="A301" s="2" t="inlineStr">
        <is>
          <t>KPROP-00300</t>
        </is>
      </c>
      <c r="B301" s="3" t="n">
        <v>45901.58724537037</v>
      </c>
      <c r="C301" s="3" t="n">
        <v>45901</v>
      </c>
      <c r="D301" s="2" t="inlineStr">
        <is>
          <t>Yusei Kikuchi</t>
        </is>
      </c>
      <c r="E301" s="2" t="n">
        <v>108</v>
      </c>
      <c r="F301" s="2" t="n">
        <v>117</v>
      </c>
      <c r="G301" s="2" t="inlineStr">
        <is>
          <t>Away</t>
        </is>
      </c>
      <c r="H301" s="2" t="inlineStr">
        <is>
          <t>fanduel</t>
        </is>
      </c>
      <c r="I301" s="4" t="n"/>
      <c r="J301" s="4" t="n"/>
      <c r="K301" s="4" t="n">
        <v>124</v>
      </c>
      <c r="L301" s="4" t="n">
        <v>124</v>
      </c>
      <c r="M301" s="5" t="n">
        <v>4.5</v>
      </c>
      <c r="N301" s="5" t="n">
        <v>4.675268388196788</v>
      </c>
      <c r="O301" s="5" t="n">
        <v>4.5</v>
      </c>
      <c r="P301" s="5" t="n">
        <v>-0.1752683881967885</v>
      </c>
      <c r="Q301" s="6" t="n">
        <v>0.118187018356818</v>
      </c>
      <c r="R301" s="6" t="n">
        <v>0.499190633195008</v>
      </c>
      <c r="S301" s="6" t="n">
        <v>0.4412893323100537</v>
      </c>
      <c r="T301" s="2" t="inlineStr">
        <is>
          <t>Under</t>
        </is>
      </c>
      <c r="U301" s="4" t="n">
        <v>124</v>
      </c>
      <c r="V301" s="2" t="n">
        <v>2.24</v>
      </c>
      <c r="W301" s="4" t="n">
        <v>124</v>
      </c>
      <c r="X301" s="2" t="n">
        <v>1</v>
      </c>
      <c r="Y301" s="5" t="n">
        <v>-1</v>
      </c>
      <c r="Z301" s="7" t="n">
        <v>100</v>
      </c>
      <c r="AA301" s="7">
        <f>Y301*Z301</f>
        <v/>
      </c>
      <c r="AB301" s="6">
        <f>IF(Z301=0,0,AA301/Z301)</f>
        <v/>
      </c>
      <c r="AC301" s="6" t="n"/>
      <c r="AD301" s="2" t="inlineStr">
        <is>
          <t>Loss</t>
        </is>
      </c>
      <c r="AE301" s="6">
        <f>IF((COUNTIF($AD$2:AD301,"Win")+COUNTIF($AD$2:AD301,"Loss"))=0,0,COUNTIF($AD$2:AD301,"Win")/(COUNTIF($AD$2:AD301,"Win")+COUNTIF($AD$2:AD301,"Loss")))</f>
        <v/>
      </c>
      <c r="AF301" s="6">
        <f>SUM($Y$2:Y301)/SUM($X$2:X301)</f>
        <v/>
      </c>
      <c r="AG301" s="5">
        <f>SUM($Y$2:Y301)</f>
        <v/>
      </c>
      <c r="AH301" s="7">
        <f>10000.0+SUM($AA$2:AA301)</f>
        <v/>
      </c>
      <c r="AI301" s="2" t="n">
        <v>2025</v>
      </c>
      <c r="AJ301" s="2" t="inlineStr">
        <is>
          <t>2025-09</t>
        </is>
      </c>
      <c r="AK301" s="2" t="inlineStr">
        <is>
          <t>+121 to +150</t>
        </is>
      </c>
      <c r="AL301" s="2" t="inlineStr">
        <is>
          <t>2025 Validation</t>
        </is>
      </c>
      <c r="AM301" s="6" t="n">
        <v>0.09531211157807901</v>
      </c>
    </row>
    <row r="302">
      <c r="A302" s="2" t="inlineStr">
        <is>
          <t>KPROP-00301</t>
        </is>
      </c>
      <c r="B302" s="3" t="n">
        <v>45902.77474537037</v>
      </c>
      <c r="C302" s="3" t="n">
        <v>45902</v>
      </c>
      <c r="D302" s="2" t="inlineStr">
        <is>
          <t>Clayton Kershaw</t>
        </is>
      </c>
      <c r="E302" s="2" t="n">
        <v>119</v>
      </c>
      <c r="F302" s="2" t="n">
        <v>134</v>
      </c>
      <c r="G302" s="2" t="inlineStr">
        <is>
          <t>Away</t>
        </is>
      </c>
      <c r="H302" s="2" t="inlineStr">
        <is>
          <t>betmgm</t>
        </is>
      </c>
      <c r="I302" s="4" t="n"/>
      <c r="J302" s="4" t="n"/>
      <c r="K302" s="4" t="n">
        <v>-125</v>
      </c>
      <c r="L302" s="4" t="n">
        <v>-125</v>
      </c>
      <c r="M302" s="5" t="n">
        <v>4.5</v>
      </c>
      <c r="N302" s="5" t="n">
        <v>4.112682019906672</v>
      </c>
      <c r="O302" s="5" t="n">
        <v>4.5</v>
      </c>
      <c r="P302" s="5" t="n">
        <v>0.3873179800933277</v>
      </c>
      <c r="Q302" s="6" t="n">
        <v>0.09230135818178947</v>
      </c>
      <c r="R302" s="6" t="n">
        <v>0.6068340878787719</v>
      </c>
      <c r="S302" s="6" t="n">
        <v>0.5454545454545454</v>
      </c>
      <c r="T302" s="2" t="inlineStr">
        <is>
          <t>Under</t>
        </is>
      </c>
      <c r="U302" s="4" t="n">
        <v>-125</v>
      </c>
      <c r="V302" s="2" t="n">
        <v>1.8</v>
      </c>
      <c r="W302" s="4" t="n">
        <v>-125</v>
      </c>
      <c r="X302" s="2" t="n">
        <v>1</v>
      </c>
      <c r="Y302" s="5" t="n">
        <v>0.8</v>
      </c>
      <c r="Z302" s="7" t="n">
        <v>100</v>
      </c>
      <c r="AA302" s="7">
        <f>Y302*Z302</f>
        <v/>
      </c>
      <c r="AB302" s="6">
        <f>IF(Z302=0,0,AA302/Z302)</f>
        <v/>
      </c>
      <c r="AC302" s="6" t="n"/>
      <c r="AD302" s="2" t="inlineStr">
        <is>
          <t>Win</t>
        </is>
      </c>
      <c r="AE302" s="6">
        <f>IF((COUNTIF($AD$2:AD302,"Win")+COUNTIF($AD$2:AD302,"Loss"))=0,0,COUNTIF($AD$2:AD302,"Win")/(COUNTIF($AD$2:AD302,"Win")+COUNTIF($AD$2:AD302,"Loss")))</f>
        <v/>
      </c>
      <c r="AF302" s="6">
        <f>SUM($Y$2:Y302)/SUM($X$2:X302)</f>
        <v/>
      </c>
      <c r="AG302" s="5">
        <f>SUM($Y$2:Y302)</f>
        <v/>
      </c>
      <c r="AH302" s="7">
        <f>10000.0+SUM($AA$2:AA302)</f>
        <v/>
      </c>
      <c r="AI302" s="2" t="n">
        <v>2025</v>
      </c>
      <c r="AJ302" s="2" t="inlineStr">
        <is>
          <t>2025-09</t>
        </is>
      </c>
      <c r="AK302" s="2" t="inlineStr">
        <is>
          <t>-149 to -120</t>
        </is>
      </c>
      <c r="AL302" s="2" t="inlineStr">
        <is>
          <t>2025 Validation</t>
        </is>
      </c>
      <c r="AM302" s="6" t="n">
        <v>0.1153766977272368</v>
      </c>
    </row>
    <row r="303">
      <c r="A303" s="2" t="inlineStr">
        <is>
          <t>KPROP-00302</t>
        </is>
      </c>
      <c r="B303" s="3" t="n">
        <v>45902.77821759259</v>
      </c>
      <c r="C303" s="3" t="n">
        <v>45902</v>
      </c>
      <c r="D303" s="2" t="inlineStr">
        <is>
          <t>Garrett Crochet</t>
        </is>
      </c>
      <c r="E303" s="2" t="n">
        <v>111</v>
      </c>
      <c r="F303" s="2" t="n">
        <v>114</v>
      </c>
      <c r="G303" s="2" t="inlineStr">
        <is>
          <t>Home</t>
        </is>
      </c>
      <c r="H303" s="2" t="inlineStr">
        <is>
          <t>bovada</t>
        </is>
      </c>
      <c r="I303" s="4" t="n"/>
      <c r="J303" s="4" t="n"/>
      <c r="K303" s="4" t="n">
        <v>125</v>
      </c>
      <c r="L303" s="4" t="n">
        <v>125</v>
      </c>
      <c r="M303" s="5" t="n">
        <v>7.5</v>
      </c>
      <c r="N303" s="5" t="n">
        <v>7.103204724455854</v>
      </c>
      <c r="O303" s="5" t="n">
        <v>7.5</v>
      </c>
      <c r="P303" s="5" t="n">
        <v>0.3967952755441457</v>
      </c>
      <c r="Q303" s="6" t="n">
        <v>0.3125148090754932</v>
      </c>
      <c r="R303" s="6" t="n">
        <v>0.5833399151446637</v>
      </c>
      <c r="S303" s="6" t="n">
        <v>0.4401913875598086</v>
      </c>
      <c r="T303" s="2" t="inlineStr">
        <is>
          <t>Under</t>
        </is>
      </c>
      <c r="U303" s="4" t="n">
        <v>125</v>
      </c>
      <c r="V303" s="2" t="n">
        <v>2.25</v>
      </c>
      <c r="W303" s="4" t="n">
        <v>125</v>
      </c>
      <c r="X303" s="2" t="n">
        <v>1</v>
      </c>
      <c r="Y303" s="5" t="n">
        <v>1.25</v>
      </c>
      <c r="Z303" s="7" t="n">
        <v>100</v>
      </c>
      <c r="AA303" s="7">
        <f>Y303*Z303</f>
        <v/>
      </c>
      <c r="AB303" s="6">
        <f>IF(Z303=0,0,AA303/Z303)</f>
        <v/>
      </c>
      <c r="AC303" s="6" t="n"/>
      <c r="AD303" s="2" t="inlineStr">
        <is>
          <t>Win</t>
        </is>
      </c>
      <c r="AE303" s="6">
        <f>IF((COUNTIF($AD$2:AD303,"Win")+COUNTIF($AD$2:AD303,"Loss"))=0,0,COUNTIF($AD$2:AD303,"Win")/(COUNTIF($AD$2:AD303,"Win")+COUNTIF($AD$2:AD303,"Loss")))</f>
        <v/>
      </c>
      <c r="AF303" s="6">
        <f>SUM($Y$2:Y303)/SUM($X$2:X303)</f>
        <v/>
      </c>
      <c r="AG303" s="5">
        <f>SUM($Y$2:Y303)</f>
        <v/>
      </c>
      <c r="AH303" s="7">
        <f>10000.0+SUM($AA$2:AA303)</f>
        <v/>
      </c>
      <c r="AI303" s="2" t="n">
        <v>2025</v>
      </c>
      <c r="AJ303" s="2" t="inlineStr">
        <is>
          <t>2025-09</t>
        </is>
      </c>
      <c r="AK303" s="2" t="inlineStr">
        <is>
          <t>+121 to +150</t>
        </is>
      </c>
      <c r="AL303" s="2" t="inlineStr">
        <is>
          <t>2025 Validation</t>
        </is>
      </c>
      <c r="AM303" s="6" t="n">
        <v>0.2500118472603946</v>
      </c>
    </row>
    <row r="304">
      <c r="A304" s="2" t="inlineStr">
        <is>
          <t>KPROP-00303</t>
        </is>
      </c>
      <c r="B304" s="3" t="n">
        <v>45902.77821759259</v>
      </c>
      <c r="C304" s="3" t="n">
        <v>45902</v>
      </c>
      <c r="D304" s="2" t="inlineStr">
        <is>
          <t>Garrett Crochet</t>
        </is>
      </c>
      <c r="E304" s="2" t="n">
        <v>111</v>
      </c>
      <c r="F304" s="2" t="n">
        <v>114</v>
      </c>
      <c r="G304" s="2" t="inlineStr">
        <is>
          <t>Home</t>
        </is>
      </c>
      <c r="H304" s="2" t="inlineStr">
        <is>
          <t>draftkings</t>
        </is>
      </c>
      <c r="I304" s="4" t="n"/>
      <c r="J304" s="4" t="n"/>
      <c r="K304" s="4" t="n">
        <v>-145</v>
      </c>
      <c r="L304" s="4" t="n">
        <v>-145</v>
      </c>
      <c r="M304" s="5" t="n">
        <v>8.5</v>
      </c>
      <c r="N304" s="5" t="n">
        <v>7.103204724455854</v>
      </c>
      <c r="O304" s="5" t="n">
        <v>8.5</v>
      </c>
      <c r="P304" s="5" t="n">
        <v>1.396795275544146</v>
      </c>
      <c r="Q304" s="6" t="n">
        <v>0.2090157497821047</v>
      </c>
      <c r="R304" s="6" t="n">
        <v>0.715539933544511</v>
      </c>
      <c r="S304" s="6" t="n">
        <v>0.5656028368794326</v>
      </c>
      <c r="T304" s="2" t="inlineStr">
        <is>
          <t>Under</t>
        </is>
      </c>
      <c r="U304" s="4" t="n">
        <v>-145</v>
      </c>
      <c r="V304" s="2" t="n">
        <v>1.689655172413793</v>
      </c>
      <c r="W304" s="4" t="n">
        <v>-145</v>
      </c>
      <c r="X304" s="2" t="n">
        <v>1</v>
      </c>
      <c r="Y304" s="5" t="n">
        <v>0.6896551724137931</v>
      </c>
      <c r="Z304" s="7" t="n">
        <v>100</v>
      </c>
      <c r="AA304" s="7">
        <f>Y304*Z304</f>
        <v/>
      </c>
      <c r="AB304" s="6">
        <f>IF(Z304=0,0,AA304/Z304)</f>
        <v/>
      </c>
      <c r="AC304" s="6" t="n"/>
      <c r="AD304" s="2" t="inlineStr">
        <is>
          <t>Win</t>
        </is>
      </c>
      <c r="AE304" s="6">
        <f>IF((COUNTIF($AD$2:AD304,"Win")+COUNTIF($AD$2:AD304,"Loss"))=0,0,COUNTIF($AD$2:AD304,"Win")/(COUNTIF($AD$2:AD304,"Win")+COUNTIF($AD$2:AD304,"Loss")))</f>
        <v/>
      </c>
      <c r="AF304" s="6">
        <f>SUM($Y$2:Y304)/SUM($X$2:X304)</f>
        <v/>
      </c>
      <c r="AG304" s="5">
        <f>SUM($Y$2:Y304)</f>
        <v/>
      </c>
      <c r="AH304" s="7">
        <f>10000.0+SUM($AA$2:AA304)</f>
        <v/>
      </c>
      <c r="AI304" s="2" t="n">
        <v>2025</v>
      </c>
      <c r="AJ304" s="2" t="inlineStr">
        <is>
          <t>2025-09</t>
        </is>
      </c>
      <c r="AK304" s="2" t="inlineStr">
        <is>
          <t>-149 to -120</t>
        </is>
      </c>
      <c r="AL304" s="2" t="inlineStr">
        <is>
          <t>2025 Validation</t>
        </is>
      </c>
      <c r="AM304" s="6" t="n">
        <v>0.3030728371840519</v>
      </c>
    </row>
    <row r="305">
      <c r="A305" s="2" t="inlineStr">
        <is>
          <t>KPROP-00304</t>
        </is>
      </c>
      <c r="B305" s="3" t="n">
        <v>45902.81641203703</v>
      </c>
      <c r="C305" s="3" t="n">
        <v>45902</v>
      </c>
      <c r="D305" s="2" t="inlineStr">
        <is>
          <t>Shota Imanaga</t>
        </is>
      </c>
      <c r="E305" s="2" t="n">
        <v>112</v>
      </c>
      <c r="F305" s="2" t="n">
        <v>144</v>
      </c>
      <c r="G305" s="2" t="inlineStr">
        <is>
          <t>Home</t>
        </is>
      </c>
      <c r="H305" s="2" t="inlineStr">
        <is>
          <t>bovada</t>
        </is>
      </c>
      <c r="I305" s="4" t="n"/>
      <c r="J305" s="4" t="n"/>
      <c r="K305" s="4" t="n">
        <v>-125</v>
      </c>
      <c r="L305" s="4" t="n">
        <v>-125</v>
      </c>
      <c r="M305" s="5" t="n">
        <v>5.5</v>
      </c>
      <c r="N305" s="5" t="n">
        <v>4.903471552336836</v>
      </c>
      <c r="O305" s="5" t="n">
        <v>5.5</v>
      </c>
      <c r="P305" s="5" t="n">
        <v>0.5965284476631645</v>
      </c>
      <c r="Q305" s="6" t="n">
        <v>0.1392072867945109</v>
      </c>
      <c r="R305" s="6" t="n">
        <v>0.6328929371080616</v>
      </c>
      <c r="S305" s="6" t="n">
        <v>0.5555555555555556</v>
      </c>
      <c r="T305" s="2" t="inlineStr">
        <is>
          <t>Under</t>
        </is>
      </c>
      <c r="U305" s="4" t="n">
        <v>-125</v>
      </c>
      <c r="V305" s="2" t="n">
        <v>1.8</v>
      </c>
      <c r="W305" s="4" t="n">
        <v>-125</v>
      </c>
      <c r="X305" s="2" t="n">
        <v>1</v>
      </c>
      <c r="Y305" s="5" t="n">
        <v>0.8</v>
      </c>
      <c r="Z305" s="7" t="n">
        <v>100</v>
      </c>
      <c r="AA305" s="7">
        <f>Y305*Z305</f>
        <v/>
      </c>
      <c r="AB305" s="6">
        <f>IF(Z305=0,0,AA305/Z305)</f>
        <v/>
      </c>
      <c r="AC305" s="6" t="n"/>
      <c r="AD305" s="2" t="inlineStr">
        <is>
          <t>Win</t>
        </is>
      </c>
      <c r="AE305" s="6">
        <f>IF((COUNTIF($AD$2:AD305,"Win")+COUNTIF($AD$2:AD305,"Loss"))=0,0,COUNTIF($AD$2:AD305,"Win")/(COUNTIF($AD$2:AD305,"Win")+COUNTIF($AD$2:AD305,"Loss")))</f>
        <v/>
      </c>
      <c r="AF305" s="6">
        <f>SUM($Y$2:Y305)/SUM($X$2:X305)</f>
        <v/>
      </c>
      <c r="AG305" s="5">
        <f>SUM($Y$2:Y305)</f>
        <v/>
      </c>
      <c r="AH305" s="7">
        <f>10000.0+SUM($AA$2:AA305)</f>
        <v/>
      </c>
      <c r="AI305" s="2" t="n">
        <v>2025</v>
      </c>
      <c r="AJ305" s="2" t="inlineStr">
        <is>
          <t>2025-09</t>
        </is>
      </c>
      <c r="AK305" s="2" t="inlineStr">
        <is>
          <t>-149 to -120</t>
        </is>
      </c>
      <c r="AL305" s="2" t="inlineStr">
        <is>
          <t>2025 Validation</t>
        </is>
      </c>
      <c r="AM305" s="6" t="n">
        <v>0.1740091084931386</v>
      </c>
    </row>
    <row r="306">
      <c r="A306" s="2" t="inlineStr">
        <is>
          <t>KPROP-00305</t>
        </is>
      </c>
      <c r="B306" s="3" t="n">
        <v>45903.77822916667</v>
      </c>
      <c r="C306" s="3" t="n">
        <v>45903</v>
      </c>
      <c r="D306" s="2" t="inlineStr">
        <is>
          <t>Braxton Ashcraft</t>
        </is>
      </c>
      <c r="E306" s="2" t="n">
        <v>134</v>
      </c>
      <c r="F306" s="2" t="n">
        <v>119</v>
      </c>
      <c r="G306" s="2" t="inlineStr">
        <is>
          <t>Home</t>
        </is>
      </c>
      <c r="H306" s="2" t="inlineStr">
        <is>
          <t>draftkings</t>
        </is>
      </c>
      <c r="I306" s="4" t="n"/>
      <c r="J306" s="4" t="n"/>
      <c r="K306" s="4" t="n">
        <v>-145</v>
      </c>
      <c r="L306" s="4" t="n">
        <v>-145</v>
      </c>
      <c r="M306" s="5" t="n">
        <v>4.5</v>
      </c>
      <c r="N306" s="5" t="n">
        <v>3.961912455869469</v>
      </c>
      <c r="O306" s="5" t="n">
        <v>4.5</v>
      </c>
      <c r="P306" s="5" t="n">
        <v>0.5380875441305313</v>
      </c>
      <c r="Q306" s="6" t="n">
        <v>0.0750896119907245</v>
      </c>
      <c r="R306" s="6" t="n">
        <v>0.6362775254638982</v>
      </c>
      <c r="S306" s="6" t="n">
        <v>0.5711159737417943</v>
      </c>
      <c r="T306" s="2" t="inlineStr">
        <is>
          <t>Under</t>
        </is>
      </c>
      <c r="U306" s="4" t="n">
        <v>-145</v>
      </c>
      <c r="V306" s="2" t="n">
        <v>1.689655172413793</v>
      </c>
      <c r="W306" s="4" t="n">
        <v>-145</v>
      </c>
      <c r="X306" s="2" t="n">
        <v>1</v>
      </c>
      <c r="Y306" s="5" t="n">
        <v>0.6896551724137931</v>
      </c>
      <c r="Z306" s="7" t="n">
        <v>100</v>
      </c>
      <c r="AA306" s="7">
        <f>Y306*Z306</f>
        <v/>
      </c>
      <c r="AB306" s="6">
        <f>IF(Z306=0,0,AA306/Z306)</f>
        <v/>
      </c>
      <c r="AC306" s="6" t="n"/>
      <c r="AD306" s="2" t="inlineStr">
        <is>
          <t>Win</t>
        </is>
      </c>
      <c r="AE306" s="6">
        <f>IF((COUNTIF($AD$2:AD306,"Win")+COUNTIF($AD$2:AD306,"Loss"))=0,0,COUNTIF($AD$2:AD306,"Win")/(COUNTIF($AD$2:AD306,"Win")+COUNTIF($AD$2:AD306,"Loss")))</f>
        <v/>
      </c>
      <c r="AF306" s="6">
        <f>SUM($Y$2:Y306)/SUM($X$2:X306)</f>
        <v/>
      </c>
      <c r="AG306" s="5">
        <f>SUM($Y$2:Y306)</f>
        <v/>
      </c>
      <c r="AH306" s="7">
        <f>10000.0+SUM($AA$2:AA306)</f>
        <v/>
      </c>
      <c r="AI306" s="2" t="n">
        <v>2025</v>
      </c>
      <c r="AJ306" s="2" t="inlineStr">
        <is>
          <t>2025-09</t>
        </is>
      </c>
      <c r="AK306" s="2" t="inlineStr">
        <is>
          <t>-149 to -120</t>
        </is>
      </c>
      <c r="AL306" s="2" t="inlineStr">
        <is>
          <t>2025 Validation</t>
        </is>
      </c>
      <c r="AM306" s="6" t="n">
        <v>0.1088799373865505</v>
      </c>
    </row>
    <row r="307">
      <c r="A307" s="2" t="inlineStr">
        <is>
          <t>KPROP-00306</t>
        </is>
      </c>
      <c r="B307" s="3" t="n">
        <v>45903.67405092593</v>
      </c>
      <c r="C307" s="3" t="n">
        <v>45903</v>
      </c>
      <c r="D307" s="2" t="inlineStr">
        <is>
          <t>Nestor Cortes</t>
        </is>
      </c>
      <c r="E307" s="2" t="n">
        <v>135</v>
      </c>
      <c r="F307" s="2" t="n">
        <v>110</v>
      </c>
      <c r="G307" s="2" t="inlineStr">
        <is>
          <t>Home</t>
        </is>
      </c>
      <c r="H307" s="2" t="inlineStr">
        <is>
          <t>draftkings</t>
        </is>
      </c>
      <c r="I307" s="4" t="n"/>
      <c r="J307" s="4" t="n"/>
      <c r="K307" s="4" t="n">
        <v>-110</v>
      </c>
      <c r="L307" s="4" t="n">
        <v>-110</v>
      </c>
      <c r="M307" s="5" t="n">
        <v>5.5</v>
      </c>
      <c r="N307" s="5" t="n">
        <v>5.194608453559098</v>
      </c>
      <c r="O307" s="5" t="n">
        <v>5.5</v>
      </c>
      <c r="P307" s="5" t="n">
        <v>0.3053915464409025</v>
      </c>
      <c r="Q307" s="6" t="n">
        <v>0.1108149745623789</v>
      </c>
      <c r="R307" s="6" t="n">
        <v>0.581855462866008</v>
      </c>
      <c r="S307" s="6" t="n">
        <v>0.5056053811659194</v>
      </c>
      <c r="T307" s="2" t="inlineStr">
        <is>
          <t>Under</t>
        </is>
      </c>
      <c r="U307" s="4" t="n">
        <v>-110</v>
      </c>
      <c r="V307" s="2" t="n">
        <v>1.909090909090909</v>
      </c>
      <c r="W307" s="4" t="n">
        <v>-110</v>
      </c>
      <c r="X307" s="2" t="n">
        <v>1</v>
      </c>
      <c r="Y307" s="5" t="n">
        <v>0.9090909090909092</v>
      </c>
      <c r="Z307" s="7" t="n">
        <v>100</v>
      </c>
      <c r="AA307" s="7">
        <f>Y307*Z307</f>
        <v/>
      </c>
      <c r="AB307" s="6">
        <f>IF(Z307=0,0,AA307/Z307)</f>
        <v/>
      </c>
      <c r="AC307" s="6" t="n"/>
      <c r="AD307" s="2" t="inlineStr">
        <is>
          <t>Win</t>
        </is>
      </c>
      <c r="AE307" s="6">
        <f>IF((COUNTIF($AD$2:AD307,"Win")+COUNTIF($AD$2:AD307,"Loss"))=0,0,COUNTIF($AD$2:AD307,"Win")/(COUNTIF($AD$2:AD307,"Win")+COUNTIF($AD$2:AD307,"Loss")))</f>
        <v/>
      </c>
      <c r="AF307" s="6">
        <f>SUM($Y$2:Y307)/SUM($X$2:X307)</f>
        <v/>
      </c>
      <c r="AG307" s="5">
        <f>SUM($Y$2:Y307)</f>
        <v/>
      </c>
      <c r="AH307" s="7">
        <f>10000.0+SUM($AA$2:AA307)</f>
        <v/>
      </c>
      <c r="AI307" s="2" t="n">
        <v>2025</v>
      </c>
      <c r="AJ307" s="2" t="inlineStr">
        <is>
          <t>2025-09</t>
        </is>
      </c>
      <c r="AK307" s="2" t="inlineStr">
        <is>
          <t>-119 to -101</t>
        </is>
      </c>
      <c r="AL307" s="2" t="inlineStr">
        <is>
          <t>2025 Validation</t>
        </is>
      </c>
      <c r="AM307" s="6" t="n">
        <v>0.1218964720186168</v>
      </c>
    </row>
    <row r="308">
      <c r="A308" s="2" t="inlineStr">
        <is>
          <t>KPROP-00307</t>
        </is>
      </c>
      <c r="B308" s="3" t="n">
        <v>45903.65322916667</v>
      </c>
      <c r="C308" s="3" t="n">
        <v>45903</v>
      </c>
      <c r="D308" s="2" t="inlineStr">
        <is>
          <t>Zac Gallen</t>
        </is>
      </c>
      <c r="E308" s="2" t="n">
        <v>109</v>
      </c>
      <c r="F308" s="2" t="n">
        <v>140</v>
      </c>
      <c r="G308" s="2" t="inlineStr">
        <is>
          <t>Home</t>
        </is>
      </c>
      <c r="H308" s="2" t="inlineStr">
        <is>
          <t>draftkings</t>
        </is>
      </c>
      <c r="I308" s="4" t="n"/>
      <c r="J308" s="4" t="n"/>
      <c r="K308" s="4" t="n">
        <v>-130</v>
      </c>
      <c r="L308" s="4" t="n">
        <v>-130</v>
      </c>
      <c r="M308" s="5" t="n">
        <v>5.5</v>
      </c>
      <c r="N308" s="5" t="n">
        <v>4.812004237682272</v>
      </c>
      <c r="O308" s="5" t="n">
        <v>5.5</v>
      </c>
      <c r="P308" s="5" t="n">
        <v>0.687995762317728</v>
      </c>
      <c r="Q308" s="6" t="n">
        <v>0.1480683728891761</v>
      </c>
      <c r="R308" s="6" t="n">
        <v>0.6489082107634474</v>
      </c>
      <c r="S308" s="6" t="n">
        <v>0.5403677058353318</v>
      </c>
      <c r="T308" s="2" t="inlineStr">
        <is>
          <t>Under</t>
        </is>
      </c>
      <c r="U308" s="4" t="n">
        <v>-130</v>
      </c>
      <c r="V308" s="2" t="n">
        <v>1.769230769230769</v>
      </c>
      <c r="W308" s="4" t="n">
        <v>-130</v>
      </c>
      <c r="X308" s="2" t="n">
        <v>1</v>
      </c>
      <c r="Y308" s="5" t="n">
        <v>0.7692307692307692</v>
      </c>
      <c r="Z308" s="7" t="n">
        <v>100</v>
      </c>
      <c r="AA308" s="7">
        <f>Y308*Z308</f>
        <v/>
      </c>
      <c r="AB308" s="6">
        <f>IF(Z308=0,0,AA308/Z308)</f>
        <v/>
      </c>
      <c r="AC308" s="6" t="n"/>
      <c r="AD308" s="2" t="inlineStr">
        <is>
          <t>Win</t>
        </is>
      </c>
      <c r="AE308" s="6">
        <f>IF((COUNTIF($AD$2:AD308,"Win")+COUNTIF($AD$2:AD308,"Loss"))=0,0,COUNTIF($AD$2:AD308,"Win")/(COUNTIF($AD$2:AD308,"Win")+COUNTIF($AD$2:AD308,"Loss")))</f>
        <v/>
      </c>
      <c r="AF308" s="6">
        <f>SUM($Y$2:Y308)/SUM($X$2:X308)</f>
        <v/>
      </c>
      <c r="AG308" s="5">
        <f>SUM($Y$2:Y308)</f>
        <v/>
      </c>
      <c r="AH308" s="7">
        <f>10000.0+SUM($AA$2:AA308)</f>
        <v/>
      </c>
      <c r="AI308" s="2" t="n">
        <v>2025</v>
      </c>
      <c r="AJ308" s="2" t="inlineStr">
        <is>
          <t>2025-09</t>
        </is>
      </c>
      <c r="AK308" s="2" t="inlineStr">
        <is>
          <t>-149 to -120</t>
        </is>
      </c>
      <c r="AL308" s="2" t="inlineStr">
        <is>
          <t>2025 Validation</t>
        </is>
      </c>
      <c r="AM308" s="6" t="n">
        <v>0.192488884755929</v>
      </c>
    </row>
    <row r="309">
      <c r="A309" s="2" t="inlineStr">
        <is>
          <t>KPROP-00308</t>
        </is>
      </c>
      <c r="B309" s="3" t="n">
        <v>45903.77822916667</v>
      </c>
      <c r="C309" s="3" t="n">
        <v>45903</v>
      </c>
      <c r="D309" s="2" t="inlineStr">
        <is>
          <t>Zack Littell</t>
        </is>
      </c>
      <c r="E309" s="2" t="n">
        <v>113</v>
      </c>
      <c r="F309" s="2" t="n">
        <v>141</v>
      </c>
      <c r="G309" s="2" t="inlineStr">
        <is>
          <t>Home</t>
        </is>
      </c>
      <c r="H309" s="2" t="inlineStr">
        <is>
          <t>draftkings</t>
        </is>
      </c>
      <c r="I309" s="4" t="n"/>
      <c r="J309" s="4" t="n"/>
      <c r="K309" s="4" t="n">
        <v>-115</v>
      </c>
      <c r="L309" s="4" t="n">
        <v>-115</v>
      </c>
      <c r="M309" s="5" t="n">
        <v>3.5</v>
      </c>
      <c r="N309" s="5" t="n">
        <v>3.335949515406759</v>
      </c>
      <c r="O309" s="5" t="n">
        <v>3.5</v>
      </c>
      <c r="P309" s="5" t="n">
        <v>0.1640504845932411</v>
      </c>
      <c r="Q309" s="6" t="n">
        <v>0.07015774834652788</v>
      </c>
      <c r="R309" s="6" t="n">
        <v>0.5724099584179103</v>
      </c>
      <c r="S309" s="6" t="n">
        <v>0.5230171935662784</v>
      </c>
      <c r="T309" s="2" t="inlineStr">
        <is>
          <t>Under</t>
        </is>
      </c>
      <c r="U309" s="4" t="n">
        <v>-115</v>
      </c>
      <c r="V309" s="2" t="n">
        <v>1.869565217391304</v>
      </c>
      <c r="W309" s="4" t="n">
        <v>-115</v>
      </c>
      <c r="X309" s="2" t="n">
        <v>1</v>
      </c>
      <c r="Y309" s="5" t="n">
        <v>-1</v>
      </c>
      <c r="Z309" s="7" t="n">
        <v>100</v>
      </c>
      <c r="AA309" s="7">
        <f>Y309*Z309</f>
        <v/>
      </c>
      <c r="AB309" s="6">
        <f>IF(Z309=0,0,AA309/Z309)</f>
        <v/>
      </c>
      <c r="AC309" s="6" t="n"/>
      <c r="AD309" s="2" t="inlineStr">
        <is>
          <t>Loss</t>
        </is>
      </c>
      <c r="AE309" s="6">
        <f>IF((COUNTIF($AD$2:AD309,"Win")+COUNTIF($AD$2:AD309,"Loss"))=0,0,COUNTIF($AD$2:AD309,"Win")/(COUNTIF($AD$2:AD309,"Win")+COUNTIF($AD$2:AD309,"Loss")))</f>
        <v/>
      </c>
      <c r="AF309" s="6">
        <f>SUM($Y$2:Y309)/SUM($X$2:X309)</f>
        <v/>
      </c>
      <c r="AG309" s="5">
        <f>SUM($Y$2:Y309)</f>
        <v/>
      </c>
      <c r="AH309" s="7">
        <f>10000.0+SUM($AA$2:AA309)</f>
        <v/>
      </c>
      <c r="AI309" s="2" t="n">
        <v>2025</v>
      </c>
      <c r="AJ309" s="2" t="inlineStr">
        <is>
          <t>2025-09</t>
        </is>
      </c>
      <c r="AK309" s="2" t="inlineStr">
        <is>
          <t>-119 to -101</t>
        </is>
      </c>
      <c r="AL309" s="2" t="inlineStr">
        <is>
          <t>2025 Validation</t>
        </is>
      </c>
      <c r="AM309" s="6" t="n">
        <v>0.08068141059850707</v>
      </c>
    </row>
    <row r="310">
      <c r="A310" s="2" t="inlineStr">
        <is>
          <t>KPROP-00309</t>
        </is>
      </c>
      <c r="B310" s="3" t="n">
        <v>45904.81988425926</v>
      </c>
      <c r="C310" s="3" t="n">
        <v>45904</v>
      </c>
      <c r="D310" s="2" t="inlineStr">
        <is>
          <t>Cristian Javier</t>
        </is>
      </c>
      <c r="E310" s="2" t="n">
        <v>117</v>
      </c>
      <c r="F310" s="2" t="n">
        <v>147</v>
      </c>
      <c r="G310" s="2" t="inlineStr">
        <is>
          <t>Home</t>
        </is>
      </c>
      <c r="H310" s="2" t="inlineStr">
        <is>
          <t>betrivers</t>
        </is>
      </c>
      <c r="I310" s="4" t="n"/>
      <c r="J310" s="4" t="n"/>
      <c r="K310" s="4" t="n">
        <v>120</v>
      </c>
      <c r="L310" s="4" t="n">
        <v>120</v>
      </c>
      <c r="M310" s="5" t="n">
        <v>4.5</v>
      </c>
      <c r="N310" s="5" t="n">
        <v>4.727057682068495</v>
      </c>
      <c r="O310" s="5" t="n">
        <v>4.5</v>
      </c>
      <c r="P310" s="5" t="n">
        <v>-0.2270576820684953</v>
      </c>
      <c r="Q310" s="6" t="n">
        <v>0.07715369715095388</v>
      </c>
      <c r="R310" s="6" t="n">
        <v>0.4896153168867972</v>
      </c>
      <c r="S310" s="6" t="n">
        <v>0.4236739974126779</v>
      </c>
      <c r="T310" s="2" t="inlineStr">
        <is>
          <t>Under</t>
        </is>
      </c>
      <c r="U310" s="4" t="n">
        <v>120</v>
      </c>
      <c r="V310" s="2" t="n">
        <v>2.2</v>
      </c>
      <c r="W310" s="4" t="n">
        <v>120</v>
      </c>
      <c r="X310" s="2" t="n">
        <v>1</v>
      </c>
      <c r="Y310" s="5" t="n">
        <v>1.2</v>
      </c>
      <c r="Z310" s="7" t="n">
        <v>100</v>
      </c>
      <c r="AA310" s="7">
        <f>Y310*Z310</f>
        <v/>
      </c>
      <c r="AB310" s="6">
        <f>IF(Z310=0,0,AA310/Z310)</f>
        <v/>
      </c>
      <c r="AC310" s="6" t="n"/>
      <c r="AD310" s="2" t="inlineStr">
        <is>
          <t>Win</t>
        </is>
      </c>
      <c r="AE310" s="6">
        <f>IF((COUNTIF($AD$2:AD310,"Win")+COUNTIF($AD$2:AD310,"Loss"))=0,0,COUNTIF($AD$2:AD310,"Win")/(COUNTIF($AD$2:AD310,"Win")+COUNTIF($AD$2:AD310,"Loss")))</f>
        <v/>
      </c>
      <c r="AF310" s="6">
        <f>SUM($Y$2:Y310)/SUM($X$2:X310)</f>
        <v/>
      </c>
      <c r="AG310" s="5">
        <f>SUM($Y$2:Y310)</f>
        <v/>
      </c>
      <c r="AH310" s="7">
        <f>10000.0+SUM($AA$2:AA310)</f>
        <v/>
      </c>
      <c r="AI310" s="2" t="n">
        <v>2025</v>
      </c>
      <c r="AJ310" s="2" t="inlineStr">
        <is>
          <t>2025-09</t>
        </is>
      </c>
      <c r="AK310" s="2" t="inlineStr">
        <is>
          <t>+100 to +120</t>
        </is>
      </c>
      <c r="AL310" s="2" t="inlineStr">
        <is>
          <t>2025 Validation</t>
        </is>
      </c>
      <c r="AM310" s="6" t="n">
        <v>0.06429474762579489</v>
      </c>
    </row>
    <row r="311">
      <c r="A311" s="2" t="inlineStr">
        <is>
          <t>KPROP-00310</t>
        </is>
      </c>
      <c r="B311" s="3" t="n">
        <v>45904.81988425926</v>
      </c>
      <c r="C311" s="3" t="n">
        <v>45904</v>
      </c>
      <c r="D311" s="2" t="inlineStr">
        <is>
          <t>Cristian Javier</t>
        </is>
      </c>
      <c r="E311" s="2" t="n">
        <v>117</v>
      </c>
      <c r="F311" s="2" t="n">
        <v>147</v>
      </c>
      <c r="G311" s="2" t="inlineStr">
        <is>
          <t>Home</t>
        </is>
      </c>
      <c r="H311" s="2" t="inlineStr">
        <is>
          <t>draftkings</t>
        </is>
      </c>
      <c r="I311" s="4" t="n"/>
      <c r="J311" s="4" t="n"/>
      <c r="K311" s="4" t="n">
        <v>-140</v>
      </c>
      <c r="L311" s="4" t="n">
        <v>-140</v>
      </c>
      <c r="M311" s="5" t="n">
        <v>5.5</v>
      </c>
      <c r="N311" s="5" t="n">
        <v>4.727057682068495</v>
      </c>
      <c r="O311" s="5" t="n">
        <v>5.5</v>
      </c>
      <c r="P311" s="5" t="n">
        <v>0.7729423179315047</v>
      </c>
      <c r="Q311" s="6" t="n">
        <v>0.1378247810940098</v>
      </c>
      <c r="R311" s="6" t="n">
        <v>0.663731122304839</v>
      </c>
      <c r="S311" s="6" t="n">
        <v>0.565374864179645</v>
      </c>
      <c r="T311" s="2" t="inlineStr">
        <is>
          <t>Under</t>
        </is>
      </c>
      <c r="U311" s="4" t="n">
        <v>-140</v>
      </c>
      <c r="V311" s="2" t="n">
        <v>1.714285714285714</v>
      </c>
      <c r="W311" s="4" t="n">
        <v>-140</v>
      </c>
      <c r="X311" s="2" t="n">
        <v>1</v>
      </c>
      <c r="Y311" s="5" t="n">
        <v>0.7142857142857144</v>
      </c>
      <c r="Z311" s="7" t="n">
        <v>100</v>
      </c>
      <c r="AA311" s="7">
        <f>Y311*Z311</f>
        <v/>
      </c>
      <c r="AB311" s="6">
        <f>IF(Z311=0,0,AA311/Z311)</f>
        <v/>
      </c>
      <c r="AC311" s="6" t="n"/>
      <c r="AD311" s="2" t="inlineStr">
        <is>
          <t>Win</t>
        </is>
      </c>
      <c r="AE311" s="6">
        <f>IF((COUNTIF($AD$2:AD311,"Win")+COUNTIF($AD$2:AD311,"Loss"))=0,0,COUNTIF($AD$2:AD311,"Win")/(COUNTIF($AD$2:AD311,"Win")+COUNTIF($AD$2:AD311,"Loss")))</f>
        <v/>
      </c>
      <c r="AF311" s="6">
        <f>SUM($Y$2:Y311)/SUM($X$2:X311)</f>
        <v/>
      </c>
      <c r="AG311" s="5">
        <f>SUM($Y$2:Y311)</f>
        <v/>
      </c>
      <c r="AH311" s="7">
        <f>10000.0+SUM($AA$2:AA311)</f>
        <v/>
      </c>
      <c r="AI311" s="2" t="n">
        <v>2025</v>
      </c>
      <c r="AJ311" s="2" t="inlineStr">
        <is>
          <t>2025-09</t>
        </is>
      </c>
      <c r="AK311" s="2" t="inlineStr">
        <is>
          <t>-149 to -120</t>
        </is>
      </c>
      <c r="AL311" s="2" t="inlineStr">
        <is>
          <t>2025 Validation</t>
        </is>
      </c>
      <c r="AM311" s="6" t="n">
        <v>0.1929546935316137</v>
      </c>
    </row>
    <row r="312">
      <c r="A312" s="2" t="inlineStr">
        <is>
          <t>KPROP-00311</t>
        </is>
      </c>
      <c r="B312" s="3" t="n">
        <v>45904.6740625</v>
      </c>
      <c r="C312" s="3" t="n">
        <v>45904</v>
      </c>
      <c r="D312" s="2" t="inlineStr">
        <is>
          <t>Ranger Suarez</t>
        </is>
      </c>
      <c r="E312" s="2" t="n">
        <v>143</v>
      </c>
      <c r="F312" s="2" t="n">
        <v>158</v>
      </c>
      <c r="G312" s="2" t="inlineStr">
        <is>
          <t>Away</t>
        </is>
      </c>
      <c r="H312" s="2" t="inlineStr">
        <is>
          <t>betmgm</t>
        </is>
      </c>
      <c r="I312" s="4" t="n"/>
      <c r="J312" s="4" t="n"/>
      <c r="K312" s="4" t="n">
        <v>110</v>
      </c>
      <c r="L312" s="4" t="n">
        <v>110</v>
      </c>
      <c r="M312" s="5" t="n">
        <v>4.5</v>
      </c>
      <c r="N312" s="5" t="n">
        <v>4.333410859253927</v>
      </c>
      <c r="O312" s="5" t="n">
        <v>4.5</v>
      </c>
      <c r="P312" s="5" t="n">
        <v>0.1665891407460727</v>
      </c>
      <c r="Q312" s="6" t="n">
        <v>0.1843750015960856</v>
      </c>
      <c r="R312" s="6" t="n">
        <v>0.5639880959981359</v>
      </c>
      <c r="S312" s="6" t="n">
        <v>0.4572564612326044</v>
      </c>
      <c r="T312" s="2" t="inlineStr">
        <is>
          <t>Under</t>
        </is>
      </c>
      <c r="U312" s="4" t="n">
        <v>110</v>
      </c>
      <c r="V312" s="2" t="n">
        <v>2.1</v>
      </c>
      <c r="W312" s="4" t="n">
        <v>110</v>
      </c>
      <c r="X312" s="2" t="n">
        <v>1</v>
      </c>
      <c r="Y312" s="5" t="n">
        <v>1.1</v>
      </c>
      <c r="Z312" s="7" t="n">
        <v>100</v>
      </c>
      <c r="AA312" s="7">
        <f>Y312*Z312</f>
        <v/>
      </c>
      <c r="AB312" s="6">
        <f>IF(Z312=0,0,AA312/Z312)</f>
        <v/>
      </c>
      <c r="AC312" s="6" t="n"/>
      <c r="AD312" s="2" t="inlineStr">
        <is>
          <t>Win</t>
        </is>
      </c>
      <c r="AE312" s="6">
        <f>IF((COUNTIF($AD$2:AD312,"Win")+COUNTIF($AD$2:AD312,"Loss"))=0,0,COUNTIF($AD$2:AD312,"Win")/(COUNTIF($AD$2:AD312,"Win")+COUNTIF($AD$2:AD312,"Loss")))</f>
        <v/>
      </c>
      <c r="AF312" s="6">
        <f>SUM($Y$2:Y312)/SUM($X$2:X312)</f>
        <v/>
      </c>
      <c r="AG312" s="5">
        <f>SUM($Y$2:Y312)</f>
        <v/>
      </c>
      <c r="AH312" s="7">
        <f>10000.0+SUM($AA$2:AA312)</f>
        <v/>
      </c>
      <c r="AI312" s="2" t="n">
        <v>2025</v>
      </c>
      <c r="AJ312" s="2" t="inlineStr">
        <is>
          <t>2025-09</t>
        </is>
      </c>
      <c r="AK312" s="2" t="inlineStr">
        <is>
          <t>+100 to +120</t>
        </is>
      </c>
      <c r="AL312" s="2" t="inlineStr">
        <is>
          <t>2025 Validation</t>
        </is>
      </c>
      <c r="AM312" s="6" t="n">
        <v>0.1676136378146232</v>
      </c>
    </row>
    <row r="313">
      <c r="A313" s="2" t="inlineStr">
        <is>
          <t>KPROP-00312</t>
        </is>
      </c>
      <c r="B313" s="3" t="n">
        <v>45904.81988425926</v>
      </c>
      <c r="C313" s="3" t="n">
        <v>45904</v>
      </c>
      <c r="D313" s="2" t="inlineStr">
        <is>
          <t>Taj Bradley</t>
        </is>
      </c>
      <c r="E313" s="2" t="n">
        <v>142</v>
      </c>
      <c r="F313" s="2" t="n">
        <v>145</v>
      </c>
      <c r="G313" s="2" t="inlineStr">
        <is>
          <t>Home</t>
        </is>
      </c>
      <c r="H313" s="2" t="inlineStr">
        <is>
          <t>betrivers</t>
        </is>
      </c>
      <c r="I313" s="4" t="n"/>
      <c r="J313" s="4" t="n"/>
      <c r="K313" s="4" t="n">
        <v>135</v>
      </c>
      <c r="L313" s="4" t="n">
        <v>135</v>
      </c>
      <c r="M313" s="5" t="n">
        <v>4.5</v>
      </c>
      <c r="N313" s="5" t="n">
        <v>4.591139234140759</v>
      </c>
      <c r="O313" s="5" t="n">
        <v>4.5</v>
      </c>
      <c r="P313" s="5" t="n">
        <v>-0.09113923414075931</v>
      </c>
      <c r="Q313" s="6" t="n">
        <v>0.2100070017014976</v>
      </c>
      <c r="R313" s="6" t="n">
        <v>0.5148965964687223</v>
      </c>
      <c r="S313" s="6" t="n">
        <v>0.4117884537747275</v>
      </c>
      <c r="T313" s="2" t="inlineStr">
        <is>
          <t>Under</t>
        </is>
      </c>
      <c r="U313" s="4" t="n">
        <v>135</v>
      </c>
      <c r="V313" s="2" t="n">
        <v>2.35</v>
      </c>
      <c r="W313" s="4" t="n">
        <v>135</v>
      </c>
      <c r="X313" s="2" t="n">
        <v>1</v>
      </c>
      <c r="Y313" s="5" t="n">
        <v>-1</v>
      </c>
      <c r="Z313" s="7" t="n">
        <v>100</v>
      </c>
      <c r="AA313" s="7">
        <f>Y313*Z313</f>
        <v/>
      </c>
      <c r="AB313" s="6">
        <f>IF(Z313=0,0,AA313/Z313)</f>
        <v/>
      </c>
      <c r="AC313" s="6" t="n"/>
      <c r="AD313" s="2" t="inlineStr">
        <is>
          <t>Loss</t>
        </is>
      </c>
      <c r="AE313" s="6">
        <f>IF((COUNTIF($AD$2:AD313,"Win")+COUNTIF($AD$2:AD313,"Loss"))=0,0,COUNTIF($AD$2:AD313,"Win")/(COUNTIF($AD$2:AD313,"Win")+COUNTIF($AD$2:AD313,"Loss")))</f>
        <v/>
      </c>
      <c r="AF313" s="6">
        <f>SUM($Y$2:Y313)/SUM($X$2:X313)</f>
        <v/>
      </c>
      <c r="AG313" s="5">
        <f>SUM($Y$2:Y313)</f>
        <v/>
      </c>
      <c r="AH313" s="7">
        <f>10000.0+SUM($AA$2:AA313)</f>
        <v/>
      </c>
      <c r="AI313" s="2" t="n">
        <v>2025</v>
      </c>
      <c r="AJ313" s="2" t="inlineStr">
        <is>
          <t>2025-09</t>
        </is>
      </c>
      <c r="AK313" s="2" t="inlineStr">
        <is>
          <t>+121 to +150</t>
        </is>
      </c>
      <c r="AL313" s="2" t="inlineStr">
        <is>
          <t>2025 Validation</t>
        </is>
      </c>
      <c r="AM313" s="6" t="n">
        <v>0.1555607420011093</v>
      </c>
    </row>
    <row r="314">
      <c r="A314" s="2" t="inlineStr">
        <is>
          <t>KPROP-00313</t>
        </is>
      </c>
      <c r="B314" s="3" t="n">
        <v>45904.81988425926</v>
      </c>
      <c r="C314" s="3" t="n">
        <v>45904</v>
      </c>
      <c r="D314" s="2" t="inlineStr">
        <is>
          <t>Taj Bradley</t>
        </is>
      </c>
      <c r="E314" s="2" t="n">
        <v>142</v>
      </c>
      <c r="F314" s="2" t="n">
        <v>145</v>
      </c>
      <c r="G314" s="2" t="inlineStr">
        <is>
          <t>Home</t>
        </is>
      </c>
      <c r="H314" s="2" t="inlineStr">
        <is>
          <t>betmgm</t>
        </is>
      </c>
      <c r="I314" s="4" t="n"/>
      <c r="J314" s="4" t="n"/>
      <c r="K314" s="4" t="n">
        <v>-155</v>
      </c>
      <c r="L314" s="4" t="n">
        <v>-155</v>
      </c>
      <c r="M314" s="5" t="n">
        <v>5.5</v>
      </c>
      <c r="N314" s="5" t="n">
        <v>4.591139234140759</v>
      </c>
      <c r="O314" s="5" t="n">
        <v>5.5</v>
      </c>
      <c r="P314" s="5" t="n">
        <v>0.9088607658592407</v>
      </c>
      <c r="Q314" s="6" t="n">
        <v>0.1306989806647166</v>
      </c>
      <c r="R314" s="6" t="n">
        <v>0.6872876156981611</v>
      </c>
      <c r="S314" s="6" t="n">
        <v>0.5776397515527951</v>
      </c>
      <c r="T314" s="2" t="inlineStr">
        <is>
          <t>Under</t>
        </is>
      </c>
      <c r="U314" s="4" t="n">
        <v>-155</v>
      </c>
      <c r="V314" s="2" t="n">
        <v>1.645161290322581</v>
      </c>
      <c r="W314" s="4" t="n">
        <v>-155</v>
      </c>
      <c r="X314" s="2" t="n">
        <v>1</v>
      </c>
      <c r="Y314" s="5" t="n">
        <v>-1</v>
      </c>
      <c r="Z314" s="7" t="n">
        <v>100</v>
      </c>
      <c r="AA314" s="7">
        <f>Y314*Z314</f>
        <v/>
      </c>
      <c r="AB314" s="6">
        <f>IF(Z314=0,0,AA314/Z314)</f>
        <v/>
      </c>
      <c r="AC314" s="6" t="n"/>
      <c r="AD314" s="2" t="inlineStr">
        <is>
          <t>Loss</t>
        </is>
      </c>
      <c r="AE314" s="6">
        <f>IF((COUNTIF($AD$2:AD314,"Win")+COUNTIF($AD$2:AD314,"Loss"))=0,0,COUNTIF($AD$2:AD314,"Win")/(COUNTIF($AD$2:AD314,"Win")+COUNTIF($AD$2:AD314,"Loss")))</f>
        <v/>
      </c>
      <c r="AF314" s="6">
        <f>SUM($Y$2:Y314)/SUM($X$2:X314)</f>
        <v/>
      </c>
      <c r="AG314" s="5">
        <f>SUM($Y$2:Y314)</f>
        <v/>
      </c>
      <c r="AH314" s="7">
        <f>10000.0+SUM($AA$2:AA314)</f>
        <v/>
      </c>
      <c r="AI314" s="2" t="n">
        <v>2025</v>
      </c>
      <c r="AJ314" s="2" t="inlineStr">
        <is>
          <t>2025-09</t>
        </is>
      </c>
      <c r="AK314" s="2" t="inlineStr">
        <is>
          <t>&lt;= -150</t>
        </is>
      </c>
      <c r="AL314" s="2" t="inlineStr">
        <is>
          <t>2025 Validation</t>
        </is>
      </c>
      <c r="AM314" s="6" t="n">
        <v>0.2025834200303107</v>
      </c>
    </row>
    <row r="315">
      <c r="A315" s="2" t="inlineStr">
        <is>
          <t>KPROP-00314</t>
        </is>
      </c>
      <c r="B315" s="3" t="n">
        <v>45905.77474537037</v>
      </c>
      <c r="C315" s="3" t="n">
        <v>45905</v>
      </c>
      <c r="D315" s="2" t="inlineStr">
        <is>
          <t>Jack Flaherty</t>
        </is>
      </c>
      <c r="E315" s="2" t="n">
        <v>116</v>
      </c>
      <c r="F315" s="2" t="n">
        <v>145</v>
      </c>
      <c r="G315" s="2" t="inlineStr">
        <is>
          <t>Home</t>
        </is>
      </c>
      <c r="H315" s="2" t="inlineStr">
        <is>
          <t>betrivers</t>
        </is>
      </c>
      <c r="I315" s="4" t="n"/>
      <c r="J315" s="4" t="n"/>
      <c r="K315" s="4" t="n">
        <v>133</v>
      </c>
      <c r="L315" s="4" t="n">
        <v>133</v>
      </c>
      <c r="M315" s="5" t="n">
        <v>5.5</v>
      </c>
      <c r="N315" s="5" t="n">
        <v>5.634919717014824</v>
      </c>
      <c r="O315" s="5" t="n">
        <v>5.5</v>
      </c>
      <c r="P315" s="5" t="n">
        <v>-0.1349197170148235</v>
      </c>
      <c r="Q315" s="6" t="n">
        <v>0.1788540503610885</v>
      </c>
      <c r="R315" s="6" t="n">
        <v>0.5059459443609822</v>
      </c>
      <c r="S315" s="6" t="n">
        <v>0.4138602613000082</v>
      </c>
      <c r="T315" s="2" t="inlineStr">
        <is>
          <t>Under</t>
        </is>
      </c>
      <c r="U315" s="4" t="n">
        <v>133</v>
      </c>
      <c r="V315" s="2" t="n">
        <v>2.33</v>
      </c>
      <c r="W315" s="4" t="n">
        <v>133</v>
      </c>
      <c r="X315" s="2" t="n">
        <v>1</v>
      </c>
      <c r="Y315" s="5" t="n">
        <v>1.33</v>
      </c>
      <c r="Z315" s="7" t="n">
        <v>100</v>
      </c>
      <c r="AA315" s="7">
        <f>Y315*Z315</f>
        <v/>
      </c>
      <c r="AB315" s="6">
        <f>IF(Z315=0,0,AA315/Z315)</f>
        <v/>
      </c>
      <c r="AC315" s="6" t="n"/>
      <c r="AD315" s="2" t="inlineStr">
        <is>
          <t>Win</t>
        </is>
      </c>
      <c r="AE315" s="6">
        <f>IF((COUNTIF($AD$2:AD315,"Win")+COUNTIF($AD$2:AD315,"Loss"))=0,0,COUNTIF($AD$2:AD315,"Win")/(COUNTIF($AD$2:AD315,"Win")+COUNTIF($AD$2:AD315,"Loss")))</f>
        <v/>
      </c>
      <c r="AF315" s="6">
        <f>SUM($Y$2:Y315)/SUM($X$2:X315)</f>
        <v/>
      </c>
      <c r="AG315" s="5">
        <f>SUM($Y$2:Y315)</f>
        <v/>
      </c>
      <c r="AH315" s="7">
        <f>10000.0+SUM($AA$2:AA315)</f>
        <v/>
      </c>
      <c r="AI315" s="2" t="n">
        <v>2025</v>
      </c>
      <c r="AJ315" s="2" t="inlineStr">
        <is>
          <t>2025-09</t>
        </is>
      </c>
      <c r="AK315" s="2" t="inlineStr">
        <is>
          <t>+121 to +150</t>
        </is>
      </c>
      <c r="AL315" s="2" t="inlineStr">
        <is>
          <t>2025 Validation</t>
        </is>
      </c>
      <c r="AM315" s="6" t="n">
        <v>0.1344767295948034</v>
      </c>
    </row>
    <row r="316">
      <c r="A316" s="2" t="inlineStr">
        <is>
          <t>KPROP-00315</t>
        </is>
      </c>
      <c r="B316" s="3" t="n">
        <v>45905.77474537037</v>
      </c>
      <c r="C316" s="3" t="n">
        <v>45905</v>
      </c>
      <c r="D316" s="2" t="inlineStr">
        <is>
          <t>Jack Flaherty</t>
        </is>
      </c>
      <c r="E316" s="2" t="n">
        <v>116</v>
      </c>
      <c r="F316" s="2" t="n">
        <v>145</v>
      </c>
      <c r="G316" s="2" t="inlineStr">
        <is>
          <t>Home</t>
        </is>
      </c>
      <c r="H316" s="2" t="inlineStr">
        <is>
          <t>fanatics</t>
        </is>
      </c>
      <c r="I316" s="4" t="n"/>
      <c r="J316" s="4" t="n"/>
      <c r="K316" s="4" t="n">
        <v>-120</v>
      </c>
      <c r="L316" s="4" t="n">
        <v>-120</v>
      </c>
      <c r="M316" s="5" t="n">
        <v>6.5</v>
      </c>
      <c r="N316" s="5" t="n">
        <v>5.634919717014824</v>
      </c>
      <c r="O316" s="5" t="n">
        <v>6.5</v>
      </c>
      <c r="P316" s="5" t="n">
        <v>0.8650802829851765</v>
      </c>
      <c r="Q316" s="6" t="n">
        <v>0.2186532149217773</v>
      </c>
      <c r="R316" s="6" t="n">
        <v>0.6647199354118785</v>
      </c>
      <c r="S316" s="6" t="n">
        <v>0.5315161839863713</v>
      </c>
      <c r="T316" s="2" t="inlineStr">
        <is>
          <t>Under</t>
        </is>
      </c>
      <c r="U316" s="4" t="n">
        <v>-120</v>
      </c>
      <c r="V316" s="2" t="n">
        <v>1.833333333333333</v>
      </c>
      <c r="W316" s="4" t="n">
        <v>-120</v>
      </c>
      <c r="X316" s="2" t="n">
        <v>1</v>
      </c>
      <c r="Y316" s="5" t="n">
        <v>0.8333333333333335</v>
      </c>
      <c r="Z316" s="7" t="n">
        <v>100</v>
      </c>
      <c r="AA316" s="7">
        <f>Y316*Z316</f>
        <v/>
      </c>
      <c r="AB316" s="6">
        <f>IF(Z316=0,0,AA316/Z316)</f>
        <v/>
      </c>
      <c r="AC316" s="6" t="n"/>
      <c r="AD316" s="2" t="inlineStr">
        <is>
          <t>Win</t>
        </is>
      </c>
      <c r="AE316" s="6">
        <f>IF((COUNTIF($AD$2:AD316,"Win")+COUNTIF($AD$2:AD316,"Loss"))=0,0,COUNTIF($AD$2:AD316,"Win")/(COUNTIF($AD$2:AD316,"Win")+COUNTIF($AD$2:AD316,"Loss")))</f>
        <v/>
      </c>
      <c r="AF316" s="6">
        <f>SUM($Y$2:Y316)/SUM($X$2:X316)</f>
        <v/>
      </c>
      <c r="AG316" s="5">
        <f>SUM($Y$2:Y316)</f>
        <v/>
      </c>
      <c r="AH316" s="7">
        <f>10000.0+SUM($AA$2:AA316)</f>
        <v/>
      </c>
      <c r="AI316" s="2" t="n">
        <v>2025</v>
      </c>
      <c r="AJ316" s="2" t="inlineStr">
        <is>
          <t>2025-09</t>
        </is>
      </c>
      <c r="AK316" s="2" t="inlineStr">
        <is>
          <t>-149 to -120</t>
        </is>
      </c>
      <c r="AL316" s="2" t="inlineStr">
        <is>
          <t>2025 Validation</t>
        </is>
      </c>
      <c r="AM316" s="6" t="n">
        <v>0.2623838579061327</v>
      </c>
    </row>
    <row r="317">
      <c r="A317" s="2" t="inlineStr">
        <is>
          <t>KPROP-00316</t>
        </is>
      </c>
      <c r="B317" s="3" t="n">
        <v>45905.80252314815</v>
      </c>
      <c r="C317" s="3" t="n">
        <v>45905</v>
      </c>
      <c r="D317" s="2" t="inlineStr">
        <is>
          <t>Logan Gilbert</t>
        </is>
      </c>
      <c r="E317" s="2" t="n">
        <v>136</v>
      </c>
      <c r="F317" s="2" t="n">
        <v>144</v>
      </c>
      <c r="G317" s="2" t="inlineStr">
        <is>
          <t>Away</t>
        </is>
      </c>
      <c r="H317" s="2" t="inlineStr">
        <is>
          <t>betrivers</t>
        </is>
      </c>
      <c r="I317" s="4" t="n"/>
      <c r="J317" s="4" t="n"/>
      <c r="K317" s="4" t="n">
        <v>155</v>
      </c>
      <c r="L317" s="4" t="n">
        <v>155</v>
      </c>
      <c r="M317" s="5" t="n">
        <v>5.5</v>
      </c>
      <c r="N317" s="5" t="n">
        <v>5.187041676010549</v>
      </c>
      <c r="O317" s="5" t="n">
        <v>5.5</v>
      </c>
      <c r="P317" s="5" t="n">
        <v>0.3129583239894513</v>
      </c>
      <c r="Q317" s="6" t="n">
        <v>0.4871051189042703</v>
      </c>
      <c r="R317" s="6" t="n">
        <v>0.5831784780016747</v>
      </c>
      <c r="S317" s="6" t="n">
        <v>0.3892215568862276</v>
      </c>
      <c r="T317" s="2" t="inlineStr">
        <is>
          <t>Under</t>
        </is>
      </c>
      <c r="U317" s="4" t="n">
        <v>155</v>
      </c>
      <c r="V317" s="2" t="n">
        <v>2.55</v>
      </c>
      <c r="W317" s="4" t="n">
        <v>155</v>
      </c>
      <c r="X317" s="2" t="n">
        <v>1</v>
      </c>
      <c r="Y317" s="5" t="n">
        <v>-1</v>
      </c>
      <c r="Z317" s="7" t="n">
        <v>100</v>
      </c>
      <c r="AA317" s="7">
        <f>Y317*Z317</f>
        <v/>
      </c>
      <c r="AB317" s="6">
        <f>IF(Z317=0,0,AA317/Z317)</f>
        <v/>
      </c>
      <c r="AC317" s="6" t="n"/>
      <c r="AD317" s="2" t="inlineStr">
        <is>
          <t>Loss</t>
        </is>
      </c>
      <c r="AE317" s="6">
        <f>IF((COUNTIF($AD$2:AD317,"Win")+COUNTIF($AD$2:AD317,"Loss"))=0,0,COUNTIF($AD$2:AD317,"Win")/(COUNTIF($AD$2:AD317,"Win")+COUNTIF($AD$2:AD317,"Loss")))</f>
        <v/>
      </c>
      <c r="AF317" s="6">
        <f>SUM($Y$2:Y317)/SUM($X$2:X317)</f>
        <v/>
      </c>
      <c r="AG317" s="5">
        <f>SUM($Y$2:Y317)</f>
        <v/>
      </c>
      <c r="AH317" s="7">
        <f>10000.0+SUM($AA$2:AA317)</f>
        <v/>
      </c>
      <c r="AI317" s="2" t="n">
        <v>2025</v>
      </c>
      <c r="AJ317" s="2" t="inlineStr">
        <is>
          <t>2025-09</t>
        </is>
      </c>
      <c r="AK317" s="2" t="inlineStr">
        <is>
          <t>&gt;= +151</t>
        </is>
      </c>
      <c r="AL317" s="2" t="inlineStr">
        <is>
          <t>2025 Validation</t>
        </is>
      </c>
      <c r="AM317" s="6" t="n">
        <v>0.3142613670350132</v>
      </c>
    </row>
    <row r="318">
      <c r="A318" s="2" t="inlineStr">
        <is>
          <t>KPROP-00317</t>
        </is>
      </c>
      <c r="B318" s="3" t="n">
        <v>45905.80252314815</v>
      </c>
      <c r="C318" s="3" t="n">
        <v>45905</v>
      </c>
      <c r="D318" s="2" t="inlineStr">
        <is>
          <t>Logan Gilbert</t>
        </is>
      </c>
      <c r="E318" s="2" t="n">
        <v>136</v>
      </c>
      <c r="F318" s="2" t="n">
        <v>144</v>
      </c>
      <c r="G318" s="2" t="inlineStr">
        <is>
          <t>Away</t>
        </is>
      </c>
      <c r="H318" s="2" t="inlineStr">
        <is>
          <t>betrivers</t>
        </is>
      </c>
      <c r="I318" s="4" t="n"/>
      <c r="J318" s="4" t="n"/>
      <c r="K318" s="4" t="n">
        <v>-130</v>
      </c>
      <c r="L318" s="4" t="n">
        <v>-130</v>
      </c>
      <c r="M318" s="5" t="n">
        <v>6.5</v>
      </c>
      <c r="N318" s="5" t="n">
        <v>5.187041676010549</v>
      </c>
      <c r="O318" s="5" t="n">
        <v>6.5</v>
      </c>
      <c r="P318" s="5" t="n">
        <v>1.312958323989451</v>
      </c>
      <c r="Q318" s="6" t="n">
        <v>0.299242230477154</v>
      </c>
      <c r="R318" s="6" t="n">
        <v>0.7343543041827393</v>
      </c>
      <c r="S318" s="6" t="n">
        <v>0.5520062329567589</v>
      </c>
      <c r="T318" s="2" t="inlineStr">
        <is>
          <t>Under</t>
        </is>
      </c>
      <c r="U318" s="4" t="n">
        <v>-130</v>
      </c>
      <c r="V318" s="2" t="n">
        <v>1.769230769230769</v>
      </c>
      <c r="W318" s="4" t="n">
        <v>-130</v>
      </c>
      <c r="X318" s="2" t="n">
        <v>1</v>
      </c>
      <c r="Y318" s="5" t="n">
        <v>-1</v>
      </c>
      <c r="Z318" s="7" t="n">
        <v>100</v>
      </c>
      <c r="AA318" s="7">
        <f>Y318*Z318</f>
        <v/>
      </c>
      <c r="AB318" s="6">
        <f>IF(Z318=0,0,AA318/Z318)</f>
        <v/>
      </c>
      <c r="AC318" s="6" t="n"/>
      <c r="AD318" s="2" t="inlineStr">
        <is>
          <t>Loss</t>
        </is>
      </c>
      <c r="AE318" s="6">
        <f>IF((COUNTIF($AD$2:AD318,"Win")+COUNTIF($AD$2:AD318,"Loss"))=0,0,COUNTIF($AD$2:AD318,"Win")/(COUNTIF($AD$2:AD318,"Win")+COUNTIF($AD$2:AD318,"Loss")))</f>
        <v/>
      </c>
      <c r="AF318" s="6">
        <f>SUM($Y$2:Y318)/SUM($X$2:X318)</f>
        <v/>
      </c>
      <c r="AG318" s="5">
        <f>SUM($Y$2:Y318)</f>
        <v/>
      </c>
      <c r="AH318" s="7">
        <f>10000.0+SUM($AA$2:AA318)</f>
        <v/>
      </c>
      <c r="AI318" s="2" t="n">
        <v>2025</v>
      </c>
      <c r="AJ318" s="2" t="inlineStr">
        <is>
          <t>2025-09</t>
        </is>
      </c>
      <c r="AK318" s="2" t="inlineStr">
        <is>
          <t>-149 to -120</t>
        </is>
      </c>
      <c r="AL318" s="2" t="inlineStr">
        <is>
          <t>2025 Validation</t>
        </is>
      </c>
      <c r="AM318" s="6" t="n">
        <v>0.3890148996203003</v>
      </c>
    </row>
    <row r="319">
      <c r="A319" s="2" t="inlineStr">
        <is>
          <t>KPROP-00318</t>
        </is>
      </c>
      <c r="B319" s="3" t="n">
        <v>45906.77821759259</v>
      </c>
      <c r="C319" s="3" t="n">
        <v>45906</v>
      </c>
      <c r="D319" s="2" t="inlineStr">
        <is>
          <t>Brady Singer</t>
        </is>
      </c>
      <c r="E319" s="2" t="n">
        <v>113</v>
      </c>
      <c r="F319" s="2" t="n">
        <v>121</v>
      </c>
      <c r="G319" s="2" t="inlineStr">
        <is>
          <t>Home</t>
        </is>
      </c>
      <c r="H319" s="2" t="inlineStr">
        <is>
          <t>betrivers</t>
        </is>
      </c>
      <c r="I319" s="4" t="n"/>
      <c r="J319" s="4" t="n"/>
      <c r="K319" s="4" t="n">
        <v>132</v>
      </c>
      <c r="L319" s="4" t="n">
        <v>132</v>
      </c>
      <c r="M319" s="5" t="n">
        <v>4.5</v>
      </c>
      <c r="N319" s="5" t="n">
        <v>4.550635439772646</v>
      </c>
      <c r="O319" s="5" t="n">
        <v>4.5</v>
      </c>
      <c r="P319" s="5" t="n">
        <v>-0.05063543977264562</v>
      </c>
      <c r="Q319" s="6" t="n">
        <v>0.2122472657463906</v>
      </c>
      <c r="R319" s="6" t="n">
        <v>0.5225203731665476</v>
      </c>
      <c r="S319" s="6" t="n">
        <v>0.4004316710212427</v>
      </c>
      <c r="T319" s="2" t="inlineStr">
        <is>
          <t>Under</t>
        </is>
      </c>
      <c r="U319" s="4" t="n">
        <v>132</v>
      </c>
      <c r="V319" s="2" t="n">
        <v>2.32</v>
      </c>
      <c r="W319" s="4" t="n">
        <v>132</v>
      </c>
      <c r="X319" s="2" t="n">
        <v>1</v>
      </c>
      <c r="Y319" s="5" t="n">
        <v>-1</v>
      </c>
      <c r="Z319" s="7" t="n">
        <v>100</v>
      </c>
      <c r="AA319" s="7">
        <f>Y319*Z319</f>
        <v/>
      </c>
      <c r="AB319" s="6">
        <f>IF(Z319=0,0,AA319/Z319)</f>
        <v/>
      </c>
      <c r="AC319" s="6" t="n"/>
      <c r="AD319" s="2" t="inlineStr">
        <is>
          <t>Loss</t>
        </is>
      </c>
      <c r="AE319" s="6">
        <f>IF((COUNTIF($AD$2:AD319,"Win")+COUNTIF($AD$2:AD319,"Loss"))=0,0,COUNTIF($AD$2:AD319,"Win")/(COUNTIF($AD$2:AD319,"Win")+COUNTIF($AD$2:AD319,"Loss")))</f>
        <v/>
      </c>
      <c r="AF319" s="6">
        <f>SUM($Y$2:Y319)/SUM($X$2:X319)</f>
        <v/>
      </c>
      <c r="AG319" s="5">
        <f>SUM($Y$2:Y319)</f>
        <v/>
      </c>
      <c r="AH319" s="7">
        <f>10000.0+SUM($AA$2:AA319)</f>
        <v/>
      </c>
      <c r="AI319" s="2" t="n">
        <v>2025</v>
      </c>
      <c r="AJ319" s="2" t="inlineStr">
        <is>
          <t>2025-09</t>
        </is>
      </c>
      <c r="AK319" s="2" t="inlineStr">
        <is>
          <t>+121 to +150</t>
        </is>
      </c>
      <c r="AL319" s="2" t="inlineStr">
        <is>
          <t>2025 Validation</t>
        </is>
      </c>
      <c r="AM319" s="6" t="n">
        <v>0.160793383141205</v>
      </c>
    </row>
    <row r="320">
      <c r="A320" s="2" t="inlineStr">
        <is>
          <t>KPROP-00319</t>
        </is>
      </c>
      <c r="B320" s="3" t="n">
        <v>45906.77821759259</v>
      </c>
      <c r="C320" s="3" t="n">
        <v>45906</v>
      </c>
      <c r="D320" s="2" t="inlineStr">
        <is>
          <t>Brady Singer</t>
        </is>
      </c>
      <c r="E320" s="2" t="n">
        <v>113</v>
      </c>
      <c r="F320" s="2" t="n">
        <v>121</v>
      </c>
      <c r="G320" s="2" t="inlineStr">
        <is>
          <t>Home</t>
        </is>
      </c>
      <c r="H320" s="2" t="inlineStr">
        <is>
          <t>draftkings</t>
        </is>
      </c>
      <c r="I320" s="4" t="n"/>
      <c r="J320" s="4" t="n"/>
      <c r="K320" s="4" t="n">
        <v>-155</v>
      </c>
      <c r="L320" s="4" t="n">
        <v>-155</v>
      </c>
      <c r="M320" s="5" t="n">
        <v>5.5</v>
      </c>
      <c r="N320" s="5" t="n">
        <v>4.550635439772646</v>
      </c>
      <c r="O320" s="5" t="n">
        <v>5.5</v>
      </c>
      <c r="P320" s="5" t="n">
        <v>0.9493645602273544</v>
      </c>
      <c r="Q320" s="6" t="n">
        <v>0.1421648645618211</v>
      </c>
      <c r="R320" s="6" t="n">
        <v>0.6942570745375776</v>
      </c>
      <c r="S320" s="6" t="n">
        <v>0.5721476510067114</v>
      </c>
      <c r="T320" s="2" t="inlineStr">
        <is>
          <t>Under</t>
        </is>
      </c>
      <c r="U320" s="4" t="n">
        <v>-155</v>
      </c>
      <c r="V320" s="2" t="n">
        <v>1.645161290322581</v>
      </c>
      <c r="W320" s="4" t="n">
        <v>-155</v>
      </c>
      <c r="X320" s="2" t="n">
        <v>1</v>
      </c>
      <c r="Y320" s="5" t="n">
        <v>0.6451612903225805</v>
      </c>
      <c r="Z320" s="7" t="n">
        <v>100</v>
      </c>
      <c r="AA320" s="7">
        <f>Y320*Z320</f>
        <v/>
      </c>
      <c r="AB320" s="6">
        <f>IF(Z320=0,0,AA320/Z320)</f>
        <v/>
      </c>
      <c r="AC320" s="6" t="n"/>
      <c r="AD320" s="2" t="inlineStr">
        <is>
          <t>Win</t>
        </is>
      </c>
      <c r="AE320" s="6">
        <f>IF((COUNTIF($AD$2:AD320,"Win")+COUNTIF($AD$2:AD320,"Loss"))=0,0,COUNTIF($AD$2:AD320,"Win")/(COUNTIF($AD$2:AD320,"Win")+COUNTIF($AD$2:AD320,"Loss")))</f>
        <v/>
      </c>
      <c r="AF320" s="6">
        <f>SUM($Y$2:Y320)/SUM($X$2:X320)</f>
        <v/>
      </c>
      <c r="AG320" s="5">
        <f>SUM($Y$2:Y320)</f>
        <v/>
      </c>
      <c r="AH320" s="7">
        <f>10000.0+SUM($AA$2:AA320)</f>
        <v/>
      </c>
      <c r="AI320" s="2" t="n">
        <v>2025</v>
      </c>
      <c r="AJ320" s="2" t="inlineStr">
        <is>
          <t>2025-09</t>
        </is>
      </c>
      <c r="AK320" s="2" t="inlineStr">
        <is>
          <t>&lt;= -150</t>
        </is>
      </c>
      <c r="AL320" s="2" t="inlineStr">
        <is>
          <t>2025 Validation</t>
        </is>
      </c>
      <c r="AM320" s="6" t="n">
        <v>0.2203555400708227</v>
      </c>
    </row>
    <row r="321">
      <c r="A321" s="2" t="inlineStr">
        <is>
          <t>KPROP-00320</t>
        </is>
      </c>
      <c r="B321" s="3" t="n">
        <v>45906.80253472222</v>
      </c>
      <c r="C321" s="3" t="n">
        <v>45906</v>
      </c>
      <c r="D321" s="2" t="inlineStr">
        <is>
          <t>Jacob deGrom</t>
        </is>
      </c>
      <c r="E321" s="2" t="n">
        <v>140</v>
      </c>
      <c r="F321" s="2" t="n">
        <v>117</v>
      </c>
      <c r="G321" s="2" t="inlineStr">
        <is>
          <t>Home</t>
        </is>
      </c>
      <c r="H321" s="2" t="inlineStr">
        <is>
          <t>betrivers</t>
        </is>
      </c>
      <c r="I321" s="4" t="n"/>
      <c r="J321" s="4" t="n"/>
      <c r="K321" s="4" t="n">
        <v>128</v>
      </c>
      <c r="L321" s="4" t="n">
        <v>128</v>
      </c>
      <c r="M321" s="5" t="n">
        <v>5.5</v>
      </c>
      <c r="N321" s="5" t="n">
        <v>5.842008356207042</v>
      </c>
      <c r="O321" s="5" t="n">
        <v>5.5</v>
      </c>
      <c r="P321" s="5" t="n">
        <v>-0.3420083562070415</v>
      </c>
      <c r="Q321" s="6" t="n">
        <v>0.07474337606917814</v>
      </c>
      <c r="R321" s="6" t="n">
        <v>0.4713786737145518</v>
      </c>
      <c r="S321" s="6" t="n">
        <v>0.4070177500881627</v>
      </c>
      <c r="T321" s="2" t="inlineStr">
        <is>
          <t>Under</t>
        </is>
      </c>
      <c r="U321" s="4" t="n">
        <v>128</v>
      </c>
      <c r="V321" s="2" t="n">
        <v>2.28</v>
      </c>
      <c r="W321" s="4" t="n">
        <v>128</v>
      </c>
      <c r="X321" s="2" t="n">
        <v>1</v>
      </c>
      <c r="Y321" s="5" t="n">
        <v>-1</v>
      </c>
      <c r="Z321" s="7" t="n">
        <v>100</v>
      </c>
      <c r="AA321" s="7">
        <f>Y321*Z321</f>
        <v/>
      </c>
      <c r="AB321" s="6">
        <f>IF(Z321=0,0,AA321/Z321)</f>
        <v/>
      </c>
      <c r="AC321" s="6" t="n"/>
      <c r="AD321" s="2" t="inlineStr">
        <is>
          <t>Loss</t>
        </is>
      </c>
      <c r="AE321" s="6">
        <f>IF((COUNTIF($AD$2:AD321,"Win")+COUNTIF($AD$2:AD321,"Loss"))=0,0,COUNTIF($AD$2:AD321,"Win")/(COUNTIF($AD$2:AD321,"Win")+COUNTIF($AD$2:AD321,"Loss")))</f>
        <v/>
      </c>
      <c r="AF321" s="6">
        <f>SUM($Y$2:Y321)/SUM($X$2:X321)</f>
        <v/>
      </c>
      <c r="AG321" s="5">
        <f>SUM($Y$2:Y321)</f>
        <v/>
      </c>
      <c r="AH321" s="7">
        <f>10000.0+SUM($AA$2:AA321)</f>
        <v/>
      </c>
      <c r="AI321" s="2" t="n">
        <v>2025</v>
      </c>
      <c r="AJ321" s="2" t="inlineStr">
        <is>
          <t>2025-09</t>
        </is>
      </c>
      <c r="AK321" s="2" t="inlineStr">
        <is>
          <t>+121 to +150</t>
        </is>
      </c>
      <c r="AL321" s="2" t="inlineStr">
        <is>
          <t>2025 Validation</t>
        </is>
      </c>
      <c r="AM321" s="6" t="n">
        <v>0.05839326255404541</v>
      </c>
    </row>
    <row r="322">
      <c r="A322" s="2" t="inlineStr">
        <is>
          <t>KPROP-00321</t>
        </is>
      </c>
      <c r="B322" s="3" t="n">
        <v>45906.80253472222</v>
      </c>
      <c r="C322" s="3" t="n">
        <v>45906</v>
      </c>
      <c r="D322" s="2" t="inlineStr">
        <is>
          <t>Jacob deGrom</t>
        </is>
      </c>
      <c r="E322" s="2" t="n">
        <v>140</v>
      </c>
      <c r="F322" s="2" t="n">
        <v>117</v>
      </c>
      <c r="G322" s="2" t="inlineStr">
        <is>
          <t>Home</t>
        </is>
      </c>
      <c r="H322" s="2" t="inlineStr">
        <is>
          <t>betmgm</t>
        </is>
      </c>
      <c r="I322" s="4" t="n"/>
      <c r="J322" s="4" t="n"/>
      <c r="K322" s="4" t="n">
        <v>-135</v>
      </c>
      <c r="L322" s="4" t="n">
        <v>-135</v>
      </c>
      <c r="M322" s="5" t="n">
        <v>6.5</v>
      </c>
      <c r="N322" s="5" t="n">
        <v>5.842008356207042</v>
      </c>
      <c r="O322" s="5" t="n">
        <v>6.5</v>
      </c>
      <c r="P322" s="5" t="n">
        <v>0.6579916437929585</v>
      </c>
      <c r="Q322" s="6" t="n">
        <v>0.09955991121189733</v>
      </c>
      <c r="R322" s="6" t="n">
        <v>0.6316620766536432</v>
      </c>
      <c r="S322" s="6" t="n">
        <v>0.5537409798708697</v>
      </c>
      <c r="T322" s="2" t="inlineStr">
        <is>
          <t>Under</t>
        </is>
      </c>
      <c r="U322" s="4" t="n">
        <v>-135</v>
      </c>
      <c r="V322" s="2" t="n">
        <v>1.740740740740741</v>
      </c>
      <c r="W322" s="4" t="n">
        <v>-135</v>
      </c>
      <c r="X322" s="2" t="n">
        <v>1</v>
      </c>
      <c r="Y322" s="5" t="n">
        <v>-1</v>
      </c>
      <c r="Z322" s="7" t="n">
        <v>100</v>
      </c>
      <c r="AA322" s="7">
        <f>Y322*Z322</f>
        <v/>
      </c>
      <c r="AB322" s="6">
        <f>IF(Z322=0,0,AA322/Z322)</f>
        <v/>
      </c>
      <c r="AC322" s="6" t="n"/>
      <c r="AD322" s="2" t="inlineStr">
        <is>
          <t>Loss</t>
        </is>
      </c>
      <c r="AE322" s="6">
        <f>IF((COUNTIF($AD$2:AD322,"Win")+COUNTIF($AD$2:AD322,"Loss"))=0,0,COUNTIF($AD$2:AD322,"Win")/(COUNTIF($AD$2:AD322,"Win")+COUNTIF($AD$2:AD322,"Loss")))</f>
        <v/>
      </c>
      <c r="AF322" s="6">
        <f>SUM($Y$2:Y322)/SUM($X$2:X322)</f>
        <v/>
      </c>
      <c r="AG322" s="5">
        <f>SUM($Y$2:Y322)</f>
        <v/>
      </c>
      <c r="AH322" s="7">
        <f>10000.0+SUM($AA$2:AA322)</f>
        <v/>
      </c>
      <c r="AI322" s="2" t="n">
        <v>2025</v>
      </c>
      <c r="AJ322" s="2" t="inlineStr">
        <is>
          <t>2025-09</t>
        </is>
      </c>
      <c r="AK322" s="2" t="inlineStr">
        <is>
          <t>-149 to -120</t>
        </is>
      </c>
      <c r="AL322" s="2" t="inlineStr">
        <is>
          <t>2025 Validation</t>
        </is>
      </c>
      <c r="AM322" s="6" t="n">
        <v>0.1344058801360614</v>
      </c>
    </row>
    <row r="323">
      <c r="A323" s="2" t="inlineStr">
        <is>
          <t>KPROP-00322</t>
        </is>
      </c>
      <c r="B323" s="3" t="n">
        <v>45906.59767361111</v>
      </c>
      <c r="C323" s="3" t="n">
        <v>45906</v>
      </c>
      <c r="D323" s="2" t="inlineStr">
        <is>
          <t>Matthew Boyd</t>
        </is>
      </c>
      <c r="E323" s="2" t="n">
        <v>112</v>
      </c>
      <c r="F323" s="2" t="n">
        <v>120</v>
      </c>
      <c r="G323" s="2" t="inlineStr">
        <is>
          <t>Home</t>
        </is>
      </c>
      <c r="H323" s="2" t="inlineStr">
        <is>
          <t>betmgm</t>
        </is>
      </c>
      <c r="I323" s="4" t="n"/>
      <c r="J323" s="4" t="n"/>
      <c r="K323" s="4" t="n">
        <v>-115</v>
      </c>
      <c r="L323" s="4" t="n">
        <v>-115</v>
      </c>
      <c r="M323" s="5" t="n">
        <v>6.5</v>
      </c>
      <c r="N323" s="5" t="n">
        <v>5.127109276299713</v>
      </c>
      <c r="O323" s="5" t="n">
        <v>6.5</v>
      </c>
      <c r="P323" s="5" t="n">
        <v>1.372890723700287</v>
      </c>
      <c r="Q323" s="6" t="n">
        <v>0.3897805779643566</v>
      </c>
      <c r="R323" s="6" t="n">
        <v>0.7433710068181443</v>
      </c>
      <c r="S323" s="6" t="n">
        <v>0.5168539325842696</v>
      </c>
      <c r="T323" s="2" t="inlineStr">
        <is>
          <t>Under</t>
        </is>
      </c>
      <c r="U323" s="4" t="n">
        <v>-115</v>
      </c>
      <c r="V323" s="2" t="n">
        <v>1.869565217391304</v>
      </c>
      <c r="W323" s="4" t="n">
        <v>-115</v>
      </c>
      <c r="X323" s="2" t="n">
        <v>1</v>
      </c>
      <c r="Y323" s="5" t="n">
        <v>0.8695652173913042</v>
      </c>
      <c r="Z323" s="7" t="n">
        <v>100</v>
      </c>
      <c r="AA323" s="7">
        <f>Y323*Z323</f>
        <v/>
      </c>
      <c r="AB323" s="6">
        <f>IF(Z323=0,0,AA323/Z323)</f>
        <v/>
      </c>
      <c r="AC323" s="6" t="n"/>
      <c r="AD323" s="2" t="inlineStr">
        <is>
          <t>Win</t>
        </is>
      </c>
      <c r="AE323" s="6">
        <f>IF((COUNTIF($AD$2:AD323,"Win")+COUNTIF($AD$2:AD323,"Loss"))=0,0,COUNTIF($AD$2:AD323,"Win")/(COUNTIF($AD$2:AD323,"Win")+COUNTIF($AD$2:AD323,"Loss")))</f>
        <v/>
      </c>
      <c r="AF323" s="6">
        <f>SUM($Y$2:Y323)/SUM($X$2:X323)</f>
        <v/>
      </c>
      <c r="AG323" s="5">
        <f>SUM($Y$2:Y323)</f>
        <v/>
      </c>
      <c r="AH323" s="7">
        <f>10000.0+SUM($AA$2:AA323)</f>
        <v/>
      </c>
      <c r="AI323" s="2" t="n">
        <v>2025</v>
      </c>
      <c r="AJ323" s="2" t="inlineStr">
        <is>
          <t>2025-09</t>
        </is>
      </c>
      <c r="AK323" s="2" t="inlineStr">
        <is>
          <t>-119 to -101</t>
        </is>
      </c>
      <c r="AL323" s="2" t="inlineStr">
        <is>
          <t>2025 Validation</t>
        </is>
      </c>
      <c r="AM323" s="6" t="n">
        <v>0.4482476646590102</v>
      </c>
    </row>
    <row r="324">
      <c r="A324" s="2" t="inlineStr">
        <is>
          <t>KPROP-00323</t>
        </is>
      </c>
      <c r="B324" s="3" t="n">
        <v>45906.79559027778</v>
      </c>
      <c r="C324" s="3" t="n">
        <v>45906</v>
      </c>
      <c r="D324" s="2" t="inlineStr">
        <is>
          <t>Shane Baz</t>
        </is>
      </c>
      <c r="E324" s="2" t="n">
        <v>139</v>
      </c>
      <c r="F324" s="2" t="n">
        <v>114</v>
      </c>
      <c r="G324" s="2" t="inlineStr">
        <is>
          <t>Home</t>
        </is>
      </c>
      <c r="H324" s="2" t="inlineStr">
        <is>
          <t>draftkings</t>
        </is>
      </c>
      <c r="I324" s="4" t="n"/>
      <c r="J324" s="4" t="n"/>
      <c r="K324" s="4" t="n">
        <v>-105</v>
      </c>
      <c r="L324" s="4" t="n">
        <v>-105</v>
      </c>
      <c r="M324" s="5" t="n">
        <v>5.5</v>
      </c>
      <c r="N324" s="5" t="n">
        <v>5.226705691491659</v>
      </c>
      <c r="O324" s="5" t="n">
        <v>5.5</v>
      </c>
      <c r="P324" s="5" t="n">
        <v>0.2732943085083406</v>
      </c>
      <c r="Q324" s="6" t="n">
        <v>0.1250551286565051</v>
      </c>
      <c r="R324" s="6" t="n">
        <v>0.5762477488240636</v>
      </c>
      <c r="S324" s="6" t="n">
        <v>0.4842767295597484</v>
      </c>
      <c r="T324" s="2" t="inlineStr">
        <is>
          <t>Under</t>
        </is>
      </c>
      <c r="U324" s="4" t="n">
        <v>-105</v>
      </c>
      <c r="V324" s="2" t="n">
        <v>1.952380952380952</v>
      </c>
      <c r="W324" s="4" t="n">
        <v>-105</v>
      </c>
      <c r="X324" s="2" t="n">
        <v>1</v>
      </c>
      <c r="Y324" s="5" t="n">
        <v>-1</v>
      </c>
      <c r="Z324" s="7" t="n">
        <v>100</v>
      </c>
      <c r="AA324" s="7">
        <f>Y324*Z324</f>
        <v/>
      </c>
      <c r="AB324" s="6">
        <f>IF(Z324=0,0,AA324/Z324)</f>
        <v/>
      </c>
      <c r="AC324" s="6" t="n"/>
      <c r="AD324" s="2" t="inlineStr">
        <is>
          <t>Loss</t>
        </is>
      </c>
      <c r="AE324" s="6">
        <f>IF((COUNTIF($AD$2:AD324,"Win")+COUNTIF($AD$2:AD324,"Loss"))=0,0,COUNTIF($AD$2:AD324,"Win")/(COUNTIF($AD$2:AD324,"Win")+COUNTIF($AD$2:AD324,"Loss")))</f>
        <v/>
      </c>
      <c r="AF324" s="6">
        <f>SUM($Y$2:Y324)/SUM($X$2:X324)</f>
        <v/>
      </c>
      <c r="AG324" s="5">
        <f>SUM($Y$2:Y324)</f>
        <v/>
      </c>
      <c r="AH324" s="7">
        <f>10000.0+SUM($AA$2:AA324)</f>
        <v/>
      </c>
      <c r="AI324" s="2" t="n">
        <v>2025</v>
      </c>
      <c r="AJ324" s="2" t="inlineStr">
        <is>
          <t>2025-09</t>
        </is>
      </c>
      <c r="AK324" s="2" t="inlineStr">
        <is>
          <t>-119 to -101</t>
        </is>
      </c>
      <c r="AL324" s="2" t="inlineStr">
        <is>
          <t>2025 Validation</t>
        </is>
      </c>
      <c r="AM324" s="6" t="n">
        <v>0.1313078850893304</v>
      </c>
    </row>
    <row r="325">
      <c r="A325" s="2" t="inlineStr">
        <is>
          <t>KPROP-00324</t>
        </is>
      </c>
      <c r="B325" s="3" t="n">
        <v>45906.75738425926</v>
      </c>
      <c r="C325" s="3" t="n">
        <v>45906</v>
      </c>
      <c r="D325" s="2" t="inlineStr">
        <is>
          <t>Tarik Skubal</t>
        </is>
      </c>
      <c r="E325" s="2" t="n">
        <v>116</v>
      </c>
      <c r="F325" s="2" t="n">
        <v>145</v>
      </c>
      <c r="G325" s="2" t="inlineStr">
        <is>
          <t>Home</t>
        </is>
      </c>
      <c r="H325" s="2" t="inlineStr">
        <is>
          <t>fanduel</t>
        </is>
      </c>
      <c r="I325" s="4" t="n"/>
      <c r="J325" s="4" t="n"/>
      <c r="K325" s="4" t="n">
        <v>120</v>
      </c>
      <c r="L325" s="4" t="n">
        <v>120</v>
      </c>
      <c r="M325" s="5" t="n">
        <v>7.5</v>
      </c>
      <c r="N325" s="5" t="n">
        <v>7.695829050045323</v>
      </c>
      <c r="O325" s="5" t="n">
        <v>7.5</v>
      </c>
      <c r="P325" s="5" t="n">
        <v>-0.1958290500453232</v>
      </c>
      <c r="Q325" s="6" t="n">
        <v>0.09155521874978623</v>
      </c>
      <c r="R325" s="6" t="n">
        <v>0.4961614630680846</v>
      </c>
      <c r="S325" s="6" t="n">
        <v>0.4343971631205674</v>
      </c>
      <c r="T325" s="2" t="inlineStr">
        <is>
          <t>Under</t>
        </is>
      </c>
      <c r="U325" s="4" t="n">
        <v>120</v>
      </c>
      <c r="V325" s="2" t="n">
        <v>2.2</v>
      </c>
      <c r="W325" s="4" t="n">
        <v>120</v>
      </c>
      <c r="X325" s="2" t="n">
        <v>1</v>
      </c>
      <c r="Y325" s="5" t="n">
        <v>1.2</v>
      </c>
      <c r="Z325" s="7" t="n">
        <v>100</v>
      </c>
      <c r="AA325" s="7">
        <f>Y325*Z325</f>
        <v/>
      </c>
      <c r="AB325" s="6">
        <f>IF(Z325=0,0,AA325/Z325)</f>
        <v/>
      </c>
      <c r="AC325" s="6" t="n"/>
      <c r="AD325" s="2" t="inlineStr">
        <is>
          <t>Win</t>
        </is>
      </c>
      <c r="AE325" s="6">
        <f>IF((COUNTIF($AD$2:AD325,"Win")+COUNTIF($AD$2:AD325,"Loss"))=0,0,COUNTIF($AD$2:AD325,"Win")/(COUNTIF($AD$2:AD325,"Win")+COUNTIF($AD$2:AD325,"Loss")))</f>
        <v/>
      </c>
      <c r="AF325" s="6">
        <f>SUM($Y$2:Y325)/SUM($X$2:X325)</f>
        <v/>
      </c>
      <c r="AG325" s="5">
        <f>SUM($Y$2:Y325)</f>
        <v/>
      </c>
      <c r="AH325" s="7">
        <f>10000.0+SUM($AA$2:AA325)</f>
        <v/>
      </c>
      <c r="AI325" s="2" t="n">
        <v>2025</v>
      </c>
      <c r="AJ325" s="2" t="inlineStr">
        <is>
          <t>2025-09</t>
        </is>
      </c>
      <c r="AK325" s="2" t="inlineStr">
        <is>
          <t>+100 to +120</t>
        </is>
      </c>
      <c r="AL325" s="2" t="inlineStr">
        <is>
          <t>2025 Validation</t>
        </is>
      </c>
      <c r="AM325" s="6" t="n">
        <v>0.07629601562482184</v>
      </c>
    </row>
    <row r="326">
      <c r="A326" s="2" t="inlineStr">
        <is>
          <t>KPROP-00325</t>
        </is>
      </c>
      <c r="B326" s="3" t="n">
        <v>45907.60807870371</v>
      </c>
      <c r="C326" s="3" t="n">
        <v>45907</v>
      </c>
      <c r="D326" s="2" t="inlineStr">
        <is>
          <t>Framber Valdez</t>
        </is>
      </c>
      <c r="E326" s="2" t="n">
        <v>117</v>
      </c>
      <c r="F326" s="2" t="n">
        <v>140</v>
      </c>
      <c r="G326" s="2" t="inlineStr">
        <is>
          <t>Away</t>
        </is>
      </c>
      <c r="H326" s="2" t="inlineStr">
        <is>
          <t>fanduel</t>
        </is>
      </c>
      <c r="I326" s="4" t="n"/>
      <c r="J326" s="4" t="n"/>
      <c r="K326" s="4" t="n">
        <v>118</v>
      </c>
      <c r="L326" s="4" t="n">
        <v>118</v>
      </c>
      <c r="M326" s="5" t="n">
        <v>5.5</v>
      </c>
      <c r="N326" s="5" t="n">
        <v>5.595014729539127</v>
      </c>
      <c r="O326" s="5" t="n">
        <v>5.5</v>
      </c>
      <c r="P326" s="5" t="n">
        <v>-0.09501472953912682</v>
      </c>
      <c r="Q326" s="6" t="n">
        <v>0.117701736661541</v>
      </c>
      <c r="R326" s="6" t="n">
        <v>0.5127072186520831</v>
      </c>
      <c r="S326" s="6" t="n">
        <v>0.4479937670432412</v>
      </c>
      <c r="T326" s="2" t="inlineStr">
        <is>
          <t>Under</t>
        </is>
      </c>
      <c r="U326" s="4" t="n">
        <v>118</v>
      </c>
      <c r="V326" s="2" t="n">
        <v>2.18</v>
      </c>
      <c r="W326" s="4" t="n">
        <v>118</v>
      </c>
      <c r="X326" s="2" t="n">
        <v>1</v>
      </c>
      <c r="Y326" s="5" t="n">
        <v>1.18</v>
      </c>
      <c r="Z326" s="7" t="n">
        <v>100</v>
      </c>
      <c r="AA326" s="7">
        <f>Y326*Z326</f>
        <v/>
      </c>
      <c r="AB326" s="6">
        <f>IF(Z326=0,0,AA326/Z326)</f>
        <v/>
      </c>
      <c r="AC326" s="6" t="n"/>
      <c r="AD326" s="2" t="inlineStr">
        <is>
          <t>Win</t>
        </is>
      </c>
      <c r="AE326" s="6">
        <f>IF((COUNTIF($AD$2:AD326,"Win")+COUNTIF($AD$2:AD326,"Loss"))=0,0,COUNTIF($AD$2:AD326,"Win")/(COUNTIF($AD$2:AD326,"Win")+COUNTIF($AD$2:AD326,"Loss")))</f>
        <v/>
      </c>
      <c r="AF326" s="6">
        <f>SUM($Y$2:Y326)/SUM($X$2:X326)</f>
        <v/>
      </c>
      <c r="AG326" s="5">
        <f>SUM($Y$2:Y326)</f>
        <v/>
      </c>
      <c r="AH326" s="7">
        <f>10000.0+SUM($AA$2:AA326)</f>
        <v/>
      </c>
      <c r="AI326" s="2" t="n">
        <v>2025</v>
      </c>
      <c r="AJ326" s="2" t="inlineStr">
        <is>
          <t>2025-09</t>
        </is>
      </c>
      <c r="AK326" s="2" t="inlineStr">
        <is>
          <t>+100 to +120</t>
        </is>
      </c>
      <c r="AL326" s="2" t="inlineStr">
        <is>
          <t>2025 Validation</t>
        </is>
      </c>
      <c r="AM326" s="6" t="n">
        <v>0.09974723445893312</v>
      </c>
    </row>
    <row r="327">
      <c r="A327" s="2" t="inlineStr">
        <is>
          <t>KPROP-00326</t>
        </is>
      </c>
      <c r="B327" s="3" t="n">
        <v>45907.59418981482</v>
      </c>
      <c r="C327" s="3" t="n">
        <v>45907</v>
      </c>
      <c r="D327" s="2" t="inlineStr">
        <is>
          <t>Kai-Wei Teng</t>
        </is>
      </c>
      <c r="E327" s="2" t="n">
        <v>137</v>
      </c>
      <c r="F327" s="2" t="n">
        <v>138</v>
      </c>
      <c r="G327" s="2" t="inlineStr">
        <is>
          <t>Away</t>
        </is>
      </c>
      <c r="H327" s="2" t="inlineStr">
        <is>
          <t>fanduel</t>
        </is>
      </c>
      <c r="I327" s="4" t="n"/>
      <c r="J327" s="4" t="n"/>
      <c r="K327" s="4" t="n">
        <v>-112</v>
      </c>
      <c r="L327" s="4" t="n">
        <v>-112</v>
      </c>
      <c r="M327" s="5" t="n">
        <v>4.5</v>
      </c>
      <c r="N327" s="5" t="n">
        <v>4.233488590692156</v>
      </c>
      <c r="O327" s="5" t="n">
        <v>4.5</v>
      </c>
      <c r="P327" s="5" t="n">
        <v>0.266511409307844</v>
      </c>
      <c r="Q327" s="6" t="n">
        <v>0.1041442877244172</v>
      </c>
      <c r="R327" s="6" t="n">
        <v>0.5833215104959185</v>
      </c>
      <c r="S327" s="6" t="n">
        <v>0.5137614678899083</v>
      </c>
      <c r="T327" s="2" t="inlineStr">
        <is>
          <t>Under</t>
        </is>
      </c>
      <c r="U327" s="4" t="n">
        <v>-112</v>
      </c>
      <c r="V327" s="2" t="n">
        <v>1.892857142857143</v>
      </c>
      <c r="W327" s="4" t="n">
        <v>-112</v>
      </c>
      <c r="X327" s="2" t="n">
        <v>1</v>
      </c>
      <c r="Y327" s="5" t="n">
        <v>-1</v>
      </c>
      <c r="Z327" s="7" t="n">
        <v>100</v>
      </c>
      <c r="AA327" s="7">
        <f>Y327*Z327</f>
        <v/>
      </c>
      <c r="AB327" s="6">
        <f>IF(Z327=0,0,AA327/Z327)</f>
        <v/>
      </c>
      <c r="AC327" s="6" t="n"/>
      <c r="AD327" s="2" t="inlineStr">
        <is>
          <t>Loss</t>
        </is>
      </c>
      <c r="AE327" s="6">
        <f>IF((COUNTIF($AD$2:AD327,"Win")+COUNTIF($AD$2:AD327,"Loss"))=0,0,COUNTIF($AD$2:AD327,"Win")/(COUNTIF($AD$2:AD327,"Win")+COUNTIF($AD$2:AD327,"Loss")))</f>
        <v/>
      </c>
      <c r="AF327" s="6">
        <f>SUM($Y$2:Y327)/SUM($X$2:X327)</f>
        <v/>
      </c>
      <c r="AG327" s="5">
        <f>SUM($Y$2:Y327)</f>
        <v/>
      </c>
      <c r="AH327" s="7">
        <f>10000.0+SUM($AA$2:AA327)</f>
        <v/>
      </c>
      <c r="AI327" s="2" t="n">
        <v>2025</v>
      </c>
      <c r="AJ327" s="2" t="inlineStr">
        <is>
          <t>2025-09</t>
        </is>
      </c>
      <c r="AK327" s="2" t="inlineStr">
        <is>
          <t>-119 to -101</t>
        </is>
      </c>
      <c r="AL327" s="2" t="inlineStr">
        <is>
          <t>2025 Validation</t>
        </is>
      </c>
      <c r="AM327" s="6" t="n">
        <v>0.1166416022513473</v>
      </c>
    </row>
    <row r="328">
      <c r="A328" s="2" t="inlineStr">
        <is>
          <t>KPROP-00327</t>
        </is>
      </c>
      <c r="B328" s="3" t="n">
        <v>45907.67059027778</v>
      </c>
      <c r="C328" s="3" t="n">
        <v>45907</v>
      </c>
      <c r="D328" s="2" t="inlineStr">
        <is>
          <t>Mitch Farris</t>
        </is>
      </c>
      <c r="E328" s="2" t="n">
        <v>108</v>
      </c>
      <c r="F328" s="2" t="n">
        <v>133</v>
      </c>
      <c r="G328" s="2" t="inlineStr">
        <is>
          <t>Home</t>
        </is>
      </c>
      <c r="H328" s="2" t="inlineStr">
        <is>
          <t>draftkings</t>
        </is>
      </c>
      <c r="I328" s="4" t="n"/>
      <c r="J328" s="4" t="n"/>
      <c r="K328" s="4" t="n">
        <v>-115</v>
      </c>
      <c r="L328" s="4" t="n">
        <v>-115</v>
      </c>
      <c r="M328" s="5" t="n">
        <v>4.5</v>
      </c>
      <c r="N328" s="5" t="n">
        <v>3.337146472500821</v>
      </c>
      <c r="O328" s="5" t="n">
        <v>4.5</v>
      </c>
      <c r="P328" s="5" t="n">
        <v>1.162853527499179</v>
      </c>
      <c r="Q328" s="6" t="n">
        <v>0.4130065096347358</v>
      </c>
      <c r="R328" s="6" t="n">
        <v>0.7557941795720681</v>
      </c>
      <c r="S328" s="6" t="n">
        <v>0.5168539325842696</v>
      </c>
      <c r="T328" s="2" t="inlineStr">
        <is>
          <t>Under</t>
        </is>
      </c>
      <c r="U328" s="4" t="n">
        <v>-115</v>
      </c>
      <c r="V328" s="2" t="n">
        <v>1.869565217391304</v>
      </c>
      <c r="W328" s="4" t="n">
        <v>-115</v>
      </c>
      <c r="X328" s="2" t="n">
        <v>1</v>
      </c>
      <c r="Y328" s="5" t="n">
        <v>0.8695652173913042</v>
      </c>
      <c r="Z328" s="7" t="n">
        <v>100</v>
      </c>
      <c r="AA328" s="7">
        <f>Y328*Z328</f>
        <v/>
      </c>
      <c r="AB328" s="6">
        <f>IF(Z328=0,0,AA328/Z328)</f>
        <v/>
      </c>
      <c r="AC328" s="6" t="n"/>
      <c r="AD328" s="2" t="inlineStr">
        <is>
          <t>Win</t>
        </is>
      </c>
      <c r="AE328" s="6">
        <f>IF((COUNTIF($AD$2:AD328,"Win")+COUNTIF($AD$2:AD328,"Loss"))=0,0,COUNTIF($AD$2:AD328,"Win")/(COUNTIF($AD$2:AD328,"Win")+COUNTIF($AD$2:AD328,"Loss")))</f>
        <v/>
      </c>
      <c r="AF328" s="6">
        <f>SUM($Y$2:Y328)/SUM($X$2:X328)</f>
        <v/>
      </c>
      <c r="AG328" s="5">
        <f>SUM($Y$2:Y328)</f>
        <v/>
      </c>
      <c r="AH328" s="7">
        <f>10000.0+SUM($AA$2:AA328)</f>
        <v/>
      </c>
      <c r="AI328" s="2" t="n">
        <v>2025</v>
      </c>
      <c r="AJ328" s="2" t="inlineStr">
        <is>
          <t>2025-09</t>
        </is>
      </c>
      <c r="AK328" s="2" t="inlineStr">
        <is>
          <t>-119 to -101</t>
        </is>
      </c>
      <c r="AL328" s="2" t="inlineStr">
        <is>
          <t>2025 Validation</t>
        </is>
      </c>
      <c r="AM328" s="6" t="n">
        <v>0.4749574860799463</v>
      </c>
    </row>
    <row r="329">
      <c r="A329" s="2" t="inlineStr">
        <is>
          <t>KPROP-00328</t>
        </is>
      </c>
      <c r="B329" s="3" t="n">
        <v>45907.59418981482</v>
      </c>
      <c r="C329" s="3" t="n">
        <v>45907</v>
      </c>
      <c r="D329" s="2" t="inlineStr">
        <is>
          <t>Sonny Gray</t>
        </is>
      </c>
      <c r="E329" s="2" t="n">
        <v>138</v>
      </c>
      <c r="F329" s="2" t="n">
        <v>137</v>
      </c>
      <c r="G329" s="2" t="inlineStr">
        <is>
          <t>Home</t>
        </is>
      </c>
      <c r="H329" s="2" t="inlineStr">
        <is>
          <t>betrivers</t>
        </is>
      </c>
      <c r="I329" s="4" t="n"/>
      <c r="J329" s="4" t="n"/>
      <c r="K329" s="4" t="n">
        <v>107</v>
      </c>
      <c r="L329" s="4" t="n">
        <v>107</v>
      </c>
      <c r="M329" s="5" t="n">
        <v>5.5</v>
      </c>
      <c r="N329" s="5" t="n">
        <v>5.519773995006427</v>
      </c>
      <c r="O329" s="5" t="n">
        <v>5.5</v>
      </c>
      <c r="P329" s="5" t="n">
        <v>-0.01977399500642729</v>
      </c>
      <c r="Q329" s="6" t="n">
        <v>0.08785225671229313</v>
      </c>
      <c r="R329" s="6" t="n">
        <v>0.5255324911653589</v>
      </c>
      <c r="S329" s="6" t="n">
        <v>0.4797806716929403</v>
      </c>
      <c r="T329" s="2" t="inlineStr">
        <is>
          <t>Under</t>
        </is>
      </c>
      <c r="U329" s="4" t="n">
        <v>107</v>
      </c>
      <c r="V329" s="2" t="n">
        <v>2.07</v>
      </c>
      <c r="W329" s="4" t="n">
        <v>107</v>
      </c>
      <c r="X329" s="2" t="n">
        <v>1</v>
      </c>
      <c r="Y329" s="5" t="n">
        <v>-1</v>
      </c>
      <c r="Z329" s="7" t="n">
        <v>100</v>
      </c>
      <c r="AA329" s="7">
        <f>Y329*Z329</f>
        <v/>
      </c>
      <c r="AB329" s="6">
        <f>IF(Z329=0,0,AA329/Z329)</f>
        <v/>
      </c>
      <c r="AC329" s="6" t="n"/>
      <c r="AD329" s="2" t="inlineStr">
        <is>
          <t>Loss</t>
        </is>
      </c>
      <c r="AE329" s="6">
        <f>IF((COUNTIF($AD$2:AD329,"Win")+COUNTIF($AD$2:AD329,"Loss"))=0,0,COUNTIF($AD$2:AD329,"Win")/(COUNTIF($AD$2:AD329,"Win")+COUNTIF($AD$2:AD329,"Loss")))</f>
        <v/>
      </c>
      <c r="AF329" s="6">
        <f>SUM($Y$2:Y329)/SUM($X$2:X329)</f>
        <v/>
      </c>
      <c r="AG329" s="5">
        <f>SUM($Y$2:Y329)</f>
        <v/>
      </c>
      <c r="AH329" s="7">
        <f>10000.0+SUM($AA$2:AA329)</f>
        <v/>
      </c>
      <c r="AI329" s="2" t="n">
        <v>2025</v>
      </c>
      <c r="AJ329" s="2" t="inlineStr">
        <is>
          <t>2025-09</t>
        </is>
      </c>
      <c r="AK329" s="2" t="inlineStr">
        <is>
          <t>+100 to +120</t>
        </is>
      </c>
      <c r="AL329" s="2" t="inlineStr">
        <is>
          <t>2025 Validation</t>
        </is>
      </c>
      <c r="AM329" s="6" t="n">
        <v>0.08210491281522721</v>
      </c>
    </row>
    <row r="330">
      <c r="A330" s="2" t="inlineStr">
        <is>
          <t>KPROP-00329</t>
        </is>
      </c>
      <c r="B330" s="3" t="n">
        <v>45909.77822916667</v>
      </c>
      <c r="C330" s="3" t="n">
        <v>45909</v>
      </c>
      <c r="D330" s="2" t="inlineStr">
        <is>
          <t>Joey Cantillo</t>
        </is>
      </c>
      <c r="E330" s="2" t="n">
        <v>114</v>
      </c>
      <c r="F330" s="2" t="n">
        <v>118</v>
      </c>
      <c r="G330" s="2" t="inlineStr">
        <is>
          <t>Home</t>
        </is>
      </c>
      <c r="H330" s="2" t="inlineStr">
        <is>
          <t>draftkings</t>
        </is>
      </c>
      <c r="I330" s="4" t="n"/>
      <c r="J330" s="4" t="n"/>
      <c r="K330" s="4" t="n">
        <v>125</v>
      </c>
      <c r="L330" s="4" t="n">
        <v>125</v>
      </c>
      <c r="M330" s="5" t="n">
        <v>4.5</v>
      </c>
      <c r="N330" s="5" t="n">
        <v>4.699090495369994</v>
      </c>
      <c r="O330" s="5" t="n">
        <v>4.5</v>
      </c>
      <c r="P330" s="5" t="n">
        <v>-0.1990904953699939</v>
      </c>
      <c r="Q330" s="6" t="n">
        <v>0.1132482225701025</v>
      </c>
      <c r="R330" s="6" t="n">
        <v>0.4947769878089344</v>
      </c>
      <c r="S330" s="6" t="n">
        <v>0.4288840262582057</v>
      </c>
      <c r="T330" s="2" t="inlineStr">
        <is>
          <t>Under</t>
        </is>
      </c>
      <c r="U330" s="4" t="n">
        <v>125</v>
      </c>
      <c r="V330" s="2" t="n">
        <v>2.25</v>
      </c>
      <c r="W330" s="4" t="n">
        <v>125</v>
      </c>
      <c r="X330" s="2" t="n">
        <v>1</v>
      </c>
      <c r="Y330" s="5" t="n">
        <v>-1</v>
      </c>
      <c r="Z330" s="7" t="n">
        <v>100</v>
      </c>
      <c r="AA330" s="7">
        <f>Y330*Z330</f>
        <v/>
      </c>
      <c r="AB330" s="6">
        <f>IF(Z330=0,0,AA330/Z330)</f>
        <v/>
      </c>
      <c r="AC330" s="6" t="n"/>
      <c r="AD330" s="2" t="inlineStr">
        <is>
          <t>Loss</t>
        </is>
      </c>
      <c r="AE330" s="6">
        <f>IF((COUNTIF($AD$2:AD330,"Win")+COUNTIF($AD$2:AD330,"Loss"))=0,0,COUNTIF($AD$2:AD330,"Win")/(COUNTIF($AD$2:AD330,"Win")+COUNTIF($AD$2:AD330,"Loss")))</f>
        <v/>
      </c>
      <c r="AF330" s="6">
        <f>SUM($Y$2:Y330)/SUM($X$2:X330)</f>
        <v/>
      </c>
      <c r="AG330" s="5">
        <f>SUM($Y$2:Y330)</f>
        <v/>
      </c>
      <c r="AH330" s="7">
        <f>10000.0+SUM($AA$2:AA330)</f>
        <v/>
      </c>
      <c r="AI330" s="2" t="n">
        <v>2025</v>
      </c>
      <c r="AJ330" s="2" t="inlineStr">
        <is>
          <t>2025-09</t>
        </is>
      </c>
      <c r="AK330" s="2" t="inlineStr">
        <is>
          <t>+121 to +150</t>
        </is>
      </c>
      <c r="AL330" s="2" t="inlineStr">
        <is>
          <t>2025 Validation</t>
        </is>
      </c>
      <c r="AM330" s="6" t="n">
        <v>0.09059857805608199</v>
      </c>
    </row>
    <row r="331">
      <c r="A331" s="2" t="inlineStr">
        <is>
          <t>KPROP-00330</t>
        </is>
      </c>
      <c r="B331" s="3" t="n">
        <v>45909.77822916667</v>
      </c>
      <c r="C331" s="3" t="n">
        <v>45909</v>
      </c>
      <c r="D331" s="2" t="inlineStr">
        <is>
          <t>Joey Cantillo</t>
        </is>
      </c>
      <c r="E331" s="2" t="n">
        <v>114</v>
      </c>
      <c r="F331" s="2" t="n">
        <v>118</v>
      </c>
      <c r="G331" s="2" t="inlineStr">
        <is>
          <t>Home</t>
        </is>
      </c>
      <c r="H331" s="2" t="inlineStr">
        <is>
          <t>betmgm</t>
        </is>
      </c>
      <c r="I331" s="4" t="n"/>
      <c r="J331" s="4" t="n"/>
      <c r="K331" s="4" t="n">
        <v>-160</v>
      </c>
      <c r="L331" s="4" t="n">
        <v>-160</v>
      </c>
      <c r="M331" s="5" t="n">
        <v>5.5</v>
      </c>
      <c r="N331" s="5" t="n">
        <v>4.699090495369994</v>
      </c>
      <c r="O331" s="5" t="n">
        <v>5.5</v>
      </c>
      <c r="P331" s="5" t="n">
        <v>0.8009095046300061</v>
      </c>
      <c r="Q331" s="6" t="n">
        <v>0.08646944188260353</v>
      </c>
      <c r="R331" s="6" t="n">
        <v>0.6685965796200637</v>
      </c>
      <c r="S331" s="6" t="n">
        <v>0.5880861850443601</v>
      </c>
      <c r="T331" s="2" t="inlineStr">
        <is>
          <t>Under</t>
        </is>
      </c>
      <c r="U331" s="4" t="n">
        <v>-160</v>
      </c>
      <c r="V331" s="2" t="n">
        <v>1.625</v>
      </c>
      <c r="W331" s="4" t="n">
        <v>-160</v>
      </c>
      <c r="X331" s="2" t="n">
        <v>1</v>
      </c>
      <c r="Y331" s="5" t="n">
        <v>0.625</v>
      </c>
      <c r="Z331" s="7" t="n">
        <v>100</v>
      </c>
      <c r="AA331" s="7">
        <f>Y331*Z331</f>
        <v/>
      </c>
      <c r="AB331" s="6">
        <f>IF(Z331=0,0,AA331/Z331)</f>
        <v/>
      </c>
      <c r="AC331" s="6" t="n"/>
      <c r="AD331" s="2" t="inlineStr">
        <is>
          <t>Win</t>
        </is>
      </c>
      <c r="AE331" s="6">
        <f>IF((COUNTIF($AD$2:AD331,"Win")+COUNTIF($AD$2:AD331,"Loss"))=0,0,COUNTIF($AD$2:AD331,"Win")/(COUNTIF($AD$2:AD331,"Win")+COUNTIF($AD$2:AD331,"Loss")))</f>
        <v/>
      </c>
      <c r="AF331" s="6">
        <f>SUM($Y$2:Y331)/SUM($X$2:X331)</f>
        <v/>
      </c>
      <c r="AG331" s="5">
        <f>SUM($Y$2:Y331)</f>
        <v/>
      </c>
      <c r="AH331" s="7">
        <f>10000.0+SUM($AA$2:AA331)</f>
        <v/>
      </c>
      <c r="AI331" s="2" t="n">
        <v>2025</v>
      </c>
      <c r="AJ331" s="2" t="inlineStr">
        <is>
          <t>2025-09</t>
        </is>
      </c>
      <c r="AK331" s="2" t="inlineStr">
        <is>
          <t>&lt;= -150</t>
        </is>
      </c>
      <c r="AL331" s="2" t="inlineStr">
        <is>
          <t>2025 Validation</t>
        </is>
      </c>
      <c r="AM331" s="6" t="n">
        <v>0.1383511070121656</v>
      </c>
    </row>
    <row r="332">
      <c r="A332" s="2" t="inlineStr">
        <is>
          <t>KPROP-00331</t>
        </is>
      </c>
      <c r="B332" s="3" t="n">
        <v>45909.78170138889</v>
      </c>
      <c r="C332" s="3" t="n">
        <v>45909</v>
      </c>
      <c r="D332" s="2" t="inlineStr">
        <is>
          <t>Ranger Suarez</t>
        </is>
      </c>
      <c r="E332" s="2" t="n">
        <v>143</v>
      </c>
      <c r="F332" s="2" t="n">
        <v>121</v>
      </c>
      <c r="G332" s="2" t="inlineStr">
        <is>
          <t>Home</t>
        </is>
      </c>
      <c r="H332" s="2" t="inlineStr">
        <is>
          <t>betmgm</t>
        </is>
      </c>
      <c r="I332" s="4" t="n"/>
      <c r="J332" s="4" t="n"/>
      <c r="K332" s="4" t="n">
        <v>-120</v>
      </c>
      <c r="L332" s="4" t="n">
        <v>-120</v>
      </c>
      <c r="M332" s="5" t="n">
        <v>5.5</v>
      </c>
      <c r="N332" s="5" t="n">
        <v>4.879937301555772</v>
      </c>
      <c r="O332" s="5" t="n">
        <v>5.5</v>
      </c>
      <c r="P332" s="5" t="n">
        <v>0.6200626984442277</v>
      </c>
      <c r="Q332" s="6" t="n">
        <v>0.1678654150983147</v>
      </c>
      <c r="R332" s="6" t="n">
        <v>0.6370174991445352</v>
      </c>
      <c r="S332" s="6" t="n">
        <v>0.5338983050847457</v>
      </c>
      <c r="T332" s="2" t="inlineStr">
        <is>
          <t>Under</t>
        </is>
      </c>
      <c r="U332" s="4" t="n">
        <v>-120</v>
      </c>
      <c r="V332" s="2" t="n">
        <v>1.833333333333333</v>
      </c>
      <c r="W332" s="4" t="n">
        <v>-120</v>
      </c>
      <c r="X332" s="2" t="n">
        <v>1</v>
      </c>
      <c r="Y332" s="5" t="n">
        <v>-1</v>
      </c>
      <c r="Z332" s="7" t="n">
        <v>100</v>
      </c>
      <c r="AA332" s="7">
        <f>Y332*Z332</f>
        <v/>
      </c>
      <c r="AB332" s="6">
        <f>IF(Z332=0,0,AA332/Z332)</f>
        <v/>
      </c>
      <c r="AC332" s="6" t="n"/>
      <c r="AD332" s="2" t="inlineStr">
        <is>
          <t>Loss</t>
        </is>
      </c>
      <c r="AE332" s="6">
        <f>IF((COUNTIF($AD$2:AD332,"Win")+COUNTIF($AD$2:AD332,"Loss"))=0,0,COUNTIF($AD$2:AD332,"Win")/(COUNTIF($AD$2:AD332,"Win")+COUNTIF($AD$2:AD332,"Loss")))</f>
        <v/>
      </c>
      <c r="AF332" s="6">
        <f>SUM($Y$2:Y332)/SUM($X$2:X332)</f>
        <v/>
      </c>
      <c r="AG332" s="5">
        <f>SUM($Y$2:Y332)</f>
        <v/>
      </c>
      <c r="AH332" s="7">
        <f>10000.0+SUM($AA$2:AA332)</f>
        <v/>
      </c>
      <c r="AI332" s="2" t="n">
        <v>2025</v>
      </c>
      <c r="AJ332" s="2" t="inlineStr">
        <is>
          <t>2025-09</t>
        </is>
      </c>
      <c r="AK332" s="2" t="inlineStr">
        <is>
          <t>-149 to -120</t>
        </is>
      </c>
      <c r="AL332" s="2" t="inlineStr">
        <is>
          <t>2025 Validation</t>
        </is>
      </c>
      <c r="AM332" s="6" t="n">
        <v>0.2014384981179775</v>
      </c>
    </row>
    <row r="333">
      <c r="A333" s="2" t="inlineStr">
        <is>
          <t>KPROP-00332</t>
        </is>
      </c>
      <c r="B333" s="3" t="n">
        <v>45909.80253472222</v>
      </c>
      <c r="C333" s="3" t="n">
        <v>45909</v>
      </c>
      <c r="D333" s="2" t="inlineStr">
        <is>
          <t>Spencer Strider</t>
        </is>
      </c>
      <c r="E333" s="2" t="n">
        <v>144</v>
      </c>
      <c r="F333" s="2" t="n">
        <v>112</v>
      </c>
      <c r="G333" s="2" t="inlineStr">
        <is>
          <t>Home</t>
        </is>
      </c>
      <c r="H333" s="2" t="inlineStr">
        <is>
          <t>bovada</t>
        </is>
      </c>
      <c r="I333" s="4" t="n"/>
      <c r="J333" s="4" t="n"/>
      <c r="K333" s="4" t="n">
        <v>140</v>
      </c>
      <c r="L333" s="4" t="n">
        <v>140</v>
      </c>
      <c r="M333" s="5" t="n">
        <v>5.5</v>
      </c>
      <c r="N333" s="5" t="n">
        <v>5.257644793989431</v>
      </c>
      <c r="O333" s="5" t="n">
        <v>5.5</v>
      </c>
      <c r="P333" s="5" t="n">
        <v>0.2423552060105694</v>
      </c>
      <c r="Q333" s="6" t="n">
        <v>0.3700393863049235</v>
      </c>
      <c r="R333" s="6" t="n">
        <v>0.5708497442937182</v>
      </c>
      <c r="S333" s="6" t="n">
        <v>0.4181307097680956</v>
      </c>
      <c r="T333" s="2" t="inlineStr">
        <is>
          <t>Under</t>
        </is>
      </c>
      <c r="U333" s="4" t="n">
        <v>140</v>
      </c>
      <c r="V333" s="2" t="n">
        <v>2.4</v>
      </c>
      <c r="W333" s="4" t="n">
        <v>140</v>
      </c>
      <c r="X333" s="2" t="n">
        <v>1</v>
      </c>
      <c r="Y333" s="5" t="n">
        <v>-1</v>
      </c>
      <c r="Z333" s="7" t="n">
        <v>100</v>
      </c>
      <c r="AA333" s="7">
        <f>Y333*Z333</f>
        <v/>
      </c>
      <c r="AB333" s="6">
        <f>IF(Z333=0,0,AA333/Z333)</f>
        <v/>
      </c>
      <c r="AC333" s="6" t="n"/>
      <c r="AD333" s="2" t="inlineStr">
        <is>
          <t>Loss</t>
        </is>
      </c>
      <c r="AE333" s="6">
        <f>IF((COUNTIF($AD$2:AD333,"Win")+COUNTIF($AD$2:AD333,"Loss"))=0,0,COUNTIF($AD$2:AD333,"Win")/(COUNTIF($AD$2:AD333,"Win")+COUNTIF($AD$2:AD333,"Loss")))</f>
        <v/>
      </c>
      <c r="AF333" s="6">
        <f>SUM($Y$2:Y333)/SUM($X$2:X333)</f>
        <v/>
      </c>
      <c r="AG333" s="5">
        <f>SUM($Y$2:Y333)</f>
        <v/>
      </c>
      <c r="AH333" s="7">
        <f>10000.0+SUM($AA$2:AA333)</f>
        <v/>
      </c>
      <c r="AI333" s="2" t="n">
        <v>2025</v>
      </c>
      <c r="AJ333" s="2" t="inlineStr">
        <is>
          <t>2025-09</t>
        </is>
      </c>
      <c r="AK333" s="2" t="inlineStr">
        <is>
          <t>+121 to +150</t>
        </is>
      </c>
      <c r="AL333" s="2" t="inlineStr">
        <is>
          <t>2025 Validation</t>
        </is>
      </c>
      <c r="AM333" s="6" t="n">
        <v>0.2643138473606597</v>
      </c>
    </row>
    <row r="334">
      <c r="A334" s="2" t="inlineStr">
        <is>
          <t>KPROP-00333</t>
        </is>
      </c>
      <c r="B334" s="3" t="n">
        <v>45909.80253472222</v>
      </c>
      <c r="C334" s="3" t="n">
        <v>45909</v>
      </c>
      <c r="D334" s="2" t="inlineStr">
        <is>
          <t>Spencer Strider</t>
        </is>
      </c>
      <c r="E334" s="2" t="n">
        <v>144</v>
      </c>
      <c r="F334" s="2" t="n">
        <v>112</v>
      </c>
      <c r="G334" s="2" t="inlineStr">
        <is>
          <t>Home</t>
        </is>
      </c>
      <c r="H334" s="2" t="inlineStr">
        <is>
          <t>betonlineag</t>
        </is>
      </c>
      <c r="I334" s="4" t="n"/>
      <c r="J334" s="4" t="n"/>
      <c r="K334" s="4" t="n">
        <v>-156</v>
      </c>
      <c r="L334" s="4" t="n">
        <v>-156</v>
      </c>
      <c r="M334" s="5" t="n">
        <v>6.5</v>
      </c>
      <c r="N334" s="5" t="n">
        <v>5.257644793989431</v>
      </c>
      <c r="O334" s="5" t="n">
        <v>6.5</v>
      </c>
      <c r="P334" s="5" t="n">
        <v>1.242355206010569</v>
      </c>
      <c r="Q334" s="6" t="n">
        <v>0.1874847628069099</v>
      </c>
      <c r="R334" s="6" t="n">
        <v>0.7236235273354608</v>
      </c>
      <c r="S334" s="6" t="n">
        <v>0.5782537067545305</v>
      </c>
      <c r="T334" s="2" t="inlineStr">
        <is>
          <t>Under</t>
        </is>
      </c>
      <c r="U334" s="4" t="n">
        <v>-156</v>
      </c>
      <c r="V334" s="2" t="n">
        <v>1.641025641025641</v>
      </c>
      <c r="W334" s="4" t="n">
        <v>-156</v>
      </c>
      <c r="X334" s="2" t="n">
        <v>1</v>
      </c>
      <c r="Y334" s="5" t="n">
        <v>-1</v>
      </c>
      <c r="Z334" s="7" t="n">
        <v>100</v>
      </c>
      <c r="AA334" s="7">
        <f>Y334*Z334</f>
        <v/>
      </c>
      <c r="AB334" s="6">
        <f>IF(Z334=0,0,AA334/Z334)</f>
        <v/>
      </c>
      <c r="AC334" s="6" t="n"/>
      <c r="AD334" s="2" t="inlineStr">
        <is>
          <t>Loss</t>
        </is>
      </c>
      <c r="AE334" s="6">
        <f>IF((COUNTIF($AD$2:AD334,"Win")+COUNTIF($AD$2:AD334,"Loss"))=0,0,COUNTIF($AD$2:AD334,"Win")/(COUNTIF($AD$2:AD334,"Win")+COUNTIF($AD$2:AD334,"Loss")))</f>
        <v/>
      </c>
      <c r="AF334" s="6">
        <f>SUM($Y$2:Y334)/SUM($X$2:X334)</f>
        <v/>
      </c>
      <c r="AG334" s="5">
        <f>SUM($Y$2:Y334)</f>
        <v/>
      </c>
      <c r="AH334" s="7">
        <f>10000.0+SUM($AA$2:AA334)</f>
        <v/>
      </c>
      <c r="AI334" s="2" t="n">
        <v>2025</v>
      </c>
      <c r="AJ334" s="2" t="inlineStr">
        <is>
          <t>2025-09</t>
        </is>
      </c>
      <c r="AK334" s="2" t="inlineStr">
        <is>
          <t>&lt;= -150</t>
        </is>
      </c>
      <c r="AL334" s="2" t="inlineStr">
        <is>
          <t>2025 Validation</t>
        </is>
      </c>
      <c r="AM334" s="6" t="n">
        <v>0.2924762299787795</v>
      </c>
    </row>
    <row r="335">
      <c r="A335" s="2" t="inlineStr">
        <is>
          <t>KPROP-00334</t>
        </is>
      </c>
      <c r="B335" s="3" t="n">
        <v>45910.60809027778</v>
      </c>
      <c r="C335" s="3" t="n">
        <v>45910</v>
      </c>
      <c r="D335" s="2" t="inlineStr">
        <is>
          <t>Freddy Peralta</t>
        </is>
      </c>
      <c r="E335" s="2" t="n">
        <v>158</v>
      </c>
      <c r="F335" s="2" t="n">
        <v>140</v>
      </c>
      <c r="G335" s="2" t="inlineStr">
        <is>
          <t>Away</t>
        </is>
      </c>
      <c r="H335" s="2" t="inlineStr">
        <is>
          <t>draftkings</t>
        </is>
      </c>
      <c r="I335" s="4" t="n"/>
      <c r="J335" s="4" t="n"/>
      <c r="K335" s="4" t="n">
        <v>123</v>
      </c>
      <c r="L335" s="4" t="n">
        <v>123</v>
      </c>
      <c r="M335" s="5" t="n">
        <v>5.5</v>
      </c>
      <c r="N335" s="5" t="n">
        <v>5.76977990689094</v>
      </c>
      <c r="O335" s="5" t="n">
        <v>5.5</v>
      </c>
      <c r="P335" s="5" t="n">
        <v>-0.2697799068909399</v>
      </c>
      <c r="Q335" s="6" t="n">
        <v>0.07782446007420174</v>
      </c>
      <c r="R335" s="6" t="n">
        <v>0.483329354293364</v>
      </c>
      <c r="S335" s="6" t="n">
        <v>0.4245400815782902</v>
      </c>
      <c r="T335" s="2" t="inlineStr">
        <is>
          <t>Under</t>
        </is>
      </c>
      <c r="U335" s="4" t="n">
        <v>123</v>
      </c>
      <c r="V335" s="2" t="n">
        <v>2.23</v>
      </c>
      <c r="W335" s="4" t="n">
        <v>123</v>
      </c>
      <c r="X335" s="2" t="n">
        <v>1</v>
      </c>
      <c r="Y335" s="5" t="n">
        <v>-1</v>
      </c>
      <c r="Z335" s="7" t="n">
        <v>100</v>
      </c>
      <c r="AA335" s="7">
        <f>Y335*Z335</f>
        <v/>
      </c>
      <c r="AB335" s="6">
        <f>IF(Z335=0,0,AA335/Z335)</f>
        <v/>
      </c>
      <c r="AC335" s="6" t="n"/>
      <c r="AD335" s="2" t="inlineStr">
        <is>
          <t>Loss</t>
        </is>
      </c>
      <c r="AE335" s="6">
        <f>IF((COUNTIF($AD$2:AD335,"Win")+COUNTIF($AD$2:AD335,"Loss"))=0,0,COUNTIF($AD$2:AD335,"Win")/(COUNTIF($AD$2:AD335,"Win")+COUNTIF($AD$2:AD335,"Loss")))</f>
        <v/>
      </c>
      <c r="AF335" s="6">
        <f>SUM($Y$2:Y335)/SUM($X$2:X335)</f>
        <v/>
      </c>
      <c r="AG335" s="5">
        <f>SUM($Y$2:Y335)</f>
        <v/>
      </c>
      <c r="AH335" s="7">
        <f>10000.0+SUM($AA$2:AA335)</f>
        <v/>
      </c>
      <c r="AI335" s="2" t="n">
        <v>2025</v>
      </c>
      <c r="AJ335" s="2" t="inlineStr">
        <is>
          <t>2025-09</t>
        </is>
      </c>
      <c r="AK335" s="2" t="inlineStr">
        <is>
          <t>+121 to +150</t>
        </is>
      </c>
      <c r="AL335" s="2" t="inlineStr">
        <is>
          <t>2025 Validation</t>
        </is>
      </c>
      <c r="AM335" s="6" t="n">
        <v>0.06327191875951362</v>
      </c>
    </row>
    <row r="336">
      <c r="A336" s="2" t="inlineStr">
        <is>
          <t>KPROP-00335</t>
        </is>
      </c>
      <c r="B336" s="3" t="n">
        <v>45910.60809027778</v>
      </c>
      <c r="C336" s="3" t="n">
        <v>45910</v>
      </c>
      <c r="D336" s="2" t="inlineStr">
        <is>
          <t>Freddy Peralta</t>
        </is>
      </c>
      <c r="E336" s="2" t="n">
        <v>158</v>
      </c>
      <c r="F336" s="2" t="n">
        <v>140</v>
      </c>
      <c r="G336" s="2" t="inlineStr">
        <is>
          <t>Away</t>
        </is>
      </c>
      <c r="H336" s="2" t="inlineStr">
        <is>
          <t>betmgm</t>
        </is>
      </c>
      <c r="I336" s="4" t="n"/>
      <c r="J336" s="4" t="n"/>
      <c r="K336" s="4" t="n">
        <v>-145</v>
      </c>
      <c r="L336" s="4" t="n">
        <v>-145</v>
      </c>
      <c r="M336" s="5" t="n">
        <v>6.5</v>
      </c>
      <c r="N336" s="5" t="n">
        <v>5.76977990689094</v>
      </c>
      <c r="O336" s="5" t="n">
        <v>6.5</v>
      </c>
      <c r="P336" s="5" t="n">
        <v>0.7302200931090601</v>
      </c>
      <c r="Q336" s="6" t="n">
        <v>0.08683017314574591</v>
      </c>
      <c r="R336" s="6" t="n">
        <v>0.6432260208413598</v>
      </c>
      <c r="S336" s="6" t="n">
        <v>0.574357192494788</v>
      </c>
      <c r="T336" s="2" t="inlineStr">
        <is>
          <t>Under</t>
        </is>
      </c>
      <c r="U336" s="4" t="n">
        <v>-145</v>
      </c>
      <c r="V336" s="2" t="n">
        <v>1.689655172413793</v>
      </c>
      <c r="W336" s="4" t="n">
        <v>-145</v>
      </c>
      <c r="X336" s="2" t="n">
        <v>1</v>
      </c>
      <c r="Y336" s="5" t="n">
        <v>-1</v>
      </c>
      <c r="Z336" s="7" t="n">
        <v>100</v>
      </c>
      <c r="AA336" s="7">
        <f>Y336*Z336</f>
        <v/>
      </c>
      <c r="AB336" s="6">
        <f>IF(Z336=0,0,AA336/Z336)</f>
        <v/>
      </c>
      <c r="AC336" s="6" t="n"/>
      <c r="AD336" s="2" t="inlineStr">
        <is>
          <t>Loss</t>
        </is>
      </c>
      <c r="AE336" s="6">
        <f>IF((COUNTIF($AD$2:AD336,"Win")+COUNTIF($AD$2:AD336,"Loss"))=0,0,COUNTIF($AD$2:AD336,"Win")/(COUNTIF($AD$2:AD336,"Win")+COUNTIF($AD$2:AD336,"Loss")))</f>
        <v/>
      </c>
      <c r="AF336" s="6">
        <f>SUM($Y$2:Y336)/SUM($X$2:X336)</f>
        <v/>
      </c>
      <c r="AG336" s="5">
        <f>SUM($Y$2:Y336)</f>
        <v/>
      </c>
      <c r="AH336" s="7">
        <f>10000.0+SUM($AA$2:AA336)</f>
        <v/>
      </c>
      <c r="AI336" s="2" t="n">
        <v>2025</v>
      </c>
      <c r="AJ336" s="2" t="inlineStr">
        <is>
          <t>2025-09</t>
        </is>
      </c>
      <c r="AK336" s="2" t="inlineStr">
        <is>
          <t>-149 to -120</t>
        </is>
      </c>
      <c r="AL336" s="2" t="inlineStr">
        <is>
          <t>2025 Validation</t>
        </is>
      </c>
      <c r="AM336" s="6" t="n">
        <v>0.1259037510613316</v>
      </c>
    </row>
    <row r="337">
      <c r="A337" s="2" t="inlineStr">
        <is>
          <t>KPROP-00336</t>
        </is>
      </c>
      <c r="B337" s="3" t="n">
        <v>45910.79559027778</v>
      </c>
      <c r="C337" s="3" t="n">
        <v>45910</v>
      </c>
      <c r="D337" s="2" t="inlineStr">
        <is>
          <t>Jack Flaherty</t>
        </is>
      </c>
      <c r="E337" s="2" t="n">
        <v>116</v>
      </c>
      <c r="F337" s="2" t="n">
        <v>147</v>
      </c>
      <c r="G337" s="2" t="inlineStr">
        <is>
          <t>Away</t>
        </is>
      </c>
      <c r="H337" s="2" t="inlineStr">
        <is>
          <t>betonlineag</t>
        </is>
      </c>
      <c r="I337" s="4" t="n"/>
      <c r="J337" s="4" t="n"/>
      <c r="K337" s="4" t="n">
        <v>124</v>
      </c>
      <c r="L337" s="4" t="n">
        <v>124</v>
      </c>
      <c r="M337" s="5" t="n">
        <v>5.5</v>
      </c>
      <c r="N337" s="5" t="n">
        <v>5.74619183793365</v>
      </c>
      <c r="O337" s="5" t="n">
        <v>5.5</v>
      </c>
      <c r="P337" s="5" t="n">
        <v>-0.2461918379336501</v>
      </c>
      <c r="Q337" s="6" t="n">
        <v>0.09145707744554323</v>
      </c>
      <c r="R337" s="6" t="n">
        <v>0.4872576238596175</v>
      </c>
      <c r="S337" s="6" t="n">
        <v>0.4372906587272051</v>
      </c>
      <c r="T337" s="2" t="inlineStr">
        <is>
          <t>Under</t>
        </is>
      </c>
      <c r="U337" s="4" t="n">
        <v>124</v>
      </c>
      <c r="V337" s="2" t="n">
        <v>2.24</v>
      </c>
      <c r="W337" s="4" t="n">
        <v>124</v>
      </c>
      <c r="X337" s="2" t="n">
        <v>1</v>
      </c>
      <c r="Y337" s="5" t="n">
        <v>-1</v>
      </c>
      <c r="Z337" s="7" t="n">
        <v>100</v>
      </c>
      <c r="AA337" s="7">
        <f>Y337*Z337</f>
        <v/>
      </c>
      <c r="AB337" s="6">
        <f>IF(Z337=0,0,AA337/Z337)</f>
        <v/>
      </c>
      <c r="AC337" s="6" t="n"/>
      <c r="AD337" s="2" t="inlineStr">
        <is>
          <t>Loss</t>
        </is>
      </c>
      <c r="AE337" s="6">
        <f>IF((COUNTIF($AD$2:AD337,"Win")+COUNTIF($AD$2:AD337,"Loss"))=0,0,COUNTIF($AD$2:AD337,"Win")/(COUNTIF($AD$2:AD337,"Win")+COUNTIF($AD$2:AD337,"Loss")))</f>
        <v/>
      </c>
      <c r="AF337" s="6">
        <f>SUM($Y$2:Y337)/SUM($X$2:X337)</f>
        <v/>
      </c>
      <c r="AG337" s="5">
        <f>SUM($Y$2:Y337)</f>
        <v/>
      </c>
      <c r="AH337" s="7">
        <f>10000.0+SUM($AA$2:AA337)</f>
        <v/>
      </c>
      <c r="AI337" s="2" t="n">
        <v>2025</v>
      </c>
      <c r="AJ337" s="2" t="inlineStr">
        <is>
          <t>2025-09</t>
        </is>
      </c>
      <c r="AK337" s="2" t="inlineStr">
        <is>
          <t>+121 to +150</t>
        </is>
      </c>
      <c r="AL337" s="2" t="inlineStr">
        <is>
          <t>2025 Validation</t>
        </is>
      </c>
      <c r="AM337" s="6" t="n">
        <v>0.07375570761737354</v>
      </c>
    </row>
    <row r="338">
      <c r="A338" s="2" t="inlineStr">
        <is>
          <t>KPROP-00337</t>
        </is>
      </c>
      <c r="B338" s="3" t="n">
        <v>45912.79559027778</v>
      </c>
      <c r="C338" s="3" t="n">
        <v>45912</v>
      </c>
      <c r="D338" s="2" t="inlineStr">
        <is>
          <t>Chris Bassitt</t>
        </is>
      </c>
      <c r="E338" s="2" t="n">
        <v>141</v>
      </c>
      <c r="F338" s="2" t="n">
        <v>110</v>
      </c>
      <c r="G338" s="2" t="inlineStr">
        <is>
          <t>Home</t>
        </is>
      </c>
      <c r="H338" s="2" t="inlineStr">
        <is>
          <t>draftkings</t>
        </is>
      </c>
      <c r="I338" s="4" t="n"/>
      <c r="J338" s="4" t="n"/>
      <c r="K338" s="4" t="n">
        <v>124</v>
      </c>
      <c r="L338" s="4" t="n">
        <v>124</v>
      </c>
      <c r="M338" s="5" t="n">
        <v>5.5</v>
      </c>
      <c r="N338" s="5" t="n">
        <v>5.788312201487591</v>
      </c>
      <c r="O338" s="5" t="n">
        <v>5.5</v>
      </c>
      <c r="P338" s="5" t="n">
        <v>-0.2883122014875905</v>
      </c>
      <c r="Q338" s="6" t="n">
        <v>0.07576380383848669</v>
      </c>
      <c r="R338" s="6" t="n">
        <v>0.4802516981421815</v>
      </c>
      <c r="S338" s="6" t="n">
        <v>0.42997542997543</v>
      </c>
      <c r="T338" s="2" t="inlineStr">
        <is>
          <t>Under</t>
        </is>
      </c>
      <c r="U338" s="4" t="n">
        <v>124</v>
      </c>
      <c r="V338" s="2" t="n">
        <v>2.24</v>
      </c>
      <c r="W338" s="4" t="n">
        <v>124</v>
      </c>
      <c r="X338" s="2" t="n">
        <v>1</v>
      </c>
      <c r="Y338" s="5" t="n">
        <v>-1</v>
      </c>
      <c r="Z338" s="7" t="n">
        <v>100</v>
      </c>
      <c r="AA338" s="7">
        <f>Y338*Z338</f>
        <v/>
      </c>
      <c r="AB338" s="6">
        <f>IF(Z338=0,0,AA338/Z338)</f>
        <v/>
      </c>
      <c r="AC338" s="6" t="n"/>
      <c r="AD338" s="2" t="inlineStr">
        <is>
          <t>Loss</t>
        </is>
      </c>
      <c r="AE338" s="6">
        <f>IF((COUNTIF($AD$2:AD338,"Win")+COUNTIF($AD$2:AD338,"Loss"))=0,0,COUNTIF($AD$2:AD338,"Win")/(COUNTIF($AD$2:AD338,"Win")+COUNTIF($AD$2:AD338,"Loss")))</f>
        <v/>
      </c>
      <c r="AF338" s="6">
        <f>SUM($Y$2:Y338)/SUM($X$2:X338)</f>
        <v/>
      </c>
      <c r="AG338" s="5">
        <f>SUM($Y$2:Y338)</f>
        <v/>
      </c>
      <c r="AH338" s="7">
        <f>10000.0+SUM($AA$2:AA338)</f>
        <v/>
      </c>
      <c r="AI338" s="2" t="n">
        <v>2025</v>
      </c>
      <c r="AJ338" s="2" t="inlineStr">
        <is>
          <t>2025-09</t>
        </is>
      </c>
      <c r="AK338" s="2" t="inlineStr">
        <is>
          <t>+121 to +150</t>
        </is>
      </c>
      <c r="AL338" s="2" t="inlineStr">
        <is>
          <t>2025 Validation</t>
        </is>
      </c>
      <c r="AM338" s="6" t="n">
        <v>0.06109984180523119</v>
      </c>
    </row>
    <row r="339">
      <c r="A339" s="2" t="inlineStr">
        <is>
          <t>KPROP-00338</t>
        </is>
      </c>
      <c r="B339" s="3" t="n">
        <v>45912.79907407407</v>
      </c>
      <c r="C339" s="3" t="n">
        <v>45912</v>
      </c>
      <c r="D339" s="2" t="inlineStr">
        <is>
          <t>Jonah Tong</t>
        </is>
      </c>
      <c r="E339" s="2" t="n">
        <v>121</v>
      </c>
      <c r="F339" s="2" t="n">
        <v>140</v>
      </c>
      <c r="G339" s="2" t="inlineStr">
        <is>
          <t>Home</t>
        </is>
      </c>
      <c r="H339" s="2" t="inlineStr">
        <is>
          <t>betonlineag</t>
        </is>
      </c>
      <c r="I339" s="4" t="n"/>
      <c r="J339" s="4" t="n"/>
      <c r="K339" s="4" t="n">
        <v>118</v>
      </c>
      <c r="L339" s="4" t="n">
        <v>118</v>
      </c>
      <c r="M339" s="5" t="n">
        <v>5.5</v>
      </c>
      <c r="N339" s="5" t="n">
        <v>5.41204866885308</v>
      </c>
      <c r="O339" s="5" t="n">
        <v>5.5</v>
      </c>
      <c r="P339" s="5" t="n">
        <v>0.08795133114692</v>
      </c>
      <c r="Q339" s="6" t="n">
        <v>0.1860306892764566</v>
      </c>
      <c r="R339" s="6" t="n">
        <v>0.5440507748974572</v>
      </c>
      <c r="S339" s="6" t="n">
        <v>0.4522613065326633</v>
      </c>
      <c r="T339" s="2" t="inlineStr">
        <is>
          <t>Under</t>
        </is>
      </c>
      <c r="U339" s="4" t="n">
        <v>118</v>
      </c>
      <c r="V339" s="2" t="n">
        <v>2.18</v>
      </c>
      <c r="W339" s="4" t="n">
        <v>118</v>
      </c>
      <c r="X339" s="2" t="n">
        <v>1</v>
      </c>
      <c r="Y339" s="5" t="n">
        <v>1.18</v>
      </c>
      <c r="Z339" s="7" t="n">
        <v>100</v>
      </c>
      <c r="AA339" s="7">
        <f>Y339*Z339</f>
        <v/>
      </c>
      <c r="AB339" s="6">
        <f>IF(Z339=0,0,AA339/Z339)</f>
        <v/>
      </c>
      <c r="AC339" s="6" t="n"/>
      <c r="AD339" s="2" t="inlineStr">
        <is>
          <t>Win</t>
        </is>
      </c>
      <c r="AE339" s="6">
        <f>IF((COUNTIF($AD$2:AD339,"Win")+COUNTIF($AD$2:AD339,"Loss"))=0,0,COUNTIF($AD$2:AD339,"Win")/(COUNTIF($AD$2:AD339,"Win")+COUNTIF($AD$2:AD339,"Loss")))</f>
        <v/>
      </c>
      <c r="AF339" s="6">
        <f>SUM($Y$2:Y339)/SUM($X$2:X339)</f>
        <v/>
      </c>
      <c r="AG339" s="5">
        <f>SUM($Y$2:Y339)</f>
        <v/>
      </c>
      <c r="AH339" s="7">
        <f>10000.0+SUM($AA$2:AA339)</f>
        <v/>
      </c>
      <c r="AI339" s="2" t="n">
        <v>2025</v>
      </c>
      <c r="AJ339" s="2" t="inlineStr">
        <is>
          <t>2025-09</t>
        </is>
      </c>
      <c r="AK339" s="2" t="inlineStr">
        <is>
          <t>+100 to +120</t>
        </is>
      </c>
      <c r="AL339" s="2" t="inlineStr">
        <is>
          <t>2025 Validation</t>
        </is>
      </c>
      <c r="AM339" s="6" t="n">
        <v>0.1576531265054718</v>
      </c>
    </row>
    <row r="340">
      <c r="A340" s="2" t="inlineStr">
        <is>
          <t>KPROP-00339</t>
        </is>
      </c>
      <c r="B340" s="3" t="n">
        <v>45912.79907407407</v>
      </c>
      <c r="C340" s="3" t="n">
        <v>45912</v>
      </c>
      <c r="D340" s="2" t="inlineStr">
        <is>
          <t>Jonah Tong</t>
        </is>
      </c>
      <c r="E340" s="2" t="n">
        <v>121</v>
      </c>
      <c r="F340" s="2" t="n">
        <v>140</v>
      </c>
      <c r="G340" s="2" t="inlineStr">
        <is>
          <t>Home</t>
        </is>
      </c>
      <c r="H340" s="2" t="inlineStr">
        <is>
          <t>betrivers</t>
        </is>
      </c>
      <c r="I340" s="4" t="n"/>
      <c r="J340" s="4" t="n"/>
      <c r="K340" s="4" t="n">
        <v>-180</v>
      </c>
      <c r="L340" s="4" t="n">
        <v>-180</v>
      </c>
      <c r="M340" s="5" t="n">
        <v>6.5</v>
      </c>
      <c r="N340" s="5" t="n">
        <v>5.41204866885308</v>
      </c>
      <c r="O340" s="5" t="n">
        <v>6.5</v>
      </c>
      <c r="P340" s="5" t="n">
        <v>1.08795133114692</v>
      </c>
      <c r="Q340" s="6" t="n">
        <v>0.0885715837988072</v>
      </c>
      <c r="R340" s="6" t="n">
        <v>0.699796018156376</v>
      </c>
      <c r="S340" s="6" t="n">
        <v>0.5965417867435159</v>
      </c>
      <c r="T340" s="2" t="inlineStr">
        <is>
          <t>Under</t>
        </is>
      </c>
      <c r="U340" s="4" t="n">
        <v>-180</v>
      </c>
      <c r="V340" s="2" t="n">
        <v>1.555555555555556</v>
      </c>
      <c r="W340" s="4" t="n">
        <v>-180</v>
      </c>
      <c r="X340" s="2" t="n">
        <v>1</v>
      </c>
      <c r="Y340" s="5" t="n">
        <v>0.5555555555555556</v>
      </c>
      <c r="Z340" s="7" t="n">
        <v>100</v>
      </c>
      <c r="AA340" s="7">
        <f>Y340*Z340</f>
        <v/>
      </c>
      <c r="AB340" s="6">
        <f>IF(Z340=0,0,AA340/Z340)</f>
        <v/>
      </c>
      <c r="AC340" s="6" t="n"/>
      <c r="AD340" s="2" t="inlineStr">
        <is>
          <t>Win</t>
        </is>
      </c>
      <c r="AE340" s="6">
        <f>IF((COUNTIF($AD$2:AD340,"Win")+COUNTIF($AD$2:AD340,"Loss"))=0,0,COUNTIF($AD$2:AD340,"Win")/(COUNTIF($AD$2:AD340,"Win")+COUNTIF($AD$2:AD340,"Loss")))</f>
        <v/>
      </c>
      <c r="AF340" s="6">
        <f>SUM($Y$2:Y340)/SUM($X$2:X340)</f>
        <v/>
      </c>
      <c r="AG340" s="5">
        <f>SUM($Y$2:Y340)</f>
        <v/>
      </c>
      <c r="AH340" s="7">
        <f>10000.0+SUM($AA$2:AA340)</f>
        <v/>
      </c>
      <c r="AI340" s="2" t="n">
        <v>2025</v>
      </c>
      <c r="AJ340" s="2" t="inlineStr">
        <is>
          <t>2025-09</t>
        </is>
      </c>
      <c r="AK340" s="2" t="inlineStr">
        <is>
          <t>&lt;= -150</t>
        </is>
      </c>
      <c r="AL340" s="2" t="inlineStr">
        <is>
          <t>2025 Validation</t>
        </is>
      </c>
      <c r="AM340" s="6" t="n">
        <v>0.1594288508378529</v>
      </c>
    </row>
    <row r="341">
      <c r="A341" s="2" t="inlineStr">
        <is>
          <t>KPROP-00340</t>
        </is>
      </c>
      <c r="B341" s="3" t="n">
        <v>45912.59768518519</v>
      </c>
      <c r="C341" s="3" t="n">
        <v>45912</v>
      </c>
      <c r="D341" s="2" t="inlineStr">
        <is>
          <t>Matthew Boyd</t>
        </is>
      </c>
      <c r="E341" s="2" t="n">
        <v>112</v>
      </c>
      <c r="F341" s="2" t="n">
        <v>139</v>
      </c>
      <c r="G341" s="2" t="inlineStr">
        <is>
          <t>Home</t>
        </is>
      </c>
      <c r="H341" s="2" t="inlineStr">
        <is>
          <t>betrivers</t>
        </is>
      </c>
      <c r="I341" s="4" t="n"/>
      <c r="J341" s="4" t="n"/>
      <c r="K341" s="4" t="n">
        <v>117</v>
      </c>
      <c r="L341" s="4" t="n">
        <v>117</v>
      </c>
      <c r="M341" s="5" t="n">
        <v>5.5</v>
      </c>
      <c r="N341" s="5" t="n">
        <v>4.92145952259736</v>
      </c>
      <c r="O341" s="5" t="n">
        <v>5.5</v>
      </c>
      <c r="P341" s="5" t="n">
        <v>0.5785404774026404</v>
      </c>
      <c r="Q341" s="6" t="n">
        <v>0.3665338256833367</v>
      </c>
      <c r="R341" s="6" t="n">
        <v>0.6297390901766529</v>
      </c>
      <c r="S341" s="6" t="n">
        <v>0.4618147609681005</v>
      </c>
      <c r="T341" s="2" t="inlineStr">
        <is>
          <t>Under</t>
        </is>
      </c>
      <c r="U341" s="4" t="n">
        <v>117</v>
      </c>
      <c r="V341" s="2" t="n">
        <v>2.17</v>
      </c>
      <c r="W341" s="4" t="n">
        <v>117</v>
      </c>
      <c r="X341" s="2" t="n">
        <v>1</v>
      </c>
      <c r="Y341" s="5" t="n">
        <v>1.17</v>
      </c>
      <c r="Z341" s="7" t="n">
        <v>100</v>
      </c>
      <c r="AA341" s="7">
        <f>Y341*Z341</f>
        <v/>
      </c>
      <c r="AB341" s="6">
        <f>IF(Z341=0,0,AA341/Z341)</f>
        <v/>
      </c>
      <c r="AC341" s="6" t="n"/>
      <c r="AD341" s="2" t="inlineStr">
        <is>
          <t>Win</t>
        </is>
      </c>
      <c r="AE341" s="6">
        <f>IF((COUNTIF($AD$2:AD341,"Win")+COUNTIF($AD$2:AD341,"Loss"))=0,0,COUNTIF($AD$2:AD341,"Win")/(COUNTIF($AD$2:AD341,"Win")+COUNTIF($AD$2:AD341,"Loss")))</f>
        <v/>
      </c>
      <c r="AF341" s="6">
        <f>SUM($Y$2:Y341)/SUM($X$2:X341)</f>
        <v/>
      </c>
      <c r="AG341" s="5">
        <f>SUM($Y$2:Y341)</f>
        <v/>
      </c>
      <c r="AH341" s="7">
        <f>10000.0+SUM($AA$2:AA341)</f>
        <v/>
      </c>
      <c r="AI341" s="2" t="n">
        <v>2025</v>
      </c>
      <c r="AJ341" s="2" t="inlineStr">
        <is>
          <t>2025-09</t>
        </is>
      </c>
      <c r="AK341" s="2" t="inlineStr">
        <is>
          <t>+100 to +120</t>
        </is>
      </c>
      <c r="AL341" s="2" t="inlineStr">
        <is>
          <t>2025 Validation</t>
        </is>
      </c>
      <c r="AM341" s="6" t="n">
        <v>0.313276774088322</v>
      </c>
    </row>
    <row r="342">
      <c r="A342" s="2" t="inlineStr">
        <is>
          <t>KPROP-00341</t>
        </is>
      </c>
      <c r="B342" s="3" t="n">
        <v>45912.59768518519</v>
      </c>
      <c r="C342" s="3" t="n">
        <v>45912</v>
      </c>
      <c r="D342" s="2" t="inlineStr">
        <is>
          <t>Matthew Boyd</t>
        </is>
      </c>
      <c r="E342" s="2" t="n">
        <v>112</v>
      </c>
      <c r="F342" s="2" t="n">
        <v>139</v>
      </c>
      <c r="G342" s="2" t="inlineStr">
        <is>
          <t>Home</t>
        </is>
      </c>
      <c r="H342" s="2" t="inlineStr">
        <is>
          <t>betrivers</t>
        </is>
      </c>
      <c r="I342" s="4" t="n"/>
      <c r="J342" s="4" t="n"/>
      <c r="K342" s="4" t="n">
        <v>-177</v>
      </c>
      <c r="L342" s="4" t="n">
        <v>-177</v>
      </c>
      <c r="M342" s="5" t="n">
        <v>6.5</v>
      </c>
      <c r="N342" s="5" t="n">
        <v>4.92145952259736</v>
      </c>
      <c r="O342" s="5" t="n">
        <v>6.5</v>
      </c>
      <c r="P342" s="5" t="n">
        <v>1.57854047740264</v>
      </c>
      <c r="Q342" s="6" t="n">
        <v>0.2106235255460882</v>
      </c>
      <c r="R342" s="6" t="n">
        <v>0.7735753213778253</v>
      </c>
      <c r="S342" s="6" t="n">
        <v>0.5929822499118372</v>
      </c>
      <c r="T342" s="2" t="inlineStr">
        <is>
          <t>Under</t>
        </is>
      </c>
      <c r="U342" s="4" t="n">
        <v>-177</v>
      </c>
      <c r="V342" s="2" t="n">
        <v>1.56497175141243</v>
      </c>
      <c r="W342" s="4" t="n">
        <v>-177</v>
      </c>
      <c r="X342" s="2" t="n">
        <v>1</v>
      </c>
      <c r="Y342" s="5" t="n">
        <v>0.5649717514124295</v>
      </c>
      <c r="Z342" s="7" t="n">
        <v>100</v>
      </c>
      <c r="AA342" s="7">
        <f>Y342*Z342</f>
        <v/>
      </c>
      <c r="AB342" s="6">
        <f>IF(Z342=0,0,AA342/Z342)</f>
        <v/>
      </c>
      <c r="AC342" s="6" t="n"/>
      <c r="AD342" s="2" t="inlineStr">
        <is>
          <t>Win</t>
        </is>
      </c>
      <c r="AE342" s="6">
        <f>IF((COUNTIF($AD$2:AD342,"Win")+COUNTIF($AD$2:AD342,"Loss"))=0,0,COUNTIF($AD$2:AD342,"Win")/(COUNTIF($AD$2:AD342,"Win")+COUNTIF($AD$2:AD342,"Loss")))</f>
        <v/>
      </c>
      <c r="AF342" s="6">
        <f>SUM($Y$2:Y342)/SUM($X$2:X342)</f>
        <v/>
      </c>
      <c r="AG342" s="5">
        <f>SUM($Y$2:Y342)</f>
        <v/>
      </c>
      <c r="AH342" s="7">
        <f>10000.0+SUM($AA$2:AA342)</f>
        <v/>
      </c>
      <c r="AI342" s="2" t="n">
        <v>2025</v>
      </c>
      <c r="AJ342" s="2" t="inlineStr">
        <is>
          <t>2025-09</t>
        </is>
      </c>
      <c r="AK342" s="2" t="inlineStr">
        <is>
          <t>&lt;= -150</t>
        </is>
      </c>
      <c r="AL342" s="2" t="inlineStr">
        <is>
          <t>2025 Validation</t>
        </is>
      </c>
      <c r="AM342" s="6" t="n">
        <v>0.372803640216576</v>
      </c>
    </row>
    <row r="343">
      <c r="A343" s="2" t="inlineStr">
        <is>
          <t>KPROP-00342</t>
        </is>
      </c>
      <c r="B343" s="3" t="n">
        <v>45912.79907407407</v>
      </c>
      <c r="C343" s="3" t="n">
        <v>45912</v>
      </c>
      <c r="D343" s="2" t="inlineStr">
        <is>
          <t>Tarik Skubal</t>
        </is>
      </c>
      <c r="E343" s="2" t="n">
        <v>116</v>
      </c>
      <c r="F343" s="2" t="n">
        <v>146</v>
      </c>
      <c r="G343" s="2" t="inlineStr">
        <is>
          <t>Away</t>
        </is>
      </c>
      <c r="H343" s="2" t="inlineStr">
        <is>
          <t>fanduel</t>
        </is>
      </c>
      <c r="I343" s="4" t="n"/>
      <c r="J343" s="4" t="n"/>
      <c r="K343" s="4" t="n">
        <v>-102</v>
      </c>
      <c r="L343" s="4" t="n">
        <v>-102</v>
      </c>
      <c r="M343" s="5" t="n">
        <v>7.5</v>
      </c>
      <c r="N343" s="5" t="n">
        <v>7.005866767435705</v>
      </c>
      <c r="O343" s="5" t="n">
        <v>7.5</v>
      </c>
      <c r="P343" s="5" t="n">
        <v>0.4941332325642946</v>
      </c>
      <c r="Q343" s="6" t="n">
        <v>0.1839569966653437</v>
      </c>
      <c r="R343" s="6" t="n">
        <v>0.5978396715834904</v>
      </c>
      <c r="S343" s="6" t="n">
        <v>0.4856067316209035</v>
      </c>
      <c r="T343" s="2" t="inlineStr">
        <is>
          <t>Under</t>
        </is>
      </c>
      <c r="U343" s="4" t="n">
        <v>-102</v>
      </c>
      <c r="V343" s="2" t="n">
        <v>1.980392156862745</v>
      </c>
      <c r="W343" s="4" t="n">
        <v>-102</v>
      </c>
      <c r="X343" s="2" t="n">
        <v>1</v>
      </c>
      <c r="Y343" s="5" t="n">
        <v>0.9803921568627452</v>
      </c>
      <c r="Z343" s="7" t="n">
        <v>100</v>
      </c>
      <c r="AA343" s="7">
        <f>Y343*Z343</f>
        <v/>
      </c>
      <c r="AB343" s="6">
        <f>IF(Z343=0,0,AA343/Z343)</f>
        <v/>
      </c>
      <c r="AC343" s="6" t="n"/>
      <c r="AD343" s="2" t="inlineStr">
        <is>
          <t>Win</t>
        </is>
      </c>
      <c r="AE343" s="6">
        <f>IF((COUNTIF($AD$2:AD343,"Win")+COUNTIF($AD$2:AD343,"Loss"))=0,0,COUNTIF($AD$2:AD343,"Win")/(COUNTIF($AD$2:AD343,"Win")+COUNTIF($AD$2:AD343,"Loss")))</f>
        <v/>
      </c>
      <c r="AF343" s="6">
        <f>SUM($Y$2:Y343)/SUM($X$2:X343)</f>
        <v/>
      </c>
      <c r="AG343" s="5">
        <f>SUM($Y$2:Y343)</f>
        <v/>
      </c>
      <c r="AH343" s="7">
        <f>10000.0+SUM($AA$2:AA343)</f>
        <v/>
      </c>
      <c r="AI343" s="2" t="n">
        <v>2025</v>
      </c>
      <c r="AJ343" s="2" t="inlineStr">
        <is>
          <t>2025-09</t>
        </is>
      </c>
      <c r="AK343" s="2" t="inlineStr">
        <is>
          <t>-119 to -101</t>
        </is>
      </c>
      <c r="AL343" s="2" t="inlineStr">
        <is>
          <t>2025 Validation</t>
        </is>
      </c>
      <c r="AM343" s="6" t="n">
        <v>0.1876361365986506</v>
      </c>
    </row>
    <row r="344">
      <c r="A344" s="2" t="inlineStr">
        <is>
          <t>KPROP-00343</t>
        </is>
      </c>
      <c r="B344" s="3" t="n">
        <v>45913.67060185185</v>
      </c>
      <c r="C344" s="3" t="n">
        <v>45913</v>
      </c>
      <c r="D344" s="2" t="inlineStr">
        <is>
          <t>Charlie Morton</t>
        </is>
      </c>
      <c r="E344" s="2" t="n">
        <v>116</v>
      </c>
      <c r="F344" s="2" t="n">
        <v>146</v>
      </c>
      <c r="G344" s="2" t="inlineStr">
        <is>
          <t>Away</t>
        </is>
      </c>
      <c r="H344" s="2" t="inlineStr">
        <is>
          <t>betmgm</t>
        </is>
      </c>
      <c r="I344" s="4" t="n"/>
      <c r="J344" s="4" t="n"/>
      <c r="K344" s="4" t="n">
        <v>-110</v>
      </c>
      <c r="L344" s="4" t="n">
        <v>-110</v>
      </c>
      <c r="M344" s="5" t="n">
        <v>5.5</v>
      </c>
      <c r="N344" s="5" t="n">
        <v>4.601822014513832</v>
      </c>
      <c r="O344" s="5" t="n">
        <v>5.5</v>
      </c>
      <c r="P344" s="5" t="n">
        <v>0.8981779854861678</v>
      </c>
      <c r="Q344" s="6" t="n">
        <v>0.3085770707936123</v>
      </c>
      <c r="R344" s="6" t="n">
        <v>0.6854451323204636</v>
      </c>
      <c r="S344" s="6" t="n">
        <v>0.5165745856353592</v>
      </c>
      <c r="T344" s="2" t="inlineStr">
        <is>
          <t>Under</t>
        </is>
      </c>
      <c r="U344" s="4" t="n">
        <v>-110</v>
      </c>
      <c r="V344" s="2" t="n">
        <v>1.909090909090909</v>
      </c>
      <c r="W344" s="4" t="n">
        <v>-110</v>
      </c>
      <c r="X344" s="2" t="n">
        <v>1</v>
      </c>
      <c r="Y344" s="5" t="n">
        <v>0.9090909090909092</v>
      </c>
      <c r="Z344" s="7" t="n">
        <v>100</v>
      </c>
      <c r="AA344" s="7">
        <f>Y344*Z344</f>
        <v/>
      </c>
      <c r="AB344" s="6">
        <f>IF(Z344=0,0,AA344/Z344)</f>
        <v/>
      </c>
      <c r="AC344" s="6" t="n"/>
      <c r="AD344" s="2" t="inlineStr">
        <is>
          <t>Win</t>
        </is>
      </c>
      <c r="AE344" s="6">
        <f>IF((COUNTIF($AD$2:AD344,"Win")+COUNTIF($AD$2:AD344,"Loss"))=0,0,COUNTIF($AD$2:AD344,"Win")/(COUNTIF($AD$2:AD344,"Win")+COUNTIF($AD$2:AD344,"Loss")))</f>
        <v/>
      </c>
      <c r="AF344" s="6">
        <f>SUM($Y$2:Y344)/SUM($X$2:X344)</f>
        <v/>
      </c>
      <c r="AG344" s="5">
        <f>SUM($Y$2:Y344)</f>
        <v/>
      </c>
      <c r="AH344" s="7">
        <f>10000.0+SUM($AA$2:AA344)</f>
        <v/>
      </c>
      <c r="AI344" s="2" t="n">
        <v>2025</v>
      </c>
      <c r="AJ344" s="2" t="inlineStr">
        <is>
          <t>2025-09</t>
        </is>
      </c>
      <c r="AK344" s="2" t="inlineStr">
        <is>
          <t>-119 to -101</t>
        </is>
      </c>
      <c r="AL344" s="2" t="inlineStr">
        <is>
          <t>2025 Validation</t>
        </is>
      </c>
      <c r="AM344" s="6" t="n">
        <v>0.3394347778729735</v>
      </c>
    </row>
    <row r="345">
      <c r="A345" s="2" t="inlineStr">
        <is>
          <t>KPROP-00344</t>
        </is>
      </c>
      <c r="B345" s="3" t="n">
        <v>45913.79559027778</v>
      </c>
      <c r="C345" s="3" t="n">
        <v>45913</v>
      </c>
      <c r="D345" s="2" t="inlineStr">
        <is>
          <t>Joe Ryan</t>
        </is>
      </c>
      <c r="E345" s="2" t="n">
        <v>142</v>
      </c>
      <c r="F345" s="2" t="n">
        <v>109</v>
      </c>
      <c r="G345" s="2" t="inlineStr">
        <is>
          <t>Home</t>
        </is>
      </c>
      <c r="H345" s="2" t="inlineStr">
        <is>
          <t>fanatics</t>
        </is>
      </c>
      <c r="I345" s="4" t="n"/>
      <c r="J345" s="4" t="n"/>
      <c r="K345" s="4" t="n">
        <v>120</v>
      </c>
      <c r="L345" s="4" t="n">
        <v>120</v>
      </c>
      <c r="M345" s="5" t="n">
        <v>5.5</v>
      </c>
      <c r="N345" s="5" t="n">
        <v>5.597005022747257</v>
      </c>
      <c r="O345" s="5" t="n">
        <v>5.5</v>
      </c>
      <c r="P345" s="5" t="n">
        <v>-0.09700502274725675</v>
      </c>
      <c r="Q345" s="6" t="n">
        <v>0.1272124603566053</v>
      </c>
      <c r="R345" s="6" t="n">
        <v>0.5123693001620933</v>
      </c>
      <c r="S345" s="6" t="n">
        <v>0.4357962697274032</v>
      </c>
      <c r="T345" s="2" t="inlineStr">
        <is>
          <t>Under</t>
        </is>
      </c>
      <c r="U345" s="4" t="n">
        <v>120</v>
      </c>
      <c r="V345" s="2" t="n">
        <v>2.2</v>
      </c>
      <c r="W345" s="4" t="n">
        <v>120</v>
      </c>
      <c r="X345" s="2" t="n">
        <v>1</v>
      </c>
      <c r="Y345" s="5" t="n">
        <v>1.2</v>
      </c>
      <c r="Z345" s="7" t="n">
        <v>100</v>
      </c>
      <c r="AA345" s="7">
        <f>Y345*Z345</f>
        <v/>
      </c>
      <c r="AB345" s="6">
        <f>IF(Z345=0,0,AA345/Z345)</f>
        <v/>
      </c>
      <c r="AC345" s="6" t="n"/>
      <c r="AD345" s="2" t="inlineStr">
        <is>
          <t>Win</t>
        </is>
      </c>
      <c r="AE345" s="6">
        <f>IF((COUNTIF($AD$2:AD345,"Win")+COUNTIF($AD$2:AD345,"Loss"))=0,0,COUNTIF($AD$2:AD345,"Win")/(COUNTIF($AD$2:AD345,"Win")+COUNTIF($AD$2:AD345,"Loss")))</f>
        <v/>
      </c>
      <c r="AF345" s="6">
        <f>SUM($Y$2:Y345)/SUM($X$2:X345)</f>
        <v/>
      </c>
      <c r="AG345" s="5">
        <f>SUM($Y$2:Y345)</f>
        <v/>
      </c>
      <c r="AH345" s="7">
        <f>10000.0+SUM($AA$2:AA345)</f>
        <v/>
      </c>
      <c r="AI345" s="2" t="n">
        <v>2025</v>
      </c>
      <c r="AJ345" s="2" t="inlineStr">
        <is>
          <t>2025-09</t>
        </is>
      </c>
      <c r="AK345" s="2" t="inlineStr">
        <is>
          <t>+100 to +120</t>
        </is>
      </c>
      <c r="AL345" s="2" t="inlineStr">
        <is>
          <t>2025 Validation</t>
        </is>
      </c>
      <c r="AM345" s="6" t="n">
        <v>0.1060103836305044</v>
      </c>
    </row>
    <row r="346">
      <c r="A346" s="2" t="inlineStr">
        <is>
          <t>KPROP-00345</t>
        </is>
      </c>
      <c r="B346" s="3" t="n">
        <v>45913.79559027778</v>
      </c>
      <c r="C346" s="3" t="n">
        <v>45913</v>
      </c>
      <c r="D346" s="2" t="inlineStr">
        <is>
          <t>Joe Ryan</t>
        </is>
      </c>
      <c r="E346" s="2" t="n">
        <v>142</v>
      </c>
      <c r="F346" s="2" t="n">
        <v>109</v>
      </c>
      <c r="G346" s="2" t="inlineStr">
        <is>
          <t>Home</t>
        </is>
      </c>
      <c r="H346" s="2" t="inlineStr">
        <is>
          <t>betmgm</t>
        </is>
      </c>
      <c r="I346" s="4" t="n"/>
      <c r="J346" s="4" t="n"/>
      <c r="K346" s="4" t="n">
        <v>-160</v>
      </c>
      <c r="L346" s="4" t="n">
        <v>-160</v>
      </c>
      <c r="M346" s="5" t="n">
        <v>6.5</v>
      </c>
      <c r="N346" s="5" t="n">
        <v>5.597005022747257</v>
      </c>
      <c r="O346" s="5" t="n">
        <v>6.5</v>
      </c>
      <c r="P346" s="5" t="n">
        <v>0.9029949772527432</v>
      </c>
      <c r="Q346" s="6" t="n">
        <v>0.08993973089736634</v>
      </c>
      <c r="R346" s="6" t="n">
        <v>0.670732142090687</v>
      </c>
      <c r="S346" s="6" t="n">
        <v>0.5942571785268415</v>
      </c>
      <c r="T346" s="2" t="inlineStr">
        <is>
          <t>Under</t>
        </is>
      </c>
      <c r="U346" s="4" t="n">
        <v>-160</v>
      </c>
      <c r="V346" s="2" t="n">
        <v>1.625</v>
      </c>
      <c r="W346" s="4" t="n">
        <v>-160</v>
      </c>
      <c r="X346" s="2" t="n">
        <v>1</v>
      </c>
      <c r="Y346" s="5" t="n">
        <v>0.625</v>
      </c>
      <c r="Z346" s="7" t="n">
        <v>100</v>
      </c>
      <c r="AA346" s="7">
        <f>Y346*Z346</f>
        <v/>
      </c>
      <c r="AB346" s="6">
        <f>IF(Z346=0,0,AA346/Z346)</f>
        <v/>
      </c>
      <c r="AC346" s="6" t="n"/>
      <c r="AD346" s="2" t="inlineStr">
        <is>
          <t>Win</t>
        </is>
      </c>
      <c r="AE346" s="6">
        <f>IF((COUNTIF($AD$2:AD346,"Win")+COUNTIF($AD$2:AD346,"Loss"))=0,0,COUNTIF($AD$2:AD346,"Win")/(COUNTIF($AD$2:AD346,"Win")+COUNTIF($AD$2:AD346,"Loss")))</f>
        <v/>
      </c>
      <c r="AF346" s="6">
        <f>SUM($Y$2:Y346)/SUM($X$2:X346)</f>
        <v/>
      </c>
      <c r="AG346" s="5">
        <f>SUM($Y$2:Y346)</f>
        <v/>
      </c>
      <c r="AH346" s="7">
        <f>10000.0+SUM($AA$2:AA346)</f>
        <v/>
      </c>
      <c r="AI346" s="2" t="n">
        <v>2025</v>
      </c>
      <c r="AJ346" s="2" t="inlineStr">
        <is>
          <t>2025-09</t>
        </is>
      </c>
      <c r="AK346" s="2" t="inlineStr">
        <is>
          <t>&lt;= -150</t>
        </is>
      </c>
      <c r="AL346" s="2" t="inlineStr">
        <is>
          <t>2025 Validation</t>
        </is>
      </c>
      <c r="AM346" s="6" t="n">
        <v>0.1439035694357861</v>
      </c>
    </row>
    <row r="347">
      <c r="A347" s="2" t="inlineStr">
        <is>
          <t>KPROP-00346</t>
        </is>
      </c>
      <c r="B347" s="3" t="n">
        <v>45913.62892361111</v>
      </c>
      <c r="C347" s="3" t="n">
        <v>45913</v>
      </c>
      <c r="D347" s="2" t="inlineStr">
        <is>
          <t>Max Scherzer</t>
        </is>
      </c>
      <c r="E347" s="2" t="n">
        <v>141</v>
      </c>
      <c r="F347" s="2" t="n">
        <v>110</v>
      </c>
      <c r="G347" s="2" t="inlineStr">
        <is>
          <t>Home</t>
        </is>
      </c>
      <c r="H347" s="2" t="inlineStr">
        <is>
          <t>draftkings</t>
        </is>
      </c>
      <c r="I347" s="4" t="n"/>
      <c r="J347" s="4" t="n"/>
      <c r="K347" s="4" t="n">
        <v>-119</v>
      </c>
      <c r="L347" s="4" t="n">
        <v>-119</v>
      </c>
      <c r="M347" s="5" t="n">
        <v>6.5</v>
      </c>
      <c r="N347" s="5" t="n">
        <v>5.940952092930517</v>
      </c>
      <c r="O347" s="5" t="n">
        <v>6.5</v>
      </c>
      <c r="P347" s="5" t="n">
        <v>0.5590479070694832</v>
      </c>
      <c r="Q347" s="6" t="n">
        <v>0.1332538151871133</v>
      </c>
      <c r="R347" s="6" t="n">
        <v>0.6157863196678834</v>
      </c>
      <c r="S347" s="6" t="n">
        <v>0.5329494561740244</v>
      </c>
      <c r="T347" s="2" t="inlineStr">
        <is>
          <t>Under</t>
        </is>
      </c>
      <c r="U347" s="4" t="n">
        <v>-119</v>
      </c>
      <c r="V347" s="2" t="n">
        <v>1.840336134453782</v>
      </c>
      <c r="W347" s="4" t="n">
        <v>-119</v>
      </c>
      <c r="X347" s="2" t="n">
        <v>1</v>
      </c>
      <c r="Y347" s="5" t="n">
        <v>0.8403361344537816</v>
      </c>
      <c r="Z347" s="7" t="n">
        <v>100</v>
      </c>
      <c r="AA347" s="7">
        <f>Y347*Z347</f>
        <v/>
      </c>
      <c r="AB347" s="6">
        <f>IF(Z347=0,0,AA347/Z347)</f>
        <v/>
      </c>
      <c r="AC347" s="6" t="n"/>
      <c r="AD347" s="2" t="inlineStr">
        <is>
          <t>Win</t>
        </is>
      </c>
      <c r="AE347" s="6">
        <f>IF((COUNTIF($AD$2:AD347,"Win")+COUNTIF($AD$2:AD347,"Loss"))=0,0,COUNTIF($AD$2:AD347,"Win")/(COUNTIF($AD$2:AD347,"Win")+COUNTIF($AD$2:AD347,"Loss")))</f>
        <v/>
      </c>
      <c r="AF347" s="6">
        <f>SUM($Y$2:Y347)/SUM($X$2:X347)</f>
        <v/>
      </c>
      <c r="AG347" s="5">
        <f>SUM($Y$2:Y347)</f>
        <v/>
      </c>
      <c r="AH347" s="7">
        <f>10000.0+SUM($AA$2:AA347)</f>
        <v/>
      </c>
      <c r="AI347" s="2" t="n">
        <v>2025</v>
      </c>
      <c r="AJ347" s="2" t="inlineStr">
        <is>
          <t>2025-09</t>
        </is>
      </c>
      <c r="AK347" s="2" t="inlineStr">
        <is>
          <t>-119 to -101</t>
        </is>
      </c>
      <c r="AL347" s="2" t="inlineStr">
        <is>
          <t>2025 Validation</t>
        </is>
      </c>
      <c r="AM347" s="6" t="n">
        <v>0.1585720400726648</v>
      </c>
    </row>
    <row r="348">
      <c r="A348" s="2" t="inlineStr">
        <is>
          <t>KPROP-00347</t>
        </is>
      </c>
      <c r="B348" s="3" t="n">
        <v>45913.75392361111</v>
      </c>
      <c r="C348" s="3" t="n">
        <v>45913</v>
      </c>
      <c r="D348" s="2" t="inlineStr">
        <is>
          <t>Parker Messick</t>
        </is>
      </c>
      <c r="E348" s="2" t="n">
        <v>114</v>
      </c>
      <c r="F348" s="2" t="n">
        <v>145</v>
      </c>
      <c r="G348" s="2" t="inlineStr">
        <is>
          <t>Home</t>
        </is>
      </c>
      <c r="H348" s="2" t="inlineStr">
        <is>
          <t>draftkings</t>
        </is>
      </c>
      <c r="I348" s="4" t="n"/>
      <c r="J348" s="4" t="n"/>
      <c r="K348" s="4" t="n">
        <v>115</v>
      </c>
      <c r="L348" s="4" t="n">
        <v>115</v>
      </c>
      <c r="M348" s="5" t="n">
        <v>4.5</v>
      </c>
      <c r="N348" s="5" t="n">
        <v>4.524831043807943</v>
      </c>
      <c r="O348" s="5" t="n">
        <v>4.5</v>
      </c>
      <c r="P348" s="5" t="n">
        <v>-0.02483104380794288</v>
      </c>
      <c r="Q348" s="6" t="n">
        <v>0.1339036489654973</v>
      </c>
      <c r="R348" s="6" t="n">
        <v>0.5273970460304639</v>
      </c>
      <c r="S348" s="6" t="n">
        <v>0.44362292051756</v>
      </c>
      <c r="T348" s="2" t="inlineStr">
        <is>
          <t>Under</t>
        </is>
      </c>
      <c r="U348" s="4" t="n">
        <v>115</v>
      </c>
      <c r="V348" s="2" t="n">
        <v>2.15</v>
      </c>
      <c r="W348" s="4" t="n">
        <v>115</v>
      </c>
      <c r="X348" s="2" t="n">
        <v>1</v>
      </c>
      <c r="Y348" s="5" t="n">
        <v>1.15</v>
      </c>
      <c r="Z348" s="7" t="n">
        <v>100</v>
      </c>
      <c r="AA348" s="7">
        <f>Y348*Z348</f>
        <v/>
      </c>
      <c r="AB348" s="6">
        <f>IF(Z348=0,0,AA348/Z348)</f>
        <v/>
      </c>
      <c r="AC348" s="6" t="n"/>
      <c r="AD348" s="2" t="inlineStr">
        <is>
          <t>Win</t>
        </is>
      </c>
      <c r="AE348" s="6">
        <f>IF((COUNTIF($AD$2:AD348,"Win")+COUNTIF($AD$2:AD348,"Loss"))=0,0,COUNTIF($AD$2:AD348,"Win")/(COUNTIF($AD$2:AD348,"Win")+COUNTIF($AD$2:AD348,"Loss")))</f>
        <v/>
      </c>
      <c r="AF348" s="6">
        <f>SUM($Y$2:Y348)/SUM($X$2:X348)</f>
        <v/>
      </c>
      <c r="AG348" s="5">
        <f>SUM($Y$2:Y348)</f>
        <v/>
      </c>
      <c r="AH348" s="7">
        <f>10000.0+SUM($AA$2:AA348)</f>
        <v/>
      </c>
      <c r="AI348" s="2" t="n">
        <v>2025</v>
      </c>
      <c r="AJ348" s="2" t="inlineStr">
        <is>
          <t>2025-09</t>
        </is>
      </c>
      <c r="AK348" s="2" t="inlineStr">
        <is>
          <t>+100 to +120</t>
        </is>
      </c>
      <c r="AL348" s="2" t="inlineStr">
        <is>
          <t>2025 Validation</t>
        </is>
      </c>
      <c r="AM348" s="6" t="n">
        <v>0.1164379556221716</v>
      </c>
    </row>
    <row r="349">
      <c r="A349" s="2" t="inlineStr">
        <is>
          <t>KPROP-00348</t>
        </is>
      </c>
      <c r="B349" s="3" t="n">
        <v>45914.56295138889</v>
      </c>
      <c r="C349" s="3" t="n">
        <v>45914</v>
      </c>
      <c r="D349" s="2" t="inlineStr">
        <is>
          <t>Aaron Nola</t>
        </is>
      </c>
      <c r="E349" s="2" t="n">
        <v>143</v>
      </c>
      <c r="F349" s="2" t="n">
        <v>118</v>
      </c>
      <c r="G349" s="2" t="inlineStr">
        <is>
          <t>Home</t>
        </is>
      </c>
      <c r="H349" s="2" t="inlineStr">
        <is>
          <t>betonlineag</t>
        </is>
      </c>
      <c r="I349" s="4" t="n"/>
      <c r="J349" s="4" t="n"/>
      <c r="K349" s="4" t="n">
        <v>139</v>
      </c>
      <c r="L349" s="4" t="n">
        <v>139</v>
      </c>
      <c r="M349" s="5" t="n">
        <v>4.5</v>
      </c>
      <c r="N349" s="5" t="n">
        <v>4.735736165426</v>
      </c>
      <c r="O349" s="5" t="n">
        <v>4.5</v>
      </c>
      <c r="P349" s="5" t="n">
        <v>-0.2357361654260002</v>
      </c>
      <c r="Q349" s="6" t="n">
        <v>0.1663632023396818</v>
      </c>
      <c r="R349" s="6" t="n">
        <v>0.488018076292754</v>
      </c>
      <c r="S349" s="6" t="n">
        <v>0.3933164104995955</v>
      </c>
      <c r="T349" s="2" t="inlineStr">
        <is>
          <t>Under</t>
        </is>
      </c>
      <c r="U349" s="4" t="n">
        <v>139</v>
      </c>
      <c r="V349" s="2" t="n">
        <v>2.39</v>
      </c>
      <c r="W349" s="4" t="n">
        <v>139</v>
      </c>
      <c r="X349" s="2" t="n">
        <v>1</v>
      </c>
      <c r="Y349" s="5" t="n">
        <v>-1</v>
      </c>
      <c r="Z349" s="7" t="n">
        <v>100</v>
      </c>
      <c r="AA349" s="7">
        <f>Y349*Z349</f>
        <v/>
      </c>
      <c r="AB349" s="6">
        <f>IF(Z349=0,0,AA349/Z349)</f>
        <v/>
      </c>
      <c r="AC349" s="6" t="n"/>
      <c r="AD349" s="2" t="inlineStr">
        <is>
          <t>Loss</t>
        </is>
      </c>
      <c r="AE349" s="6">
        <f>IF((COUNTIF($AD$2:AD349,"Win")+COUNTIF($AD$2:AD349,"Loss"))=0,0,COUNTIF($AD$2:AD349,"Win")/(COUNTIF($AD$2:AD349,"Win")+COUNTIF($AD$2:AD349,"Loss")))</f>
        <v/>
      </c>
      <c r="AF349" s="6">
        <f>SUM($Y$2:Y349)/SUM($X$2:X349)</f>
        <v/>
      </c>
      <c r="AG349" s="5">
        <f>SUM($Y$2:Y349)</f>
        <v/>
      </c>
      <c r="AH349" s="7">
        <f>10000.0+SUM($AA$2:AA349)</f>
        <v/>
      </c>
      <c r="AI349" s="2" t="n">
        <v>2025</v>
      </c>
      <c r="AJ349" s="2" t="inlineStr">
        <is>
          <t>2025-09</t>
        </is>
      </c>
      <c r="AK349" s="2" t="inlineStr">
        <is>
          <t>+121 to +150</t>
        </is>
      </c>
      <c r="AL349" s="2" t="inlineStr">
        <is>
          <t>2025 Validation</t>
        </is>
      </c>
      <c r="AM349" s="6" t="n">
        <v>0.1196857570789078</v>
      </c>
    </row>
    <row r="350">
      <c r="A350" s="2" t="inlineStr">
        <is>
          <t>KPROP-00349</t>
        </is>
      </c>
      <c r="B350" s="3" t="n">
        <v>45914.56295138889</v>
      </c>
      <c r="C350" s="3" t="n">
        <v>45914</v>
      </c>
      <c r="D350" s="2" t="inlineStr">
        <is>
          <t>Aaron Nola</t>
        </is>
      </c>
      <c r="E350" s="2" t="n">
        <v>143</v>
      </c>
      <c r="F350" s="2" t="n">
        <v>118</v>
      </c>
      <c r="G350" s="2" t="inlineStr">
        <is>
          <t>Home</t>
        </is>
      </c>
      <c r="H350" s="2" t="inlineStr">
        <is>
          <t>draftkings</t>
        </is>
      </c>
      <c r="I350" s="4" t="n"/>
      <c r="J350" s="4" t="n"/>
      <c r="K350" s="4" t="n">
        <v>-146</v>
      </c>
      <c r="L350" s="4" t="n">
        <v>-146</v>
      </c>
      <c r="M350" s="5" t="n">
        <v>5.5</v>
      </c>
      <c r="N350" s="5" t="n">
        <v>4.735736165426</v>
      </c>
      <c r="O350" s="5" t="n">
        <v>5.5</v>
      </c>
      <c r="P350" s="5" t="n">
        <v>0.7642638345739998</v>
      </c>
      <c r="Q350" s="6" t="n">
        <v>0.1157948146915326</v>
      </c>
      <c r="R350" s="6" t="n">
        <v>0.6622196867681454</v>
      </c>
      <c r="S350" s="6" t="n">
        <v>0.5606358278263976</v>
      </c>
      <c r="T350" s="2" t="inlineStr">
        <is>
          <t>Under</t>
        </is>
      </c>
      <c r="U350" s="4" t="n">
        <v>-146</v>
      </c>
      <c r="V350" s="2" t="n">
        <v>1.684931506849315</v>
      </c>
      <c r="W350" s="4" t="n">
        <v>-146</v>
      </c>
      <c r="X350" s="2" t="n">
        <v>1</v>
      </c>
      <c r="Y350" s="5" t="n">
        <v>0.6849315068493151</v>
      </c>
      <c r="Z350" s="7" t="n">
        <v>100</v>
      </c>
      <c r="AA350" s="7">
        <f>Y350*Z350</f>
        <v/>
      </c>
      <c r="AB350" s="6">
        <f>IF(Z350=0,0,AA350/Z350)</f>
        <v/>
      </c>
      <c r="AC350" s="6" t="n"/>
      <c r="AD350" s="2" t="inlineStr">
        <is>
          <t>Win</t>
        </is>
      </c>
      <c r="AE350" s="6">
        <f>IF((COUNTIF($AD$2:AD350,"Win")+COUNTIF($AD$2:AD350,"Loss"))=0,0,COUNTIF($AD$2:AD350,"Win")/(COUNTIF($AD$2:AD350,"Win")+COUNTIF($AD$2:AD350,"Loss")))</f>
        <v/>
      </c>
      <c r="AF350" s="6">
        <f>SUM($Y$2:Y350)/SUM($X$2:X350)</f>
        <v/>
      </c>
      <c r="AG350" s="5">
        <f>SUM($Y$2:Y350)</f>
        <v/>
      </c>
      <c r="AH350" s="7">
        <f>10000.0+SUM($AA$2:AA350)</f>
        <v/>
      </c>
      <c r="AI350" s="2" t="n">
        <v>2025</v>
      </c>
      <c r="AJ350" s="2" t="inlineStr">
        <is>
          <t>2025-09</t>
        </is>
      </c>
      <c r="AK350" s="2" t="inlineStr">
        <is>
          <t>-149 to -120</t>
        </is>
      </c>
      <c r="AL350" s="2" t="inlineStr">
        <is>
          <t>2025 Validation</t>
        </is>
      </c>
      <c r="AM350" s="6" t="n">
        <v>0.1690604294496376</v>
      </c>
    </row>
    <row r="351">
      <c r="A351" s="2" t="inlineStr">
        <is>
          <t>KPROP-00350</t>
        </is>
      </c>
      <c r="B351" s="3" t="n">
        <v>45914.58724537037</v>
      </c>
      <c r="C351" s="3" t="n">
        <v>45914</v>
      </c>
      <c r="D351" s="2" t="inlineStr">
        <is>
          <t>Bailey Ober</t>
        </is>
      </c>
      <c r="E351" s="2" t="n">
        <v>142</v>
      </c>
      <c r="F351" s="2" t="n">
        <v>109</v>
      </c>
      <c r="G351" s="2" t="inlineStr">
        <is>
          <t>Home</t>
        </is>
      </c>
      <c r="H351" s="2" t="inlineStr">
        <is>
          <t>draftkings</t>
        </is>
      </c>
      <c r="I351" s="4" t="n"/>
      <c r="J351" s="4" t="n"/>
      <c r="K351" s="4" t="n">
        <v>100</v>
      </c>
      <c r="L351" s="4" t="n">
        <v>100</v>
      </c>
      <c r="M351" s="5" t="n">
        <v>4.5</v>
      </c>
      <c r="N351" s="5" t="n">
        <v>4.222030911378727</v>
      </c>
      <c r="O351" s="5" t="n">
        <v>4.5</v>
      </c>
      <c r="P351" s="5" t="n">
        <v>0.2779690886212727</v>
      </c>
      <c r="Q351" s="6" t="n">
        <v>0.1710920307753238</v>
      </c>
      <c r="R351" s="6" t="n">
        <v>0.5855460153876619</v>
      </c>
      <c r="S351" s="6" t="n">
        <v>0.4801762114537445</v>
      </c>
      <c r="T351" s="2" t="inlineStr">
        <is>
          <t>Under</t>
        </is>
      </c>
      <c r="U351" s="4" t="n">
        <v>100</v>
      </c>
      <c r="V351" s="2" t="n">
        <v>2</v>
      </c>
      <c r="W351" s="4" t="n">
        <v>100</v>
      </c>
      <c r="X351" s="2" t="n">
        <v>1</v>
      </c>
      <c r="Y351" s="5" t="n">
        <v>-1</v>
      </c>
      <c r="Z351" s="7" t="n">
        <v>100</v>
      </c>
      <c r="AA351" s="7">
        <f>Y351*Z351</f>
        <v/>
      </c>
      <c r="AB351" s="6">
        <f>IF(Z351=0,0,AA351/Z351)</f>
        <v/>
      </c>
      <c r="AC351" s="6" t="n"/>
      <c r="AD351" s="2" t="inlineStr">
        <is>
          <t>Loss</t>
        </is>
      </c>
      <c r="AE351" s="6">
        <f>IF((COUNTIF($AD$2:AD351,"Win")+COUNTIF($AD$2:AD351,"Loss"))=0,0,COUNTIF($AD$2:AD351,"Win")/(COUNTIF($AD$2:AD351,"Win")+COUNTIF($AD$2:AD351,"Loss")))</f>
        <v/>
      </c>
      <c r="AF351" s="6">
        <f>SUM($Y$2:Y351)/SUM($X$2:X351)</f>
        <v/>
      </c>
      <c r="AG351" s="5">
        <f>SUM($Y$2:Y351)</f>
        <v/>
      </c>
      <c r="AH351" s="7">
        <f>10000.0+SUM($AA$2:AA351)</f>
        <v/>
      </c>
      <c r="AI351" s="2" t="n">
        <v>2025</v>
      </c>
      <c r="AJ351" s="2" t="inlineStr">
        <is>
          <t>2025-09</t>
        </is>
      </c>
      <c r="AK351" s="2" t="inlineStr">
        <is>
          <t>+100 to +120</t>
        </is>
      </c>
      <c r="AL351" s="2" t="inlineStr">
        <is>
          <t>2025 Validation</t>
        </is>
      </c>
      <c r="AM351" s="6" t="n">
        <v>0.1710920307753239</v>
      </c>
    </row>
    <row r="352">
      <c r="A352" s="2" t="inlineStr">
        <is>
          <t>KPROP-00351</t>
        </is>
      </c>
      <c r="B352" s="3" t="n">
        <v>45914.79557870371</v>
      </c>
      <c r="C352" s="3" t="n">
        <v>45914</v>
      </c>
      <c r="D352" s="2" t="inlineStr">
        <is>
          <t>Garrett Crochet</t>
        </is>
      </c>
      <c r="E352" s="2" t="n">
        <v>111</v>
      </c>
      <c r="F352" s="2" t="n">
        <v>147</v>
      </c>
      <c r="G352" s="2" t="inlineStr">
        <is>
          <t>Home</t>
        </is>
      </c>
      <c r="H352" s="2" t="inlineStr">
        <is>
          <t>bovada</t>
        </is>
      </c>
      <c r="I352" s="4" t="n"/>
      <c r="J352" s="4" t="n"/>
      <c r="K352" s="4" t="n">
        <v>120</v>
      </c>
      <c r="L352" s="4" t="n">
        <v>120</v>
      </c>
      <c r="M352" s="5" t="n">
        <v>7.5</v>
      </c>
      <c r="N352" s="5" t="n">
        <v>7.332461641213615</v>
      </c>
      <c r="O352" s="5" t="n">
        <v>7.5</v>
      </c>
      <c r="P352" s="5" t="n">
        <v>0.167538358786385</v>
      </c>
      <c r="Q352" s="6" t="n">
        <v>0.2084670212302395</v>
      </c>
      <c r="R352" s="6" t="n">
        <v>0.5493031914682907</v>
      </c>
      <c r="S352" s="6" t="n">
        <v>0.4323570432357043</v>
      </c>
      <c r="T352" s="2" t="inlineStr">
        <is>
          <t>Under</t>
        </is>
      </c>
      <c r="U352" s="4" t="n">
        <v>120</v>
      </c>
      <c r="V352" s="2" t="n">
        <v>2.2</v>
      </c>
      <c r="W352" s="4" t="n">
        <v>120</v>
      </c>
      <c r="X352" s="2" t="n">
        <v>1</v>
      </c>
      <c r="Y352" s="5" t="n">
        <v>-1</v>
      </c>
      <c r="Z352" s="7" t="n">
        <v>100</v>
      </c>
      <c r="AA352" s="7">
        <f>Y352*Z352</f>
        <v/>
      </c>
      <c r="AB352" s="6">
        <f>IF(Z352=0,0,AA352/Z352)</f>
        <v/>
      </c>
      <c r="AC352" s="6" t="n"/>
      <c r="AD352" s="2" t="inlineStr">
        <is>
          <t>Loss</t>
        </is>
      </c>
      <c r="AE352" s="6">
        <f>IF((COUNTIF($AD$2:AD352,"Win")+COUNTIF($AD$2:AD352,"Loss"))=0,0,COUNTIF($AD$2:AD352,"Win")/(COUNTIF($AD$2:AD352,"Win")+COUNTIF($AD$2:AD352,"Loss")))</f>
        <v/>
      </c>
      <c r="AF352" s="6">
        <f>SUM($Y$2:Y352)/SUM($X$2:X352)</f>
        <v/>
      </c>
      <c r="AG352" s="5">
        <f>SUM($Y$2:Y352)</f>
        <v/>
      </c>
      <c r="AH352" s="7">
        <f>10000.0+SUM($AA$2:AA352)</f>
        <v/>
      </c>
      <c r="AI352" s="2" t="n">
        <v>2025</v>
      </c>
      <c r="AJ352" s="2" t="inlineStr">
        <is>
          <t>2025-09</t>
        </is>
      </c>
      <c r="AK352" s="2" t="inlineStr">
        <is>
          <t>+100 to +120</t>
        </is>
      </c>
      <c r="AL352" s="2" t="inlineStr">
        <is>
          <t>2025 Validation</t>
        </is>
      </c>
      <c r="AM352" s="6" t="n">
        <v>0.1737225176918663</v>
      </c>
    </row>
    <row r="353">
      <c r="A353" s="2" t="inlineStr">
        <is>
          <t>KPROP-00352</t>
        </is>
      </c>
      <c r="B353" s="3" t="n">
        <v>45914.79557870371</v>
      </c>
      <c r="C353" s="3" t="n">
        <v>45914</v>
      </c>
      <c r="D353" s="2" t="inlineStr">
        <is>
          <t>Garrett Crochet</t>
        </is>
      </c>
      <c r="E353" s="2" t="n">
        <v>111</v>
      </c>
      <c r="F353" s="2" t="n">
        <v>147</v>
      </c>
      <c r="G353" s="2" t="inlineStr">
        <is>
          <t>Home</t>
        </is>
      </c>
      <c r="H353" s="2" t="inlineStr">
        <is>
          <t>draftkings</t>
        </is>
      </c>
      <c r="I353" s="4" t="n"/>
      <c r="J353" s="4" t="n"/>
      <c r="K353" s="4" t="n">
        <v>-142</v>
      </c>
      <c r="L353" s="4" t="n">
        <v>-142</v>
      </c>
      <c r="M353" s="5" t="n">
        <v>8.5</v>
      </c>
      <c r="N353" s="5" t="n">
        <v>7.332461641213615</v>
      </c>
      <c r="O353" s="5" t="n">
        <v>8.5</v>
      </c>
      <c r="P353" s="5" t="n">
        <v>1.167538358786385</v>
      </c>
      <c r="Q353" s="6" t="n">
        <v>0.1671073247026518</v>
      </c>
      <c r="R353" s="6" t="n">
        <v>0.6848315706932916</v>
      </c>
      <c r="S353" s="6" t="n">
        <v>0.5722567873303167</v>
      </c>
      <c r="T353" s="2" t="inlineStr">
        <is>
          <t>Under</t>
        </is>
      </c>
      <c r="U353" s="4" t="n">
        <v>-142</v>
      </c>
      <c r="V353" s="2" t="n">
        <v>1.704225352112676</v>
      </c>
      <c r="W353" s="4" t="n">
        <v>-142</v>
      </c>
      <c r="X353" s="2" t="n">
        <v>1</v>
      </c>
      <c r="Y353" s="5" t="n">
        <v>-1</v>
      </c>
      <c r="Z353" s="7" t="n">
        <v>100</v>
      </c>
      <c r="AA353" s="7">
        <f>Y353*Z353</f>
        <v/>
      </c>
      <c r="AB353" s="6">
        <f>IF(Z353=0,0,AA353/Z353)</f>
        <v/>
      </c>
      <c r="AC353" s="6" t="n"/>
      <c r="AD353" s="2" t="inlineStr">
        <is>
          <t>Loss</t>
        </is>
      </c>
      <c r="AE353" s="6">
        <f>IF((COUNTIF($AD$2:AD353,"Win")+COUNTIF($AD$2:AD353,"Loss"))=0,0,COUNTIF($AD$2:AD353,"Win")/(COUNTIF($AD$2:AD353,"Win")+COUNTIF($AD$2:AD353,"Loss")))</f>
        <v/>
      </c>
      <c r="AF353" s="6">
        <f>SUM($Y$2:Y353)/SUM($X$2:X353)</f>
        <v/>
      </c>
      <c r="AG353" s="5">
        <f>SUM($Y$2:Y353)</f>
        <v/>
      </c>
      <c r="AH353" s="7">
        <f>10000.0+SUM($AA$2:AA353)</f>
        <v/>
      </c>
      <c r="AI353" s="2" t="n">
        <v>2025</v>
      </c>
      <c r="AJ353" s="2" t="inlineStr">
        <is>
          <t>2025-09</t>
        </is>
      </c>
      <c r="AK353" s="2" t="inlineStr">
        <is>
          <t>-149 to -120</t>
        </is>
      </c>
      <c r="AL353" s="2" t="inlineStr">
        <is>
          <t>2025 Validation</t>
        </is>
      </c>
      <c r="AM353" s="6" t="n">
        <v>0.2372924010777656</v>
      </c>
    </row>
    <row r="354">
      <c r="A354" s="2" t="inlineStr">
        <is>
          <t>KPROP-00353</t>
        </is>
      </c>
      <c r="B354" s="3" t="n">
        <v>45914.67057870371</v>
      </c>
      <c r="C354" s="3" t="n">
        <v>45914</v>
      </c>
      <c r="D354" s="2" t="inlineStr">
        <is>
          <t>George Kirby</t>
        </is>
      </c>
      <c r="E354" s="2" t="n">
        <v>136</v>
      </c>
      <c r="F354" s="2" t="n">
        <v>108</v>
      </c>
      <c r="G354" s="2" t="inlineStr">
        <is>
          <t>Home</t>
        </is>
      </c>
      <c r="H354" s="2" t="inlineStr">
        <is>
          <t>betrivers</t>
        </is>
      </c>
      <c r="I354" s="4" t="n"/>
      <c r="J354" s="4" t="n"/>
      <c r="K354" s="4" t="n">
        <v>133</v>
      </c>
      <c r="L354" s="4" t="n">
        <v>133</v>
      </c>
      <c r="M354" s="5" t="n">
        <v>6.5</v>
      </c>
      <c r="N354" s="5" t="n">
        <v>6.747751627484196</v>
      </c>
      <c r="O354" s="5" t="n">
        <v>6.5</v>
      </c>
      <c r="P354" s="5" t="n">
        <v>-0.2477516274841962</v>
      </c>
      <c r="Q354" s="6" t="n">
        <v>0.1368796329257771</v>
      </c>
      <c r="R354" s="6" t="n">
        <v>0.487931172929518</v>
      </c>
      <c r="S354" s="6" t="n">
        <v>0.4203482885819679</v>
      </c>
      <c r="T354" s="2" t="inlineStr">
        <is>
          <t>Under</t>
        </is>
      </c>
      <c r="U354" s="4" t="n">
        <v>133</v>
      </c>
      <c r="V354" s="2" t="n">
        <v>2.33</v>
      </c>
      <c r="W354" s="4" t="n">
        <v>133</v>
      </c>
      <c r="X354" s="2" t="n">
        <v>1</v>
      </c>
      <c r="Y354" s="5" t="n">
        <v>-1</v>
      </c>
      <c r="Z354" s="7" t="n">
        <v>100</v>
      </c>
      <c r="AA354" s="7">
        <f>Y354*Z354</f>
        <v/>
      </c>
      <c r="AB354" s="6">
        <f>IF(Z354=0,0,AA354/Z354)</f>
        <v/>
      </c>
      <c r="AC354" s="6" t="n"/>
      <c r="AD354" s="2" t="inlineStr">
        <is>
          <t>Loss</t>
        </is>
      </c>
      <c r="AE354" s="6">
        <f>IF((COUNTIF($AD$2:AD354,"Win")+COUNTIF($AD$2:AD354,"Loss"))=0,0,COUNTIF($AD$2:AD354,"Win")/(COUNTIF($AD$2:AD354,"Win")+COUNTIF($AD$2:AD354,"Loss")))</f>
        <v/>
      </c>
      <c r="AF354" s="6">
        <f>SUM($Y$2:Y354)/SUM($X$2:X354)</f>
        <v/>
      </c>
      <c r="AG354" s="5">
        <f>SUM($Y$2:Y354)</f>
        <v/>
      </c>
      <c r="AH354" s="7">
        <f>10000.0+SUM($AA$2:AA354)</f>
        <v/>
      </c>
      <c r="AI354" s="2" t="n">
        <v>2025</v>
      </c>
      <c r="AJ354" s="2" t="inlineStr">
        <is>
          <t>2025-09</t>
        </is>
      </c>
      <c r="AK354" s="2" t="inlineStr">
        <is>
          <t>+121 to +150</t>
        </is>
      </c>
      <c r="AL354" s="2" t="inlineStr">
        <is>
          <t>2025 Validation</t>
        </is>
      </c>
      <c r="AM354" s="6" t="n">
        <v>0.1029170172374264</v>
      </c>
    </row>
    <row r="355">
      <c r="A355" s="2" t="inlineStr">
        <is>
          <t>KPROP-00354</t>
        </is>
      </c>
      <c r="B355" s="3" t="n">
        <v>45914.67057870371</v>
      </c>
      <c r="C355" s="3" t="n">
        <v>45914</v>
      </c>
      <c r="D355" s="2" t="inlineStr">
        <is>
          <t>George Kirby</t>
        </is>
      </c>
      <c r="E355" s="2" t="n">
        <v>136</v>
      </c>
      <c r="F355" s="2" t="n">
        <v>108</v>
      </c>
      <c r="G355" s="2" t="inlineStr">
        <is>
          <t>Home</t>
        </is>
      </c>
      <c r="H355" s="2" t="inlineStr">
        <is>
          <t>draftkings</t>
        </is>
      </c>
      <c r="I355" s="4" t="n"/>
      <c r="J355" s="4" t="n"/>
      <c r="K355" s="4" t="n">
        <v>-137</v>
      </c>
      <c r="L355" s="4" t="n">
        <v>-137</v>
      </c>
      <c r="M355" s="5" t="n">
        <v>7.5</v>
      </c>
      <c r="N355" s="5" t="n">
        <v>6.747751627484196</v>
      </c>
      <c r="O355" s="5" t="n">
        <v>7.5</v>
      </c>
      <c r="P355" s="5" t="n">
        <v>0.7522483725158038</v>
      </c>
      <c r="Q355" s="6" t="n">
        <v>0.1006515868666042</v>
      </c>
      <c r="R355" s="6" t="n">
        <v>0.6362416346022143</v>
      </c>
      <c r="S355" s="6" t="n">
        <v>0.5483133218982277</v>
      </c>
      <c r="T355" s="2" t="inlineStr">
        <is>
          <t>Under</t>
        </is>
      </c>
      <c r="U355" s="4" t="n">
        <v>-137</v>
      </c>
      <c r="V355" s="2" t="n">
        <v>1.72992700729927</v>
      </c>
      <c r="W355" s="4" t="n">
        <v>-137</v>
      </c>
      <c r="X355" s="2" t="n">
        <v>1</v>
      </c>
      <c r="Y355" s="5" t="n">
        <v>-1</v>
      </c>
      <c r="Z355" s="7" t="n">
        <v>100</v>
      </c>
      <c r="AA355" s="7">
        <f>Y355*Z355</f>
        <v/>
      </c>
      <c r="AB355" s="6">
        <f>IF(Z355=0,0,AA355/Z355)</f>
        <v/>
      </c>
      <c r="AC355" s="6" t="n"/>
      <c r="AD355" s="2" t="inlineStr">
        <is>
          <t>Loss</t>
        </is>
      </c>
      <c r="AE355" s="6">
        <f>IF((COUNTIF($AD$2:AD355,"Win")+COUNTIF($AD$2:AD355,"Loss"))=0,0,COUNTIF($AD$2:AD355,"Win")/(COUNTIF($AD$2:AD355,"Win")+COUNTIF($AD$2:AD355,"Loss")))</f>
        <v/>
      </c>
      <c r="AF355" s="6">
        <f>SUM($Y$2:Y355)/SUM($X$2:X355)</f>
        <v/>
      </c>
      <c r="AG355" s="5">
        <f>SUM($Y$2:Y355)</f>
        <v/>
      </c>
      <c r="AH355" s="7">
        <f>10000.0+SUM($AA$2:AA355)</f>
        <v/>
      </c>
      <c r="AI355" s="2" t="n">
        <v>2025</v>
      </c>
      <c r="AJ355" s="2" t="inlineStr">
        <is>
          <t>2025-09</t>
        </is>
      </c>
      <c r="AK355" s="2" t="inlineStr">
        <is>
          <t>-149 to -120</t>
        </is>
      </c>
      <c r="AL355" s="2" t="inlineStr">
        <is>
          <t>2025 Validation</t>
        </is>
      </c>
      <c r="AM355" s="6" t="n">
        <v>0.1378926740072478</v>
      </c>
    </row>
    <row r="356">
      <c r="A356" s="2" t="inlineStr">
        <is>
          <t>KPROP-00355</t>
        </is>
      </c>
      <c r="B356" s="3" t="n">
        <v>45914.58724537037</v>
      </c>
      <c r="C356" s="3" t="n">
        <v>45914</v>
      </c>
      <c r="D356" s="2" t="inlineStr">
        <is>
          <t>Jose Quintana</t>
        </is>
      </c>
      <c r="E356" s="2" t="n">
        <v>158</v>
      </c>
      <c r="F356" s="2" t="n">
        <v>138</v>
      </c>
      <c r="G356" s="2" t="inlineStr">
        <is>
          <t>Home</t>
        </is>
      </c>
      <c r="H356" s="2" t="inlineStr">
        <is>
          <t>betmgm</t>
        </is>
      </c>
      <c r="I356" s="4" t="n"/>
      <c r="J356" s="4" t="n"/>
      <c r="K356" s="4" t="n">
        <v>-105</v>
      </c>
      <c r="L356" s="4" t="n">
        <v>-105</v>
      </c>
      <c r="M356" s="5" t="n">
        <v>4.5</v>
      </c>
      <c r="N356" s="5" t="n">
        <v>4.258807314410451</v>
      </c>
      <c r="O356" s="5" t="n">
        <v>4.5</v>
      </c>
      <c r="P356" s="5" t="n">
        <v>0.2411926855895485</v>
      </c>
      <c r="Q356" s="6" t="n">
        <v>0.1292785471881838</v>
      </c>
      <c r="R356" s="6" t="n">
        <v>0.5784109631939478</v>
      </c>
      <c r="S356" s="6" t="n">
        <v>0.4901832460732984</v>
      </c>
      <c r="T356" s="2" t="inlineStr">
        <is>
          <t>Under</t>
        </is>
      </c>
      <c r="U356" s="4" t="n">
        <v>-105</v>
      </c>
      <c r="V356" s="2" t="n">
        <v>1.952380952380952</v>
      </c>
      <c r="W356" s="4" t="n">
        <v>-105</v>
      </c>
      <c r="X356" s="2" t="n">
        <v>1</v>
      </c>
      <c r="Y356" s="5" t="n">
        <v>0.9523809523809523</v>
      </c>
      <c r="Z356" s="7" t="n">
        <v>100</v>
      </c>
      <c r="AA356" s="7">
        <f>Y356*Z356</f>
        <v/>
      </c>
      <c r="AB356" s="6">
        <f>IF(Z356=0,0,AA356/Z356)</f>
        <v/>
      </c>
      <c r="AC356" s="6" t="n"/>
      <c r="AD356" s="2" t="inlineStr">
        <is>
          <t>Win</t>
        </is>
      </c>
      <c r="AE356" s="6">
        <f>IF((COUNTIF($AD$2:AD356,"Win")+COUNTIF($AD$2:AD356,"Loss"))=0,0,COUNTIF($AD$2:AD356,"Win")/(COUNTIF($AD$2:AD356,"Win")+COUNTIF($AD$2:AD356,"Loss")))</f>
        <v/>
      </c>
      <c r="AF356" s="6">
        <f>SUM($Y$2:Y356)/SUM($X$2:X356)</f>
        <v/>
      </c>
      <c r="AG356" s="5">
        <f>SUM($Y$2:Y356)</f>
        <v/>
      </c>
      <c r="AH356" s="7">
        <f>10000.0+SUM($AA$2:AA356)</f>
        <v/>
      </c>
      <c r="AI356" s="2" t="n">
        <v>2025</v>
      </c>
      <c r="AJ356" s="2" t="inlineStr">
        <is>
          <t>2025-09</t>
        </is>
      </c>
      <c r="AK356" s="2" t="inlineStr">
        <is>
          <t>-119 to -101</t>
        </is>
      </c>
      <c r="AL356" s="2" t="inlineStr">
        <is>
          <t>2025 Validation</t>
        </is>
      </c>
      <c r="AM356" s="6" t="n">
        <v>0.135742474547593</v>
      </c>
    </row>
    <row r="357">
      <c r="A357" s="2" t="inlineStr">
        <is>
          <t>KPROP-00356</t>
        </is>
      </c>
      <c r="B357" s="3" t="n">
        <v>45914.66710648148</v>
      </c>
      <c r="C357" s="3" t="n">
        <v>45914</v>
      </c>
      <c r="D357" s="2" t="inlineStr">
        <is>
          <t>Nick Lodolo</t>
        </is>
      </c>
      <c r="E357" s="2" t="n">
        <v>113</v>
      </c>
      <c r="F357" s="2" t="n">
        <v>133</v>
      </c>
      <c r="G357" s="2" t="inlineStr">
        <is>
          <t>Away</t>
        </is>
      </c>
      <c r="H357" s="2" t="inlineStr">
        <is>
          <t>bovada</t>
        </is>
      </c>
      <c r="I357" s="4" t="n"/>
      <c r="J357" s="4" t="n"/>
      <c r="K357" s="4" t="n">
        <v>115</v>
      </c>
      <c r="L357" s="4" t="n">
        <v>115</v>
      </c>
      <c r="M357" s="5" t="n">
        <v>5.5</v>
      </c>
      <c r="N357" s="5" t="n">
        <v>5.392431475116279</v>
      </c>
      <c r="O357" s="5" t="n">
        <v>5.5</v>
      </c>
      <c r="P357" s="5" t="n">
        <v>0.107568524883721</v>
      </c>
      <c r="Q357" s="6" t="n">
        <v>0.1769970137177503</v>
      </c>
      <c r="R357" s="6" t="n">
        <v>0.5474404714966281</v>
      </c>
      <c r="S357" s="6" t="n">
        <v>0.4466313398940197</v>
      </c>
      <c r="T357" s="2" t="inlineStr">
        <is>
          <t>Under</t>
        </is>
      </c>
      <c r="U357" s="4" t="n">
        <v>115</v>
      </c>
      <c r="V357" s="2" t="n">
        <v>2.15</v>
      </c>
      <c r="W357" s="4" t="n">
        <v>115</v>
      </c>
      <c r="X357" s="2" t="n">
        <v>1</v>
      </c>
      <c r="Y357" s="5" t="n">
        <v>1.15</v>
      </c>
      <c r="Z357" s="7" t="n">
        <v>100</v>
      </c>
      <c r="AA357" s="7">
        <f>Y357*Z357</f>
        <v/>
      </c>
      <c r="AB357" s="6">
        <f>IF(Z357=0,0,AA357/Z357)</f>
        <v/>
      </c>
      <c r="AC357" s="6" t="n"/>
      <c r="AD357" s="2" t="inlineStr">
        <is>
          <t>Win</t>
        </is>
      </c>
      <c r="AE357" s="6">
        <f>IF((COUNTIF($AD$2:AD357,"Win")+COUNTIF($AD$2:AD357,"Loss"))=0,0,COUNTIF($AD$2:AD357,"Win")/(COUNTIF($AD$2:AD357,"Win")+COUNTIF($AD$2:AD357,"Loss")))</f>
        <v/>
      </c>
      <c r="AF357" s="6">
        <f>SUM($Y$2:Y357)/SUM($X$2:X357)</f>
        <v/>
      </c>
      <c r="AG357" s="5">
        <f>SUM($Y$2:Y357)</f>
        <v/>
      </c>
      <c r="AH357" s="7">
        <f>10000.0+SUM($AA$2:AA357)</f>
        <v/>
      </c>
      <c r="AI357" s="2" t="n">
        <v>2025</v>
      </c>
      <c r="AJ357" s="2" t="inlineStr">
        <is>
          <t>2025-09</t>
        </is>
      </c>
      <c r="AK357" s="2" t="inlineStr">
        <is>
          <t>+100 to +120</t>
        </is>
      </c>
      <c r="AL357" s="2" t="inlineStr">
        <is>
          <t>2025 Validation</t>
        </is>
      </c>
      <c r="AM357" s="6" t="n">
        <v>0.1539104467110873</v>
      </c>
    </row>
    <row r="358">
      <c r="A358" s="2" t="inlineStr">
        <is>
          <t>KPROP-00357</t>
        </is>
      </c>
      <c r="B358" s="3" t="n">
        <v>45914.66710648148</v>
      </c>
      <c r="C358" s="3" t="n">
        <v>45914</v>
      </c>
      <c r="D358" s="2" t="inlineStr">
        <is>
          <t>Nick Lodolo</t>
        </is>
      </c>
      <c r="E358" s="2" t="n">
        <v>113</v>
      </c>
      <c r="F358" s="2" t="n">
        <v>133</v>
      </c>
      <c r="G358" s="2" t="inlineStr">
        <is>
          <t>Away</t>
        </is>
      </c>
      <c r="H358" s="2" t="inlineStr">
        <is>
          <t>betrivers</t>
        </is>
      </c>
      <c r="I358" s="4" t="n"/>
      <c r="J358" s="4" t="n"/>
      <c r="K358" s="4" t="n">
        <v>-190</v>
      </c>
      <c r="L358" s="4" t="n">
        <v>-190</v>
      </c>
      <c r="M358" s="5" t="n">
        <v>6.5</v>
      </c>
      <c r="N358" s="5" t="n">
        <v>5.392431475116279</v>
      </c>
      <c r="O358" s="5" t="n">
        <v>6.5</v>
      </c>
      <c r="P358" s="5" t="n">
        <v>1.107568524883721</v>
      </c>
      <c r="Q358" s="6" t="n">
        <v>0.07276801415510853</v>
      </c>
      <c r="R358" s="6" t="n">
        <v>0.7028480092740367</v>
      </c>
      <c r="S358" s="6" t="n">
        <v>0.606245756958588</v>
      </c>
      <c r="T358" s="2" t="inlineStr">
        <is>
          <t>Under</t>
        </is>
      </c>
      <c r="U358" s="4" t="n">
        <v>-190</v>
      </c>
      <c r="V358" s="2" t="n">
        <v>1.526315789473684</v>
      </c>
      <c r="W358" s="4" t="n">
        <v>-190</v>
      </c>
      <c r="X358" s="2" t="n">
        <v>1</v>
      </c>
      <c r="Y358" s="5" t="n">
        <v>0.5263157894736841</v>
      </c>
      <c r="Z358" s="7" t="n">
        <v>100</v>
      </c>
      <c r="AA358" s="7">
        <f>Y358*Z358</f>
        <v/>
      </c>
      <c r="AB358" s="6">
        <f>IF(Z358=0,0,AA358/Z358)</f>
        <v/>
      </c>
      <c r="AC358" s="6" t="n"/>
      <c r="AD358" s="2" t="inlineStr">
        <is>
          <t>Win</t>
        </is>
      </c>
      <c r="AE358" s="6">
        <f>IF((COUNTIF($AD$2:AD358,"Win")+COUNTIF($AD$2:AD358,"Loss"))=0,0,COUNTIF($AD$2:AD358,"Win")/(COUNTIF($AD$2:AD358,"Win")+COUNTIF($AD$2:AD358,"Loss")))</f>
        <v/>
      </c>
      <c r="AF358" s="6">
        <f>SUM($Y$2:Y358)/SUM($X$2:X358)</f>
        <v/>
      </c>
      <c r="AG358" s="5">
        <f>SUM($Y$2:Y358)</f>
        <v/>
      </c>
      <c r="AH358" s="7">
        <f>10000.0+SUM($AA$2:AA358)</f>
        <v/>
      </c>
      <c r="AI358" s="2" t="n">
        <v>2025</v>
      </c>
      <c r="AJ358" s="2" t="inlineStr">
        <is>
          <t>2025-09</t>
        </is>
      </c>
      <c r="AK358" s="2" t="inlineStr">
        <is>
          <t>&lt;= -150</t>
        </is>
      </c>
      <c r="AL358" s="2" t="inlineStr">
        <is>
          <t>2025 Validation</t>
        </is>
      </c>
      <c r="AM358" s="6" t="n">
        <v>0.1382592268947062</v>
      </c>
    </row>
    <row r="359">
      <c r="A359" s="2" t="inlineStr">
        <is>
          <t>KPROP-00358</t>
        </is>
      </c>
      <c r="B359" s="3" t="n">
        <v>45914.66710648148</v>
      </c>
      <c r="C359" s="3" t="n">
        <v>45914</v>
      </c>
      <c r="D359" s="2" t="inlineStr">
        <is>
          <t>Robbie Ray</t>
        </is>
      </c>
      <c r="E359" s="2" t="n">
        <v>137</v>
      </c>
      <c r="F359" s="2" t="n">
        <v>119</v>
      </c>
      <c r="G359" s="2" t="inlineStr">
        <is>
          <t>Home</t>
        </is>
      </c>
      <c r="H359" s="2" t="inlineStr">
        <is>
          <t>fanduel</t>
        </is>
      </c>
      <c r="I359" s="4" t="n"/>
      <c r="J359" s="4" t="n"/>
      <c r="K359" s="4" t="n">
        <v>-112</v>
      </c>
      <c r="L359" s="4" t="n">
        <v>-112</v>
      </c>
      <c r="M359" s="5" t="n">
        <v>5.5</v>
      </c>
      <c r="N359" s="5" t="n">
        <v>4.918048709414628</v>
      </c>
      <c r="O359" s="5" t="n">
        <v>5.5</v>
      </c>
      <c r="P359" s="5" t="n">
        <v>0.5819512905853719</v>
      </c>
      <c r="Q359" s="6" t="n">
        <v>0.1931382470075891</v>
      </c>
      <c r="R359" s="6" t="n">
        <v>0.630337187098349</v>
      </c>
      <c r="S359" s="6" t="n">
        <v>0.5077399380804954</v>
      </c>
      <c r="T359" s="2" t="inlineStr">
        <is>
          <t>Under</t>
        </is>
      </c>
      <c r="U359" s="4" t="n">
        <v>-112</v>
      </c>
      <c r="V359" s="2" t="n">
        <v>1.892857142857143</v>
      </c>
      <c r="W359" s="4" t="n">
        <v>-112</v>
      </c>
      <c r="X359" s="2" t="n">
        <v>1</v>
      </c>
      <c r="Y359" s="5" t="n">
        <v>0.8928571428571428</v>
      </c>
      <c r="Z359" s="7" t="n">
        <v>100</v>
      </c>
      <c r="AA359" s="7">
        <f>Y359*Z359</f>
        <v/>
      </c>
      <c r="AB359" s="6">
        <f>IF(Z359=0,0,AA359/Z359)</f>
        <v/>
      </c>
      <c r="AC359" s="6" t="n"/>
      <c r="AD359" s="2" t="inlineStr">
        <is>
          <t>Win</t>
        </is>
      </c>
      <c r="AE359" s="6">
        <f>IF((COUNTIF($AD$2:AD359,"Win")+COUNTIF($AD$2:AD359,"Loss"))=0,0,COUNTIF($AD$2:AD359,"Win")/(COUNTIF($AD$2:AD359,"Win")+COUNTIF($AD$2:AD359,"Loss")))</f>
        <v/>
      </c>
      <c r="AF359" s="6">
        <f>SUM($Y$2:Y359)/SUM($X$2:X359)</f>
        <v/>
      </c>
      <c r="AG359" s="5">
        <f>SUM($Y$2:Y359)</f>
        <v/>
      </c>
      <c r="AH359" s="7">
        <f>10000.0+SUM($AA$2:AA359)</f>
        <v/>
      </c>
      <c r="AI359" s="2" t="n">
        <v>2025</v>
      </c>
      <c r="AJ359" s="2" t="inlineStr">
        <is>
          <t>2025-09</t>
        </is>
      </c>
      <c r="AK359" s="2" t="inlineStr">
        <is>
          <t>-119 to -101</t>
        </is>
      </c>
      <c r="AL359" s="2" t="inlineStr">
        <is>
          <t>2025 Validation</t>
        </is>
      </c>
      <c r="AM359" s="6" t="n">
        <v>0.2163148366484998</v>
      </c>
    </row>
    <row r="360">
      <c r="A360" s="2" t="inlineStr">
        <is>
          <t>KPROP-00359</t>
        </is>
      </c>
      <c r="B360" s="3" t="n">
        <v>45914.56641203703</v>
      </c>
      <c r="C360" s="3" t="n">
        <v>45914</v>
      </c>
      <c r="D360" s="2" t="inlineStr">
        <is>
          <t>Slade Cecconi</t>
        </is>
      </c>
      <c r="E360" s="2" t="n">
        <v>114</v>
      </c>
      <c r="F360" s="2" t="n">
        <v>145</v>
      </c>
      <c r="G360" s="2" t="inlineStr">
        <is>
          <t>Home</t>
        </is>
      </c>
      <c r="H360" s="2" t="inlineStr">
        <is>
          <t>betrivers</t>
        </is>
      </c>
      <c r="I360" s="4" t="n"/>
      <c r="J360" s="4" t="n"/>
      <c r="K360" s="4" t="n">
        <v>114</v>
      </c>
      <c r="L360" s="4" t="n">
        <v>114</v>
      </c>
      <c r="M360" s="5" t="n">
        <v>4.5</v>
      </c>
      <c r="N360" s="5" t="n">
        <v>4.641872321650463</v>
      </c>
      <c r="O360" s="5" t="n">
        <v>4.5</v>
      </c>
      <c r="P360" s="5" t="n">
        <v>-0.1418723216504629</v>
      </c>
      <c r="Q360" s="6" t="n">
        <v>0.08156373346494374</v>
      </c>
      <c r="R360" s="6" t="n">
        <v>0.5054036137686654</v>
      </c>
      <c r="S360" s="6" t="n">
        <v>0.4568527918781726</v>
      </c>
      <c r="T360" s="2" t="inlineStr">
        <is>
          <t>Under</t>
        </is>
      </c>
      <c r="U360" s="4" t="n">
        <v>114</v>
      </c>
      <c r="V360" s="2" t="n">
        <v>2.14</v>
      </c>
      <c r="W360" s="4" t="n">
        <v>114</v>
      </c>
      <c r="X360" s="2" t="n">
        <v>1</v>
      </c>
      <c r="Y360" s="5" t="n">
        <v>1.14</v>
      </c>
      <c r="Z360" s="7" t="n">
        <v>100</v>
      </c>
      <c r="AA360" s="7">
        <f>Y360*Z360</f>
        <v/>
      </c>
      <c r="AB360" s="6">
        <f>IF(Z360=0,0,AA360/Z360)</f>
        <v/>
      </c>
      <c r="AC360" s="6" t="n"/>
      <c r="AD360" s="2" t="inlineStr">
        <is>
          <t>Win</t>
        </is>
      </c>
      <c r="AE360" s="6">
        <f>IF((COUNTIF($AD$2:AD360,"Win")+COUNTIF($AD$2:AD360,"Loss"))=0,0,COUNTIF($AD$2:AD360,"Win")/(COUNTIF($AD$2:AD360,"Win")+COUNTIF($AD$2:AD360,"Loss")))</f>
        <v/>
      </c>
      <c r="AF360" s="6">
        <f>SUM($Y$2:Y360)/SUM($X$2:X360)</f>
        <v/>
      </c>
      <c r="AG360" s="5">
        <f>SUM($Y$2:Y360)</f>
        <v/>
      </c>
      <c r="AH360" s="7">
        <f>10000.0+SUM($AA$2:AA360)</f>
        <v/>
      </c>
      <c r="AI360" s="2" t="n">
        <v>2025</v>
      </c>
      <c r="AJ360" s="2" t="inlineStr">
        <is>
          <t>2025-09</t>
        </is>
      </c>
      <c r="AK360" s="2" t="inlineStr">
        <is>
          <t>+100 to +120</t>
        </is>
      </c>
      <c r="AL360" s="2" t="inlineStr">
        <is>
          <t>2025 Validation</t>
        </is>
      </c>
      <c r="AM360" s="6" t="n">
        <v>0.0715471346183717</v>
      </c>
    </row>
    <row r="361">
      <c r="A361" s="2" t="inlineStr">
        <is>
          <t>KPROP-00360</t>
        </is>
      </c>
      <c r="B361" s="3" t="n">
        <v>45914.66710648148</v>
      </c>
      <c r="C361" s="3" t="n">
        <v>45914</v>
      </c>
      <c r="D361" s="2" t="inlineStr">
        <is>
          <t>Tyler Glasnow</t>
        </is>
      </c>
      <c r="E361" s="2" t="n">
        <v>119</v>
      </c>
      <c r="F361" s="2" t="n">
        <v>137</v>
      </c>
      <c r="G361" s="2" t="inlineStr">
        <is>
          <t>Away</t>
        </is>
      </c>
      <c r="H361" s="2" t="inlineStr">
        <is>
          <t>betmgm</t>
        </is>
      </c>
      <c r="I361" s="4" t="n"/>
      <c r="J361" s="4" t="n"/>
      <c r="K361" s="4" t="n">
        <v>125</v>
      </c>
      <c r="L361" s="4" t="n">
        <v>125</v>
      </c>
      <c r="M361" s="5" t="n">
        <v>6.5</v>
      </c>
      <c r="N361" s="5" t="n">
        <v>6.22767223270912</v>
      </c>
      <c r="O361" s="5" t="n">
        <v>6.5</v>
      </c>
      <c r="P361" s="5" t="n">
        <v>0.2723277672908804</v>
      </c>
      <c r="Q361" s="6" t="n">
        <v>0.282016172603708</v>
      </c>
      <c r="R361" s="6" t="n">
        <v>0.569784965601648</v>
      </c>
      <c r="S361" s="6" t="n">
        <v>0.4444444444444444</v>
      </c>
      <c r="T361" s="2" t="inlineStr">
        <is>
          <t>Under</t>
        </is>
      </c>
      <c r="U361" s="4" t="n">
        <v>125</v>
      </c>
      <c r="V361" s="2" t="n">
        <v>2.25</v>
      </c>
      <c r="W361" s="4" t="n">
        <v>125</v>
      </c>
      <c r="X361" s="2" t="n">
        <v>1</v>
      </c>
      <c r="Y361" s="5" t="n">
        <v>1.25</v>
      </c>
      <c r="Z361" s="7" t="n">
        <v>100</v>
      </c>
      <c r="AA361" s="7">
        <f>Y361*Z361</f>
        <v/>
      </c>
      <c r="AB361" s="6">
        <f>IF(Z361=0,0,AA361/Z361)</f>
        <v/>
      </c>
      <c r="AC361" s="6" t="n"/>
      <c r="AD361" s="2" t="inlineStr">
        <is>
          <t>Win</t>
        </is>
      </c>
      <c r="AE361" s="6">
        <f>IF((COUNTIF($AD$2:AD361,"Win")+COUNTIF($AD$2:AD361,"Loss"))=0,0,COUNTIF($AD$2:AD361,"Win")/(COUNTIF($AD$2:AD361,"Win")+COUNTIF($AD$2:AD361,"Loss")))</f>
        <v/>
      </c>
      <c r="AF361" s="6">
        <f>SUM($Y$2:Y361)/SUM($X$2:X361)</f>
        <v/>
      </c>
      <c r="AG361" s="5">
        <f>SUM($Y$2:Y361)</f>
        <v/>
      </c>
      <c r="AH361" s="7">
        <f>10000.0+SUM($AA$2:AA361)</f>
        <v/>
      </c>
      <c r="AI361" s="2" t="n">
        <v>2025</v>
      </c>
      <c r="AJ361" s="2" t="inlineStr">
        <is>
          <t>2025-09</t>
        </is>
      </c>
      <c r="AK361" s="2" t="inlineStr">
        <is>
          <t>+121 to +150</t>
        </is>
      </c>
      <c r="AL361" s="2" t="inlineStr">
        <is>
          <t>2025 Validation</t>
        </is>
      </c>
      <c r="AM361" s="6" t="n">
        <v>0.2256129380829664</v>
      </c>
    </row>
    <row r="362">
      <c r="A362" s="2" t="inlineStr">
        <is>
          <t>KPROP-00361</t>
        </is>
      </c>
      <c r="B362" s="3" t="n">
        <v>45914.66710648148</v>
      </c>
      <c r="C362" s="3" t="n">
        <v>45914</v>
      </c>
      <c r="D362" s="2" t="inlineStr">
        <is>
          <t>Tyler Glasnow</t>
        </is>
      </c>
      <c r="E362" s="2" t="n">
        <v>119</v>
      </c>
      <c r="F362" s="2" t="n">
        <v>137</v>
      </c>
      <c r="G362" s="2" t="inlineStr">
        <is>
          <t>Away</t>
        </is>
      </c>
      <c r="H362" s="2" t="inlineStr">
        <is>
          <t>betrivers</t>
        </is>
      </c>
      <c r="I362" s="4" t="n"/>
      <c r="J362" s="4" t="n"/>
      <c r="K362" s="4" t="n">
        <v>-195</v>
      </c>
      <c r="L362" s="4" t="n">
        <v>-195</v>
      </c>
      <c r="M362" s="5" t="n">
        <v>7.5</v>
      </c>
      <c r="N362" s="5" t="n">
        <v>6.22767223270912</v>
      </c>
      <c r="O362" s="5" t="n">
        <v>7.5</v>
      </c>
      <c r="P362" s="5" t="n">
        <v>1.27232776729088</v>
      </c>
      <c r="Q362" s="6" t="n">
        <v>0.07725729223557132</v>
      </c>
      <c r="R362" s="6" t="n">
        <v>0.7120853287658861</v>
      </c>
      <c r="S362" s="6" t="n">
        <v>0.6133682830930537</v>
      </c>
      <c r="T362" s="2" t="inlineStr">
        <is>
          <t>Under</t>
        </is>
      </c>
      <c r="U362" s="4" t="n">
        <v>-195</v>
      </c>
      <c r="V362" s="2" t="n">
        <v>1.512820512820513</v>
      </c>
      <c r="W362" s="4" t="n">
        <v>-195</v>
      </c>
      <c r="X362" s="2" t="n">
        <v>1</v>
      </c>
      <c r="Y362" s="5" t="n">
        <v>0.5128205128205128</v>
      </c>
      <c r="Z362" s="7" t="n">
        <v>100</v>
      </c>
      <c r="AA362" s="7">
        <f>Y362*Z362</f>
        <v/>
      </c>
      <c r="AB362" s="6">
        <f>IF(Z362=0,0,AA362/Z362)</f>
        <v/>
      </c>
      <c r="AC362" s="6" t="n"/>
      <c r="AD362" s="2" t="inlineStr">
        <is>
          <t>Win</t>
        </is>
      </c>
      <c r="AE362" s="6">
        <f>IF((COUNTIF($AD$2:AD362,"Win")+COUNTIF($AD$2:AD362,"Loss"))=0,0,COUNTIF($AD$2:AD362,"Win")/(COUNTIF($AD$2:AD362,"Win")+COUNTIF($AD$2:AD362,"Loss")))</f>
        <v/>
      </c>
      <c r="AF362" s="6">
        <f>SUM($Y$2:Y362)/SUM($X$2:X362)</f>
        <v/>
      </c>
      <c r="AG362" s="5">
        <f>SUM($Y$2:Y362)</f>
        <v/>
      </c>
      <c r="AH362" s="7">
        <f>10000.0+SUM($AA$2:AA362)</f>
        <v/>
      </c>
      <c r="AI362" s="2" t="n">
        <v>2025</v>
      </c>
      <c r="AJ362" s="2" t="inlineStr">
        <is>
          <t>2025-09</t>
        </is>
      </c>
      <c r="AK362" s="2" t="inlineStr">
        <is>
          <t>&lt;= -150</t>
        </is>
      </c>
      <c r="AL362" s="2" t="inlineStr">
        <is>
          <t>2025 Validation</t>
        </is>
      </c>
      <c r="AM362" s="6" t="n">
        <v>0.1506517198593641</v>
      </c>
    </row>
    <row r="363">
      <c r="A363" s="2" t="inlineStr">
        <is>
          <t>KPROP-00362</t>
        </is>
      </c>
      <c r="B363" s="3" t="n">
        <v>45914.67057870371</v>
      </c>
      <c r="C363" s="3" t="n">
        <v>45914</v>
      </c>
      <c r="D363" s="2" t="inlineStr">
        <is>
          <t>Yu Darvish</t>
        </is>
      </c>
      <c r="E363" s="2" t="n">
        <v>135</v>
      </c>
      <c r="F363" s="2" t="n">
        <v>115</v>
      </c>
      <c r="G363" s="2" t="inlineStr">
        <is>
          <t>Home</t>
        </is>
      </c>
      <c r="H363" s="2" t="inlineStr">
        <is>
          <t>fanduel</t>
        </is>
      </c>
      <c r="I363" s="4" t="n"/>
      <c r="J363" s="4" t="n"/>
      <c r="K363" s="4" t="n">
        <v>-138</v>
      </c>
      <c r="L363" s="4" t="n">
        <v>-138</v>
      </c>
      <c r="M363" s="5" t="n">
        <v>6.5</v>
      </c>
      <c r="N363" s="5" t="n">
        <v>5.623535249205717</v>
      </c>
      <c r="O363" s="5" t="n">
        <v>6.5</v>
      </c>
      <c r="P363" s="5" t="n">
        <v>0.8764647507942831</v>
      </c>
      <c r="Q363" s="6" t="n">
        <v>0.1495172674968617</v>
      </c>
      <c r="R363" s="6" t="n">
        <v>0.6665268189687685</v>
      </c>
      <c r="S363" s="6" t="n">
        <v>0.5660893345487694</v>
      </c>
      <c r="T363" s="2" t="inlineStr">
        <is>
          <t>Under</t>
        </is>
      </c>
      <c r="U363" s="4" t="n">
        <v>-138</v>
      </c>
      <c r="V363" s="2" t="n">
        <v>1.72463768115942</v>
      </c>
      <c r="W363" s="4" t="n">
        <v>-138</v>
      </c>
      <c r="X363" s="2" t="n">
        <v>1</v>
      </c>
      <c r="Y363" s="5" t="n">
        <v>0.7246376811594204</v>
      </c>
      <c r="Z363" s="7" t="n">
        <v>100</v>
      </c>
      <c r="AA363" s="7">
        <f>Y363*Z363</f>
        <v/>
      </c>
      <c r="AB363" s="6">
        <f>IF(Z363=0,0,AA363/Z363)</f>
        <v/>
      </c>
      <c r="AC363" s="6" t="n"/>
      <c r="AD363" s="2" t="inlineStr">
        <is>
          <t>Win</t>
        </is>
      </c>
      <c r="AE363" s="6">
        <f>IF((COUNTIF($AD$2:AD363,"Win")+COUNTIF($AD$2:AD363,"Loss"))=0,0,COUNTIF($AD$2:AD363,"Win")/(COUNTIF($AD$2:AD363,"Win")+COUNTIF($AD$2:AD363,"Loss")))</f>
        <v/>
      </c>
      <c r="AF363" s="6">
        <f>SUM($Y$2:Y363)/SUM($X$2:X363)</f>
        <v/>
      </c>
      <c r="AG363" s="5">
        <f>SUM($Y$2:Y363)</f>
        <v/>
      </c>
      <c r="AH363" s="7">
        <f>10000.0+SUM($AA$2:AA363)</f>
        <v/>
      </c>
      <c r="AI363" s="2" t="n">
        <v>2025</v>
      </c>
      <c r="AJ363" s="2" t="inlineStr">
        <is>
          <t>2025-09</t>
        </is>
      </c>
      <c r="AK363" s="2" t="inlineStr">
        <is>
          <t>-149 to -120</t>
        </is>
      </c>
      <c r="AL363" s="2" t="inlineStr">
        <is>
          <t>2025 Validation</t>
        </is>
      </c>
      <c r="AM363" s="6" t="n">
        <v>0.2063338291456691</v>
      </c>
    </row>
    <row r="364">
      <c r="A364" s="2" t="inlineStr">
        <is>
          <t>KPROP-00363</t>
        </is>
      </c>
      <c r="B364" s="3" t="n">
        <v>45915.78170138889</v>
      </c>
      <c r="C364" s="3" t="n">
        <v>45915</v>
      </c>
      <c r="D364" s="2" t="inlineStr">
        <is>
          <t>Spencer Strider</t>
        </is>
      </c>
      <c r="E364" s="2" t="n">
        <v>144</v>
      </c>
      <c r="F364" s="2" t="n">
        <v>120</v>
      </c>
      <c r="G364" s="2" t="inlineStr">
        <is>
          <t>Away</t>
        </is>
      </c>
      <c r="H364" s="2" t="inlineStr">
        <is>
          <t>betmgm</t>
        </is>
      </c>
      <c r="I364" s="4" t="n"/>
      <c r="J364" s="4" t="n"/>
      <c r="K364" s="4" t="n">
        <v>-135</v>
      </c>
      <c r="L364" s="4" t="n">
        <v>-135</v>
      </c>
      <c r="M364" s="5" t="n">
        <v>6.5</v>
      </c>
      <c r="N364" s="5" t="n">
        <v>5.938346898013477</v>
      </c>
      <c r="O364" s="5" t="n">
        <v>6.5</v>
      </c>
      <c r="P364" s="5" t="n">
        <v>0.561653101986523</v>
      </c>
      <c r="Q364" s="6" t="n">
        <v>0.07265253260903554</v>
      </c>
      <c r="R364" s="6" t="n">
        <v>0.6162046463924247</v>
      </c>
      <c r="S364" s="6" t="n">
        <v>0.5560173814471944</v>
      </c>
      <c r="T364" s="2" t="inlineStr">
        <is>
          <t>Under</t>
        </is>
      </c>
      <c r="U364" s="4" t="n">
        <v>-135</v>
      </c>
      <c r="V364" s="2" t="n">
        <v>1.740740740740741</v>
      </c>
      <c r="W364" s="4" t="n">
        <v>-135</v>
      </c>
      <c r="X364" s="2" t="n">
        <v>1</v>
      </c>
      <c r="Y364" s="5" t="n">
        <v>0.7407407407407407</v>
      </c>
      <c r="Z364" s="7" t="n">
        <v>100</v>
      </c>
      <c r="AA364" s="7">
        <f>Y364*Z364</f>
        <v/>
      </c>
      <c r="AB364" s="6">
        <f>IF(Z364=0,0,AA364/Z364)</f>
        <v/>
      </c>
      <c r="AC364" s="6" t="n"/>
      <c r="AD364" s="2" t="inlineStr">
        <is>
          <t>Win</t>
        </is>
      </c>
      <c r="AE364" s="6">
        <f>IF((COUNTIF($AD$2:AD364,"Win")+COUNTIF($AD$2:AD364,"Loss"))=0,0,COUNTIF($AD$2:AD364,"Win")/(COUNTIF($AD$2:AD364,"Win")+COUNTIF($AD$2:AD364,"Loss")))</f>
        <v/>
      </c>
      <c r="AF364" s="6">
        <f>SUM($Y$2:Y364)/SUM($X$2:X364)</f>
        <v/>
      </c>
      <c r="AG364" s="5">
        <f>SUM($Y$2:Y364)</f>
        <v/>
      </c>
      <c r="AH364" s="7">
        <f>10000.0+SUM($AA$2:AA364)</f>
        <v/>
      </c>
      <c r="AI364" s="2" t="n">
        <v>2025</v>
      </c>
      <c r="AJ364" s="2" t="inlineStr">
        <is>
          <t>2025-09</t>
        </is>
      </c>
      <c r="AK364" s="2" t="inlineStr">
        <is>
          <t>-149 to -120</t>
        </is>
      </c>
      <c r="AL364" s="2" t="inlineStr">
        <is>
          <t>2025 Validation</t>
        </is>
      </c>
      <c r="AM364" s="6" t="n">
        <v>0.09808091902219798</v>
      </c>
    </row>
    <row r="365">
      <c r="A365" s="2" t="inlineStr">
        <is>
          <t>KPROP-00364</t>
        </is>
      </c>
      <c r="B365" s="3" t="n">
        <v>45916.77822916667</v>
      </c>
      <c r="C365" s="3" t="n">
        <v>45916</v>
      </c>
      <c r="D365" s="2" t="inlineStr">
        <is>
          <t>Chris Sale</t>
        </is>
      </c>
      <c r="E365" s="2" t="n">
        <v>144</v>
      </c>
      <c r="F365" s="2" t="n">
        <v>120</v>
      </c>
      <c r="G365" s="2" t="inlineStr">
        <is>
          <t>Away</t>
        </is>
      </c>
      <c r="H365" s="2" t="inlineStr">
        <is>
          <t>fanduel</t>
        </is>
      </c>
      <c r="I365" s="4" t="n"/>
      <c r="J365" s="4" t="n"/>
      <c r="K365" s="4" t="n">
        <v>102</v>
      </c>
      <c r="L365" s="4" t="n">
        <v>102</v>
      </c>
      <c r="M365" s="5" t="n">
        <v>8.5</v>
      </c>
      <c r="N365" s="5" t="n">
        <v>7.438604479855251</v>
      </c>
      <c r="O365" s="5" t="n">
        <v>8.5</v>
      </c>
      <c r="P365" s="5" t="n">
        <v>1.061395520144749</v>
      </c>
      <c r="Q365" s="6" t="n">
        <v>0.3541685979979623</v>
      </c>
      <c r="R365" s="6" t="n">
        <v>0.6703804940583972</v>
      </c>
      <c r="S365" s="6" t="n">
        <v>0.4796589092201101</v>
      </c>
      <c r="T365" s="2" t="inlineStr">
        <is>
          <t>Under</t>
        </is>
      </c>
      <c r="U365" s="4" t="n">
        <v>102</v>
      </c>
      <c r="V365" s="2" t="n">
        <v>2.02</v>
      </c>
      <c r="W365" s="4" t="n">
        <v>102</v>
      </c>
      <c r="X365" s="2" t="n">
        <v>1</v>
      </c>
      <c r="Y365" s="5" t="n">
        <v>-1</v>
      </c>
      <c r="Z365" s="7" t="n">
        <v>100</v>
      </c>
      <c r="AA365" s="7">
        <f>Y365*Z365</f>
        <v/>
      </c>
      <c r="AB365" s="6">
        <f>IF(Z365=0,0,AA365/Z365)</f>
        <v/>
      </c>
      <c r="AC365" s="6" t="n"/>
      <c r="AD365" s="2" t="inlineStr">
        <is>
          <t>Loss</t>
        </is>
      </c>
      <c r="AE365" s="6">
        <f>IF((COUNTIF($AD$2:AD365,"Win")+COUNTIF($AD$2:AD365,"Loss"))=0,0,COUNTIF($AD$2:AD365,"Win")/(COUNTIF($AD$2:AD365,"Win")+COUNTIF($AD$2:AD365,"Loss")))</f>
        <v/>
      </c>
      <c r="AF365" s="6">
        <f>SUM($Y$2:Y365)/SUM($X$2:X365)</f>
        <v/>
      </c>
      <c r="AG365" s="5">
        <f>SUM($Y$2:Y365)</f>
        <v/>
      </c>
      <c r="AH365" s="7">
        <f>10000.0+SUM($AA$2:AA365)</f>
        <v/>
      </c>
      <c r="AI365" s="2" t="n">
        <v>2025</v>
      </c>
      <c r="AJ365" s="2" t="inlineStr">
        <is>
          <t>2025-09</t>
        </is>
      </c>
      <c r="AK365" s="2" t="inlineStr">
        <is>
          <t>+100 to +120</t>
        </is>
      </c>
      <c r="AL365" s="2" t="inlineStr">
        <is>
          <t>2025 Validation</t>
        </is>
      </c>
      <c r="AM365" s="6" t="n">
        <v>0.3472241156842767</v>
      </c>
    </row>
    <row r="366">
      <c r="A366" s="2" t="inlineStr">
        <is>
          <t>KPROP-00365</t>
        </is>
      </c>
      <c r="B366" s="3" t="n">
        <v>45916.81989583333</v>
      </c>
      <c r="C366" s="3" t="n">
        <v>45916</v>
      </c>
      <c r="D366" s="2" t="inlineStr">
        <is>
          <t>Dean Kremer</t>
        </is>
      </c>
      <c r="E366" s="2" t="n">
        <v>110</v>
      </c>
      <c r="F366" s="2" t="n">
        <v>145</v>
      </c>
      <c r="G366" s="2" t="inlineStr">
        <is>
          <t>Away</t>
        </is>
      </c>
      <c r="H366" s="2" t="inlineStr">
        <is>
          <t>betmgm</t>
        </is>
      </c>
      <c r="I366" s="4" t="n"/>
      <c r="J366" s="4" t="n"/>
      <c r="K366" s="4" t="n">
        <v>-125</v>
      </c>
      <c r="L366" s="4" t="n">
        <v>-125</v>
      </c>
      <c r="M366" s="5" t="n">
        <v>4.5</v>
      </c>
      <c r="N366" s="5" t="n">
        <v>4.021986288234957</v>
      </c>
      <c r="O366" s="5" t="n">
        <v>4.5</v>
      </c>
      <c r="P366" s="5" t="n">
        <v>0.4780137117650431</v>
      </c>
      <c r="Q366" s="6" t="n">
        <v>0.1241749346391329</v>
      </c>
      <c r="R366" s="6" t="n">
        <v>0.6245416303550738</v>
      </c>
      <c r="S366" s="6" t="n">
        <v>0.5336787564766839</v>
      </c>
      <c r="T366" s="2" t="inlineStr">
        <is>
          <t>Under</t>
        </is>
      </c>
      <c r="U366" s="4" t="n">
        <v>-125</v>
      </c>
      <c r="V366" s="2" t="n">
        <v>1.8</v>
      </c>
      <c r="W366" s="4" t="n">
        <v>-125</v>
      </c>
      <c r="X366" s="2" t="n">
        <v>1</v>
      </c>
      <c r="Y366" s="5" t="n">
        <v>0.8</v>
      </c>
      <c r="Z366" s="7" t="n">
        <v>100</v>
      </c>
      <c r="AA366" s="7">
        <f>Y366*Z366</f>
        <v/>
      </c>
      <c r="AB366" s="6">
        <f>IF(Z366=0,0,AA366/Z366)</f>
        <v/>
      </c>
      <c r="AC366" s="6" t="n"/>
      <c r="AD366" s="2" t="inlineStr">
        <is>
          <t>Win</t>
        </is>
      </c>
      <c r="AE366" s="6">
        <f>IF((COUNTIF($AD$2:AD366,"Win")+COUNTIF($AD$2:AD366,"Loss"))=0,0,COUNTIF($AD$2:AD366,"Win")/(COUNTIF($AD$2:AD366,"Win")+COUNTIF($AD$2:AD366,"Loss")))</f>
        <v/>
      </c>
      <c r="AF366" s="6">
        <f>SUM($Y$2:Y366)/SUM($X$2:X366)</f>
        <v/>
      </c>
      <c r="AG366" s="5">
        <f>SUM($Y$2:Y366)</f>
        <v/>
      </c>
      <c r="AH366" s="7">
        <f>10000.0+SUM($AA$2:AA366)</f>
        <v/>
      </c>
      <c r="AI366" s="2" t="n">
        <v>2025</v>
      </c>
      <c r="AJ366" s="2" t="inlineStr">
        <is>
          <t>2025-09</t>
        </is>
      </c>
      <c r="AK366" s="2" t="inlineStr">
        <is>
          <t>-149 to -120</t>
        </is>
      </c>
      <c r="AL366" s="2" t="inlineStr">
        <is>
          <t>2025 Validation</t>
        </is>
      </c>
      <c r="AM366" s="6" t="n">
        <v>0.1552186682989161</v>
      </c>
    </row>
    <row r="367">
      <c r="A367" s="2" t="inlineStr">
        <is>
          <t>KPROP-00366</t>
        </is>
      </c>
      <c r="B367" s="3" t="n">
        <v>45916.81989583333</v>
      </c>
      <c r="C367" s="3" t="n">
        <v>45916</v>
      </c>
      <c r="D367" s="2" t="inlineStr">
        <is>
          <t>Logan Gilbert</t>
        </is>
      </c>
      <c r="E367" s="2" t="n">
        <v>136</v>
      </c>
      <c r="F367" s="2" t="n">
        <v>118</v>
      </c>
      <c r="G367" s="2" t="inlineStr">
        <is>
          <t>Away</t>
        </is>
      </c>
      <c r="H367" s="2" t="inlineStr">
        <is>
          <t>betmgm</t>
        </is>
      </c>
      <c r="I367" s="4" t="n"/>
      <c r="J367" s="4" t="n"/>
      <c r="K367" s="4" t="n">
        <v>110</v>
      </c>
      <c r="L367" s="4" t="n">
        <v>110</v>
      </c>
      <c r="M367" s="5" t="n">
        <v>5.5</v>
      </c>
      <c r="N367" s="5" t="n">
        <v>5.246645187301299</v>
      </c>
      <c r="O367" s="5" t="n">
        <v>5.5</v>
      </c>
      <c r="P367" s="5" t="n">
        <v>0.2533548126987011</v>
      </c>
      <c r="Q367" s="6" t="n">
        <v>0.2028127533045465</v>
      </c>
      <c r="R367" s="6" t="n">
        <v>0.5727679777640697</v>
      </c>
      <c r="S367" s="6" t="n">
        <v>0.4719894133215704</v>
      </c>
      <c r="T367" s="2" t="inlineStr">
        <is>
          <t>Under</t>
        </is>
      </c>
      <c r="U367" s="4" t="n">
        <v>110</v>
      </c>
      <c r="V367" s="2" t="n">
        <v>2.1</v>
      </c>
      <c r="W367" s="4" t="n">
        <v>110</v>
      </c>
      <c r="X367" s="2" t="n">
        <v>1</v>
      </c>
      <c r="Y367" s="5" t="n">
        <v>1.1</v>
      </c>
      <c r="Z367" s="7" t="n">
        <v>100</v>
      </c>
      <c r="AA367" s="7">
        <f>Y367*Z367</f>
        <v/>
      </c>
      <c r="AB367" s="6">
        <f>IF(Z367=0,0,AA367/Z367)</f>
        <v/>
      </c>
      <c r="AC367" s="6" t="n"/>
      <c r="AD367" s="2" t="inlineStr">
        <is>
          <t>Win</t>
        </is>
      </c>
      <c r="AE367" s="6">
        <f>IF((COUNTIF($AD$2:AD367,"Win")+COUNTIF($AD$2:AD367,"Loss"))=0,0,COUNTIF($AD$2:AD367,"Win")/(COUNTIF($AD$2:AD367,"Win")+COUNTIF($AD$2:AD367,"Loss")))</f>
        <v/>
      </c>
      <c r="AF367" s="6">
        <f>SUM($Y$2:Y367)/SUM($X$2:X367)</f>
        <v/>
      </c>
      <c r="AG367" s="5">
        <f>SUM($Y$2:Y367)</f>
        <v/>
      </c>
      <c r="AH367" s="7">
        <f>10000.0+SUM($AA$2:AA367)</f>
        <v/>
      </c>
      <c r="AI367" s="2" t="n">
        <v>2025</v>
      </c>
      <c r="AJ367" s="2" t="inlineStr">
        <is>
          <t>2025-09</t>
        </is>
      </c>
      <c r="AK367" s="2" t="inlineStr">
        <is>
          <t>+100 to +120</t>
        </is>
      </c>
      <c r="AL367" s="2" t="inlineStr">
        <is>
          <t>2025 Validation</t>
        </is>
      </c>
      <c r="AM367" s="6" t="n">
        <v>0.1843752302768605</v>
      </c>
    </row>
    <row r="368">
      <c r="A368" s="2" t="inlineStr">
        <is>
          <t>KPROP-00367</t>
        </is>
      </c>
      <c r="B368" s="3" t="n">
        <v>45916.77822916667</v>
      </c>
      <c r="C368" s="3" t="n">
        <v>45916</v>
      </c>
      <c r="D368" s="2" t="inlineStr">
        <is>
          <t>MacKenzie Gore</t>
        </is>
      </c>
      <c r="E368" s="2" t="n">
        <v>120</v>
      </c>
      <c r="F368" s="2" t="n">
        <v>144</v>
      </c>
      <c r="G368" s="2" t="inlineStr">
        <is>
          <t>Home</t>
        </is>
      </c>
      <c r="H368" s="2" t="inlineStr">
        <is>
          <t>fanatics</t>
        </is>
      </c>
      <c r="I368" s="4" t="n"/>
      <c r="J368" s="4" t="n"/>
      <c r="K368" s="4" t="n">
        <v>-125</v>
      </c>
      <c r="L368" s="4" t="n">
        <v>-125</v>
      </c>
      <c r="M368" s="5" t="n">
        <v>5.5</v>
      </c>
      <c r="N368" s="5" t="n">
        <v>4.953003549713075</v>
      </c>
      <c r="O368" s="5" t="n">
        <v>5.5</v>
      </c>
      <c r="P368" s="5" t="n">
        <v>0.5469964502869251</v>
      </c>
      <c r="Q368" s="6" t="n">
        <v>0.1235714991389472</v>
      </c>
      <c r="R368" s="6" t="n">
        <v>0.6242063884105262</v>
      </c>
      <c r="S368" s="6" t="n">
        <v>0.5431472081218274</v>
      </c>
      <c r="T368" s="2" t="inlineStr">
        <is>
          <t>Under</t>
        </is>
      </c>
      <c r="U368" s="4" t="n">
        <v>-125</v>
      </c>
      <c r="V368" s="2" t="n">
        <v>1.8</v>
      </c>
      <c r="W368" s="4" t="n">
        <v>-125</v>
      </c>
      <c r="X368" s="2" t="n">
        <v>1</v>
      </c>
      <c r="Y368" s="5" t="n">
        <v>0.8</v>
      </c>
      <c r="Z368" s="7" t="n">
        <v>100</v>
      </c>
      <c r="AA368" s="7">
        <f>Y368*Z368</f>
        <v/>
      </c>
      <c r="AB368" s="6">
        <f>IF(Z368=0,0,AA368/Z368)</f>
        <v/>
      </c>
      <c r="AC368" s="6" t="n"/>
      <c r="AD368" s="2" t="inlineStr">
        <is>
          <t>Win</t>
        </is>
      </c>
      <c r="AE368" s="6">
        <f>IF((COUNTIF($AD$2:AD368,"Win")+COUNTIF($AD$2:AD368,"Loss"))=0,0,COUNTIF($AD$2:AD368,"Win")/(COUNTIF($AD$2:AD368,"Win")+COUNTIF($AD$2:AD368,"Loss")))</f>
        <v/>
      </c>
      <c r="AF368" s="6">
        <f>SUM($Y$2:Y368)/SUM($X$2:X368)</f>
        <v/>
      </c>
      <c r="AG368" s="5">
        <f>SUM($Y$2:Y368)</f>
        <v/>
      </c>
      <c r="AH368" s="7">
        <f>10000.0+SUM($AA$2:AA368)</f>
        <v/>
      </c>
      <c r="AI368" s="2" t="n">
        <v>2025</v>
      </c>
      <c r="AJ368" s="2" t="inlineStr">
        <is>
          <t>2025-09</t>
        </is>
      </c>
      <c r="AK368" s="2" t="inlineStr">
        <is>
          <t>-149 to -120</t>
        </is>
      </c>
      <c r="AL368" s="2" t="inlineStr">
        <is>
          <t>2025 Validation</t>
        </is>
      </c>
      <c r="AM368" s="6" t="n">
        <v>0.154464373923684</v>
      </c>
    </row>
    <row r="369">
      <c r="A369" s="2" t="inlineStr">
        <is>
          <t>KPROP-00368</t>
        </is>
      </c>
      <c r="B369" s="3" t="n">
        <v>45916.77822916667</v>
      </c>
      <c r="C369" s="3" t="n">
        <v>45916</v>
      </c>
      <c r="D369" s="2" t="inlineStr">
        <is>
          <t>Paul Skenes</t>
        </is>
      </c>
      <c r="E369" s="2" t="n">
        <v>134</v>
      </c>
      <c r="F369" s="2" t="n">
        <v>112</v>
      </c>
      <c r="G369" s="2" t="inlineStr">
        <is>
          <t>Home</t>
        </is>
      </c>
      <c r="H369" s="2" t="inlineStr">
        <is>
          <t>draftkings</t>
        </is>
      </c>
      <c r="I369" s="4" t="n"/>
      <c r="J369" s="4" t="n"/>
      <c r="K369" s="4" t="n">
        <v>105</v>
      </c>
      <c r="L369" s="4" t="n">
        <v>105</v>
      </c>
      <c r="M369" s="5" t="n">
        <v>6.5</v>
      </c>
      <c r="N369" s="5" t="n">
        <v>6.297242077375712</v>
      </c>
      <c r="O369" s="5" t="n">
        <v>6.5</v>
      </c>
      <c r="P369" s="5" t="n">
        <v>0.2027579226242882</v>
      </c>
      <c r="Q369" s="6" t="n">
        <v>0.1452795228653402</v>
      </c>
      <c r="R369" s="6" t="n">
        <v>0.5586729379830928</v>
      </c>
      <c r="S369" s="6" t="n">
        <v>0.4779986598168416</v>
      </c>
      <c r="T369" s="2" t="inlineStr">
        <is>
          <t>Under</t>
        </is>
      </c>
      <c r="U369" s="4" t="n">
        <v>105</v>
      </c>
      <c r="V369" s="2" t="n">
        <v>2.05</v>
      </c>
      <c r="W369" s="4" t="n">
        <v>105</v>
      </c>
      <c r="X369" s="2" t="n">
        <v>1</v>
      </c>
      <c r="Y369" s="5" t="n">
        <v>1.05</v>
      </c>
      <c r="Z369" s="7" t="n">
        <v>100</v>
      </c>
      <c r="AA369" s="7">
        <f>Y369*Z369</f>
        <v/>
      </c>
      <c r="AB369" s="6">
        <f>IF(Z369=0,0,AA369/Z369)</f>
        <v/>
      </c>
      <c r="AC369" s="6" t="n"/>
      <c r="AD369" s="2" t="inlineStr">
        <is>
          <t>Win</t>
        </is>
      </c>
      <c r="AE369" s="6">
        <f>IF((COUNTIF($AD$2:AD369,"Win")+COUNTIF($AD$2:AD369,"Loss"))=0,0,COUNTIF($AD$2:AD369,"Win")/(COUNTIF($AD$2:AD369,"Win")+COUNTIF($AD$2:AD369,"Loss")))</f>
        <v/>
      </c>
      <c r="AF369" s="6">
        <f>SUM($Y$2:Y369)/SUM($X$2:X369)</f>
        <v/>
      </c>
      <c r="AG369" s="5">
        <f>SUM($Y$2:Y369)</f>
        <v/>
      </c>
      <c r="AH369" s="7">
        <f>10000.0+SUM($AA$2:AA369)</f>
        <v/>
      </c>
      <c r="AI369" s="2" t="n">
        <v>2025</v>
      </c>
      <c r="AJ369" s="2" t="inlineStr">
        <is>
          <t>2025-09</t>
        </is>
      </c>
      <c r="AK369" s="2" t="inlineStr">
        <is>
          <t>+100 to +120</t>
        </is>
      </c>
      <c r="AL369" s="2" t="inlineStr">
        <is>
          <t>2025 Validation</t>
        </is>
      </c>
      <c r="AM369" s="6" t="n">
        <v>0.1383614503479431</v>
      </c>
    </row>
    <row r="370">
      <c r="A370" s="2" t="inlineStr">
        <is>
          <t>KPROP-00369</t>
        </is>
      </c>
      <c r="B370" s="3" t="n">
        <v>45917.79560185185</v>
      </c>
      <c r="C370" s="3" t="n">
        <v>45917</v>
      </c>
      <c r="D370" s="2" t="inlineStr">
        <is>
          <t>David Peterson</t>
        </is>
      </c>
      <c r="E370" s="2" t="n">
        <v>121</v>
      </c>
      <c r="F370" s="2" t="n">
        <v>135</v>
      </c>
      <c r="G370" s="2" t="inlineStr">
        <is>
          <t>Home</t>
        </is>
      </c>
      <c r="H370" s="2" t="inlineStr">
        <is>
          <t>draftkings</t>
        </is>
      </c>
      <c r="I370" s="4" t="n"/>
      <c r="J370" s="4" t="n"/>
      <c r="K370" s="4" t="n">
        <v>-118</v>
      </c>
      <c r="L370" s="4" t="n">
        <v>-118</v>
      </c>
      <c r="M370" s="5" t="n">
        <v>4.5</v>
      </c>
      <c r="N370" s="5" t="n">
        <v>4.194775738164916</v>
      </c>
      <c r="O370" s="5" t="n">
        <v>4.5</v>
      </c>
      <c r="P370" s="5" t="n">
        <v>0.3052242618350842</v>
      </c>
      <c r="Q370" s="6" t="n">
        <v>0.09155716047390083</v>
      </c>
      <c r="R370" s="6" t="n">
        <v>0.5908428666785335</v>
      </c>
      <c r="S370" s="6" t="n">
        <v>0.5223069506529932</v>
      </c>
      <c r="T370" s="2" t="inlineStr">
        <is>
          <t>Under</t>
        </is>
      </c>
      <c r="U370" s="4" t="n">
        <v>-118</v>
      </c>
      <c r="V370" s="2" t="n">
        <v>1.847457627118644</v>
      </c>
      <c r="W370" s="4" t="n">
        <v>-118</v>
      </c>
      <c r="X370" s="2" t="n">
        <v>1</v>
      </c>
      <c r="Y370" s="5" t="n">
        <v>0.847457627118644</v>
      </c>
      <c r="Z370" s="7" t="n">
        <v>100</v>
      </c>
      <c r="AA370" s="7">
        <f>Y370*Z370</f>
        <v/>
      </c>
      <c r="AB370" s="6">
        <f>IF(Z370=0,0,AA370/Z370)</f>
        <v/>
      </c>
      <c r="AC370" s="6" t="n"/>
      <c r="AD370" s="2" t="inlineStr">
        <is>
          <t>Win</t>
        </is>
      </c>
      <c r="AE370" s="6">
        <f>IF((COUNTIF($AD$2:AD370,"Win")+COUNTIF($AD$2:AD370,"Loss"))=0,0,COUNTIF($AD$2:AD370,"Win")/(COUNTIF($AD$2:AD370,"Win")+COUNTIF($AD$2:AD370,"Loss")))</f>
        <v/>
      </c>
      <c r="AF370" s="6">
        <f>SUM($Y$2:Y370)/SUM($X$2:X370)</f>
        <v/>
      </c>
      <c r="AG370" s="5">
        <f>SUM($Y$2:Y370)</f>
        <v/>
      </c>
      <c r="AH370" s="7">
        <f>10000.0+SUM($AA$2:AA370)</f>
        <v/>
      </c>
      <c r="AI370" s="2" t="n">
        <v>2025</v>
      </c>
      <c r="AJ370" s="2" t="inlineStr">
        <is>
          <t>2025-09</t>
        </is>
      </c>
      <c r="AK370" s="2" t="inlineStr">
        <is>
          <t>-119 to -101</t>
        </is>
      </c>
      <c r="AL370" s="2" t="inlineStr">
        <is>
          <t>2025 Validation</t>
        </is>
      </c>
      <c r="AM370" s="6" t="n">
        <v>0.108037449359203</v>
      </c>
    </row>
    <row r="371">
      <c r="A371" s="2" t="inlineStr">
        <is>
          <t>KPROP-00370</t>
        </is>
      </c>
      <c r="B371" s="3" t="n">
        <v>45917.79560185185</v>
      </c>
      <c r="C371" s="3" t="n">
        <v>45917</v>
      </c>
      <c r="D371" s="2" t="inlineStr">
        <is>
          <t>Nick Pivetta</t>
        </is>
      </c>
      <c r="E371" s="2" t="n">
        <v>135</v>
      </c>
      <c r="F371" s="2" t="n">
        <v>121</v>
      </c>
      <c r="G371" s="2" t="inlineStr">
        <is>
          <t>Away</t>
        </is>
      </c>
      <c r="H371" s="2" t="inlineStr">
        <is>
          <t>fanatics</t>
        </is>
      </c>
      <c r="I371" s="4" t="n"/>
      <c r="J371" s="4" t="n"/>
      <c r="K371" s="4" t="n">
        <v>105</v>
      </c>
      <c r="L371" s="4" t="n">
        <v>105</v>
      </c>
      <c r="M371" s="5" t="n">
        <v>5.5</v>
      </c>
      <c r="N371" s="5" t="n">
        <v>5.223908524205197</v>
      </c>
      <c r="O371" s="5" t="n">
        <v>5.5</v>
      </c>
      <c r="P371" s="5" t="n">
        <v>0.2760914757948028</v>
      </c>
      <c r="Q371" s="6" t="n">
        <v>0.1823091017977505</v>
      </c>
      <c r="R371" s="6" t="n">
        <v>0.5767361472184149</v>
      </c>
      <c r="S371" s="6" t="n">
        <v>0.4675324675324675</v>
      </c>
      <c r="T371" s="2" t="inlineStr">
        <is>
          <t>Under</t>
        </is>
      </c>
      <c r="U371" s="4" t="n">
        <v>105</v>
      </c>
      <c r="V371" s="2" t="n">
        <v>2.05</v>
      </c>
      <c r="W371" s="4" t="n">
        <v>105</v>
      </c>
      <c r="X371" s="2" t="n">
        <v>1</v>
      </c>
      <c r="Y371" s="5" t="n">
        <v>1.05</v>
      </c>
      <c r="Z371" s="7" t="n">
        <v>100</v>
      </c>
      <c r="AA371" s="7">
        <f>Y371*Z371</f>
        <v/>
      </c>
      <c r="AB371" s="6">
        <f>IF(Z371=0,0,AA371/Z371)</f>
        <v/>
      </c>
      <c r="AC371" s="6" t="n"/>
      <c r="AD371" s="2" t="inlineStr">
        <is>
          <t>Win</t>
        </is>
      </c>
      <c r="AE371" s="6">
        <f>IF((COUNTIF($AD$2:AD371,"Win")+COUNTIF($AD$2:AD371,"Loss"))=0,0,COUNTIF($AD$2:AD371,"Win")/(COUNTIF($AD$2:AD371,"Win")+COUNTIF($AD$2:AD371,"Loss")))</f>
        <v/>
      </c>
      <c r="AF371" s="6">
        <f>SUM($Y$2:Y371)/SUM($X$2:X371)</f>
        <v/>
      </c>
      <c r="AG371" s="5">
        <f>SUM($Y$2:Y371)</f>
        <v/>
      </c>
      <c r="AH371" s="7">
        <f>10000.0+SUM($AA$2:AA371)</f>
        <v/>
      </c>
      <c r="AI371" s="2" t="n">
        <v>2025</v>
      </c>
      <c r="AJ371" s="2" t="inlineStr">
        <is>
          <t>2025-09</t>
        </is>
      </c>
      <c r="AK371" s="2" t="inlineStr">
        <is>
          <t>+100 to +120</t>
        </is>
      </c>
      <c r="AL371" s="2" t="inlineStr">
        <is>
          <t>2025 Validation</t>
        </is>
      </c>
      <c r="AM371" s="6" t="n">
        <v>0.1736277159978576</v>
      </c>
    </row>
    <row r="372">
      <c r="A372" s="2" t="inlineStr">
        <is>
          <t>KPROP-00371</t>
        </is>
      </c>
      <c r="B372" s="3" t="n">
        <v>45918.8025462963</v>
      </c>
      <c r="C372" s="3" t="n">
        <v>45918</v>
      </c>
      <c r="D372" s="2" t="inlineStr">
        <is>
          <t>Hunter Greene</t>
        </is>
      </c>
      <c r="E372" s="2" t="n">
        <v>113</v>
      </c>
      <c r="F372" s="2" t="n">
        <v>112</v>
      </c>
      <c r="G372" s="2" t="inlineStr">
        <is>
          <t>Home</t>
        </is>
      </c>
      <c r="H372" s="2" t="inlineStr">
        <is>
          <t>draftkings</t>
        </is>
      </c>
      <c r="I372" s="4" t="n"/>
      <c r="J372" s="4" t="n"/>
      <c r="K372" s="4" t="n">
        <v>122</v>
      </c>
      <c r="L372" s="4" t="n">
        <v>122</v>
      </c>
      <c r="M372" s="5" t="n">
        <v>6.5</v>
      </c>
      <c r="N372" s="5" t="n">
        <v>6.444038352759459</v>
      </c>
      <c r="O372" s="5" t="n">
        <v>6.5</v>
      </c>
      <c r="P372" s="5" t="n">
        <v>0.05596164724054109</v>
      </c>
      <c r="Q372" s="6" t="n">
        <v>0.1884880226236189</v>
      </c>
      <c r="R372" s="6" t="n">
        <v>0.5353549651457743</v>
      </c>
      <c r="S372" s="6" t="n">
        <v>0.4294732484735589</v>
      </c>
      <c r="T372" s="2" t="inlineStr">
        <is>
          <t>Under</t>
        </is>
      </c>
      <c r="U372" s="4" t="n">
        <v>122</v>
      </c>
      <c r="V372" s="2" t="n">
        <v>2.22</v>
      </c>
      <c r="W372" s="4" t="n">
        <v>122</v>
      </c>
      <c r="X372" s="2" t="n">
        <v>1</v>
      </c>
      <c r="Y372" s="5" t="n">
        <v>-1</v>
      </c>
      <c r="Z372" s="7" t="n">
        <v>100</v>
      </c>
      <c r="AA372" s="7">
        <f>Y372*Z372</f>
        <v/>
      </c>
      <c r="AB372" s="6">
        <f>IF(Z372=0,0,AA372/Z372)</f>
        <v/>
      </c>
      <c r="AC372" s="6" t="n"/>
      <c r="AD372" s="2" t="inlineStr">
        <is>
          <t>Loss</t>
        </is>
      </c>
      <c r="AE372" s="6">
        <f>IF((COUNTIF($AD$2:AD372,"Win")+COUNTIF($AD$2:AD372,"Loss"))=0,0,COUNTIF($AD$2:AD372,"Win")/(COUNTIF($AD$2:AD372,"Win")+COUNTIF($AD$2:AD372,"Loss")))</f>
        <v/>
      </c>
      <c r="AF372" s="6">
        <f>SUM($Y$2:Y372)/SUM($X$2:X372)</f>
        <v/>
      </c>
      <c r="AG372" s="5">
        <f>SUM($Y$2:Y372)</f>
        <v/>
      </c>
      <c r="AH372" s="7">
        <f>10000.0+SUM($AA$2:AA372)</f>
        <v/>
      </c>
      <c r="AI372" s="2" t="n">
        <v>2025</v>
      </c>
      <c r="AJ372" s="2" t="inlineStr">
        <is>
          <t>2025-09</t>
        </is>
      </c>
      <c r="AK372" s="2" t="inlineStr">
        <is>
          <t>+121 to +150</t>
        </is>
      </c>
      <c r="AL372" s="2" t="inlineStr">
        <is>
          <t>2025 Validation</t>
        </is>
      </c>
      <c r="AM372" s="6" t="n">
        <v>0.1544983791996876</v>
      </c>
    </row>
    <row r="373">
      <c r="A373" s="2" t="inlineStr">
        <is>
          <t>KPROP-00372</t>
        </is>
      </c>
      <c r="B373" s="3" t="n">
        <v>45918.54907407407</v>
      </c>
      <c r="C373" s="3" t="n">
        <v>45918</v>
      </c>
      <c r="D373" s="2" t="inlineStr">
        <is>
          <t>Jonah Tong</t>
        </is>
      </c>
      <c r="E373" s="2" t="n">
        <v>121</v>
      </c>
      <c r="F373" s="2" t="n">
        <v>135</v>
      </c>
      <c r="G373" s="2" t="inlineStr">
        <is>
          <t>Home</t>
        </is>
      </c>
      <c r="H373" s="2" t="inlineStr">
        <is>
          <t>draftkings</t>
        </is>
      </c>
      <c r="I373" s="4" t="n"/>
      <c r="J373" s="4" t="n"/>
      <c r="K373" s="4" t="n">
        <v>-110</v>
      </c>
      <c r="L373" s="4" t="n">
        <v>-110</v>
      </c>
      <c r="M373" s="5" t="n">
        <v>4.5</v>
      </c>
      <c r="N373" s="5" t="n">
        <v>4.262094943414113</v>
      </c>
      <c r="O373" s="5" t="n">
        <v>4.5</v>
      </c>
      <c r="P373" s="5" t="n">
        <v>0.2379050565858867</v>
      </c>
      <c r="Q373" s="6" t="n">
        <v>0.1030228413562081</v>
      </c>
      <c r="R373" s="6" t="n">
        <v>0.5777738692818233</v>
      </c>
      <c r="S373" s="6" t="n">
        <v>0.5079617834394904</v>
      </c>
      <c r="T373" s="2" t="inlineStr">
        <is>
          <t>Under</t>
        </is>
      </c>
      <c r="U373" s="4" t="n">
        <v>-110</v>
      </c>
      <c r="V373" s="2" t="n">
        <v>1.909090909090909</v>
      </c>
      <c r="W373" s="4" t="n">
        <v>-110</v>
      </c>
      <c r="X373" s="2" t="n">
        <v>1</v>
      </c>
      <c r="Y373" s="5" t="n">
        <v>-1</v>
      </c>
      <c r="Z373" s="7" t="n">
        <v>100</v>
      </c>
      <c r="AA373" s="7">
        <f>Y373*Z373</f>
        <v/>
      </c>
      <c r="AB373" s="6">
        <f>IF(Z373=0,0,AA373/Z373)</f>
        <v/>
      </c>
      <c r="AC373" s="6" t="n"/>
      <c r="AD373" s="2" t="inlineStr">
        <is>
          <t>Loss</t>
        </is>
      </c>
      <c r="AE373" s="6">
        <f>IF((COUNTIF($AD$2:AD373,"Win")+COUNTIF($AD$2:AD373,"Loss"))=0,0,COUNTIF($AD$2:AD373,"Win")/(COUNTIF($AD$2:AD373,"Win")+COUNTIF($AD$2:AD373,"Loss")))</f>
        <v/>
      </c>
      <c r="AF373" s="6">
        <f>SUM($Y$2:Y373)/SUM($X$2:X373)</f>
        <v/>
      </c>
      <c r="AG373" s="5">
        <f>SUM($Y$2:Y373)</f>
        <v/>
      </c>
      <c r="AH373" s="7">
        <f>10000.0+SUM($AA$2:AA373)</f>
        <v/>
      </c>
      <c r="AI373" s="2" t="n">
        <v>2025</v>
      </c>
      <c r="AJ373" s="2" t="inlineStr">
        <is>
          <t>2025-09</t>
        </is>
      </c>
      <c r="AK373" s="2" t="inlineStr">
        <is>
          <t>-119 to -101</t>
        </is>
      </c>
      <c r="AL373" s="2" t="inlineStr">
        <is>
          <t>2025 Validation</t>
        </is>
      </c>
      <c r="AM373" s="6" t="n">
        <v>0.1133251254918289</v>
      </c>
    </row>
    <row r="374">
      <c r="A374" s="2" t="inlineStr">
        <is>
          <t>KPROP-00373</t>
        </is>
      </c>
      <c r="B374" s="3" t="n">
        <v>45919.79559027778</v>
      </c>
      <c r="C374" s="3" t="n">
        <v>45919</v>
      </c>
      <c r="D374" s="2" t="inlineStr">
        <is>
          <t>Brandon Sproat</t>
        </is>
      </c>
      <c r="E374" s="2" t="n">
        <v>121</v>
      </c>
      <c r="F374" s="2" t="n">
        <v>120</v>
      </c>
      <c r="G374" s="2" t="inlineStr">
        <is>
          <t>Home</t>
        </is>
      </c>
      <c r="H374" s="2" t="inlineStr">
        <is>
          <t>draftkings</t>
        </is>
      </c>
      <c r="I374" s="4" t="n"/>
      <c r="J374" s="4" t="n"/>
      <c r="K374" s="4" t="n">
        <v>106</v>
      </c>
      <c r="L374" s="4" t="n">
        <v>106</v>
      </c>
      <c r="M374" s="5" t="n">
        <v>4.5</v>
      </c>
      <c r="N374" s="5" t="n">
        <v>4.468701808501065</v>
      </c>
      <c r="O374" s="5" t="n">
        <v>4.5</v>
      </c>
      <c r="P374" s="5" t="n">
        <v>0.03129819149893542</v>
      </c>
      <c r="Q374" s="6" t="n">
        <v>0.1083919823716421</v>
      </c>
      <c r="R374" s="6" t="n">
        <v>0.5380543603745835</v>
      </c>
      <c r="S374" s="6" t="n">
        <v>0.4620329449578144</v>
      </c>
      <c r="T374" s="2" t="inlineStr">
        <is>
          <t>Under</t>
        </is>
      </c>
      <c r="U374" s="4" t="n">
        <v>106</v>
      </c>
      <c r="V374" s="2" t="n">
        <v>2.06</v>
      </c>
      <c r="W374" s="4" t="n">
        <v>106</v>
      </c>
      <c r="X374" s="2" t="n">
        <v>1</v>
      </c>
      <c r="Y374" s="5" t="n">
        <v>-1</v>
      </c>
      <c r="Z374" s="7" t="n">
        <v>100</v>
      </c>
      <c r="AA374" s="7">
        <f>Y374*Z374</f>
        <v/>
      </c>
      <c r="AB374" s="6">
        <f>IF(Z374=0,0,AA374/Z374)</f>
        <v/>
      </c>
      <c r="AC374" s="6" t="n"/>
      <c r="AD374" s="2" t="inlineStr">
        <is>
          <t>Loss</t>
        </is>
      </c>
      <c r="AE374" s="6">
        <f>IF((COUNTIF($AD$2:AD374,"Win")+COUNTIF($AD$2:AD374,"Loss"))=0,0,COUNTIF($AD$2:AD374,"Win")/(COUNTIF($AD$2:AD374,"Win")+COUNTIF($AD$2:AD374,"Loss")))</f>
        <v/>
      </c>
      <c r="AF374" s="6">
        <f>SUM($Y$2:Y374)/SUM($X$2:X374)</f>
        <v/>
      </c>
      <c r="AG374" s="5">
        <f>SUM($Y$2:Y374)</f>
        <v/>
      </c>
      <c r="AH374" s="7">
        <f>10000.0+SUM($AA$2:AA374)</f>
        <v/>
      </c>
      <c r="AI374" s="2" t="n">
        <v>2025</v>
      </c>
      <c r="AJ374" s="2" t="inlineStr">
        <is>
          <t>2025-09</t>
        </is>
      </c>
      <c r="AK374" s="2" t="inlineStr">
        <is>
          <t>+100 to +120</t>
        </is>
      </c>
      <c r="AL374" s="2" t="inlineStr">
        <is>
          <t>2025 Validation</t>
        </is>
      </c>
      <c r="AM374" s="6" t="n">
        <v>0.1022565871430586</v>
      </c>
    </row>
    <row r="375">
      <c r="A375" s="2" t="inlineStr">
        <is>
          <t>KPROP-00374</t>
        </is>
      </c>
      <c r="B375" s="3" t="n">
        <v>45919.77822916667</v>
      </c>
      <c r="C375" s="3" t="n">
        <v>45919</v>
      </c>
      <c r="D375" s="2" t="inlineStr">
        <is>
          <t>Shota Imanaga</t>
        </is>
      </c>
      <c r="E375" s="2" t="n">
        <v>112</v>
      </c>
      <c r="F375" s="2" t="n">
        <v>113</v>
      </c>
      <c r="G375" s="2" t="inlineStr">
        <is>
          <t>Away</t>
        </is>
      </c>
      <c r="H375" s="2" t="inlineStr">
        <is>
          <t>draftkings</t>
        </is>
      </c>
      <c r="I375" s="4" t="n"/>
      <c r="J375" s="4" t="n"/>
      <c r="K375" s="4" t="n">
        <v>112</v>
      </c>
      <c r="L375" s="4" t="n">
        <v>112</v>
      </c>
      <c r="M375" s="5" t="n">
        <v>4.5</v>
      </c>
      <c r="N375" s="5" t="n">
        <v>4.520736105669003</v>
      </c>
      <c r="O375" s="5" t="n">
        <v>4.5</v>
      </c>
      <c r="P375" s="5" t="n">
        <v>-0.02073610566900275</v>
      </c>
      <c r="Q375" s="6" t="n">
        <v>0.1197252583101502</v>
      </c>
      <c r="R375" s="6" t="n">
        <v>0.5281722916557312</v>
      </c>
      <c r="S375" s="6" t="n">
        <v>0.4508825786646201</v>
      </c>
      <c r="T375" s="2" t="inlineStr">
        <is>
          <t>Under</t>
        </is>
      </c>
      <c r="U375" s="4" t="n">
        <v>112</v>
      </c>
      <c r="V375" s="2" t="n">
        <v>2.12</v>
      </c>
      <c r="W375" s="4" t="n">
        <v>112</v>
      </c>
      <c r="X375" s="2" t="n">
        <v>1</v>
      </c>
      <c r="Y375" s="5" t="n">
        <v>1.12</v>
      </c>
      <c r="Z375" s="7" t="n">
        <v>100</v>
      </c>
      <c r="AA375" s="7">
        <f>Y375*Z375</f>
        <v/>
      </c>
      <c r="AB375" s="6">
        <f>IF(Z375=0,0,AA375/Z375)</f>
        <v/>
      </c>
      <c r="AC375" s="6" t="n"/>
      <c r="AD375" s="2" t="inlineStr">
        <is>
          <t>Win</t>
        </is>
      </c>
      <c r="AE375" s="6">
        <f>IF((COUNTIF($AD$2:AD375,"Win")+COUNTIF($AD$2:AD375,"Loss"))=0,0,COUNTIF($AD$2:AD375,"Win")/(COUNTIF($AD$2:AD375,"Win")+COUNTIF($AD$2:AD375,"Loss")))</f>
        <v/>
      </c>
      <c r="AF375" s="6">
        <f>SUM($Y$2:Y375)/SUM($X$2:X375)</f>
        <v/>
      </c>
      <c r="AG375" s="5">
        <f>SUM($Y$2:Y375)</f>
        <v/>
      </c>
      <c r="AH375" s="7">
        <f>10000.0+SUM($AA$2:AA375)</f>
        <v/>
      </c>
      <c r="AI375" s="2" t="n">
        <v>2025</v>
      </c>
      <c r="AJ375" s="2" t="inlineStr">
        <is>
          <t>2025-09</t>
        </is>
      </c>
      <c r="AK375" s="2" t="inlineStr">
        <is>
          <t>+100 to +120</t>
        </is>
      </c>
      <c r="AL375" s="2" t="inlineStr">
        <is>
          <t>2025 Validation</t>
        </is>
      </c>
      <c r="AM375" s="6" t="n">
        <v>0.1068975520626341</v>
      </c>
    </row>
    <row r="376">
      <c r="A376" s="2" t="inlineStr">
        <is>
          <t>KPROP-00375</t>
        </is>
      </c>
      <c r="B376" s="3" t="n">
        <v>45920.7990625</v>
      </c>
      <c r="C376" s="3" t="n">
        <v>45920</v>
      </c>
      <c r="D376" s="2" t="inlineStr">
        <is>
          <t>Bailey Ober</t>
        </is>
      </c>
      <c r="E376" s="2" t="n">
        <v>142</v>
      </c>
      <c r="F376" s="2" t="n">
        <v>114</v>
      </c>
      <c r="G376" s="2" t="inlineStr">
        <is>
          <t>Home</t>
        </is>
      </c>
      <c r="H376" s="2" t="inlineStr">
        <is>
          <t>draftkings</t>
        </is>
      </c>
      <c r="I376" s="4" t="n"/>
      <c r="J376" s="4" t="n"/>
      <c r="K376" s="4" t="n">
        <v>-113</v>
      </c>
      <c r="L376" s="4" t="n">
        <v>-113</v>
      </c>
      <c r="M376" s="5" t="n">
        <v>4.5</v>
      </c>
      <c r="N376" s="5" t="n">
        <v>4.260970808684712</v>
      </c>
      <c r="O376" s="5" t="n">
        <v>4.5</v>
      </c>
      <c r="P376" s="5" t="n">
        <v>0.2390291913152875</v>
      </c>
      <c r="Q376" s="6" t="n">
        <v>0.08948877128418298</v>
      </c>
      <c r="R376" s="6" t="n">
        <v>0.5779916955639093</v>
      </c>
      <c r="S376" s="6" t="n">
        <v>0.5</v>
      </c>
      <c r="T376" s="2" t="inlineStr">
        <is>
          <t>Under</t>
        </is>
      </c>
      <c r="U376" s="4" t="n">
        <v>-113</v>
      </c>
      <c r="V376" s="2" t="n">
        <v>1.884955752212389</v>
      </c>
      <c r="W376" s="4" t="n">
        <v>-113</v>
      </c>
      <c r="X376" s="2" t="n">
        <v>1</v>
      </c>
      <c r="Y376" s="5" t="n">
        <v>0.8849557522123894</v>
      </c>
      <c r="Z376" s="7" t="n">
        <v>100</v>
      </c>
      <c r="AA376" s="7">
        <f>Y376*Z376</f>
        <v/>
      </c>
      <c r="AB376" s="6">
        <f>IF(Z376=0,0,AA376/Z376)</f>
        <v/>
      </c>
      <c r="AC376" s="6" t="n"/>
      <c r="AD376" s="2" t="inlineStr">
        <is>
          <t>Win</t>
        </is>
      </c>
      <c r="AE376" s="6">
        <f>IF((COUNTIF($AD$2:AD376,"Win")+COUNTIF($AD$2:AD376,"Loss"))=0,0,COUNTIF($AD$2:AD376,"Win")/(COUNTIF($AD$2:AD376,"Win")+COUNTIF($AD$2:AD376,"Loss")))</f>
        <v/>
      </c>
      <c r="AF376" s="6">
        <f>SUM($Y$2:Y376)/SUM($X$2:X376)</f>
        <v/>
      </c>
      <c r="AG376" s="5">
        <f>SUM($Y$2:Y376)</f>
        <v/>
      </c>
      <c r="AH376" s="7">
        <f>10000.0+SUM($AA$2:AA376)</f>
        <v/>
      </c>
      <c r="AI376" s="2" t="n">
        <v>2025</v>
      </c>
      <c r="AJ376" s="2" t="inlineStr">
        <is>
          <t>2025-09</t>
        </is>
      </c>
      <c r="AK376" s="2" t="inlineStr">
        <is>
          <t>-119 to -101</t>
        </is>
      </c>
      <c r="AL376" s="2" t="inlineStr">
        <is>
          <t>2025 Validation</t>
        </is>
      </c>
      <c r="AM376" s="6" t="n">
        <v>0.1011223115511268</v>
      </c>
    </row>
    <row r="377">
      <c r="A377" s="2" t="inlineStr">
        <is>
          <t>KPROP-00376</t>
        </is>
      </c>
      <c r="B377" s="3" t="n">
        <v>45920.77822916667</v>
      </c>
      <c r="C377" s="3" t="n">
        <v>45920</v>
      </c>
      <c r="D377" s="2" t="inlineStr">
        <is>
          <t>Zack Littell</t>
        </is>
      </c>
      <c r="E377" s="2" t="n">
        <v>113</v>
      </c>
      <c r="F377" s="2" t="n">
        <v>112</v>
      </c>
      <c r="G377" s="2" t="inlineStr">
        <is>
          <t>Home</t>
        </is>
      </c>
      <c r="H377" s="2" t="inlineStr">
        <is>
          <t>bovada</t>
        </is>
      </c>
      <c r="I377" s="4" t="n"/>
      <c r="J377" s="4" t="n"/>
      <c r="K377" s="4" t="n">
        <v>135</v>
      </c>
      <c r="L377" s="4" t="n">
        <v>135</v>
      </c>
      <c r="M377" s="5" t="n">
        <v>3.5</v>
      </c>
      <c r="N377" s="5" t="n">
        <v>3.877283545959588</v>
      </c>
      <c r="O377" s="5" t="n">
        <v>3.5</v>
      </c>
      <c r="P377" s="5" t="n">
        <v>-0.3772835459595885</v>
      </c>
      <c r="Q377" s="6" t="n">
        <v>0.07584098289573971</v>
      </c>
      <c r="R377" s="6" t="n">
        <v>0.4578046735726552</v>
      </c>
      <c r="S377" s="6" t="n">
        <v>0.4117884537747275</v>
      </c>
      <c r="T377" s="2" t="inlineStr">
        <is>
          <t>Under</t>
        </is>
      </c>
      <c r="U377" s="4" t="n">
        <v>135</v>
      </c>
      <c r="V377" s="2" t="n">
        <v>2.35</v>
      </c>
      <c r="W377" s="4" t="n">
        <v>135</v>
      </c>
      <c r="X377" s="2" t="n">
        <v>1</v>
      </c>
      <c r="Y377" s="5" t="n">
        <v>-1</v>
      </c>
      <c r="Z377" s="7" t="n">
        <v>100</v>
      </c>
      <c r="AA377" s="7">
        <f>Y377*Z377</f>
        <v/>
      </c>
      <c r="AB377" s="6">
        <f>IF(Z377=0,0,AA377/Z377)</f>
        <v/>
      </c>
      <c r="AC377" s="6" t="n"/>
      <c r="AD377" s="2" t="inlineStr">
        <is>
          <t>Loss</t>
        </is>
      </c>
      <c r="AE377" s="6">
        <f>IF((COUNTIF($AD$2:AD377,"Win")+COUNTIF($AD$2:AD377,"Loss"))=0,0,COUNTIF($AD$2:AD377,"Win")/(COUNTIF($AD$2:AD377,"Win")+COUNTIF($AD$2:AD377,"Loss")))</f>
        <v/>
      </c>
      <c r="AF377" s="6">
        <f>SUM($Y$2:Y377)/SUM($X$2:X377)</f>
        <v/>
      </c>
      <c r="AG377" s="5">
        <f>SUM($Y$2:Y377)</f>
        <v/>
      </c>
      <c r="AH377" s="7">
        <f>10000.0+SUM($AA$2:AA377)</f>
        <v/>
      </c>
      <c r="AI377" s="2" t="n">
        <v>2025</v>
      </c>
      <c r="AJ377" s="2" t="inlineStr">
        <is>
          <t>2025-09</t>
        </is>
      </c>
      <c r="AK377" s="2" t="inlineStr">
        <is>
          <t>+121 to +150</t>
        </is>
      </c>
      <c r="AL377" s="2" t="inlineStr">
        <is>
          <t>2025 Validation</t>
        </is>
      </c>
      <c r="AM377" s="6" t="n">
        <v>0.05617850584869608</v>
      </c>
    </row>
    <row r="378">
      <c r="A378" s="2" t="inlineStr">
        <is>
          <t>KPROP-00377</t>
        </is>
      </c>
      <c r="B378" s="3" t="n">
        <v>45921.79557870371</v>
      </c>
      <c r="C378" s="3" t="n">
        <v>45921</v>
      </c>
      <c r="D378" s="2" t="inlineStr">
        <is>
          <t>Logan Gilbert</t>
        </is>
      </c>
      <c r="E378" s="2" t="n">
        <v>136</v>
      </c>
      <c r="F378" s="2" t="n">
        <v>117</v>
      </c>
      <c r="G378" s="2" t="inlineStr">
        <is>
          <t>Away</t>
        </is>
      </c>
      <c r="H378" s="2" t="inlineStr">
        <is>
          <t>draftkings</t>
        </is>
      </c>
      <c r="I378" s="4" t="n"/>
      <c r="J378" s="4" t="n"/>
      <c r="K378" s="4" t="n">
        <v>-109</v>
      </c>
      <c r="L378" s="4" t="n">
        <v>-109</v>
      </c>
      <c r="M378" s="5" t="n">
        <v>6.5</v>
      </c>
      <c r="N378" s="5" t="n">
        <v>5.964163467916816</v>
      </c>
      <c r="O378" s="5" t="n">
        <v>6.5</v>
      </c>
      <c r="P378" s="5" t="n">
        <v>0.5358365320831844</v>
      </c>
      <c r="Q378" s="6" t="n">
        <v>0.1735805443721571</v>
      </c>
      <c r="R378" s="6" t="n">
        <v>0.6120587528065317</v>
      </c>
      <c r="S378" s="6" t="n">
        <v>0.5105386416861827</v>
      </c>
      <c r="T378" s="2" t="inlineStr">
        <is>
          <t>Under</t>
        </is>
      </c>
      <c r="U378" s="4" t="n">
        <v>-109</v>
      </c>
      <c r="V378" s="2" t="n">
        <v>1.917431192660551</v>
      </c>
      <c r="W378" s="4" t="n">
        <v>-109</v>
      </c>
      <c r="X378" s="2" t="n">
        <v>1</v>
      </c>
      <c r="Y378" s="5" t="n">
        <v>0.9174311926605505</v>
      </c>
      <c r="Z378" s="7" t="n">
        <v>100</v>
      </c>
      <c r="AA378" s="7">
        <f>Y378*Z378</f>
        <v/>
      </c>
      <c r="AB378" s="6">
        <f>IF(Z378=0,0,AA378/Z378)</f>
        <v/>
      </c>
      <c r="AC378" s="6" t="n"/>
      <c r="AD378" s="2" t="inlineStr">
        <is>
          <t>Win</t>
        </is>
      </c>
      <c r="AE378" s="6">
        <f>IF((COUNTIF($AD$2:AD378,"Win")+COUNTIF($AD$2:AD378,"Loss"))=0,0,COUNTIF($AD$2:AD378,"Win")/(COUNTIF($AD$2:AD378,"Win")+COUNTIF($AD$2:AD378,"Loss")))</f>
        <v/>
      </c>
      <c r="AF378" s="6">
        <f>SUM($Y$2:Y378)/SUM($X$2:X378)</f>
        <v/>
      </c>
      <c r="AG378" s="5">
        <f>SUM($Y$2:Y378)</f>
        <v/>
      </c>
      <c r="AH378" s="7">
        <f>10000.0+SUM($AA$2:AA378)</f>
        <v/>
      </c>
      <c r="AI378" s="2" t="n">
        <v>2025</v>
      </c>
      <c r="AJ378" s="2" t="inlineStr">
        <is>
          <t>2025-09</t>
        </is>
      </c>
      <c r="AK378" s="2" t="inlineStr">
        <is>
          <t>-119 to -101</t>
        </is>
      </c>
      <c r="AL378" s="2" t="inlineStr">
        <is>
          <t>2025 Validation</t>
        </is>
      </c>
      <c r="AM378" s="6" t="n">
        <v>0.1892027933656512</v>
      </c>
    </row>
    <row r="379">
      <c r="A379" s="2" t="inlineStr">
        <is>
          <t>KPROP-00378</t>
        </is>
      </c>
      <c r="B379" s="3" t="n">
        <v>45921.59072916667</v>
      </c>
      <c r="C379" s="3" t="n">
        <v>45921</v>
      </c>
      <c r="D379" s="2" t="inlineStr">
        <is>
          <t>Michael King</t>
        </is>
      </c>
      <c r="E379" s="2" t="n">
        <v>135</v>
      </c>
      <c r="F379" s="2" t="n">
        <v>145</v>
      </c>
      <c r="G379" s="2" t="inlineStr">
        <is>
          <t>Away</t>
        </is>
      </c>
      <c r="H379" s="2" t="inlineStr">
        <is>
          <t>betrivers</t>
        </is>
      </c>
      <c r="I379" s="4" t="n"/>
      <c r="J379" s="4" t="n"/>
      <c r="K379" s="4" t="n">
        <v>148</v>
      </c>
      <c r="L379" s="4" t="n">
        <v>148</v>
      </c>
      <c r="M379" s="5" t="n">
        <v>4.5</v>
      </c>
      <c r="N379" s="5" t="n">
        <v>4.816881226895056</v>
      </c>
      <c r="O379" s="5" t="n">
        <v>4.5</v>
      </c>
      <c r="P379" s="5" t="n">
        <v>-0.316881226895056</v>
      </c>
      <c r="Q379" s="6" t="n">
        <v>0.1735117642789142</v>
      </c>
      <c r="R379" s="6" t="n">
        <v>0.4731902275318203</v>
      </c>
      <c r="S379" s="6" t="n">
        <v>0.3988113856740694</v>
      </c>
      <c r="T379" s="2" t="inlineStr">
        <is>
          <t>Under</t>
        </is>
      </c>
      <c r="U379" s="4" t="n">
        <v>148</v>
      </c>
      <c r="V379" s="2" t="n">
        <v>2.48</v>
      </c>
      <c r="W379" s="4" t="n">
        <v>148</v>
      </c>
      <c r="X379" s="2" t="n">
        <v>1</v>
      </c>
      <c r="Y379" s="5" t="n">
        <v>1.48</v>
      </c>
      <c r="Z379" s="7" t="n">
        <v>100</v>
      </c>
      <c r="AA379" s="7">
        <f>Y379*Z379</f>
        <v/>
      </c>
      <c r="AB379" s="6">
        <f>IF(Z379=0,0,AA379/Z379)</f>
        <v/>
      </c>
      <c r="AC379" s="6" t="n"/>
      <c r="AD379" s="2" t="inlineStr">
        <is>
          <t>Win</t>
        </is>
      </c>
      <c r="AE379" s="6">
        <f>IF((COUNTIF($AD$2:AD379,"Win")+COUNTIF($AD$2:AD379,"Loss"))=0,0,COUNTIF($AD$2:AD379,"Win")/(COUNTIF($AD$2:AD379,"Win")+COUNTIF($AD$2:AD379,"Loss")))</f>
        <v/>
      </c>
      <c r="AF379" s="6">
        <f>SUM($Y$2:Y379)/SUM($X$2:X379)</f>
        <v/>
      </c>
      <c r="AG379" s="5">
        <f>SUM($Y$2:Y379)</f>
        <v/>
      </c>
      <c r="AH379" s="7">
        <f>10000.0+SUM($AA$2:AA379)</f>
        <v/>
      </c>
      <c r="AI379" s="2" t="n">
        <v>2025</v>
      </c>
      <c r="AJ379" s="2" t="inlineStr">
        <is>
          <t>2025-09</t>
        </is>
      </c>
      <c r="AK379" s="2" t="inlineStr">
        <is>
          <t>+121 to +150</t>
        </is>
      </c>
      <c r="AL379" s="2" t="inlineStr">
        <is>
          <t>2025 Validation</t>
        </is>
      </c>
      <c r="AM379" s="6" t="n">
        <v>0.117237678566834</v>
      </c>
    </row>
    <row r="380">
      <c r="A380" s="2" t="inlineStr">
        <is>
          <t>KPROP-00379</t>
        </is>
      </c>
      <c r="B380" s="3" t="n">
        <v>45921.59072916667</v>
      </c>
      <c r="C380" s="3" t="n">
        <v>45921</v>
      </c>
      <c r="D380" s="2" t="inlineStr">
        <is>
          <t>Michael King</t>
        </is>
      </c>
      <c r="E380" s="2" t="n">
        <v>135</v>
      </c>
      <c r="F380" s="2" t="n">
        <v>145</v>
      </c>
      <c r="G380" s="2" t="inlineStr">
        <is>
          <t>Away</t>
        </is>
      </c>
      <c r="H380" s="2" t="inlineStr">
        <is>
          <t>betrivers</t>
        </is>
      </c>
      <c r="I380" s="4" t="n"/>
      <c r="J380" s="4" t="n"/>
      <c r="K380" s="4" t="n">
        <v>-137</v>
      </c>
      <c r="L380" s="4" t="n">
        <v>-137</v>
      </c>
      <c r="M380" s="5" t="n">
        <v>5.5</v>
      </c>
      <c r="N380" s="5" t="n">
        <v>4.816881226895056</v>
      </c>
      <c r="O380" s="5" t="n">
        <v>5.5</v>
      </c>
      <c r="P380" s="5" t="n">
        <v>0.683118773104944</v>
      </c>
      <c r="Q380" s="6" t="n">
        <v>0.1210886677755057</v>
      </c>
      <c r="R380" s="6" t="n">
        <v>0.6480554746212839</v>
      </c>
      <c r="S380" s="6" t="n">
        <v>0.5575551655901131</v>
      </c>
      <c r="T380" s="2" t="inlineStr">
        <is>
          <t>Under</t>
        </is>
      </c>
      <c r="U380" s="4" t="n">
        <v>-137</v>
      </c>
      <c r="V380" s="2" t="n">
        <v>1.72992700729927</v>
      </c>
      <c r="W380" s="4" t="n">
        <v>-137</v>
      </c>
      <c r="X380" s="2" t="n">
        <v>1</v>
      </c>
      <c r="Y380" s="5" t="n">
        <v>0.7299270072992701</v>
      </c>
      <c r="Z380" s="7" t="n">
        <v>100</v>
      </c>
      <c r="AA380" s="7">
        <f>Y380*Z380</f>
        <v/>
      </c>
      <c r="AB380" s="6">
        <f>IF(Z380=0,0,AA380/Z380)</f>
        <v/>
      </c>
      <c r="AC380" s="6" t="n"/>
      <c r="AD380" s="2" t="inlineStr">
        <is>
          <t>Win</t>
        </is>
      </c>
      <c r="AE380" s="6">
        <f>IF((COUNTIF($AD$2:AD380,"Win")+COUNTIF($AD$2:AD380,"Loss"))=0,0,COUNTIF($AD$2:AD380,"Win")/(COUNTIF($AD$2:AD380,"Win")+COUNTIF($AD$2:AD380,"Loss")))</f>
        <v/>
      </c>
      <c r="AF380" s="6">
        <f>SUM($Y$2:Y380)/SUM($X$2:X380)</f>
        <v/>
      </c>
      <c r="AG380" s="5">
        <f>SUM($Y$2:Y380)</f>
        <v/>
      </c>
      <c r="AH380" s="7">
        <f>10000.0+SUM($AA$2:AA380)</f>
        <v/>
      </c>
      <c r="AI380" s="2" t="n">
        <v>2025</v>
      </c>
      <c r="AJ380" s="2" t="inlineStr">
        <is>
          <t>2025-09</t>
        </is>
      </c>
      <c r="AK380" s="2" t="inlineStr">
        <is>
          <t>-149 to -120</t>
        </is>
      </c>
      <c r="AL380" s="2" t="inlineStr">
        <is>
          <t>2025 Validation</t>
        </is>
      </c>
      <c r="AM380" s="6" t="n">
        <v>0.1658914748524428</v>
      </c>
    </row>
    <row r="381">
      <c r="A381" s="2" t="inlineStr">
        <is>
          <t>KPROP-00380</t>
        </is>
      </c>
      <c r="B381" s="3" t="n">
        <v>45921.59072916667</v>
      </c>
      <c r="C381" s="3" t="n">
        <v>45921</v>
      </c>
      <c r="D381" s="2" t="inlineStr">
        <is>
          <t>Simeon Woods Richardson</t>
        </is>
      </c>
      <c r="E381" s="2" t="n">
        <v>142</v>
      </c>
      <c r="F381" s="2" t="n">
        <v>114</v>
      </c>
      <c r="G381" s="2" t="inlineStr">
        <is>
          <t>Home</t>
        </is>
      </c>
      <c r="H381" s="2" t="inlineStr">
        <is>
          <t>betmgm</t>
        </is>
      </c>
      <c r="I381" s="4" t="n"/>
      <c r="J381" s="4" t="n"/>
      <c r="K381" s="4" t="n">
        <v>110</v>
      </c>
      <c r="L381" s="4" t="n">
        <v>110</v>
      </c>
      <c r="M381" s="5" t="n">
        <v>4.5</v>
      </c>
      <c r="N381" s="5" t="n">
        <v>4.490715701154237</v>
      </c>
      <c r="O381" s="5" t="n">
        <v>4.5</v>
      </c>
      <c r="P381" s="5" t="n">
        <v>0.009284298845763317</v>
      </c>
      <c r="Q381" s="6" t="n">
        <v>0.1211200937267196</v>
      </c>
      <c r="R381" s="6" t="n">
        <v>0.5338667112984379</v>
      </c>
      <c r="S381" s="6" t="n">
        <v>0.4572564612326044</v>
      </c>
      <c r="T381" s="2" t="inlineStr">
        <is>
          <t>Under</t>
        </is>
      </c>
      <c r="U381" s="4" t="n">
        <v>110</v>
      </c>
      <c r="V381" s="2" t="n">
        <v>2.1</v>
      </c>
      <c r="W381" s="4" t="n">
        <v>110</v>
      </c>
      <c r="X381" s="2" t="n">
        <v>1</v>
      </c>
      <c r="Y381" s="5" t="n">
        <v>1.1</v>
      </c>
      <c r="Z381" s="7" t="n">
        <v>100</v>
      </c>
      <c r="AA381" s="7">
        <f>Y381*Z381</f>
        <v/>
      </c>
      <c r="AB381" s="6">
        <f>IF(Z381=0,0,AA381/Z381)</f>
        <v/>
      </c>
      <c r="AC381" s="6" t="n"/>
      <c r="AD381" s="2" t="inlineStr">
        <is>
          <t>Win</t>
        </is>
      </c>
      <c r="AE381" s="6">
        <f>IF((COUNTIF($AD$2:AD381,"Win")+COUNTIF($AD$2:AD381,"Loss"))=0,0,COUNTIF($AD$2:AD381,"Win")/(COUNTIF($AD$2:AD381,"Win")+COUNTIF($AD$2:AD381,"Loss")))</f>
        <v/>
      </c>
      <c r="AF381" s="6">
        <f>SUM($Y$2:Y381)/SUM($X$2:X381)</f>
        <v/>
      </c>
      <c r="AG381" s="5">
        <f>SUM($Y$2:Y381)</f>
        <v/>
      </c>
      <c r="AH381" s="7">
        <f>10000.0+SUM($AA$2:AA381)</f>
        <v/>
      </c>
      <c r="AI381" s="2" t="n">
        <v>2025</v>
      </c>
      <c r="AJ381" s="2" t="inlineStr">
        <is>
          <t>2025-09</t>
        </is>
      </c>
      <c r="AK381" s="2" t="inlineStr">
        <is>
          <t>+100 to +120</t>
        </is>
      </c>
      <c r="AL381" s="2" t="inlineStr">
        <is>
          <t>2025 Validation</t>
        </is>
      </c>
      <c r="AM381" s="6" t="n">
        <v>0.1101091761151996</v>
      </c>
    </row>
    <row r="382">
      <c r="A382" s="2" t="inlineStr">
        <is>
          <t>KPROP-00381</t>
        </is>
      </c>
      <c r="B382" s="3" t="n">
        <v>45921.56989583333</v>
      </c>
      <c r="C382" s="3" t="n">
        <v>45921</v>
      </c>
      <c r="D382" s="2" t="inlineStr">
        <is>
          <t>Spencer Strider</t>
        </is>
      </c>
      <c r="E382" s="2" t="n">
        <v>144</v>
      </c>
      <c r="F382" s="2" t="n">
        <v>116</v>
      </c>
      <c r="G382" s="2" t="inlineStr">
        <is>
          <t>Away</t>
        </is>
      </c>
      <c r="H382" s="2" t="inlineStr">
        <is>
          <t>betmgm</t>
        </is>
      </c>
      <c r="I382" s="4" t="n"/>
      <c r="J382" s="4" t="n"/>
      <c r="K382" s="4" t="n">
        <v>-118</v>
      </c>
      <c r="L382" s="4" t="n">
        <v>-118</v>
      </c>
      <c r="M382" s="5" t="n">
        <v>6.5</v>
      </c>
      <c r="N382" s="5" t="n">
        <v>5.974573514285443</v>
      </c>
      <c r="O382" s="5" t="n">
        <v>6.5</v>
      </c>
      <c r="P382" s="5" t="n">
        <v>0.525426485714557</v>
      </c>
      <c r="Q382" s="6" t="n">
        <v>0.1276637323688633</v>
      </c>
      <c r="R382" s="6" t="n">
        <v>0.6103867909152563</v>
      </c>
      <c r="S382" s="6" t="n">
        <v>0.5235389255584212</v>
      </c>
      <c r="T382" s="2" t="inlineStr">
        <is>
          <t>Under</t>
        </is>
      </c>
      <c r="U382" s="4" t="n">
        <v>-118</v>
      </c>
      <c r="V382" s="2" t="n">
        <v>1.847457627118644</v>
      </c>
      <c r="W382" s="4" t="n">
        <v>-118</v>
      </c>
      <c r="X382" s="2" t="n">
        <v>1</v>
      </c>
      <c r="Y382" s="5" t="n">
        <v>0.847457627118644</v>
      </c>
      <c r="Z382" s="7" t="n">
        <v>100</v>
      </c>
      <c r="AA382" s="7">
        <f>Y382*Z382</f>
        <v/>
      </c>
      <c r="AB382" s="6">
        <f>IF(Z382=0,0,AA382/Z382)</f>
        <v/>
      </c>
      <c r="AC382" s="6" t="n"/>
      <c r="AD382" s="2" t="inlineStr">
        <is>
          <t>Win</t>
        </is>
      </c>
      <c r="AE382" s="6">
        <f>IF((COUNTIF($AD$2:AD382,"Win")+COUNTIF($AD$2:AD382,"Loss"))=0,0,COUNTIF($AD$2:AD382,"Win")/(COUNTIF($AD$2:AD382,"Win")+COUNTIF($AD$2:AD382,"Loss")))</f>
        <v/>
      </c>
      <c r="AF382" s="6">
        <f>SUM($Y$2:Y382)/SUM($X$2:X382)</f>
        <v/>
      </c>
      <c r="AG382" s="5">
        <f>SUM($Y$2:Y382)</f>
        <v/>
      </c>
      <c r="AH382" s="7">
        <f>10000.0+SUM($AA$2:AA382)</f>
        <v/>
      </c>
      <c r="AI382" s="2" t="n">
        <v>2025</v>
      </c>
      <c r="AJ382" s="2" t="inlineStr">
        <is>
          <t>2025-09</t>
        </is>
      </c>
      <c r="AK382" s="2" t="inlineStr">
        <is>
          <t>-119 to -101</t>
        </is>
      </c>
      <c r="AL382" s="2" t="inlineStr">
        <is>
          <t>2025 Validation</t>
        </is>
      </c>
      <c r="AM382" s="6" t="n">
        <v>0.1506432041952587</v>
      </c>
    </row>
    <row r="383">
      <c r="A383" s="2" t="inlineStr">
        <is>
          <t>KPROP-00382</t>
        </is>
      </c>
      <c r="B383" s="3" t="n">
        <v>45922.80253472222</v>
      </c>
      <c r="C383" s="3" t="n">
        <v>45922</v>
      </c>
      <c r="D383" s="2" t="inlineStr">
        <is>
          <t>Chris Sale</t>
        </is>
      </c>
      <c r="E383" s="2" t="n">
        <v>144</v>
      </c>
      <c r="F383" s="2" t="n">
        <v>120</v>
      </c>
      <c r="G383" s="2" t="inlineStr">
        <is>
          <t>Home</t>
        </is>
      </c>
      <c r="H383" s="2" t="inlineStr">
        <is>
          <t>fanduel</t>
        </is>
      </c>
      <c r="I383" s="4" t="n"/>
      <c r="J383" s="4" t="n"/>
      <c r="K383" s="4" t="n">
        <v>-102</v>
      </c>
      <c r="L383" s="4" t="n">
        <v>-102</v>
      </c>
      <c r="M383" s="5" t="n">
        <v>8.5</v>
      </c>
      <c r="N383" s="5" t="n">
        <v>7.716169154678607</v>
      </c>
      <c r="O383" s="5" t="n">
        <v>8.5</v>
      </c>
      <c r="P383" s="5" t="n">
        <v>0.7838308453213934</v>
      </c>
      <c r="Q383" s="6" t="n">
        <v>0.2518033279165512</v>
      </c>
      <c r="R383" s="6" t="n">
        <v>0.6320987101360803</v>
      </c>
      <c r="S383" s="6" t="n">
        <v>0.4908340971585702</v>
      </c>
      <c r="T383" s="2" t="inlineStr">
        <is>
          <t>Under</t>
        </is>
      </c>
      <c r="U383" s="4" t="n">
        <v>-102</v>
      </c>
      <c r="V383" s="2" t="n">
        <v>1.980392156862745</v>
      </c>
      <c r="W383" s="4" t="n">
        <v>-102</v>
      </c>
      <c r="X383" s="2" t="n">
        <v>1</v>
      </c>
      <c r="Y383" s="5" t="n">
        <v>0.9803921568627452</v>
      </c>
      <c r="Z383" s="7" t="n">
        <v>100</v>
      </c>
      <c r="AA383" s="7">
        <f>Y383*Z383</f>
        <v/>
      </c>
      <c r="AB383" s="6">
        <f>IF(Z383=0,0,AA383/Z383)</f>
        <v/>
      </c>
      <c r="AC383" s="6" t="n"/>
      <c r="AD383" s="2" t="inlineStr">
        <is>
          <t>Win</t>
        </is>
      </c>
      <c r="AE383" s="6">
        <f>IF((COUNTIF($AD$2:AD383,"Win")+COUNTIF($AD$2:AD383,"Loss"))=0,0,COUNTIF($AD$2:AD383,"Win")/(COUNTIF($AD$2:AD383,"Win")+COUNTIF($AD$2:AD383,"Loss")))</f>
        <v/>
      </c>
      <c r="AF383" s="6">
        <f>SUM($Y$2:Y383)/SUM($X$2:X383)</f>
        <v/>
      </c>
      <c r="AG383" s="5">
        <f>SUM($Y$2:Y383)</f>
        <v/>
      </c>
      <c r="AH383" s="7">
        <f>10000.0+SUM($AA$2:AA383)</f>
        <v/>
      </c>
      <c r="AI383" s="2" t="n">
        <v>2025</v>
      </c>
      <c r="AJ383" s="2" t="inlineStr">
        <is>
          <t>2025-09</t>
        </is>
      </c>
      <c r="AK383" s="2" t="inlineStr">
        <is>
          <t>-119 to -101</t>
        </is>
      </c>
      <c r="AL383" s="2" t="inlineStr">
        <is>
          <t>2025 Validation</t>
        </is>
      </c>
      <c r="AM383" s="6" t="n">
        <v>0.2568393944748822</v>
      </c>
    </row>
    <row r="384">
      <c r="A384" s="2" t="inlineStr">
        <is>
          <t>KPROP-00383</t>
        </is>
      </c>
      <c r="B384" s="3" t="n">
        <v>45923.7712962963</v>
      </c>
      <c r="C384" s="3" t="n">
        <v>45923</v>
      </c>
      <c r="D384" s="2" t="inlineStr">
        <is>
          <t>Dean Kremer</t>
        </is>
      </c>
      <c r="E384" s="2" t="n">
        <v>110</v>
      </c>
      <c r="F384" s="2" t="n">
        <v>139</v>
      </c>
      <c r="G384" s="2" t="inlineStr">
        <is>
          <t>Home</t>
        </is>
      </c>
      <c r="H384" s="2" t="inlineStr">
        <is>
          <t>betrivers</t>
        </is>
      </c>
      <c r="I384" s="4" t="n"/>
      <c r="J384" s="4" t="n"/>
      <c r="K384" s="4" t="n">
        <v>125</v>
      </c>
      <c r="L384" s="4" t="n">
        <v>125</v>
      </c>
      <c r="M384" s="5" t="n">
        <v>4.5</v>
      </c>
      <c r="N384" s="5" t="n">
        <v>4.424858492902233</v>
      </c>
      <c r="O384" s="5" t="n">
        <v>4.5</v>
      </c>
      <c r="P384" s="5" t="n">
        <v>0.07514150709776679</v>
      </c>
      <c r="Q384" s="6" t="n">
        <v>0.2294517997841523</v>
      </c>
      <c r="R384" s="6" t="n">
        <v>0.5464230221262899</v>
      </c>
      <c r="S384" s="6" t="n">
        <v>0.4288840262582057</v>
      </c>
      <c r="T384" s="2" t="inlineStr">
        <is>
          <t>Under</t>
        </is>
      </c>
      <c r="U384" s="4" t="n">
        <v>125</v>
      </c>
      <c r="V384" s="2" t="n">
        <v>2.25</v>
      </c>
      <c r="W384" s="4" t="n">
        <v>125</v>
      </c>
      <c r="X384" s="2" t="n">
        <v>1</v>
      </c>
      <c r="Y384" s="5" t="n">
        <v>1.25</v>
      </c>
      <c r="Z384" s="7" t="n">
        <v>100</v>
      </c>
      <c r="AA384" s="7">
        <f>Y384*Z384</f>
        <v/>
      </c>
      <c r="AB384" s="6">
        <f>IF(Z384=0,0,AA384/Z384)</f>
        <v/>
      </c>
      <c r="AC384" s="6" t="n"/>
      <c r="AD384" s="2" t="inlineStr">
        <is>
          <t>Win</t>
        </is>
      </c>
      <c r="AE384" s="6">
        <f>IF((COUNTIF($AD$2:AD384,"Win")+COUNTIF($AD$2:AD384,"Loss"))=0,0,COUNTIF($AD$2:AD384,"Win")/(COUNTIF($AD$2:AD384,"Win")+COUNTIF($AD$2:AD384,"Loss")))</f>
        <v/>
      </c>
      <c r="AF384" s="6">
        <f>SUM($Y$2:Y384)/SUM($X$2:X384)</f>
        <v/>
      </c>
      <c r="AG384" s="5">
        <f>SUM($Y$2:Y384)</f>
        <v/>
      </c>
      <c r="AH384" s="7">
        <f>10000.0+SUM($AA$2:AA384)</f>
        <v/>
      </c>
      <c r="AI384" s="2" t="n">
        <v>2025</v>
      </c>
      <c r="AJ384" s="2" t="inlineStr">
        <is>
          <t>2025-09</t>
        </is>
      </c>
      <c r="AK384" s="2" t="inlineStr">
        <is>
          <t>+121 to +150</t>
        </is>
      </c>
      <c r="AL384" s="2" t="inlineStr">
        <is>
          <t>2025 Validation</t>
        </is>
      </c>
      <c r="AM384" s="6" t="n">
        <v>0.1835614398273218</v>
      </c>
    </row>
    <row r="385">
      <c r="A385" s="2" t="inlineStr">
        <is>
          <t>KPROP-00384</t>
        </is>
      </c>
      <c r="B385" s="3" t="n">
        <v>45923.7712962963</v>
      </c>
      <c r="C385" s="3" t="n">
        <v>45923</v>
      </c>
      <c r="D385" s="2" t="inlineStr">
        <is>
          <t>Dean Kremer</t>
        </is>
      </c>
      <c r="E385" s="2" t="n">
        <v>110</v>
      </c>
      <c r="F385" s="2" t="n">
        <v>139</v>
      </c>
      <c r="G385" s="2" t="inlineStr">
        <is>
          <t>Home</t>
        </is>
      </c>
      <c r="H385" s="2" t="inlineStr">
        <is>
          <t>betrivers</t>
        </is>
      </c>
      <c r="I385" s="4" t="n"/>
      <c r="J385" s="4" t="n"/>
      <c r="K385" s="4" t="n">
        <v>-167</v>
      </c>
      <c r="L385" s="4" t="n">
        <v>-167</v>
      </c>
      <c r="M385" s="5" t="n">
        <v>5.5</v>
      </c>
      <c r="N385" s="5" t="n">
        <v>4.424858492902233</v>
      </c>
      <c r="O385" s="5" t="n">
        <v>5.5</v>
      </c>
      <c r="P385" s="5" t="n">
        <v>1.075141507097767</v>
      </c>
      <c r="Q385" s="6" t="n">
        <v>0.1442791787530971</v>
      </c>
      <c r="R385" s="6" t="n">
        <v>0.7157101979466938</v>
      </c>
      <c r="S385" s="6" t="n">
        <v>0.5878103001111522</v>
      </c>
      <c r="T385" s="2" t="inlineStr">
        <is>
          <t>Under</t>
        </is>
      </c>
      <c r="U385" s="4" t="n">
        <v>-167</v>
      </c>
      <c r="V385" s="2" t="n">
        <v>1.598802395209581</v>
      </c>
      <c r="W385" s="4" t="n">
        <v>-167</v>
      </c>
      <c r="X385" s="2" t="n">
        <v>1</v>
      </c>
      <c r="Y385" s="5" t="n">
        <v>0.5988023952095807</v>
      </c>
      <c r="Z385" s="7" t="n">
        <v>100</v>
      </c>
      <c r="AA385" s="7">
        <f>Y385*Z385</f>
        <v/>
      </c>
      <c r="AB385" s="6">
        <f>IF(Z385=0,0,AA385/Z385)</f>
        <v/>
      </c>
      <c r="AC385" s="6" t="n"/>
      <c r="AD385" s="2" t="inlineStr">
        <is>
          <t>Win</t>
        </is>
      </c>
      <c r="AE385" s="6">
        <f>IF((COUNTIF($AD$2:AD385,"Win")+COUNTIF($AD$2:AD385,"Loss"))=0,0,COUNTIF($AD$2:AD385,"Win")/(COUNTIF($AD$2:AD385,"Win")+COUNTIF($AD$2:AD385,"Loss")))</f>
        <v/>
      </c>
      <c r="AF385" s="6">
        <f>SUM($Y$2:Y385)/SUM($X$2:X385)</f>
        <v/>
      </c>
      <c r="AG385" s="5">
        <f>SUM($Y$2:Y385)</f>
        <v/>
      </c>
      <c r="AH385" s="7">
        <f>10000.0+SUM($AA$2:AA385)</f>
        <v/>
      </c>
      <c r="AI385" s="2" t="n">
        <v>2025</v>
      </c>
      <c r="AJ385" s="2" t="inlineStr">
        <is>
          <t>2025-09</t>
        </is>
      </c>
      <c r="AK385" s="2" t="inlineStr">
        <is>
          <t>&lt;= -150</t>
        </is>
      </c>
      <c r="AL385" s="2" t="inlineStr">
        <is>
          <t>2025 Validation</t>
        </is>
      </c>
      <c r="AM385" s="6" t="n">
        <v>0.2409462285176722</v>
      </c>
    </row>
    <row r="386">
      <c r="A386" s="2" t="inlineStr">
        <is>
          <t>KPROP-00385</t>
        </is>
      </c>
      <c r="B386" s="3" t="n">
        <v>45923.80253472222</v>
      </c>
      <c r="C386" s="3" t="n">
        <v>45923</v>
      </c>
      <c r="D386" s="2" t="inlineStr">
        <is>
          <t>Hurston Waldrep</t>
        </is>
      </c>
      <c r="E386" s="2" t="n">
        <v>144</v>
      </c>
      <c r="F386" s="2" t="n">
        <v>120</v>
      </c>
      <c r="G386" s="2" t="inlineStr">
        <is>
          <t>Home</t>
        </is>
      </c>
      <c r="H386" s="2" t="inlineStr">
        <is>
          <t>betrivers</t>
        </is>
      </c>
      <c r="I386" s="4" t="n"/>
      <c r="J386" s="4" t="n"/>
      <c r="K386" s="4" t="n">
        <v>132</v>
      </c>
      <c r="L386" s="4" t="n">
        <v>132</v>
      </c>
      <c r="M386" s="5" t="n">
        <v>4.5</v>
      </c>
      <c r="N386" s="5" t="n">
        <v>4.819390861762336</v>
      </c>
      <c r="O386" s="5" t="n">
        <v>4.5</v>
      </c>
      <c r="P386" s="5" t="n">
        <v>-0.3193908617623356</v>
      </c>
      <c r="Q386" s="6" t="n">
        <v>0.0967447205823494</v>
      </c>
      <c r="R386" s="6" t="n">
        <v>0.4727347933544609</v>
      </c>
      <c r="S386" s="6" t="n">
        <v>0.4004316710212427</v>
      </c>
      <c r="T386" s="2" t="inlineStr">
        <is>
          <t>Under</t>
        </is>
      </c>
      <c r="U386" s="4" t="n">
        <v>132</v>
      </c>
      <c r="V386" s="2" t="n">
        <v>2.32</v>
      </c>
      <c r="W386" s="4" t="n">
        <v>132</v>
      </c>
      <c r="X386" s="2" t="n">
        <v>1</v>
      </c>
      <c r="Y386" s="5" t="n">
        <v>-1</v>
      </c>
      <c r="Z386" s="7" t="n">
        <v>100</v>
      </c>
      <c r="AA386" s="7">
        <f>Y386*Z386</f>
        <v/>
      </c>
      <c r="AB386" s="6">
        <f>IF(Z386=0,0,AA386/Z386)</f>
        <v/>
      </c>
      <c r="AC386" s="6" t="n"/>
      <c r="AD386" s="2" t="inlineStr">
        <is>
          <t>Loss</t>
        </is>
      </c>
      <c r="AE386" s="6">
        <f>IF((COUNTIF($AD$2:AD386,"Win")+COUNTIF($AD$2:AD386,"Loss"))=0,0,COUNTIF($AD$2:AD386,"Win")/(COUNTIF($AD$2:AD386,"Win")+COUNTIF($AD$2:AD386,"Loss")))</f>
        <v/>
      </c>
      <c r="AF386" s="6">
        <f>SUM($Y$2:Y386)/SUM($X$2:X386)</f>
        <v/>
      </c>
      <c r="AG386" s="5">
        <f>SUM($Y$2:Y386)</f>
        <v/>
      </c>
      <c r="AH386" s="7">
        <f>10000.0+SUM($AA$2:AA386)</f>
        <v/>
      </c>
      <c r="AI386" s="2" t="n">
        <v>2025</v>
      </c>
      <c r="AJ386" s="2" t="inlineStr">
        <is>
          <t>2025-09</t>
        </is>
      </c>
      <c r="AK386" s="2" t="inlineStr">
        <is>
          <t>+121 to +150</t>
        </is>
      </c>
      <c r="AL386" s="2" t="inlineStr">
        <is>
          <t>2025 Validation</t>
        </is>
      </c>
      <c r="AM386" s="6" t="n">
        <v>0.07329145498662831</v>
      </c>
    </row>
    <row r="387">
      <c r="A387" s="2" t="inlineStr">
        <is>
          <t>KPROP-00386</t>
        </is>
      </c>
      <c r="B387" s="3" t="n">
        <v>45923.80253472222</v>
      </c>
      <c r="C387" s="3" t="n">
        <v>45923</v>
      </c>
      <c r="D387" s="2" t="inlineStr">
        <is>
          <t>Hurston Waldrep</t>
        </is>
      </c>
      <c r="E387" s="2" t="n">
        <v>144</v>
      </c>
      <c r="F387" s="2" t="n">
        <v>120</v>
      </c>
      <c r="G387" s="2" t="inlineStr">
        <is>
          <t>Home</t>
        </is>
      </c>
      <c r="H387" s="2" t="inlineStr">
        <is>
          <t>fanatics</t>
        </is>
      </c>
      <c r="I387" s="4" t="n"/>
      <c r="J387" s="4" t="n"/>
      <c r="K387" s="4" t="n">
        <v>-150</v>
      </c>
      <c r="L387" s="4" t="n">
        <v>-150</v>
      </c>
      <c r="M387" s="5" t="n">
        <v>5.5</v>
      </c>
      <c r="N387" s="5" t="n">
        <v>4.819390861762336</v>
      </c>
      <c r="O387" s="5" t="n">
        <v>5.5</v>
      </c>
      <c r="P387" s="5" t="n">
        <v>0.6806091382376644</v>
      </c>
      <c r="Q387" s="6" t="n">
        <v>0.07936100977375116</v>
      </c>
      <c r="R387" s="6" t="n">
        <v>0.6476166058642507</v>
      </c>
      <c r="S387" s="6" t="n">
        <v>0.5700773860705073</v>
      </c>
      <c r="T387" s="2" t="inlineStr">
        <is>
          <t>Under</t>
        </is>
      </c>
      <c r="U387" s="4" t="n">
        <v>-150</v>
      </c>
      <c r="V387" s="2" t="n">
        <v>1.666666666666667</v>
      </c>
      <c r="W387" s="4" t="n">
        <v>-150</v>
      </c>
      <c r="X387" s="2" t="n">
        <v>1</v>
      </c>
      <c r="Y387" s="5" t="n">
        <v>0.6666666666666665</v>
      </c>
      <c r="Z387" s="7" t="n">
        <v>100</v>
      </c>
      <c r="AA387" s="7">
        <f>Y387*Z387</f>
        <v/>
      </c>
      <c r="AB387" s="6">
        <f>IF(Z387=0,0,AA387/Z387)</f>
        <v/>
      </c>
      <c r="AC387" s="6" t="n"/>
      <c r="AD387" s="2" t="inlineStr">
        <is>
          <t>Win</t>
        </is>
      </c>
      <c r="AE387" s="6">
        <f>IF((COUNTIF($AD$2:AD387,"Win")+COUNTIF($AD$2:AD387,"Loss"))=0,0,COUNTIF($AD$2:AD387,"Win")/(COUNTIF($AD$2:AD387,"Win")+COUNTIF($AD$2:AD387,"Loss")))</f>
        <v/>
      </c>
      <c r="AF387" s="6">
        <f>SUM($Y$2:Y387)/SUM($X$2:X387)</f>
        <v/>
      </c>
      <c r="AG387" s="5">
        <f>SUM($Y$2:Y387)</f>
        <v/>
      </c>
      <c r="AH387" s="7">
        <f>10000.0+SUM($AA$2:AA387)</f>
        <v/>
      </c>
      <c r="AI387" s="2" t="n">
        <v>2025</v>
      </c>
      <c r="AJ387" s="2" t="inlineStr">
        <is>
          <t>2025-09</t>
        </is>
      </c>
      <c r="AK387" s="2" t="inlineStr">
        <is>
          <t>&lt;= -150</t>
        </is>
      </c>
      <c r="AL387" s="2" t="inlineStr">
        <is>
          <t>2025 Validation</t>
        </is>
      </c>
      <c r="AM387" s="6" t="n">
        <v>0.1190415146606268</v>
      </c>
    </row>
    <row r="388">
      <c r="A388" s="2" t="inlineStr">
        <is>
          <t>KPROP-00387</t>
        </is>
      </c>
      <c r="B388" s="3" t="n">
        <v>45923.77822916667</v>
      </c>
      <c r="C388" s="3" t="n">
        <v>45923</v>
      </c>
      <c r="D388" s="2" t="inlineStr">
        <is>
          <t>Tarik Skubal</t>
        </is>
      </c>
      <c r="E388" s="2" t="n">
        <v>116</v>
      </c>
      <c r="F388" s="2" t="n">
        <v>114</v>
      </c>
      <c r="G388" s="2" t="inlineStr">
        <is>
          <t>Away</t>
        </is>
      </c>
      <c r="H388" s="2" t="inlineStr">
        <is>
          <t>draftkings</t>
        </is>
      </c>
      <c r="I388" s="4" t="n"/>
      <c r="J388" s="4" t="n"/>
      <c r="K388" s="4" t="n">
        <v>114</v>
      </c>
      <c r="L388" s="4" t="n">
        <v>114</v>
      </c>
      <c r="M388" s="5" t="n">
        <v>7.5</v>
      </c>
      <c r="N388" s="5" t="n">
        <v>7.188053161150124</v>
      </c>
      <c r="O388" s="5" t="n">
        <v>7.5</v>
      </c>
      <c r="P388" s="5" t="n">
        <v>0.3119468388498756</v>
      </c>
      <c r="Q388" s="6" t="n">
        <v>0.2213336433068493</v>
      </c>
      <c r="R388" s="6" t="n">
        <v>0.5707166557508643</v>
      </c>
      <c r="S388" s="6" t="n">
        <v>0.4525777253049981</v>
      </c>
      <c r="T388" s="2" t="inlineStr">
        <is>
          <t>Under</t>
        </is>
      </c>
      <c r="U388" s="4" t="n">
        <v>114</v>
      </c>
      <c r="V388" s="2" t="n">
        <v>2.14</v>
      </c>
      <c r="W388" s="4" t="n">
        <v>114</v>
      </c>
      <c r="X388" s="2" t="n">
        <v>1</v>
      </c>
      <c r="Y388" s="5" t="n">
        <v>-1</v>
      </c>
      <c r="Z388" s="7" t="n">
        <v>100</v>
      </c>
      <c r="AA388" s="7">
        <f>Y388*Z388</f>
        <v/>
      </c>
      <c r="AB388" s="6">
        <f>IF(Z388=0,0,AA388/Z388)</f>
        <v/>
      </c>
      <c r="AC388" s="6" t="n"/>
      <c r="AD388" s="2" t="inlineStr">
        <is>
          <t>Loss</t>
        </is>
      </c>
      <c r="AE388" s="6">
        <f>IF((COUNTIF($AD$2:AD388,"Win")+COUNTIF($AD$2:AD388,"Loss"))=0,0,COUNTIF($AD$2:AD388,"Win")/(COUNTIF($AD$2:AD388,"Win")+COUNTIF($AD$2:AD388,"Loss")))</f>
        <v/>
      </c>
      <c r="AF388" s="6">
        <f>SUM($Y$2:Y388)/SUM($X$2:X388)</f>
        <v/>
      </c>
      <c r="AG388" s="5">
        <f>SUM($Y$2:Y388)</f>
        <v/>
      </c>
      <c r="AH388" s="7">
        <f>10000.0+SUM($AA$2:AA388)</f>
        <v/>
      </c>
      <c r="AI388" s="2" t="n">
        <v>2025</v>
      </c>
      <c r="AJ388" s="2" t="inlineStr">
        <is>
          <t>2025-09</t>
        </is>
      </c>
      <c r="AK388" s="2" t="inlineStr">
        <is>
          <t>+100 to +120</t>
        </is>
      </c>
      <c r="AL388" s="2" t="inlineStr">
        <is>
          <t>2025 Validation</t>
        </is>
      </c>
      <c r="AM388" s="6" t="n">
        <v>0.1941523186902188</v>
      </c>
    </row>
    <row r="389">
      <c r="A389" s="2" t="inlineStr">
        <is>
          <t>KPROP-00388</t>
        </is>
      </c>
      <c r="B389" s="3" t="n">
        <v>45924.77824074074</v>
      </c>
      <c r="C389" s="3" t="n">
        <v>45924</v>
      </c>
      <c r="D389" s="2" t="inlineStr">
        <is>
          <t>Hunter Greene</t>
        </is>
      </c>
      <c r="E389" s="2" t="n">
        <v>113</v>
      </c>
      <c r="F389" s="2" t="n">
        <v>134</v>
      </c>
      <c r="G389" s="2" t="inlineStr">
        <is>
          <t>Home</t>
        </is>
      </c>
      <c r="H389" s="2" t="inlineStr">
        <is>
          <t>draftkings</t>
        </is>
      </c>
      <c r="I389" s="4" t="n"/>
      <c r="J389" s="4" t="n"/>
      <c r="K389" s="4" t="n">
        <v>118</v>
      </c>
      <c r="L389" s="4" t="n">
        <v>118</v>
      </c>
      <c r="M389" s="5" t="n">
        <v>7.5</v>
      </c>
      <c r="N389" s="5" t="n">
        <v>7.505636435173531</v>
      </c>
      <c r="O389" s="5" t="n">
        <v>7.5</v>
      </c>
      <c r="P389" s="5" t="n">
        <v>-0.005636435173530963</v>
      </c>
      <c r="Q389" s="6" t="n">
        <v>0.1419124174147369</v>
      </c>
      <c r="R389" s="6" t="n">
        <v>0.5238130355113473</v>
      </c>
      <c r="S389" s="6" t="n">
        <v>0.4359537818104487</v>
      </c>
      <c r="T389" s="2" t="inlineStr">
        <is>
          <t>Under</t>
        </is>
      </c>
      <c r="U389" s="4" t="n">
        <v>118</v>
      </c>
      <c r="V389" s="2" t="n">
        <v>2.18</v>
      </c>
      <c r="W389" s="4" t="n">
        <v>118</v>
      </c>
      <c r="X389" s="2" t="n">
        <v>1</v>
      </c>
      <c r="Y389" s="5" t="n">
        <v>1.18</v>
      </c>
      <c r="Z389" s="7" t="n">
        <v>100</v>
      </c>
      <c r="AA389" s="7">
        <f>Y389*Z389</f>
        <v/>
      </c>
      <c r="AB389" s="6">
        <f>IF(Z389=0,0,AA389/Z389)</f>
        <v/>
      </c>
      <c r="AC389" s="6" t="n"/>
      <c r="AD389" s="2" t="inlineStr">
        <is>
          <t>Win</t>
        </is>
      </c>
      <c r="AE389" s="6">
        <f>IF((COUNTIF($AD$2:AD389,"Win")+COUNTIF($AD$2:AD389,"Loss"))=0,0,COUNTIF($AD$2:AD389,"Win")/(COUNTIF($AD$2:AD389,"Win")+COUNTIF($AD$2:AD389,"Loss")))</f>
        <v/>
      </c>
      <c r="AF389" s="6">
        <f>SUM($Y$2:Y389)/SUM($X$2:X389)</f>
        <v/>
      </c>
      <c r="AG389" s="5">
        <f>SUM($Y$2:Y389)</f>
        <v/>
      </c>
      <c r="AH389" s="7">
        <f>10000.0+SUM($AA$2:AA389)</f>
        <v/>
      </c>
      <c r="AI389" s="2" t="n">
        <v>2025</v>
      </c>
      <c r="AJ389" s="2" t="inlineStr">
        <is>
          <t>2025-09</t>
        </is>
      </c>
      <c r="AK389" s="2" t="inlineStr">
        <is>
          <t>+100 to +120</t>
        </is>
      </c>
      <c r="AL389" s="2" t="inlineStr">
        <is>
          <t>2025 Validation</t>
        </is>
      </c>
      <c r="AM389" s="6" t="n">
        <v>0.1202647605209635</v>
      </c>
    </row>
    <row r="390">
      <c r="A390" s="2" t="inlineStr">
        <is>
          <t>KPROP-00389</t>
        </is>
      </c>
      <c r="B390" s="3" t="n">
        <v>45924.795625</v>
      </c>
      <c r="C390" s="3" t="n">
        <v>45924</v>
      </c>
      <c r="D390" s="2" t="inlineStr">
        <is>
          <t>Max Scherzer</t>
        </is>
      </c>
      <c r="E390" s="2" t="n">
        <v>141</v>
      </c>
      <c r="F390" s="2" t="n">
        <v>111</v>
      </c>
      <c r="G390" s="2" t="inlineStr">
        <is>
          <t>Home</t>
        </is>
      </c>
      <c r="H390" s="2" t="inlineStr">
        <is>
          <t>bovada</t>
        </is>
      </c>
      <c r="I390" s="4" t="n"/>
      <c r="J390" s="4" t="n"/>
      <c r="K390" s="4" t="n">
        <v>-135</v>
      </c>
      <c r="L390" s="4" t="n">
        <v>-135</v>
      </c>
      <c r="M390" s="5" t="n">
        <v>5.5</v>
      </c>
      <c r="N390" s="5" t="n">
        <v>4.745193202145253</v>
      </c>
      <c r="O390" s="5" t="n">
        <v>5.5</v>
      </c>
      <c r="P390" s="5" t="n">
        <v>0.754806797854747</v>
      </c>
      <c r="Q390" s="6" t="n">
        <v>0.1498842904754487</v>
      </c>
      <c r="R390" s="6" t="n">
        <v>0.6605718264433429</v>
      </c>
      <c r="S390" s="6" t="n">
        <v>0.5467695274831245</v>
      </c>
      <c r="T390" s="2" t="inlineStr">
        <is>
          <t>Under</t>
        </is>
      </c>
      <c r="U390" s="4" t="n">
        <v>-135</v>
      </c>
      <c r="V390" s="2" t="n">
        <v>1.740740740740741</v>
      </c>
      <c r="W390" s="4" t="n">
        <v>-135</v>
      </c>
      <c r="X390" s="2" t="n">
        <v>1</v>
      </c>
      <c r="Y390" s="5" t="n">
        <v>0.7407407407407407</v>
      </c>
      <c r="Z390" s="7" t="n">
        <v>100</v>
      </c>
      <c r="AA390" s="7">
        <f>Y390*Z390</f>
        <v/>
      </c>
      <c r="AB390" s="6">
        <f>IF(Z390=0,0,AA390/Z390)</f>
        <v/>
      </c>
      <c r="AC390" s="6" t="n"/>
      <c r="AD390" s="2" t="inlineStr">
        <is>
          <t>Win</t>
        </is>
      </c>
      <c r="AE390" s="6">
        <f>IF((COUNTIF($AD$2:AD390,"Win")+COUNTIF($AD$2:AD390,"Loss"))=0,0,COUNTIF($AD$2:AD390,"Win")/(COUNTIF($AD$2:AD390,"Win")+COUNTIF($AD$2:AD390,"Loss")))</f>
        <v/>
      </c>
      <c r="AF390" s="6">
        <f>SUM($Y$2:Y390)/SUM($X$2:X390)</f>
        <v/>
      </c>
      <c r="AG390" s="5">
        <f>SUM($Y$2:Y390)</f>
        <v/>
      </c>
      <c r="AH390" s="7">
        <f>10000.0+SUM($AA$2:AA390)</f>
        <v/>
      </c>
      <c r="AI390" s="2" t="n">
        <v>2025</v>
      </c>
      <c r="AJ390" s="2" t="inlineStr">
        <is>
          <t>2025-09</t>
        </is>
      </c>
      <c r="AK390" s="2" t="inlineStr">
        <is>
          <t>-149 to -120</t>
        </is>
      </c>
      <c r="AL390" s="2" t="inlineStr">
        <is>
          <t>2025 Validation</t>
        </is>
      </c>
      <c r="AM390" s="6" t="n">
        <v>0.2023437921418558</v>
      </c>
    </row>
    <row r="391">
      <c r="A391" s="2" t="inlineStr">
        <is>
          <t>KPROP-00390</t>
        </is>
      </c>
      <c r="B391" s="3" t="n">
        <v>45924.77476851852</v>
      </c>
      <c r="C391" s="3" t="n">
        <v>45924</v>
      </c>
      <c r="D391" s="2" t="inlineStr">
        <is>
          <t>Tyler Wells</t>
        </is>
      </c>
      <c r="E391" s="2" t="n">
        <v>110</v>
      </c>
      <c r="F391" s="2" t="n">
        <v>139</v>
      </c>
      <c r="G391" s="2" t="inlineStr">
        <is>
          <t>Home</t>
        </is>
      </c>
      <c r="H391" s="2" t="inlineStr">
        <is>
          <t>betrivers</t>
        </is>
      </c>
      <c r="I391" s="4" t="n"/>
      <c r="J391" s="4" t="n"/>
      <c r="K391" s="4" t="n">
        <v>133</v>
      </c>
      <c r="L391" s="4" t="n">
        <v>133</v>
      </c>
      <c r="M391" s="5" t="n">
        <v>4.5</v>
      </c>
      <c r="N391" s="5" t="n">
        <v>4.795342409716017</v>
      </c>
      <c r="O391" s="5" t="n">
        <v>4.5</v>
      </c>
      <c r="P391" s="5" t="n">
        <v>-0.2953424097160173</v>
      </c>
      <c r="Q391" s="6" t="n">
        <v>0.1116590723076484</v>
      </c>
      <c r="R391" s="6" t="n">
        <v>0.4771068979861152</v>
      </c>
      <c r="S391" s="6" t="n">
        <v>0.3975645694903946</v>
      </c>
      <c r="T391" s="2" t="inlineStr">
        <is>
          <t>Under</t>
        </is>
      </c>
      <c r="U391" s="4" t="n">
        <v>133</v>
      </c>
      <c r="V391" s="2" t="n">
        <v>2.33</v>
      </c>
      <c r="W391" s="4" t="n">
        <v>133</v>
      </c>
      <c r="X391" s="2" t="n">
        <v>1</v>
      </c>
      <c r="Y391" s="5" t="n">
        <v>1.33</v>
      </c>
      <c r="Z391" s="7" t="n">
        <v>100</v>
      </c>
      <c r="AA391" s="7">
        <f>Y391*Z391</f>
        <v/>
      </c>
      <c r="AB391" s="6">
        <f>IF(Z391=0,0,AA391/Z391)</f>
        <v/>
      </c>
      <c r="AC391" s="6" t="n"/>
      <c r="AD391" s="2" t="inlineStr">
        <is>
          <t>Win</t>
        </is>
      </c>
      <c r="AE391" s="6">
        <f>IF((COUNTIF($AD$2:AD391,"Win")+COUNTIF($AD$2:AD391,"Loss"))=0,0,COUNTIF($AD$2:AD391,"Win")/(COUNTIF($AD$2:AD391,"Win")+COUNTIF($AD$2:AD391,"Loss")))</f>
        <v/>
      </c>
      <c r="AF391" s="6">
        <f>SUM($Y$2:Y391)/SUM($X$2:X391)</f>
        <v/>
      </c>
      <c r="AG391" s="5">
        <f>SUM($Y$2:Y391)</f>
        <v/>
      </c>
      <c r="AH391" s="7">
        <f>10000.0+SUM($AA$2:AA391)</f>
        <v/>
      </c>
      <c r="AI391" s="2" t="n">
        <v>2025</v>
      </c>
      <c r="AJ391" s="2" t="inlineStr">
        <is>
          <t>2025-09</t>
        </is>
      </c>
      <c r="AK391" s="2" t="inlineStr">
        <is>
          <t>+121 to +150</t>
        </is>
      </c>
      <c r="AL391" s="2" t="inlineStr">
        <is>
          <t>2025 Validation</t>
        </is>
      </c>
      <c r="AM391" s="6" t="n">
        <v>0.08395418970499878</v>
      </c>
    </row>
    <row r="392">
      <c r="A392" s="2" t="inlineStr">
        <is>
          <t>KPROP-00391</t>
        </is>
      </c>
      <c r="B392" s="3" t="n">
        <v>45925.60809027778</v>
      </c>
      <c r="C392" s="3" t="n">
        <v>45925</v>
      </c>
      <c r="D392" s="2" t="inlineStr">
        <is>
          <t>Bailey Ober</t>
        </is>
      </c>
      <c r="E392" s="2" t="n">
        <v>142</v>
      </c>
      <c r="F392" s="2" t="n">
        <v>140</v>
      </c>
      <c r="G392" s="2" t="inlineStr">
        <is>
          <t>Away</t>
        </is>
      </c>
      <c r="H392" s="2" t="inlineStr">
        <is>
          <t>betmgm</t>
        </is>
      </c>
      <c r="I392" s="4" t="n"/>
      <c r="J392" s="4" t="n"/>
      <c r="K392" s="4" t="n">
        <v>110</v>
      </c>
      <c r="L392" s="4" t="n">
        <v>110</v>
      </c>
      <c r="M392" s="5" t="n">
        <v>4.5</v>
      </c>
      <c r="N392" s="5" t="n">
        <v>4.237887102097529</v>
      </c>
      <c r="O392" s="5" t="n">
        <v>4.5</v>
      </c>
      <c r="P392" s="5" t="n">
        <v>0.2621128979024707</v>
      </c>
      <c r="Q392" s="6" t="n">
        <v>0.2231826123475496</v>
      </c>
      <c r="R392" s="6" t="n">
        <v>0.5824679106416902</v>
      </c>
      <c r="S392" s="6" t="n">
        <v>0.4516866781017724</v>
      </c>
      <c r="T392" s="2" t="inlineStr">
        <is>
          <t>Under</t>
        </is>
      </c>
      <c r="U392" s="4" t="n">
        <v>110</v>
      </c>
      <c r="V392" s="2" t="n">
        <v>2.1</v>
      </c>
      <c r="W392" s="4" t="n">
        <v>110</v>
      </c>
      <c r="X392" s="2" t="n">
        <v>1</v>
      </c>
      <c r="Y392" s="5" t="n">
        <v>-1</v>
      </c>
      <c r="Z392" s="7" t="n">
        <v>100</v>
      </c>
      <c r="AA392" s="7">
        <f>Y392*Z392</f>
        <v/>
      </c>
      <c r="AB392" s="6">
        <f>IF(Z392=0,0,AA392/Z392)</f>
        <v/>
      </c>
      <c r="AC392" s="6" t="n"/>
      <c r="AD392" s="2" t="inlineStr">
        <is>
          <t>Loss</t>
        </is>
      </c>
      <c r="AE392" s="6">
        <f>IF((COUNTIF($AD$2:AD392,"Win")+COUNTIF($AD$2:AD392,"Loss"))=0,0,COUNTIF($AD$2:AD392,"Win")/(COUNTIF($AD$2:AD392,"Win")+COUNTIF($AD$2:AD392,"Loss")))</f>
        <v/>
      </c>
      <c r="AF392" s="6">
        <f>SUM($Y$2:Y392)/SUM($X$2:X392)</f>
        <v/>
      </c>
      <c r="AG392" s="5">
        <f>SUM($Y$2:Y392)</f>
        <v/>
      </c>
      <c r="AH392" s="7">
        <f>10000.0+SUM($AA$2:AA392)</f>
        <v/>
      </c>
      <c r="AI392" s="2" t="n">
        <v>2025</v>
      </c>
      <c r="AJ392" s="2" t="inlineStr">
        <is>
          <t>2025-09</t>
        </is>
      </c>
      <c r="AK392" s="2" t="inlineStr">
        <is>
          <t>+100 to +120</t>
        </is>
      </c>
      <c r="AL392" s="2" t="inlineStr">
        <is>
          <t>2025 Validation</t>
        </is>
      </c>
      <c r="AM392" s="6" t="n">
        <v>0.2028932839523178</v>
      </c>
    </row>
    <row r="393">
      <c r="A393" s="2" t="inlineStr">
        <is>
          <t>KPROP-00392</t>
        </is>
      </c>
      <c r="B393" s="3" t="n">
        <v>45925.56990740741</v>
      </c>
      <c r="C393" s="3" t="n">
        <v>45925</v>
      </c>
      <c r="D393" s="2" t="inlineStr">
        <is>
          <t>Nick Lodolo</t>
        </is>
      </c>
      <c r="E393" s="2" t="n">
        <v>113</v>
      </c>
      <c r="F393" s="2" t="n">
        <v>134</v>
      </c>
      <c r="G393" s="2" t="inlineStr">
        <is>
          <t>Home</t>
        </is>
      </c>
      <c r="H393" s="2" t="inlineStr">
        <is>
          <t>fanduel</t>
        </is>
      </c>
      <c r="I393" s="4" t="n"/>
      <c r="J393" s="4" t="n"/>
      <c r="K393" s="4" t="n">
        <v>-112</v>
      </c>
      <c r="L393" s="4" t="n">
        <v>-112</v>
      </c>
      <c r="M393" s="5" t="n">
        <v>6.5</v>
      </c>
      <c r="N393" s="5" t="n">
        <v>6.053781212493389</v>
      </c>
      <c r="O393" s="5" t="n">
        <v>6.5</v>
      </c>
      <c r="P393" s="5" t="n">
        <v>0.446218787506611</v>
      </c>
      <c r="Q393" s="6" t="n">
        <v>0.1312944000221546</v>
      </c>
      <c r="R393" s="6" t="n">
        <v>0.5976649660494402</v>
      </c>
      <c r="S393" s="6" t="n">
        <v>0.5</v>
      </c>
      <c r="T393" s="2" t="inlineStr">
        <is>
          <t>Under</t>
        </is>
      </c>
      <c r="U393" s="4" t="n">
        <v>-112</v>
      </c>
      <c r="V393" s="2" t="n">
        <v>1.892857142857143</v>
      </c>
      <c r="W393" s="4" t="n">
        <v>-112</v>
      </c>
      <c r="X393" s="2" t="n">
        <v>1</v>
      </c>
      <c r="Y393" s="5" t="n">
        <v>-1</v>
      </c>
      <c r="Z393" s="7" t="n">
        <v>100</v>
      </c>
      <c r="AA393" s="7">
        <f>Y393*Z393</f>
        <v/>
      </c>
      <c r="AB393" s="6">
        <f>IF(Z393=0,0,AA393/Z393)</f>
        <v/>
      </c>
      <c r="AC393" s="6" t="n"/>
      <c r="AD393" s="2" t="inlineStr">
        <is>
          <t>Loss</t>
        </is>
      </c>
      <c r="AE393" s="6">
        <f>IF((COUNTIF($AD$2:AD393,"Win")+COUNTIF($AD$2:AD393,"Loss"))=0,0,COUNTIF($AD$2:AD393,"Win")/(COUNTIF($AD$2:AD393,"Win")+COUNTIF($AD$2:AD393,"Loss")))</f>
        <v/>
      </c>
      <c r="AF393" s="6">
        <f>SUM($Y$2:Y393)/SUM($X$2:X393)</f>
        <v/>
      </c>
      <c r="AG393" s="5">
        <f>SUM($Y$2:Y393)</f>
        <v/>
      </c>
      <c r="AH393" s="7">
        <f>10000.0+SUM($AA$2:AA393)</f>
        <v/>
      </c>
      <c r="AI393" s="2" t="n">
        <v>2025</v>
      </c>
      <c r="AJ393" s="2" t="inlineStr">
        <is>
          <t>2025-09</t>
        </is>
      </c>
      <c r="AK393" s="2" t="inlineStr">
        <is>
          <t>-119 to -101</t>
        </is>
      </c>
      <c r="AL393" s="2" t="inlineStr">
        <is>
          <t>2025 Validation</t>
        </is>
      </c>
      <c r="AM393" s="6" t="n">
        <v>0.1470497280248132</v>
      </c>
    </row>
    <row r="394">
      <c r="A394" s="2" t="inlineStr">
        <is>
          <t>KPROP-00393</t>
        </is>
      </c>
      <c r="B394" s="3" t="n">
        <v>45925.81991898148</v>
      </c>
      <c r="C394" s="3" t="n">
        <v>45925</v>
      </c>
      <c r="D394" s="2" t="inlineStr">
        <is>
          <t>Shota Imanaga</t>
        </is>
      </c>
      <c r="E394" s="2" t="n">
        <v>112</v>
      </c>
      <c r="F394" s="2" t="n">
        <v>121</v>
      </c>
      <c r="G394" s="2" t="inlineStr">
        <is>
          <t>Home</t>
        </is>
      </c>
      <c r="H394" s="2" t="inlineStr">
        <is>
          <t>bovada</t>
        </is>
      </c>
      <c r="I394" s="4" t="n"/>
      <c r="J394" s="4" t="n"/>
      <c r="K394" s="4" t="n">
        <v>120</v>
      </c>
      <c r="L394" s="4" t="n">
        <v>120</v>
      </c>
      <c r="M394" s="5" t="n">
        <v>4.5</v>
      </c>
      <c r="N394" s="5" t="n">
        <v>4.482348040397728</v>
      </c>
      <c r="O394" s="5" t="n">
        <v>4.5</v>
      </c>
      <c r="P394" s="5" t="n">
        <v>0.01765195960227217</v>
      </c>
      <c r="Q394" s="6" t="n">
        <v>0.1780060735942901</v>
      </c>
      <c r="R394" s="6" t="n">
        <v>0.5354573061792227</v>
      </c>
      <c r="S394" s="6" t="n">
        <v>0.4372278664731495</v>
      </c>
      <c r="T394" s="2" t="inlineStr">
        <is>
          <t>Under</t>
        </is>
      </c>
      <c r="U394" s="4" t="n">
        <v>120</v>
      </c>
      <c r="V394" s="2" t="n">
        <v>2.2</v>
      </c>
      <c r="W394" s="4" t="n">
        <v>120</v>
      </c>
      <c r="X394" s="2" t="n">
        <v>1</v>
      </c>
      <c r="Y394" s="5" t="n">
        <v>1.2</v>
      </c>
      <c r="Z394" s="7" t="n">
        <v>100</v>
      </c>
      <c r="AA394" s="7">
        <f>Y394*Z394</f>
        <v/>
      </c>
      <c r="AB394" s="6">
        <f>IF(Z394=0,0,AA394/Z394)</f>
        <v/>
      </c>
      <c r="AC394" s="6" t="n"/>
      <c r="AD394" s="2" t="inlineStr">
        <is>
          <t>Win</t>
        </is>
      </c>
      <c r="AE394" s="6">
        <f>IF((COUNTIF($AD$2:AD394,"Win")+COUNTIF($AD$2:AD394,"Loss"))=0,0,COUNTIF($AD$2:AD394,"Win")/(COUNTIF($AD$2:AD394,"Win")+COUNTIF($AD$2:AD394,"Loss")))</f>
        <v/>
      </c>
      <c r="AF394" s="6">
        <f>SUM($Y$2:Y394)/SUM($X$2:X394)</f>
        <v/>
      </c>
      <c r="AG394" s="5">
        <f>SUM($Y$2:Y394)</f>
        <v/>
      </c>
      <c r="AH394" s="7">
        <f>10000.0+SUM($AA$2:AA394)</f>
        <v/>
      </c>
      <c r="AI394" s="2" t="n">
        <v>2025</v>
      </c>
      <c r="AJ394" s="2" t="inlineStr">
        <is>
          <t>2025-09</t>
        </is>
      </c>
      <c r="AK394" s="2" t="inlineStr">
        <is>
          <t>+100 to +120</t>
        </is>
      </c>
      <c r="AL394" s="2" t="inlineStr">
        <is>
          <t>2025 Validation</t>
        </is>
      </c>
      <c r="AM394" s="6" t="n">
        <v>0.1483383946619084</v>
      </c>
    </row>
    <row r="395">
      <c r="A395" s="2" t="inlineStr">
        <is>
          <t>KPROP-00394</t>
        </is>
      </c>
      <c r="B395" s="3" t="n">
        <v>45925.81991898148</v>
      </c>
      <c r="C395" s="3" t="n">
        <v>45925</v>
      </c>
      <c r="D395" s="2" t="inlineStr">
        <is>
          <t>Shota Imanaga</t>
        </is>
      </c>
      <c r="E395" s="2" t="n">
        <v>112</v>
      </c>
      <c r="F395" s="2" t="n">
        <v>121</v>
      </c>
      <c r="G395" s="2" t="inlineStr">
        <is>
          <t>Home</t>
        </is>
      </c>
      <c r="H395" s="2" t="inlineStr">
        <is>
          <t>betrivers</t>
        </is>
      </c>
      <c r="I395" s="4" t="n"/>
      <c r="J395" s="4" t="n"/>
      <c r="K395" s="4" t="n">
        <v>-177</v>
      </c>
      <c r="L395" s="4" t="n">
        <v>-177</v>
      </c>
      <c r="M395" s="5" t="n">
        <v>5.5</v>
      </c>
      <c r="N395" s="5" t="n">
        <v>4.482348040397728</v>
      </c>
      <c r="O395" s="5" t="n">
        <v>5.5</v>
      </c>
      <c r="P395" s="5" t="n">
        <v>1.017651959602272</v>
      </c>
      <c r="Q395" s="6" t="n">
        <v>0.104780649332133</v>
      </c>
      <c r="R395" s="6" t="n">
        <v>0.7059428697898467</v>
      </c>
      <c r="S395" s="6" t="n">
        <v>0.5971729393287185</v>
      </c>
      <c r="T395" s="2" t="inlineStr">
        <is>
          <t>Under</t>
        </is>
      </c>
      <c r="U395" s="4" t="n">
        <v>-177</v>
      </c>
      <c r="V395" s="2" t="n">
        <v>1.56497175141243</v>
      </c>
      <c r="W395" s="4" t="n">
        <v>-177</v>
      </c>
      <c r="X395" s="2" t="n">
        <v>1</v>
      </c>
      <c r="Y395" s="5" t="n">
        <v>0.5649717514124295</v>
      </c>
      <c r="Z395" s="7" t="n">
        <v>100</v>
      </c>
      <c r="AA395" s="7">
        <f>Y395*Z395</f>
        <v/>
      </c>
      <c r="AB395" s="6">
        <f>IF(Z395=0,0,AA395/Z395)</f>
        <v/>
      </c>
      <c r="AC395" s="6" t="n"/>
      <c r="AD395" s="2" t="inlineStr">
        <is>
          <t>Win</t>
        </is>
      </c>
      <c r="AE395" s="6">
        <f>IF((COUNTIF($AD$2:AD395,"Win")+COUNTIF($AD$2:AD395,"Loss"))=0,0,COUNTIF($AD$2:AD395,"Win")/(COUNTIF($AD$2:AD395,"Win")+COUNTIF($AD$2:AD395,"Loss")))</f>
        <v/>
      </c>
      <c r="AF395" s="6">
        <f>SUM($Y$2:Y395)/SUM($X$2:X395)</f>
        <v/>
      </c>
      <c r="AG395" s="5">
        <f>SUM($Y$2:Y395)</f>
        <v/>
      </c>
      <c r="AH395" s="7">
        <f>10000.0+SUM($AA$2:AA395)</f>
        <v/>
      </c>
      <c r="AI395" s="2" t="n">
        <v>2025</v>
      </c>
      <c r="AJ395" s="2" t="inlineStr">
        <is>
          <t>2025-09</t>
        </is>
      </c>
      <c r="AK395" s="2" t="inlineStr">
        <is>
          <t>&lt;= -150</t>
        </is>
      </c>
      <c r="AL395" s="2" t="inlineStr">
        <is>
          <t>2025 Validation</t>
        </is>
      </c>
      <c r="AM395" s="6" t="n">
        <v>0.1854617493178753</v>
      </c>
    </row>
    <row r="396">
      <c r="A396" s="2" t="inlineStr">
        <is>
          <t>KPROP-00395</t>
        </is>
      </c>
      <c r="B396" s="3" t="n">
        <v>45925.60809027778</v>
      </c>
      <c r="C396" s="3" t="n">
        <v>45925</v>
      </c>
      <c r="D396" s="2" t="inlineStr">
        <is>
          <t>Tyler Mahle</t>
        </is>
      </c>
      <c r="E396" s="2" t="n">
        <v>140</v>
      </c>
      <c r="F396" s="2" t="n">
        <v>142</v>
      </c>
      <c r="G396" s="2" t="inlineStr">
        <is>
          <t>Home</t>
        </is>
      </c>
      <c r="H396" s="2" t="inlineStr">
        <is>
          <t>draftkings</t>
        </is>
      </c>
      <c r="I396" s="4" t="n"/>
      <c r="J396" s="4" t="n"/>
      <c r="K396" s="4" t="n">
        <v>122</v>
      </c>
      <c r="L396" s="4" t="n">
        <v>122</v>
      </c>
      <c r="M396" s="5" t="n">
        <v>4.5</v>
      </c>
      <c r="N396" s="5" t="n">
        <v>4.763337984244705</v>
      </c>
      <c r="O396" s="5" t="n">
        <v>4.5</v>
      </c>
      <c r="P396" s="5" t="n">
        <v>-0.2633379842447052</v>
      </c>
      <c r="Q396" s="6" t="n">
        <v>0.07215447536159358</v>
      </c>
      <c r="R396" s="6" t="n">
        <v>0.4829524663790963</v>
      </c>
      <c r="S396" s="6" t="n">
        <v>0.4314881077667859</v>
      </c>
      <c r="T396" s="2" t="inlineStr">
        <is>
          <t>Under</t>
        </is>
      </c>
      <c r="U396" s="4" t="n">
        <v>122</v>
      </c>
      <c r="V396" s="2" t="n">
        <v>2.22</v>
      </c>
      <c r="W396" s="4" t="n">
        <v>122</v>
      </c>
      <c r="X396" s="2" t="n">
        <v>1</v>
      </c>
      <c r="Y396" s="5" t="n">
        <v>1.22</v>
      </c>
      <c r="Z396" s="7" t="n">
        <v>100</v>
      </c>
      <c r="AA396" s="7">
        <f>Y396*Z396</f>
        <v/>
      </c>
      <c r="AB396" s="6">
        <f>IF(Z396=0,0,AA396/Z396)</f>
        <v/>
      </c>
      <c r="AC396" s="6" t="n"/>
      <c r="AD396" s="2" t="inlineStr">
        <is>
          <t>Win</t>
        </is>
      </c>
      <c r="AE396" s="6">
        <f>IF((COUNTIF($AD$2:AD396,"Win")+COUNTIF($AD$2:AD396,"Loss"))=0,0,COUNTIF($AD$2:AD396,"Win")/(COUNTIF($AD$2:AD396,"Win")+COUNTIF($AD$2:AD396,"Loss")))</f>
        <v/>
      </c>
      <c r="AF396" s="6">
        <f>SUM($Y$2:Y396)/SUM($X$2:X396)</f>
        <v/>
      </c>
      <c r="AG396" s="5">
        <f>SUM($Y$2:Y396)</f>
        <v/>
      </c>
      <c r="AH396" s="7">
        <f>10000.0+SUM($AA$2:AA396)</f>
        <v/>
      </c>
      <c r="AI396" s="2" t="n">
        <v>2025</v>
      </c>
      <c r="AJ396" s="2" t="inlineStr">
        <is>
          <t>2025-09</t>
        </is>
      </c>
      <c r="AK396" s="2" t="inlineStr">
        <is>
          <t>+121 to +150</t>
        </is>
      </c>
      <c r="AL396" s="2" t="inlineStr">
        <is>
          <t>2025 Validation</t>
        </is>
      </c>
      <c r="AM396" s="6" t="n">
        <v>0.05914301259147017</v>
      </c>
    </row>
    <row r="397">
      <c r="A397" s="2" t="inlineStr">
        <is>
          <t>KPROP-00396</t>
        </is>
      </c>
      <c r="B397" s="3" t="n">
        <v>45925.60809027778</v>
      </c>
      <c r="C397" s="3" t="n">
        <v>45925</v>
      </c>
      <c r="D397" s="2" t="inlineStr">
        <is>
          <t>Tyler Mahle</t>
        </is>
      </c>
      <c r="E397" s="2" t="n">
        <v>140</v>
      </c>
      <c r="F397" s="2" t="n">
        <v>142</v>
      </c>
      <c r="G397" s="2" t="inlineStr">
        <is>
          <t>Home</t>
        </is>
      </c>
      <c r="H397" s="2" t="inlineStr">
        <is>
          <t>betmgm</t>
        </is>
      </c>
      <c r="I397" s="4" t="n"/>
      <c r="J397" s="4" t="n"/>
      <c r="K397" s="4" t="n">
        <v>-155</v>
      </c>
      <c r="L397" s="4" t="n">
        <v>-155</v>
      </c>
      <c r="M397" s="5" t="n">
        <v>5.5</v>
      </c>
      <c r="N397" s="5" t="n">
        <v>4.763337984244705</v>
      </c>
      <c r="O397" s="5" t="n">
        <v>5.5</v>
      </c>
      <c r="P397" s="5" t="n">
        <v>0.7366620157552948</v>
      </c>
      <c r="Q397" s="6" t="n">
        <v>0.08154192456522547</v>
      </c>
      <c r="R397" s="6" t="n">
        <v>0.6574078365004312</v>
      </c>
      <c r="S397" s="6" t="n">
        <v>0.5776397515527951</v>
      </c>
      <c r="T397" s="2" t="inlineStr">
        <is>
          <t>Under</t>
        </is>
      </c>
      <c r="U397" s="4" t="n">
        <v>-155</v>
      </c>
      <c r="V397" s="2" t="n">
        <v>1.645161290322581</v>
      </c>
      <c r="W397" s="4" t="n">
        <v>-155</v>
      </c>
      <c r="X397" s="2" t="n">
        <v>1</v>
      </c>
      <c r="Y397" s="5" t="n">
        <v>0.6451612903225805</v>
      </c>
      <c r="Z397" s="7" t="n">
        <v>100</v>
      </c>
      <c r="AA397" s="7">
        <f>Y397*Z397</f>
        <v/>
      </c>
      <c r="AB397" s="6">
        <f>IF(Z397=0,0,AA397/Z397)</f>
        <v/>
      </c>
      <c r="AC397" s="6" t="n"/>
      <c r="AD397" s="2" t="inlineStr">
        <is>
          <t>Win</t>
        </is>
      </c>
      <c r="AE397" s="6">
        <f>IF((COUNTIF($AD$2:AD397,"Win")+COUNTIF($AD$2:AD397,"Loss"))=0,0,COUNTIF($AD$2:AD397,"Win")/(COUNTIF($AD$2:AD397,"Win")+COUNTIF($AD$2:AD397,"Loss")))</f>
        <v/>
      </c>
      <c r="AF397" s="6">
        <f>SUM($Y$2:Y397)/SUM($X$2:X397)</f>
        <v/>
      </c>
      <c r="AG397" s="5">
        <f>SUM($Y$2:Y397)</f>
        <v/>
      </c>
      <c r="AH397" s="7">
        <f>10000.0+SUM($AA$2:AA397)</f>
        <v/>
      </c>
      <c r="AI397" s="2" t="n">
        <v>2025</v>
      </c>
      <c r="AJ397" s="2" t="inlineStr">
        <is>
          <t>2025-09</t>
        </is>
      </c>
      <c r="AK397" s="2" t="inlineStr">
        <is>
          <t>&lt;= -150</t>
        </is>
      </c>
      <c r="AL397" s="2" t="inlineStr">
        <is>
          <t>2025 Validation</t>
        </is>
      </c>
      <c r="AM397" s="6" t="n">
        <v>0.1263899830760995</v>
      </c>
    </row>
    <row r="398">
      <c r="A398" s="2" t="inlineStr">
        <is>
          <t>KPROP-00397</t>
        </is>
      </c>
      <c r="B398" s="3" t="n">
        <v>45926.78171296296</v>
      </c>
      <c r="C398" s="3" t="n">
        <v>45926</v>
      </c>
      <c r="D398" s="2" t="inlineStr">
        <is>
          <t>Joe Ryan</t>
        </is>
      </c>
      <c r="E398" s="2" t="n">
        <v>142</v>
      </c>
      <c r="F398" s="2" t="n">
        <v>143</v>
      </c>
      <c r="G398" s="2" t="inlineStr">
        <is>
          <t>Away</t>
        </is>
      </c>
      <c r="H398" s="2" t="inlineStr">
        <is>
          <t>fanatics</t>
        </is>
      </c>
      <c r="I398" s="4" t="n"/>
      <c r="J398" s="4" t="n"/>
      <c r="K398" s="4" t="n">
        <v>105</v>
      </c>
      <c r="L398" s="4" t="n">
        <v>105</v>
      </c>
      <c r="M398" s="5" t="n">
        <v>5.5</v>
      </c>
      <c r="N398" s="5" t="n">
        <v>5.339271795178293</v>
      </c>
      <c r="O398" s="5" t="n">
        <v>5.5</v>
      </c>
      <c r="P398" s="5" t="n">
        <v>0.1607282048217069</v>
      </c>
      <c r="Q398" s="6" t="n">
        <v>0.14113200522184</v>
      </c>
      <c r="R398" s="6" t="n">
        <v>0.5566497586448</v>
      </c>
      <c r="S398" s="6" t="n">
        <v>0.4675324675324675</v>
      </c>
      <c r="T398" s="2" t="inlineStr">
        <is>
          <t>Under</t>
        </is>
      </c>
      <c r="U398" s="4" t="n">
        <v>105</v>
      </c>
      <c r="V398" s="2" t="n">
        <v>2.05</v>
      </c>
      <c r="W398" s="4" t="n">
        <v>105</v>
      </c>
      <c r="X398" s="2" t="n">
        <v>1</v>
      </c>
      <c r="Y398" s="5" t="n">
        <v>-1</v>
      </c>
      <c r="Z398" s="7" t="n">
        <v>100</v>
      </c>
      <c r="AA398" s="7">
        <f>Y398*Z398</f>
        <v/>
      </c>
      <c r="AB398" s="6">
        <f>IF(Z398=0,0,AA398/Z398)</f>
        <v/>
      </c>
      <c r="AC398" s="6" t="n"/>
      <c r="AD398" s="2" t="inlineStr">
        <is>
          <t>Loss</t>
        </is>
      </c>
      <c r="AE398" s="6">
        <f>IF((COUNTIF($AD$2:AD398,"Win")+COUNTIF($AD$2:AD398,"Loss"))=0,0,COUNTIF($AD$2:AD398,"Win")/(COUNTIF($AD$2:AD398,"Win")+COUNTIF($AD$2:AD398,"Loss")))</f>
        <v/>
      </c>
      <c r="AF398" s="6">
        <f>SUM($Y$2:Y398)/SUM($X$2:X398)</f>
        <v/>
      </c>
      <c r="AG398" s="5">
        <f>SUM($Y$2:Y398)</f>
        <v/>
      </c>
      <c r="AH398" s="7">
        <f>10000.0+SUM($AA$2:AA398)</f>
        <v/>
      </c>
      <c r="AI398" s="2" t="n">
        <v>2025</v>
      </c>
      <c r="AJ398" s="2" t="inlineStr">
        <is>
          <t>2025-09</t>
        </is>
      </c>
      <c r="AK398" s="2" t="inlineStr">
        <is>
          <t>+100 to +120</t>
        </is>
      </c>
      <c r="AL398" s="2" t="inlineStr">
        <is>
          <t>2025 Validation</t>
        </is>
      </c>
      <c r="AM398" s="6" t="n">
        <v>0.1344114335446095</v>
      </c>
    </row>
    <row r="399">
      <c r="A399" s="2" t="inlineStr">
        <is>
          <t>KPROP-00398</t>
        </is>
      </c>
      <c r="B399" s="3" t="n">
        <v>45926.78171296296</v>
      </c>
      <c r="C399" s="3" t="n">
        <v>45926</v>
      </c>
      <c r="D399" s="2" t="inlineStr">
        <is>
          <t>Joe Ryan</t>
        </is>
      </c>
      <c r="E399" s="2" t="n">
        <v>142</v>
      </c>
      <c r="F399" s="2" t="n">
        <v>143</v>
      </c>
      <c r="G399" s="2" t="inlineStr">
        <is>
          <t>Away</t>
        </is>
      </c>
      <c r="H399" s="2" t="inlineStr">
        <is>
          <t>fanduel</t>
        </is>
      </c>
      <c r="I399" s="4" t="n"/>
      <c r="J399" s="4" t="n"/>
      <c r="K399" s="4" t="n">
        <v>-174</v>
      </c>
      <c r="L399" s="4" t="n">
        <v>-174</v>
      </c>
      <c r="M399" s="5" t="n">
        <v>6.5</v>
      </c>
      <c r="N399" s="5" t="n">
        <v>5.339271795178293</v>
      </c>
      <c r="O399" s="5" t="n">
        <v>6.5</v>
      </c>
      <c r="P399" s="5" t="n">
        <v>1.160728204821707</v>
      </c>
      <c r="Q399" s="6" t="n">
        <v>0.1197528543138156</v>
      </c>
      <c r="R399" s="6" t="n">
        <v>0.7110839293817661</v>
      </c>
      <c r="S399" s="6" t="n">
        <v>0.6038172353961827</v>
      </c>
      <c r="T399" s="2" t="inlineStr">
        <is>
          <t>Under</t>
        </is>
      </c>
      <c r="U399" s="4" t="n">
        <v>-174</v>
      </c>
      <c r="V399" s="2" t="n">
        <v>1.574712643678161</v>
      </c>
      <c r="W399" s="4" t="n">
        <v>-174</v>
      </c>
      <c r="X399" s="2" t="n">
        <v>1</v>
      </c>
      <c r="Y399" s="5" t="n">
        <v>-1</v>
      </c>
      <c r="Z399" s="7" t="n">
        <v>100</v>
      </c>
      <c r="AA399" s="7">
        <f>Y399*Z399</f>
        <v/>
      </c>
      <c r="AB399" s="6">
        <f>IF(Z399=0,0,AA399/Z399)</f>
        <v/>
      </c>
      <c r="AC399" s="6" t="n"/>
      <c r="AD399" s="2" t="inlineStr">
        <is>
          <t>Loss</t>
        </is>
      </c>
      <c r="AE399" s="6">
        <f>IF((COUNTIF($AD$2:AD399,"Win")+COUNTIF($AD$2:AD399,"Loss"))=0,0,COUNTIF($AD$2:AD399,"Win")/(COUNTIF($AD$2:AD399,"Win")+COUNTIF($AD$2:AD399,"Loss")))</f>
        <v/>
      </c>
      <c r="AF399" s="6">
        <f>SUM($Y$2:Y399)/SUM($X$2:X399)</f>
        <v/>
      </c>
      <c r="AG399" s="5">
        <f>SUM($Y$2:Y399)</f>
        <v/>
      </c>
      <c r="AH399" s="7">
        <f>10000.0+SUM($AA$2:AA399)</f>
        <v/>
      </c>
      <c r="AI399" s="2" t="n">
        <v>2025</v>
      </c>
      <c r="AJ399" s="2" t="inlineStr">
        <is>
          <t>2025-09</t>
        </is>
      </c>
      <c r="AK399" s="2" t="inlineStr">
        <is>
          <t>&lt;= -150</t>
        </is>
      </c>
      <c r="AL399" s="2" t="inlineStr">
        <is>
          <t>2025 Validation</t>
        </is>
      </c>
      <c r="AM399" s="6" t="n">
        <v>0.2083699665060392</v>
      </c>
    </row>
    <row r="400">
      <c r="A400" s="2" t="inlineStr">
        <is>
          <t>KPROP-00399</t>
        </is>
      </c>
      <c r="B400" s="3" t="n">
        <v>45926.8025462963</v>
      </c>
      <c r="C400" s="3" t="n">
        <v>45926</v>
      </c>
      <c r="D400" s="2" t="inlineStr">
        <is>
          <t>Joey Wentz</t>
        </is>
      </c>
      <c r="E400" s="2" t="n">
        <v>144</v>
      </c>
      <c r="F400" s="2" t="n">
        <v>134</v>
      </c>
      <c r="G400" s="2" t="inlineStr">
        <is>
          <t>Home</t>
        </is>
      </c>
      <c r="H400" s="2" t="inlineStr">
        <is>
          <t>draftkings</t>
        </is>
      </c>
      <c r="I400" s="4" t="n"/>
      <c r="J400" s="4" t="n"/>
      <c r="K400" s="4" t="n">
        <v>-123</v>
      </c>
      <c r="L400" s="4" t="n">
        <v>-123</v>
      </c>
      <c r="M400" s="5" t="n">
        <v>5.5</v>
      </c>
      <c r="N400" s="5" t="n">
        <v>4.660476738120641</v>
      </c>
      <c r="O400" s="5" t="n">
        <v>5.5</v>
      </c>
      <c r="P400" s="5" t="n">
        <v>0.8395232618793589</v>
      </c>
      <c r="Q400" s="6" t="n">
        <v>0.2243239142188413</v>
      </c>
      <c r="R400" s="6" t="n">
        <v>0.6752997374390919</v>
      </c>
      <c r="S400" s="6" t="n">
        <v>0.5306745238345786</v>
      </c>
      <c r="T400" s="2" t="inlineStr">
        <is>
          <t>Under</t>
        </is>
      </c>
      <c r="U400" s="4" t="n">
        <v>-123</v>
      </c>
      <c r="V400" s="2" t="n">
        <v>1.813008130081301</v>
      </c>
      <c r="W400" s="4" t="n">
        <v>-123</v>
      </c>
      <c r="X400" s="2" t="n">
        <v>1</v>
      </c>
      <c r="Y400" s="5" t="n">
        <v>0.8130081300813008</v>
      </c>
      <c r="Z400" s="7" t="n">
        <v>100</v>
      </c>
      <c r="AA400" s="7">
        <f>Y400*Z400</f>
        <v/>
      </c>
      <c r="AB400" s="6">
        <f>IF(Z400=0,0,AA400/Z400)</f>
        <v/>
      </c>
      <c r="AC400" s="6" t="n"/>
      <c r="AD400" s="2" t="inlineStr">
        <is>
          <t>Win</t>
        </is>
      </c>
      <c r="AE400" s="6">
        <f>IF((COUNTIF($AD$2:AD400,"Win")+COUNTIF($AD$2:AD400,"Loss"))=0,0,COUNTIF($AD$2:AD400,"Win")/(COUNTIF($AD$2:AD400,"Win")+COUNTIF($AD$2:AD400,"Loss")))</f>
        <v/>
      </c>
      <c r="AF400" s="6">
        <f>SUM($Y$2:Y400)/SUM($X$2:X400)</f>
        <v/>
      </c>
      <c r="AG400" s="5">
        <f>SUM($Y$2:Y400)</f>
        <v/>
      </c>
      <c r="AH400" s="7">
        <f>10000.0+SUM($AA$2:AA400)</f>
        <v/>
      </c>
      <c r="AI400" s="2" t="n">
        <v>2025</v>
      </c>
      <c r="AJ400" s="2" t="inlineStr">
        <is>
          <t>2025-09</t>
        </is>
      </c>
      <c r="AK400" s="2" t="inlineStr">
        <is>
          <t>-149 to -120</t>
        </is>
      </c>
      <c r="AL400" s="2" t="inlineStr">
        <is>
          <t>2025 Validation</t>
        </is>
      </c>
      <c r="AM400" s="6" t="n">
        <v>0.2759184144891749</v>
      </c>
    </row>
    <row r="401">
      <c r="A401" s="2" t="inlineStr">
        <is>
          <t>KPROP-00400</t>
        </is>
      </c>
      <c r="B401" s="3" t="n">
        <v>45926.795625</v>
      </c>
      <c r="C401" s="3" t="n">
        <v>45926</v>
      </c>
      <c r="D401" s="2" t="inlineStr">
        <is>
          <t>Shane Bieber</t>
        </is>
      </c>
      <c r="E401" s="2" t="n">
        <v>141</v>
      </c>
      <c r="F401" s="2" t="n">
        <v>139</v>
      </c>
      <c r="G401" s="2" t="inlineStr">
        <is>
          <t>Home</t>
        </is>
      </c>
      <c r="H401" s="2" t="inlineStr">
        <is>
          <t>betrivers</t>
        </is>
      </c>
      <c r="I401" s="4" t="n"/>
      <c r="J401" s="4" t="n"/>
      <c r="K401" s="4" t="n">
        <v>135</v>
      </c>
      <c r="L401" s="4" t="n">
        <v>135</v>
      </c>
      <c r="M401" s="5" t="n">
        <v>5.5</v>
      </c>
      <c r="N401" s="5" t="n">
        <v>5.519566388025994</v>
      </c>
      <c r="O401" s="5" t="n">
        <v>5.5</v>
      </c>
      <c r="P401" s="5" t="n">
        <v>-0.01956638802599375</v>
      </c>
      <c r="Q401" s="6" t="n">
        <v>0.2350848245253825</v>
      </c>
      <c r="R401" s="6" t="n">
        <v>0.5255680104363329</v>
      </c>
      <c r="S401" s="6" t="n">
        <v>0.3955192919374914</v>
      </c>
      <c r="T401" s="2" t="inlineStr">
        <is>
          <t>Under</t>
        </is>
      </c>
      <c r="U401" s="4" t="n">
        <v>135</v>
      </c>
      <c r="V401" s="2" t="n">
        <v>2.35</v>
      </c>
      <c r="W401" s="4" t="n">
        <v>135</v>
      </c>
      <c r="X401" s="2" t="n">
        <v>1</v>
      </c>
      <c r="Y401" s="5" t="n">
        <v>1.35</v>
      </c>
      <c r="Z401" s="7" t="n">
        <v>100</v>
      </c>
      <c r="AA401" s="7">
        <f>Y401*Z401</f>
        <v/>
      </c>
      <c r="AB401" s="6">
        <f>IF(Z401=0,0,AA401/Z401)</f>
        <v/>
      </c>
      <c r="AC401" s="6" t="n"/>
      <c r="AD401" s="2" t="inlineStr">
        <is>
          <t>Win</t>
        </is>
      </c>
      <c r="AE401" s="6">
        <f>IF((COUNTIF($AD$2:AD401,"Win")+COUNTIF($AD$2:AD401,"Loss"))=0,0,COUNTIF($AD$2:AD401,"Win")/(COUNTIF($AD$2:AD401,"Win")+COUNTIF($AD$2:AD401,"Loss")))</f>
        <v/>
      </c>
      <c r="AF401" s="6">
        <f>SUM($Y$2:Y401)/SUM($X$2:X401)</f>
        <v/>
      </c>
      <c r="AG401" s="5">
        <f>SUM($Y$2:Y401)</f>
        <v/>
      </c>
      <c r="AH401" s="7">
        <f>10000.0+SUM($AA$2:AA401)</f>
        <v/>
      </c>
      <c r="AI401" s="2" t="n">
        <v>2025</v>
      </c>
      <c r="AJ401" s="2" t="inlineStr">
        <is>
          <t>2025-09</t>
        </is>
      </c>
      <c r="AK401" s="2" t="inlineStr">
        <is>
          <t>+121 to +150</t>
        </is>
      </c>
      <c r="AL401" s="2" t="inlineStr">
        <is>
          <t>2025 Validation</t>
        </is>
      </c>
      <c r="AM401" s="6" t="n">
        <v>0.1741369070558389</v>
      </c>
    </row>
    <row r="402">
      <c r="A402" s="2" t="inlineStr">
        <is>
          <t>KPROP-00401</t>
        </is>
      </c>
      <c r="B402" s="3" t="n">
        <v>45926.795625</v>
      </c>
      <c r="C402" s="3" t="n">
        <v>45926</v>
      </c>
      <c r="D402" s="2" t="inlineStr">
        <is>
          <t>Shane Bieber</t>
        </is>
      </c>
      <c r="E402" s="2" t="n">
        <v>141</v>
      </c>
      <c r="F402" s="2" t="n">
        <v>139</v>
      </c>
      <c r="G402" s="2" t="inlineStr">
        <is>
          <t>Home</t>
        </is>
      </c>
      <c r="H402" s="2" t="inlineStr">
        <is>
          <t>draftkings</t>
        </is>
      </c>
      <c r="I402" s="4" t="n"/>
      <c r="J402" s="4" t="n"/>
      <c r="K402" s="4" t="n">
        <v>-138</v>
      </c>
      <c r="L402" s="4" t="n">
        <v>-138</v>
      </c>
      <c r="M402" s="5" t="n">
        <v>6.5</v>
      </c>
      <c r="N402" s="5" t="n">
        <v>5.519566388025994</v>
      </c>
      <c r="O402" s="5" t="n">
        <v>6.5</v>
      </c>
      <c r="P402" s="5" t="n">
        <v>0.9804336119740062</v>
      </c>
      <c r="Q402" s="6" t="n">
        <v>0.1778569389868246</v>
      </c>
      <c r="R402" s="6" t="n">
        <v>0.6829590654629487</v>
      </c>
      <c r="S402" s="6" t="n">
        <v>0.554890592855807</v>
      </c>
      <c r="T402" s="2" t="inlineStr">
        <is>
          <t>Under</t>
        </is>
      </c>
      <c r="U402" s="4" t="n">
        <v>-138</v>
      </c>
      <c r="V402" s="2" t="n">
        <v>1.72463768115942</v>
      </c>
      <c r="W402" s="4" t="n">
        <v>-138</v>
      </c>
      <c r="X402" s="2" t="n">
        <v>1</v>
      </c>
      <c r="Y402" s="5" t="n">
        <v>0.7246376811594204</v>
      </c>
      <c r="Z402" s="7" t="n">
        <v>100</v>
      </c>
      <c r="AA402" s="7">
        <f>Y402*Z402</f>
        <v/>
      </c>
      <c r="AB402" s="6">
        <f>IF(Z402=0,0,AA402/Z402)</f>
        <v/>
      </c>
      <c r="AC402" s="6" t="n"/>
      <c r="AD402" s="2" t="inlineStr">
        <is>
          <t>Win</t>
        </is>
      </c>
      <c r="AE402" s="6">
        <f>IF((COUNTIF($AD$2:AD402,"Win")+COUNTIF($AD$2:AD402,"Loss"))=0,0,COUNTIF($AD$2:AD402,"Win")/(COUNTIF($AD$2:AD402,"Win")+COUNTIF($AD$2:AD402,"Loss")))</f>
        <v/>
      </c>
      <c r="AF402" s="6">
        <f>SUM($Y$2:Y402)/SUM($X$2:X402)</f>
        <v/>
      </c>
      <c r="AG402" s="5">
        <f>SUM($Y$2:Y402)</f>
        <v/>
      </c>
      <c r="AH402" s="7">
        <f>10000.0+SUM($AA$2:AA402)</f>
        <v/>
      </c>
      <c r="AI402" s="2" t="n">
        <v>2025</v>
      </c>
      <c r="AJ402" s="2" t="inlineStr">
        <is>
          <t>2025-09</t>
        </is>
      </c>
      <c r="AK402" s="2" t="inlineStr">
        <is>
          <t>-149 to -120</t>
        </is>
      </c>
      <c r="AL402" s="2" t="inlineStr">
        <is>
          <t>2025 Validation</t>
        </is>
      </c>
      <c r="AM402" s="6" t="n">
        <v>0.245442575801818</v>
      </c>
    </row>
    <row r="403">
      <c r="A403" s="2" t="inlineStr">
        <is>
          <t>KPROP-00402</t>
        </is>
      </c>
      <c r="B403" s="3" t="n">
        <v>45928.62891203703</v>
      </c>
      <c r="C403" s="3" t="n">
        <v>45928</v>
      </c>
      <c r="D403" s="2" t="inlineStr">
        <is>
          <t>McCade Brown</t>
        </is>
      </c>
      <c r="E403" s="2" t="n">
        <v>115</v>
      </c>
      <c r="F403" s="2" t="n">
        <v>137</v>
      </c>
      <c r="G403" s="2" t="inlineStr">
        <is>
          <t>Away</t>
        </is>
      </c>
      <c r="H403" s="2" t="inlineStr">
        <is>
          <t>betmgm</t>
        </is>
      </c>
      <c r="I403" s="4" t="n"/>
      <c r="J403" s="4" t="n"/>
      <c r="K403" s="4" t="n">
        <v>-120</v>
      </c>
      <c r="L403" s="4" t="n">
        <v>-120</v>
      </c>
      <c r="M403" s="5" t="n">
        <v>4.5</v>
      </c>
      <c r="N403" s="5" t="n">
        <v>4.231685175312729</v>
      </c>
      <c r="O403" s="5" t="n">
        <v>4.5</v>
      </c>
      <c r="P403" s="5" t="n">
        <v>0.2683148246872706</v>
      </c>
      <c r="Q403" s="6" t="n">
        <v>0.07006451107261974</v>
      </c>
      <c r="R403" s="6" t="n">
        <v>0.5836715514941562</v>
      </c>
      <c r="S403" s="6" t="n">
        <v>0.5180774138664397</v>
      </c>
      <c r="T403" s="2" t="inlineStr">
        <is>
          <t>Under</t>
        </is>
      </c>
      <c r="U403" s="4" t="n">
        <v>-120</v>
      </c>
      <c r="V403" s="2" t="n">
        <v>1.833333333333333</v>
      </c>
      <c r="W403" s="4" t="n">
        <v>-120</v>
      </c>
      <c r="X403" s="2" t="n">
        <v>1</v>
      </c>
      <c r="Y403" s="5" t="n">
        <v>0.8333333333333335</v>
      </c>
      <c r="Z403" s="7" t="n">
        <v>100</v>
      </c>
      <c r="AA403" s="7">
        <f>Y403*Z403</f>
        <v/>
      </c>
      <c r="AB403" s="6">
        <f>IF(Z403=0,0,AA403/Z403)</f>
        <v/>
      </c>
      <c r="AC403" s="6" t="n"/>
      <c r="AD403" s="2" t="inlineStr">
        <is>
          <t>Win</t>
        </is>
      </c>
      <c r="AE403" s="6">
        <f>IF((COUNTIF($AD$2:AD403,"Win")+COUNTIF($AD$2:AD403,"Loss"))=0,0,COUNTIF($AD$2:AD403,"Win")/(COUNTIF($AD$2:AD403,"Win")+COUNTIF($AD$2:AD403,"Loss")))</f>
        <v/>
      </c>
      <c r="AF403" s="6">
        <f>SUM($Y$2:Y403)/SUM($X$2:X403)</f>
        <v/>
      </c>
      <c r="AG403" s="5">
        <f>SUM($Y$2:Y403)</f>
        <v/>
      </c>
      <c r="AH403" s="7">
        <f>10000.0+SUM($AA$2:AA403)</f>
        <v/>
      </c>
      <c r="AI403" s="2" t="n">
        <v>2025</v>
      </c>
      <c r="AJ403" s="2" t="inlineStr">
        <is>
          <t>2025-09</t>
        </is>
      </c>
      <c r="AK403" s="2" t="inlineStr">
        <is>
          <t>-149 to -120</t>
        </is>
      </c>
      <c r="AL403" s="2" t="inlineStr">
        <is>
          <t>2025 Validation</t>
        </is>
      </c>
      <c r="AM403" s="6" t="n">
        <v>0.08407741328714367</v>
      </c>
    </row>
  </sheetData>
  <conditionalFormatting sqref="AD2:AD403">
    <cfRule type="cellIs" priority="1" operator="equal" dxfId="0">
      <formula>"Win"</formula>
    </cfRule>
    <cfRule type="cellIs" priority="2" operator="equal" dxfId="1">
      <formula>"Loss"</formula>
    </cfRule>
    <cfRule type="cellIs" priority="3" operator="equal" dxfId="2">
      <formula>"Push"</formula>
    </cfRule>
  </conditionalFormatting>
  <conditionalFormatting sqref="AB2:AB403">
    <cfRule type="colorScale" priority="4">
      <colorScale>
        <cfvo type="min"/>
        <cfvo type="num" val="0"/>
        <cfvo type="max"/>
        <color rgb="00FFC7CE"/>
        <color rgb="00FFFFFF"/>
        <color rgb="00C6EFCE"/>
      </colorScale>
    </cfRule>
  </conditionalFormatting>
  <conditionalFormatting sqref="AC2:AC40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A2:AA403">
    <cfRule type="expression" priority="7" dxfId="0">
      <formula>AA2&gt;=LARGE($AA$2:$AA$403,10)</formula>
    </cfRule>
    <cfRule type="expression" priority="8" dxfId="1">
      <formula>AA2&lt;=SMALL($AA$2:$AA$403,10)</formula>
    </cfRule>
  </conditionalFormatting>
  <conditionalFormatting sqref="AH2:AH403">
    <cfRule type="colorScale" priority="9">
      <colorScale>
        <cfvo type="min"/>
        <cfvo type="percentile" val="50"/>
        <cfvo type="max"/>
        <color rgb="00F4B183"/>
        <color rgb="00FFFFFF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1" customWidth="1" min="4" max="4"/>
    <col width="10" customWidth="1" min="5" max="5"/>
    <col width="10" customWidth="1" min="6" max="6"/>
    <col width="11" customWidth="1" min="7" max="7"/>
    <col width="13" customWidth="1" min="8" max="8"/>
    <col width="14" customWidth="1" min="9" max="9"/>
    <col width="14" customWidth="1" min="10" max="10"/>
    <col width="15" customWidth="1" min="11" max="11"/>
    <col width="24" customWidth="1" min="12" max="12"/>
    <col width="16" customWidth="1" min="13" max="13"/>
    <col width="20" customWidth="1" min="14" max="14"/>
    <col width="19" customWidth="1" min="15" max="15"/>
    <col width="23" customWidth="1" min="16" max="16"/>
    <col width="21" customWidth="1" min="17" max="17"/>
    <col width="21" customWidth="1" min="18" max="18"/>
    <col width="28" customWidth="1" min="19" max="19"/>
    <col width="10" customWidth="1" min="20" max="20"/>
    <col width="10" customWidth="1" min="21" max="21"/>
    <col width="20" customWidth="1" min="22" max="22"/>
    <col width="15" customWidth="1" min="23" max="23"/>
    <col width="14" customWidth="1" min="24" max="24"/>
    <col width="20" customWidth="1" min="25" max="25"/>
    <col width="11" customWidth="1" min="26" max="26"/>
    <col width="20" customWidth="1" min="27" max="27"/>
    <col width="20" customWidth="1" min="28" max="28"/>
    <col width="10" customWidth="1" min="29" max="29"/>
    <col width="10" customWidth="1" min="30" max="30"/>
    <col width="20" customWidth="1" min="31" max="31"/>
    <col width="21" customWidth="1" min="32" max="32"/>
    <col width="20" customWidth="1" min="33" max="33"/>
    <col width="20" customWidth="1" min="34" max="34"/>
    <col width="10" customWidth="1" min="35" max="35"/>
    <col width="10" customWidth="1" min="36" max="36"/>
    <col width="14" customWidth="1" min="37" max="37"/>
    <col width="18" customWidth="1" min="38" max="38"/>
    <col width="21" customWidth="1" min="39" max="39"/>
  </cols>
  <sheetData>
    <row r="1">
      <c r="A1" s="1" t="inlineStr">
        <is>
          <t>Bet ID</t>
        </is>
      </c>
      <c r="B1" s="1" t="inlineStr">
        <is>
          <t>Date</t>
        </is>
      </c>
      <c r="C1" s="1" t="inlineStr">
        <is>
          <t>Game Date</t>
        </is>
      </c>
      <c r="D1" s="1" t="inlineStr">
        <is>
          <t>Pitcher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Home/Away</t>
        </is>
      </c>
      <c r="H1" s="1" t="inlineStr">
        <is>
          <t>Sportsbook</t>
        </is>
      </c>
      <c r="I1" s="1" t="inlineStr">
        <is>
          <t>Opening Odds</t>
        </is>
      </c>
      <c r="J1" s="1" t="inlineStr">
        <is>
          <t>Closing Odds</t>
        </is>
      </c>
      <c r="K1" s="1" t="inlineStr">
        <is>
          <t>Executed Odds</t>
        </is>
      </c>
      <c r="L1" s="1" t="inlineStr">
        <is>
          <t>Exchange-adjusted Odds</t>
        </is>
      </c>
      <c r="M1" s="1" t="inlineStr">
        <is>
          <t>Strikeout Line</t>
        </is>
      </c>
      <c r="N1" s="1" t="inlineStr">
        <is>
          <t>Model Projection</t>
        </is>
      </c>
      <c r="O1" s="1" t="inlineStr">
        <is>
          <t>Market Projection</t>
        </is>
      </c>
      <c r="P1" s="1" t="inlineStr">
        <is>
          <t>Margin</t>
        </is>
      </c>
      <c r="Q1" s="1" t="inlineStr">
        <is>
          <t>Devig Edge</t>
        </is>
      </c>
      <c r="R1" s="1" t="inlineStr">
        <is>
          <t>Model Probability</t>
        </is>
      </c>
      <c r="S1" s="1" t="inlineStr">
        <is>
          <t>Market Implied Probability</t>
        </is>
      </c>
      <c r="T1" s="1" t="inlineStr">
        <is>
          <t>Bet Side</t>
        </is>
      </c>
      <c r="U1" s="1" t="inlineStr">
        <is>
          <t>Odds</t>
        </is>
      </c>
      <c r="V1" s="1" t="inlineStr">
        <is>
          <t>Decimal Odds</t>
        </is>
      </c>
      <c r="W1" s="1" t="inlineStr">
        <is>
          <t>American Odds</t>
        </is>
      </c>
      <c r="X1" s="1" t="inlineStr">
        <is>
          <t>Units Risked</t>
        </is>
      </c>
      <c r="Y1" s="1" t="inlineStr">
        <is>
          <t>Units Won/Lost</t>
        </is>
      </c>
      <c r="Z1" s="1" t="inlineStr">
        <is>
          <t>Stake ($)</t>
        </is>
      </c>
      <c r="AA1" s="1" t="inlineStr">
        <is>
          <t>Profit/Loss ($)</t>
        </is>
      </c>
      <c r="AB1" s="1" t="inlineStr">
        <is>
          <t>ROI for Bet</t>
        </is>
      </c>
      <c r="AC1" s="1" t="inlineStr">
        <is>
          <t>CLV</t>
        </is>
      </c>
      <c r="AD1" s="1" t="inlineStr">
        <is>
          <t>Result</t>
        </is>
      </c>
      <c r="AE1" s="1" t="inlineStr">
        <is>
          <t>Running Win %</t>
        </is>
      </c>
      <c r="AF1" s="1" t="inlineStr">
        <is>
          <t>Running ROI</t>
        </is>
      </c>
      <c r="AG1" s="1" t="inlineStr">
        <is>
          <t>Running Units</t>
        </is>
      </c>
      <c r="AH1" s="1" t="inlineStr">
        <is>
          <t>Running Bankroll</t>
        </is>
      </c>
      <c r="AI1" s="1" t="inlineStr">
        <is>
          <t>Year</t>
        </is>
      </c>
      <c r="AJ1" s="1" t="inlineStr">
        <is>
          <t>Month</t>
        </is>
      </c>
      <c r="AK1" s="1" t="inlineStr">
        <is>
          <t>Odds Bucket</t>
        </is>
      </c>
      <c r="AL1" s="1" t="inlineStr">
        <is>
          <t>Model Sample</t>
        </is>
      </c>
      <c r="AM1" s="1" t="inlineStr">
        <is>
          <t>Kelly Fraction</t>
        </is>
      </c>
    </row>
    <row r="2">
      <c r="A2" s="2" t="inlineStr">
        <is>
          <t>KPROP-00403</t>
        </is>
      </c>
      <c r="B2" s="3" t="n">
        <v>46107.67056712963</v>
      </c>
      <c r="C2" s="3" t="n">
        <v>46107</v>
      </c>
      <c r="D2" s="2" t="inlineStr">
        <is>
          <t>Andrew Abbott</t>
        </is>
      </c>
      <c r="E2" s="2" t="n">
        <v>113</v>
      </c>
      <c r="F2" s="2" t="n">
        <v>111</v>
      </c>
      <c r="G2" s="2" t="inlineStr">
        <is>
          <t>Home</t>
        </is>
      </c>
      <c r="H2" s="2" t="inlineStr">
        <is>
          <t>bovada</t>
        </is>
      </c>
      <c r="I2" s="4" t="n"/>
      <c r="J2" s="4" t="n"/>
      <c r="K2" s="4" t="n">
        <v>130</v>
      </c>
      <c r="L2" s="4" t="n">
        <v>130</v>
      </c>
      <c r="M2" s="5" t="n">
        <v>4.5</v>
      </c>
      <c r="N2" s="5" t="n">
        <v>4.796792715730913</v>
      </c>
      <c r="O2" s="5" t="n">
        <v>4.5</v>
      </c>
      <c r="P2" s="5" t="n">
        <v>-0.2967927157309127</v>
      </c>
      <c r="Q2" s="6" t="n">
        <v>0.09673827381260647</v>
      </c>
      <c r="R2" s="6" t="n">
        <v>0.4768427277446116</v>
      </c>
      <c r="S2" s="6" t="n">
        <v>0.4270462633451957</v>
      </c>
      <c r="T2" s="2" t="inlineStr">
        <is>
          <t>Under</t>
        </is>
      </c>
      <c r="U2" s="4" t="n">
        <v>130</v>
      </c>
      <c r="V2" s="2" t="n">
        <v>2.3</v>
      </c>
      <c r="W2" s="4" t="n">
        <v>130</v>
      </c>
      <c r="X2" s="2" t="n">
        <v>1</v>
      </c>
      <c r="Y2" s="5" t="n">
        <v>1.3</v>
      </c>
      <c r="Z2" s="7" t="n">
        <v>100</v>
      </c>
      <c r="AA2" s="7">
        <f>Y2*Z2</f>
        <v/>
      </c>
      <c r="AB2" s="6">
        <f>IF(Z2=0,0,AA2/Z2)</f>
        <v/>
      </c>
      <c r="AC2" s="6" t="n"/>
      <c r="AD2" s="2" t="inlineStr">
        <is>
          <t>Win</t>
        </is>
      </c>
      <c r="AE2" s="6">
        <f>IF((COUNTIF($AD$2:AD2,"Win")+COUNTIF($AD$2:AD2,"Loss"))=0,0,COUNTIF($AD$2:AD2,"Win")/(COUNTIF($AD$2:AD2,"Win")+COUNTIF($AD$2:AD2,"Loss")))</f>
        <v/>
      </c>
      <c r="AF2" s="6">
        <f>SUM($Y$2:Y2)/SUM($X$2:X2)</f>
        <v/>
      </c>
      <c r="AG2" s="5">
        <f>SUM($Y$2:Y2)</f>
        <v/>
      </c>
      <c r="AH2" s="7">
        <f>10000.0+SUM($AA$2:AA2)</f>
        <v/>
      </c>
      <c r="AI2" s="2" t="n">
        <v>2026</v>
      </c>
      <c r="AJ2" s="2" t="inlineStr">
        <is>
          <t>2026-03</t>
        </is>
      </c>
      <c r="AK2" s="2" t="inlineStr">
        <is>
          <t>+121 to +150</t>
        </is>
      </c>
      <c r="AL2" s="2" t="inlineStr">
        <is>
          <t>2026 Frozen Test</t>
        </is>
      </c>
      <c r="AM2" s="6" t="n">
        <v>0.07441405677892807</v>
      </c>
    </row>
    <row r="3">
      <c r="A3" s="2" t="inlineStr">
        <is>
          <t>KPROP-00404</t>
        </is>
      </c>
      <c r="B3" s="3" t="n">
        <v>46107.59417824074</v>
      </c>
      <c r="C3" s="3" t="n">
        <v>46107</v>
      </c>
      <c r="D3" s="2" t="inlineStr">
        <is>
          <t>Matthew Boyd</t>
        </is>
      </c>
      <c r="E3" s="2" t="n">
        <v>112</v>
      </c>
      <c r="F3" s="2" t="n">
        <v>120</v>
      </c>
      <c r="G3" s="2" t="inlineStr">
        <is>
          <t>Home</t>
        </is>
      </c>
      <c r="H3" s="2" t="inlineStr">
        <is>
          <t>bovada</t>
        </is>
      </c>
      <c r="I3" s="4" t="n"/>
      <c r="J3" s="4" t="n"/>
      <c r="K3" s="4" t="n">
        <v>135</v>
      </c>
      <c r="L3" s="4" t="n">
        <v>135</v>
      </c>
      <c r="M3" s="5" t="n">
        <v>4.5</v>
      </c>
      <c r="N3" s="5" t="n">
        <v>4.380043435034406</v>
      </c>
      <c r="O3" s="5" t="n">
        <v>4.5</v>
      </c>
      <c r="P3" s="5" t="n">
        <v>0.1199565649655945</v>
      </c>
      <c r="Q3" s="6" t="n">
        <v>0.3042820107967005</v>
      </c>
      <c r="R3" s="6" t="n">
        <v>0.5550136216156172</v>
      </c>
      <c r="S3" s="6" t="n">
        <v>0.4059747223286097</v>
      </c>
      <c r="T3" s="2" t="inlineStr">
        <is>
          <t>Under</t>
        </is>
      </c>
      <c r="U3" s="4" t="n">
        <v>135</v>
      </c>
      <c r="V3" s="2" t="n">
        <v>2.35</v>
      </c>
      <c r="W3" s="4" t="n">
        <v>135</v>
      </c>
      <c r="X3" s="2" t="n">
        <v>1</v>
      </c>
      <c r="Y3" s="5" t="n">
        <v>-1</v>
      </c>
      <c r="Z3" s="7" t="n">
        <v>100</v>
      </c>
      <c r="AA3" s="7">
        <f>Y3*Z3</f>
        <v/>
      </c>
      <c r="AB3" s="6">
        <f>IF(Z3=0,0,AA3/Z3)</f>
        <v/>
      </c>
      <c r="AC3" s="6" t="n"/>
      <c r="AD3" s="2" t="inlineStr">
        <is>
          <t>Loss</t>
        </is>
      </c>
      <c r="AE3" s="6">
        <f>IF((COUNTIF($AD$2:AD3,"Win")+COUNTIF($AD$2:AD3,"Loss"))=0,0,COUNTIF($AD$2:AD3,"Win")/(COUNTIF($AD$2:AD3,"Win")+COUNTIF($AD$2:AD3,"Loss")))</f>
        <v/>
      </c>
      <c r="AF3" s="6">
        <f>SUM($Y$2:Y3)/SUM($X$2:X3)</f>
        <v/>
      </c>
      <c r="AG3" s="5">
        <f>SUM($Y$2:Y3)</f>
        <v/>
      </c>
      <c r="AH3" s="7">
        <f>10000.0+SUM($AA$2:AA3)</f>
        <v/>
      </c>
      <c r="AI3" s="2" t="n">
        <v>2026</v>
      </c>
      <c r="AJ3" s="2" t="inlineStr">
        <is>
          <t>2026-03</t>
        </is>
      </c>
      <c r="AK3" s="2" t="inlineStr">
        <is>
          <t>+121 to +150</t>
        </is>
      </c>
      <c r="AL3" s="2" t="inlineStr">
        <is>
          <t>2026 Frozen Test</t>
        </is>
      </c>
      <c r="AM3" s="6" t="n">
        <v>0.22539408207163</v>
      </c>
    </row>
    <row r="4">
      <c r="A4" s="2" t="inlineStr">
        <is>
          <t>KPROP-00405</t>
        </is>
      </c>
      <c r="B4" s="3" t="n">
        <v>46107.59417824074</v>
      </c>
      <c r="C4" s="3" t="n">
        <v>46107</v>
      </c>
      <c r="D4" s="2" t="inlineStr">
        <is>
          <t>Matthew Boyd</t>
        </is>
      </c>
      <c r="E4" s="2" t="n">
        <v>112</v>
      </c>
      <c r="F4" s="2" t="n">
        <v>120</v>
      </c>
      <c r="G4" s="2" t="inlineStr">
        <is>
          <t>Home</t>
        </is>
      </c>
      <c r="H4" s="2" t="inlineStr">
        <is>
          <t>betonlineag</t>
        </is>
      </c>
      <c r="I4" s="4" t="n"/>
      <c r="J4" s="4" t="n"/>
      <c r="K4" s="4" t="n">
        <v>-143</v>
      </c>
      <c r="L4" s="4" t="n">
        <v>-143</v>
      </c>
      <c r="M4" s="5" t="n">
        <v>5.5</v>
      </c>
      <c r="N4" s="5" t="n">
        <v>4.380043435034406</v>
      </c>
      <c r="O4" s="5" t="n">
        <v>5.5</v>
      </c>
      <c r="P4" s="5" t="n">
        <v>1.119956564965594</v>
      </c>
      <c r="Q4" s="6" t="n">
        <v>0.2290602013545401</v>
      </c>
      <c r="R4" s="6" t="n">
        <v>0.7232741102621368</v>
      </c>
      <c r="S4" s="6" t="n">
        <v>0.5697211155378487</v>
      </c>
      <c r="T4" s="2" t="inlineStr">
        <is>
          <t>Under</t>
        </is>
      </c>
      <c r="U4" s="4" t="n">
        <v>-143</v>
      </c>
      <c r="V4" s="2" t="n">
        <v>1.699300699300699</v>
      </c>
      <c r="W4" s="4" t="n">
        <v>-143</v>
      </c>
      <c r="X4" s="2" t="n">
        <v>1</v>
      </c>
      <c r="Y4" s="5" t="n">
        <v>-1</v>
      </c>
      <c r="Z4" s="7" t="n">
        <v>100</v>
      </c>
      <c r="AA4" s="7">
        <f>Y4*Z4</f>
        <v/>
      </c>
      <c r="AB4" s="6">
        <f>IF(Z4=0,0,AA4/Z4)</f>
        <v/>
      </c>
      <c r="AC4" s="6" t="n"/>
      <c r="AD4" s="2" t="inlineStr">
        <is>
          <t>Loss</t>
        </is>
      </c>
      <c r="AE4" s="6">
        <f>IF((COUNTIF($AD$2:AD4,"Win")+COUNTIF($AD$2:AD4,"Loss"))=0,0,COUNTIF($AD$2:AD4,"Win")/(COUNTIF($AD$2:AD4,"Win")+COUNTIF($AD$2:AD4,"Loss")))</f>
        <v/>
      </c>
      <c r="AF4" s="6">
        <f>SUM($Y$2:Y4)/SUM($X$2:X4)</f>
        <v/>
      </c>
      <c r="AG4" s="5">
        <f>SUM($Y$2:Y4)</f>
        <v/>
      </c>
      <c r="AH4" s="7">
        <f>10000.0+SUM($AA$2:AA4)</f>
        <v/>
      </c>
      <c r="AI4" s="2" t="n">
        <v>2026</v>
      </c>
      <c r="AJ4" s="2" t="inlineStr">
        <is>
          <t>2026-03</t>
        </is>
      </c>
      <c r="AK4" s="2" t="inlineStr">
        <is>
          <t>-149 to -120</t>
        </is>
      </c>
      <c r="AL4" s="2" t="inlineStr">
        <is>
          <t>2026 Frozen Test</t>
        </is>
      </c>
      <c r="AM4" s="6" t="n">
        <v>0.3275560879369924</v>
      </c>
    </row>
    <row r="5">
      <c r="A5" s="2" t="inlineStr">
        <is>
          <t>KPROP-00406</t>
        </is>
      </c>
      <c r="B5" s="3" t="n">
        <v>46107.67056712963</v>
      </c>
      <c r="C5" s="3" t="n">
        <v>46107</v>
      </c>
      <c r="D5" s="2" t="inlineStr">
        <is>
          <t>Tarik Skubal</t>
        </is>
      </c>
      <c r="E5" s="2" t="n">
        <v>116</v>
      </c>
      <c r="F5" s="2" t="n">
        <v>135</v>
      </c>
      <c r="G5" s="2" t="inlineStr">
        <is>
          <t>Away</t>
        </is>
      </c>
      <c r="H5" s="2" t="inlineStr">
        <is>
          <t>betonlineag</t>
        </is>
      </c>
      <c r="I5" s="4" t="n"/>
      <c r="J5" s="4" t="n"/>
      <c r="K5" s="4" t="n">
        <v>115</v>
      </c>
      <c r="L5" s="4" t="n">
        <v>115</v>
      </c>
      <c r="M5" s="5" t="n">
        <v>6.5</v>
      </c>
      <c r="N5" s="5" t="n">
        <v>6.360412184753596</v>
      </c>
      <c r="O5" s="5" t="n">
        <v>6.5</v>
      </c>
      <c r="P5" s="5" t="n">
        <v>0.1395878152464043</v>
      </c>
      <c r="Q5" s="6" t="n">
        <v>0.1795210428448533</v>
      </c>
      <c r="R5" s="6" t="n">
        <v>0.5486144385324899</v>
      </c>
      <c r="S5" s="6" t="n">
        <v>0.447405997144217</v>
      </c>
      <c r="T5" s="2" t="inlineStr">
        <is>
          <t>Under</t>
        </is>
      </c>
      <c r="U5" s="4" t="n">
        <v>115</v>
      </c>
      <c r="V5" s="2" t="n">
        <v>2.15</v>
      </c>
      <c r="W5" s="4" t="n">
        <v>115</v>
      </c>
      <c r="X5" s="2" t="n">
        <v>1</v>
      </c>
      <c r="Y5" s="5" t="n">
        <v>1.15</v>
      </c>
      <c r="Z5" s="7" t="n">
        <v>100</v>
      </c>
      <c r="AA5" s="7">
        <f>Y5*Z5</f>
        <v/>
      </c>
      <c r="AB5" s="6">
        <f>IF(Z5=0,0,AA5/Z5)</f>
        <v/>
      </c>
      <c r="AC5" s="6" t="n"/>
      <c r="AD5" s="2" t="inlineStr">
        <is>
          <t>Win</t>
        </is>
      </c>
      <c r="AE5" s="6">
        <f>IF((COUNTIF($AD$2:AD5,"Win")+COUNTIF($AD$2:AD5,"Loss"))=0,0,COUNTIF($AD$2:AD5,"Win")/(COUNTIF($AD$2:AD5,"Win")+COUNTIF($AD$2:AD5,"Loss")))</f>
        <v/>
      </c>
      <c r="AF5" s="6">
        <f>SUM($Y$2:Y5)/SUM($X$2:X5)</f>
        <v/>
      </c>
      <c r="AG5" s="5">
        <f>SUM($Y$2:Y5)</f>
        <v/>
      </c>
      <c r="AH5" s="7">
        <f>10000.0+SUM($AA$2:AA5)</f>
        <v/>
      </c>
      <c r="AI5" s="2" t="n">
        <v>2026</v>
      </c>
      <c r="AJ5" s="2" t="inlineStr">
        <is>
          <t>2026-03</t>
        </is>
      </c>
      <c r="AK5" s="2" t="inlineStr">
        <is>
          <t>+100 to +120</t>
        </is>
      </c>
      <c r="AL5" s="2" t="inlineStr">
        <is>
          <t>2026 Frozen Test</t>
        </is>
      </c>
      <c r="AM5" s="6" t="n">
        <v>0.1561052546476985</v>
      </c>
    </row>
    <row r="6">
      <c r="A6" s="2" t="inlineStr">
        <is>
          <t>KPROP-00407</t>
        </is>
      </c>
      <c r="B6" s="3" t="n">
        <v>46107.67056712963</v>
      </c>
      <c r="C6" s="3" t="n">
        <v>46107</v>
      </c>
      <c r="D6" s="2" t="inlineStr">
        <is>
          <t>Tarik Skubal</t>
        </is>
      </c>
      <c r="E6" s="2" t="n">
        <v>116</v>
      </c>
      <c r="F6" s="2" t="n">
        <v>135</v>
      </c>
      <c r="G6" s="2" t="inlineStr">
        <is>
          <t>Away</t>
        </is>
      </c>
      <c r="H6" s="2" t="inlineStr">
        <is>
          <t>betmgm</t>
        </is>
      </c>
      <c r="I6" s="4" t="n"/>
      <c r="J6" s="4" t="n"/>
      <c r="K6" s="4" t="n">
        <v>-160</v>
      </c>
      <c r="L6" s="4" t="n">
        <v>-160</v>
      </c>
      <c r="M6" s="5" t="n">
        <v>7.5</v>
      </c>
      <c r="N6" s="5" t="n">
        <v>6.360412184753596</v>
      </c>
      <c r="O6" s="5" t="n">
        <v>7.5</v>
      </c>
      <c r="P6" s="5" t="n">
        <v>1.139587815246404</v>
      </c>
      <c r="Q6" s="6" t="n">
        <v>0.1262063804276712</v>
      </c>
      <c r="R6" s="6" t="n">
        <v>0.6930500802631823</v>
      </c>
      <c r="S6" s="6" t="n">
        <v>0.5911949685534592</v>
      </c>
      <c r="T6" s="2" t="inlineStr">
        <is>
          <t>Under</t>
        </is>
      </c>
      <c r="U6" s="4" t="n">
        <v>-160</v>
      </c>
      <c r="V6" s="2" t="n">
        <v>1.625</v>
      </c>
      <c r="W6" s="4" t="n">
        <v>-160</v>
      </c>
      <c r="X6" s="2" t="n">
        <v>1</v>
      </c>
      <c r="Y6" s="5" t="n">
        <v>0.625</v>
      </c>
      <c r="Z6" s="7" t="n">
        <v>100</v>
      </c>
      <c r="AA6" s="7">
        <f>Y6*Z6</f>
        <v/>
      </c>
      <c r="AB6" s="6">
        <f>IF(Z6=0,0,AA6/Z6)</f>
        <v/>
      </c>
      <c r="AC6" s="6" t="n"/>
      <c r="AD6" s="2" t="inlineStr">
        <is>
          <t>Win</t>
        </is>
      </c>
      <c r="AE6" s="6">
        <f>IF((COUNTIF($AD$2:AD6,"Win")+COUNTIF($AD$2:AD6,"Loss"))=0,0,COUNTIF($AD$2:AD6,"Win")/(COUNTIF($AD$2:AD6,"Win")+COUNTIF($AD$2:AD6,"Loss")))</f>
        <v/>
      </c>
      <c r="AF6" s="6">
        <f>SUM($Y$2:Y6)/SUM($X$2:X6)</f>
        <v/>
      </c>
      <c r="AG6" s="5">
        <f>SUM($Y$2:Y6)</f>
        <v/>
      </c>
      <c r="AH6" s="7">
        <f>10000.0+SUM($AA$2:AA6)</f>
        <v/>
      </c>
      <c r="AI6" s="2" t="n">
        <v>2026</v>
      </c>
      <c r="AJ6" s="2" t="inlineStr">
        <is>
          <t>2026-03</t>
        </is>
      </c>
      <c r="AK6" s="2" t="inlineStr">
        <is>
          <t>&lt;= -150</t>
        </is>
      </c>
      <c r="AL6" s="2" t="inlineStr">
        <is>
          <t>2026 Frozen Test</t>
        </is>
      </c>
      <c r="AM6" s="6" t="n">
        <v>0.2019302086842739</v>
      </c>
    </row>
    <row r="7">
      <c r="A7" s="2" t="inlineStr">
        <is>
          <t>KPROP-00408</t>
        </is>
      </c>
      <c r="B7" s="3" t="n">
        <v>46108.79905092593</v>
      </c>
      <c r="C7" s="3" t="n">
        <v>46108</v>
      </c>
      <c r="D7" s="2" t="inlineStr">
        <is>
          <t>Chris Sale</t>
        </is>
      </c>
      <c r="E7" s="2" t="n">
        <v>144</v>
      </c>
      <c r="F7" s="2" t="n">
        <v>118</v>
      </c>
      <c r="G7" s="2" t="inlineStr">
        <is>
          <t>Home</t>
        </is>
      </c>
      <c r="H7" s="2" t="inlineStr">
        <is>
          <t>draftkings</t>
        </is>
      </c>
      <c r="I7" s="4" t="n"/>
      <c r="J7" s="4" t="n"/>
      <c r="K7" s="4" t="n">
        <v>-103</v>
      </c>
      <c r="L7" s="4" t="n">
        <v>-103</v>
      </c>
      <c r="M7" s="5" t="n">
        <v>6.5</v>
      </c>
      <c r="N7" s="5" t="n">
        <v>6.151979189152462</v>
      </c>
      <c r="O7" s="5" t="n">
        <v>6.5</v>
      </c>
      <c r="P7" s="5" t="n">
        <v>0.3480208108475376</v>
      </c>
      <c r="Q7" s="6" t="n">
        <v>0.1468649880843478</v>
      </c>
      <c r="R7" s="6" t="n">
        <v>0.5819068658753095</v>
      </c>
      <c r="S7" s="6" t="n">
        <v>0.4920382165605096</v>
      </c>
      <c r="T7" s="2" t="inlineStr">
        <is>
          <t>Under</t>
        </is>
      </c>
      <c r="U7" s="4" t="n">
        <v>-103</v>
      </c>
      <c r="V7" s="2" t="n">
        <v>1.970873786407767</v>
      </c>
      <c r="W7" s="4" t="n">
        <v>-103</v>
      </c>
      <c r="X7" s="2" t="n">
        <v>1</v>
      </c>
      <c r="Y7" s="5" t="n">
        <v>0.970873786407767</v>
      </c>
      <c r="Z7" s="7" t="n">
        <v>100</v>
      </c>
      <c r="AA7" s="7">
        <f>Y7*Z7</f>
        <v/>
      </c>
      <c r="AB7" s="6">
        <f>IF(Z7=0,0,AA7/Z7)</f>
        <v/>
      </c>
      <c r="AC7" s="6" t="n"/>
      <c r="AD7" s="2" t="inlineStr">
        <is>
          <t>Win</t>
        </is>
      </c>
      <c r="AE7" s="6">
        <f>IF((COUNTIF($AD$2:AD7,"Win")+COUNTIF($AD$2:AD7,"Loss"))=0,0,COUNTIF($AD$2:AD7,"Win")/(COUNTIF($AD$2:AD7,"Win")+COUNTIF($AD$2:AD7,"Loss")))</f>
        <v/>
      </c>
      <c r="AF7" s="6">
        <f>SUM($Y$2:Y7)/SUM($X$2:X7)</f>
        <v/>
      </c>
      <c r="AG7" s="5">
        <f>SUM($Y$2:Y7)</f>
        <v/>
      </c>
      <c r="AH7" s="7">
        <f>10000.0+SUM($AA$2:AA7)</f>
        <v/>
      </c>
      <c r="AI7" s="2" t="n">
        <v>2026</v>
      </c>
      <c r="AJ7" s="2" t="inlineStr">
        <is>
          <t>2026-03</t>
        </is>
      </c>
      <c r="AK7" s="2" t="inlineStr">
        <is>
          <t>-119 to -101</t>
        </is>
      </c>
      <c r="AL7" s="2" t="inlineStr">
        <is>
          <t>2026 Frozen Test</t>
        </is>
      </c>
      <c r="AM7" s="6" t="n">
        <v>0.1512709377268782</v>
      </c>
    </row>
    <row r="8">
      <c r="A8" s="2" t="inlineStr">
        <is>
          <t>KPROP-00409</t>
        </is>
      </c>
      <c r="B8" s="3" t="n">
        <v>46108.79905092593</v>
      </c>
      <c r="C8" s="3" t="n">
        <v>46108</v>
      </c>
      <c r="D8" s="2" t="inlineStr">
        <is>
          <t>Cole Ragans</t>
        </is>
      </c>
      <c r="E8" s="2" t="n">
        <v>118</v>
      </c>
      <c r="F8" s="2" t="n">
        <v>144</v>
      </c>
      <c r="G8" s="2" t="inlineStr">
        <is>
          <t>Away</t>
        </is>
      </c>
      <c r="H8" s="2" t="inlineStr">
        <is>
          <t>draftkings</t>
        </is>
      </c>
      <c r="I8" s="4" t="n"/>
      <c r="J8" s="4" t="n"/>
      <c r="K8" s="4" t="n">
        <v>-115</v>
      </c>
      <c r="L8" s="4" t="n">
        <v>-115</v>
      </c>
      <c r="M8" s="5" t="n">
        <v>6.5</v>
      </c>
      <c r="N8" s="5" t="n">
        <v>5.629921400061132</v>
      </c>
      <c r="O8" s="5" t="n">
        <v>6.5</v>
      </c>
      <c r="P8" s="5" t="n">
        <v>0.8700785999388678</v>
      </c>
      <c r="Q8" s="6" t="n">
        <v>0.2442207212376972</v>
      </c>
      <c r="R8" s="6" t="n">
        <v>0.6655134090341172</v>
      </c>
      <c r="S8" s="6" t="n">
        <v>0.5168539325842696</v>
      </c>
      <c r="T8" s="2" t="inlineStr">
        <is>
          <t>Under</t>
        </is>
      </c>
      <c r="U8" s="4" t="n">
        <v>-115</v>
      </c>
      <c r="V8" s="2" t="n">
        <v>1.869565217391304</v>
      </c>
      <c r="W8" s="4" t="n">
        <v>-115</v>
      </c>
      <c r="X8" s="2" t="n">
        <v>1</v>
      </c>
      <c r="Y8" s="5" t="n">
        <v>0.8695652173913042</v>
      </c>
      <c r="Z8" s="7" t="n">
        <v>100</v>
      </c>
      <c r="AA8" s="7">
        <f>Y8*Z8</f>
        <v/>
      </c>
      <c r="AB8" s="6">
        <f>IF(Z8=0,0,AA8/Z8)</f>
        <v/>
      </c>
      <c r="AC8" s="6" t="n"/>
      <c r="AD8" s="2" t="inlineStr">
        <is>
          <t>Win</t>
        </is>
      </c>
      <c r="AE8" s="6">
        <f>IF((COUNTIF($AD$2:AD8,"Win")+COUNTIF($AD$2:AD8,"Loss"))=0,0,COUNTIF($AD$2:AD8,"Win")/(COUNTIF($AD$2:AD8,"Win")+COUNTIF($AD$2:AD8,"Loss")))</f>
        <v/>
      </c>
      <c r="AF8" s="6">
        <f>SUM($Y$2:Y8)/SUM($X$2:X8)</f>
        <v/>
      </c>
      <c r="AG8" s="5">
        <f>SUM($Y$2:Y8)</f>
        <v/>
      </c>
      <c r="AH8" s="7">
        <f>10000.0+SUM($AA$2:AA8)</f>
        <v/>
      </c>
      <c r="AI8" s="2" t="n">
        <v>2026</v>
      </c>
      <c r="AJ8" s="2" t="inlineStr">
        <is>
          <t>2026-03</t>
        </is>
      </c>
      <c r="AK8" s="2" t="inlineStr">
        <is>
          <t>-119 to -101</t>
        </is>
      </c>
      <c r="AL8" s="2" t="inlineStr">
        <is>
          <t>2026 Frozen Test</t>
        </is>
      </c>
      <c r="AM8" s="6" t="n">
        <v>0.2808538294233519</v>
      </c>
    </row>
    <row r="9">
      <c r="A9" s="2" t="inlineStr">
        <is>
          <t>KPROP-00410</t>
        </is>
      </c>
      <c r="B9" s="3" t="n">
        <v>46108.69140046297</v>
      </c>
      <c r="C9" s="3" t="n">
        <v>46108</v>
      </c>
      <c r="D9" s="2" t="inlineStr">
        <is>
          <t>Robbie Ray</t>
        </is>
      </c>
      <c r="E9" s="2" t="n">
        <v>137</v>
      </c>
      <c r="F9" s="2" t="n">
        <v>147</v>
      </c>
      <c r="G9" s="2" t="inlineStr">
        <is>
          <t>Home</t>
        </is>
      </c>
      <c r="H9" s="2" t="inlineStr">
        <is>
          <t>bovada</t>
        </is>
      </c>
      <c r="I9" s="4" t="n"/>
      <c r="J9" s="4" t="n"/>
      <c r="K9" s="4" t="n">
        <v>125</v>
      </c>
      <c r="L9" s="4" t="n">
        <v>125</v>
      </c>
      <c r="M9" s="5" t="n">
        <v>5.5</v>
      </c>
      <c r="N9" s="5" t="n">
        <v>5.757048821926251</v>
      </c>
      <c r="O9" s="5" t="n">
        <v>5.5</v>
      </c>
      <c r="P9" s="5" t="n">
        <v>-0.2570488219262508</v>
      </c>
      <c r="Q9" s="6" t="n">
        <v>0.09225806158538274</v>
      </c>
      <c r="R9" s="6" t="n">
        <v>0.4854480273712812</v>
      </c>
      <c r="S9" s="6" t="n">
        <v>0.4255319148936171</v>
      </c>
      <c r="T9" s="2" t="inlineStr">
        <is>
          <t>Under</t>
        </is>
      </c>
      <c r="U9" s="4" t="n">
        <v>125</v>
      </c>
      <c r="V9" s="2" t="n">
        <v>2.25</v>
      </c>
      <c r="W9" s="4" t="n">
        <v>125</v>
      </c>
      <c r="X9" s="2" t="n">
        <v>1</v>
      </c>
      <c r="Y9" s="5" t="n">
        <v>1.25</v>
      </c>
      <c r="Z9" s="7" t="n">
        <v>100</v>
      </c>
      <c r="AA9" s="7">
        <f>Y9*Z9</f>
        <v/>
      </c>
      <c r="AB9" s="6">
        <f>IF(Z9=0,0,AA9/Z9)</f>
        <v/>
      </c>
      <c r="AC9" s="6" t="n"/>
      <c r="AD9" s="2" t="inlineStr">
        <is>
          <t>Win</t>
        </is>
      </c>
      <c r="AE9" s="6">
        <f>IF((COUNTIF($AD$2:AD9,"Win")+COUNTIF($AD$2:AD9,"Loss"))=0,0,COUNTIF($AD$2:AD9,"Win")/(COUNTIF($AD$2:AD9,"Win")+COUNTIF($AD$2:AD9,"Loss")))</f>
        <v/>
      </c>
      <c r="AF9" s="6">
        <f>SUM($Y$2:Y9)/SUM($X$2:X9)</f>
        <v/>
      </c>
      <c r="AG9" s="5">
        <f>SUM($Y$2:Y9)</f>
        <v/>
      </c>
      <c r="AH9" s="7">
        <f>10000.0+SUM($AA$2:AA9)</f>
        <v/>
      </c>
      <c r="AI9" s="2" t="n">
        <v>2026</v>
      </c>
      <c r="AJ9" s="2" t="inlineStr">
        <is>
          <t>2026-03</t>
        </is>
      </c>
      <c r="AK9" s="2" t="inlineStr">
        <is>
          <t>+121 to +150</t>
        </is>
      </c>
      <c r="AL9" s="2" t="inlineStr">
        <is>
          <t>2026 Frozen Test</t>
        </is>
      </c>
      <c r="AM9" s="6" t="n">
        <v>0.07380644926830619</v>
      </c>
    </row>
    <row r="10">
      <c r="A10" s="2" t="inlineStr">
        <is>
          <t>KPROP-00411</t>
        </is>
      </c>
      <c r="B10" s="3" t="n">
        <v>46109.59417824074</v>
      </c>
      <c r="C10" s="3" t="n">
        <v>46109</v>
      </c>
      <c r="D10" s="2" t="inlineStr">
        <is>
          <t>Cade Horton</t>
        </is>
      </c>
      <c r="E10" s="2" t="n">
        <v>112</v>
      </c>
      <c r="F10" s="2" t="n">
        <v>120</v>
      </c>
      <c r="G10" s="2" t="inlineStr">
        <is>
          <t>Home</t>
        </is>
      </c>
      <c r="H10" s="2" t="inlineStr">
        <is>
          <t>betrivers</t>
        </is>
      </c>
      <c r="I10" s="4" t="n"/>
      <c r="J10" s="4" t="n"/>
      <c r="K10" s="4" t="n">
        <v>104</v>
      </c>
      <c r="L10" s="4" t="n">
        <v>104</v>
      </c>
      <c r="M10" s="5" t="n">
        <v>4.5</v>
      </c>
      <c r="N10" s="5" t="n">
        <v>4.378015439684973</v>
      </c>
      <c r="O10" s="5" t="n">
        <v>4.5</v>
      </c>
      <c r="P10" s="5" t="n">
        <v>0.1219845603150267</v>
      </c>
      <c r="Q10" s="6" t="n">
        <v>0.1330224986916877</v>
      </c>
      <c r="R10" s="6" t="n">
        <v>0.5554031856331803</v>
      </c>
      <c r="S10" s="6" t="n">
        <v>0.4834254143646409</v>
      </c>
      <c r="T10" s="2" t="inlineStr">
        <is>
          <t>Under</t>
        </is>
      </c>
      <c r="U10" s="4" t="n">
        <v>104</v>
      </c>
      <c r="V10" s="2" t="n">
        <v>2.04</v>
      </c>
      <c r="W10" s="4" t="n">
        <v>104</v>
      </c>
      <c r="X10" s="2" t="n">
        <v>1</v>
      </c>
      <c r="Y10" s="5" t="n">
        <v>1.04</v>
      </c>
      <c r="Z10" s="7" t="n">
        <v>100</v>
      </c>
      <c r="AA10" s="7">
        <f>Y10*Z10</f>
        <v/>
      </c>
      <c r="AB10" s="6">
        <f>IF(Z10=0,0,AA10/Z10)</f>
        <v/>
      </c>
      <c r="AC10" s="6" t="n"/>
      <c r="AD10" s="2" t="inlineStr">
        <is>
          <t>Win</t>
        </is>
      </c>
      <c r="AE10" s="6">
        <f>IF((COUNTIF($AD$2:AD10,"Win")+COUNTIF($AD$2:AD10,"Loss"))=0,0,COUNTIF($AD$2:AD10,"Win")/(COUNTIF($AD$2:AD10,"Win")+COUNTIF($AD$2:AD10,"Loss")))</f>
        <v/>
      </c>
      <c r="AF10" s="6">
        <f>SUM($Y$2:Y10)/SUM($X$2:X10)</f>
        <v/>
      </c>
      <c r="AG10" s="5">
        <f>SUM($Y$2:Y10)</f>
        <v/>
      </c>
      <c r="AH10" s="7">
        <f>10000.0+SUM($AA$2:AA10)</f>
        <v/>
      </c>
      <c r="AI10" s="2" t="n">
        <v>2026</v>
      </c>
      <c r="AJ10" s="2" t="inlineStr">
        <is>
          <t>2026-03</t>
        </is>
      </c>
      <c r="AK10" s="2" t="inlineStr">
        <is>
          <t>+100 to +120</t>
        </is>
      </c>
      <c r="AL10" s="2" t="inlineStr">
        <is>
          <t>2026 Frozen Test</t>
        </is>
      </c>
      <c r="AM10" s="6" t="n">
        <v>0.1279062487420074</v>
      </c>
    </row>
    <row r="11">
      <c r="A11" s="2" t="inlineStr">
        <is>
          <t>KPROP-00412</t>
        </is>
      </c>
      <c r="B11" s="3" t="n">
        <v>46109.67056712963</v>
      </c>
      <c r="C11" s="3" t="n">
        <v>46109</v>
      </c>
      <c r="D11" s="2" t="inlineStr">
        <is>
          <t>David Peterson</t>
        </is>
      </c>
      <c r="E11" s="2" t="n">
        <v>121</v>
      </c>
      <c r="F11" s="2" t="n">
        <v>134</v>
      </c>
      <c r="G11" s="2" t="inlineStr">
        <is>
          <t>Home</t>
        </is>
      </c>
      <c r="H11" s="2" t="inlineStr">
        <is>
          <t>betmgm</t>
        </is>
      </c>
      <c r="I11" s="4" t="n"/>
      <c r="J11" s="4" t="n"/>
      <c r="K11" s="4" t="n">
        <v>130</v>
      </c>
      <c r="L11" s="4" t="n">
        <v>130</v>
      </c>
      <c r="M11" s="5" t="n">
        <v>4.5</v>
      </c>
      <c r="N11" s="5" t="n">
        <v>4.28389668670161</v>
      </c>
      <c r="O11" s="5" t="n">
        <v>4.5</v>
      </c>
      <c r="P11" s="5" t="n">
        <v>0.2161033132983903</v>
      </c>
      <c r="Q11" s="6" t="n">
        <v>0.319170388911278</v>
      </c>
      <c r="R11" s="6" t="n">
        <v>0.5735523430049035</v>
      </c>
      <c r="S11" s="6" t="n">
        <v>0.4201680672268908</v>
      </c>
      <c r="T11" s="2" t="inlineStr">
        <is>
          <t>Under</t>
        </is>
      </c>
      <c r="U11" s="4" t="n">
        <v>130</v>
      </c>
      <c r="V11" s="2" t="n">
        <v>2.3</v>
      </c>
      <c r="W11" s="4" t="n">
        <v>130</v>
      </c>
      <c r="X11" s="2" t="n">
        <v>1</v>
      </c>
      <c r="Y11" s="5" t="n">
        <v>1.3</v>
      </c>
      <c r="Z11" s="7" t="n">
        <v>100</v>
      </c>
      <c r="AA11" s="7">
        <f>Y11*Z11</f>
        <v/>
      </c>
      <c r="AB11" s="6">
        <f>IF(Z11=0,0,AA11/Z11)</f>
        <v/>
      </c>
      <c r="AC11" s="6" t="n"/>
      <c r="AD11" s="2" t="inlineStr">
        <is>
          <t>Win</t>
        </is>
      </c>
      <c r="AE11" s="6">
        <f>IF((COUNTIF($AD$2:AD11,"Win")+COUNTIF($AD$2:AD11,"Loss"))=0,0,COUNTIF($AD$2:AD11,"Win")/(COUNTIF($AD$2:AD11,"Win")+COUNTIF($AD$2:AD11,"Loss")))</f>
        <v/>
      </c>
      <c r="AF11" s="6">
        <f>SUM($Y$2:Y11)/SUM($X$2:X11)</f>
        <v/>
      </c>
      <c r="AG11" s="5">
        <f>SUM($Y$2:Y11)</f>
        <v/>
      </c>
      <c r="AH11" s="7">
        <f>10000.0+SUM($AA$2:AA11)</f>
        <v/>
      </c>
      <c r="AI11" s="2" t="n">
        <v>2026</v>
      </c>
      <c r="AJ11" s="2" t="inlineStr">
        <is>
          <t>2026-03</t>
        </is>
      </c>
      <c r="AK11" s="2" t="inlineStr">
        <is>
          <t>+121 to +150</t>
        </is>
      </c>
      <c r="AL11" s="2" t="inlineStr">
        <is>
          <t>2026 Frozen Test</t>
        </is>
      </c>
      <c r="AM11" s="6" t="n">
        <v>0.2455156837779062</v>
      </c>
    </row>
    <row r="12">
      <c r="A12" s="2" t="inlineStr">
        <is>
          <t>KPROP-00413</t>
        </is>
      </c>
      <c r="B12" s="3" t="n">
        <v>46109.67403935185</v>
      </c>
      <c r="C12" s="3" t="n">
        <v>46109</v>
      </c>
      <c r="D12" s="2" t="inlineStr">
        <is>
          <t>Eury Pérez</t>
        </is>
      </c>
      <c r="E12" s="2" t="n">
        <v>146</v>
      </c>
      <c r="F12" s="2" t="n">
        <v>115</v>
      </c>
      <c r="G12" s="2" t="inlineStr">
        <is>
          <t>Home</t>
        </is>
      </c>
      <c r="H12" s="2" t="inlineStr">
        <is>
          <t>betrivers</t>
        </is>
      </c>
      <c r="I12" s="4" t="n"/>
      <c r="J12" s="4" t="n"/>
      <c r="K12" s="4" t="n">
        <v>138</v>
      </c>
      <c r="L12" s="4" t="n">
        <v>138</v>
      </c>
      <c r="M12" s="5" t="n">
        <v>5.5</v>
      </c>
      <c r="N12" s="5" t="n">
        <v>5.920239905199486</v>
      </c>
      <c r="O12" s="5" t="n">
        <v>5.5</v>
      </c>
      <c r="P12" s="5" t="n">
        <v>-0.4202399051994856</v>
      </c>
      <c r="Q12" s="6" t="n">
        <v>0.09140748021586219</v>
      </c>
      <c r="R12" s="6" t="n">
        <v>0.4585745715192698</v>
      </c>
      <c r="S12" s="6" t="n">
        <v>0.3924905308228578</v>
      </c>
      <c r="T12" s="2" t="inlineStr">
        <is>
          <t>Under</t>
        </is>
      </c>
      <c r="U12" s="4" t="n">
        <v>138</v>
      </c>
      <c r="V12" s="2" t="n">
        <v>2.38</v>
      </c>
      <c r="W12" s="4" t="n">
        <v>138</v>
      </c>
      <c r="X12" s="2" t="n">
        <v>1</v>
      </c>
      <c r="Y12" s="5" t="n">
        <v>-1</v>
      </c>
      <c r="Z12" s="7" t="n">
        <v>100</v>
      </c>
      <c r="AA12" s="7">
        <f>Y12*Z12</f>
        <v/>
      </c>
      <c r="AB12" s="6">
        <f>IF(Z12=0,0,AA12/Z12)</f>
        <v/>
      </c>
      <c r="AC12" s="6" t="n"/>
      <c r="AD12" s="2" t="inlineStr">
        <is>
          <t>Loss</t>
        </is>
      </c>
      <c r="AE12" s="6">
        <f>IF((COUNTIF($AD$2:AD12,"Win")+COUNTIF($AD$2:AD12,"Loss"))=0,0,COUNTIF($AD$2:AD12,"Win")/(COUNTIF($AD$2:AD12,"Win")+COUNTIF($AD$2:AD12,"Loss")))</f>
        <v/>
      </c>
      <c r="AF12" s="6">
        <f>SUM($Y$2:Y12)/SUM($X$2:X12)</f>
        <v/>
      </c>
      <c r="AG12" s="5">
        <f>SUM($Y$2:Y12)</f>
        <v/>
      </c>
      <c r="AH12" s="7">
        <f>10000.0+SUM($AA$2:AA12)</f>
        <v/>
      </c>
      <c r="AI12" s="2" t="n">
        <v>2026</v>
      </c>
      <c r="AJ12" s="2" t="inlineStr">
        <is>
          <t>2026-03</t>
        </is>
      </c>
      <c r="AK12" s="2" t="inlineStr">
        <is>
          <t>+121 to +150</t>
        </is>
      </c>
      <c r="AL12" s="2" t="inlineStr">
        <is>
          <t>2026 Frozen Test</t>
        </is>
      </c>
      <c r="AM12" s="6" t="n">
        <v>0.06623730450424797</v>
      </c>
    </row>
    <row r="13">
      <c r="A13" s="2" t="inlineStr">
        <is>
          <t>KPROP-00414</t>
        </is>
      </c>
      <c r="B13" s="3" t="n">
        <v>46109.79903935185</v>
      </c>
      <c r="C13" s="3" t="n">
        <v>46109</v>
      </c>
      <c r="D13" s="2" t="inlineStr">
        <is>
          <t>Michael Wacha</t>
        </is>
      </c>
      <c r="E13" s="2" t="n">
        <v>118</v>
      </c>
      <c r="F13" s="2" t="n">
        <v>144</v>
      </c>
      <c r="G13" s="2" t="inlineStr">
        <is>
          <t>Away</t>
        </is>
      </c>
      <c r="H13" s="2" t="inlineStr">
        <is>
          <t>betmgm</t>
        </is>
      </c>
      <c r="I13" s="4" t="n"/>
      <c r="J13" s="4" t="n"/>
      <c r="K13" s="4" t="n">
        <v>120</v>
      </c>
      <c r="L13" s="4" t="n">
        <v>120</v>
      </c>
      <c r="M13" s="5" t="n">
        <v>3.5</v>
      </c>
      <c r="N13" s="5" t="n">
        <v>3.668973518159568</v>
      </c>
      <c r="O13" s="5" t="n">
        <v>3.5</v>
      </c>
      <c r="P13" s="5" t="n">
        <v>-0.1689735181595684</v>
      </c>
      <c r="Q13" s="6" t="n">
        <v>0.1014254005137052</v>
      </c>
      <c r="R13" s="6" t="n">
        <v>0.5006479093244114</v>
      </c>
      <c r="S13" s="6" t="n">
        <v>0.4457364341085271</v>
      </c>
      <c r="T13" s="2" t="inlineStr">
        <is>
          <t>Under</t>
        </is>
      </c>
      <c r="U13" s="4" t="n">
        <v>120</v>
      </c>
      <c r="V13" s="2" t="n">
        <v>2.2</v>
      </c>
      <c r="W13" s="4" t="n">
        <v>120</v>
      </c>
      <c r="X13" s="2" t="n">
        <v>1</v>
      </c>
      <c r="Y13" s="5" t="n">
        <v>-1</v>
      </c>
      <c r="Z13" s="7" t="n">
        <v>100</v>
      </c>
      <c r="AA13" s="7">
        <f>Y13*Z13</f>
        <v/>
      </c>
      <c r="AB13" s="6">
        <f>IF(Z13=0,0,AA13/Z13)</f>
        <v/>
      </c>
      <c r="AC13" s="6" t="n"/>
      <c r="AD13" s="2" t="inlineStr">
        <is>
          <t>Loss</t>
        </is>
      </c>
      <c r="AE13" s="6">
        <f>IF((COUNTIF($AD$2:AD13,"Win")+COUNTIF($AD$2:AD13,"Loss"))=0,0,COUNTIF($AD$2:AD13,"Win")/(COUNTIF($AD$2:AD13,"Win")+COUNTIF($AD$2:AD13,"Loss")))</f>
        <v/>
      </c>
      <c r="AF13" s="6">
        <f>SUM($Y$2:Y13)/SUM($X$2:X13)</f>
        <v/>
      </c>
      <c r="AG13" s="5">
        <f>SUM($Y$2:Y13)</f>
        <v/>
      </c>
      <c r="AH13" s="7">
        <f>10000.0+SUM($AA$2:AA13)</f>
        <v/>
      </c>
      <c r="AI13" s="2" t="n">
        <v>2026</v>
      </c>
      <c r="AJ13" s="2" t="inlineStr">
        <is>
          <t>2026-03</t>
        </is>
      </c>
      <c r="AK13" s="2" t="inlineStr">
        <is>
          <t>+100 to +120</t>
        </is>
      </c>
      <c r="AL13" s="2" t="inlineStr">
        <is>
          <t>2026 Frozen Test</t>
        </is>
      </c>
      <c r="AM13" s="6" t="n">
        <v>0.08452116709475431</v>
      </c>
    </row>
    <row r="14">
      <c r="A14" s="2" t="inlineStr">
        <is>
          <t>KPROP-00415</t>
        </is>
      </c>
      <c r="B14" s="3" t="n">
        <v>46110.56641203703</v>
      </c>
      <c r="C14" s="3" t="n">
        <v>46110</v>
      </c>
      <c r="D14" s="2" t="inlineStr">
        <is>
          <t>Grant Holmes</t>
        </is>
      </c>
      <c r="E14" s="2" t="n">
        <v>144</v>
      </c>
      <c r="F14" s="2" t="n">
        <v>118</v>
      </c>
      <c r="G14" s="2" t="inlineStr">
        <is>
          <t>Home</t>
        </is>
      </c>
      <c r="H14" s="2" t="inlineStr">
        <is>
          <t>betrivers</t>
        </is>
      </c>
      <c r="I14" s="4" t="n"/>
      <c r="J14" s="4" t="n"/>
      <c r="K14" s="4" t="n">
        <v>112</v>
      </c>
      <c r="L14" s="4" t="n">
        <v>112</v>
      </c>
      <c r="M14" s="5" t="n">
        <v>4.5</v>
      </c>
      <c r="N14" s="5" t="n">
        <v>4.452394093367988</v>
      </c>
      <c r="O14" s="5" t="n">
        <v>4.5</v>
      </c>
      <c r="P14" s="5" t="n">
        <v>0.04760590663201203</v>
      </c>
      <c r="Q14" s="6" t="n">
        <v>0.1472651361558385</v>
      </c>
      <c r="R14" s="6" t="n">
        <v>0.5411628000735087</v>
      </c>
      <c r="S14" s="6" t="n">
        <v>0.4591836734693878</v>
      </c>
      <c r="T14" s="2" t="inlineStr">
        <is>
          <t>Under</t>
        </is>
      </c>
      <c r="U14" s="4" t="n">
        <v>112</v>
      </c>
      <c r="V14" s="2" t="n">
        <v>2.12</v>
      </c>
      <c r="W14" s="4" t="n">
        <v>112</v>
      </c>
      <c r="X14" s="2" t="n">
        <v>1</v>
      </c>
      <c r="Y14" s="5" t="n">
        <v>1.12</v>
      </c>
      <c r="Z14" s="7" t="n">
        <v>100</v>
      </c>
      <c r="AA14" s="7">
        <f>Y14*Z14</f>
        <v/>
      </c>
      <c r="AB14" s="6">
        <f>IF(Z14=0,0,AA14/Z14)</f>
        <v/>
      </c>
      <c r="AC14" s="6" t="n"/>
      <c r="AD14" s="2" t="inlineStr">
        <is>
          <t>Win</t>
        </is>
      </c>
      <c r="AE14" s="6">
        <f>IF((COUNTIF($AD$2:AD14,"Win")+COUNTIF($AD$2:AD14,"Loss"))=0,0,COUNTIF($AD$2:AD14,"Win")/(COUNTIF($AD$2:AD14,"Win")+COUNTIF($AD$2:AD14,"Loss")))</f>
        <v/>
      </c>
      <c r="AF14" s="6">
        <f>SUM($Y$2:Y14)/SUM($X$2:X14)</f>
        <v/>
      </c>
      <c r="AG14" s="5">
        <f>SUM($Y$2:Y14)</f>
        <v/>
      </c>
      <c r="AH14" s="7">
        <f>10000.0+SUM($AA$2:AA14)</f>
        <v/>
      </c>
      <c r="AI14" s="2" t="n">
        <v>2026</v>
      </c>
      <c r="AJ14" s="2" t="inlineStr">
        <is>
          <t>2026-03</t>
        </is>
      </c>
      <c r="AK14" s="2" t="inlineStr">
        <is>
          <t>+100 to +120</t>
        </is>
      </c>
      <c r="AL14" s="2" t="inlineStr">
        <is>
          <t>2026 Frozen Test</t>
        </is>
      </c>
      <c r="AM14" s="6" t="n">
        <v>0.13148672871057</v>
      </c>
    </row>
    <row r="15">
      <c r="A15" s="2" t="inlineStr">
        <is>
          <t>KPROP-00416</t>
        </is>
      </c>
      <c r="B15" s="3" t="n">
        <v>46110.56641203703</v>
      </c>
      <c r="C15" s="3" t="n">
        <v>46110</v>
      </c>
      <c r="D15" s="2" t="inlineStr">
        <is>
          <t>Grant Holmes</t>
        </is>
      </c>
      <c r="E15" s="2" t="n">
        <v>144</v>
      </c>
      <c r="F15" s="2" t="n">
        <v>118</v>
      </c>
      <c r="G15" s="2" t="inlineStr">
        <is>
          <t>Home</t>
        </is>
      </c>
      <c r="H15" s="2" t="inlineStr">
        <is>
          <t>betrivers</t>
        </is>
      </c>
      <c r="I15" s="4" t="n"/>
      <c r="J15" s="4" t="n"/>
      <c r="K15" s="4" t="n">
        <v>-190</v>
      </c>
      <c r="L15" s="4" t="n">
        <v>-190</v>
      </c>
      <c r="M15" s="5" t="n">
        <v>5.5</v>
      </c>
      <c r="N15" s="5" t="n">
        <v>4.452394093367988</v>
      </c>
      <c r="O15" s="5" t="n">
        <v>5.5</v>
      </c>
      <c r="P15" s="5" t="n">
        <v>1.047605906632012</v>
      </c>
      <c r="Q15" s="6" t="n">
        <v>0.08527245281372942</v>
      </c>
      <c r="R15" s="6" t="n">
        <v>0.7110405725331331</v>
      </c>
      <c r="S15" s="6" t="n">
        <v>0.6112600536193029</v>
      </c>
      <c r="T15" s="2" t="inlineStr">
        <is>
          <t>Under</t>
        </is>
      </c>
      <c r="U15" s="4" t="n">
        <v>-190</v>
      </c>
      <c r="V15" s="2" t="n">
        <v>1.526315789473684</v>
      </c>
      <c r="W15" s="4" t="n">
        <v>-190</v>
      </c>
      <c r="X15" s="2" t="n">
        <v>1</v>
      </c>
      <c r="Y15" s="5" t="n">
        <v>0.5263157894736841</v>
      </c>
      <c r="Z15" s="7" t="n">
        <v>100</v>
      </c>
      <c r="AA15" s="7">
        <f>Y15*Z15</f>
        <v/>
      </c>
      <c r="AB15" s="6">
        <f>IF(Z15=0,0,AA15/Z15)</f>
        <v/>
      </c>
      <c r="AC15" s="6" t="n"/>
      <c r="AD15" s="2" t="inlineStr">
        <is>
          <t>Win</t>
        </is>
      </c>
      <c r="AE15" s="6">
        <f>IF((COUNTIF($AD$2:AD15,"Win")+COUNTIF($AD$2:AD15,"Loss"))=0,0,COUNTIF($AD$2:AD15,"Win")/(COUNTIF($AD$2:AD15,"Win")+COUNTIF($AD$2:AD15,"Loss")))</f>
        <v/>
      </c>
      <c r="AF15" s="6">
        <f>SUM($Y$2:Y15)/SUM($X$2:X15)</f>
        <v/>
      </c>
      <c r="AG15" s="5">
        <f>SUM($Y$2:Y15)</f>
        <v/>
      </c>
      <c r="AH15" s="7">
        <f>10000.0+SUM($AA$2:AA15)</f>
        <v/>
      </c>
      <c r="AI15" s="2" t="n">
        <v>2026</v>
      </c>
      <c r="AJ15" s="2" t="inlineStr">
        <is>
          <t>2026-03</t>
        </is>
      </c>
      <c r="AK15" s="2" t="inlineStr">
        <is>
          <t>&lt;= -150</t>
        </is>
      </c>
      <c r="AL15" s="2" t="inlineStr">
        <is>
          <t>2026 Frozen Test</t>
        </is>
      </c>
      <c r="AM15" s="6" t="n">
        <v>0.1620176603460859</v>
      </c>
    </row>
    <row r="16">
      <c r="A16" s="2" t="inlineStr">
        <is>
          <t>KPROP-00417</t>
        </is>
      </c>
      <c r="B16" s="3" t="n">
        <v>46110.56641203703</v>
      </c>
      <c r="C16" s="3" t="n">
        <v>46110</v>
      </c>
      <c r="D16" s="2" t="inlineStr">
        <is>
          <t>MacKenzie Gore</t>
        </is>
      </c>
      <c r="E16" s="2" t="n">
        <v>140</v>
      </c>
      <c r="F16" s="2" t="n">
        <v>143</v>
      </c>
      <c r="G16" s="2" t="inlineStr">
        <is>
          <t>Away</t>
        </is>
      </c>
      <c r="H16" s="2" t="inlineStr">
        <is>
          <t>betrivers</t>
        </is>
      </c>
      <c r="I16" s="4" t="n"/>
      <c r="J16" s="4" t="n"/>
      <c r="K16" s="4" t="n">
        <v>106</v>
      </c>
      <c r="L16" s="4" t="n">
        <v>106</v>
      </c>
      <c r="M16" s="5" t="n">
        <v>5.5</v>
      </c>
      <c r="N16" s="5" t="n">
        <v>5.148717068582378</v>
      </c>
      <c r="O16" s="5" t="n">
        <v>5.5</v>
      </c>
      <c r="P16" s="5" t="n">
        <v>0.3512829314176225</v>
      </c>
      <c r="Q16" s="6" t="n">
        <v>0.215162289232483</v>
      </c>
      <c r="R16" s="6" t="n">
        <v>0.5898846064235355</v>
      </c>
      <c r="S16" s="6" t="n">
        <v>0.4681136907510811</v>
      </c>
      <c r="T16" s="2" t="inlineStr">
        <is>
          <t>Under</t>
        </is>
      </c>
      <c r="U16" s="4" t="n">
        <v>106</v>
      </c>
      <c r="V16" s="2" t="n">
        <v>2.06</v>
      </c>
      <c r="W16" s="4" t="n">
        <v>106</v>
      </c>
      <c r="X16" s="2" t="n">
        <v>1</v>
      </c>
      <c r="Y16" s="5" t="n">
        <v>-1</v>
      </c>
      <c r="Z16" s="7" t="n">
        <v>100</v>
      </c>
      <c r="AA16" s="7">
        <f>Y16*Z16</f>
        <v/>
      </c>
      <c r="AB16" s="6">
        <f>IF(Z16=0,0,AA16/Z16)</f>
        <v/>
      </c>
      <c r="AC16" s="6" t="n"/>
      <c r="AD16" s="2" t="inlineStr">
        <is>
          <t>Loss</t>
        </is>
      </c>
      <c r="AE16" s="6">
        <f>IF((COUNTIF($AD$2:AD16,"Win")+COUNTIF($AD$2:AD16,"Loss"))=0,0,COUNTIF($AD$2:AD16,"Win")/(COUNTIF($AD$2:AD16,"Win")+COUNTIF($AD$2:AD16,"Loss")))</f>
        <v/>
      </c>
      <c r="AF16" s="6">
        <f>SUM($Y$2:Y16)/SUM($X$2:X16)</f>
        <v/>
      </c>
      <c r="AG16" s="5">
        <f>SUM($Y$2:Y16)</f>
        <v/>
      </c>
      <c r="AH16" s="7">
        <f>10000.0+SUM($AA$2:AA16)</f>
        <v/>
      </c>
      <c r="AI16" s="2" t="n">
        <v>2026</v>
      </c>
      <c r="AJ16" s="2" t="inlineStr">
        <is>
          <t>2026-03</t>
        </is>
      </c>
      <c r="AK16" s="2" t="inlineStr">
        <is>
          <t>+100 to +120</t>
        </is>
      </c>
      <c r="AL16" s="2" t="inlineStr">
        <is>
          <t>2026 Frozen Test</t>
        </is>
      </c>
      <c r="AM16" s="6" t="n">
        <v>0.2029832917287576</v>
      </c>
    </row>
    <row r="17">
      <c r="A17" s="2" t="inlineStr">
        <is>
          <t>KPROP-00418</t>
        </is>
      </c>
      <c r="B17" s="3" t="n">
        <v>46110.56641203703</v>
      </c>
      <c r="C17" s="3" t="n">
        <v>46110</v>
      </c>
      <c r="D17" s="2" t="inlineStr">
        <is>
          <t>MacKenzie Gore</t>
        </is>
      </c>
      <c r="E17" s="2" t="n">
        <v>140</v>
      </c>
      <c r="F17" s="2" t="n">
        <v>143</v>
      </c>
      <c r="G17" s="2" t="inlineStr">
        <is>
          <t>Away</t>
        </is>
      </c>
      <c r="H17" s="2" t="inlineStr">
        <is>
          <t>betmgm</t>
        </is>
      </c>
      <c r="I17" s="4" t="n"/>
      <c r="J17" s="4" t="n"/>
      <c r="K17" s="4" t="n">
        <v>-165</v>
      </c>
      <c r="L17" s="4" t="n">
        <v>-165</v>
      </c>
      <c r="M17" s="5" t="n">
        <v>6.5</v>
      </c>
      <c r="N17" s="5" t="n">
        <v>5.148717068582378</v>
      </c>
      <c r="O17" s="5" t="n">
        <v>6.5</v>
      </c>
      <c r="P17" s="5" t="n">
        <v>1.351282931417622</v>
      </c>
      <c r="Q17" s="6" t="n">
        <v>0.1886942416273352</v>
      </c>
      <c r="R17" s="6" t="n">
        <v>0.7401303768623031</v>
      </c>
      <c r="S17" s="6" t="n">
        <v>0.5990922844175491</v>
      </c>
      <c r="T17" s="2" t="inlineStr">
        <is>
          <t>Under</t>
        </is>
      </c>
      <c r="U17" s="4" t="n">
        <v>-165</v>
      </c>
      <c r="V17" s="2" t="n">
        <v>1.606060606060606</v>
      </c>
      <c r="W17" s="4" t="n">
        <v>-165</v>
      </c>
      <c r="X17" s="2" t="n">
        <v>1</v>
      </c>
      <c r="Y17" s="5" t="n">
        <v>-1</v>
      </c>
      <c r="Z17" s="7" t="n">
        <v>100</v>
      </c>
      <c r="AA17" s="7">
        <f>Y17*Z17</f>
        <v/>
      </c>
      <c r="AB17" s="6">
        <f>IF(Z17=0,0,AA17/Z17)</f>
        <v/>
      </c>
      <c r="AC17" s="6" t="n"/>
      <c r="AD17" s="2" t="inlineStr">
        <is>
          <t>Loss</t>
        </is>
      </c>
      <c r="AE17" s="6">
        <f>IF((COUNTIF($AD$2:AD17,"Win")+COUNTIF($AD$2:AD17,"Loss"))=0,0,COUNTIF($AD$2:AD17,"Win")/(COUNTIF($AD$2:AD17,"Win")+COUNTIF($AD$2:AD17,"Loss")))</f>
        <v/>
      </c>
      <c r="AF17" s="6">
        <f>SUM($Y$2:Y17)/SUM($X$2:X17)</f>
        <v/>
      </c>
      <c r="AG17" s="5">
        <f>SUM($Y$2:Y17)</f>
        <v/>
      </c>
      <c r="AH17" s="7">
        <f>10000.0+SUM($AA$2:AA17)</f>
        <v/>
      </c>
      <c r="AI17" s="2" t="n">
        <v>2026</v>
      </c>
      <c r="AJ17" s="2" t="inlineStr">
        <is>
          <t>2026-03</t>
        </is>
      </c>
      <c r="AK17" s="2" t="inlineStr">
        <is>
          <t>&lt;= -150</t>
        </is>
      </c>
      <c r="AL17" s="2" t="inlineStr">
        <is>
          <t>2026 Frozen Test</t>
        </is>
      </c>
      <c r="AM17" s="6" t="n">
        <v>0.3113454986851032</v>
      </c>
    </row>
    <row r="18">
      <c r="A18" s="2" t="inlineStr">
        <is>
          <t>KPROP-00419</t>
        </is>
      </c>
      <c r="B18" s="3" t="n">
        <v>46110.56641203703</v>
      </c>
      <c r="C18" s="3" t="n">
        <v>46110</v>
      </c>
      <c r="D18" s="2" t="inlineStr">
        <is>
          <t>Seth Lugo</t>
        </is>
      </c>
      <c r="E18" s="2" t="n">
        <v>118</v>
      </c>
      <c r="F18" s="2" t="n">
        <v>144</v>
      </c>
      <c r="G18" s="2" t="inlineStr">
        <is>
          <t>Away</t>
        </is>
      </c>
      <c r="H18" s="2" t="inlineStr">
        <is>
          <t>betrivers</t>
        </is>
      </c>
      <c r="I18" s="4" t="n"/>
      <c r="J18" s="4" t="n"/>
      <c r="K18" s="4" t="n">
        <v>138</v>
      </c>
      <c r="L18" s="4" t="n">
        <v>138</v>
      </c>
      <c r="M18" s="5" t="n">
        <v>3.5</v>
      </c>
      <c r="N18" s="5" t="n">
        <v>3.913077319278805</v>
      </c>
      <c r="O18" s="5" t="n">
        <v>3.5</v>
      </c>
      <c r="P18" s="5" t="n">
        <v>-0.4130773192788046</v>
      </c>
      <c r="Q18" s="6" t="n">
        <v>0.07250812256761108</v>
      </c>
      <c r="R18" s="6" t="n">
        <v>0.4506336649443744</v>
      </c>
      <c r="S18" s="6" t="n">
        <v>0.3924905308228578</v>
      </c>
      <c r="T18" s="2" t="inlineStr">
        <is>
          <t>Under</t>
        </is>
      </c>
      <c r="U18" s="4" t="n">
        <v>138</v>
      </c>
      <c r="V18" s="2" t="n">
        <v>2.38</v>
      </c>
      <c r="W18" s="4" t="n">
        <v>138</v>
      </c>
      <c r="X18" s="2" t="n">
        <v>1</v>
      </c>
      <c r="Y18" s="5" t="n">
        <v>1.38</v>
      </c>
      <c r="Z18" s="7" t="n">
        <v>100</v>
      </c>
      <c r="AA18" s="7">
        <f>Y18*Z18</f>
        <v/>
      </c>
      <c r="AB18" s="6">
        <f>IF(Z18=0,0,AA18/Z18)</f>
        <v/>
      </c>
      <c r="AC18" s="6" t="n"/>
      <c r="AD18" s="2" t="inlineStr">
        <is>
          <t>Win</t>
        </is>
      </c>
      <c r="AE18" s="6">
        <f>IF((COUNTIF($AD$2:AD18,"Win")+COUNTIF($AD$2:AD18,"Loss"))=0,0,COUNTIF($AD$2:AD18,"Win")/(COUNTIF($AD$2:AD18,"Win")+COUNTIF($AD$2:AD18,"Loss")))</f>
        <v/>
      </c>
      <c r="AF18" s="6">
        <f>SUM($Y$2:Y18)/SUM($X$2:X18)</f>
        <v/>
      </c>
      <c r="AG18" s="5">
        <f>SUM($Y$2:Y18)</f>
        <v/>
      </c>
      <c r="AH18" s="7">
        <f>10000.0+SUM($AA$2:AA18)</f>
        <v/>
      </c>
      <c r="AI18" s="2" t="n">
        <v>2026</v>
      </c>
      <c r="AJ18" s="2" t="inlineStr">
        <is>
          <t>2026-03</t>
        </is>
      </c>
      <c r="AK18" s="2" t="inlineStr">
        <is>
          <t>+121 to +150</t>
        </is>
      </c>
      <c r="AL18" s="2" t="inlineStr">
        <is>
          <t>2026 Frozen Test</t>
        </is>
      </c>
      <c r="AM18" s="6" t="n">
        <v>0.05254211780261673</v>
      </c>
    </row>
    <row r="19">
      <c r="A19" s="2" t="inlineStr">
        <is>
          <t>KPROP-00420</t>
        </is>
      </c>
      <c r="B19" s="3" t="n">
        <v>46110.59765046297</v>
      </c>
      <c r="C19" s="3" t="n">
        <v>46110</v>
      </c>
      <c r="D19" s="2" t="inlineStr">
        <is>
          <t>Shota Imanaga</t>
        </is>
      </c>
      <c r="E19" s="2" t="n">
        <v>112</v>
      </c>
      <c r="F19" s="2" t="n">
        <v>120</v>
      </c>
      <c r="G19" s="2" t="inlineStr">
        <is>
          <t>Home</t>
        </is>
      </c>
      <c r="H19" s="2" t="inlineStr">
        <is>
          <t>betonlineag</t>
        </is>
      </c>
      <c r="I19" s="4" t="n"/>
      <c r="J19" s="4" t="n"/>
      <c r="K19" s="4" t="n">
        <v>130</v>
      </c>
      <c r="L19" s="4" t="n">
        <v>130</v>
      </c>
      <c r="M19" s="5" t="n">
        <v>4.5</v>
      </c>
      <c r="N19" s="5" t="n">
        <v>4.469435914851362</v>
      </c>
      <c r="O19" s="5" t="n">
        <v>4.5</v>
      </c>
      <c r="P19" s="5" t="n">
        <v>0.0305640851486384</v>
      </c>
      <c r="Q19" s="6" t="n">
        <v>0.237203476418422</v>
      </c>
      <c r="R19" s="6" t="n">
        <v>0.5379145549645313</v>
      </c>
      <c r="S19" s="6" t="n">
        <v>0.4263223067397842</v>
      </c>
      <c r="T19" s="2" t="inlineStr">
        <is>
          <t>Under</t>
        </is>
      </c>
      <c r="U19" s="4" t="n">
        <v>130</v>
      </c>
      <c r="V19" s="2" t="n">
        <v>2.3</v>
      </c>
      <c r="W19" s="4" t="n">
        <v>130</v>
      </c>
      <c r="X19" s="2" t="n">
        <v>1</v>
      </c>
      <c r="Y19" s="5" t="n">
        <v>-1</v>
      </c>
      <c r="Z19" s="7" t="n">
        <v>100</v>
      </c>
      <c r="AA19" s="7">
        <f>Y19*Z19</f>
        <v/>
      </c>
      <c r="AB19" s="6">
        <f>IF(Z19=0,0,AA19/Z19)</f>
        <v/>
      </c>
      <c r="AC19" s="6" t="n"/>
      <c r="AD19" s="2" t="inlineStr">
        <is>
          <t>Loss</t>
        </is>
      </c>
      <c r="AE19" s="6">
        <f>IF((COUNTIF($AD$2:AD19,"Win")+COUNTIF($AD$2:AD19,"Loss"))=0,0,COUNTIF($AD$2:AD19,"Win")/(COUNTIF($AD$2:AD19,"Win")+COUNTIF($AD$2:AD19,"Loss")))</f>
        <v/>
      </c>
      <c r="AF19" s="6">
        <f>SUM($Y$2:Y19)/SUM($X$2:X19)</f>
        <v/>
      </c>
      <c r="AG19" s="5">
        <f>SUM($Y$2:Y19)</f>
        <v/>
      </c>
      <c r="AH19" s="7">
        <f>10000.0+SUM($AA$2:AA19)</f>
        <v/>
      </c>
      <c r="AI19" s="2" t="n">
        <v>2026</v>
      </c>
      <c r="AJ19" s="2" t="inlineStr">
        <is>
          <t>2026-03</t>
        </is>
      </c>
      <c r="AK19" s="2" t="inlineStr">
        <is>
          <t>+121 to +150</t>
        </is>
      </c>
      <c r="AL19" s="2" t="inlineStr">
        <is>
          <t>2026 Frozen Test</t>
        </is>
      </c>
      <c r="AM19" s="6" t="n">
        <v>0.1824642126295554</v>
      </c>
    </row>
    <row r="20">
      <c r="A20" s="2" t="inlineStr">
        <is>
          <t>KPROP-00421</t>
        </is>
      </c>
      <c r="B20" s="3" t="n">
        <v>46110.59765046297</v>
      </c>
      <c r="C20" s="3" t="n">
        <v>46110</v>
      </c>
      <c r="D20" s="2" t="inlineStr">
        <is>
          <t>Shota Imanaga</t>
        </is>
      </c>
      <c r="E20" s="2" t="n">
        <v>112</v>
      </c>
      <c r="F20" s="2" t="n">
        <v>120</v>
      </c>
      <c r="G20" s="2" t="inlineStr">
        <is>
          <t>Home</t>
        </is>
      </c>
      <c r="H20" s="2" t="inlineStr">
        <is>
          <t>betmgm</t>
        </is>
      </c>
      <c r="I20" s="4" t="n"/>
      <c r="J20" s="4" t="n"/>
      <c r="K20" s="4" t="n">
        <v>-160</v>
      </c>
      <c r="L20" s="4" t="n">
        <v>-160</v>
      </c>
      <c r="M20" s="5" t="n">
        <v>5.5</v>
      </c>
      <c r="N20" s="5" t="n">
        <v>4.469435914851362</v>
      </c>
      <c r="O20" s="5" t="n">
        <v>5.5</v>
      </c>
      <c r="P20" s="5" t="n">
        <v>1.030564085148638</v>
      </c>
      <c r="Q20" s="6" t="n">
        <v>0.1507316357694825</v>
      </c>
      <c r="R20" s="6" t="n">
        <v>0.7081425450889123</v>
      </c>
      <c r="S20" s="6" t="n">
        <v>0.6107784431137725</v>
      </c>
      <c r="T20" s="2" t="inlineStr">
        <is>
          <t>Under</t>
        </is>
      </c>
      <c r="U20" s="4" t="n">
        <v>-160</v>
      </c>
      <c r="V20" s="2" t="n">
        <v>1.625</v>
      </c>
      <c r="W20" s="4" t="n">
        <v>-160</v>
      </c>
      <c r="X20" s="2" t="n">
        <v>1</v>
      </c>
      <c r="Y20" s="5" t="n">
        <v>-1</v>
      </c>
      <c r="Z20" s="7" t="n">
        <v>100</v>
      </c>
      <c r="AA20" s="7">
        <f>Y20*Z20</f>
        <v/>
      </c>
      <c r="AB20" s="6">
        <f>IF(Z20=0,0,AA20/Z20)</f>
        <v/>
      </c>
      <c r="AC20" s="6" t="n"/>
      <c r="AD20" s="2" t="inlineStr">
        <is>
          <t>Loss</t>
        </is>
      </c>
      <c r="AE20" s="6">
        <f>IF((COUNTIF($AD$2:AD20,"Win")+COUNTIF($AD$2:AD20,"Loss"))=0,0,COUNTIF($AD$2:AD20,"Win")/(COUNTIF($AD$2:AD20,"Win")+COUNTIF($AD$2:AD20,"Loss")))</f>
        <v/>
      </c>
      <c r="AF20" s="6">
        <f>SUM($Y$2:Y20)/SUM($X$2:X20)</f>
        <v/>
      </c>
      <c r="AG20" s="5">
        <f>SUM($Y$2:Y20)</f>
        <v/>
      </c>
      <c r="AH20" s="7">
        <f>10000.0+SUM($AA$2:AA20)</f>
        <v/>
      </c>
      <c r="AI20" s="2" t="n">
        <v>2026</v>
      </c>
      <c r="AJ20" s="2" t="inlineStr">
        <is>
          <t>2026-03</t>
        </is>
      </c>
      <c r="AK20" s="2" t="inlineStr">
        <is>
          <t>&lt;= -150</t>
        </is>
      </c>
      <c r="AL20" s="2" t="inlineStr">
        <is>
          <t>2026 Frozen Test</t>
        </is>
      </c>
      <c r="AM20" s="6" t="n">
        <v>0.2411706172311719</v>
      </c>
    </row>
    <row r="21">
      <c r="A21" s="2" t="inlineStr">
        <is>
          <t>KPROP-00422</t>
        </is>
      </c>
      <c r="B21" s="3" t="n">
        <v>46110.59418981482</v>
      </c>
      <c r="C21" s="3" t="n">
        <v>46110</v>
      </c>
      <c r="D21" s="2" t="inlineStr">
        <is>
          <t>Steven Matz</t>
        </is>
      </c>
      <c r="E21" s="2" t="n">
        <v>139</v>
      </c>
      <c r="F21" s="2" t="n">
        <v>138</v>
      </c>
      <c r="G21" s="2" t="inlineStr">
        <is>
          <t>Away</t>
        </is>
      </c>
      <c r="H21" s="2" t="inlineStr">
        <is>
          <t>betmgm</t>
        </is>
      </c>
      <c r="I21" s="4" t="n"/>
      <c r="J21" s="4" t="n"/>
      <c r="K21" s="4" t="n">
        <v>105</v>
      </c>
      <c r="L21" s="4" t="n">
        <v>105</v>
      </c>
      <c r="M21" s="5" t="n">
        <v>3.5</v>
      </c>
      <c r="N21" s="5" t="n">
        <v>3.486241870134562</v>
      </c>
      <c r="O21" s="5" t="n">
        <v>3.5</v>
      </c>
      <c r="P21" s="5" t="n">
        <v>0.01375812986543767</v>
      </c>
      <c r="Q21" s="6" t="n">
        <v>0.1061889560760032</v>
      </c>
      <c r="R21" s="6" t="n">
        <v>0.5396043688175626</v>
      </c>
      <c r="S21" s="6" t="n">
        <v>0.4702393560686294</v>
      </c>
      <c r="T21" s="2" t="inlineStr">
        <is>
          <t>Under</t>
        </is>
      </c>
      <c r="U21" s="4" t="n">
        <v>105</v>
      </c>
      <c r="V21" s="2" t="n">
        <v>2.05</v>
      </c>
      <c r="W21" s="4" t="n">
        <v>105</v>
      </c>
      <c r="X21" s="2" t="n">
        <v>1</v>
      </c>
      <c r="Y21" s="5" t="n">
        <v>1.05</v>
      </c>
      <c r="Z21" s="7" t="n">
        <v>100</v>
      </c>
      <c r="AA21" s="7">
        <f>Y21*Z21</f>
        <v/>
      </c>
      <c r="AB21" s="6">
        <f>IF(Z21=0,0,AA21/Z21)</f>
        <v/>
      </c>
      <c r="AC21" s="6" t="n"/>
      <c r="AD21" s="2" t="inlineStr">
        <is>
          <t>Win</t>
        </is>
      </c>
      <c r="AE21" s="6">
        <f>IF((COUNTIF($AD$2:AD21,"Win")+COUNTIF($AD$2:AD21,"Loss"))=0,0,COUNTIF($AD$2:AD21,"Win")/(COUNTIF($AD$2:AD21,"Win")+COUNTIF($AD$2:AD21,"Loss")))</f>
        <v/>
      </c>
      <c r="AF21" s="6">
        <f>SUM($Y$2:Y21)/SUM($X$2:X21)</f>
        <v/>
      </c>
      <c r="AG21" s="5">
        <f>SUM($Y$2:Y21)</f>
        <v/>
      </c>
      <c r="AH21" s="7">
        <f>10000.0+SUM($AA$2:AA21)</f>
        <v/>
      </c>
      <c r="AI21" s="2" t="n">
        <v>2026</v>
      </c>
      <c r="AJ21" s="2" t="inlineStr">
        <is>
          <t>2026-03</t>
        </is>
      </c>
      <c r="AK21" s="2" t="inlineStr">
        <is>
          <t>+100 to +120</t>
        </is>
      </c>
      <c r="AL21" s="2" t="inlineStr">
        <is>
          <t>2026 Frozen Test</t>
        </is>
      </c>
      <c r="AM21" s="6" t="n">
        <v>0.1011323391200031</v>
      </c>
    </row>
    <row r="22">
      <c r="A22" s="2" t="inlineStr">
        <is>
          <t>KPROP-00423</t>
        </is>
      </c>
      <c r="B22" s="3" t="n">
        <v>46111.81988425926</v>
      </c>
      <c r="C22" s="3" t="n">
        <v>46111</v>
      </c>
      <c r="D22" s="2" t="inlineStr">
        <is>
          <t>Edward Cabrera</t>
        </is>
      </c>
      <c r="E22" s="2" t="n">
        <v>112</v>
      </c>
      <c r="F22" s="2" t="n">
        <v>108</v>
      </c>
      <c r="G22" s="2" t="inlineStr">
        <is>
          <t>Home</t>
        </is>
      </c>
      <c r="H22" s="2" t="inlineStr">
        <is>
          <t>draftkings</t>
        </is>
      </c>
      <c r="I22" s="4" t="n"/>
      <c r="J22" s="4" t="n"/>
      <c r="K22" s="4" t="n">
        <v>109</v>
      </c>
      <c r="L22" s="4" t="n">
        <v>109</v>
      </c>
      <c r="M22" s="5" t="n">
        <v>6.5</v>
      </c>
      <c r="N22" s="5" t="n">
        <v>6.327089787270244</v>
      </c>
      <c r="O22" s="5" t="n">
        <v>6.5</v>
      </c>
      <c r="P22" s="5" t="n">
        <v>0.1729102127297564</v>
      </c>
      <c r="Q22" s="6" t="n">
        <v>0.1576848921307327</v>
      </c>
      <c r="R22" s="6" t="n">
        <v>0.5539162163304941</v>
      </c>
      <c r="S22" s="6" t="n">
        <v>0.4544136130716426</v>
      </c>
      <c r="T22" s="2" t="inlineStr">
        <is>
          <t>Under</t>
        </is>
      </c>
      <c r="U22" s="4" t="n">
        <v>109</v>
      </c>
      <c r="V22" s="2" t="n">
        <v>2.09</v>
      </c>
      <c r="W22" s="4" t="n">
        <v>109</v>
      </c>
      <c r="X22" s="2" t="n">
        <v>1</v>
      </c>
      <c r="Y22" s="5" t="n">
        <v>1.09</v>
      </c>
      <c r="Z22" s="7" t="n">
        <v>100</v>
      </c>
      <c r="AA22" s="7">
        <f>Y22*Z22</f>
        <v/>
      </c>
      <c r="AB22" s="6">
        <f>IF(Z22=0,0,AA22/Z22)</f>
        <v/>
      </c>
      <c r="AC22" s="6" t="n"/>
      <c r="AD22" s="2" t="inlineStr">
        <is>
          <t>Win</t>
        </is>
      </c>
      <c r="AE22" s="6">
        <f>IF((COUNTIF($AD$2:AD22,"Win")+COUNTIF($AD$2:AD22,"Loss"))=0,0,COUNTIF($AD$2:AD22,"Win")/(COUNTIF($AD$2:AD22,"Win")+COUNTIF($AD$2:AD22,"Loss")))</f>
        <v/>
      </c>
      <c r="AF22" s="6">
        <f>SUM($Y$2:Y22)/SUM($X$2:X22)</f>
        <v/>
      </c>
      <c r="AG22" s="5">
        <f>SUM($Y$2:Y22)</f>
        <v/>
      </c>
      <c r="AH22" s="7">
        <f>10000.0+SUM($AA$2:AA22)</f>
        <v/>
      </c>
      <c r="AI22" s="2" t="n">
        <v>2026</v>
      </c>
      <c r="AJ22" s="2" t="inlineStr">
        <is>
          <t>2026-03</t>
        </is>
      </c>
      <c r="AK22" s="2" t="inlineStr">
        <is>
          <t>+100 to +120</t>
        </is>
      </c>
      <c r="AL22" s="2" t="inlineStr">
        <is>
          <t>2026 Frozen Test</t>
        </is>
      </c>
      <c r="AM22" s="6" t="n">
        <v>0.1446650386520483</v>
      </c>
    </row>
    <row r="23">
      <c r="A23" s="2" t="inlineStr">
        <is>
          <t>KPROP-00424</t>
        </is>
      </c>
      <c r="B23" s="3" t="n">
        <v>46111.81988425926</v>
      </c>
      <c r="C23" s="3" t="n">
        <v>46111</v>
      </c>
      <c r="D23" s="2" t="inlineStr">
        <is>
          <t>Edward Cabrera</t>
        </is>
      </c>
      <c r="E23" s="2" t="n">
        <v>112</v>
      </c>
      <c r="F23" s="2" t="n">
        <v>108</v>
      </c>
      <c r="G23" s="2" t="inlineStr">
        <is>
          <t>Home</t>
        </is>
      </c>
      <c r="H23" s="2" t="inlineStr">
        <is>
          <t>betonlineag</t>
        </is>
      </c>
      <c r="I23" s="4" t="n"/>
      <c r="J23" s="4" t="n"/>
      <c r="K23" s="4" t="n">
        <v>-164</v>
      </c>
      <c r="L23" s="4" t="n">
        <v>-164</v>
      </c>
      <c r="M23" s="5" t="n">
        <v>7.5</v>
      </c>
      <c r="N23" s="5" t="n">
        <v>6.327089787270244</v>
      </c>
      <c r="O23" s="5" t="n">
        <v>7.5</v>
      </c>
      <c r="P23" s="5" t="n">
        <v>1.172910212729756</v>
      </c>
      <c r="Q23" s="6" t="n">
        <v>0.1233760409894151</v>
      </c>
      <c r="R23" s="6" t="n">
        <v>0.6978548133419094</v>
      </c>
      <c r="S23" s="6" t="n">
        <v>0.5934708962118879</v>
      </c>
      <c r="T23" s="2" t="inlineStr">
        <is>
          <t>Under</t>
        </is>
      </c>
      <c r="U23" s="4" t="n">
        <v>-164</v>
      </c>
      <c r="V23" s="2" t="n">
        <v>1.609756097560976</v>
      </c>
      <c r="W23" s="4" t="n">
        <v>-164</v>
      </c>
      <c r="X23" s="2" t="n">
        <v>1</v>
      </c>
      <c r="Y23" s="5" t="n">
        <v>0.6097560975609757</v>
      </c>
      <c r="Z23" s="7" t="n">
        <v>100</v>
      </c>
      <c r="AA23" s="7">
        <f>Y23*Z23</f>
        <v/>
      </c>
      <c r="AB23" s="6">
        <f>IF(Z23=0,0,AA23/Z23)</f>
        <v/>
      </c>
      <c r="AC23" s="6" t="n"/>
      <c r="AD23" s="2" t="inlineStr">
        <is>
          <t>Win</t>
        </is>
      </c>
      <c r="AE23" s="6">
        <f>IF((COUNTIF($AD$2:AD23,"Win")+COUNTIF($AD$2:AD23,"Loss"))=0,0,COUNTIF($AD$2:AD23,"Win")/(COUNTIF($AD$2:AD23,"Win")+COUNTIF($AD$2:AD23,"Loss")))</f>
        <v/>
      </c>
      <c r="AF23" s="6">
        <f>SUM($Y$2:Y23)/SUM($X$2:X23)</f>
        <v/>
      </c>
      <c r="AG23" s="5">
        <f>SUM($Y$2:Y23)</f>
        <v/>
      </c>
      <c r="AH23" s="7">
        <f>10000.0+SUM($AA$2:AA23)</f>
        <v/>
      </c>
      <c r="AI23" s="2" t="n">
        <v>2026</v>
      </c>
      <c r="AJ23" s="2" t="inlineStr">
        <is>
          <t>2026-03</t>
        </is>
      </c>
      <c r="AK23" s="2" t="inlineStr">
        <is>
          <t>&lt;= -150</t>
        </is>
      </c>
      <c r="AL23" s="2" t="inlineStr">
        <is>
          <t>2026 Frozen Test</t>
        </is>
      </c>
      <c r="AM23" s="6" t="n">
        <v>0.2023367072226408</v>
      </c>
    </row>
    <row r="24">
      <c r="A24" s="2" t="inlineStr">
        <is>
          <t>KPROP-00425</t>
        </is>
      </c>
      <c r="B24" s="3" t="n">
        <v>46111.80252314815</v>
      </c>
      <c r="C24" s="3" t="n">
        <v>46111</v>
      </c>
      <c r="D24" s="2" t="inlineStr">
        <is>
          <t>Jacob Lopez</t>
        </is>
      </c>
      <c r="E24" s="2" t="n">
        <v>133</v>
      </c>
      <c r="F24" s="2" t="n">
        <v>144</v>
      </c>
      <c r="G24" s="2" t="inlineStr">
        <is>
          <t>Away</t>
        </is>
      </c>
      <c r="H24" s="2" t="inlineStr">
        <is>
          <t>draftkings</t>
        </is>
      </c>
      <c r="I24" s="4" t="n"/>
      <c r="J24" s="4" t="n"/>
      <c r="K24" s="4" t="n">
        <v>-113</v>
      </c>
      <c r="L24" s="4" t="n">
        <v>-113</v>
      </c>
      <c r="M24" s="5" t="n">
        <v>5.5</v>
      </c>
      <c r="N24" s="5" t="n">
        <v>4.715126563809001</v>
      </c>
      <c r="O24" s="5" t="n">
        <v>5.5</v>
      </c>
      <c r="P24" s="5" t="n">
        <v>0.784873436190999</v>
      </c>
      <c r="Q24" s="6" t="n">
        <v>0.255018227644032</v>
      </c>
      <c r="R24" s="6" t="n">
        <v>0.665807792130402</v>
      </c>
      <c r="S24" s="6" t="n">
        <v>0.5221858315761138</v>
      </c>
      <c r="T24" s="2" t="inlineStr">
        <is>
          <t>Under</t>
        </is>
      </c>
      <c r="U24" s="4" t="n">
        <v>-113</v>
      </c>
      <c r="V24" s="2" t="n">
        <v>1.884955752212389</v>
      </c>
      <c r="W24" s="4" t="n">
        <v>-113</v>
      </c>
      <c r="X24" s="2" t="n">
        <v>1</v>
      </c>
      <c r="Y24" s="5" t="n">
        <v>0.8849557522123894</v>
      </c>
      <c r="Z24" s="7" t="n">
        <v>100</v>
      </c>
      <c r="AA24" s="7">
        <f>Y24*Z24</f>
        <v/>
      </c>
      <c r="AB24" s="6">
        <f>IF(Z24=0,0,AA24/Z24)</f>
        <v/>
      </c>
      <c r="AC24" s="6" t="n"/>
      <c r="AD24" s="2" t="inlineStr">
        <is>
          <t>Win</t>
        </is>
      </c>
      <c r="AE24" s="6">
        <f>IF((COUNTIF($AD$2:AD24,"Win")+COUNTIF($AD$2:AD24,"Loss"))=0,0,COUNTIF($AD$2:AD24,"Win")/(COUNTIF($AD$2:AD24,"Win")+COUNTIF($AD$2:AD24,"Loss")))</f>
        <v/>
      </c>
      <c r="AF24" s="6">
        <f>SUM($Y$2:Y24)/SUM($X$2:X24)</f>
        <v/>
      </c>
      <c r="AG24" s="5">
        <f>SUM($Y$2:Y24)</f>
        <v/>
      </c>
      <c r="AH24" s="7">
        <f>10000.0+SUM($AA$2:AA24)</f>
        <v/>
      </c>
      <c r="AI24" s="2" t="n">
        <v>2026</v>
      </c>
      <c r="AJ24" s="2" t="inlineStr">
        <is>
          <t>2026-03</t>
        </is>
      </c>
      <c r="AK24" s="2" t="inlineStr">
        <is>
          <t>-119 to -101</t>
        </is>
      </c>
      <c r="AL24" s="2" t="inlineStr">
        <is>
          <t>2026 Frozen Test</t>
        </is>
      </c>
      <c r="AM24" s="6" t="n">
        <v>0.2881705972377562</v>
      </c>
    </row>
    <row r="25">
      <c r="A25" s="2" t="inlineStr">
        <is>
          <t>KPROP-00426</t>
        </is>
      </c>
      <c r="B25" s="3" t="n">
        <v>46111.81988425926</v>
      </c>
      <c r="C25" s="3" t="n">
        <v>46111</v>
      </c>
      <c r="D25" s="2" t="inlineStr">
        <is>
          <t>Kyle Harrison</t>
        </is>
      </c>
      <c r="E25" s="2" t="n">
        <v>158</v>
      </c>
      <c r="F25" s="2" t="n">
        <v>139</v>
      </c>
      <c r="G25" s="2" t="inlineStr">
        <is>
          <t>Home</t>
        </is>
      </c>
      <c r="H25" s="2" t="inlineStr">
        <is>
          <t>fanatics</t>
        </is>
      </c>
      <c r="I25" s="4" t="n"/>
      <c r="J25" s="4" t="n"/>
      <c r="K25" s="4" t="n">
        <v>120</v>
      </c>
      <c r="L25" s="4" t="n">
        <v>120</v>
      </c>
      <c r="M25" s="5" t="n">
        <v>4.5</v>
      </c>
      <c r="N25" s="5" t="n">
        <v>4.516063059649211</v>
      </c>
      <c r="O25" s="5" t="n">
        <v>4.5</v>
      </c>
      <c r="P25" s="5" t="n">
        <v>-0.01606305964921084</v>
      </c>
      <c r="Q25" s="6" t="n">
        <v>0.1639263465519044</v>
      </c>
      <c r="R25" s="6" t="n">
        <v>0.5290574302508656</v>
      </c>
      <c r="S25" s="6" t="n">
        <v>0.4330294530154278</v>
      </c>
      <c r="T25" s="2" t="inlineStr">
        <is>
          <t>Under</t>
        </is>
      </c>
      <c r="U25" s="4" t="n">
        <v>120</v>
      </c>
      <c r="V25" s="2" t="n">
        <v>2.2</v>
      </c>
      <c r="W25" s="4" t="n">
        <v>120</v>
      </c>
      <c r="X25" s="2" t="n">
        <v>1</v>
      </c>
      <c r="Y25" s="5" t="n">
        <v>-1</v>
      </c>
      <c r="Z25" s="7" t="n">
        <v>100</v>
      </c>
      <c r="AA25" s="7">
        <f>Y25*Z25</f>
        <v/>
      </c>
      <c r="AB25" s="6">
        <f>IF(Z25=0,0,AA25/Z25)</f>
        <v/>
      </c>
      <c r="AC25" s="6" t="n"/>
      <c r="AD25" s="2" t="inlineStr">
        <is>
          <t>Loss</t>
        </is>
      </c>
      <c r="AE25" s="6">
        <f>IF((COUNTIF($AD$2:AD25,"Win")+COUNTIF($AD$2:AD25,"Loss"))=0,0,COUNTIF($AD$2:AD25,"Win")/(COUNTIF($AD$2:AD25,"Win")+COUNTIF($AD$2:AD25,"Loss")))</f>
        <v/>
      </c>
      <c r="AF25" s="6">
        <f>SUM($Y$2:Y25)/SUM($X$2:X25)</f>
        <v/>
      </c>
      <c r="AG25" s="5">
        <f>SUM($Y$2:Y25)</f>
        <v/>
      </c>
      <c r="AH25" s="7">
        <f>10000.0+SUM($AA$2:AA25)</f>
        <v/>
      </c>
      <c r="AI25" s="2" t="n">
        <v>2026</v>
      </c>
      <c r="AJ25" s="2" t="inlineStr">
        <is>
          <t>2026-03</t>
        </is>
      </c>
      <c r="AK25" s="2" t="inlineStr">
        <is>
          <t>+100 to +120</t>
        </is>
      </c>
      <c r="AL25" s="2" t="inlineStr">
        <is>
          <t>2026 Frozen Test</t>
        </is>
      </c>
      <c r="AM25" s="6" t="n">
        <v>0.1366052887932536</v>
      </c>
    </row>
    <row r="26">
      <c r="A26" s="2" t="inlineStr">
        <is>
          <t>KPROP-00427</t>
        </is>
      </c>
      <c r="B26" s="3" t="n">
        <v>46111.81988425926</v>
      </c>
      <c r="C26" s="3" t="n">
        <v>46111</v>
      </c>
      <c r="D26" s="2" t="inlineStr">
        <is>
          <t>Kyle Harrison</t>
        </is>
      </c>
      <c r="E26" s="2" t="n">
        <v>158</v>
      </c>
      <c r="F26" s="2" t="n">
        <v>139</v>
      </c>
      <c r="G26" s="2" t="inlineStr">
        <is>
          <t>Home</t>
        </is>
      </c>
      <c r="H26" s="2" t="inlineStr">
        <is>
          <t>betrivers</t>
        </is>
      </c>
      <c r="I26" s="4" t="n"/>
      <c r="J26" s="4" t="n"/>
      <c r="K26" s="4" t="n">
        <v>-186</v>
      </c>
      <c r="L26" s="4" t="n">
        <v>-186</v>
      </c>
      <c r="M26" s="5" t="n">
        <v>5.5</v>
      </c>
      <c r="N26" s="5" t="n">
        <v>4.516063059649211</v>
      </c>
      <c r="O26" s="5" t="n">
        <v>5.5</v>
      </c>
      <c r="P26" s="5" t="n">
        <v>0.9839369403507892</v>
      </c>
      <c r="Q26" s="6" t="n">
        <v>0.07662702887050099</v>
      </c>
      <c r="R26" s="6" t="n">
        <v>0.7001840117829132</v>
      </c>
      <c r="S26" s="6" t="n">
        <v>0.6075094691771422</v>
      </c>
      <c r="T26" s="2" t="inlineStr">
        <is>
          <t>Under</t>
        </is>
      </c>
      <c r="U26" s="4" t="n">
        <v>-186</v>
      </c>
      <c r="V26" s="2" t="n">
        <v>1.537634408602151</v>
      </c>
      <c r="W26" s="4" t="n">
        <v>-186</v>
      </c>
      <c r="X26" s="2" t="n">
        <v>1</v>
      </c>
      <c r="Y26" s="5" t="n">
        <v>-1</v>
      </c>
      <c r="Z26" s="7" t="n">
        <v>100</v>
      </c>
      <c r="AA26" s="7">
        <f>Y26*Z26</f>
        <v/>
      </c>
      <c r="AB26" s="6">
        <f>IF(Z26=0,0,AA26/Z26)</f>
        <v/>
      </c>
      <c r="AC26" s="6" t="n"/>
      <c r="AD26" s="2" t="inlineStr">
        <is>
          <t>Loss</t>
        </is>
      </c>
      <c r="AE26" s="6">
        <f>IF((COUNTIF($AD$2:AD26,"Win")+COUNTIF($AD$2:AD26,"Loss"))=0,0,COUNTIF($AD$2:AD26,"Win")/(COUNTIF($AD$2:AD26,"Win")+COUNTIF($AD$2:AD26,"Loss")))</f>
        <v/>
      </c>
      <c r="AF26" s="6">
        <f>SUM($Y$2:Y26)/SUM($X$2:X26)</f>
        <v/>
      </c>
      <c r="AG26" s="5">
        <f>SUM($Y$2:Y26)</f>
        <v/>
      </c>
      <c r="AH26" s="7">
        <f>10000.0+SUM($AA$2:AA26)</f>
        <v/>
      </c>
      <c r="AI26" s="2" t="n">
        <v>2026</v>
      </c>
      <c r="AJ26" s="2" t="inlineStr">
        <is>
          <t>2026-03</t>
        </is>
      </c>
      <c r="AK26" s="2" t="inlineStr">
        <is>
          <t>&lt;= -150</t>
        </is>
      </c>
      <c r="AL26" s="2" t="inlineStr">
        <is>
          <t>2026 Frozen Test</t>
        </is>
      </c>
      <c r="AM26" s="6" t="n">
        <v>0.1425262736991318</v>
      </c>
    </row>
    <row r="27">
      <c r="A27" s="2" t="inlineStr">
        <is>
          <t>KPROP-00428</t>
        </is>
      </c>
      <c r="B27" s="3" t="n">
        <v>46111.82334490741</v>
      </c>
      <c r="C27" s="3" t="n">
        <v>46111</v>
      </c>
      <c r="D27" s="2" t="inlineStr">
        <is>
          <t>Kyle Leahy</t>
        </is>
      </c>
      <c r="E27" s="2" t="n">
        <v>138</v>
      </c>
      <c r="F27" s="2" t="n">
        <v>121</v>
      </c>
      <c r="G27" s="2" t="inlineStr">
        <is>
          <t>Home</t>
        </is>
      </c>
      <c r="H27" s="2" t="inlineStr">
        <is>
          <t>draftkings</t>
        </is>
      </c>
      <c r="I27" s="4" t="n"/>
      <c r="J27" s="4" t="n"/>
      <c r="K27" s="4" t="n">
        <v>-115</v>
      </c>
      <c r="L27" s="4" t="n">
        <v>-115</v>
      </c>
      <c r="M27" s="5" t="n">
        <v>3.5</v>
      </c>
      <c r="N27" s="5" t="n">
        <v>2.718789970240171</v>
      </c>
      <c r="O27" s="5" t="n">
        <v>3.5</v>
      </c>
      <c r="P27" s="5" t="n">
        <v>0.7812100297598286</v>
      </c>
      <c r="Q27" s="6" t="n">
        <v>0.3272891645929307</v>
      </c>
      <c r="R27" s="6" t="n">
        <v>0.7099453671078467</v>
      </c>
      <c r="S27" s="6" t="n">
        <v>0.5120034919249236</v>
      </c>
      <c r="T27" s="2" t="inlineStr">
        <is>
          <t>Under</t>
        </is>
      </c>
      <c r="U27" s="4" t="n">
        <v>-115</v>
      </c>
      <c r="V27" s="2" t="n">
        <v>1.869565217391304</v>
      </c>
      <c r="W27" s="4" t="n">
        <v>-115</v>
      </c>
      <c r="X27" s="2" t="n">
        <v>1</v>
      </c>
      <c r="Y27" s="5" t="n">
        <v>0.8695652173913042</v>
      </c>
      <c r="Z27" s="7" t="n">
        <v>100</v>
      </c>
      <c r="AA27" s="7">
        <f>Y27*Z27</f>
        <v/>
      </c>
      <c r="AB27" s="6">
        <f>IF(Z27=0,0,AA27/Z27)</f>
        <v/>
      </c>
      <c r="AC27" s="6" t="n"/>
      <c r="AD27" s="2" t="inlineStr">
        <is>
          <t>Win</t>
        </is>
      </c>
      <c r="AE27" s="6">
        <f>IF((COUNTIF($AD$2:AD27,"Win")+COUNTIF($AD$2:AD27,"Loss"))=0,0,COUNTIF($AD$2:AD27,"Win")/(COUNTIF($AD$2:AD27,"Win")+COUNTIF($AD$2:AD27,"Loss")))</f>
        <v/>
      </c>
      <c r="AF27" s="6">
        <f>SUM($Y$2:Y27)/SUM($X$2:X27)</f>
        <v/>
      </c>
      <c r="AG27" s="5">
        <f>SUM($Y$2:Y27)</f>
        <v/>
      </c>
      <c r="AH27" s="7">
        <f>10000.0+SUM($AA$2:AA27)</f>
        <v/>
      </c>
      <c r="AI27" s="2" t="n">
        <v>2026</v>
      </c>
      <c r="AJ27" s="2" t="inlineStr">
        <is>
          <t>2026-03</t>
        </is>
      </c>
      <c r="AK27" s="2" t="inlineStr">
        <is>
          <t>-119 to -101</t>
        </is>
      </c>
      <c r="AL27" s="2" t="inlineStr">
        <is>
          <t>2026 Frozen Test</t>
        </is>
      </c>
      <c r="AM27" s="6" t="n">
        <v>0.3763825392818704</v>
      </c>
    </row>
    <row r="28">
      <c r="A28" s="2" t="inlineStr">
        <is>
          <t>KPROP-00429</t>
        </is>
      </c>
      <c r="B28" s="3" t="n">
        <v>46111.81988425926</v>
      </c>
      <c r="C28" s="3" t="n">
        <v>46111</v>
      </c>
      <c r="D28" s="2" t="inlineStr">
        <is>
          <t>Nick Martinez</t>
        </is>
      </c>
      <c r="E28" s="2" t="n">
        <v>139</v>
      </c>
      <c r="F28" s="2" t="n">
        <v>158</v>
      </c>
      <c r="G28" s="2" t="inlineStr">
        <is>
          <t>Away</t>
        </is>
      </c>
      <c r="H28" s="2" t="inlineStr">
        <is>
          <t>bovada</t>
        </is>
      </c>
      <c r="I28" s="4" t="n"/>
      <c r="J28" s="4" t="n"/>
      <c r="K28" s="4" t="n">
        <v>130</v>
      </c>
      <c r="L28" s="4" t="n">
        <v>130</v>
      </c>
      <c r="M28" s="5" t="n">
        <v>3.5</v>
      </c>
      <c r="N28" s="5" t="n">
        <v>3.465556313648961</v>
      </c>
      <c r="O28" s="5" t="n">
        <v>3.5</v>
      </c>
      <c r="P28" s="5" t="n">
        <v>0.03444368635103912</v>
      </c>
      <c r="Q28" s="6" t="n">
        <v>0.2513910557445712</v>
      </c>
      <c r="R28" s="6" t="n">
        <v>0.544083067715031</v>
      </c>
      <c r="S28" s="6" t="n">
        <v>0.4208213621767787</v>
      </c>
      <c r="T28" s="2" t="inlineStr">
        <is>
          <t>Under</t>
        </is>
      </c>
      <c r="U28" s="4" t="n">
        <v>130</v>
      </c>
      <c r="V28" s="2" t="n">
        <v>2.3</v>
      </c>
      <c r="W28" s="4" t="n">
        <v>130</v>
      </c>
      <c r="X28" s="2" t="n">
        <v>1</v>
      </c>
      <c r="Y28" s="5" t="n">
        <v>1.3</v>
      </c>
      <c r="Z28" s="7" t="n">
        <v>100</v>
      </c>
      <c r="AA28" s="7">
        <f>Y28*Z28</f>
        <v/>
      </c>
      <c r="AB28" s="6">
        <f>IF(Z28=0,0,AA28/Z28)</f>
        <v/>
      </c>
      <c r="AC28" s="6" t="n"/>
      <c r="AD28" s="2" t="inlineStr">
        <is>
          <t>Win</t>
        </is>
      </c>
      <c r="AE28" s="6">
        <f>IF((COUNTIF($AD$2:AD28,"Win")+COUNTIF($AD$2:AD28,"Loss"))=0,0,COUNTIF($AD$2:AD28,"Win")/(COUNTIF($AD$2:AD28,"Win")+COUNTIF($AD$2:AD28,"Loss")))</f>
        <v/>
      </c>
      <c r="AF28" s="6">
        <f>SUM($Y$2:Y28)/SUM($X$2:X28)</f>
        <v/>
      </c>
      <c r="AG28" s="5">
        <f>SUM($Y$2:Y28)</f>
        <v/>
      </c>
      <c r="AH28" s="7">
        <f>10000.0+SUM($AA$2:AA28)</f>
        <v/>
      </c>
      <c r="AI28" s="2" t="n">
        <v>2026</v>
      </c>
      <c r="AJ28" s="2" t="inlineStr">
        <is>
          <t>2026-03</t>
        </is>
      </c>
      <c r="AK28" s="2" t="inlineStr">
        <is>
          <t>+121 to +150</t>
        </is>
      </c>
      <c r="AL28" s="2" t="inlineStr">
        <is>
          <t>2026 Frozen Test</t>
        </is>
      </c>
      <c r="AM28" s="6" t="n">
        <v>0.1933777351881317</v>
      </c>
    </row>
    <row r="29">
      <c r="A29" s="2" t="inlineStr">
        <is>
          <t>KPROP-00430</t>
        </is>
      </c>
      <c r="B29" s="3" t="n">
        <v>46111.81988425926</v>
      </c>
      <c r="C29" s="3" t="n">
        <v>46111</v>
      </c>
      <c r="D29" s="2" t="inlineStr">
        <is>
          <t>Nick Martinez</t>
        </is>
      </c>
      <c r="E29" s="2" t="n">
        <v>139</v>
      </c>
      <c r="F29" s="2" t="n">
        <v>158</v>
      </c>
      <c r="G29" s="2" t="inlineStr">
        <is>
          <t>Away</t>
        </is>
      </c>
      <c r="H29" s="2" t="inlineStr">
        <is>
          <t>betrivers</t>
        </is>
      </c>
      <c r="I29" s="4" t="n"/>
      <c r="J29" s="4" t="n"/>
      <c r="K29" s="4" t="n">
        <v>-190</v>
      </c>
      <c r="L29" s="4" t="n">
        <v>-190</v>
      </c>
      <c r="M29" s="5" t="n">
        <v>4.5</v>
      </c>
      <c r="N29" s="5" t="n">
        <v>3.465556313648961</v>
      </c>
      <c r="O29" s="5" t="n">
        <v>4.5</v>
      </c>
      <c r="P29" s="5" t="n">
        <v>1.034443686351039</v>
      </c>
      <c r="Q29" s="6" t="n">
        <v>0.1171592924380061</v>
      </c>
      <c r="R29" s="6" t="n">
        <v>0.7319319502180041</v>
      </c>
      <c r="S29" s="6" t="n">
        <v>0.6112600536193029</v>
      </c>
      <c r="T29" s="2" t="inlineStr">
        <is>
          <t>Under</t>
        </is>
      </c>
      <c r="U29" s="4" t="n">
        <v>-190</v>
      </c>
      <c r="V29" s="2" t="n">
        <v>1.526315789473684</v>
      </c>
      <c r="W29" s="4" t="n">
        <v>-190</v>
      </c>
      <c r="X29" s="2" t="n">
        <v>1</v>
      </c>
      <c r="Y29" s="5" t="n">
        <v>0.5263157894736841</v>
      </c>
      <c r="Z29" s="7" t="n">
        <v>100</v>
      </c>
      <c r="AA29" s="7">
        <f>Y29*Z29</f>
        <v/>
      </c>
      <c r="AB29" s="6">
        <f>IF(Z29=0,0,AA29/Z29)</f>
        <v/>
      </c>
      <c r="AC29" s="6" t="n"/>
      <c r="AD29" s="2" t="inlineStr">
        <is>
          <t>Win</t>
        </is>
      </c>
      <c r="AE29" s="6">
        <f>IF((COUNTIF($AD$2:AD29,"Win")+COUNTIF($AD$2:AD29,"Loss"))=0,0,COUNTIF($AD$2:AD29,"Win")/(COUNTIF($AD$2:AD29,"Win")+COUNTIF($AD$2:AD29,"Loss")))</f>
        <v/>
      </c>
      <c r="AF29" s="6">
        <f>SUM($Y$2:Y29)/SUM($X$2:X29)</f>
        <v/>
      </c>
      <c r="AG29" s="5">
        <f>SUM($Y$2:Y29)</f>
        <v/>
      </c>
      <c r="AH29" s="7">
        <f>10000.0+SUM($AA$2:AA29)</f>
        <v/>
      </c>
      <c r="AI29" s="2" t="n">
        <v>2026</v>
      </c>
      <c r="AJ29" s="2" t="inlineStr">
        <is>
          <t>2026-03</t>
        </is>
      </c>
      <c r="AK29" s="2" t="inlineStr">
        <is>
          <t>&lt;= -150</t>
        </is>
      </c>
      <c r="AL29" s="2" t="inlineStr">
        <is>
          <t>2026 Frozen Test</t>
        </is>
      </c>
      <c r="AM29" s="6" t="n">
        <v>0.2226026556322117</v>
      </c>
    </row>
    <row r="30">
      <c r="A30" s="2" t="inlineStr">
        <is>
          <t>KPROP-00431</t>
        </is>
      </c>
      <c r="B30" s="3" t="n">
        <v>46112.82335648148</v>
      </c>
      <c r="C30" s="3" t="n">
        <v>46112</v>
      </c>
      <c r="D30" s="2" t="inlineStr">
        <is>
          <t>Kodai Senga</t>
        </is>
      </c>
      <c r="E30" s="2" t="n">
        <v>121</v>
      </c>
      <c r="F30" s="2" t="n">
        <v>138</v>
      </c>
      <c r="G30" s="2" t="inlineStr">
        <is>
          <t>Away</t>
        </is>
      </c>
      <c r="H30" s="2" t="inlineStr">
        <is>
          <t>draftkings</t>
        </is>
      </c>
      <c r="I30" s="4" t="n"/>
      <c r="J30" s="4" t="n"/>
      <c r="K30" s="4" t="n">
        <v>120</v>
      </c>
      <c r="L30" s="4" t="n">
        <v>120</v>
      </c>
      <c r="M30" s="5" t="n">
        <v>4.5</v>
      </c>
      <c r="N30" s="5" t="n">
        <v>4.35920920164176</v>
      </c>
      <c r="O30" s="5" t="n">
        <v>4.5</v>
      </c>
      <c r="P30" s="5" t="n">
        <v>0.1407907983582399</v>
      </c>
      <c r="Q30" s="6" t="n">
        <v>0.2298416729944921</v>
      </c>
      <c r="R30" s="6" t="n">
        <v>0.5590189422702236</v>
      </c>
      <c r="S30" s="6" t="n">
        <v>0.4417293233082706</v>
      </c>
      <c r="T30" s="2" t="inlineStr">
        <is>
          <t>Under</t>
        </is>
      </c>
      <c r="U30" s="4" t="n">
        <v>120</v>
      </c>
      <c r="V30" s="2" t="n">
        <v>2.2</v>
      </c>
      <c r="W30" s="4" t="n">
        <v>120</v>
      </c>
      <c r="X30" s="2" t="n">
        <v>1</v>
      </c>
      <c r="Y30" s="5" t="n">
        <v>-1</v>
      </c>
      <c r="Z30" s="7" t="n">
        <v>100</v>
      </c>
      <c r="AA30" s="7">
        <f>Y30*Z30</f>
        <v/>
      </c>
      <c r="AB30" s="6">
        <f>IF(Z30=0,0,AA30/Z30)</f>
        <v/>
      </c>
      <c r="AC30" s="6" t="n"/>
      <c r="AD30" s="2" t="inlineStr">
        <is>
          <t>Loss</t>
        </is>
      </c>
      <c r="AE30" s="6">
        <f>IF((COUNTIF($AD$2:AD30,"Win")+COUNTIF($AD$2:AD30,"Loss"))=0,0,COUNTIF($AD$2:AD30,"Win")/(COUNTIF($AD$2:AD30,"Win")+COUNTIF($AD$2:AD30,"Loss")))</f>
        <v/>
      </c>
      <c r="AF30" s="6">
        <f>SUM($Y$2:Y30)/SUM($X$2:X30)</f>
        <v/>
      </c>
      <c r="AG30" s="5">
        <f>SUM($Y$2:Y30)</f>
        <v/>
      </c>
      <c r="AH30" s="7">
        <f>10000.0+SUM($AA$2:AA30)</f>
        <v/>
      </c>
      <c r="AI30" s="2" t="n">
        <v>2026</v>
      </c>
      <c r="AJ30" s="2" t="inlineStr">
        <is>
          <t>2026-03</t>
        </is>
      </c>
      <c r="AK30" s="2" t="inlineStr">
        <is>
          <t>+100 to +120</t>
        </is>
      </c>
      <c r="AL30" s="2" t="inlineStr">
        <is>
          <t>2026 Frozen Test</t>
        </is>
      </c>
      <c r="AM30" s="6" t="n">
        <v>0.1915347274954101</v>
      </c>
    </row>
    <row r="31">
      <c r="A31" s="2" t="inlineStr">
        <is>
          <t>KPROP-00432</t>
        </is>
      </c>
      <c r="B31" s="3" t="n">
        <v>46112.82335648148</v>
      </c>
      <c r="C31" s="3" t="n">
        <v>46112</v>
      </c>
      <c r="D31" s="2" t="inlineStr">
        <is>
          <t>Kodai Senga</t>
        </is>
      </c>
      <c r="E31" s="2" t="n">
        <v>121</v>
      </c>
      <c r="F31" s="2" t="n">
        <v>138</v>
      </c>
      <c r="G31" s="2" t="inlineStr">
        <is>
          <t>Away</t>
        </is>
      </c>
      <c r="H31" s="2" t="inlineStr">
        <is>
          <t>betrivers</t>
        </is>
      </c>
      <c r="I31" s="4" t="n"/>
      <c r="J31" s="4" t="n"/>
      <c r="K31" s="4" t="n">
        <v>-175</v>
      </c>
      <c r="L31" s="4" t="n">
        <v>-175</v>
      </c>
      <c r="M31" s="5" t="n">
        <v>5.5</v>
      </c>
      <c r="N31" s="5" t="n">
        <v>4.35920920164176</v>
      </c>
      <c r="O31" s="5" t="n">
        <v>5.5</v>
      </c>
      <c r="P31" s="5" t="n">
        <v>1.14079079835824</v>
      </c>
      <c r="Q31" s="6" t="n">
        <v>0.1420741494175078</v>
      </c>
      <c r="R31" s="6" t="n">
        <v>0.7267744587202323</v>
      </c>
      <c r="S31" s="6" t="n">
        <v>0.5919881305637983</v>
      </c>
      <c r="T31" s="2" t="inlineStr">
        <is>
          <t>Under</t>
        </is>
      </c>
      <c r="U31" s="4" t="n">
        <v>-175</v>
      </c>
      <c r="V31" s="2" t="n">
        <v>1.571428571428571</v>
      </c>
      <c r="W31" s="4" t="n">
        <v>-175</v>
      </c>
      <c r="X31" s="2" t="n">
        <v>1</v>
      </c>
      <c r="Y31" s="5" t="n">
        <v>-1</v>
      </c>
      <c r="Z31" s="7" t="n">
        <v>100</v>
      </c>
      <c r="AA31" s="7">
        <f>Y31*Z31</f>
        <v/>
      </c>
      <c r="AB31" s="6">
        <f>IF(Z31=0,0,AA31/Z31)</f>
        <v/>
      </c>
      <c r="AC31" s="6" t="n"/>
      <c r="AD31" s="2" t="inlineStr">
        <is>
          <t>Loss</t>
        </is>
      </c>
      <c r="AE31" s="6">
        <f>IF((COUNTIF($AD$2:AD31,"Win")+COUNTIF($AD$2:AD31,"Loss"))=0,0,COUNTIF($AD$2:AD31,"Win")/(COUNTIF($AD$2:AD31,"Win")+COUNTIF($AD$2:AD31,"Loss")))</f>
        <v/>
      </c>
      <c r="AF31" s="6">
        <f>SUM($Y$2:Y31)/SUM($X$2:X31)</f>
        <v/>
      </c>
      <c r="AG31" s="5">
        <f>SUM($Y$2:Y31)</f>
        <v/>
      </c>
      <c r="AH31" s="7">
        <f>10000.0+SUM($AA$2:AA31)</f>
        <v/>
      </c>
      <c r="AI31" s="2" t="n">
        <v>2026</v>
      </c>
      <c r="AJ31" s="2" t="inlineStr">
        <is>
          <t>2026-03</t>
        </is>
      </c>
      <c r="AK31" s="2" t="inlineStr">
        <is>
          <t>&lt;= -150</t>
        </is>
      </c>
      <c r="AL31" s="2" t="inlineStr">
        <is>
          <t>2026 Frozen Test</t>
        </is>
      </c>
      <c r="AM31" s="6" t="n">
        <v>0.2486297614806387</v>
      </c>
    </row>
    <row r="32">
      <c r="A32" s="2" t="inlineStr">
        <is>
          <t>KPROP-00433</t>
        </is>
      </c>
      <c r="B32" s="3" t="n">
        <v>46112.79560185185</v>
      </c>
      <c r="C32" s="3" t="n">
        <v>46112</v>
      </c>
      <c r="D32" s="2" t="inlineStr">
        <is>
          <t>Max Scherzer</t>
        </is>
      </c>
      <c r="E32" s="2" t="n">
        <v>141</v>
      </c>
      <c r="F32" s="2" t="n">
        <v>115</v>
      </c>
      <c r="G32" s="2" t="inlineStr">
        <is>
          <t>Home</t>
        </is>
      </c>
      <c r="H32" s="2" t="inlineStr">
        <is>
          <t>betmgm</t>
        </is>
      </c>
      <c r="I32" s="4" t="n"/>
      <c r="J32" s="4" t="n"/>
      <c r="K32" s="4" t="n">
        <v>100</v>
      </c>
      <c r="L32" s="4" t="n">
        <v>100</v>
      </c>
      <c r="M32" s="5" t="n">
        <v>5.5</v>
      </c>
      <c r="N32" s="5" t="n">
        <v>5.413941437739946</v>
      </c>
      <c r="O32" s="5" t="n">
        <v>5.5</v>
      </c>
      <c r="P32" s="5" t="n">
        <v>0.08605856226005404</v>
      </c>
      <c r="Q32" s="6" t="n">
        <v>0.08744796702254565</v>
      </c>
      <c r="R32" s="6" t="n">
        <v>0.5437239835112728</v>
      </c>
      <c r="S32" s="6" t="n">
        <v>0.5024875621890548</v>
      </c>
      <c r="T32" s="2" t="inlineStr">
        <is>
          <t>Under</t>
        </is>
      </c>
      <c r="U32" s="4" t="n">
        <v>100</v>
      </c>
      <c r="V32" s="2" t="n">
        <v>2</v>
      </c>
      <c r="W32" s="4" t="n">
        <v>100</v>
      </c>
      <c r="X32" s="2" t="n">
        <v>1</v>
      </c>
      <c r="Y32" s="5" t="n">
        <v>1</v>
      </c>
      <c r="Z32" s="7" t="n">
        <v>100</v>
      </c>
      <c r="AA32" s="7">
        <f>Y32*Z32</f>
        <v/>
      </c>
      <c r="AB32" s="6">
        <f>IF(Z32=0,0,AA32/Z32)</f>
        <v/>
      </c>
      <c r="AC32" s="6" t="n"/>
      <c r="AD32" s="2" t="inlineStr">
        <is>
          <t>Win</t>
        </is>
      </c>
      <c r="AE32" s="6">
        <f>IF((COUNTIF($AD$2:AD32,"Win")+COUNTIF($AD$2:AD32,"Loss"))=0,0,COUNTIF($AD$2:AD32,"Win")/(COUNTIF($AD$2:AD32,"Win")+COUNTIF($AD$2:AD32,"Loss")))</f>
        <v/>
      </c>
      <c r="AF32" s="6">
        <f>SUM($Y$2:Y32)/SUM($X$2:X32)</f>
        <v/>
      </c>
      <c r="AG32" s="5">
        <f>SUM($Y$2:Y32)</f>
        <v/>
      </c>
      <c r="AH32" s="7">
        <f>10000.0+SUM($AA$2:AA32)</f>
        <v/>
      </c>
      <c r="AI32" s="2" t="n">
        <v>2026</v>
      </c>
      <c r="AJ32" s="2" t="inlineStr">
        <is>
          <t>2026-03</t>
        </is>
      </c>
      <c r="AK32" s="2" t="inlineStr">
        <is>
          <t>+100 to +120</t>
        </is>
      </c>
      <c r="AL32" s="2" t="inlineStr">
        <is>
          <t>2026 Frozen Test</t>
        </is>
      </c>
      <c r="AM32" s="6" t="n">
        <v>0.08744796702254565</v>
      </c>
    </row>
    <row r="33">
      <c r="A33" s="2" t="inlineStr">
        <is>
          <t>KPROP-00434</t>
        </is>
      </c>
      <c r="B33" s="3" t="n">
        <v>46113.52474537037</v>
      </c>
      <c r="C33" s="3" t="n">
        <v>46113</v>
      </c>
      <c r="D33" s="2" t="inlineStr">
        <is>
          <t>Andrew Abbott</t>
        </is>
      </c>
      <c r="E33" s="2" t="n">
        <v>113</v>
      </c>
      <c r="F33" s="2" t="n">
        <v>134</v>
      </c>
      <c r="G33" s="2" t="inlineStr">
        <is>
          <t>Home</t>
        </is>
      </c>
      <c r="H33" s="2" t="inlineStr">
        <is>
          <t>fanatics</t>
        </is>
      </c>
      <c r="I33" s="4" t="n"/>
      <c r="J33" s="4" t="n"/>
      <c r="K33" s="4" t="n">
        <v>-105</v>
      </c>
      <c r="L33" s="4" t="n">
        <v>-105</v>
      </c>
      <c r="M33" s="5" t="n">
        <v>5.5</v>
      </c>
      <c r="N33" s="5" t="n">
        <v>4.80291545431053</v>
      </c>
      <c r="O33" s="5" t="n">
        <v>5.5</v>
      </c>
      <c r="P33" s="5" t="n">
        <v>0.6970845456894699</v>
      </c>
      <c r="Q33" s="6" t="n">
        <v>0.2700178305384296</v>
      </c>
      <c r="R33" s="6" t="n">
        <v>0.6504969375928542</v>
      </c>
      <c r="S33" s="6" t="n">
        <v>0.5</v>
      </c>
      <c r="T33" s="2" t="inlineStr">
        <is>
          <t>Under</t>
        </is>
      </c>
      <c r="U33" s="4" t="n">
        <v>-105</v>
      </c>
      <c r="V33" s="2" t="n">
        <v>1.952380952380952</v>
      </c>
      <c r="W33" s="4" t="n">
        <v>-105</v>
      </c>
      <c r="X33" s="2" t="n">
        <v>1</v>
      </c>
      <c r="Y33" s="5" t="n">
        <v>0.9523809523809523</v>
      </c>
      <c r="Z33" s="7" t="n">
        <v>100</v>
      </c>
      <c r="AA33" s="7">
        <f>Y33*Z33</f>
        <v/>
      </c>
      <c r="AB33" s="6">
        <f>IF(Z33=0,0,AA33/Z33)</f>
        <v/>
      </c>
      <c r="AC33" s="6" t="n"/>
      <c r="AD33" s="2" t="inlineStr">
        <is>
          <t>Win</t>
        </is>
      </c>
      <c r="AE33" s="6">
        <f>IF((COUNTIF($AD$2:AD33,"Win")+COUNTIF($AD$2:AD33,"Loss"))=0,0,COUNTIF($AD$2:AD33,"Win")/(COUNTIF($AD$2:AD33,"Win")+COUNTIF($AD$2:AD33,"Loss")))</f>
        <v/>
      </c>
      <c r="AF33" s="6">
        <f>SUM($Y$2:Y33)/SUM($X$2:X33)</f>
        <v/>
      </c>
      <c r="AG33" s="5">
        <f>SUM($Y$2:Y33)</f>
        <v/>
      </c>
      <c r="AH33" s="7">
        <f>10000.0+SUM($AA$2:AA33)</f>
        <v/>
      </c>
      <c r="AI33" s="2" t="n">
        <v>2026</v>
      </c>
      <c r="AJ33" s="2" t="inlineStr">
        <is>
          <t>2026-04</t>
        </is>
      </c>
      <c r="AK33" s="2" t="inlineStr">
        <is>
          <t>-119 to -101</t>
        </is>
      </c>
      <c r="AL33" s="2" t="inlineStr">
        <is>
          <t>2026 Frozen Test</t>
        </is>
      </c>
      <c r="AM33" s="6" t="n">
        <v>0.2835187220653512</v>
      </c>
    </row>
    <row r="34">
      <c r="A34" s="2" t="inlineStr">
        <is>
          <t>KPROP-00435</t>
        </is>
      </c>
      <c r="B34" s="3" t="n">
        <v>46113.50738425926</v>
      </c>
      <c r="C34" s="3" t="n">
        <v>46113</v>
      </c>
      <c r="D34" s="2" t="inlineStr">
        <is>
          <t>Chris Sale</t>
        </is>
      </c>
      <c r="E34" s="2" t="n">
        <v>144</v>
      </c>
      <c r="F34" s="2" t="n">
        <v>133</v>
      </c>
      <c r="G34" s="2" t="inlineStr">
        <is>
          <t>Home</t>
        </is>
      </c>
      <c r="H34" s="2" t="inlineStr">
        <is>
          <t>bovada</t>
        </is>
      </c>
      <c r="I34" s="4" t="n"/>
      <c r="J34" s="4" t="n"/>
      <c r="K34" s="4" t="n">
        <v>-120</v>
      </c>
      <c r="L34" s="4" t="n">
        <v>-120</v>
      </c>
      <c r="M34" s="5" t="n">
        <v>8.5</v>
      </c>
      <c r="N34" s="5" t="n">
        <v>7.024833491553302</v>
      </c>
      <c r="O34" s="5" t="n">
        <v>8.5</v>
      </c>
      <c r="P34" s="5" t="n">
        <v>1.475166508446698</v>
      </c>
      <c r="Q34" s="6" t="n">
        <v>0.3307210497375163</v>
      </c>
      <c r="R34" s="6" t="n">
        <v>0.7258478453113725</v>
      </c>
      <c r="S34" s="6" t="n">
        <v>0.519280205655527</v>
      </c>
      <c r="T34" s="2" t="inlineStr">
        <is>
          <t>Under</t>
        </is>
      </c>
      <c r="U34" s="4" t="n">
        <v>-120</v>
      </c>
      <c r="V34" s="2" t="n">
        <v>1.833333333333333</v>
      </c>
      <c r="W34" s="4" t="n">
        <v>-120</v>
      </c>
      <c r="X34" s="2" t="n">
        <v>1</v>
      </c>
      <c r="Y34" s="5" t="n">
        <v>0.8333333333333335</v>
      </c>
      <c r="Z34" s="7" t="n">
        <v>100</v>
      </c>
      <c r="AA34" s="7">
        <f>Y34*Z34</f>
        <v/>
      </c>
      <c r="AB34" s="6">
        <f>IF(Z34=0,0,AA34/Z34)</f>
        <v/>
      </c>
      <c r="AC34" s="6" t="n"/>
      <c r="AD34" s="2" t="inlineStr">
        <is>
          <t>Win</t>
        </is>
      </c>
      <c r="AE34" s="6">
        <f>IF((COUNTIF($AD$2:AD34,"Win")+COUNTIF($AD$2:AD34,"Loss"))=0,0,COUNTIF($AD$2:AD34,"Win")/(COUNTIF($AD$2:AD34,"Win")+COUNTIF($AD$2:AD34,"Loss")))</f>
        <v/>
      </c>
      <c r="AF34" s="6">
        <f>SUM($Y$2:Y34)/SUM($X$2:X34)</f>
        <v/>
      </c>
      <c r="AG34" s="5">
        <f>SUM($Y$2:Y34)</f>
        <v/>
      </c>
      <c r="AH34" s="7">
        <f>10000.0+SUM($AA$2:AA34)</f>
        <v/>
      </c>
      <c r="AI34" s="2" t="n">
        <v>2026</v>
      </c>
      <c r="AJ34" s="2" t="inlineStr">
        <is>
          <t>2026-04</t>
        </is>
      </c>
      <c r="AK34" s="2" t="inlineStr">
        <is>
          <t>-149 to -120</t>
        </is>
      </c>
      <c r="AL34" s="2" t="inlineStr">
        <is>
          <t>2026 Frozen Test</t>
        </is>
      </c>
      <c r="AM34" s="6" t="n">
        <v>0.3968652596850195</v>
      </c>
    </row>
    <row r="35">
      <c r="A35" s="2" t="inlineStr">
        <is>
          <t>KPROP-00436</t>
        </is>
      </c>
      <c r="B35" s="3" t="n">
        <v>46113.54221064815</v>
      </c>
      <c r="C35" s="3" t="n">
        <v>46113</v>
      </c>
      <c r="D35" s="2" t="inlineStr">
        <is>
          <t>Cristopher Sánchez</t>
        </is>
      </c>
      <c r="E35" s="2" t="n">
        <v>143</v>
      </c>
      <c r="F35" s="2" t="n">
        <v>120</v>
      </c>
      <c r="G35" s="2" t="inlineStr">
        <is>
          <t>Home</t>
        </is>
      </c>
      <c r="H35" s="2" t="inlineStr">
        <is>
          <t>betrivers</t>
        </is>
      </c>
      <c r="I35" s="4" t="n"/>
      <c r="J35" s="4" t="n"/>
      <c r="K35" s="4" t="n">
        <v>123</v>
      </c>
      <c r="L35" s="4" t="n">
        <v>123</v>
      </c>
      <c r="M35" s="5" t="n">
        <v>6.5</v>
      </c>
      <c r="N35" s="5" t="n">
        <v>6.406407538520563</v>
      </c>
      <c r="O35" s="5" t="n">
        <v>6.5</v>
      </c>
      <c r="P35" s="5" t="n">
        <v>0.09359246147943701</v>
      </c>
      <c r="Q35" s="6" t="n">
        <v>0.2071278311340702</v>
      </c>
      <c r="R35" s="6" t="n">
        <v>0.5413129287596727</v>
      </c>
      <c r="S35" s="6" t="n">
        <v>0.4511894995898278</v>
      </c>
      <c r="T35" s="2" t="inlineStr">
        <is>
          <t>Under</t>
        </is>
      </c>
      <c r="U35" s="4" t="n">
        <v>123</v>
      </c>
      <c r="V35" s="2" t="n">
        <v>2.23</v>
      </c>
      <c r="W35" s="4" t="n">
        <v>123</v>
      </c>
      <c r="X35" s="2" t="n">
        <v>1</v>
      </c>
      <c r="Y35" s="5" t="n">
        <v>-1</v>
      </c>
      <c r="Z35" s="7" t="n">
        <v>100</v>
      </c>
      <c r="AA35" s="7">
        <f>Y35*Z35</f>
        <v/>
      </c>
      <c r="AB35" s="6">
        <f>IF(Z35=0,0,AA35/Z35)</f>
        <v/>
      </c>
      <c r="AC35" s="6" t="n"/>
      <c r="AD35" s="2" t="inlineStr">
        <is>
          <t>Loss</t>
        </is>
      </c>
      <c r="AE35" s="6">
        <f>IF((COUNTIF($AD$2:AD35,"Win")+COUNTIF($AD$2:AD35,"Loss"))=0,0,COUNTIF($AD$2:AD35,"Win")/(COUNTIF($AD$2:AD35,"Win")+COUNTIF($AD$2:AD35,"Loss")))</f>
        <v/>
      </c>
      <c r="AF35" s="6">
        <f>SUM($Y$2:Y35)/SUM($X$2:X35)</f>
        <v/>
      </c>
      <c r="AG35" s="5">
        <f>SUM($Y$2:Y35)</f>
        <v/>
      </c>
      <c r="AH35" s="7">
        <f>10000.0+SUM($AA$2:AA35)</f>
        <v/>
      </c>
      <c r="AI35" s="2" t="n">
        <v>2026</v>
      </c>
      <c r="AJ35" s="2" t="inlineStr">
        <is>
          <t>2026-04</t>
        </is>
      </c>
      <c r="AK35" s="2" t="inlineStr">
        <is>
          <t>+121 to +150</t>
        </is>
      </c>
      <c r="AL35" s="2" t="inlineStr">
        <is>
          <t>2026 Frozen Test</t>
        </is>
      </c>
      <c r="AM35" s="6" t="n">
        <v>0.1683966106781059</v>
      </c>
    </row>
    <row r="36">
      <c r="A36" s="2" t="inlineStr">
        <is>
          <t>KPROP-00437</t>
        </is>
      </c>
      <c r="B36" s="3" t="n">
        <v>46113.54221064815</v>
      </c>
      <c r="C36" s="3" t="n">
        <v>46113</v>
      </c>
      <c r="D36" s="2" t="inlineStr">
        <is>
          <t>Cristopher Sánchez</t>
        </is>
      </c>
      <c r="E36" s="2" t="n">
        <v>143</v>
      </c>
      <c r="F36" s="2" t="n">
        <v>120</v>
      </c>
      <c r="G36" s="2" t="inlineStr">
        <is>
          <t>Home</t>
        </is>
      </c>
      <c r="H36" s="2" t="inlineStr">
        <is>
          <t>betrivers</t>
        </is>
      </c>
      <c r="I36" s="4" t="n"/>
      <c r="J36" s="4" t="n"/>
      <c r="K36" s="4" t="n">
        <v>-165</v>
      </c>
      <c r="L36" s="4" t="n">
        <v>-165</v>
      </c>
      <c r="M36" s="5" t="n">
        <v>7.5</v>
      </c>
      <c r="N36" s="5" t="n">
        <v>6.406407538520563</v>
      </c>
      <c r="O36" s="5" t="n">
        <v>7.5</v>
      </c>
      <c r="P36" s="5" t="n">
        <v>1.093592461479437</v>
      </c>
      <c r="Q36" s="6" t="n">
        <v>0.1023867178021035</v>
      </c>
      <c r="R36" s="6" t="n">
        <v>0.6863917299522532</v>
      </c>
      <c r="S36" s="6" t="n">
        <v>0.5813255391421123</v>
      </c>
      <c r="T36" s="2" t="inlineStr">
        <is>
          <t>Under</t>
        </is>
      </c>
      <c r="U36" s="4" t="n">
        <v>-165</v>
      </c>
      <c r="V36" s="2" t="n">
        <v>1.606060606060606</v>
      </c>
      <c r="W36" s="4" t="n">
        <v>-165</v>
      </c>
      <c r="X36" s="2" t="n">
        <v>1</v>
      </c>
      <c r="Y36" s="5" t="n">
        <v>0.606060606060606</v>
      </c>
      <c r="Z36" s="7" t="n">
        <v>100</v>
      </c>
      <c r="AA36" s="7">
        <f>Y36*Z36</f>
        <v/>
      </c>
      <c r="AB36" s="6">
        <f>IF(Z36=0,0,AA36/Z36)</f>
        <v/>
      </c>
      <c r="AC36" s="6" t="n"/>
      <c r="AD36" s="2" t="inlineStr">
        <is>
          <t>Win</t>
        </is>
      </c>
      <c r="AE36" s="6">
        <f>IF((COUNTIF($AD$2:AD36,"Win")+COUNTIF($AD$2:AD36,"Loss"))=0,0,COUNTIF($AD$2:AD36,"Win")/(COUNTIF($AD$2:AD36,"Win")+COUNTIF($AD$2:AD36,"Loss")))</f>
        <v/>
      </c>
      <c r="AF36" s="6">
        <f>SUM($Y$2:Y36)/SUM($X$2:X36)</f>
        <v/>
      </c>
      <c r="AG36" s="5">
        <f>SUM($Y$2:Y36)</f>
        <v/>
      </c>
      <c r="AH36" s="7">
        <f>10000.0+SUM($AA$2:AA36)</f>
        <v/>
      </c>
      <c r="AI36" s="2" t="n">
        <v>2026</v>
      </c>
      <c r="AJ36" s="2" t="inlineStr">
        <is>
          <t>2026-04</t>
        </is>
      </c>
      <c r="AK36" s="2" t="inlineStr">
        <is>
          <t>&lt;= -150</t>
        </is>
      </c>
      <c r="AL36" s="2" t="inlineStr">
        <is>
          <t>2026 Frozen Test</t>
        </is>
      </c>
      <c r="AM36" s="6" t="n">
        <v>0.1689380843734708</v>
      </c>
    </row>
    <row r="37">
      <c r="A37" s="2" t="inlineStr">
        <is>
          <t>KPROP-00438</t>
        </is>
      </c>
      <c r="B37" s="3" t="n">
        <v>46113.67057870371</v>
      </c>
      <c r="C37" s="3" t="n">
        <v>46113</v>
      </c>
      <c r="D37" s="2" t="inlineStr">
        <is>
          <t>George Kirby</t>
        </is>
      </c>
      <c r="E37" s="2" t="n">
        <v>136</v>
      </c>
      <c r="F37" s="2" t="n">
        <v>147</v>
      </c>
      <c r="G37" s="2" t="inlineStr">
        <is>
          <t>Home</t>
        </is>
      </c>
      <c r="H37" s="2" t="inlineStr">
        <is>
          <t>fanatics</t>
        </is>
      </c>
      <c r="I37" s="4" t="n"/>
      <c r="J37" s="4" t="n"/>
      <c r="K37" s="4" t="n">
        <v>115</v>
      </c>
      <c r="L37" s="4" t="n">
        <v>115</v>
      </c>
      <c r="M37" s="5" t="n">
        <v>6.5</v>
      </c>
      <c r="N37" s="5" t="n">
        <v>6.101758714194712</v>
      </c>
      <c r="O37" s="5" t="n">
        <v>6.5</v>
      </c>
      <c r="P37" s="5" t="n">
        <v>0.3982412858052884</v>
      </c>
      <c r="Q37" s="6" t="n">
        <v>0.2684196733698335</v>
      </c>
      <c r="R37" s="6" t="n">
        <v>0.5899626387766668</v>
      </c>
      <c r="S37" s="6" t="n">
        <v>0.4428925847652301</v>
      </c>
      <c r="T37" s="2" t="inlineStr">
        <is>
          <t>Under</t>
        </is>
      </c>
      <c r="U37" s="4" t="n">
        <v>115</v>
      </c>
      <c r="V37" s="2" t="n">
        <v>2.15</v>
      </c>
      <c r="W37" s="4" t="n">
        <v>115</v>
      </c>
      <c r="X37" s="2" t="n">
        <v>1</v>
      </c>
      <c r="Y37" s="5" t="n">
        <v>1.15</v>
      </c>
      <c r="Z37" s="7" t="n">
        <v>100</v>
      </c>
      <c r="AA37" s="7">
        <f>Y37*Z37</f>
        <v/>
      </c>
      <c r="AB37" s="6">
        <f>IF(Z37=0,0,AA37/Z37)</f>
        <v/>
      </c>
      <c r="AC37" s="6" t="n"/>
      <c r="AD37" s="2" t="inlineStr">
        <is>
          <t>Win</t>
        </is>
      </c>
      <c r="AE37" s="6">
        <f>IF((COUNTIF($AD$2:AD37,"Win")+COUNTIF($AD$2:AD37,"Loss"))=0,0,COUNTIF($AD$2:AD37,"Win")/(COUNTIF($AD$2:AD37,"Win")+COUNTIF($AD$2:AD37,"Loss")))</f>
        <v/>
      </c>
      <c r="AF37" s="6">
        <f>SUM($Y$2:Y37)/SUM($X$2:X37)</f>
        <v/>
      </c>
      <c r="AG37" s="5">
        <f>SUM($Y$2:Y37)</f>
        <v/>
      </c>
      <c r="AH37" s="7">
        <f>10000.0+SUM($AA$2:AA37)</f>
        <v/>
      </c>
      <c r="AI37" s="2" t="n">
        <v>2026</v>
      </c>
      <c r="AJ37" s="2" t="inlineStr">
        <is>
          <t>2026-04</t>
        </is>
      </c>
      <c r="AK37" s="2" t="inlineStr">
        <is>
          <t>+100 to +120</t>
        </is>
      </c>
      <c r="AL37" s="2" t="inlineStr">
        <is>
          <t>2026 Frozen Test</t>
        </is>
      </c>
      <c r="AM37" s="6" t="n">
        <v>0.2334084116259422</v>
      </c>
    </row>
    <row r="38">
      <c r="A38" s="2" t="inlineStr">
        <is>
          <t>KPROP-00439</t>
        </is>
      </c>
      <c r="B38" s="3" t="n">
        <v>46113.67057870371</v>
      </c>
      <c r="C38" s="3" t="n">
        <v>46113</v>
      </c>
      <c r="D38" s="2" t="inlineStr">
        <is>
          <t>George Kirby</t>
        </is>
      </c>
      <c r="E38" s="2" t="n">
        <v>136</v>
      </c>
      <c r="F38" s="2" t="n">
        <v>147</v>
      </c>
      <c r="G38" s="2" t="inlineStr">
        <is>
          <t>Home</t>
        </is>
      </c>
      <c r="H38" s="2" t="inlineStr">
        <is>
          <t>draftkings</t>
        </is>
      </c>
      <c r="I38" s="4" t="n"/>
      <c r="J38" s="4" t="n"/>
      <c r="K38" s="4" t="n">
        <v>-151</v>
      </c>
      <c r="L38" s="4" t="n">
        <v>-151</v>
      </c>
      <c r="M38" s="5" t="n">
        <v>7.5</v>
      </c>
      <c r="N38" s="5" t="n">
        <v>6.101758714194712</v>
      </c>
      <c r="O38" s="5" t="n">
        <v>7.5</v>
      </c>
      <c r="P38" s="5" t="n">
        <v>1.398241285805288</v>
      </c>
      <c r="Q38" s="6" t="n">
        <v>0.2132029679585156</v>
      </c>
      <c r="R38" s="6" t="n">
        <v>0.729855171959107</v>
      </c>
      <c r="S38" s="6" t="n">
        <v>0.5908053472448647</v>
      </c>
      <c r="T38" s="2" t="inlineStr">
        <is>
          <t>Under</t>
        </is>
      </c>
      <c r="U38" s="4" t="n">
        <v>-151</v>
      </c>
      <c r="V38" s="2" t="n">
        <v>1.662251655629139</v>
      </c>
      <c r="W38" s="4" t="n">
        <v>-151</v>
      </c>
      <c r="X38" s="2" t="n">
        <v>1</v>
      </c>
      <c r="Y38" s="5" t="n">
        <v>0.6622516556291391</v>
      </c>
      <c r="Z38" s="7" t="n">
        <v>100</v>
      </c>
      <c r="AA38" s="7">
        <f>Y38*Z38</f>
        <v/>
      </c>
      <c r="AB38" s="6">
        <f>IF(Z38=0,0,AA38/Z38)</f>
        <v/>
      </c>
      <c r="AC38" s="6" t="n"/>
      <c r="AD38" s="2" t="inlineStr">
        <is>
          <t>Win</t>
        </is>
      </c>
      <c r="AE38" s="6">
        <f>IF((COUNTIF($AD$2:AD38,"Win")+COUNTIF($AD$2:AD38,"Loss"))=0,0,COUNTIF($AD$2:AD38,"Win")/(COUNTIF($AD$2:AD38,"Win")+COUNTIF($AD$2:AD38,"Loss")))</f>
        <v/>
      </c>
      <c r="AF38" s="6">
        <f>SUM($Y$2:Y38)/SUM($X$2:X38)</f>
        <v/>
      </c>
      <c r="AG38" s="5">
        <f>SUM($Y$2:Y38)</f>
        <v/>
      </c>
      <c r="AH38" s="7">
        <f>10000.0+SUM($AA$2:AA38)</f>
        <v/>
      </c>
      <c r="AI38" s="2" t="n">
        <v>2026</v>
      </c>
      <c r="AJ38" s="2" t="inlineStr">
        <is>
          <t>2026-04</t>
        </is>
      </c>
      <c r="AK38" s="2" t="inlineStr">
        <is>
          <t>&lt;= -150</t>
        </is>
      </c>
      <c r="AL38" s="2" t="inlineStr">
        <is>
          <t>2026 Frozen Test</t>
        </is>
      </c>
      <c r="AM38" s="6" t="n">
        <v>0.3219364816173585</v>
      </c>
    </row>
    <row r="39">
      <c r="A39" s="2" t="inlineStr">
        <is>
          <t>KPROP-00440</t>
        </is>
      </c>
      <c r="B39" s="3" t="n">
        <v>46113.56640046297</v>
      </c>
      <c r="C39" s="3" t="n">
        <v>46113</v>
      </c>
      <c r="D39" s="2" t="inlineStr">
        <is>
          <t>Jacob Misiorowski</t>
        </is>
      </c>
      <c r="E39" s="2" t="n">
        <v>158</v>
      </c>
      <c r="F39" s="2" t="n">
        <v>139</v>
      </c>
      <c r="G39" s="2" t="inlineStr">
        <is>
          <t>Home</t>
        </is>
      </c>
      <c r="H39" s="2" t="inlineStr">
        <is>
          <t>betrivers</t>
        </is>
      </c>
      <c r="I39" s="4" t="n"/>
      <c r="J39" s="4" t="n"/>
      <c r="K39" s="4" t="n">
        <v>-117</v>
      </c>
      <c r="L39" s="4" t="n">
        <v>-117</v>
      </c>
      <c r="M39" s="5" t="n">
        <v>6.5</v>
      </c>
      <c r="N39" s="5" t="n">
        <v>5.788500130875929</v>
      </c>
      <c r="O39" s="5" t="n">
        <v>6.5</v>
      </c>
      <c r="P39" s="5" t="n">
        <v>0.7114998691240713</v>
      </c>
      <c r="Q39" s="6" t="n">
        <v>0.1874381563663583</v>
      </c>
      <c r="R39" s="6" t="n">
        <v>0.6402316326952254</v>
      </c>
      <c r="S39" s="6" t="n">
        <v>0.5188470066518847</v>
      </c>
      <c r="T39" s="2" t="inlineStr">
        <is>
          <t>Under</t>
        </is>
      </c>
      <c r="U39" s="4" t="n">
        <v>-117</v>
      </c>
      <c r="V39" s="2" t="n">
        <v>1.854700854700855</v>
      </c>
      <c r="W39" s="4" t="n">
        <v>-117</v>
      </c>
      <c r="X39" s="2" t="n">
        <v>1</v>
      </c>
      <c r="Y39" s="5" t="n">
        <v>-1</v>
      </c>
      <c r="Z39" s="7" t="n">
        <v>100</v>
      </c>
      <c r="AA39" s="7">
        <f>Y39*Z39</f>
        <v/>
      </c>
      <c r="AB39" s="6">
        <f>IF(Z39=0,0,AA39/Z39)</f>
        <v/>
      </c>
      <c r="AC39" s="6" t="n"/>
      <c r="AD39" s="2" t="inlineStr">
        <is>
          <t>Loss</t>
        </is>
      </c>
      <c r="AE39" s="6">
        <f>IF((COUNTIF($AD$2:AD39,"Win")+COUNTIF($AD$2:AD39,"Loss"))=0,0,COUNTIF($AD$2:AD39,"Win")/(COUNTIF($AD$2:AD39,"Win")+COUNTIF($AD$2:AD39,"Loss")))</f>
        <v/>
      </c>
      <c r="AF39" s="6">
        <f>SUM($Y$2:Y39)/SUM($X$2:X39)</f>
        <v/>
      </c>
      <c r="AG39" s="5">
        <f>SUM($Y$2:Y39)</f>
        <v/>
      </c>
      <c r="AH39" s="7">
        <f>10000.0+SUM($AA$2:AA39)</f>
        <v/>
      </c>
      <c r="AI39" s="2" t="n">
        <v>2026</v>
      </c>
      <c r="AJ39" s="2" t="inlineStr">
        <is>
          <t>2026-04</t>
        </is>
      </c>
      <c r="AK39" s="2" t="inlineStr">
        <is>
          <t>-119 to -101</t>
        </is>
      </c>
      <c r="AL39" s="2" t="inlineStr">
        <is>
          <t>2026 Frozen Test</t>
        </is>
      </c>
      <c r="AM39" s="6" t="n">
        <v>0.2193026429486392</v>
      </c>
    </row>
    <row r="40">
      <c r="A40" s="2" t="inlineStr">
        <is>
          <t>KPROP-00441</t>
        </is>
      </c>
      <c r="B40" s="3" t="n">
        <v>46113.81641203703</v>
      </c>
      <c r="C40" s="3" t="n">
        <v>46113</v>
      </c>
      <c r="D40" s="2" t="inlineStr">
        <is>
          <t>Joe Ryan</t>
        </is>
      </c>
      <c r="E40" s="2" t="n">
        <v>142</v>
      </c>
      <c r="F40" s="2" t="n">
        <v>118</v>
      </c>
      <c r="G40" s="2" t="inlineStr">
        <is>
          <t>Away</t>
        </is>
      </c>
      <c r="H40" s="2" t="inlineStr">
        <is>
          <t>betmgm</t>
        </is>
      </c>
      <c r="I40" s="4" t="n"/>
      <c r="J40" s="4" t="n"/>
      <c r="K40" s="4" t="n">
        <v>-118</v>
      </c>
      <c r="L40" s="4" t="n">
        <v>-118</v>
      </c>
      <c r="M40" s="5" t="n">
        <v>5.5</v>
      </c>
      <c r="N40" s="5" t="n">
        <v>4.784732963560879</v>
      </c>
      <c r="O40" s="5" t="n">
        <v>5.5</v>
      </c>
      <c r="P40" s="5" t="n">
        <v>0.7152670364391209</v>
      </c>
      <c r="Q40" s="6" t="n">
        <v>0.2076339927792065</v>
      </c>
      <c r="R40" s="6" t="n">
        <v>0.6536734456327815</v>
      </c>
      <c r="S40" s="6" t="n">
        <v>0.5259839095455533</v>
      </c>
      <c r="T40" s="2" t="inlineStr">
        <is>
          <t>Under</t>
        </is>
      </c>
      <c r="U40" s="4" t="n">
        <v>-118</v>
      </c>
      <c r="V40" s="2" t="n">
        <v>1.847457627118644</v>
      </c>
      <c r="W40" s="4" t="n">
        <v>-118</v>
      </c>
      <c r="X40" s="2" t="n">
        <v>1</v>
      </c>
      <c r="Y40" s="5" t="n">
        <v>0.847457627118644</v>
      </c>
      <c r="Z40" s="7" t="n">
        <v>100</v>
      </c>
      <c r="AA40" s="7">
        <f>Y40*Z40</f>
        <v/>
      </c>
      <c r="AB40" s="6">
        <f>IF(Z40=0,0,AA40/Z40)</f>
        <v/>
      </c>
      <c r="AC40" s="6" t="n"/>
      <c r="AD40" s="2" t="inlineStr">
        <is>
          <t>Win</t>
        </is>
      </c>
      <c r="AE40" s="6">
        <f>IF((COUNTIF($AD$2:AD40,"Win")+COUNTIF($AD$2:AD40,"Loss"))=0,0,COUNTIF($AD$2:AD40,"Win")/(COUNTIF($AD$2:AD40,"Win")+COUNTIF($AD$2:AD40,"Loss")))</f>
        <v/>
      </c>
      <c r="AF40" s="6">
        <f>SUM($Y$2:Y40)/SUM($X$2:X40)</f>
        <v/>
      </c>
      <c r="AG40" s="5">
        <f>SUM($Y$2:Y40)</f>
        <v/>
      </c>
      <c r="AH40" s="7">
        <f>10000.0+SUM($AA$2:AA40)</f>
        <v/>
      </c>
      <c r="AI40" s="2" t="n">
        <v>2026</v>
      </c>
      <c r="AJ40" s="2" t="inlineStr">
        <is>
          <t>2026-04</t>
        </is>
      </c>
      <c r="AK40" s="2" t="inlineStr">
        <is>
          <t>-119 to -101</t>
        </is>
      </c>
      <c r="AL40" s="2" t="inlineStr">
        <is>
          <t>2026 Frozen Test</t>
        </is>
      </c>
      <c r="AM40" s="6" t="n">
        <v>0.2450081114794636</v>
      </c>
    </row>
    <row r="41">
      <c r="A41" s="2" t="inlineStr">
        <is>
          <t>KPROP-00442</t>
        </is>
      </c>
      <c r="B41" s="3" t="n">
        <v>46113.54556712963</v>
      </c>
      <c r="C41" s="3" t="n">
        <v>46113</v>
      </c>
      <c r="D41" s="2" t="inlineStr">
        <is>
          <t>Kevin Gausman</t>
        </is>
      </c>
      <c r="E41" s="2" t="n">
        <v>141</v>
      </c>
      <c r="F41" s="2" t="n">
        <v>115</v>
      </c>
      <c r="G41" s="2" t="inlineStr">
        <is>
          <t>Home</t>
        </is>
      </c>
      <c r="H41" s="2" t="inlineStr">
        <is>
          <t>betmgm</t>
        </is>
      </c>
      <c r="I41" s="4" t="n"/>
      <c r="J41" s="4" t="n"/>
      <c r="K41" s="4" t="n">
        <v>115</v>
      </c>
      <c r="L41" s="4" t="n">
        <v>115</v>
      </c>
      <c r="M41" s="5" t="n">
        <v>6.5</v>
      </c>
      <c r="N41" s="5" t="n">
        <v>6.411824755270636</v>
      </c>
      <c r="O41" s="5" t="n">
        <v>6.5</v>
      </c>
      <c r="P41" s="5" t="n">
        <v>0.08817524472936356</v>
      </c>
      <c r="Q41" s="6" t="n">
        <v>0.1619768160476676</v>
      </c>
      <c r="R41" s="6" t="n">
        <v>0.5404543330454268</v>
      </c>
      <c r="S41" s="6" t="n">
        <v>0.4366812227074235</v>
      </c>
      <c r="T41" s="2" t="inlineStr">
        <is>
          <t>Under</t>
        </is>
      </c>
      <c r="U41" s="4" t="n">
        <v>115</v>
      </c>
      <c r="V41" s="2" t="n">
        <v>2.15</v>
      </c>
      <c r="W41" s="4" t="n">
        <v>115</v>
      </c>
      <c r="X41" s="2" t="n">
        <v>1</v>
      </c>
      <c r="Y41" s="5" t="n">
        <v>-1</v>
      </c>
      <c r="Z41" s="7" t="n">
        <v>100</v>
      </c>
      <c r="AA41" s="7">
        <f>Y41*Z41</f>
        <v/>
      </c>
      <c r="AB41" s="6">
        <f>IF(Z41=0,0,AA41/Z41)</f>
        <v/>
      </c>
      <c r="AC41" s="6" t="n"/>
      <c r="AD41" s="2" t="inlineStr">
        <is>
          <t>Loss</t>
        </is>
      </c>
      <c r="AE41" s="6">
        <f>IF((COUNTIF($AD$2:AD41,"Win")+COUNTIF($AD$2:AD41,"Loss"))=0,0,COUNTIF($AD$2:AD41,"Win")/(COUNTIF($AD$2:AD41,"Win")+COUNTIF($AD$2:AD41,"Loss")))</f>
        <v/>
      </c>
      <c r="AF41" s="6">
        <f>SUM($Y$2:Y41)/SUM($X$2:X41)</f>
        <v/>
      </c>
      <c r="AG41" s="5">
        <f>SUM($Y$2:Y41)</f>
        <v/>
      </c>
      <c r="AH41" s="7">
        <f>10000.0+SUM($AA$2:AA41)</f>
        <v/>
      </c>
      <c r="AI41" s="2" t="n">
        <v>2026</v>
      </c>
      <c r="AJ41" s="2" t="inlineStr">
        <is>
          <t>2026-04</t>
        </is>
      </c>
      <c r="AK41" s="2" t="inlineStr">
        <is>
          <t>+100 to +120</t>
        </is>
      </c>
      <c r="AL41" s="2" t="inlineStr">
        <is>
          <t>2026 Frozen Test</t>
        </is>
      </c>
      <c r="AM41" s="6" t="n">
        <v>0.1408494052588414</v>
      </c>
    </row>
    <row r="42">
      <c r="A42" s="2" t="inlineStr">
        <is>
          <t>KPROP-00443</t>
        </is>
      </c>
      <c r="B42" s="3" t="n">
        <v>46113.54556712963</v>
      </c>
      <c r="C42" s="3" t="n">
        <v>46113</v>
      </c>
      <c r="D42" s="2" t="inlineStr">
        <is>
          <t>Kevin Gausman</t>
        </is>
      </c>
      <c r="E42" s="2" t="n">
        <v>141</v>
      </c>
      <c r="F42" s="2" t="n">
        <v>115</v>
      </c>
      <c r="G42" s="2" t="inlineStr">
        <is>
          <t>Home</t>
        </is>
      </c>
      <c r="H42" s="2" t="inlineStr">
        <is>
          <t>draftkings</t>
        </is>
      </c>
      <c r="I42" s="4" t="n"/>
      <c r="J42" s="4" t="n"/>
      <c r="K42" s="4" t="n">
        <v>-148</v>
      </c>
      <c r="L42" s="4" t="n">
        <v>-148</v>
      </c>
      <c r="M42" s="5" t="n">
        <v>7.5</v>
      </c>
      <c r="N42" s="5" t="n">
        <v>6.411824755270636</v>
      </c>
      <c r="O42" s="5" t="n">
        <v>7.5</v>
      </c>
      <c r="P42" s="5" t="n">
        <v>1.088175244729364</v>
      </c>
      <c r="Q42" s="6" t="n">
        <v>0.1488526438182485</v>
      </c>
      <c r="R42" s="6" t="n">
        <v>0.6856056100205676</v>
      </c>
      <c r="S42" s="6" t="n">
        <v>0.5837529372272574</v>
      </c>
      <c r="T42" s="2" t="inlineStr">
        <is>
          <t>Under</t>
        </is>
      </c>
      <c r="U42" s="4" t="n">
        <v>-148</v>
      </c>
      <c r="V42" s="2" t="n">
        <v>1.675675675675676</v>
      </c>
      <c r="W42" s="4" t="n">
        <v>-148</v>
      </c>
      <c r="X42" s="2" t="n">
        <v>1</v>
      </c>
      <c r="Y42" s="5" t="n">
        <v>-1</v>
      </c>
      <c r="Z42" s="7" t="n">
        <v>100</v>
      </c>
      <c r="AA42" s="7">
        <f>Y42*Z42</f>
        <v/>
      </c>
      <c r="AB42" s="6">
        <f>IF(Z42=0,0,AA42/Z42)</f>
        <v/>
      </c>
      <c r="AC42" s="6" t="n"/>
      <c r="AD42" s="2" t="inlineStr">
        <is>
          <t>Loss</t>
        </is>
      </c>
      <c r="AE42" s="6">
        <f>IF((COUNTIF($AD$2:AD42,"Win")+COUNTIF($AD$2:AD42,"Loss"))=0,0,COUNTIF($AD$2:AD42,"Win")/(COUNTIF($AD$2:AD42,"Win")+COUNTIF($AD$2:AD42,"Loss")))</f>
        <v/>
      </c>
      <c r="AF42" s="6">
        <f>SUM($Y$2:Y42)/SUM($X$2:X42)</f>
        <v/>
      </c>
      <c r="AG42" s="5">
        <f>SUM($Y$2:Y42)</f>
        <v/>
      </c>
      <c r="AH42" s="7">
        <f>10000.0+SUM($AA$2:AA42)</f>
        <v/>
      </c>
      <c r="AI42" s="2" t="n">
        <v>2026</v>
      </c>
      <c r="AJ42" s="2" t="inlineStr">
        <is>
          <t>2026-04</t>
        </is>
      </c>
      <c r="AK42" s="2" t="inlineStr">
        <is>
          <t>-149 to -120</t>
        </is>
      </c>
      <c r="AL42" s="2" t="inlineStr">
        <is>
          <t>2026 Frozen Test</t>
        </is>
      </c>
      <c r="AM42" s="6" t="n">
        <v>0.2203019128510078</v>
      </c>
    </row>
    <row r="43">
      <c r="A43" s="2" t="inlineStr">
        <is>
          <t>KPROP-00444</t>
        </is>
      </c>
      <c r="B43" s="3" t="n">
        <v>46113.58725694445</v>
      </c>
      <c r="C43" s="3" t="n">
        <v>46113</v>
      </c>
      <c r="D43" s="2" t="inlineStr">
        <is>
          <t>Mike Burrows</t>
        </is>
      </c>
      <c r="E43" s="2" t="n">
        <v>117</v>
      </c>
      <c r="F43" s="2" t="n">
        <v>111</v>
      </c>
      <c r="G43" s="2" t="inlineStr">
        <is>
          <t>Home</t>
        </is>
      </c>
      <c r="H43" s="2" t="inlineStr">
        <is>
          <t>draftkings</t>
        </is>
      </c>
      <c r="I43" s="4" t="n"/>
      <c r="J43" s="4" t="n"/>
      <c r="K43" s="4" t="n">
        <v>102</v>
      </c>
      <c r="L43" s="4" t="n">
        <v>102</v>
      </c>
      <c r="M43" s="5" t="n">
        <v>5.5</v>
      </c>
      <c r="N43" s="5" t="n">
        <v>4.984961654490398</v>
      </c>
      <c r="O43" s="5" t="n">
        <v>5.5</v>
      </c>
      <c r="P43" s="5" t="n">
        <v>0.5150383455096019</v>
      </c>
      <c r="Q43" s="6" t="n">
        <v>0.2495707351640831</v>
      </c>
      <c r="R43" s="6" t="n">
        <v>0.6185993738436055</v>
      </c>
      <c r="S43" s="6" t="n">
        <v>0.490336094449205</v>
      </c>
      <c r="T43" s="2" t="inlineStr">
        <is>
          <t>Under</t>
        </is>
      </c>
      <c r="U43" s="4" t="n">
        <v>102</v>
      </c>
      <c r="V43" s="2" t="n">
        <v>2.02</v>
      </c>
      <c r="W43" s="4" t="n">
        <v>102</v>
      </c>
      <c r="X43" s="2" t="n">
        <v>1</v>
      </c>
      <c r="Y43" s="5" t="n">
        <v>-1</v>
      </c>
      <c r="Z43" s="7" t="n">
        <v>100</v>
      </c>
      <c r="AA43" s="7">
        <f>Y43*Z43</f>
        <v/>
      </c>
      <c r="AB43" s="6">
        <f>IF(Z43=0,0,AA43/Z43)</f>
        <v/>
      </c>
      <c r="AC43" s="6" t="n"/>
      <c r="AD43" s="2" t="inlineStr">
        <is>
          <t>Loss</t>
        </is>
      </c>
      <c r="AE43" s="6">
        <f>IF((COUNTIF($AD$2:AD43,"Win")+COUNTIF($AD$2:AD43,"Loss"))=0,0,COUNTIF($AD$2:AD43,"Win")/(COUNTIF($AD$2:AD43,"Win")+COUNTIF($AD$2:AD43,"Loss")))</f>
        <v/>
      </c>
      <c r="AF43" s="6">
        <f>SUM($Y$2:Y43)/SUM($X$2:X43)</f>
        <v/>
      </c>
      <c r="AG43" s="5">
        <f>SUM($Y$2:Y43)</f>
        <v/>
      </c>
      <c r="AH43" s="7">
        <f>10000.0+SUM($AA$2:AA43)</f>
        <v/>
      </c>
      <c r="AI43" s="2" t="n">
        <v>2026</v>
      </c>
      <c r="AJ43" s="2" t="inlineStr">
        <is>
          <t>2026-04</t>
        </is>
      </c>
      <c r="AK43" s="2" t="inlineStr">
        <is>
          <t>+100 to +120</t>
        </is>
      </c>
      <c r="AL43" s="2" t="inlineStr">
        <is>
          <t>2026 Frozen Test</t>
        </is>
      </c>
      <c r="AM43" s="6" t="n">
        <v>0.2446771913373364</v>
      </c>
    </row>
    <row r="44">
      <c r="A44" s="2" t="inlineStr">
        <is>
          <t>KPROP-00445</t>
        </is>
      </c>
      <c r="B44" s="3" t="n">
        <v>46113.52474537037</v>
      </c>
      <c r="C44" s="3" t="n">
        <v>46113</v>
      </c>
      <c r="D44" s="2" t="inlineStr">
        <is>
          <t>Nathan Eovaldi</t>
        </is>
      </c>
      <c r="E44" s="2" t="n">
        <v>140</v>
      </c>
      <c r="F44" s="2" t="n">
        <v>110</v>
      </c>
      <c r="G44" s="2" t="inlineStr">
        <is>
          <t>Away</t>
        </is>
      </c>
      <c r="H44" s="2" t="inlineStr">
        <is>
          <t>fanduel</t>
        </is>
      </c>
      <c r="I44" s="4" t="n"/>
      <c r="J44" s="4" t="n"/>
      <c r="K44" s="4" t="n">
        <v>126</v>
      </c>
      <c r="L44" s="4" t="n">
        <v>126</v>
      </c>
      <c r="M44" s="5" t="n">
        <v>5.5</v>
      </c>
      <c r="N44" s="5" t="n">
        <v>5.654478560725251</v>
      </c>
      <c r="O44" s="5" t="n">
        <v>5.5</v>
      </c>
      <c r="P44" s="5" t="n">
        <v>-0.1544785607252512</v>
      </c>
      <c r="Q44" s="6" t="n">
        <v>0.1359731459024668</v>
      </c>
      <c r="R44" s="6" t="n">
        <v>0.502642984912596</v>
      </c>
      <c r="S44" s="6" t="n">
        <v>0.427798149118212</v>
      </c>
      <c r="T44" s="2" t="inlineStr">
        <is>
          <t>Under</t>
        </is>
      </c>
      <c r="U44" s="4" t="n">
        <v>126</v>
      </c>
      <c r="V44" s="2" t="n">
        <v>2.26</v>
      </c>
      <c r="W44" s="4" t="n">
        <v>126</v>
      </c>
      <c r="X44" s="2" t="n">
        <v>1</v>
      </c>
      <c r="Y44" s="5" t="n">
        <v>1.26</v>
      </c>
      <c r="Z44" s="7" t="n">
        <v>100</v>
      </c>
      <c r="AA44" s="7">
        <f>Y44*Z44</f>
        <v/>
      </c>
      <c r="AB44" s="6">
        <f>IF(Z44=0,0,AA44/Z44)</f>
        <v/>
      </c>
      <c r="AC44" s="6" t="n"/>
      <c r="AD44" s="2" t="inlineStr">
        <is>
          <t>Win</t>
        </is>
      </c>
      <c r="AE44" s="6">
        <f>IF((COUNTIF($AD$2:AD44,"Win")+COUNTIF($AD$2:AD44,"Loss"))=0,0,COUNTIF($AD$2:AD44,"Win")/(COUNTIF($AD$2:AD44,"Win")+COUNTIF($AD$2:AD44,"Loss")))</f>
        <v/>
      </c>
      <c r="AF44" s="6">
        <f>SUM($Y$2:Y44)/SUM($X$2:X44)</f>
        <v/>
      </c>
      <c r="AG44" s="5">
        <f>SUM($Y$2:Y44)</f>
        <v/>
      </c>
      <c r="AH44" s="7">
        <f>10000.0+SUM($AA$2:AA44)</f>
        <v/>
      </c>
      <c r="AI44" s="2" t="n">
        <v>2026</v>
      </c>
      <c r="AJ44" s="2" t="inlineStr">
        <is>
          <t>2026-04</t>
        </is>
      </c>
      <c r="AK44" s="2" t="inlineStr">
        <is>
          <t>+121 to +150</t>
        </is>
      </c>
      <c r="AL44" s="2" t="inlineStr">
        <is>
          <t>2026 Frozen Test</t>
        </is>
      </c>
      <c r="AM44" s="6" t="n">
        <v>0.1079151951606879</v>
      </c>
    </row>
    <row r="45">
      <c r="A45" s="2" t="inlineStr">
        <is>
          <t>KPROP-00446</t>
        </is>
      </c>
      <c r="B45" s="3" t="n">
        <v>46113.67057870371</v>
      </c>
      <c r="C45" s="3" t="n">
        <v>46113</v>
      </c>
      <c r="D45" s="2" t="inlineStr">
        <is>
          <t>Nick Pivetta</t>
        </is>
      </c>
      <c r="E45" s="2" t="n">
        <v>135</v>
      </c>
      <c r="F45" s="2" t="n">
        <v>137</v>
      </c>
      <c r="G45" s="2" t="inlineStr">
        <is>
          <t>Home</t>
        </is>
      </c>
      <c r="H45" s="2" t="inlineStr">
        <is>
          <t>bovada</t>
        </is>
      </c>
      <c r="I45" s="4" t="n"/>
      <c r="J45" s="4" t="n"/>
      <c r="K45" s="4" t="n">
        <v>130</v>
      </c>
      <c r="L45" s="4" t="n">
        <v>130</v>
      </c>
      <c r="M45" s="5" t="n">
        <v>5.5</v>
      </c>
      <c r="N45" s="5" t="n">
        <v>4.934997442604558</v>
      </c>
      <c r="O45" s="5" t="n">
        <v>5.5</v>
      </c>
      <c r="P45" s="5" t="n">
        <v>0.5650025573954416</v>
      </c>
      <c r="Q45" s="6" t="n">
        <v>0.4429391914374838</v>
      </c>
      <c r="R45" s="6" t="n">
        <v>0.6273648658423843</v>
      </c>
      <c r="S45" s="6" t="n">
        <v>0.4307974335472044</v>
      </c>
      <c r="T45" s="2" t="inlineStr">
        <is>
          <t>Under</t>
        </is>
      </c>
      <c r="U45" s="4" t="n">
        <v>130</v>
      </c>
      <c r="V45" s="2" t="n">
        <v>2.3</v>
      </c>
      <c r="W45" s="4" t="n">
        <v>130</v>
      </c>
      <c r="X45" s="2" t="n">
        <v>1</v>
      </c>
      <c r="Y45" s="5" t="n">
        <v>-1</v>
      </c>
      <c r="Z45" s="7" t="n">
        <v>100</v>
      </c>
      <c r="AA45" s="7">
        <f>Y45*Z45</f>
        <v/>
      </c>
      <c r="AB45" s="6">
        <f>IF(Z45=0,0,AA45/Z45)</f>
        <v/>
      </c>
      <c r="AC45" s="6" t="n"/>
      <c r="AD45" s="2" t="inlineStr">
        <is>
          <t>Loss</t>
        </is>
      </c>
      <c r="AE45" s="6">
        <f>IF((COUNTIF($AD$2:AD45,"Win")+COUNTIF($AD$2:AD45,"Loss"))=0,0,COUNTIF($AD$2:AD45,"Win")/(COUNTIF($AD$2:AD45,"Win")+COUNTIF($AD$2:AD45,"Loss")))</f>
        <v/>
      </c>
      <c r="AF45" s="6">
        <f>SUM($Y$2:Y45)/SUM($X$2:X45)</f>
        <v/>
      </c>
      <c r="AG45" s="5">
        <f>SUM($Y$2:Y45)</f>
        <v/>
      </c>
      <c r="AH45" s="7">
        <f>10000.0+SUM($AA$2:AA45)</f>
        <v/>
      </c>
      <c r="AI45" s="2" t="n">
        <v>2026</v>
      </c>
      <c r="AJ45" s="2" t="inlineStr">
        <is>
          <t>2026-04</t>
        </is>
      </c>
      <c r="AK45" s="2" t="inlineStr">
        <is>
          <t>+121 to +150</t>
        </is>
      </c>
      <c r="AL45" s="2" t="inlineStr">
        <is>
          <t>2026 Frozen Test</t>
        </is>
      </c>
      <c r="AM45" s="6" t="n">
        <v>0.3407224549519106</v>
      </c>
    </row>
    <row r="46">
      <c r="A46" s="2" t="inlineStr">
        <is>
          <t>KPROP-00447</t>
        </is>
      </c>
      <c r="B46" s="3" t="n">
        <v>46113.67057870371</v>
      </c>
      <c r="C46" s="3" t="n">
        <v>46113</v>
      </c>
      <c r="D46" s="2" t="inlineStr">
        <is>
          <t>Nick Pivetta</t>
        </is>
      </c>
      <c r="E46" s="2" t="n">
        <v>135</v>
      </c>
      <c r="F46" s="2" t="n">
        <v>137</v>
      </c>
      <c r="G46" s="2" t="inlineStr">
        <is>
          <t>Home</t>
        </is>
      </c>
      <c r="H46" s="2" t="inlineStr">
        <is>
          <t>betrivers</t>
        </is>
      </c>
      <c r="I46" s="4" t="n"/>
      <c r="J46" s="4" t="n"/>
      <c r="K46" s="4" t="n">
        <v>-190</v>
      </c>
      <c r="L46" s="4" t="n">
        <v>-190</v>
      </c>
      <c r="M46" s="5" t="n">
        <v>6.5</v>
      </c>
      <c r="N46" s="5" t="n">
        <v>4.934997442604558</v>
      </c>
      <c r="O46" s="5" t="n">
        <v>6.5</v>
      </c>
      <c r="P46" s="5" t="n">
        <v>1.565002557395442</v>
      </c>
      <c r="Q46" s="6" t="n">
        <v>0.1777437282874392</v>
      </c>
      <c r="R46" s="6" t="n">
        <v>0.7716252012917706</v>
      </c>
      <c r="S46" s="6" t="n">
        <v>0.6112600536193029</v>
      </c>
      <c r="T46" s="2" t="inlineStr">
        <is>
          <t>Under</t>
        </is>
      </c>
      <c r="U46" s="4" t="n">
        <v>-190</v>
      </c>
      <c r="V46" s="2" t="n">
        <v>1.526315789473684</v>
      </c>
      <c r="W46" s="4" t="n">
        <v>-190</v>
      </c>
      <c r="X46" s="2" t="n">
        <v>1</v>
      </c>
      <c r="Y46" s="5" t="n">
        <v>-1</v>
      </c>
      <c r="Z46" s="7" t="n">
        <v>100</v>
      </c>
      <c r="AA46" s="7">
        <f>Y46*Z46</f>
        <v/>
      </c>
      <c r="AB46" s="6">
        <f>IF(Z46=0,0,AA46/Z46)</f>
        <v/>
      </c>
      <c r="AC46" s="6" t="n"/>
      <c r="AD46" s="2" t="inlineStr">
        <is>
          <t>Loss</t>
        </is>
      </c>
      <c r="AE46" s="6">
        <f>IF((COUNTIF($AD$2:AD46,"Win")+COUNTIF($AD$2:AD46,"Loss"))=0,0,COUNTIF($AD$2:AD46,"Win")/(COUNTIF($AD$2:AD46,"Win")+COUNTIF($AD$2:AD46,"Loss")))</f>
        <v/>
      </c>
      <c r="AF46" s="6">
        <f>SUM($Y$2:Y46)/SUM($X$2:X46)</f>
        <v/>
      </c>
      <c r="AG46" s="5">
        <f>SUM($Y$2:Y46)</f>
        <v/>
      </c>
      <c r="AH46" s="7">
        <f>10000.0+SUM($AA$2:AA46)</f>
        <v/>
      </c>
      <c r="AI46" s="2" t="n">
        <v>2026</v>
      </c>
      <c r="AJ46" s="2" t="inlineStr">
        <is>
          <t>2026-04</t>
        </is>
      </c>
      <c r="AK46" s="2" t="inlineStr">
        <is>
          <t>&lt;= -150</t>
        </is>
      </c>
      <c r="AL46" s="2" t="inlineStr">
        <is>
          <t>2026 Frozen Test</t>
        </is>
      </c>
      <c r="AM46" s="6" t="n">
        <v>0.3377130837461346</v>
      </c>
    </row>
    <row r="47">
      <c r="A47" s="2" t="inlineStr">
        <is>
          <t>KPROP-00448</t>
        </is>
      </c>
      <c r="B47" s="3" t="n">
        <v>46113.52474537037</v>
      </c>
      <c r="C47" s="3" t="n">
        <v>46113</v>
      </c>
      <c r="D47" s="2" t="inlineStr">
        <is>
          <t>Paul Skenes</t>
        </is>
      </c>
      <c r="E47" s="2" t="n">
        <v>134</v>
      </c>
      <c r="F47" s="2" t="n">
        <v>113</v>
      </c>
      <c r="G47" s="2" t="inlineStr">
        <is>
          <t>Away</t>
        </is>
      </c>
      <c r="H47" s="2" t="inlineStr">
        <is>
          <t>betrivers</t>
        </is>
      </c>
      <c r="I47" s="4" t="n"/>
      <c r="J47" s="4" t="n"/>
      <c r="K47" s="4" t="n">
        <v>140</v>
      </c>
      <c r="L47" s="4" t="n">
        <v>140</v>
      </c>
      <c r="M47" s="5" t="n">
        <v>6.5</v>
      </c>
      <c r="N47" s="5" t="n">
        <v>6.93462371899328</v>
      </c>
      <c r="O47" s="5" t="n">
        <v>6.5</v>
      </c>
      <c r="P47" s="5" t="n">
        <v>-0.4346237189932802</v>
      </c>
      <c r="Q47" s="6" t="n">
        <v>0.1027929795552552</v>
      </c>
      <c r="R47" s="6" t="n">
        <v>0.4594970748146897</v>
      </c>
      <c r="S47" s="6" t="n">
        <v>0.388739946380697</v>
      </c>
      <c r="T47" s="2" t="inlineStr">
        <is>
          <t>Under</t>
        </is>
      </c>
      <c r="U47" s="4" t="n">
        <v>140</v>
      </c>
      <c r="V47" s="2" t="n">
        <v>2.4</v>
      </c>
      <c r="W47" s="4" t="n">
        <v>140</v>
      </c>
      <c r="X47" s="2" t="n">
        <v>1</v>
      </c>
      <c r="Y47" s="5" t="n">
        <v>1.4</v>
      </c>
      <c r="Z47" s="7" t="n">
        <v>100</v>
      </c>
      <c r="AA47" s="7">
        <f>Y47*Z47</f>
        <v/>
      </c>
      <c r="AB47" s="6">
        <f>IF(Z47=0,0,AA47/Z47)</f>
        <v/>
      </c>
      <c r="AC47" s="6" t="n"/>
      <c r="AD47" s="2" t="inlineStr">
        <is>
          <t>Win</t>
        </is>
      </c>
      <c r="AE47" s="6">
        <f>IF((COUNTIF($AD$2:AD47,"Win")+COUNTIF($AD$2:AD47,"Loss"))=0,0,COUNTIF($AD$2:AD47,"Win")/(COUNTIF($AD$2:AD47,"Win")+COUNTIF($AD$2:AD47,"Loss")))</f>
        <v/>
      </c>
      <c r="AF47" s="6">
        <f>SUM($Y$2:Y47)/SUM($X$2:X47)</f>
        <v/>
      </c>
      <c r="AG47" s="5">
        <f>SUM($Y$2:Y47)</f>
        <v/>
      </c>
      <c r="AH47" s="7">
        <f>10000.0+SUM($AA$2:AA47)</f>
        <v/>
      </c>
      <c r="AI47" s="2" t="n">
        <v>2026</v>
      </c>
      <c r="AJ47" s="2" t="inlineStr">
        <is>
          <t>2026-04</t>
        </is>
      </c>
      <c r="AK47" s="2" t="inlineStr">
        <is>
          <t>+121 to +150</t>
        </is>
      </c>
      <c r="AL47" s="2" t="inlineStr">
        <is>
          <t>2026 Frozen Test</t>
        </is>
      </c>
      <c r="AM47" s="6" t="n">
        <v>0.07342355682518231</v>
      </c>
    </row>
    <row r="48">
      <c r="A48" s="2" t="inlineStr">
        <is>
          <t>KPROP-00449</t>
        </is>
      </c>
      <c r="B48" s="3" t="n">
        <v>46113.52474537037</v>
      </c>
      <c r="C48" s="3" t="n">
        <v>46113</v>
      </c>
      <c r="D48" s="2" t="inlineStr">
        <is>
          <t>Paul Skenes</t>
        </is>
      </c>
      <c r="E48" s="2" t="n">
        <v>134</v>
      </c>
      <c r="F48" s="2" t="n">
        <v>113</v>
      </c>
      <c r="G48" s="2" t="inlineStr">
        <is>
          <t>Away</t>
        </is>
      </c>
      <c r="H48" s="2" t="inlineStr">
        <is>
          <t>betmgm</t>
        </is>
      </c>
      <c r="I48" s="4" t="n"/>
      <c r="J48" s="4" t="n"/>
      <c r="K48" s="4" t="n">
        <v>-120</v>
      </c>
      <c r="L48" s="4" t="n">
        <v>-120</v>
      </c>
      <c r="M48" s="5" t="n">
        <v>7.5</v>
      </c>
      <c r="N48" s="5" t="n">
        <v>6.93462371899328</v>
      </c>
      <c r="O48" s="5" t="n">
        <v>7.5</v>
      </c>
      <c r="P48" s="5" t="n">
        <v>0.5653762810067198</v>
      </c>
      <c r="Q48" s="6" t="n">
        <v>0.1154991599637157</v>
      </c>
      <c r="R48" s="6" t="n">
        <v>0.6084540872529358</v>
      </c>
      <c r="S48" s="6" t="n">
        <v>0.5242214532871973</v>
      </c>
      <c r="T48" s="2" t="inlineStr">
        <is>
          <t>Under</t>
        </is>
      </c>
      <c r="U48" s="4" t="n">
        <v>-120</v>
      </c>
      <c r="V48" s="2" t="n">
        <v>1.833333333333333</v>
      </c>
      <c r="W48" s="4" t="n">
        <v>-120</v>
      </c>
      <c r="X48" s="2" t="n">
        <v>1</v>
      </c>
      <c r="Y48" s="5" t="n">
        <v>0.8333333333333335</v>
      </c>
      <c r="Z48" s="7" t="n">
        <v>100</v>
      </c>
      <c r="AA48" s="7">
        <f>Y48*Z48</f>
        <v/>
      </c>
      <c r="AB48" s="6">
        <f>IF(Z48=0,0,AA48/Z48)</f>
        <v/>
      </c>
      <c r="AC48" s="6" t="n"/>
      <c r="AD48" s="2" t="inlineStr">
        <is>
          <t>Win</t>
        </is>
      </c>
      <c r="AE48" s="6">
        <f>IF((COUNTIF($AD$2:AD48,"Win")+COUNTIF($AD$2:AD48,"Loss"))=0,0,COUNTIF($AD$2:AD48,"Win")/(COUNTIF($AD$2:AD48,"Win")+COUNTIF($AD$2:AD48,"Loss")))</f>
        <v/>
      </c>
      <c r="AF48" s="6">
        <f>SUM($Y$2:Y48)/SUM($X$2:X48)</f>
        <v/>
      </c>
      <c r="AG48" s="5">
        <f>SUM($Y$2:Y48)</f>
        <v/>
      </c>
      <c r="AH48" s="7">
        <f>10000.0+SUM($AA$2:AA48)</f>
        <v/>
      </c>
      <c r="AI48" s="2" t="n">
        <v>2026</v>
      </c>
      <c r="AJ48" s="2" t="inlineStr">
        <is>
          <t>2026-04</t>
        </is>
      </c>
      <c r="AK48" s="2" t="inlineStr">
        <is>
          <t>-149 to -120</t>
        </is>
      </c>
      <c r="AL48" s="2" t="inlineStr">
        <is>
          <t>2026 Frozen Test</t>
        </is>
      </c>
      <c r="AM48" s="6" t="n">
        <v>0.1385989919564589</v>
      </c>
    </row>
    <row r="49">
      <c r="A49" s="2" t="inlineStr">
        <is>
          <t>KPROP-00450</t>
        </is>
      </c>
      <c r="B49" s="3" t="n">
        <v>46113.65321759259</v>
      </c>
      <c r="C49" s="3" t="n">
        <v>46113</v>
      </c>
      <c r="D49" s="2" t="inlineStr">
        <is>
          <t>Tarik Skubal</t>
        </is>
      </c>
      <c r="E49" s="2" t="n">
        <v>116</v>
      </c>
      <c r="F49" s="2" t="n">
        <v>109</v>
      </c>
      <c r="G49" s="2" t="inlineStr">
        <is>
          <t>Away</t>
        </is>
      </c>
      <c r="H49" s="2" t="inlineStr">
        <is>
          <t>bovada</t>
        </is>
      </c>
      <c r="I49" s="4" t="n"/>
      <c r="J49" s="4" t="n"/>
      <c r="K49" s="4" t="n">
        <v>110</v>
      </c>
      <c r="L49" s="4" t="n">
        <v>110</v>
      </c>
      <c r="M49" s="5" t="n">
        <v>6.5</v>
      </c>
      <c r="N49" s="5" t="n">
        <v>5.836025580477192</v>
      </c>
      <c r="O49" s="5" t="n">
        <v>6.5</v>
      </c>
      <c r="P49" s="5" t="n">
        <v>0.6639744195228081</v>
      </c>
      <c r="Q49" s="6" t="n">
        <v>0.3285039692271137</v>
      </c>
      <c r="R49" s="6" t="n">
        <v>0.632620937727197</v>
      </c>
      <c r="S49" s="6" t="n">
        <v>0.449438202247191</v>
      </c>
      <c r="T49" s="2" t="inlineStr">
        <is>
          <t>Under</t>
        </is>
      </c>
      <c r="U49" s="4" t="n">
        <v>110</v>
      </c>
      <c r="V49" s="2" t="n">
        <v>2.1</v>
      </c>
      <c r="W49" s="4" t="n">
        <v>110</v>
      </c>
      <c r="X49" s="2" t="n">
        <v>1</v>
      </c>
      <c r="Y49" s="5" t="n">
        <v>1.1</v>
      </c>
      <c r="Z49" s="7" t="n">
        <v>100</v>
      </c>
      <c r="AA49" s="7">
        <f>Y49*Z49</f>
        <v/>
      </c>
      <c r="AB49" s="6">
        <f>IF(Z49=0,0,AA49/Z49)</f>
        <v/>
      </c>
      <c r="AC49" s="6" t="n"/>
      <c r="AD49" s="2" t="inlineStr">
        <is>
          <t>Win</t>
        </is>
      </c>
      <c r="AE49" s="6">
        <f>IF((COUNTIF($AD$2:AD49,"Win")+COUNTIF($AD$2:AD49,"Loss"))=0,0,COUNTIF($AD$2:AD49,"Win")/(COUNTIF($AD$2:AD49,"Win")+COUNTIF($AD$2:AD49,"Loss")))</f>
        <v/>
      </c>
      <c r="AF49" s="6">
        <f>SUM($Y$2:Y49)/SUM($X$2:X49)</f>
        <v/>
      </c>
      <c r="AG49" s="5">
        <f>SUM($Y$2:Y49)</f>
        <v/>
      </c>
      <c r="AH49" s="7">
        <f>10000.0+SUM($AA$2:AA49)</f>
        <v/>
      </c>
      <c r="AI49" s="2" t="n">
        <v>2026</v>
      </c>
      <c r="AJ49" s="2" t="inlineStr">
        <is>
          <t>2026-04</t>
        </is>
      </c>
      <c r="AK49" s="2" t="inlineStr">
        <is>
          <t>+100 to +120</t>
        </is>
      </c>
      <c r="AL49" s="2" t="inlineStr">
        <is>
          <t>2026 Frozen Test</t>
        </is>
      </c>
      <c r="AM49" s="6" t="n">
        <v>0.2986399720246488</v>
      </c>
    </row>
    <row r="50">
      <c r="A50" s="2" t="inlineStr">
        <is>
          <t>KPROP-00451</t>
        </is>
      </c>
      <c r="B50" s="3" t="n">
        <v>46113.65321759259</v>
      </c>
      <c r="C50" s="3" t="n">
        <v>46113</v>
      </c>
      <c r="D50" s="2" t="inlineStr">
        <is>
          <t>Tarik Skubal</t>
        </is>
      </c>
      <c r="E50" s="2" t="n">
        <v>116</v>
      </c>
      <c r="F50" s="2" t="n">
        <v>109</v>
      </c>
      <c r="G50" s="2" t="inlineStr">
        <is>
          <t>Away</t>
        </is>
      </c>
      <c r="H50" s="2" t="inlineStr">
        <is>
          <t>draftkings</t>
        </is>
      </c>
      <c r="I50" s="4" t="n"/>
      <c r="J50" s="4" t="n"/>
      <c r="K50" s="4" t="n">
        <v>-137</v>
      </c>
      <c r="L50" s="4" t="n">
        <v>-137</v>
      </c>
      <c r="M50" s="5" t="n">
        <v>7.5</v>
      </c>
      <c r="N50" s="5" t="n">
        <v>5.836025580477192</v>
      </c>
      <c r="O50" s="5" t="n">
        <v>7.5</v>
      </c>
      <c r="P50" s="5" t="n">
        <v>1.663974419522808</v>
      </c>
      <c r="Q50" s="6" t="n">
        <v>0.325522050395525</v>
      </c>
      <c r="R50" s="6" t="n">
        <v>0.7662300460092275</v>
      </c>
      <c r="S50" s="6" t="n">
        <v>0.5811240721102863</v>
      </c>
      <c r="T50" s="2" t="inlineStr">
        <is>
          <t>Under</t>
        </is>
      </c>
      <c r="U50" s="4" t="n">
        <v>-137</v>
      </c>
      <c r="V50" s="2" t="n">
        <v>1.72992700729927</v>
      </c>
      <c r="W50" s="4" t="n">
        <v>-137</v>
      </c>
      <c r="X50" s="2" t="n">
        <v>1</v>
      </c>
      <c r="Y50" s="5" t="n">
        <v>0.7299270072992701</v>
      </c>
      <c r="Z50" s="7" t="n">
        <v>100</v>
      </c>
      <c r="AA50" s="7">
        <f>Y50*Z50</f>
        <v/>
      </c>
      <c r="AB50" s="6">
        <f>IF(Z50=0,0,AA50/Z50)</f>
        <v/>
      </c>
      <c r="AC50" s="6" t="n"/>
      <c r="AD50" s="2" t="inlineStr">
        <is>
          <t>Win</t>
        </is>
      </c>
      <c r="AE50" s="6">
        <f>IF((COUNTIF($AD$2:AD50,"Win")+COUNTIF($AD$2:AD50,"Loss"))=0,0,COUNTIF($AD$2:AD50,"Win")/(COUNTIF($AD$2:AD50,"Win")+COUNTIF($AD$2:AD50,"Loss")))</f>
        <v/>
      </c>
      <c r="AF50" s="6">
        <f>SUM($Y$2:Y50)/SUM($X$2:X50)</f>
        <v/>
      </c>
      <c r="AG50" s="5">
        <f>SUM($Y$2:Y50)</f>
        <v/>
      </c>
      <c r="AH50" s="7">
        <f>10000.0+SUM($AA$2:AA50)</f>
        <v/>
      </c>
      <c r="AI50" s="2" t="n">
        <v>2026</v>
      </c>
      <c r="AJ50" s="2" t="inlineStr">
        <is>
          <t>2026-04</t>
        </is>
      </c>
      <c r="AK50" s="2" t="inlineStr">
        <is>
          <t>-149 to -120</t>
        </is>
      </c>
      <c r="AL50" s="2" t="inlineStr">
        <is>
          <t>2026 Frozen Test</t>
        </is>
      </c>
      <c r="AM50" s="6" t="n">
        <v>0.4459652090418692</v>
      </c>
    </row>
    <row r="51">
      <c r="A51" s="2" t="inlineStr">
        <is>
          <t>KPROP-00452</t>
        </is>
      </c>
      <c r="B51" s="3" t="n">
        <v>46113.59418981482</v>
      </c>
      <c r="C51" s="3" t="n">
        <v>46113</v>
      </c>
      <c r="D51" s="2" t="inlineStr">
        <is>
          <t>Yusei Kikuchi</t>
        </is>
      </c>
      <c r="E51" s="2" t="n">
        <v>108</v>
      </c>
      <c r="F51" s="2" t="n">
        <v>112</v>
      </c>
      <c r="G51" s="2" t="inlineStr">
        <is>
          <t>Away</t>
        </is>
      </c>
      <c r="H51" s="2" t="inlineStr">
        <is>
          <t>betmgm</t>
        </is>
      </c>
      <c r="I51" s="4" t="n"/>
      <c r="J51" s="4" t="n"/>
      <c r="K51" s="4" t="n">
        <v>120</v>
      </c>
      <c r="L51" s="4" t="n">
        <v>120</v>
      </c>
      <c r="M51" s="5" t="n">
        <v>4.5</v>
      </c>
      <c r="N51" s="5" t="n">
        <v>4.438645568562416</v>
      </c>
      <c r="O51" s="5" t="n">
        <v>4.5</v>
      </c>
      <c r="P51" s="5" t="n">
        <v>0.06135443143758401</v>
      </c>
      <c r="Q51" s="6" t="n">
        <v>0.1963323672915608</v>
      </c>
      <c r="R51" s="6" t="n">
        <v>0.5437874396779822</v>
      </c>
      <c r="S51" s="6" t="n">
        <v>0.4545454545454545</v>
      </c>
      <c r="T51" s="2" t="inlineStr">
        <is>
          <t>Under</t>
        </is>
      </c>
      <c r="U51" s="4" t="n">
        <v>120</v>
      </c>
      <c r="V51" s="2" t="n">
        <v>2.2</v>
      </c>
      <c r="W51" s="4" t="n">
        <v>120</v>
      </c>
      <c r="X51" s="2" t="n">
        <v>1</v>
      </c>
      <c r="Y51" s="5" t="n">
        <v>-1</v>
      </c>
      <c r="Z51" s="7" t="n">
        <v>100</v>
      </c>
      <c r="AA51" s="7">
        <f>Y51*Z51</f>
        <v/>
      </c>
      <c r="AB51" s="6">
        <f>IF(Z51=0,0,AA51/Z51)</f>
        <v/>
      </c>
      <c r="AC51" s="6" t="n"/>
      <c r="AD51" s="2" t="inlineStr">
        <is>
          <t>Loss</t>
        </is>
      </c>
      <c r="AE51" s="6">
        <f>IF((COUNTIF($AD$2:AD51,"Win")+COUNTIF($AD$2:AD51,"Loss"))=0,0,COUNTIF($AD$2:AD51,"Win")/(COUNTIF($AD$2:AD51,"Win")+COUNTIF($AD$2:AD51,"Loss")))</f>
        <v/>
      </c>
      <c r="AF51" s="6">
        <f>SUM($Y$2:Y51)/SUM($X$2:X51)</f>
        <v/>
      </c>
      <c r="AG51" s="5">
        <f>SUM($Y$2:Y51)</f>
        <v/>
      </c>
      <c r="AH51" s="7">
        <f>10000.0+SUM($AA$2:AA51)</f>
        <v/>
      </c>
      <c r="AI51" s="2" t="n">
        <v>2026</v>
      </c>
      <c r="AJ51" s="2" t="inlineStr">
        <is>
          <t>2026-04</t>
        </is>
      </c>
      <c r="AK51" s="2" t="inlineStr">
        <is>
          <t>+100 to +120</t>
        </is>
      </c>
      <c r="AL51" s="2" t="inlineStr">
        <is>
          <t>2026 Frozen Test</t>
        </is>
      </c>
      <c r="AM51" s="6" t="n">
        <v>0.1636103060763006</v>
      </c>
    </row>
    <row r="52">
      <c r="A52" s="2" t="inlineStr">
        <is>
          <t>KPROP-00453</t>
        </is>
      </c>
      <c r="B52" s="3" t="n">
        <v>46113.65321759259</v>
      </c>
      <c r="C52" s="3" t="n">
        <v>46113</v>
      </c>
      <c r="D52" s="2" t="inlineStr">
        <is>
          <t>Zac Gallen</t>
        </is>
      </c>
      <c r="E52" s="2" t="n">
        <v>109</v>
      </c>
      <c r="F52" s="2" t="n">
        <v>116</v>
      </c>
      <c r="G52" s="2" t="inlineStr">
        <is>
          <t>Home</t>
        </is>
      </c>
      <c r="H52" s="2" t="inlineStr">
        <is>
          <t>fanduel</t>
        </is>
      </c>
      <c r="I52" s="4" t="n"/>
      <c r="J52" s="4" t="n"/>
      <c r="K52" s="4" t="n">
        <v>112</v>
      </c>
      <c r="L52" s="4" t="n">
        <v>112</v>
      </c>
      <c r="M52" s="5" t="n">
        <v>5.5</v>
      </c>
      <c r="N52" s="5" t="n">
        <v>5.111385202005621</v>
      </c>
      <c r="O52" s="5" t="n">
        <v>5.5</v>
      </c>
      <c r="P52" s="5" t="n">
        <v>0.3886147979943795</v>
      </c>
      <c r="Q52" s="6" t="n">
        <v>0.2644192559798024</v>
      </c>
      <c r="R52" s="6" t="n">
        <v>0.5964241773489634</v>
      </c>
      <c r="S52" s="6" t="n">
        <v>0.4516676961087092</v>
      </c>
      <c r="T52" s="2" t="inlineStr">
        <is>
          <t>Under</t>
        </is>
      </c>
      <c r="U52" s="4" t="n">
        <v>112</v>
      </c>
      <c r="V52" s="2" t="n">
        <v>2.12</v>
      </c>
      <c r="W52" s="4" t="n">
        <v>112</v>
      </c>
      <c r="X52" s="2" t="n">
        <v>1</v>
      </c>
      <c r="Y52" s="5" t="n">
        <v>1.12</v>
      </c>
      <c r="Z52" s="7" t="n">
        <v>100</v>
      </c>
      <c r="AA52" s="7">
        <f>Y52*Z52</f>
        <v/>
      </c>
      <c r="AB52" s="6">
        <f>IF(Z52=0,0,AA52/Z52)</f>
        <v/>
      </c>
      <c r="AC52" s="6" t="n"/>
      <c r="AD52" s="2" t="inlineStr">
        <is>
          <t>Win</t>
        </is>
      </c>
      <c r="AE52" s="6">
        <f>IF((COUNTIF($AD$2:AD52,"Win")+COUNTIF($AD$2:AD52,"Loss"))=0,0,COUNTIF($AD$2:AD52,"Win")/(COUNTIF($AD$2:AD52,"Win")+COUNTIF($AD$2:AD52,"Loss")))</f>
        <v/>
      </c>
      <c r="AF52" s="6">
        <f>SUM($Y$2:Y52)/SUM($X$2:X52)</f>
        <v/>
      </c>
      <c r="AG52" s="5">
        <f>SUM($Y$2:Y52)</f>
        <v/>
      </c>
      <c r="AH52" s="7">
        <f>10000.0+SUM($AA$2:AA52)</f>
        <v/>
      </c>
      <c r="AI52" s="2" t="n">
        <v>2026</v>
      </c>
      <c r="AJ52" s="2" t="inlineStr">
        <is>
          <t>2026-04</t>
        </is>
      </c>
      <c r="AK52" s="2" t="inlineStr">
        <is>
          <t>+100 to +120</t>
        </is>
      </c>
      <c r="AL52" s="2" t="inlineStr">
        <is>
          <t>2026 Frozen Test</t>
        </is>
      </c>
      <c r="AM52" s="6" t="n">
        <v>0.2360886214105379</v>
      </c>
    </row>
    <row r="53">
      <c r="A53" s="2" t="inlineStr">
        <is>
          <t>KPROP-00454</t>
        </is>
      </c>
      <c r="B53" s="3" t="n">
        <v>46114.58724537037</v>
      </c>
      <c r="C53" s="3" t="n">
        <v>46114</v>
      </c>
      <c r="D53" s="2" t="inlineStr">
        <is>
          <t>Cole Ragans</t>
        </is>
      </c>
      <c r="E53" s="2" t="n">
        <v>118</v>
      </c>
      <c r="F53" s="2" t="n">
        <v>142</v>
      </c>
      <c r="G53" s="2" t="inlineStr">
        <is>
          <t>Home</t>
        </is>
      </c>
      <c r="H53" s="2" t="inlineStr">
        <is>
          <t>betmgm</t>
        </is>
      </c>
      <c r="I53" s="4" t="n"/>
      <c r="J53" s="4" t="n"/>
      <c r="K53" s="4" t="n">
        <v>130</v>
      </c>
      <c r="L53" s="4" t="n">
        <v>130</v>
      </c>
      <c r="M53" s="5" t="n">
        <v>6.5</v>
      </c>
      <c r="N53" s="5" t="n">
        <v>6.268911092784728</v>
      </c>
      <c r="O53" s="5" t="n">
        <v>6.5</v>
      </c>
      <c r="P53" s="5" t="n">
        <v>0.2310889072152724</v>
      </c>
      <c r="Q53" s="6" t="n">
        <v>0.2953465629667943</v>
      </c>
      <c r="R53" s="6" t="n">
        <v>0.5631941578116497</v>
      </c>
      <c r="S53" s="6" t="n">
        <v>0.4059040590405904</v>
      </c>
      <c r="T53" s="2" t="inlineStr">
        <is>
          <t>Under</t>
        </is>
      </c>
      <c r="U53" s="4" t="n">
        <v>130</v>
      </c>
      <c r="V53" s="2" t="n">
        <v>2.3</v>
      </c>
      <c r="W53" s="4" t="n">
        <v>130</v>
      </c>
      <c r="X53" s="2" t="n">
        <v>1</v>
      </c>
      <c r="Y53" s="5" t="n">
        <v>-1</v>
      </c>
      <c r="Z53" s="7" t="n">
        <v>100</v>
      </c>
      <c r="AA53" s="7">
        <f>Y53*Z53</f>
        <v/>
      </c>
      <c r="AB53" s="6">
        <f>IF(Z53=0,0,AA53/Z53)</f>
        <v/>
      </c>
      <c r="AC53" s="6" t="n"/>
      <c r="AD53" s="2" t="inlineStr">
        <is>
          <t>Loss</t>
        </is>
      </c>
      <c r="AE53" s="6">
        <f>IF((COUNTIF($AD$2:AD53,"Win")+COUNTIF($AD$2:AD53,"Loss"))=0,0,COUNTIF($AD$2:AD53,"Win")/(COUNTIF($AD$2:AD53,"Win")+COUNTIF($AD$2:AD53,"Loss")))</f>
        <v/>
      </c>
      <c r="AF53" s="6">
        <f>SUM($Y$2:Y53)/SUM($X$2:X53)</f>
        <v/>
      </c>
      <c r="AG53" s="5">
        <f>SUM($Y$2:Y53)</f>
        <v/>
      </c>
      <c r="AH53" s="7">
        <f>10000.0+SUM($AA$2:AA53)</f>
        <v/>
      </c>
      <c r="AI53" s="2" t="n">
        <v>2026</v>
      </c>
      <c r="AJ53" s="2" t="inlineStr">
        <is>
          <t>2026-04</t>
        </is>
      </c>
      <c r="AK53" s="2" t="inlineStr">
        <is>
          <t>+121 to +150</t>
        </is>
      </c>
      <c r="AL53" s="2" t="inlineStr">
        <is>
          <t>2026 Frozen Test</t>
        </is>
      </c>
      <c r="AM53" s="6" t="n">
        <v>0.227189663820611</v>
      </c>
    </row>
    <row r="54">
      <c r="A54" s="2" t="inlineStr">
        <is>
          <t>KPROP-00455</t>
        </is>
      </c>
      <c r="B54" s="3" t="n">
        <v>46114.58724537037</v>
      </c>
      <c r="C54" s="3" t="n">
        <v>46114</v>
      </c>
      <c r="D54" s="2" t="inlineStr">
        <is>
          <t>Cole Ragans</t>
        </is>
      </c>
      <c r="E54" s="2" t="n">
        <v>118</v>
      </c>
      <c r="F54" s="2" t="n">
        <v>142</v>
      </c>
      <c r="G54" s="2" t="inlineStr">
        <is>
          <t>Home</t>
        </is>
      </c>
      <c r="H54" s="2" t="inlineStr">
        <is>
          <t>draftkings</t>
        </is>
      </c>
      <c r="I54" s="4" t="n"/>
      <c r="J54" s="4" t="n"/>
      <c r="K54" s="4" t="n">
        <v>-133</v>
      </c>
      <c r="L54" s="4" t="n">
        <v>-133</v>
      </c>
      <c r="M54" s="5" t="n">
        <v>7.5</v>
      </c>
      <c r="N54" s="5" t="n">
        <v>6.268911092784728</v>
      </c>
      <c r="O54" s="5" t="n">
        <v>7.5</v>
      </c>
      <c r="P54" s="5" t="n">
        <v>1.231088907215272</v>
      </c>
      <c r="Q54" s="6" t="n">
        <v>0.2371814601963656</v>
      </c>
      <c r="R54" s="6" t="n">
        <v>0.7062022927301143</v>
      </c>
      <c r="S54" s="6" t="n">
        <v>0.5544421922209049</v>
      </c>
      <c r="T54" s="2" t="inlineStr">
        <is>
          <t>Under</t>
        </is>
      </c>
      <c r="U54" s="4" t="n">
        <v>-133</v>
      </c>
      <c r="V54" s="2" t="n">
        <v>1.75187969924812</v>
      </c>
      <c r="W54" s="4" t="n">
        <v>-133</v>
      </c>
      <c r="X54" s="2" t="n">
        <v>1</v>
      </c>
      <c r="Y54" s="5" t="n">
        <v>-1</v>
      </c>
      <c r="Z54" s="7" t="n">
        <v>100</v>
      </c>
      <c r="AA54" s="7">
        <f>Y54*Z54</f>
        <v/>
      </c>
      <c r="AB54" s="6">
        <f>IF(Z54=0,0,AA54/Z54)</f>
        <v/>
      </c>
      <c r="AC54" s="6" t="n"/>
      <c r="AD54" s="2" t="inlineStr">
        <is>
          <t>Loss</t>
        </is>
      </c>
      <c r="AE54" s="6">
        <f>IF((COUNTIF($AD$2:AD54,"Win")+COUNTIF($AD$2:AD54,"Loss"))=0,0,COUNTIF($AD$2:AD54,"Win")/(COUNTIF($AD$2:AD54,"Win")+COUNTIF($AD$2:AD54,"Loss")))</f>
        <v/>
      </c>
      <c r="AF54" s="6">
        <f>SUM($Y$2:Y54)/SUM($X$2:X54)</f>
        <v/>
      </c>
      <c r="AG54" s="5">
        <f>SUM($Y$2:Y54)</f>
        <v/>
      </c>
      <c r="AH54" s="7">
        <f>10000.0+SUM($AA$2:AA54)</f>
        <v/>
      </c>
      <c r="AI54" s="2" t="n">
        <v>2026</v>
      </c>
      <c r="AJ54" s="2" t="inlineStr">
        <is>
          <t>2026-04</t>
        </is>
      </c>
      <c r="AK54" s="2" t="inlineStr">
        <is>
          <t>-149 to -120</t>
        </is>
      </c>
      <c r="AL54" s="2" t="inlineStr">
        <is>
          <t>2026 Frozen Test</t>
        </is>
      </c>
      <c r="AM54" s="6" t="n">
        <v>0.3154513420611662</v>
      </c>
    </row>
    <row r="55">
      <c r="A55" s="2" t="inlineStr">
        <is>
          <t>KPROP-00456</t>
        </is>
      </c>
      <c r="B55" s="3" t="n">
        <v>46115.66733796296</v>
      </c>
      <c r="C55" s="3" t="n">
        <v>46115</v>
      </c>
      <c r="D55" s="2" t="inlineStr">
        <is>
          <t>Brady Singer</t>
        </is>
      </c>
      <c r="E55" s="2" t="n">
        <v>113</v>
      </c>
      <c r="F55" s="2" t="n">
        <v>140</v>
      </c>
      <c r="G55" s="2" t="inlineStr">
        <is>
          <t>Away</t>
        </is>
      </c>
      <c r="H55" s="2" t="inlineStr">
        <is>
          <t>draftkings</t>
        </is>
      </c>
      <c r="I55" s="4" t="n"/>
      <c r="J55" s="4" t="n"/>
      <c r="K55" s="4" t="n">
        <v>127</v>
      </c>
      <c r="L55" s="4" t="n">
        <v>127</v>
      </c>
      <c r="M55" s="5" t="n">
        <v>4.5</v>
      </c>
      <c r="N55" s="5" t="n">
        <v>4.564735858728438</v>
      </c>
      <c r="O55" s="5" t="n">
        <v>4.5</v>
      </c>
      <c r="P55" s="5" t="n">
        <v>-0.06473585872843834</v>
      </c>
      <c r="Q55" s="6" t="n">
        <v>0.1800866853170718</v>
      </c>
      <c r="R55" s="6" t="n">
        <v>0.5198619759106043</v>
      </c>
      <c r="S55" s="6" t="n">
        <v>0.4302617425600573</v>
      </c>
      <c r="T55" s="2" t="inlineStr">
        <is>
          <t>Under</t>
        </is>
      </c>
      <c r="U55" s="4" t="n">
        <v>127</v>
      </c>
      <c r="V55" s="2" t="n">
        <v>2.27</v>
      </c>
      <c r="W55" s="4" t="n">
        <v>127</v>
      </c>
      <c r="X55" s="2" t="n">
        <v>1</v>
      </c>
      <c r="Y55" s="5" t="n">
        <v>-1</v>
      </c>
      <c r="Z55" s="7" t="n">
        <v>100</v>
      </c>
      <c r="AA55" s="7">
        <f>Y55*Z55</f>
        <v/>
      </c>
      <c r="AB55" s="6">
        <f>IF(Z55=0,0,AA55/Z55)</f>
        <v/>
      </c>
      <c r="AC55" s="6" t="n"/>
      <c r="AD55" s="2" t="inlineStr">
        <is>
          <t>Loss</t>
        </is>
      </c>
      <c r="AE55" s="6">
        <f>IF((COUNTIF($AD$2:AD55,"Win")+COUNTIF($AD$2:AD55,"Loss"))=0,0,COUNTIF($AD$2:AD55,"Win")/(COUNTIF($AD$2:AD55,"Win")+COUNTIF($AD$2:AD55,"Loss")))</f>
        <v/>
      </c>
      <c r="AF55" s="6">
        <f>SUM($Y$2:Y55)/SUM($X$2:X55)</f>
        <v/>
      </c>
      <c r="AG55" s="5">
        <f>SUM($Y$2:Y55)</f>
        <v/>
      </c>
      <c r="AH55" s="7">
        <f>10000.0+SUM($AA$2:AA55)</f>
        <v/>
      </c>
      <c r="AI55" s="2" t="n">
        <v>2026</v>
      </c>
      <c r="AJ55" s="2" t="inlineStr">
        <is>
          <t>2026-04</t>
        </is>
      </c>
      <c r="AK55" s="2" t="inlineStr">
        <is>
          <t>+121 to +150</t>
        </is>
      </c>
      <c r="AL55" s="2" t="inlineStr">
        <is>
          <t>2026 Frozen Test</t>
        </is>
      </c>
      <c r="AM55" s="6" t="n">
        <v>0.1418005396197416</v>
      </c>
    </row>
    <row r="56">
      <c r="A56" s="2" t="inlineStr">
        <is>
          <t>KPROP-00457</t>
        </is>
      </c>
      <c r="B56" s="3" t="n">
        <v>46115.66733796296</v>
      </c>
      <c r="C56" s="3" t="n">
        <v>46115</v>
      </c>
      <c r="D56" s="2" t="inlineStr">
        <is>
          <t>Brady Singer</t>
        </is>
      </c>
      <c r="E56" s="2" t="n">
        <v>113</v>
      </c>
      <c r="F56" s="2" t="n">
        <v>140</v>
      </c>
      <c r="G56" s="2" t="inlineStr">
        <is>
          <t>Away</t>
        </is>
      </c>
      <c r="H56" s="2" t="inlineStr">
        <is>
          <t>fanduel</t>
        </is>
      </c>
      <c r="I56" s="4" t="n"/>
      <c r="J56" s="4" t="n"/>
      <c r="K56" s="4" t="n">
        <v>-158</v>
      </c>
      <c r="L56" s="4" t="n">
        <v>-158</v>
      </c>
      <c r="M56" s="5" t="n">
        <v>5.5</v>
      </c>
      <c r="N56" s="5" t="n">
        <v>4.564735858728438</v>
      </c>
      <c r="O56" s="5" t="n">
        <v>5.5</v>
      </c>
      <c r="P56" s="5" t="n">
        <v>0.9352641412715617</v>
      </c>
      <c r="Q56" s="6" t="n">
        <v>0.1297033717416642</v>
      </c>
      <c r="R56" s="6" t="n">
        <v>0.6918338478107866</v>
      </c>
      <c r="S56" s="6" t="n">
        <v>0.5848084969423882</v>
      </c>
      <c r="T56" s="2" t="inlineStr">
        <is>
          <t>Under</t>
        </is>
      </c>
      <c r="U56" s="4" t="n">
        <v>-158</v>
      </c>
      <c r="V56" s="2" t="n">
        <v>1.632911392405063</v>
      </c>
      <c r="W56" s="4" t="n">
        <v>-158</v>
      </c>
      <c r="X56" s="2" t="n">
        <v>1</v>
      </c>
      <c r="Y56" s="5" t="n">
        <v>0.6329113924050633</v>
      </c>
      <c r="Z56" s="7" t="n">
        <v>100</v>
      </c>
      <c r="AA56" s="7">
        <f>Y56*Z56</f>
        <v/>
      </c>
      <c r="AB56" s="6">
        <f>IF(Z56=0,0,AA56/Z56)</f>
        <v/>
      </c>
      <c r="AC56" s="6" t="n"/>
      <c r="AD56" s="2" t="inlineStr">
        <is>
          <t>Win</t>
        </is>
      </c>
      <c r="AE56" s="6">
        <f>IF((COUNTIF($AD$2:AD56,"Win")+COUNTIF($AD$2:AD56,"Loss"))=0,0,COUNTIF($AD$2:AD56,"Win")/(COUNTIF($AD$2:AD56,"Win")+COUNTIF($AD$2:AD56,"Loss")))</f>
        <v/>
      </c>
      <c r="AF56" s="6">
        <f>SUM($Y$2:Y56)/SUM($X$2:X56)</f>
        <v/>
      </c>
      <c r="AG56" s="5">
        <f>SUM($Y$2:Y56)</f>
        <v/>
      </c>
      <c r="AH56" s="7">
        <f>10000.0+SUM($AA$2:AA56)</f>
        <v/>
      </c>
      <c r="AI56" s="2" t="n">
        <v>2026</v>
      </c>
      <c r="AJ56" s="2" t="inlineStr">
        <is>
          <t>2026-04</t>
        </is>
      </c>
      <c r="AK56" s="2" t="inlineStr">
        <is>
          <t>&lt;= -150</t>
        </is>
      </c>
      <c r="AL56" s="2" t="inlineStr">
        <is>
          <t>2026 Frozen Test</t>
        </is>
      </c>
      <c r="AM56" s="6" t="n">
        <v>0.2049313273518295</v>
      </c>
    </row>
    <row r="57">
      <c r="A57" s="2" t="inlineStr">
        <is>
          <t>KPROP-00458</t>
        </is>
      </c>
      <c r="B57" s="3" t="n">
        <v>46115.5422800926</v>
      </c>
      <c r="C57" s="3" t="n">
        <v>46115</v>
      </c>
      <c r="D57" s="2" t="inlineStr">
        <is>
          <t>Emmet Sheehan</t>
        </is>
      </c>
      <c r="E57" s="2" t="n">
        <v>119</v>
      </c>
      <c r="F57" s="2" t="n">
        <v>120</v>
      </c>
      <c r="G57" s="2" t="inlineStr">
        <is>
          <t>Away</t>
        </is>
      </c>
      <c r="H57" s="2" t="inlineStr">
        <is>
          <t>draftkings</t>
        </is>
      </c>
      <c r="I57" s="4" t="n"/>
      <c r="J57" s="4" t="n"/>
      <c r="K57" s="4" t="n">
        <v>113</v>
      </c>
      <c r="L57" s="4" t="n">
        <v>113</v>
      </c>
      <c r="M57" s="5" t="n">
        <v>5.5</v>
      </c>
      <c r="N57" s="5" t="n">
        <v>5.263230678832806</v>
      </c>
      <c r="O57" s="5" t="n">
        <v>5.5</v>
      </c>
      <c r="P57" s="5" t="n">
        <v>0.236769321167194</v>
      </c>
      <c r="Q57" s="6" t="n">
        <v>0.2138358988765222</v>
      </c>
      <c r="R57" s="6" t="n">
        <v>0.569876008862217</v>
      </c>
      <c r="S57" s="6" t="n">
        <v>0.4580152671755726</v>
      </c>
      <c r="T57" s="2" t="inlineStr">
        <is>
          <t>Under</t>
        </is>
      </c>
      <c r="U57" s="4" t="n">
        <v>113</v>
      </c>
      <c r="V57" s="2" t="n">
        <v>2.13</v>
      </c>
      <c r="W57" s="4" t="n">
        <v>113</v>
      </c>
      <c r="X57" s="2" t="n">
        <v>1</v>
      </c>
      <c r="Y57" s="5" t="n">
        <v>1.13</v>
      </c>
      <c r="Z57" s="7" t="n">
        <v>100</v>
      </c>
      <c r="AA57" s="7">
        <f>Y57*Z57</f>
        <v/>
      </c>
      <c r="AB57" s="6">
        <f>IF(Z57=0,0,AA57/Z57)</f>
        <v/>
      </c>
      <c r="AC57" s="6" t="n"/>
      <c r="AD57" s="2" t="inlineStr">
        <is>
          <t>Win</t>
        </is>
      </c>
      <c r="AE57" s="6">
        <f>IF((COUNTIF($AD$2:AD57,"Win")+COUNTIF($AD$2:AD57,"Loss"))=0,0,COUNTIF($AD$2:AD57,"Win")/(COUNTIF($AD$2:AD57,"Win")+COUNTIF($AD$2:AD57,"Loss")))</f>
        <v/>
      </c>
      <c r="AF57" s="6">
        <f>SUM($Y$2:Y57)/SUM($X$2:X57)</f>
        <v/>
      </c>
      <c r="AG57" s="5">
        <f>SUM($Y$2:Y57)</f>
        <v/>
      </c>
      <c r="AH57" s="7">
        <f>10000.0+SUM($AA$2:AA57)</f>
        <v/>
      </c>
      <c r="AI57" s="2" t="n">
        <v>2026</v>
      </c>
      <c r="AJ57" s="2" t="inlineStr">
        <is>
          <t>2026-04</t>
        </is>
      </c>
      <c r="AK57" s="2" t="inlineStr">
        <is>
          <t>+100 to +120</t>
        </is>
      </c>
      <c r="AL57" s="2" t="inlineStr">
        <is>
          <t>2026 Frozen Test</t>
        </is>
      </c>
      <c r="AM57" s="6" t="n">
        <v>0.1892353087402852</v>
      </c>
    </row>
    <row r="58">
      <c r="A58" s="2" t="inlineStr">
        <is>
          <t>KPROP-00459</t>
        </is>
      </c>
      <c r="B58" s="3" t="n">
        <v>46115.54905092593</v>
      </c>
      <c r="C58" s="3" t="n">
        <v>46115</v>
      </c>
      <c r="D58" s="2" t="inlineStr">
        <is>
          <t>Framber Valdez</t>
        </is>
      </c>
      <c r="E58" s="2" t="n">
        <v>116</v>
      </c>
      <c r="F58" s="2" t="n">
        <v>138</v>
      </c>
      <c r="G58" s="2" t="inlineStr">
        <is>
          <t>Home</t>
        </is>
      </c>
      <c r="H58" s="2" t="inlineStr">
        <is>
          <t>draftkings</t>
        </is>
      </c>
      <c r="I58" s="4" t="n"/>
      <c r="J58" s="4" t="n"/>
      <c r="K58" s="4" t="n">
        <v>104</v>
      </c>
      <c r="L58" s="4" t="n">
        <v>104</v>
      </c>
      <c r="M58" s="5" t="n">
        <v>5.5</v>
      </c>
      <c r="N58" s="5" t="n">
        <v>4.911641371903029</v>
      </c>
      <c r="O58" s="5" t="n">
        <v>5.5</v>
      </c>
      <c r="P58" s="5" t="n">
        <v>0.5883586280969713</v>
      </c>
      <c r="Q58" s="6" t="n">
        <v>0.2881797077049911</v>
      </c>
      <c r="R58" s="6" t="n">
        <v>0.6314606410318584</v>
      </c>
      <c r="S58" s="6" t="n">
        <v>0.4752354377397977</v>
      </c>
      <c r="T58" s="2" t="inlineStr">
        <is>
          <t>Under</t>
        </is>
      </c>
      <c r="U58" s="4" t="n">
        <v>104</v>
      </c>
      <c r="V58" s="2" t="n">
        <v>2.04</v>
      </c>
      <c r="W58" s="4" t="n">
        <v>104</v>
      </c>
      <c r="X58" s="2" t="n">
        <v>1</v>
      </c>
      <c r="Y58" s="5" t="n">
        <v>1.04</v>
      </c>
      <c r="Z58" s="7" t="n">
        <v>100</v>
      </c>
      <c r="AA58" s="7">
        <f>Y58*Z58</f>
        <v/>
      </c>
      <c r="AB58" s="6">
        <f>IF(Z58=0,0,AA58/Z58)</f>
        <v/>
      </c>
      <c r="AC58" s="6" t="n"/>
      <c r="AD58" s="2" t="inlineStr">
        <is>
          <t>Win</t>
        </is>
      </c>
      <c r="AE58" s="6">
        <f>IF((COUNTIF($AD$2:AD58,"Win")+COUNTIF($AD$2:AD58,"Loss"))=0,0,COUNTIF($AD$2:AD58,"Win")/(COUNTIF($AD$2:AD58,"Win")+COUNTIF($AD$2:AD58,"Loss")))</f>
        <v/>
      </c>
      <c r="AF58" s="6">
        <f>SUM($Y$2:Y58)/SUM($X$2:X58)</f>
        <v/>
      </c>
      <c r="AG58" s="5">
        <f>SUM($Y$2:Y58)</f>
        <v/>
      </c>
      <c r="AH58" s="7">
        <f>10000.0+SUM($AA$2:AA58)</f>
        <v/>
      </c>
      <c r="AI58" s="2" t="n">
        <v>2026</v>
      </c>
      <c r="AJ58" s="2" t="inlineStr">
        <is>
          <t>2026-04</t>
        </is>
      </c>
      <c r="AK58" s="2" t="inlineStr">
        <is>
          <t>+100 to +120</t>
        </is>
      </c>
      <c r="AL58" s="2" t="inlineStr">
        <is>
          <t>2026 Frozen Test</t>
        </is>
      </c>
      <c r="AM58" s="6" t="n">
        <v>0.2770958727932607</v>
      </c>
    </row>
    <row r="59">
      <c r="A59" s="2" t="inlineStr">
        <is>
          <t>KPROP-00460</t>
        </is>
      </c>
      <c r="B59" s="3" t="n">
        <v>46115.67057870371</v>
      </c>
      <c r="C59" s="3" t="n">
        <v>46115</v>
      </c>
      <c r="D59" s="2" t="inlineStr">
        <is>
          <t>Joey Cantillo</t>
        </is>
      </c>
      <c r="E59" s="2" t="n">
        <v>114</v>
      </c>
      <c r="F59" s="2" t="n">
        <v>112</v>
      </c>
      <c r="G59" s="2" t="inlineStr">
        <is>
          <t>Home</t>
        </is>
      </c>
      <c r="H59" s="2" t="inlineStr">
        <is>
          <t>bovada</t>
        </is>
      </c>
      <c r="I59" s="4" t="n"/>
      <c r="J59" s="4" t="n"/>
      <c r="K59" s="4" t="n">
        <v>120</v>
      </c>
      <c r="L59" s="4" t="n">
        <v>120</v>
      </c>
      <c r="M59" s="5" t="n">
        <v>4.5</v>
      </c>
      <c r="N59" s="5" t="n">
        <v>4.657150363538646</v>
      </c>
      <c r="O59" s="5" t="n">
        <v>4.5</v>
      </c>
      <c r="P59" s="5" t="n">
        <v>-0.157150363538646</v>
      </c>
      <c r="Q59" s="6" t="n">
        <v>0.105626851406692</v>
      </c>
      <c r="R59" s="6" t="n">
        <v>0.5025576597303145</v>
      </c>
      <c r="S59" s="6" t="n">
        <v>0.4386930983847283</v>
      </c>
      <c r="T59" s="2" t="inlineStr">
        <is>
          <t>Under</t>
        </is>
      </c>
      <c r="U59" s="4" t="n">
        <v>120</v>
      </c>
      <c r="V59" s="2" t="n">
        <v>2.2</v>
      </c>
      <c r="W59" s="4" t="n">
        <v>120</v>
      </c>
      <c r="X59" s="2" t="n">
        <v>1</v>
      </c>
      <c r="Y59" s="5" t="n">
        <v>-1</v>
      </c>
      <c r="Z59" s="7" t="n">
        <v>100</v>
      </c>
      <c r="AA59" s="7">
        <f>Y59*Z59</f>
        <v/>
      </c>
      <c r="AB59" s="6">
        <f>IF(Z59=0,0,AA59/Z59)</f>
        <v/>
      </c>
      <c r="AC59" s="6" t="n"/>
      <c r="AD59" s="2" t="inlineStr">
        <is>
          <t>Loss</t>
        </is>
      </c>
      <c r="AE59" s="6">
        <f>IF((COUNTIF($AD$2:AD59,"Win")+COUNTIF($AD$2:AD59,"Loss"))=0,0,COUNTIF($AD$2:AD59,"Win")/(COUNTIF($AD$2:AD59,"Win")+COUNTIF($AD$2:AD59,"Loss")))</f>
        <v/>
      </c>
      <c r="AF59" s="6">
        <f>SUM($Y$2:Y59)/SUM($X$2:X59)</f>
        <v/>
      </c>
      <c r="AG59" s="5">
        <f>SUM($Y$2:Y59)</f>
        <v/>
      </c>
      <c r="AH59" s="7">
        <f>10000.0+SUM($AA$2:AA59)</f>
        <v/>
      </c>
      <c r="AI59" s="2" t="n">
        <v>2026</v>
      </c>
      <c r="AJ59" s="2" t="inlineStr">
        <is>
          <t>2026-04</t>
        </is>
      </c>
      <c r="AK59" s="2" t="inlineStr">
        <is>
          <t>+100 to +120</t>
        </is>
      </c>
      <c r="AL59" s="2" t="inlineStr">
        <is>
          <t>2026 Frozen Test</t>
        </is>
      </c>
      <c r="AM59" s="6" t="n">
        <v>0.08802237617224334</v>
      </c>
    </row>
    <row r="60">
      <c r="A60" s="2" t="inlineStr">
        <is>
          <t>KPROP-00461</t>
        </is>
      </c>
      <c r="B60" s="3" t="n">
        <v>46115.67057870371</v>
      </c>
      <c r="C60" s="3" t="n">
        <v>46115</v>
      </c>
      <c r="D60" s="2" t="inlineStr">
        <is>
          <t>Joey Cantillo</t>
        </is>
      </c>
      <c r="E60" s="2" t="n">
        <v>114</v>
      </c>
      <c r="F60" s="2" t="n">
        <v>112</v>
      </c>
      <c r="G60" s="2" t="inlineStr">
        <is>
          <t>Home</t>
        </is>
      </c>
      <c r="H60" s="2" t="inlineStr">
        <is>
          <t>fanatics</t>
        </is>
      </c>
      <c r="I60" s="4" t="n"/>
      <c r="J60" s="4" t="n"/>
      <c r="K60" s="4" t="n">
        <v>-145</v>
      </c>
      <c r="L60" s="4" t="n">
        <v>-145</v>
      </c>
      <c r="M60" s="5" t="n">
        <v>5.5</v>
      </c>
      <c r="N60" s="5" t="n">
        <v>4.657150363538646</v>
      </c>
      <c r="O60" s="5" t="n">
        <v>5.5</v>
      </c>
      <c r="P60" s="5" t="n">
        <v>0.842849636461354</v>
      </c>
      <c r="Q60" s="6" t="n">
        <v>0.1419979379287</v>
      </c>
      <c r="R60" s="6" t="n">
        <v>0.6758763306108633</v>
      </c>
      <c r="S60" s="6" t="n">
        <v>0.5967078189300411</v>
      </c>
      <c r="T60" s="2" t="inlineStr">
        <is>
          <t>Under</t>
        </is>
      </c>
      <c r="U60" s="4" t="n">
        <v>-145</v>
      </c>
      <c r="V60" s="2" t="n">
        <v>1.689655172413793</v>
      </c>
      <c r="W60" s="4" t="n">
        <v>-145</v>
      </c>
      <c r="X60" s="2" t="n">
        <v>1</v>
      </c>
      <c r="Y60" s="5" t="n">
        <v>-1</v>
      </c>
      <c r="Z60" s="7" t="n">
        <v>100</v>
      </c>
      <c r="AA60" s="7">
        <f>Y60*Z60</f>
        <v/>
      </c>
      <c r="AB60" s="6">
        <f>IF(Z60=0,0,AA60/Z60)</f>
        <v/>
      </c>
      <c r="AC60" s="6" t="n"/>
      <c r="AD60" s="2" t="inlineStr">
        <is>
          <t>Loss</t>
        </is>
      </c>
      <c r="AE60" s="6">
        <f>IF((COUNTIF($AD$2:AD60,"Win")+COUNTIF($AD$2:AD60,"Loss"))=0,0,COUNTIF($AD$2:AD60,"Win")/(COUNTIF($AD$2:AD60,"Win")+COUNTIF($AD$2:AD60,"Loss")))</f>
        <v/>
      </c>
      <c r="AF60" s="6">
        <f>SUM($Y$2:Y60)/SUM($X$2:X60)</f>
        <v/>
      </c>
      <c r="AG60" s="5">
        <f>SUM($Y$2:Y60)</f>
        <v/>
      </c>
      <c r="AH60" s="7">
        <f>10000.0+SUM($AA$2:AA60)</f>
        <v/>
      </c>
      <c r="AI60" s="2" t="n">
        <v>2026</v>
      </c>
      <c r="AJ60" s="2" t="inlineStr">
        <is>
          <t>2026-04</t>
        </is>
      </c>
      <c r="AK60" s="2" t="inlineStr">
        <is>
          <t>-149 to -120</t>
        </is>
      </c>
      <c r="AL60" s="2" t="inlineStr">
        <is>
          <t>2026 Frozen Test</t>
        </is>
      </c>
      <c r="AM60" s="6" t="n">
        <v>0.205897009996615</v>
      </c>
    </row>
    <row r="61">
      <c r="A61" s="2" t="inlineStr">
        <is>
          <t>KPROP-00462</t>
        </is>
      </c>
      <c r="B61" s="3" t="n">
        <v>46115.66733796296</v>
      </c>
      <c r="C61" s="3" t="n">
        <v>46115</v>
      </c>
      <c r="D61" s="2" t="inlineStr">
        <is>
          <t>MacKenzie Gore</t>
        </is>
      </c>
      <c r="E61" s="2" t="n">
        <v>140</v>
      </c>
      <c r="F61" s="2" t="n">
        <v>113</v>
      </c>
      <c r="G61" s="2" t="inlineStr">
        <is>
          <t>Home</t>
        </is>
      </c>
      <c r="H61" s="2" t="inlineStr">
        <is>
          <t>betonlineag</t>
        </is>
      </c>
      <c r="I61" s="4" t="n"/>
      <c r="J61" s="4" t="n"/>
      <c r="K61" s="4" t="n">
        <v>120</v>
      </c>
      <c r="L61" s="4" t="n">
        <v>120</v>
      </c>
      <c r="M61" s="5" t="n">
        <v>6.5</v>
      </c>
      <c r="N61" s="5" t="n">
        <v>5.268032238185361</v>
      </c>
      <c r="O61" s="5" t="n">
        <v>6.5</v>
      </c>
      <c r="P61" s="5" t="n">
        <v>1.231967761814639</v>
      </c>
      <c r="Q61" s="6" t="n">
        <v>0.5884779681610535</v>
      </c>
      <c r="R61" s="6" t="n">
        <v>0.7220354400732061</v>
      </c>
      <c r="S61" s="6" t="n">
        <v>0.4409566517189835</v>
      </c>
      <c r="T61" s="2" t="inlineStr">
        <is>
          <t>Under</t>
        </is>
      </c>
      <c r="U61" s="4" t="n">
        <v>120</v>
      </c>
      <c r="V61" s="2" t="n">
        <v>2.2</v>
      </c>
      <c r="W61" s="4" t="n">
        <v>120</v>
      </c>
      <c r="X61" s="2" t="n">
        <v>1</v>
      </c>
      <c r="Y61" s="5" t="n">
        <v>-1</v>
      </c>
      <c r="Z61" s="7" t="n">
        <v>100</v>
      </c>
      <c r="AA61" s="7">
        <f>Y61*Z61</f>
        <v/>
      </c>
      <c r="AB61" s="6">
        <f>IF(Z61=0,0,AA61/Z61)</f>
        <v/>
      </c>
      <c r="AC61" s="6" t="n"/>
      <c r="AD61" s="2" t="inlineStr">
        <is>
          <t>Loss</t>
        </is>
      </c>
      <c r="AE61" s="6">
        <f>IF((COUNTIF($AD$2:AD61,"Win")+COUNTIF($AD$2:AD61,"Loss"))=0,0,COUNTIF($AD$2:AD61,"Win")/(COUNTIF($AD$2:AD61,"Win")+COUNTIF($AD$2:AD61,"Loss")))</f>
        <v/>
      </c>
      <c r="AF61" s="6">
        <f>SUM($Y$2:Y61)/SUM($X$2:X61)</f>
        <v/>
      </c>
      <c r="AG61" s="5">
        <f>SUM($Y$2:Y61)</f>
        <v/>
      </c>
      <c r="AH61" s="7">
        <f>10000.0+SUM($AA$2:AA61)</f>
        <v/>
      </c>
      <c r="AI61" s="2" t="n">
        <v>2026</v>
      </c>
      <c r="AJ61" s="2" t="inlineStr">
        <is>
          <t>2026-04</t>
        </is>
      </c>
      <c r="AK61" s="2" t="inlineStr">
        <is>
          <t>+100 to +120</t>
        </is>
      </c>
      <c r="AL61" s="2" t="inlineStr">
        <is>
          <t>2026 Frozen Test</t>
        </is>
      </c>
      <c r="AM61" s="6" t="n">
        <v>0.4903983068008778</v>
      </c>
    </row>
    <row r="62">
      <c r="A62" s="2" t="inlineStr">
        <is>
          <t>KPROP-00463</t>
        </is>
      </c>
      <c r="B62" s="3" t="n">
        <v>46115.59071759259</v>
      </c>
      <c r="C62" s="3" t="n">
        <v>46115</v>
      </c>
      <c r="D62" s="2" t="inlineStr">
        <is>
          <t>Michael King</t>
        </is>
      </c>
      <c r="E62" s="2" t="n">
        <v>135</v>
      </c>
      <c r="F62" s="2" t="n">
        <v>111</v>
      </c>
      <c r="G62" s="2" t="inlineStr">
        <is>
          <t>Away</t>
        </is>
      </c>
      <c r="H62" s="2" t="inlineStr">
        <is>
          <t>draftkings</t>
        </is>
      </c>
      <c r="I62" s="4" t="n"/>
      <c r="J62" s="4" t="n"/>
      <c r="K62" s="4" t="n">
        <v>118</v>
      </c>
      <c r="L62" s="4" t="n">
        <v>118</v>
      </c>
      <c r="M62" s="5" t="n">
        <v>5.5</v>
      </c>
      <c r="N62" s="5" t="n">
        <v>5.04902837978344</v>
      </c>
      <c r="O62" s="5" t="n">
        <v>5.5</v>
      </c>
      <c r="P62" s="5" t="n">
        <v>0.4509716202165599</v>
      </c>
      <c r="Q62" s="6" t="n">
        <v>0.3240414425699665</v>
      </c>
      <c r="R62" s="6" t="n">
        <v>0.6073584598944801</v>
      </c>
      <c r="S62" s="6" t="n">
        <v>0.4479937670432412</v>
      </c>
      <c r="T62" s="2" t="inlineStr">
        <is>
          <t>Under</t>
        </is>
      </c>
      <c r="U62" s="4" t="n">
        <v>118</v>
      </c>
      <c r="V62" s="2" t="n">
        <v>2.18</v>
      </c>
      <c r="W62" s="4" t="n">
        <v>118</v>
      </c>
      <c r="X62" s="2" t="n">
        <v>1</v>
      </c>
      <c r="Y62" s="5" t="n">
        <v>1.18</v>
      </c>
      <c r="Z62" s="7" t="n">
        <v>100</v>
      </c>
      <c r="AA62" s="7">
        <f>Y62*Z62</f>
        <v/>
      </c>
      <c r="AB62" s="6">
        <f>IF(Z62=0,0,AA62/Z62)</f>
        <v/>
      </c>
      <c r="AC62" s="6" t="n"/>
      <c r="AD62" s="2" t="inlineStr">
        <is>
          <t>Win</t>
        </is>
      </c>
      <c r="AE62" s="6">
        <f>IF((COUNTIF($AD$2:AD62,"Win")+COUNTIF($AD$2:AD62,"Loss"))=0,0,COUNTIF($AD$2:AD62,"Win")/(COUNTIF($AD$2:AD62,"Win")+COUNTIF($AD$2:AD62,"Loss")))</f>
        <v/>
      </c>
      <c r="AF62" s="6">
        <f>SUM($Y$2:Y62)/SUM($X$2:X62)</f>
        <v/>
      </c>
      <c r="AG62" s="5">
        <f>SUM($Y$2:Y62)</f>
        <v/>
      </c>
      <c r="AH62" s="7">
        <f>10000.0+SUM($AA$2:AA62)</f>
        <v/>
      </c>
      <c r="AI62" s="2" t="n">
        <v>2026</v>
      </c>
      <c r="AJ62" s="2" t="inlineStr">
        <is>
          <t>2026-04</t>
        </is>
      </c>
      <c r="AK62" s="2" t="inlineStr">
        <is>
          <t>+100 to +120</t>
        </is>
      </c>
      <c r="AL62" s="2" t="inlineStr">
        <is>
          <t>2026 Frozen Test</t>
        </is>
      </c>
      <c r="AM62" s="6" t="n">
        <v>0.2746113920084463</v>
      </c>
    </row>
    <row r="63">
      <c r="A63" s="2" t="inlineStr">
        <is>
          <t>KPROP-00464</t>
        </is>
      </c>
      <c r="B63" s="3" t="n">
        <v>46115.67403935185</v>
      </c>
      <c r="C63" s="3" t="n">
        <v>46115</v>
      </c>
      <c r="D63" s="2" t="inlineStr">
        <is>
          <t>Mitch Keller</t>
        </is>
      </c>
      <c r="E63" s="2" t="n">
        <v>134</v>
      </c>
      <c r="F63" s="2" t="n">
        <v>110</v>
      </c>
      <c r="G63" s="2" t="inlineStr">
        <is>
          <t>Home</t>
        </is>
      </c>
      <c r="H63" s="2" t="inlineStr">
        <is>
          <t>betrivers</t>
        </is>
      </c>
      <c r="I63" s="4" t="n"/>
      <c r="J63" s="4" t="n"/>
      <c r="K63" s="4" t="n">
        <v>132</v>
      </c>
      <c r="L63" s="4" t="n">
        <v>132</v>
      </c>
      <c r="M63" s="5" t="n">
        <v>4.5</v>
      </c>
      <c r="N63" s="5" t="n">
        <v>4.84334541480631</v>
      </c>
      <c r="O63" s="5" t="n">
        <v>4.5</v>
      </c>
      <c r="P63" s="5" t="n">
        <v>-0.3433454148063104</v>
      </c>
      <c r="Q63" s="6" t="n">
        <v>0.08668218696267005</v>
      </c>
      <c r="R63" s="6" t="n">
        <v>0.4683974943804612</v>
      </c>
      <c r="S63" s="6" t="n">
        <v>0.4142931123770068</v>
      </c>
      <c r="T63" s="2" t="inlineStr">
        <is>
          <t>Under</t>
        </is>
      </c>
      <c r="U63" s="4" t="n">
        <v>132</v>
      </c>
      <c r="V63" s="2" t="n">
        <v>2.32</v>
      </c>
      <c r="W63" s="4" t="n">
        <v>132</v>
      </c>
      <c r="X63" s="2" t="n">
        <v>1</v>
      </c>
      <c r="Y63" s="5" t="n">
        <v>1.32</v>
      </c>
      <c r="Z63" s="7" t="n">
        <v>100</v>
      </c>
      <c r="AA63" s="7">
        <f>Y63*Z63</f>
        <v/>
      </c>
      <c r="AB63" s="6">
        <f>IF(Z63=0,0,AA63/Z63)</f>
        <v/>
      </c>
      <c r="AC63" s="6" t="n"/>
      <c r="AD63" s="2" t="inlineStr">
        <is>
          <t>Win</t>
        </is>
      </c>
      <c r="AE63" s="6">
        <f>IF((COUNTIF($AD$2:AD63,"Win")+COUNTIF($AD$2:AD63,"Loss"))=0,0,COUNTIF($AD$2:AD63,"Win")/(COUNTIF($AD$2:AD63,"Win")+COUNTIF($AD$2:AD63,"Loss")))</f>
        <v/>
      </c>
      <c r="AF63" s="6">
        <f>SUM($Y$2:Y63)/SUM($X$2:X63)</f>
        <v/>
      </c>
      <c r="AG63" s="5">
        <f>SUM($Y$2:Y63)</f>
        <v/>
      </c>
      <c r="AH63" s="7">
        <f>10000.0+SUM($AA$2:AA63)</f>
        <v/>
      </c>
      <c r="AI63" s="2" t="n">
        <v>2026</v>
      </c>
      <c r="AJ63" s="2" t="inlineStr">
        <is>
          <t>2026-04</t>
        </is>
      </c>
      <c r="AK63" s="2" t="inlineStr">
        <is>
          <t>+121 to +150</t>
        </is>
      </c>
      <c r="AL63" s="2" t="inlineStr">
        <is>
          <t>2026 Frozen Test</t>
        </is>
      </c>
      <c r="AM63" s="6" t="n">
        <v>0.0656683234565682</v>
      </c>
    </row>
    <row r="64">
      <c r="A64" s="2" t="inlineStr">
        <is>
          <t>KPROP-00465</t>
        </is>
      </c>
      <c r="B64" s="3" t="n">
        <v>46115.59071759259</v>
      </c>
      <c r="C64" s="3" t="n">
        <v>46115</v>
      </c>
      <c r="D64" s="2" t="inlineStr">
        <is>
          <t>Sonny Gray</t>
        </is>
      </c>
      <c r="E64" s="2" t="n">
        <v>111</v>
      </c>
      <c r="F64" s="2" t="n">
        <v>135</v>
      </c>
      <c r="G64" s="2" t="inlineStr">
        <is>
          <t>Home</t>
        </is>
      </c>
      <c r="H64" s="2" t="inlineStr">
        <is>
          <t>betonlineag</t>
        </is>
      </c>
      <c r="I64" s="4" t="n"/>
      <c r="J64" s="4" t="n"/>
      <c r="K64" s="4" t="n">
        <v>-123</v>
      </c>
      <c r="L64" s="4" t="n">
        <v>-123</v>
      </c>
      <c r="M64" s="5" t="n">
        <v>5.5</v>
      </c>
      <c r="N64" s="5" t="n">
        <v>4.805091072598849</v>
      </c>
      <c r="O64" s="5" t="n">
        <v>5.5</v>
      </c>
      <c r="P64" s="5" t="n">
        <v>0.6949089274011513</v>
      </c>
      <c r="Q64" s="6" t="n">
        <v>0.1786668455456316</v>
      </c>
      <c r="R64" s="6" t="n">
        <v>0.6501166905924336</v>
      </c>
      <c r="S64" s="6" t="n">
        <v>0.5306745238345786</v>
      </c>
      <c r="T64" s="2" t="inlineStr">
        <is>
          <t>Under</t>
        </is>
      </c>
      <c r="U64" s="4" t="n">
        <v>-123</v>
      </c>
      <c r="V64" s="2" t="n">
        <v>1.813008130081301</v>
      </c>
      <c r="W64" s="4" t="n">
        <v>-123</v>
      </c>
      <c r="X64" s="2" t="n">
        <v>1</v>
      </c>
      <c r="Y64" s="5" t="n">
        <v>0.8130081300813008</v>
      </c>
      <c r="Z64" s="7" t="n">
        <v>100</v>
      </c>
      <c r="AA64" s="7">
        <f>Y64*Z64</f>
        <v/>
      </c>
      <c r="AB64" s="6">
        <f>IF(Z64=0,0,AA64/Z64)</f>
        <v/>
      </c>
      <c r="AC64" s="6" t="n"/>
      <c r="AD64" s="2" t="inlineStr">
        <is>
          <t>Win</t>
        </is>
      </c>
      <c r="AE64" s="6">
        <f>IF((COUNTIF($AD$2:AD64,"Win")+COUNTIF($AD$2:AD64,"Loss"))=0,0,COUNTIF($AD$2:AD64,"Win")/(COUNTIF($AD$2:AD64,"Win")+COUNTIF($AD$2:AD64,"Loss")))</f>
        <v/>
      </c>
      <c r="AF64" s="6">
        <f>SUM($Y$2:Y64)/SUM($X$2:X64)</f>
        <v/>
      </c>
      <c r="AG64" s="5">
        <f>SUM($Y$2:Y64)</f>
        <v/>
      </c>
      <c r="AH64" s="7">
        <f>10000.0+SUM($AA$2:AA64)</f>
        <v/>
      </c>
      <c r="AI64" s="2" t="n">
        <v>2026</v>
      </c>
      <c r="AJ64" s="2" t="inlineStr">
        <is>
          <t>2026-04</t>
        </is>
      </c>
      <c r="AK64" s="2" t="inlineStr">
        <is>
          <t>-149 to -120</t>
        </is>
      </c>
      <c r="AL64" s="2" t="inlineStr">
        <is>
          <t>2026 Frozen Test</t>
        </is>
      </c>
      <c r="AM64" s="6" t="n">
        <v>0.2197602200211269</v>
      </c>
    </row>
    <row r="65">
      <c r="A65" s="2" t="inlineStr">
        <is>
          <t>KPROP-00466</t>
        </is>
      </c>
      <c r="B65" s="3" t="n">
        <v>46115.56641203703</v>
      </c>
      <c r="C65" s="3" t="n">
        <v>46115</v>
      </c>
      <c r="D65" s="2" t="inlineStr">
        <is>
          <t>Will Warren</t>
        </is>
      </c>
      <c r="E65" s="2" t="n">
        <v>147</v>
      </c>
      <c r="F65" s="2" t="n">
        <v>146</v>
      </c>
      <c r="G65" s="2" t="inlineStr">
        <is>
          <t>Home</t>
        </is>
      </c>
      <c r="H65" s="2" t="inlineStr">
        <is>
          <t>betrivers</t>
        </is>
      </c>
      <c r="I65" s="4" t="n"/>
      <c r="J65" s="4" t="n"/>
      <c r="K65" s="4" t="n">
        <v>135</v>
      </c>
      <c r="L65" s="4" t="n">
        <v>135</v>
      </c>
      <c r="M65" s="5" t="n">
        <v>4.5</v>
      </c>
      <c r="N65" s="5" t="n">
        <v>4.512654710597256</v>
      </c>
      <c r="O65" s="5" t="n">
        <v>4.5</v>
      </c>
      <c r="P65" s="5" t="n">
        <v>-0.01265471059725609</v>
      </c>
      <c r="Q65" s="6" t="n">
        <v>0.2448027934973243</v>
      </c>
      <c r="R65" s="6" t="n">
        <v>0.5297033163818401</v>
      </c>
      <c r="S65" s="6" t="n">
        <v>0.3973509933774834</v>
      </c>
      <c r="T65" s="2" t="inlineStr">
        <is>
          <t>Under</t>
        </is>
      </c>
      <c r="U65" s="4" t="n">
        <v>135</v>
      </c>
      <c r="V65" s="2" t="n">
        <v>2.35</v>
      </c>
      <c r="W65" s="4" t="n">
        <v>135</v>
      </c>
      <c r="X65" s="2" t="n">
        <v>1</v>
      </c>
      <c r="Y65" s="5" t="n">
        <v>-1</v>
      </c>
      <c r="Z65" s="7" t="n">
        <v>100</v>
      </c>
      <c r="AA65" s="7">
        <f>Y65*Z65</f>
        <v/>
      </c>
      <c r="AB65" s="6">
        <f>IF(Z65=0,0,AA65/Z65)</f>
        <v/>
      </c>
      <c r="AC65" s="6" t="n"/>
      <c r="AD65" s="2" t="inlineStr">
        <is>
          <t>Loss</t>
        </is>
      </c>
      <c r="AE65" s="6">
        <f>IF((COUNTIF($AD$2:AD65,"Win")+COUNTIF($AD$2:AD65,"Loss"))=0,0,COUNTIF($AD$2:AD65,"Win")/(COUNTIF($AD$2:AD65,"Win")+COUNTIF($AD$2:AD65,"Loss")))</f>
        <v/>
      </c>
      <c r="AF65" s="6">
        <f>SUM($Y$2:Y65)/SUM($X$2:X65)</f>
        <v/>
      </c>
      <c r="AG65" s="5">
        <f>SUM($Y$2:Y65)</f>
        <v/>
      </c>
      <c r="AH65" s="7">
        <f>10000.0+SUM($AA$2:AA65)</f>
        <v/>
      </c>
      <c r="AI65" s="2" t="n">
        <v>2026</v>
      </c>
      <c r="AJ65" s="2" t="inlineStr">
        <is>
          <t>2026-04</t>
        </is>
      </c>
      <c r="AK65" s="2" t="inlineStr">
        <is>
          <t>+121 to +150</t>
        </is>
      </c>
      <c r="AL65" s="2" t="inlineStr">
        <is>
          <t>2026 Frozen Test</t>
        </is>
      </c>
      <c r="AM65" s="6" t="n">
        <v>0.1813354025906105</v>
      </c>
    </row>
    <row r="66">
      <c r="A66" s="2" t="inlineStr">
        <is>
          <t>KPROP-00467</t>
        </is>
      </c>
      <c r="B66" s="3" t="n">
        <v>46115.56641203703</v>
      </c>
      <c r="C66" s="3" t="n">
        <v>46115</v>
      </c>
      <c r="D66" s="2" t="inlineStr">
        <is>
          <t>Will Warren</t>
        </is>
      </c>
      <c r="E66" s="2" t="n">
        <v>147</v>
      </c>
      <c r="F66" s="2" t="n">
        <v>146</v>
      </c>
      <c r="G66" s="2" t="inlineStr">
        <is>
          <t>Home</t>
        </is>
      </c>
      <c r="H66" s="2" t="inlineStr">
        <is>
          <t>betmgm</t>
        </is>
      </c>
      <c r="I66" s="4" t="n"/>
      <c r="J66" s="4" t="n"/>
      <c r="K66" s="4" t="n">
        <v>-155</v>
      </c>
      <c r="L66" s="4" t="n">
        <v>-155</v>
      </c>
      <c r="M66" s="5" t="n">
        <v>5.5</v>
      </c>
      <c r="N66" s="5" t="n">
        <v>4.512654710597256</v>
      </c>
      <c r="O66" s="5" t="n">
        <v>5.5</v>
      </c>
      <c r="P66" s="5" t="n">
        <v>0.9873452894027439</v>
      </c>
      <c r="Q66" s="6" t="n">
        <v>0.152875011951683</v>
      </c>
      <c r="R66" s="6" t="n">
        <v>0.7007671641274936</v>
      </c>
      <c r="S66" s="6" t="n">
        <v>0.5829926410466066</v>
      </c>
      <c r="T66" s="2" t="inlineStr">
        <is>
          <t>Under</t>
        </is>
      </c>
      <c r="U66" s="4" t="n">
        <v>-155</v>
      </c>
      <c r="V66" s="2" t="n">
        <v>1.645161290322581</v>
      </c>
      <c r="W66" s="4" t="n">
        <v>-155</v>
      </c>
      <c r="X66" s="2" t="n">
        <v>1</v>
      </c>
      <c r="Y66" s="5" t="n">
        <v>-1</v>
      </c>
      <c r="Z66" s="7" t="n">
        <v>100</v>
      </c>
      <c r="AA66" s="7">
        <f>Y66*Z66</f>
        <v/>
      </c>
      <c r="AB66" s="6">
        <f>IF(Z66=0,0,AA66/Z66)</f>
        <v/>
      </c>
      <c r="AC66" s="6" t="n"/>
      <c r="AD66" s="2" t="inlineStr">
        <is>
          <t>Loss</t>
        </is>
      </c>
      <c r="AE66" s="6">
        <f>IF((COUNTIF($AD$2:AD66,"Win")+COUNTIF($AD$2:AD66,"Loss"))=0,0,COUNTIF($AD$2:AD66,"Win")/(COUNTIF($AD$2:AD66,"Win")+COUNTIF($AD$2:AD66,"Loss")))</f>
        <v/>
      </c>
      <c r="AF66" s="6">
        <f>SUM($Y$2:Y66)/SUM($X$2:X66)</f>
        <v/>
      </c>
      <c r="AG66" s="5">
        <f>SUM($Y$2:Y66)</f>
        <v/>
      </c>
      <c r="AH66" s="7">
        <f>10000.0+SUM($AA$2:AA66)</f>
        <v/>
      </c>
      <c r="AI66" s="2" t="n">
        <v>2026</v>
      </c>
      <c r="AJ66" s="2" t="inlineStr">
        <is>
          <t>2026-04</t>
        </is>
      </c>
      <c r="AK66" s="2" t="inlineStr">
        <is>
          <t>&lt;= -150</t>
        </is>
      </c>
      <c r="AL66" s="2" t="inlineStr">
        <is>
          <t>2026 Frozen Test</t>
        </is>
      </c>
      <c r="AM66" s="6" t="n">
        <v>0.2369562685251086</v>
      </c>
    </row>
    <row r="67">
      <c r="A67" s="2" t="inlineStr">
        <is>
          <t>KPROP-00468</t>
        </is>
      </c>
      <c r="B67" s="3" t="n">
        <v>46116.5490625</v>
      </c>
      <c r="C67" s="3" t="n">
        <v>46116</v>
      </c>
      <c r="D67" s="2" t="inlineStr">
        <is>
          <t>Dustin May</t>
        </is>
      </c>
      <c r="E67" s="2" t="n">
        <v>138</v>
      </c>
      <c r="F67" s="2" t="n">
        <v>116</v>
      </c>
      <c r="G67" s="2" t="inlineStr">
        <is>
          <t>Away</t>
        </is>
      </c>
      <c r="H67" s="2" t="inlineStr">
        <is>
          <t>betrivers</t>
        </is>
      </c>
      <c r="I67" s="4" t="n"/>
      <c r="J67" s="4" t="n"/>
      <c r="K67" s="4" t="n">
        <v>105</v>
      </c>
      <c r="L67" s="4" t="n">
        <v>105</v>
      </c>
      <c r="M67" s="5" t="n">
        <v>4.5</v>
      </c>
      <c r="N67" s="5" t="n">
        <v>4.264732706467494</v>
      </c>
      <c r="O67" s="5" t="n">
        <v>4.5</v>
      </c>
      <c r="P67" s="5" t="n">
        <v>0.2352672935325062</v>
      </c>
      <c r="Q67" s="6" t="n">
        <v>0.1833887458087142</v>
      </c>
      <c r="R67" s="6" t="n">
        <v>0.5772628028335192</v>
      </c>
      <c r="S67" s="6" t="n">
        <v>0.4740160904544466</v>
      </c>
      <c r="T67" s="2" t="inlineStr">
        <is>
          <t>Under</t>
        </is>
      </c>
      <c r="U67" s="4" t="n">
        <v>105</v>
      </c>
      <c r="V67" s="2" t="n">
        <v>2.05</v>
      </c>
      <c r="W67" s="4" t="n">
        <v>105</v>
      </c>
      <c r="X67" s="2" t="n">
        <v>1</v>
      </c>
      <c r="Y67" s="5" t="n">
        <v>1.05</v>
      </c>
      <c r="Z67" s="7" t="n">
        <v>100</v>
      </c>
      <c r="AA67" s="7">
        <f>Y67*Z67</f>
        <v/>
      </c>
      <c r="AB67" s="6">
        <f>IF(Z67=0,0,AA67/Z67)</f>
        <v/>
      </c>
      <c r="AC67" s="6" t="n"/>
      <c r="AD67" s="2" t="inlineStr">
        <is>
          <t>Win</t>
        </is>
      </c>
      <c r="AE67" s="6">
        <f>IF((COUNTIF($AD$2:AD67,"Win")+COUNTIF($AD$2:AD67,"Loss"))=0,0,COUNTIF($AD$2:AD67,"Win")/(COUNTIF($AD$2:AD67,"Win")+COUNTIF($AD$2:AD67,"Loss")))</f>
        <v/>
      </c>
      <c r="AF67" s="6">
        <f>SUM($Y$2:Y67)/SUM($X$2:X67)</f>
        <v/>
      </c>
      <c r="AG67" s="5">
        <f>SUM($Y$2:Y67)</f>
        <v/>
      </c>
      <c r="AH67" s="7">
        <f>10000.0+SUM($AA$2:AA67)</f>
        <v/>
      </c>
      <c r="AI67" s="2" t="n">
        <v>2026</v>
      </c>
      <c r="AJ67" s="2" t="inlineStr">
        <is>
          <t>2026-04</t>
        </is>
      </c>
      <c r="AK67" s="2" t="inlineStr">
        <is>
          <t>+100 to +120</t>
        </is>
      </c>
      <c r="AL67" s="2" t="inlineStr">
        <is>
          <t>2026 Frozen Test</t>
        </is>
      </c>
      <c r="AM67" s="6" t="n">
        <v>0.1746559483892517</v>
      </c>
    </row>
    <row r="68">
      <c r="A68" s="2" t="inlineStr">
        <is>
          <t>KPROP-00469</t>
        </is>
      </c>
      <c r="B68" s="3" t="n">
        <v>46116.5490625</v>
      </c>
      <c r="C68" s="3" t="n">
        <v>46116</v>
      </c>
      <c r="D68" s="2" t="inlineStr">
        <is>
          <t>Jack Flaherty</t>
        </is>
      </c>
      <c r="E68" s="2" t="n">
        <v>116</v>
      </c>
      <c r="F68" s="2" t="n">
        <v>138</v>
      </c>
      <c r="G68" s="2" t="inlineStr">
        <is>
          <t>Home</t>
        </is>
      </c>
      <c r="H68" s="2" t="inlineStr">
        <is>
          <t>fanatics</t>
        </is>
      </c>
      <c r="I68" s="4" t="n"/>
      <c r="J68" s="4" t="n"/>
      <c r="K68" s="4" t="n">
        <v>120</v>
      </c>
      <c r="L68" s="4" t="n">
        <v>120</v>
      </c>
      <c r="M68" s="5" t="n">
        <v>5.5</v>
      </c>
      <c r="N68" s="5" t="n">
        <v>5.270000431753428</v>
      </c>
      <c r="O68" s="5" t="n">
        <v>5.5</v>
      </c>
      <c r="P68" s="5" t="n">
        <v>0.2299995682465719</v>
      </c>
      <c r="Q68" s="6" t="n">
        <v>0.2511317847213645</v>
      </c>
      <c r="R68" s="6" t="n">
        <v>0.5686962657824384</v>
      </c>
      <c r="S68" s="6" t="n">
        <v>0.4323570432357043</v>
      </c>
      <c r="T68" s="2" t="inlineStr">
        <is>
          <t>Under</t>
        </is>
      </c>
      <c r="U68" s="4" t="n">
        <v>120</v>
      </c>
      <c r="V68" s="2" t="n">
        <v>2.2</v>
      </c>
      <c r="W68" s="4" t="n">
        <v>120</v>
      </c>
      <c r="X68" s="2" t="n">
        <v>1</v>
      </c>
      <c r="Y68" s="5" t="n">
        <v>-1</v>
      </c>
      <c r="Z68" s="7" t="n">
        <v>100</v>
      </c>
      <c r="AA68" s="7">
        <f>Y68*Z68</f>
        <v/>
      </c>
      <c r="AB68" s="6">
        <f>IF(Z68=0,0,AA68/Z68)</f>
        <v/>
      </c>
      <c r="AC68" s="6" t="n"/>
      <c r="AD68" s="2" t="inlineStr">
        <is>
          <t>Loss</t>
        </is>
      </c>
      <c r="AE68" s="6">
        <f>IF((COUNTIF($AD$2:AD68,"Win")+COUNTIF($AD$2:AD68,"Loss"))=0,0,COUNTIF($AD$2:AD68,"Win")/(COUNTIF($AD$2:AD68,"Win")+COUNTIF($AD$2:AD68,"Loss")))</f>
        <v/>
      </c>
      <c r="AF68" s="6">
        <f>SUM($Y$2:Y68)/SUM($X$2:X68)</f>
        <v/>
      </c>
      <c r="AG68" s="5">
        <f>SUM($Y$2:Y68)</f>
        <v/>
      </c>
      <c r="AH68" s="7">
        <f>10000.0+SUM($AA$2:AA68)</f>
        <v/>
      </c>
      <c r="AI68" s="2" t="n">
        <v>2026</v>
      </c>
      <c r="AJ68" s="2" t="inlineStr">
        <is>
          <t>2026-04</t>
        </is>
      </c>
      <c r="AK68" s="2" t="inlineStr">
        <is>
          <t>+100 to +120</t>
        </is>
      </c>
      <c r="AL68" s="2" t="inlineStr">
        <is>
          <t>2026 Frozen Test</t>
        </is>
      </c>
      <c r="AM68" s="6" t="n">
        <v>0.2092764872678038</v>
      </c>
    </row>
    <row r="69">
      <c r="A69" s="2" t="inlineStr">
        <is>
          <t>KPROP-00470</t>
        </is>
      </c>
      <c r="B69" s="3" t="n">
        <v>46116.80253472222</v>
      </c>
      <c r="C69" s="3" t="n">
        <v>46116</v>
      </c>
      <c r="D69" s="2" t="inlineStr">
        <is>
          <t>Michael Soroka</t>
        </is>
      </c>
      <c r="E69" s="2" t="n">
        <v>109</v>
      </c>
      <c r="F69" s="2" t="n">
        <v>144</v>
      </c>
      <c r="G69" s="2" t="inlineStr">
        <is>
          <t>Home</t>
        </is>
      </c>
      <c r="H69" s="2" t="inlineStr">
        <is>
          <t>betonlineag</t>
        </is>
      </c>
      <c r="I69" s="4" t="n"/>
      <c r="J69" s="4" t="n"/>
      <c r="K69" s="4" t="n">
        <v>128</v>
      </c>
      <c r="L69" s="4" t="n">
        <v>128</v>
      </c>
      <c r="M69" s="5" t="n">
        <v>4.5</v>
      </c>
      <c r="N69" s="5" t="n">
        <v>4.241266249390013</v>
      </c>
      <c r="O69" s="5" t="n">
        <v>4.5</v>
      </c>
      <c r="P69" s="5" t="n">
        <v>0.2587337506099869</v>
      </c>
      <c r="Q69" s="6" t="n">
        <v>0.3265319921572051</v>
      </c>
      <c r="R69" s="6" t="n">
        <v>0.581812277261932</v>
      </c>
      <c r="S69" s="6" t="n">
        <v>0.4291845493562232</v>
      </c>
      <c r="T69" s="2" t="inlineStr">
        <is>
          <t>Under</t>
        </is>
      </c>
      <c r="U69" s="4" t="n">
        <v>128</v>
      </c>
      <c r="V69" s="2" t="n">
        <v>2.28</v>
      </c>
      <c r="W69" s="4" t="n">
        <v>128</v>
      </c>
      <c r="X69" s="2" t="n">
        <v>1</v>
      </c>
      <c r="Y69" s="5" t="n">
        <v>1.28</v>
      </c>
      <c r="Z69" s="7" t="n">
        <v>100</v>
      </c>
      <c r="AA69" s="7">
        <f>Y69*Z69</f>
        <v/>
      </c>
      <c r="AB69" s="6">
        <f>IF(Z69=0,0,AA69/Z69)</f>
        <v/>
      </c>
      <c r="AC69" s="6" t="n"/>
      <c r="AD69" s="2" t="inlineStr">
        <is>
          <t>Win</t>
        </is>
      </c>
      <c r="AE69" s="6">
        <f>IF((COUNTIF($AD$2:AD69,"Win")+COUNTIF($AD$2:AD69,"Loss"))=0,0,COUNTIF($AD$2:AD69,"Win")/(COUNTIF($AD$2:AD69,"Win")+COUNTIF($AD$2:AD69,"Loss")))</f>
        <v/>
      </c>
      <c r="AF69" s="6">
        <f>SUM($Y$2:Y69)/SUM($X$2:X69)</f>
        <v/>
      </c>
      <c r="AG69" s="5">
        <f>SUM($Y$2:Y69)</f>
        <v/>
      </c>
      <c r="AH69" s="7">
        <f>10000.0+SUM($AA$2:AA69)</f>
        <v/>
      </c>
      <c r="AI69" s="2" t="n">
        <v>2026</v>
      </c>
      <c r="AJ69" s="2" t="inlineStr">
        <is>
          <t>2026-04</t>
        </is>
      </c>
      <c r="AK69" s="2" t="inlineStr">
        <is>
          <t>+121 to +150</t>
        </is>
      </c>
      <c r="AL69" s="2" t="inlineStr">
        <is>
          <t>2026 Frozen Test</t>
        </is>
      </c>
      <c r="AM69" s="6" t="n">
        <v>0.2551031188728164</v>
      </c>
    </row>
    <row r="70">
      <c r="A70" s="2" t="inlineStr">
        <is>
          <t>KPROP-00471</t>
        </is>
      </c>
      <c r="B70" s="3" t="n">
        <v>46116.79905092593</v>
      </c>
      <c r="C70" s="3" t="n">
        <v>46116</v>
      </c>
      <c r="D70" s="2" t="inlineStr">
        <is>
          <t>Mick Abel</t>
        </is>
      </c>
      <c r="E70" s="2" t="n">
        <v>142</v>
      </c>
      <c r="F70" s="2" t="n">
        <v>139</v>
      </c>
      <c r="G70" s="2" t="inlineStr">
        <is>
          <t>Home</t>
        </is>
      </c>
      <c r="H70" s="2" t="inlineStr">
        <is>
          <t>draftkings</t>
        </is>
      </c>
      <c r="I70" s="4" t="n"/>
      <c r="J70" s="4" t="n"/>
      <c r="K70" s="4" t="n">
        <v>-122</v>
      </c>
      <c r="L70" s="4" t="n">
        <v>-122</v>
      </c>
      <c r="M70" s="5" t="n">
        <v>4.5</v>
      </c>
      <c r="N70" s="5" t="n">
        <v>4.04010352071617</v>
      </c>
      <c r="O70" s="5" t="n">
        <v>4.5</v>
      </c>
      <c r="P70" s="5" t="n">
        <v>0.45989647928383</v>
      </c>
      <c r="Q70" s="6" t="n">
        <v>0.1300210526417215</v>
      </c>
      <c r="R70" s="6" t="n">
        <v>0.6210025604607659</v>
      </c>
      <c r="S70" s="6" t="n">
        <v>0.5357590966122961</v>
      </c>
      <c r="T70" s="2" t="inlineStr">
        <is>
          <t>Under</t>
        </is>
      </c>
      <c r="U70" s="4" t="n">
        <v>-122</v>
      </c>
      <c r="V70" s="2" t="n">
        <v>1.819672131147541</v>
      </c>
      <c r="W70" s="4" t="n">
        <v>-122</v>
      </c>
      <c r="X70" s="2" t="n">
        <v>1</v>
      </c>
      <c r="Y70" s="5" t="n">
        <v>0.819672131147541</v>
      </c>
      <c r="Z70" s="7" t="n">
        <v>100</v>
      </c>
      <c r="AA70" s="7">
        <f>Y70*Z70</f>
        <v/>
      </c>
      <c r="AB70" s="6">
        <f>IF(Z70=0,0,AA70/Z70)</f>
        <v/>
      </c>
      <c r="AC70" s="6" t="n"/>
      <c r="AD70" s="2" t="inlineStr">
        <is>
          <t>Win</t>
        </is>
      </c>
      <c r="AE70" s="6">
        <f>IF((COUNTIF($AD$2:AD70,"Win")+COUNTIF($AD$2:AD70,"Loss"))=0,0,COUNTIF($AD$2:AD70,"Win")/(COUNTIF($AD$2:AD70,"Win")+COUNTIF($AD$2:AD70,"Loss")))</f>
        <v/>
      </c>
      <c r="AF70" s="6">
        <f>SUM($Y$2:Y70)/SUM($X$2:X70)</f>
        <v/>
      </c>
      <c r="AG70" s="5">
        <f>SUM($Y$2:Y70)</f>
        <v/>
      </c>
      <c r="AH70" s="7">
        <f>10000.0+SUM($AA$2:AA70)</f>
        <v/>
      </c>
      <c r="AI70" s="2" t="n">
        <v>2026</v>
      </c>
      <c r="AJ70" s="2" t="inlineStr">
        <is>
          <t>2026-04</t>
        </is>
      </c>
      <c r="AK70" s="2" t="inlineStr">
        <is>
          <t>-149 to -120</t>
        </is>
      </c>
      <c r="AL70" s="2" t="inlineStr">
        <is>
          <t>2026 Frozen Test</t>
        </is>
      </c>
      <c r="AM70" s="6" t="n">
        <v>0.1586256842229002</v>
      </c>
    </row>
    <row r="71">
      <c r="A71" s="2" t="inlineStr">
        <is>
          <t>KPROP-00472</t>
        </is>
      </c>
      <c r="B71" s="3" t="n">
        <v>46116.79557870371</v>
      </c>
      <c r="C71" s="3" t="n">
        <v>46116</v>
      </c>
      <c r="D71" s="2" t="inlineStr">
        <is>
          <t>Ryan Weathers</t>
        </is>
      </c>
      <c r="E71" s="2" t="n">
        <v>147</v>
      </c>
      <c r="F71" s="2" t="n">
        <v>146</v>
      </c>
      <c r="G71" s="2" t="inlineStr">
        <is>
          <t>Home</t>
        </is>
      </c>
      <c r="H71" s="2" t="inlineStr">
        <is>
          <t>betmgm</t>
        </is>
      </c>
      <c r="I71" s="4" t="n"/>
      <c r="J71" s="4" t="n"/>
      <c r="K71" s="4" t="n">
        <v>100</v>
      </c>
      <c r="L71" s="4" t="n">
        <v>100</v>
      </c>
      <c r="M71" s="5" t="n">
        <v>5.5</v>
      </c>
      <c r="N71" s="5" t="n">
        <v>4.50874999859452</v>
      </c>
      <c r="O71" s="5" t="n">
        <v>5.5</v>
      </c>
      <c r="P71" s="5" t="n">
        <v>0.9912500014054801</v>
      </c>
      <c r="Q71" s="6" t="n">
        <v>0.402869955909813</v>
      </c>
      <c r="R71" s="6" t="n">
        <v>0.7014349779549065</v>
      </c>
      <c r="S71" s="6" t="n">
        <v>0.4975369458128079</v>
      </c>
      <c r="T71" s="2" t="inlineStr">
        <is>
          <t>Under</t>
        </is>
      </c>
      <c r="U71" s="4" t="n">
        <v>100</v>
      </c>
      <c r="V71" s="2" t="n">
        <v>2</v>
      </c>
      <c r="W71" s="4" t="n">
        <v>100</v>
      </c>
      <c r="X71" s="2" t="n">
        <v>1</v>
      </c>
      <c r="Y71" s="5" t="n">
        <v>1</v>
      </c>
      <c r="Z71" s="7" t="n">
        <v>100</v>
      </c>
      <c r="AA71" s="7">
        <f>Y71*Z71</f>
        <v/>
      </c>
      <c r="AB71" s="6">
        <f>IF(Z71=0,0,AA71/Z71)</f>
        <v/>
      </c>
      <c r="AC71" s="6" t="n"/>
      <c r="AD71" s="2" t="inlineStr">
        <is>
          <t>Win</t>
        </is>
      </c>
      <c r="AE71" s="6">
        <f>IF((COUNTIF($AD$2:AD71,"Win")+COUNTIF($AD$2:AD71,"Loss"))=0,0,COUNTIF($AD$2:AD71,"Win")/(COUNTIF($AD$2:AD71,"Win")+COUNTIF($AD$2:AD71,"Loss")))</f>
        <v/>
      </c>
      <c r="AF71" s="6">
        <f>SUM($Y$2:Y71)/SUM($X$2:X71)</f>
        <v/>
      </c>
      <c r="AG71" s="5">
        <f>SUM($Y$2:Y71)</f>
        <v/>
      </c>
      <c r="AH71" s="7">
        <f>10000.0+SUM($AA$2:AA71)</f>
        <v/>
      </c>
      <c r="AI71" s="2" t="n">
        <v>2026</v>
      </c>
      <c r="AJ71" s="2" t="inlineStr">
        <is>
          <t>2026-04</t>
        </is>
      </c>
      <c r="AK71" s="2" t="inlineStr">
        <is>
          <t>+100 to +120</t>
        </is>
      </c>
      <c r="AL71" s="2" t="inlineStr">
        <is>
          <t>2026 Frozen Test</t>
        </is>
      </c>
      <c r="AM71" s="6" t="n">
        <v>0.402869955909813</v>
      </c>
    </row>
    <row r="72">
      <c r="A72" s="2" t="inlineStr">
        <is>
          <t>KPROP-00473</t>
        </is>
      </c>
      <c r="B72" s="3" t="n">
        <v>46116.79905092593</v>
      </c>
      <c r="C72" s="3" t="n">
        <v>46116</v>
      </c>
      <c r="D72" s="2" t="inlineStr">
        <is>
          <t>Steven Matz</t>
        </is>
      </c>
      <c r="E72" s="2" t="n">
        <v>139</v>
      </c>
      <c r="F72" s="2" t="n">
        <v>142</v>
      </c>
      <c r="G72" s="2" t="inlineStr">
        <is>
          <t>Away</t>
        </is>
      </c>
      <c r="H72" s="2" t="inlineStr">
        <is>
          <t>betmgm</t>
        </is>
      </c>
      <c r="I72" s="4" t="n"/>
      <c r="J72" s="4" t="n"/>
      <c r="K72" s="4" t="n">
        <v>130</v>
      </c>
      <c r="L72" s="4" t="n">
        <v>130</v>
      </c>
      <c r="M72" s="5" t="n">
        <v>3.5</v>
      </c>
      <c r="N72" s="5" t="n">
        <v>3.591661898992237</v>
      </c>
      <c r="O72" s="5" t="n">
        <v>3.5</v>
      </c>
      <c r="P72" s="5" t="n">
        <v>-0.09166189899223687</v>
      </c>
      <c r="Q72" s="6" t="n">
        <v>0.1890745331303191</v>
      </c>
      <c r="R72" s="6" t="n">
        <v>0.5169889274479649</v>
      </c>
      <c r="S72" s="6" t="n">
        <v>0.4059040590405904</v>
      </c>
      <c r="T72" s="2" t="inlineStr">
        <is>
          <t>Under</t>
        </is>
      </c>
      <c r="U72" s="4" t="n">
        <v>130</v>
      </c>
      <c r="V72" s="2" t="n">
        <v>2.3</v>
      </c>
      <c r="W72" s="4" t="n">
        <v>130</v>
      </c>
      <c r="X72" s="2" t="n">
        <v>1</v>
      </c>
      <c r="Y72" s="5" t="n">
        <v>-1</v>
      </c>
      <c r="Z72" s="7" t="n">
        <v>100</v>
      </c>
      <c r="AA72" s="7">
        <f>Y72*Z72</f>
        <v/>
      </c>
      <c r="AB72" s="6">
        <f>IF(Z72=0,0,AA72/Z72)</f>
        <v/>
      </c>
      <c r="AC72" s="6" t="n"/>
      <c r="AD72" s="2" t="inlineStr">
        <is>
          <t>Loss</t>
        </is>
      </c>
      <c r="AE72" s="6">
        <f>IF((COUNTIF($AD$2:AD72,"Win")+COUNTIF($AD$2:AD72,"Loss"))=0,0,COUNTIF($AD$2:AD72,"Win")/(COUNTIF($AD$2:AD72,"Win")+COUNTIF($AD$2:AD72,"Loss")))</f>
        <v/>
      </c>
      <c r="AF72" s="6">
        <f>SUM($Y$2:Y72)/SUM($X$2:X72)</f>
        <v/>
      </c>
      <c r="AG72" s="5">
        <f>SUM($Y$2:Y72)</f>
        <v/>
      </c>
      <c r="AH72" s="7">
        <f>10000.0+SUM($AA$2:AA72)</f>
        <v/>
      </c>
      <c r="AI72" s="2" t="n">
        <v>2026</v>
      </c>
      <c r="AJ72" s="2" t="inlineStr">
        <is>
          <t>2026-04</t>
        </is>
      </c>
      <c r="AK72" s="2" t="inlineStr">
        <is>
          <t>+121 to +150</t>
        </is>
      </c>
      <c r="AL72" s="2" t="inlineStr">
        <is>
          <t>2026 Frozen Test</t>
        </is>
      </c>
      <c r="AM72" s="6" t="n">
        <v>0.1454419485617839</v>
      </c>
    </row>
    <row r="73">
      <c r="A73" s="2" t="inlineStr">
        <is>
          <t>KPROP-00474</t>
        </is>
      </c>
      <c r="B73" s="3" t="n">
        <v>46116.79905092593</v>
      </c>
      <c r="C73" s="3" t="n">
        <v>46116</v>
      </c>
      <c r="D73" s="2" t="inlineStr">
        <is>
          <t>Steven Matz</t>
        </is>
      </c>
      <c r="E73" s="2" t="n">
        <v>139</v>
      </c>
      <c r="F73" s="2" t="n">
        <v>142</v>
      </c>
      <c r="G73" s="2" t="inlineStr">
        <is>
          <t>Away</t>
        </is>
      </c>
      <c r="H73" s="2" t="inlineStr">
        <is>
          <t>bovada</t>
        </is>
      </c>
      <c r="I73" s="4" t="n"/>
      <c r="J73" s="4" t="n"/>
      <c r="K73" s="4" t="n">
        <v>-150</v>
      </c>
      <c r="L73" s="4" t="n">
        <v>-150</v>
      </c>
      <c r="M73" s="5" t="n">
        <v>4.5</v>
      </c>
      <c r="N73" s="5" t="n">
        <v>3.591661898992237</v>
      </c>
      <c r="O73" s="5" t="n">
        <v>4.5</v>
      </c>
      <c r="P73" s="5" t="n">
        <v>0.9083381010077631</v>
      </c>
      <c r="Q73" s="6" t="n">
        <v>0.1800535612642525</v>
      </c>
      <c r="R73" s="6" t="n">
        <v>0.7080321367585516</v>
      </c>
      <c r="S73" s="6" t="n">
        <v>0.5808885163453478</v>
      </c>
      <c r="T73" s="2" t="inlineStr">
        <is>
          <t>Under</t>
        </is>
      </c>
      <c r="U73" s="4" t="n">
        <v>-150</v>
      </c>
      <c r="V73" s="2" t="n">
        <v>1.666666666666667</v>
      </c>
      <c r="W73" s="4" t="n">
        <v>-150</v>
      </c>
      <c r="X73" s="2" t="n">
        <v>1</v>
      </c>
      <c r="Y73" s="5" t="n">
        <v>-1</v>
      </c>
      <c r="Z73" s="7" t="n">
        <v>100</v>
      </c>
      <c r="AA73" s="7">
        <f>Y73*Z73</f>
        <v/>
      </c>
      <c r="AB73" s="6">
        <f>IF(Z73=0,0,AA73/Z73)</f>
        <v/>
      </c>
      <c r="AC73" s="6" t="n"/>
      <c r="AD73" s="2" t="inlineStr">
        <is>
          <t>Loss</t>
        </is>
      </c>
      <c r="AE73" s="6">
        <f>IF((COUNTIF($AD$2:AD73,"Win")+COUNTIF($AD$2:AD73,"Loss"))=0,0,COUNTIF($AD$2:AD73,"Win")/(COUNTIF($AD$2:AD73,"Win")+COUNTIF($AD$2:AD73,"Loss")))</f>
        <v/>
      </c>
      <c r="AF73" s="6">
        <f>SUM($Y$2:Y73)/SUM($X$2:X73)</f>
        <v/>
      </c>
      <c r="AG73" s="5">
        <f>SUM($Y$2:Y73)</f>
        <v/>
      </c>
      <c r="AH73" s="7">
        <f>10000.0+SUM($AA$2:AA73)</f>
        <v/>
      </c>
      <c r="AI73" s="2" t="n">
        <v>2026</v>
      </c>
      <c r="AJ73" s="2" t="inlineStr">
        <is>
          <t>2026-04</t>
        </is>
      </c>
      <c r="AK73" s="2" t="inlineStr">
        <is>
          <t>&lt;= -150</t>
        </is>
      </c>
      <c r="AL73" s="2" t="inlineStr">
        <is>
          <t>2026 Frozen Test</t>
        </is>
      </c>
      <c r="AM73" s="6" t="n">
        <v>0.2700803418963789</v>
      </c>
    </row>
    <row r="74">
      <c r="A74" s="2" t="inlineStr">
        <is>
          <t>KPROP-00475</t>
        </is>
      </c>
      <c r="B74" s="3" t="n">
        <v>46116.67057870371</v>
      </c>
      <c r="C74" s="3" t="n">
        <v>46116</v>
      </c>
      <c r="D74" s="2" t="inlineStr">
        <is>
          <t>Tyler Glasnow</t>
        </is>
      </c>
      <c r="E74" s="2" t="n">
        <v>119</v>
      </c>
      <c r="F74" s="2" t="n">
        <v>120</v>
      </c>
      <c r="G74" s="2" t="inlineStr">
        <is>
          <t>Away</t>
        </is>
      </c>
      <c r="H74" s="2" t="inlineStr">
        <is>
          <t>betrivers</t>
        </is>
      </c>
      <c r="I74" s="4" t="n"/>
      <c r="J74" s="4" t="n"/>
      <c r="K74" s="4" t="n">
        <v>128</v>
      </c>
      <c r="L74" s="4" t="n">
        <v>128</v>
      </c>
      <c r="M74" s="5" t="n">
        <v>5.5</v>
      </c>
      <c r="N74" s="5" t="n">
        <v>5.38044886254231</v>
      </c>
      <c r="O74" s="5" t="n">
        <v>5.5</v>
      </c>
      <c r="P74" s="5" t="n">
        <v>0.1195511374576901</v>
      </c>
      <c r="Q74" s="6" t="n">
        <v>0.2528904809646865</v>
      </c>
      <c r="R74" s="6" t="n">
        <v>0.5495133688441607</v>
      </c>
      <c r="S74" s="6" t="n">
        <v>0.4080118694362018</v>
      </c>
      <c r="T74" s="2" t="inlineStr">
        <is>
          <t>Under</t>
        </is>
      </c>
      <c r="U74" s="4" t="n">
        <v>128</v>
      </c>
      <c r="V74" s="2" t="n">
        <v>2.28</v>
      </c>
      <c r="W74" s="4" t="n">
        <v>128</v>
      </c>
      <c r="X74" s="2" t="n">
        <v>1</v>
      </c>
      <c r="Y74" s="5" t="n">
        <v>-1</v>
      </c>
      <c r="Z74" s="7" t="n">
        <v>100</v>
      </c>
      <c r="AA74" s="7">
        <f>Y74*Z74</f>
        <v/>
      </c>
      <c r="AB74" s="6">
        <f>IF(Z74=0,0,AA74/Z74)</f>
        <v/>
      </c>
      <c r="AC74" s="6" t="n"/>
      <c r="AD74" s="2" t="inlineStr">
        <is>
          <t>Loss</t>
        </is>
      </c>
      <c r="AE74" s="6">
        <f>IF((COUNTIF($AD$2:AD74,"Win")+COUNTIF($AD$2:AD74,"Loss"))=0,0,COUNTIF($AD$2:AD74,"Win")/(COUNTIF($AD$2:AD74,"Win")+COUNTIF($AD$2:AD74,"Loss")))</f>
        <v/>
      </c>
      <c r="AF74" s="6">
        <f>SUM($Y$2:Y74)/SUM($X$2:X74)</f>
        <v/>
      </c>
      <c r="AG74" s="5">
        <f>SUM($Y$2:Y74)</f>
        <v/>
      </c>
      <c r="AH74" s="7">
        <f>10000.0+SUM($AA$2:AA74)</f>
        <v/>
      </c>
      <c r="AI74" s="2" t="n">
        <v>2026</v>
      </c>
      <c r="AJ74" s="2" t="inlineStr">
        <is>
          <t>2026-04</t>
        </is>
      </c>
      <c r="AK74" s="2" t="inlineStr">
        <is>
          <t>+121 to +150</t>
        </is>
      </c>
      <c r="AL74" s="2" t="inlineStr">
        <is>
          <t>2026 Frozen Test</t>
        </is>
      </c>
      <c r="AM74" s="6" t="n">
        <v>0.1975706882536613</v>
      </c>
    </row>
    <row r="75">
      <c r="A75" s="2" t="inlineStr">
        <is>
          <t>KPROP-00476</t>
        </is>
      </c>
      <c r="B75" s="3" t="n">
        <v>46116.67057870371</v>
      </c>
      <c r="C75" s="3" t="n">
        <v>46116</v>
      </c>
      <c r="D75" s="2" t="inlineStr">
        <is>
          <t>Tyler Glasnow</t>
        </is>
      </c>
      <c r="E75" s="2" t="n">
        <v>119</v>
      </c>
      <c r="F75" s="2" t="n">
        <v>120</v>
      </c>
      <c r="G75" s="2" t="inlineStr">
        <is>
          <t>Away</t>
        </is>
      </c>
      <c r="H75" s="2" t="inlineStr">
        <is>
          <t>draftkings</t>
        </is>
      </c>
      <c r="I75" s="4" t="n"/>
      <c r="J75" s="4" t="n"/>
      <c r="K75" s="4" t="n">
        <v>-145</v>
      </c>
      <c r="L75" s="4" t="n">
        <v>-145</v>
      </c>
      <c r="M75" s="5" t="n">
        <v>6.5</v>
      </c>
      <c r="N75" s="5" t="n">
        <v>5.38044886254231</v>
      </c>
      <c r="O75" s="5" t="n">
        <v>6.5</v>
      </c>
      <c r="P75" s="5" t="n">
        <v>1.11955113745769</v>
      </c>
      <c r="Q75" s="6" t="n">
        <v>0.1907150918319956</v>
      </c>
      <c r="R75" s="6" t="n">
        <v>0.7047089319005688</v>
      </c>
      <c r="S75" s="6" t="n">
        <v>0.5656028368794326</v>
      </c>
      <c r="T75" s="2" t="inlineStr">
        <is>
          <t>Under</t>
        </is>
      </c>
      <c r="U75" s="4" t="n">
        <v>-145</v>
      </c>
      <c r="V75" s="2" t="n">
        <v>1.689655172413793</v>
      </c>
      <c r="W75" s="4" t="n">
        <v>-145</v>
      </c>
      <c r="X75" s="2" t="n">
        <v>1</v>
      </c>
      <c r="Y75" s="5" t="n">
        <v>-1</v>
      </c>
      <c r="Z75" s="7" t="n">
        <v>100</v>
      </c>
      <c r="AA75" s="7">
        <f>Y75*Z75</f>
        <v/>
      </c>
      <c r="AB75" s="6">
        <f>IF(Z75=0,0,AA75/Z75)</f>
        <v/>
      </c>
      <c r="AC75" s="6" t="n"/>
      <c r="AD75" s="2" t="inlineStr">
        <is>
          <t>Loss</t>
        </is>
      </c>
      <c r="AE75" s="6">
        <f>IF((COUNTIF($AD$2:AD75,"Win")+COUNTIF($AD$2:AD75,"Loss"))=0,0,COUNTIF($AD$2:AD75,"Win")/(COUNTIF($AD$2:AD75,"Win")+COUNTIF($AD$2:AD75,"Loss")))</f>
        <v/>
      </c>
      <c r="AF75" s="6">
        <f>SUM($Y$2:Y75)/SUM($X$2:X75)</f>
        <v/>
      </c>
      <c r="AG75" s="5">
        <f>SUM($Y$2:Y75)</f>
        <v/>
      </c>
      <c r="AH75" s="7">
        <f>10000.0+SUM($AA$2:AA75)</f>
        <v/>
      </c>
      <c r="AI75" s="2" t="n">
        <v>2026</v>
      </c>
      <c r="AJ75" s="2" t="inlineStr">
        <is>
          <t>2026-04</t>
        </is>
      </c>
      <c r="AK75" s="2" t="inlineStr">
        <is>
          <t>-149 to -120</t>
        </is>
      </c>
      <c r="AL75" s="2" t="inlineStr">
        <is>
          <t>2026 Frozen Test</t>
        </is>
      </c>
      <c r="AM75" s="6" t="n">
        <v>0.2765368831563937</v>
      </c>
    </row>
    <row r="76">
      <c r="A76" s="2" t="inlineStr">
        <is>
          <t>KPROP-00477</t>
        </is>
      </c>
      <c r="B76" s="3" t="n">
        <v>46117.56640046297</v>
      </c>
      <c r="C76" s="3" t="n">
        <v>46117</v>
      </c>
      <c r="D76" s="2" t="inlineStr">
        <is>
          <t>Chris Bassitt</t>
        </is>
      </c>
      <c r="E76" s="2" t="n">
        <v>110</v>
      </c>
      <c r="F76" s="2" t="n">
        <v>134</v>
      </c>
      <c r="G76" s="2" t="inlineStr">
        <is>
          <t>Away</t>
        </is>
      </c>
      <c r="H76" s="2" t="inlineStr">
        <is>
          <t>betonlineag</t>
        </is>
      </c>
      <c r="I76" s="4" t="n"/>
      <c r="J76" s="4" t="n"/>
      <c r="K76" s="4" t="n">
        <v>128</v>
      </c>
      <c r="L76" s="4" t="n">
        <v>128</v>
      </c>
      <c r="M76" s="5" t="n">
        <v>4.5</v>
      </c>
      <c r="N76" s="5" t="n">
        <v>4.461877993258894</v>
      </c>
      <c r="O76" s="5" t="n">
        <v>4.5</v>
      </c>
      <c r="P76" s="5" t="n">
        <v>0.03812200674110588</v>
      </c>
      <c r="Q76" s="6" t="n">
        <v>0.2297280807571603</v>
      </c>
      <c r="R76" s="6" t="n">
        <v>0.5393544213847193</v>
      </c>
      <c r="S76" s="6" t="n">
        <v>0.4222972972972973</v>
      </c>
      <c r="T76" s="2" t="inlineStr">
        <is>
          <t>Under</t>
        </is>
      </c>
      <c r="U76" s="4" t="n">
        <v>128</v>
      </c>
      <c r="V76" s="2" t="n">
        <v>2.28</v>
      </c>
      <c r="W76" s="4" t="n">
        <v>128</v>
      </c>
      <c r="X76" s="2" t="n">
        <v>1</v>
      </c>
      <c r="Y76" s="5" t="n">
        <v>1.28</v>
      </c>
      <c r="Z76" s="7" t="n">
        <v>100</v>
      </c>
      <c r="AA76" s="7">
        <f>Y76*Z76</f>
        <v/>
      </c>
      <c r="AB76" s="6">
        <f>IF(Z76=0,0,AA76/Z76)</f>
        <v/>
      </c>
      <c r="AC76" s="6" t="n"/>
      <c r="AD76" s="2" t="inlineStr">
        <is>
          <t>Win</t>
        </is>
      </c>
      <c r="AE76" s="6">
        <f>IF((COUNTIF($AD$2:AD76,"Win")+COUNTIF($AD$2:AD76,"Loss"))=0,0,COUNTIF($AD$2:AD76,"Win")/(COUNTIF($AD$2:AD76,"Win")+COUNTIF($AD$2:AD76,"Loss")))</f>
        <v/>
      </c>
      <c r="AF76" s="6">
        <f>SUM($Y$2:Y76)/SUM($X$2:X76)</f>
        <v/>
      </c>
      <c r="AG76" s="5">
        <f>SUM($Y$2:Y76)</f>
        <v/>
      </c>
      <c r="AH76" s="7">
        <f>10000.0+SUM($AA$2:AA76)</f>
        <v/>
      </c>
      <c r="AI76" s="2" t="n">
        <v>2026</v>
      </c>
      <c r="AJ76" s="2" t="inlineStr">
        <is>
          <t>2026-04</t>
        </is>
      </c>
      <c r="AK76" s="2" t="inlineStr">
        <is>
          <t>+121 to +150</t>
        </is>
      </c>
      <c r="AL76" s="2" t="inlineStr">
        <is>
          <t>2026 Frozen Test</t>
        </is>
      </c>
      <c r="AM76" s="6" t="n">
        <v>0.1794750630915314</v>
      </c>
    </row>
    <row r="77">
      <c r="A77" s="2" t="inlineStr">
        <is>
          <t>KPROP-00478</t>
        </is>
      </c>
      <c r="B77" s="3" t="n">
        <v>46117.56640046297</v>
      </c>
      <c r="C77" s="3" t="n">
        <v>46117</v>
      </c>
      <c r="D77" s="2" t="inlineStr">
        <is>
          <t>Chris Bassitt</t>
        </is>
      </c>
      <c r="E77" s="2" t="n">
        <v>110</v>
      </c>
      <c r="F77" s="2" t="n">
        <v>134</v>
      </c>
      <c r="G77" s="2" t="inlineStr">
        <is>
          <t>Away</t>
        </is>
      </c>
      <c r="H77" s="2" t="inlineStr">
        <is>
          <t>betmgm</t>
        </is>
      </c>
      <c r="I77" s="4" t="n"/>
      <c r="J77" s="4" t="n"/>
      <c r="K77" s="4" t="n">
        <v>-150</v>
      </c>
      <c r="L77" s="4" t="n">
        <v>-150</v>
      </c>
      <c r="M77" s="5" t="n">
        <v>5.5</v>
      </c>
      <c r="N77" s="5" t="n">
        <v>4.461877993258894</v>
      </c>
      <c r="O77" s="5" t="n">
        <v>5.5</v>
      </c>
      <c r="P77" s="5" t="n">
        <v>1.038122006741106</v>
      </c>
      <c r="Q77" s="6" t="n">
        <v>0.1823808914073607</v>
      </c>
      <c r="R77" s="6" t="n">
        <v>0.7094285348444165</v>
      </c>
      <c r="S77" s="6" t="n">
        <v>0.5777027027027027</v>
      </c>
      <c r="T77" s="2" t="inlineStr">
        <is>
          <t>Under</t>
        </is>
      </c>
      <c r="U77" s="4" t="n">
        <v>-150</v>
      </c>
      <c r="V77" s="2" t="n">
        <v>1.666666666666667</v>
      </c>
      <c r="W77" s="4" t="n">
        <v>-150</v>
      </c>
      <c r="X77" s="2" t="n">
        <v>1</v>
      </c>
      <c r="Y77" s="5" t="n">
        <v>0.6666666666666665</v>
      </c>
      <c r="Z77" s="7" t="n">
        <v>100</v>
      </c>
      <c r="AA77" s="7">
        <f>Y77*Z77</f>
        <v/>
      </c>
      <c r="AB77" s="6">
        <f>IF(Z77=0,0,AA77/Z77)</f>
        <v/>
      </c>
      <c r="AC77" s="6" t="n"/>
      <c r="AD77" s="2" t="inlineStr">
        <is>
          <t>Win</t>
        </is>
      </c>
      <c r="AE77" s="6">
        <f>IF((COUNTIF($AD$2:AD77,"Win")+COUNTIF($AD$2:AD77,"Loss"))=0,0,COUNTIF($AD$2:AD77,"Win")/(COUNTIF($AD$2:AD77,"Win")+COUNTIF($AD$2:AD77,"Loss")))</f>
        <v/>
      </c>
      <c r="AF77" s="6">
        <f>SUM($Y$2:Y77)/SUM($X$2:X77)</f>
        <v/>
      </c>
      <c r="AG77" s="5">
        <f>SUM($Y$2:Y77)</f>
        <v/>
      </c>
      <c r="AH77" s="7">
        <f>10000.0+SUM($AA$2:AA77)</f>
        <v/>
      </c>
      <c r="AI77" s="2" t="n">
        <v>2026</v>
      </c>
      <c r="AJ77" s="2" t="inlineStr">
        <is>
          <t>2026-04</t>
        </is>
      </c>
      <c r="AK77" s="2" t="inlineStr">
        <is>
          <t>&lt;= -150</t>
        </is>
      </c>
      <c r="AL77" s="2" t="inlineStr">
        <is>
          <t>2026 Frozen Test</t>
        </is>
      </c>
      <c r="AM77" s="6" t="n">
        <v>0.2735713371110411</v>
      </c>
    </row>
    <row r="78">
      <c r="A78" s="2" t="inlineStr">
        <is>
          <t>KPROP-00479</t>
        </is>
      </c>
      <c r="B78" s="3" t="n">
        <v>46117.67056712963</v>
      </c>
      <c r="C78" s="3" t="n">
        <v>46117</v>
      </c>
      <c r="D78" s="2" t="inlineStr">
        <is>
          <t>Jacob Lopez</t>
        </is>
      </c>
      <c r="E78" s="2" t="n">
        <v>133</v>
      </c>
      <c r="F78" s="2" t="n">
        <v>117</v>
      </c>
      <c r="G78" s="2" t="inlineStr">
        <is>
          <t>Home</t>
        </is>
      </c>
      <c r="H78" s="2" t="inlineStr">
        <is>
          <t>betrivers</t>
        </is>
      </c>
      <c r="I78" s="4" t="n"/>
      <c r="J78" s="4" t="n"/>
      <c r="K78" s="4" t="n">
        <v>145</v>
      </c>
      <c r="L78" s="4" t="n">
        <v>145</v>
      </c>
      <c r="M78" s="5" t="n">
        <v>4.5</v>
      </c>
      <c r="N78" s="5" t="n">
        <v>4.929087586735381</v>
      </c>
      <c r="O78" s="5" t="n">
        <v>4.5</v>
      </c>
      <c r="P78" s="5" t="n">
        <v>-0.4290875867353812</v>
      </c>
      <c r="Q78" s="6" t="n">
        <v>0.1099064849610467</v>
      </c>
      <c r="R78" s="6" t="n">
        <v>0.4530230550861415</v>
      </c>
      <c r="S78" s="6" t="n">
        <v>0.4017329657345411</v>
      </c>
      <c r="T78" s="2" t="inlineStr">
        <is>
          <t>Under</t>
        </is>
      </c>
      <c r="U78" s="4" t="n">
        <v>145</v>
      </c>
      <c r="V78" s="2" t="n">
        <v>2.45</v>
      </c>
      <c r="W78" s="4" t="n">
        <v>145</v>
      </c>
      <c r="X78" s="2" t="n">
        <v>1</v>
      </c>
      <c r="Y78" s="5" t="n">
        <v>-1</v>
      </c>
      <c r="Z78" s="7" t="n">
        <v>100</v>
      </c>
      <c r="AA78" s="7">
        <f>Y78*Z78</f>
        <v/>
      </c>
      <c r="AB78" s="6">
        <f>IF(Z78=0,0,AA78/Z78)</f>
        <v/>
      </c>
      <c r="AC78" s="6" t="n"/>
      <c r="AD78" s="2" t="inlineStr">
        <is>
          <t>Loss</t>
        </is>
      </c>
      <c r="AE78" s="6">
        <f>IF((COUNTIF($AD$2:AD78,"Win")+COUNTIF($AD$2:AD78,"Loss"))=0,0,COUNTIF($AD$2:AD78,"Win")/(COUNTIF($AD$2:AD78,"Win")+COUNTIF($AD$2:AD78,"Loss")))</f>
        <v/>
      </c>
      <c r="AF78" s="6">
        <f>SUM($Y$2:Y78)/SUM($X$2:X78)</f>
        <v/>
      </c>
      <c r="AG78" s="5">
        <f>SUM($Y$2:Y78)</f>
        <v/>
      </c>
      <c r="AH78" s="7">
        <f>10000.0+SUM($AA$2:AA78)</f>
        <v/>
      </c>
      <c r="AI78" s="2" t="n">
        <v>2026</v>
      </c>
      <c r="AJ78" s="2" t="inlineStr">
        <is>
          <t>2026-04</t>
        </is>
      </c>
      <c r="AK78" s="2" t="inlineStr">
        <is>
          <t>+121 to +150</t>
        </is>
      </c>
      <c r="AL78" s="2" t="inlineStr">
        <is>
          <t>2026 Frozen Test</t>
        </is>
      </c>
      <c r="AM78" s="6" t="n">
        <v>0.07579757583520462</v>
      </c>
    </row>
    <row r="79">
      <c r="A79" s="2" t="inlineStr">
        <is>
          <t>KPROP-00480</t>
        </is>
      </c>
      <c r="B79" s="3" t="n">
        <v>46117.67056712963</v>
      </c>
      <c r="C79" s="3" t="n">
        <v>46117</v>
      </c>
      <c r="D79" s="2" t="inlineStr">
        <is>
          <t>Jacob Lopez</t>
        </is>
      </c>
      <c r="E79" s="2" t="n">
        <v>133</v>
      </c>
      <c r="F79" s="2" t="n">
        <v>117</v>
      </c>
      <c r="G79" s="2" t="inlineStr">
        <is>
          <t>Home</t>
        </is>
      </c>
      <c r="H79" s="2" t="inlineStr">
        <is>
          <t>betrivers</t>
        </is>
      </c>
      <c r="I79" s="4" t="n"/>
      <c r="J79" s="4" t="n"/>
      <c r="K79" s="4" t="n">
        <v>-139</v>
      </c>
      <c r="L79" s="4" t="n">
        <v>-139</v>
      </c>
      <c r="M79" s="5" t="n">
        <v>5.5</v>
      </c>
      <c r="N79" s="5" t="n">
        <v>4.929087586735381</v>
      </c>
      <c r="O79" s="5" t="n">
        <v>5.5</v>
      </c>
      <c r="P79" s="5" t="n">
        <v>0.5709124132646188</v>
      </c>
      <c r="Q79" s="6" t="n">
        <v>0.08048868521060398</v>
      </c>
      <c r="R79" s="6" t="n">
        <v>0.6284013692229036</v>
      </c>
      <c r="S79" s="6" t="n">
        <v>0.5556381890861765</v>
      </c>
      <c r="T79" s="2" t="inlineStr">
        <is>
          <t>Under</t>
        </is>
      </c>
      <c r="U79" s="4" t="n">
        <v>-139</v>
      </c>
      <c r="V79" s="2" t="n">
        <v>1.719424460431655</v>
      </c>
      <c r="W79" s="4" t="n">
        <v>-139</v>
      </c>
      <c r="X79" s="2" t="n">
        <v>1</v>
      </c>
      <c r="Y79" s="5" t="n">
        <v>-1</v>
      </c>
      <c r="Z79" s="7" t="n">
        <v>100</v>
      </c>
      <c r="AA79" s="7">
        <f>Y79*Z79</f>
        <v/>
      </c>
      <c r="AB79" s="6">
        <f>IF(Z79=0,0,AA79/Z79)</f>
        <v/>
      </c>
      <c r="AC79" s="6" t="n"/>
      <c r="AD79" s="2" t="inlineStr">
        <is>
          <t>Loss</t>
        </is>
      </c>
      <c r="AE79" s="6">
        <f>IF((COUNTIF($AD$2:AD79,"Win")+COUNTIF($AD$2:AD79,"Loss"))=0,0,COUNTIF($AD$2:AD79,"Win")/(COUNTIF($AD$2:AD79,"Win")+COUNTIF($AD$2:AD79,"Loss")))</f>
        <v/>
      </c>
      <c r="AF79" s="6">
        <f>SUM($Y$2:Y79)/SUM($X$2:X79)</f>
        <v/>
      </c>
      <c r="AG79" s="5">
        <f>SUM($Y$2:Y79)</f>
        <v/>
      </c>
      <c r="AH79" s="7">
        <f>10000.0+SUM($AA$2:AA79)</f>
        <v/>
      </c>
      <c r="AI79" s="2" t="n">
        <v>2026</v>
      </c>
      <c r="AJ79" s="2" t="inlineStr">
        <is>
          <t>2026-04</t>
        </is>
      </c>
      <c r="AK79" s="2" t="inlineStr">
        <is>
          <t>-149 to -120</t>
        </is>
      </c>
      <c r="AL79" s="2" t="inlineStr">
        <is>
          <t>2026 Frozen Test</t>
        </is>
      </c>
      <c r="AM79" s="6" t="n">
        <v>0.1118792724427395</v>
      </c>
    </row>
    <row r="80">
      <c r="A80" s="2" t="inlineStr">
        <is>
          <t>KPROP-00481</t>
        </is>
      </c>
      <c r="B80" s="3" t="n">
        <v>46117.67056712963</v>
      </c>
      <c r="C80" s="3" t="n">
        <v>46117</v>
      </c>
      <c r="D80" s="2" t="inlineStr">
        <is>
          <t>Kodai Senga</t>
        </is>
      </c>
      <c r="E80" s="2" t="n">
        <v>121</v>
      </c>
      <c r="F80" s="2" t="n">
        <v>137</v>
      </c>
      <c r="G80" s="2" t="inlineStr">
        <is>
          <t>Away</t>
        </is>
      </c>
      <c r="H80" s="2" t="inlineStr">
        <is>
          <t>draftkings</t>
        </is>
      </c>
      <c r="I80" s="4" t="n"/>
      <c r="J80" s="4" t="n"/>
      <c r="K80" s="4" t="n">
        <v>-117</v>
      </c>
      <c r="L80" s="4" t="n">
        <v>-117</v>
      </c>
      <c r="M80" s="5" t="n">
        <v>5.5</v>
      </c>
      <c r="N80" s="5" t="n">
        <v>4.651703958215895</v>
      </c>
      <c r="O80" s="5" t="n">
        <v>5.5</v>
      </c>
      <c r="P80" s="5" t="n">
        <v>0.8482960417841054</v>
      </c>
      <c r="Q80" s="6" t="n">
        <v>0.2552988254585838</v>
      </c>
      <c r="R80" s="6" t="n">
        <v>0.6768201040490982</v>
      </c>
      <c r="S80" s="6" t="n">
        <v>0.5188470066518847</v>
      </c>
      <c r="T80" s="2" t="inlineStr">
        <is>
          <t>Under</t>
        </is>
      </c>
      <c r="U80" s="4" t="n">
        <v>-117</v>
      </c>
      <c r="V80" s="2" t="n">
        <v>1.854700854700855</v>
      </c>
      <c r="W80" s="4" t="n">
        <v>-117</v>
      </c>
      <c r="X80" s="2" t="n">
        <v>1</v>
      </c>
      <c r="Y80" s="5" t="n">
        <v>-1</v>
      </c>
      <c r="Z80" s="7" t="n">
        <v>100</v>
      </c>
      <c r="AA80" s="7">
        <f>Y80*Z80</f>
        <v/>
      </c>
      <c r="AB80" s="6">
        <f>IF(Z80=0,0,AA80/Z80)</f>
        <v/>
      </c>
      <c r="AC80" s="6" t="n"/>
      <c r="AD80" s="2" t="inlineStr">
        <is>
          <t>Loss</t>
        </is>
      </c>
      <c r="AE80" s="6">
        <f>IF((COUNTIF($AD$2:AD80,"Win")+COUNTIF($AD$2:AD80,"Loss"))=0,0,COUNTIF($AD$2:AD80,"Win")/(COUNTIF($AD$2:AD80,"Win")+COUNTIF($AD$2:AD80,"Loss")))</f>
        <v/>
      </c>
      <c r="AF80" s="6">
        <f>SUM($Y$2:Y80)/SUM($X$2:X80)</f>
        <v/>
      </c>
      <c r="AG80" s="5">
        <f>SUM($Y$2:Y80)</f>
        <v/>
      </c>
      <c r="AH80" s="7">
        <f>10000.0+SUM($AA$2:AA80)</f>
        <v/>
      </c>
      <c r="AI80" s="2" t="n">
        <v>2026</v>
      </c>
      <c r="AJ80" s="2" t="inlineStr">
        <is>
          <t>2026-04</t>
        </is>
      </c>
      <c r="AK80" s="2" t="inlineStr">
        <is>
          <t>-119 to -101</t>
        </is>
      </c>
      <c r="AL80" s="2" t="inlineStr">
        <is>
          <t>2026 Frozen Test</t>
        </is>
      </c>
      <c r="AM80" s="6" t="n">
        <v>0.2986996257865431</v>
      </c>
    </row>
    <row r="81">
      <c r="A81" s="2" t="inlineStr">
        <is>
          <t>KPROP-00482</t>
        </is>
      </c>
      <c r="B81" s="3" t="n">
        <v>46117.59070601852</v>
      </c>
      <c r="C81" s="3" t="n">
        <v>46117</v>
      </c>
      <c r="D81" s="2" t="inlineStr">
        <is>
          <t>Kris Bubic</t>
        </is>
      </c>
      <c r="E81" s="2" t="n">
        <v>118</v>
      </c>
      <c r="F81" s="2" t="n">
        <v>158</v>
      </c>
      <c r="G81" s="2" t="inlineStr">
        <is>
          <t>Home</t>
        </is>
      </c>
      <c r="H81" s="2" t="inlineStr">
        <is>
          <t>betrivers</t>
        </is>
      </c>
      <c r="I81" s="4" t="n"/>
      <c r="J81" s="4" t="n"/>
      <c r="K81" s="4" t="n">
        <v>138</v>
      </c>
      <c r="L81" s="4" t="n">
        <v>138</v>
      </c>
      <c r="M81" s="5" t="n">
        <v>4.5</v>
      </c>
      <c r="N81" s="5" t="n">
        <v>4.593314546834275</v>
      </c>
      <c r="O81" s="5" t="n">
        <v>4.5</v>
      </c>
      <c r="P81" s="5" t="n">
        <v>-0.09331454683427509</v>
      </c>
      <c r="Q81" s="6" t="n">
        <v>0.2244820435385124</v>
      </c>
      <c r="R81" s="6" t="n">
        <v>0.5144882535876103</v>
      </c>
      <c r="S81" s="6" t="n">
        <v>0.3907302613850714</v>
      </c>
      <c r="T81" s="2" t="inlineStr">
        <is>
          <t>Under</t>
        </is>
      </c>
      <c r="U81" s="4" t="n">
        <v>138</v>
      </c>
      <c r="V81" s="2" t="n">
        <v>2.38</v>
      </c>
      <c r="W81" s="4" t="n">
        <v>138</v>
      </c>
      <c r="X81" s="2" t="n">
        <v>1</v>
      </c>
      <c r="Y81" s="5" t="n">
        <v>-1</v>
      </c>
      <c r="Z81" s="7" t="n">
        <v>100</v>
      </c>
      <c r="AA81" s="7">
        <f>Y81*Z81</f>
        <v/>
      </c>
      <c r="AB81" s="6">
        <f>IF(Z81=0,0,AA81/Z81)</f>
        <v/>
      </c>
      <c r="AC81" s="6" t="n"/>
      <c r="AD81" s="2" t="inlineStr">
        <is>
          <t>Loss</t>
        </is>
      </c>
      <c r="AE81" s="6">
        <f>IF((COUNTIF($AD$2:AD81,"Win")+COUNTIF($AD$2:AD81,"Loss"))=0,0,COUNTIF($AD$2:AD81,"Win")/(COUNTIF($AD$2:AD81,"Win")+COUNTIF($AD$2:AD81,"Loss")))</f>
        <v/>
      </c>
      <c r="AF81" s="6">
        <f>SUM($Y$2:Y81)/SUM($X$2:X81)</f>
        <v/>
      </c>
      <c r="AG81" s="5">
        <f>SUM($Y$2:Y81)</f>
        <v/>
      </c>
      <c r="AH81" s="7">
        <f>10000.0+SUM($AA$2:AA81)</f>
        <v/>
      </c>
      <c r="AI81" s="2" t="n">
        <v>2026</v>
      </c>
      <c r="AJ81" s="2" t="inlineStr">
        <is>
          <t>2026-04</t>
        </is>
      </c>
      <c r="AK81" s="2" t="inlineStr">
        <is>
          <t>+121 to +150</t>
        </is>
      </c>
      <c r="AL81" s="2" t="inlineStr">
        <is>
          <t>2026 Frozen Test</t>
        </is>
      </c>
      <c r="AM81" s="6" t="n">
        <v>0.1626681474916757</v>
      </c>
    </row>
    <row r="82">
      <c r="A82" s="2" t="inlineStr">
        <is>
          <t>KPROP-00483</t>
        </is>
      </c>
      <c r="B82" s="3" t="n">
        <v>46117.59070601852</v>
      </c>
      <c r="C82" s="3" t="n">
        <v>46117</v>
      </c>
      <c r="D82" s="2" t="inlineStr">
        <is>
          <t>Kris Bubic</t>
        </is>
      </c>
      <c r="E82" s="2" t="n">
        <v>118</v>
      </c>
      <c r="F82" s="2" t="n">
        <v>158</v>
      </c>
      <c r="G82" s="2" t="inlineStr">
        <is>
          <t>Home</t>
        </is>
      </c>
      <c r="H82" s="2" t="inlineStr">
        <is>
          <t>betmgm</t>
        </is>
      </c>
      <c r="I82" s="4" t="n"/>
      <c r="J82" s="4" t="n"/>
      <c r="K82" s="4" t="n">
        <v>-140</v>
      </c>
      <c r="L82" s="4" t="n">
        <v>-140</v>
      </c>
      <c r="M82" s="5" t="n">
        <v>5.5</v>
      </c>
      <c r="N82" s="5" t="n">
        <v>4.593314546834275</v>
      </c>
      <c r="O82" s="5" t="n">
        <v>5.5</v>
      </c>
      <c r="P82" s="5" t="n">
        <v>0.9066854531657249</v>
      </c>
      <c r="Q82" s="6" t="n">
        <v>0.177564414406533</v>
      </c>
      <c r="R82" s="6" t="n">
        <v>0.6869125750704775</v>
      </c>
      <c r="S82" s="6" t="n">
        <v>0.5575221238938054</v>
      </c>
      <c r="T82" s="2" t="inlineStr">
        <is>
          <t>Under</t>
        </is>
      </c>
      <c r="U82" s="4" t="n">
        <v>-140</v>
      </c>
      <c r="V82" s="2" t="n">
        <v>1.714285714285714</v>
      </c>
      <c r="W82" s="4" t="n">
        <v>-140</v>
      </c>
      <c r="X82" s="2" t="n">
        <v>1</v>
      </c>
      <c r="Y82" s="5" t="n">
        <v>-1</v>
      </c>
      <c r="Z82" s="7" t="n">
        <v>100</v>
      </c>
      <c r="AA82" s="7">
        <f>Y82*Z82</f>
        <v/>
      </c>
      <c r="AB82" s="6">
        <f>IF(Z82=0,0,AA82/Z82)</f>
        <v/>
      </c>
      <c r="AC82" s="6" t="n"/>
      <c r="AD82" s="2" t="inlineStr">
        <is>
          <t>Loss</t>
        </is>
      </c>
      <c r="AE82" s="6">
        <f>IF((COUNTIF($AD$2:AD82,"Win")+COUNTIF($AD$2:AD82,"Loss"))=0,0,COUNTIF($AD$2:AD82,"Win")/(COUNTIF($AD$2:AD82,"Win")+COUNTIF($AD$2:AD82,"Loss")))</f>
        <v/>
      </c>
      <c r="AF82" s="6">
        <f>SUM($Y$2:Y82)/SUM($X$2:X82)</f>
        <v/>
      </c>
      <c r="AG82" s="5">
        <f>SUM($Y$2:Y82)</f>
        <v/>
      </c>
      <c r="AH82" s="7">
        <f>10000.0+SUM($AA$2:AA82)</f>
        <v/>
      </c>
      <c r="AI82" s="2" t="n">
        <v>2026</v>
      </c>
      <c r="AJ82" s="2" t="inlineStr">
        <is>
          <t>2026-04</t>
        </is>
      </c>
      <c r="AK82" s="2" t="inlineStr">
        <is>
          <t>-149 to -120</t>
        </is>
      </c>
      <c r="AL82" s="2" t="inlineStr">
        <is>
          <t>2026 Frozen Test</t>
        </is>
      </c>
      <c r="AM82" s="6" t="n">
        <v>0.2485901801691462</v>
      </c>
    </row>
    <row r="83">
      <c r="A83" s="2" t="inlineStr">
        <is>
          <t>KPROP-00484</t>
        </is>
      </c>
      <c r="B83" s="3" t="n">
        <v>46117.59070601852</v>
      </c>
      <c r="C83" s="3" t="n">
        <v>46117</v>
      </c>
      <c r="D83" s="2" t="inlineStr">
        <is>
          <t>Kyle Harrison</t>
        </is>
      </c>
      <c r="E83" s="2" t="n">
        <v>158</v>
      </c>
      <c r="F83" s="2" t="n">
        <v>118</v>
      </c>
      <c r="G83" s="2" t="inlineStr">
        <is>
          <t>Away</t>
        </is>
      </c>
      <c r="H83" s="2" t="inlineStr">
        <is>
          <t>fanduel</t>
        </is>
      </c>
      <c r="I83" s="4" t="n"/>
      <c r="J83" s="4" t="n"/>
      <c r="K83" s="4" t="n">
        <v>116</v>
      </c>
      <c r="L83" s="4" t="n">
        <v>116</v>
      </c>
      <c r="M83" s="5" t="n">
        <v>4.5</v>
      </c>
      <c r="N83" s="5" t="n">
        <v>4.569384142813347</v>
      </c>
      <c r="O83" s="5" t="n">
        <v>4.5</v>
      </c>
      <c r="P83" s="5" t="n">
        <v>-0.06938414281334726</v>
      </c>
      <c r="Q83" s="6" t="n">
        <v>0.1210111227285579</v>
      </c>
      <c r="R83" s="6" t="n">
        <v>0.5189866308928508</v>
      </c>
      <c r="S83" s="6" t="n">
        <v>0.4417479287337782</v>
      </c>
      <c r="T83" s="2" t="inlineStr">
        <is>
          <t>Under</t>
        </is>
      </c>
      <c r="U83" s="4" t="n">
        <v>116</v>
      </c>
      <c r="V83" s="2" t="n">
        <v>2.16</v>
      </c>
      <c r="W83" s="4" t="n">
        <v>116</v>
      </c>
      <c r="X83" s="2" t="n">
        <v>1</v>
      </c>
      <c r="Y83" s="5" t="n">
        <v>-1</v>
      </c>
      <c r="Z83" s="7" t="n">
        <v>100</v>
      </c>
      <c r="AA83" s="7">
        <f>Y83*Z83</f>
        <v/>
      </c>
      <c r="AB83" s="6">
        <f>IF(Z83=0,0,AA83/Z83)</f>
        <v/>
      </c>
      <c r="AC83" s="6" t="n"/>
      <c r="AD83" s="2" t="inlineStr">
        <is>
          <t>Loss</t>
        </is>
      </c>
      <c r="AE83" s="6">
        <f>IF((COUNTIF($AD$2:AD83,"Win")+COUNTIF($AD$2:AD83,"Loss"))=0,0,COUNTIF($AD$2:AD83,"Win")/(COUNTIF($AD$2:AD83,"Win")+COUNTIF($AD$2:AD83,"Loss")))</f>
        <v/>
      </c>
      <c r="AF83" s="6">
        <f>SUM($Y$2:Y83)/SUM($X$2:X83)</f>
        <v/>
      </c>
      <c r="AG83" s="5">
        <f>SUM($Y$2:Y83)</f>
        <v/>
      </c>
      <c r="AH83" s="7">
        <f>10000.0+SUM($AA$2:AA83)</f>
        <v/>
      </c>
      <c r="AI83" s="2" t="n">
        <v>2026</v>
      </c>
      <c r="AJ83" s="2" t="inlineStr">
        <is>
          <t>2026-04</t>
        </is>
      </c>
      <c r="AK83" s="2" t="inlineStr">
        <is>
          <t>+100 to +120</t>
        </is>
      </c>
      <c r="AL83" s="2" t="inlineStr">
        <is>
          <t>2026 Frozen Test</t>
        </is>
      </c>
      <c r="AM83" s="6" t="n">
        <v>0.1043199333866878</v>
      </c>
    </row>
    <row r="84">
      <c r="A84" s="2" t="inlineStr">
        <is>
          <t>KPROP-00485</t>
        </is>
      </c>
      <c r="B84" s="3" t="n">
        <v>46117.80599537037</v>
      </c>
      <c r="C84" s="3" t="n">
        <v>46117</v>
      </c>
      <c r="D84" s="2" t="inlineStr">
        <is>
          <t>Kyle Leahy</t>
        </is>
      </c>
      <c r="E84" s="2" t="n">
        <v>138</v>
      </c>
      <c r="F84" s="2" t="n">
        <v>116</v>
      </c>
      <c r="G84" s="2" t="inlineStr">
        <is>
          <t>Away</t>
        </is>
      </c>
      <c r="H84" s="2" t="inlineStr">
        <is>
          <t>betmgm</t>
        </is>
      </c>
      <c r="I84" s="4" t="n"/>
      <c r="J84" s="4" t="n"/>
      <c r="K84" s="4" t="n">
        <v>120</v>
      </c>
      <c r="L84" s="4" t="n">
        <v>120</v>
      </c>
      <c r="M84" s="5" t="n">
        <v>3.5</v>
      </c>
      <c r="N84" s="5" t="n">
        <v>2.914101477703026</v>
      </c>
      <c r="O84" s="5" t="n">
        <v>3.5</v>
      </c>
      <c r="P84" s="5" t="n">
        <v>0.5858985222969744</v>
      </c>
      <c r="Q84" s="6" t="n">
        <v>0.4662312461061785</v>
      </c>
      <c r="R84" s="6" t="n">
        <v>0.6664687482300811</v>
      </c>
      <c r="S84" s="6" t="n">
        <v>0.4417293233082706</v>
      </c>
      <c r="T84" s="2" t="inlineStr">
        <is>
          <t>Under</t>
        </is>
      </c>
      <c r="U84" s="4" t="n">
        <v>120</v>
      </c>
      <c r="V84" s="2" t="n">
        <v>2.2</v>
      </c>
      <c r="W84" s="4" t="n">
        <v>120</v>
      </c>
      <c r="X84" s="2" t="n">
        <v>1</v>
      </c>
      <c r="Y84" s="5" t="n">
        <v>-1</v>
      </c>
      <c r="Z84" s="7" t="n">
        <v>100</v>
      </c>
      <c r="AA84" s="7">
        <f>Y84*Z84</f>
        <v/>
      </c>
      <c r="AB84" s="6">
        <f>IF(Z84=0,0,AA84/Z84)</f>
        <v/>
      </c>
      <c r="AC84" s="6" t="n"/>
      <c r="AD84" s="2" t="inlineStr">
        <is>
          <t>Loss</t>
        </is>
      </c>
      <c r="AE84" s="6">
        <f>IF((COUNTIF($AD$2:AD84,"Win")+COUNTIF($AD$2:AD84,"Loss"))=0,0,COUNTIF($AD$2:AD84,"Win")/(COUNTIF($AD$2:AD84,"Win")+COUNTIF($AD$2:AD84,"Loss")))</f>
        <v/>
      </c>
      <c r="AF84" s="6">
        <f>SUM($Y$2:Y84)/SUM($X$2:X84)</f>
        <v/>
      </c>
      <c r="AG84" s="5">
        <f>SUM($Y$2:Y84)</f>
        <v/>
      </c>
      <c r="AH84" s="7">
        <f>10000.0+SUM($AA$2:AA84)</f>
        <v/>
      </c>
      <c r="AI84" s="2" t="n">
        <v>2026</v>
      </c>
      <c r="AJ84" s="2" t="inlineStr">
        <is>
          <t>2026-04</t>
        </is>
      </c>
      <c r="AK84" s="2" t="inlineStr">
        <is>
          <t>+100 to +120</t>
        </is>
      </c>
      <c r="AL84" s="2" t="inlineStr">
        <is>
          <t>2026 Frozen Test</t>
        </is>
      </c>
      <c r="AM84" s="6" t="n">
        <v>0.3885260384218154</v>
      </c>
    </row>
    <row r="85">
      <c r="A85" s="2" t="inlineStr">
        <is>
          <t>KPROP-00486</t>
        </is>
      </c>
      <c r="B85" s="3" t="n">
        <v>46117.67056712963</v>
      </c>
      <c r="C85" s="3" t="n">
        <v>46117</v>
      </c>
      <c r="D85" s="2" t="inlineStr">
        <is>
          <t>Lance McCullers Jr.</t>
        </is>
      </c>
      <c r="E85" s="2" t="n">
        <v>117</v>
      </c>
      <c r="F85" s="2" t="n">
        <v>133</v>
      </c>
      <c r="G85" s="2" t="inlineStr">
        <is>
          <t>Away</t>
        </is>
      </c>
      <c r="H85" s="2" t="inlineStr">
        <is>
          <t>betrivers</t>
        </is>
      </c>
      <c r="I85" s="4" t="n"/>
      <c r="J85" s="4" t="n"/>
      <c r="K85" s="4" t="n">
        <v>123</v>
      </c>
      <c r="L85" s="4" t="n">
        <v>123</v>
      </c>
      <c r="M85" s="5" t="n">
        <v>5.5</v>
      </c>
      <c r="N85" s="5" t="n">
        <v>4.733512723928393</v>
      </c>
      <c r="O85" s="5" t="n">
        <v>5.5</v>
      </c>
      <c r="P85" s="5" t="n">
        <v>0.766487276071607</v>
      </c>
      <c r="Q85" s="6" t="n">
        <v>0.4776135871632783</v>
      </c>
      <c r="R85" s="6" t="n">
        <v>0.6626069897593176</v>
      </c>
      <c r="S85" s="6" t="n">
        <v>0.4215304798962387</v>
      </c>
      <c r="T85" s="2" t="inlineStr">
        <is>
          <t>Under</t>
        </is>
      </c>
      <c r="U85" s="4" t="n">
        <v>123</v>
      </c>
      <c r="V85" s="2" t="n">
        <v>2.23</v>
      </c>
      <c r="W85" s="4" t="n">
        <v>123</v>
      </c>
      <c r="X85" s="2" t="n">
        <v>1</v>
      </c>
      <c r="Y85" s="5" t="n">
        <v>1.23</v>
      </c>
      <c r="Z85" s="7" t="n">
        <v>100</v>
      </c>
      <c r="AA85" s="7">
        <f>Y85*Z85</f>
        <v/>
      </c>
      <c r="AB85" s="6">
        <f>IF(Z85=0,0,AA85/Z85)</f>
        <v/>
      </c>
      <c r="AC85" s="6" t="n"/>
      <c r="AD85" s="2" t="inlineStr">
        <is>
          <t>Win</t>
        </is>
      </c>
      <c r="AE85" s="6">
        <f>IF((COUNTIF($AD$2:AD85,"Win")+COUNTIF($AD$2:AD85,"Loss"))=0,0,COUNTIF($AD$2:AD85,"Win")/(COUNTIF($AD$2:AD85,"Win")+COUNTIF($AD$2:AD85,"Loss")))</f>
        <v/>
      </c>
      <c r="AF85" s="6">
        <f>SUM($Y$2:Y85)/SUM($X$2:X85)</f>
        <v/>
      </c>
      <c r="AG85" s="5">
        <f>SUM($Y$2:Y85)</f>
        <v/>
      </c>
      <c r="AH85" s="7">
        <f>10000.0+SUM($AA$2:AA85)</f>
        <v/>
      </c>
      <c r="AI85" s="2" t="n">
        <v>2026</v>
      </c>
      <c r="AJ85" s="2" t="inlineStr">
        <is>
          <t>2026-04</t>
        </is>
      </c>
      <c r="AK85" s="2" t="inlineStr">
        <is>
          <t>+121 to +150</t>
        </is>
      </c>
      <c r="AL85" s="2" t="inlineStr">
        <is>
          <t>2026 Frozen Test</t>
        </is>
      </c>
      <c r="AM85" s="6" t="n">
        <v>0.3883037294010392</v>
      </c>
    </row>
    <row r="86">
      <c r="A86" s="2" t="inlineStr">
        <is>
          <t>KPROP-00487</t>
        </is>
      </c>
      <c r="B86" s="3" t="n">
        <v>46117.67056712963</v>
      </c>
      <c r="C86" s="3" t="n">
        <v>46117</v>
      </c>
      <c r="D86" s="2" t="inlineStr">
        <is>
          <t>Lance McCullers Jr.</t>
        </is>
      </c>
      <c r="E86" s="2" t="n">
        <v>117</v>
      </c>
      <c r="F86" s="2" t="n">
        <v>133</v>
      </c>
      <c r="G86" s="2" t="inlineStr">
        <is>
          <t>Away</t>
        </is>
      </c>
      <c r="H86" s="2" t="inlineStr">
        <is>
          <t>draftkings</t>
        </is>
      </c>
      <c r="I86" s="4" t="n"/>
      <c r="J86" s="4" t="n"/>
      <c r="K86" s="4" t="n">
        <v>-146</v>
      </c>
      <c r="L86" s="4" t="n">
        <v>-146</v>
      </c>
      <c r="M86" s="5" t="n">
        <v>6.5</v>
      </c>
      <c r="N86" s="5" t="n">
        <v>4.733512723928393</v>
      </c>
      <c r="O86" s="5" t="n">
        <v>6.5</v>
      </c>
      <c r="P86" s="5" t="n">
        <v>1.766487276071607</v>
      </c>
      <c r="Q86" s="6" t="n">
        <v>0.3479802300470836</v>
      </c>
      <c r="R86" s="6" t="n">
        <v>0.800020786938513</v>
      </c>
      <c r="S86" s="6" t="n">
        <v>0.5771742866964593</v>
      </c>
      <c r="T86" s="2" t="inlineStr">
        <is>
          <t>Under</t>
        </is>
      </c>
      <c r="U86" s="4" t="n">
        <v>-146</v>
      </c>
      <c r="V86" s="2" t="n">
        <v>1.684931506849315</v>
      </c>
      <c r="W86" s="4" t="n">
        <v>-146</v>
      </c>
      <c r="X86" s="2" t="n">
        <v>1</v>
      </c>
      <c r="Y86" s="5" t="n">
        <v>0.6849315068493151</v>
      </c>
      <c r="Z86" s="7" t="n">
        <v>100</v>
      </c>
      <c r="AA86" s="7">
        <f>Y86*Z86</f>
        <v/>
      </c>
      <c r="AB86" s="6">
        <f>IF(Z86=0,0,AA86/Z86)</f>
        <v/>
      </c>
      <c r="AC86" s="6" t="n"/>
      <c r="AD86" s="2" t="inlineStr">
        <is>
          <t>Win</t>
        </is>
      </c>
      <c r="AE86" s="6">
        <f>IF((COUNTIF($AD$2:AD86,"Win")+COUNTIF($AD$2:AD86,"Loss"))=0,0,COUNTIF($AD$2:AD86,"Win")/(COUNTIF($AD$2:AD86,"Win")+COUNTIF($AD$2:AD86,"Loss")))</f>
        <v/>
      </c>
      <c r="AF86" s="6">
        <f>SUM($Y$2:Y86)/SUM($X$2:X86)</f>
        <v/>
      </c>
      <c r="AG86" s="5">
        <f>SUM($Y$2:Y86)</f>
        <v/>
      </c>
      <c r="AH86" s="7">
        <f>10000.0+SUM($AA$2:AA86)</f>
        <v/>
      </c>
      <c r="AI86" s="2" t="n">
        <v>2026</v>
      </c>
      <c r="AJ86" s="2" t="inlineStr">
        <is>
          <t>2026-04</t>
        </is>
      </c>
      <c r="AK86" s="2" t="inlineStr">
        <is>
          <t>-149 to -120</t>
        </is>
      </c>
      <c r="AL86" s="2" t="inlineStr">
        <is>
          <t>2026 Frozen Test</t>
        </is>
      </c>
      <c r="AM86" s="6" t="n">
        <v>0.508051135868742</v>
      </c>
    </row>
    <row r="87">
      <c r="A87" s="2" t="inlineStr">
        <is>
          <t>KPROP-00488</t>
        </is>
      </c>
      <c r="B87" s="3" t="n">
        <v>46117.67056712963</v>
      </c>
      <c r="C87" s="3" t="n">
        <v>46117</v>
      </c>
      <c r="D87" s="2" t="inlineStr">
        <is>
          <t>Logan Webb</t>
        </is>
      </c>
      <c r="E87" s="2" t="n">
        <v>137</v>
      </c>
      <c r="F87" s="2" t="n">
        <v>121</v>
      </c>
      <c r="G87" s="2" t="inlineStr">
        <is>
          <t>Home</t>
        </is>
      </c>
      <c r="H87" s="2" t="inlineStr">
        <is>
          <t>bovada</t>
        </is>
      </c>
      <c r="I87" s="4" t="n"/>
      <c r="J87" s="4" t="n"/>
      <c r="K87" s="4" t="n">
        <v>120</v>
      </c>
      <c r="L87" s="4" t="n">
        <v>120</v>
      </c>
      <c r="M87" s="5" t="n">
        <v>5.5</v>
      </c>
      <c r="N87" s="5" t="n">
        <v>5.366108249235038</v>
      </c>
      <c r="O87" s="5" t="n">
        <v>5.5</v>
      </c>
      <c r="P87" s="5" t="n">
        <v>0.1338917507649624</v>
      </c>
      <c r="Q87" s="6" t="n">
        <v>0.2143922716234299</v>
      </c>
      <c r="R87" s="6" t="n">
        <v>0.551996487101559</v>
      </c>
      <c r="S87" s="6" t="n">
        <v>0.4379562043795621</v>
      </c>
      <c r="T87" s="2" t="inlineStr">
        <is>
          <t>Under</t>
        </is>
      </c>
      <c r="U87" s="4" t="n">
        <v>120</v>
      </c>
      <c r="V87" s="2" t="n">
        <v>2.2</v>
      </c>
      <c r="W87" s="4" t="n">
        <v>120</v>
      </c>
      <c r="X87" s="2" t="n">
        <v>1</v>
      </c>
      <c r="Y87" s="5" t="n">
        <v>1.2</v>
      </c>
      <c r="Z87" s="7" t="n">
        <v>100</v>
      </c>
      <c r="AA87" s="7">
        <f>Y87*Z87</f>
        <v/>
      </c>
      <c r="AB87" s="6">
        <f>IF(Z87=0,0,AA87/Z87)</f>
        <v/>
      </c>
      <c r="AC87" s="6" t="n"/>
      <c r="AD87" s="2" t="inlineStr">
        <is>
          <t>Win</t>
        </is>
      </c>
      <c r="AE87" s="6">
        <f>IF((COUNTIF($AD$2:AD87,"Win")+COUNTIF($AD$2:AD87,"Loss"))=0,0,COUNTIF($AD$2:AD87,"Win")/(COUNTIF($AD$2:AD87,"Win")+COUNTIF($AD$2:AD87,"Loss")))</f>
        <v/>
      </c>
      <c r="AF87" s="6">
        <f>SUM($Y$2:Y87)/SUM($X$2:X87)</f>
        <v/>
      </c>
      <c r="AG87" s="5">
        <f>SUM($Y$2:Y87)</f>
        <v/>
      </c>
      <c r="AH87" s="7">
        <f>10000.0+SUM($AA$2:AA87)</f>
        <v/>
      </c>
      <c r="AI87" s="2" t="n">
        <v>2026</v>
      </c>
      <c r="AJ87" s="2" t="inlineStr">
        <is>
          <t>2026-04</t>
        </is>
      </c>
      <c r="AK87" s="2" t="inlineStr">
        <is>
          <t>+100 to +120</t>
        </is>
      </c>
      <c r="AL87" s="2" t="inlineStr">
        <is>
          <t>2026 Frozen Test</t>
        </is>
      </c>
      <c r="AM87" s="6" t="n">
        <v>0.1786602263528582</v>
      </c>
    </row>
    <row r="88">
      <c r="A88" s="2" t="inlineStr">
        <is>
          <t>KPROP-00489</t>
        </is>
      </c>
      <c r="B88" s="3" t="n">
        <v>46117.67056712963</v>
      </c>
      <c r="C88" s="3" t="n">
        <v>46117</v>
      </c>
      <c r="D88" s="2" t="inlineStr">
        <is>
          <t>Logan Webb</t>
        </is>
      </c>
      <c r="E88" s="2" t="n">
        <v>137</v>
      </c>
      <c r="F88" s="2" t="n">
        <v>121</v>
      </c>
      <c r="G88" s="2" t="inlineStr">
        <is>
          <t>Home</t>
        </is>
      </c>
      <c r="H88" s="2" t="inlineStr">
        <is>
          <t>draftkings</t>
        </is>
      </c>
      <c r="I88" s="4" t="n"/>
      <c r="J88" s="4" t="n"/>
      <c r="K88" s="4" t="n">
        <v>-148</v>
      </c>
      <c r="L88" s="4" t="n">
        <v>-148</v>
      </c>
      <c r="M88" s="5" t="n">
        <v>6.5</v>
      </c>
      <c r="N88" s="5" t="n">
        <v>5.366108249235038</v>
      </c>
      <c r="O88" s="5" t="n">
        <v>6.5</v>
      </c>
      <c r="P88" s="5" t="n">
        <v>1.133891750764962</v>
      </c>
      <c r="Q88" s="6" t="n">
        <v>0.1845898946889394</v>
      </c>
      <c r="R88" s="6" t="n">
        <v>0.7069326790885606</v>
      </c>
      <c r="S88" s="6" t="n">
        <v>0.5816746508332771</v>
      </c>
      <c r="T88" s="2" t="inlineStr">
        <is>
          <t>Under</t>
        </is>
      </c>
      <c r="U88" s="4" t="n">
        <v>-148</v>
      </c>
      <c r="V88" s="2" t="n">
        <v>1.675675675675676</v>
      </c>
      <c r="W88" s="4" t="n">
        <v>-148</v>
      </c>
      <c r="X88" s="2" t="n">
        <v>1</v>
      </c>
      <c r="Y88" s="5" t="n">
        <v>0.6756756756756757</v>
      </c>
      <c r="Z88" s="7" t="n">
        <v>100</v>
      </c>
      <c r="AA88" s="7">
        <f>Y88*Z88</f>
        <v/>
      </c>
      <c r="AB88" s="6">
        <f>IF(Z88=0,0,AA88/Z88)</f>
        <v/>
      </c>
      <c r="AC88" s="6" t="n"/>
      <c r="AD88" s="2" t="inlineStr">
        <is>
          <t>Win</t>
        </is>
      </c>
      <c r="AE88" s="6">
        <f>IF((COUNTIF($AD$2:AD88,"Win")+COUNTIF($AD$2:AD88,"Loss"))=0,0,COUNTIF($AD$2:AD88,"Win")/(COUNTIF($AD$2:AD88,"Win")+COUNTIF($AD$2:AD88,"Loss")))</f>
        <v/>
      </c>
      <c r="AF88" s="6">
        <f>SUM($Y$2:Y88)/SUM($X$2:X88)</f>
        <v/>
      </c>
      <c r="AG88" s="5">
        <f>SUM($Y$2:Y88)</f>
        <v/>
      </c>
      <c r="AH88" s="7">
        <f>10000.0+SUM($AA$2:AA88)</f>
        <v/>
      </c>
      <c r="AI88" s="2" t="n">
        <v>2026</v>
      </c>
      <c r="AJ88" s="2" t="inlineStr">
        <is>
          <t>2026-04</t>
        </is>
      </c>
      <c r="AK88" s="2" t="inlineStr">
        <is>
          <t>-149 to -120</t>
        </is>
      </c>
      <c r="AL88" s="2" t="inlineStr">
        <is>
          <t>2026 Frozen Test</t>
        </is>
      </c>
      <c r="AM88" s="6" t="n">
        <v>0.2731930441396303</v>
      </c>
    </row>
    <row r="89">
      <c r="A89" s="2" t="inlineStr">
        <is>
          <t>KPROP-00490</t>
        </is>
      </c>
      <c r="B89" s="3" t="n">
        <v>46117.56640046297</v>
      </c>
      <c r="C89" s="3" t="n">
        <v>46117</v>
      </c>
      <c r="D89" s="2" t="inlineStr">
        <is>
          <t>Max Fried</t>
        </is>
      </c>
      <c r="E89" s="2" t="n">
        <v>147</v>
      </c>
      <c r="F89" s="2" t="n">
        <v>146</v>
      </c>
      <c r="G89" s="2" t="inlineStr">
        <is>
          <t>Home</t>
        </is>
      </c>
      <c r="H89" s="2" t="inlineStr">
        <is>
          <t>draftkings</t>
        </is>
      </c>
      <c r="I89" s="4" t="n"/>
      <c r="J89" s="4" t="n"/>
      <c r="K89" s="4" t="n">
        <v>122</v>
      </c>
      <c r="L89" s="4" t="n">
        <v>122</v>
      </c>
      <c r="M89" s="5" t="n">
        <v>5.5</v>
      </c>
      <c r="N89" s="5" t="n">
        <v>5.342079857497924</v>
      </c>
      <c r="O89" s="5" t="n">
        <v>5.5</v>
      </c>
      <c r="P89" s="5" t="n">
        <v>0.1579201425020758</v>
      </c>
      <c r="Q89" s="6" t="n">
        <v>0.2346806977801897</v>
      </c>
      <c r="R89" s="6" t="n">
        <v>0.556162476477563</v>
      </c>
      <c r="S89" s="6" t="n">
        <v>0.4394987843650645</v>
      </c>
      <c r="T89" s="2" t="inlineStr">
        <is>
          <t>Under</t>
        </is>
      </c>
      <c r="U89" s="4" t="n">
        <v>122</v>
      </c>
      <c r="V89" s="2" t="n">
        <v>2.22</v>
      </c>
      <c r="W89" s="4" t="n">
        <v>122</v>
      </c>
      <c r="X89" s="2" t="n">
        <v>1</v>
      </c>
      <c r="Y89" s="5" t="n">
        <v>1.22</v>
      </c>
      <c r="Z89" s="7" t="n">
        <v>100</v>
      </c>
      <c r="AA89" s="7">
        <f>Y89*Z89</f>
        <v/>
      </c>
      <c r="AB89" s="6">
        <f>IF(Z89=0,0,AA89/Z89)</f>
        <v/>
      </c>
      <c r="AC89" s="6" t="n"/>
      <c r="AD89" s="2" t="inlineStr">
        <is>
          <t>Win</t>
        </is>
      </c>
      <c r="AE89" s="6">
        <f>IF((COUNTIF($AD$2:AD89,"Win")+COUNTIF($AD$2:AD89,"Loss"))=0,0,COUNTIF($AD$2:AD89,"Win")/(COUNTIF($AD$2:AD89,"Win")+COUNTIF($AD$2:AD89,"Loss")))</f>
        <v/>
      </c>
      <c r="AF89" s="6">
        <f>SUM($Y$2:Y89)/SUM($X$2:X89)</f>
        <v/>
      </c>
      <c r="AG89" s="5">
        <f>SUM($Y$2:Y89)</f>
        <v/>
      </c>
      <c r="AH89" s="7">
        <f>10000.0+SUM($AA$2:AA89)</f>
        <v/>
      </c>
      <c r="AI89" s="2" t="n">
        <v>2026</v>
      </c>
      <c r="AJ89" s="2" t="inlineStr">
        <is>
          <t>2026-04</t>
        </is>
      </c>
      <c r="AK89" s="2" t="inlineStr">
        <is>
          <t>+121 to +150</t>
        </is>
      </c>
      <c r="AL89" s="2" t="inlineStr">
        <is>
          <t>2026 Frozen Test</t>
        </is>
      </c>
      <c r="AM89" s="6" t="n">
        <v>0.1923612276886802</v>
      </c>
    </row>
    <row r="90">
      <c r="A90" s="2" t="inlineStr">
        <is>
          <t>KPROP-00491</t>
        </is>
      </c>
      <c r="B90" s="3" t="n">
        <v>46117.59070601852</v>
      </c>
      <c r="C90" s="3" t="n">
        <v>46117</v>
      </c>
      <c r="D90" s="2" t="inlineStr">
        <is>
          <t>Nick Martinez</t>
        </is>
      </c>
      <c r="E90" s="2" t="n">
        <v>139</v>
      </c>
      <c r="F90" s="2" t="n">
        <v>142</v>
      </c>
      <c r="G90" s="2" t="inlineStr">
        <is>
          <t>Away</t>
        </is>
      </c>
      <c r="H90" s="2" t="inlineStr">
        <is>
          <t>draftkings</t>
        </is>
      </c>
      <c r="I90" s="4" t="n"/>
      <c r="J90" s="4" t="n"/>
      <c r="K90" s="4" t="n">
        <v>-132</v>
      </c>
      <c r="L90" s="4" t="n">
        <v>-132</v>
      </c>
      <c r="M90" s="5" t="n">
        <v>4.5</v>
      </c>
      <c r="N90" s="5" t="n">
        <v>3.758052103513529</v>
      </c>
      <c r="O90" s="5" t="n">
        <v>4.5</v>
      </c>
      <c r="P90" s="5" t="n">
        <v>0.7419478964864705</v>
      </c>
      <c r="Q90" s="6" t="n">
        <v>0.1880981586215056</v>
      </c>
      <c r="R90" s="6" t="n">
        <v>0.6759868833536152</v>
      </c>
      <c r="S90" s="6" t="n">
        <v>0.5614366729678639</v>
      </c>
      <c r="T90" s="2" t="inlineStr">
        <is>
          <t>Under</t>
        </is>
      </c>
      <c r="U90" s="4" t="n">
        <v>-132</v>
      </c>
      <c r="V90" s="2" t="n">
        <v>1.757575757575758</v>
      </c>
      <c r="W90" s="4" t="n">
        <v>-132</v>
      </c>
      <c r="X90" s="2" t="n">
        <v>1</v>
      </c>
      <c r="Y90" s="5" t="n">
        <v>0.7575757575757576</v>
      </c>
      <c r="Z90" s="7" t="n">
        <v>100</v>
      </c>
      <c r="AA90" s="7">
        <f>Y90*Z90</f>
        <v/>
      </c>
      <c r="AB90" s="6">
        <f>IF(Z90=0,0,AA90/Z90)</f>
        <v/>
      </c>
      <c r="AC90" s="6" t="n"/>
      <c r="AD90" s="2" t="inlineStr">
        <is>
          <t>Win</t>
        </is>
      </c>
      <c r="AE90" s="6">
        <f>IF((COUNTIF($AD$2:AD90,"Win")+COUNTIF($AD$2:AD90,"Loss"))=0,0,COUNTIF($AD$2:AD90,"Win")/(COUNTIF($AD$2:AD90,"Win")+COUNTIF($AD$2:AD90,"Loss")))</f>
        <v/>
      </c>
      <c r="AF90" s="6">
        <f>SUM($Y$2:Y90)/SUM($X$2:X90)</f>
        <v/>
      </c>
      <c r="AG90" s="5">
        <f>SUM($Y$2:Y90)</f>
        <v/>
      </c>
      <c r="AH90" s="7">
        <f>10000.0+SUM($AA$2:AA90)</f>
        <v/>
      </c>
      <c r="AI90" s="2" t="n">
        <v>2026</v>
      </c>
      <c r="AJ90" s="2" t="inlineStr">
        <is>
          <t>2026-04</t>
        </is>
      </c>
      <c r="AK90" s="2" t="inlineStr">
        <is>
          <t>-149 to -120</t>
        </is>
      </c>
      <c r="AL90" s="2" t="inlineStr">
        <is>
          <t>2026 Frozen Test</t>
        </is>
      </c>
      <c r="AM90" s="6" t="n">
        <v>0.2482895693803874</v>
      </c>
    </row>
    <row r="91">
      <c r="A91" s="2" t="inlineStr">
        <is>
          <t>KPROP-00492</t>
        </is>
      </c>
      <c r="B91" s="3" t="n">
        <v>46117.69488425926</v>
      </c>
      <c r="C91" s="3" t="n">
        <v>46117</v>
      </c>
      <c r="D91" s="2" t="inlineStr">
        <is>
          <t>Parker Messick</t>
        </is>
      </c>
      <c r="E91" s="2" t="n">
        <v>114</v>
      </c>
      <c r="F91" s="2" t="n">
        <v>112</v>
      </c>
      <c r="G91" s="2" t="inlineStr">
        <is>
          <t>Home</t>
        </is>
      </c>
      <c r="H91" s="2" t="inlineStr">
        <is>
          <t>bovada</t>
        </is>
      </c>
      <c r="I91" s="4" t="n"/>
      <c r="J91" s="4" t="n"/>
      <c r="K91" s="4" t="n">
        <v>120</v>
      </c>
      <c r="L91" s="4" t="n">
        <v>120</v>
      </c>
      <c r="M91" s="5" t="n">
        <v>4.5</v>
      </c>
      <c r="N91" s="5" t="n">
        <v>4.679064832418309</v>
      </c>
      <c r="O91" s="5" t="n">
        <v>4.5</v>
      </c>
      <c r="P91" s="5" t="n">
        <v>-0.1790648324183088</v>
      </c>
      <c r="Q91" s="6" t="n">
        <v>0.09666967697107909</v>
      </c>
      <c r="R91" s="6" t="n">
        <v>0.4984862168050359</v>
      </c>
      <c r="S91" s="6" t="n">
        <v>0.4260237780713342</v>
      </c>
      <c r="T91" s="2" t="inlineStr">
        <is>
          <t>Under</t>
        </is>
      </c>
      <c r="U91" s="4" t="n">
        <v>120</v>
      </c>
      <c r="V91" s="2" t="n">
        <v>2.2</v>
      </c>
      <c r="W91" s="4" t="n">
        <v>120</v>
      </c>
      <c r="X91" s="2" t="n">
        <v>1</v>
      </c>
      <c r="Y91" s="5" t="n">
        <v>-1</v>
      </c>
      <c r="Z91" s="7" t="n">
        <v>100</v>
      </c>
      <c r="AA91" s="7">
        <f>Y91*Z91</f>
        <v/>
      </c>
      <c r="AB91" s="6">
        <f>IF(Z91=0,0,AA91/Z91)</f>
        <v/>
      </c>
      <c r="AC91" s="6" t="n"/>
      <c r="AD91" s="2" t="inlineStr">
        <is>
          <t>Loss</t>
        </is>
      </c>
      <c r="AE91" s="6">
        <f>IF((COUNTIF($AD$2:AD91,"Win")+COUNTIF($AD$2:AD91,"Loss"))=0,0,COUNTIF($AD$2:AD91,"Win")/(COUNTIF($AD$2:AD91,"Win")+COUNTIF($AD$2:AD91,"Loss")))</f>
        <v/>
      </c>
      <c r="AF91" s="6">
        <f>SUM($Y$2:Y91)/SUM($X$2:X91)</f>
        <v/>
      </c>
      <c r="AG91" s="5">
        <f>SUM($Y$2:Y91)</f>
        <v/>
      </c>
      <c r="AH91" s="7">
        <f>10000.0+SUM($AA$2:AA91)</f>
        <v/>
      </c>
      <c r="AI91" s="2" t="n">
        <v>2026</v>
      </c>
      <c r="AJ91" s="2" t="inlineStr">
        <is>
          <t>2026-04</t>
        </is>
      </c>
      <c r="AK91" s="2" t="inlineStr">
        <is>
          <t>+100 to +120</t>
        </is>
      </c>
      <c r="AL91" s="2" t="inlineStr">
        <is>
          <t>2026 Frozen Test</t>
        </is>
      </c>
      <c r="AM91" s="6" t="n">
        <v>0.08055806414256589</v>
      </c>
    </row>
    <row r="92">
      <c r="A92" s="2" t="inlineStr">
        <is>
          <t>KPROP-00493</t>
        </is>
      </c>
      <c r="B92" s="3" t="n">
        <v>46117.56640046297</v>
      </c>
      <c r="C92" s="3" t="n">
        <v>46117</v>
      </c>
      <c r="D92" s="2" t="inlineStr">
        <is>
          <t>Ranger Suarez</t>
        </is>
      </c>
      <c r="E92" s="2" t="n">
        <v>111</v>
      </c>
      <c r="F92" s="2" t="n">
        <v>135</v>
      </c>
      <c r="G92" s="2" t="inlineStr">
        <is>
          <t>Home</t>
        </is>
      </c>
      <c r="H92" s="2" t="inlineStr">
        <is>
          <t>betrivers</t>
        </is>
      </c>
      <c r="I92" s="4" t="n"/>
      <c r="J92" s="4" t="n"/>
      <c r="K92" s="4" t="n">
        <v>123</v>
      </c>
      <c r="L92" s="4" t="n">
        <v>123</v>
      </c>
      <c r="M92" s="5" t="n">
        <v>4.5</v>
      </c>
      <c r="N92" s="5" t="n">
        <v>4.090121603916804</v>
      </c>
      <c r="O92" s="5" t="n">
        <v>4.5</v>
      </c>
      <c r="P92" s="5" t="n">
        <v>0.4098783960831955</v>
      </c>
      <c r="Q92" s="6" t="n">
        <v>0.3630564022769887</v>
      </c>
      <c r="R92" s="6" t="n">
        <v>0.6112360548327304</v>
      </c>
      <c r="S92" s="6" t="n">
        <v>0.4466501240694789</v>
      </c>
      <c r="T92" s="2" t="inlineStr">
        <is>
          <t>Under</t>
        </is>
      </c>
      <c r="U92" s="4" t="n">
        <v>123</v>
      </c>
      <c r="V92" s="2" t="n">
        <v>2.23</v>
      </c>
      <c r="W92" s="4" t="n">
        <v>123</v>
      </c>
      <c r="X92" s="2" t="n">
        <v>1</v>
      </c>
      <c r="Y92" s="5" t="n">
        <v>1.23</v>
      </c>
      <c r="Z92" s="7" t="n">
        <v>100</v>
      </c>
      <c r="AA92" s="7">
        <f>Y92*Z92</f>
        <v/>
      </c>
      <c r="AB92" s="6">
        <f>IF(Z92=0,0,AA92/Z92)</f>
        <v/>
      </c>
      <c r="AC92" s="6" t="n"/>
      <c r="AD92" s="2" t="inlineStr">
        <is>
          <t>Win</t>
        </is>
      </c>
      <c r="AE92" s="6">
        <f>IF((COUNTIF($AD$2:AD92,"Win")+COUNTIF($AD$2:AD92,"Loss"))=0,0,COUNTIF($AD$2:AD92,"Win")/(COUNTIF($AD$2:AD92,"Win")+COUNTIF($AD$2:AD92,"Loss")))</f>
        <v/>
      </c>
      <c r="AF92" s="6">
        <f>SUM($Y$2:Y92)/SUM($X$2:X92)</f>
        <v/>
      </c>
      <c r="AG92" s="5">
        <f>SUM($Y$2:Y92)</f>
        <v/>
      </c>
      <c r="AH92" s="7">
        <f>10000.0+SUM($AA$2:AA92)</f>
        <v/>
      </c>
      <c r="AI92" s="2" t="n">
        <v>2026</v>
      </c>
      <c r="AJ92" s="2" t="inlineStr">
        <is>
          <t>2026-04</t>
        </is>
      </c>
      <c r="AK92" s="2" t="inlineStr">
        <is>
          <t>+121 to +150</t>
        </is>
      </c>
      <c r="AL92" s="2" t="inlineStr">
        <is>
          <t>2026 Frozen Test</t>
        </is>
      </c>
      <c r="AM92" s="6" t="n">
        <v>0.2951678067292591</v>
      </c>
    </row>
    <row r="93">
      <c r="A93" s="2" t="inlineStr">
        <is>
          <t>KPROP-00494</t>
        </is>
      </c>
      <c r="B93" s="3" t="n">
        <v>46117.56640046297</v>
      </c>
      <c r="C93" s="3" t="n">
        <v>46117</v>
      </c>
      <c r="D93" s="2" t="inlineStr">
        <is>
          <t>Ranger Suarez</t>
        </is>
      </c>
      <c r="E93" s="2" t="n">
        <v>111</v>
      </c>
      <c r="F93" s="2" t="n">
        <v>135</v>
      </c>
      <c r="G93" s="2" t="inlineStr">
        <is>
          <t>Home</t>
        </is>
      </c>
      <c r="H93" s="2" t="inlineStr">
        <is>
          <t>betrivers</t>
        </is>
      </c>
      <c r="I93" s="4" t="n"/>
      <c r="J93" s="4" t="n"/>
      <c r="K93" s="4" t="n">
        <v>-177</v>
      </c>
      <c r="L93" s="4" t="n">
        <v>-177</v>
      </c>
      <c r="M93" s="5" t="n">
        <v>5.5</v>
      </c>
      <c r="N93" s="5" t="n">
        <v>4.090121603916804</v>
      </c>
      <c r="O93" s="5" t="n">
        <v>5.5</v>
      </c>
      <c r="P93" s="5" t="n">
        <v>1.409878396083196</v>
      </c>
      <c r="Q93" s="6" t="n">
        <v>0.2064227750034772</v>
      </c>
      <c r="R93" s="6" t="n">
        <v>0.7708910872765901</v>
      </c>
      <c r="S93" s="6" t="n">
        <v>0.5971729393287185</v>
      </c>
      <c r="T93" s="2" t="inlineStr">
        <is>
          <t>Under</t>
        </is>
      </c>
      <c r="U93" s="4" t="n">
        <v>-177</v>
      </c>
      <c r="V93" s="2" t="n">
        <v>1.56497175141243</v>
      </c>
      <c r="W93" s="4" t="n">
        <v>-177</v>
      </c>
      <c r="X93" s="2" t="n">
        <v>1</v>
      </c>
      <c r="Y93" s="5" t="n">
        <v>0.5649717514124295</v>
      </c>
      <c r="Z93" s="7" t="n">
        <v>100</v>
      </c>
      <c r="AA93" s="7">
        <f>Y93*Z93</f>
        <v/>
      </c>
      <c r="AB93" s="6">
        <f>IF(Z93=0,0,AA93/Z93)</f>
        <v/>
      </c>
      <c r="AC93" s="6" t="n"/>
      <c r="AD93" s="2" t="inlineStr">
        <is>
          <t>Win</t>
        </is>
      </c>
      <c r="AE93" s="6">
        <f>IF((COUNTIF($AD$2:AD93,"Win")+COUNTIF($AD$2:AD93,"Loss"))=0,0,COUNTIF($AD$2:AD93,"Win")/(COUNTIF($AD$2:AD93,"Win")+COUNTIF($AD$2:AD93,"Loss")))</f>
        <v/>
      </c>
      <c r="AF93" s="6">
        <f>SUM($Y$2:Y93)/SUM($X$2:X93)</f>
        <v/>
      </c>
      <c r="AG93" s="5">
        <f>SUM($Y$2:Y93)</f>
        <v/>
      </c>
      <c r="AH93" s="7">
        <f>10000.0+SUM($AA$2:AA93)</f>
        <v/>
      </c>
      <c r="AI93" s="2" t="n">
        <v>2026</v>
      </c>
      <c r="AJ93" s="2" t="inlineStr">
        <is>
          <t>2026-04</t>
        </is>
      </c>
      <c r="AK93" s="2" t="inlineStr">
        <is>
          <t>&lt;= -150</t>
        </is>
      </c>
      <c r="AL93" s="2" t="inlineStr">
        <is>
          <t>2026 Frozen Test</t>
        </is>
      </c>
      <c r="AM93" s="6" t="n">
        <v>0.3653683117561545</v>
      </c>
    </row>
    <row r="94">
      <c r="A94" s="2" t="inlineStr">
        <is>
          <t>KPROP-00495</t>
        </is>
      </c>
      <c r="B94" s="3" t="n">
        <v>46118.77821759259</v>
      </c>
      <c r="C94" s="3" t="n">
        <v>46118</v>
      </c>
      <c r="D94" s="2" t="inlineStr">
        <is>
          <t>Brandon Williamson</t>
        </is>
      </c>
      <c r="E94" s="2" t="n">
        <v>113</v>
      </c>
      <c r="F94" s="2" t="n">
        <v>146</v>
      </c>
      <c r="G94" s="2" t="inlineStr">
        <is>
          <t>Away</t>
        </is>
      </c>
      <c r="H94" s="2" t="inlineStr">
        <is>
          <t>betrivers</t>
        </is>
      </c>
      <c r="I94" s="4" t="n"/>
      <c r="J94" s="4" t="n"/>
      <c r="K94" s="4" t="n">
        <v>138</v>
      </c>
      <c r="L94" s="4" t="n">
        <v>138</v>
      </c>
      <c r="M94" s="5" t="n">
        <v>3.5</v>
      </c>
      <c r="N94" s="5" t="n">
        <v>3.829693949075106</v>
      </c>
      <c r="O94" s="5" t="n">
        <v>3.5</v>
      </c>
      <c r="P94" s="5" t="n">
        <v>-0.3296939490751059</v>
      </c>
      <c r="Q94" s="6" t="n">
        <v>0.1124808906810488</v>
      </c>
      <c r="R94" s="6" t="n">
        <v>0.4674289456643063</v>
      </c>
      <c r="S94" s="6" t="n">
        <v>0.4087193460490464</v>
      </c>
      <c r="T94" s="2" t="inlineStr">
        <is>
          <t>Under</t>
        </is>
      </c>
      <c r="U94" s="4" t="n">
        <v>138</v>
      </c>
      <c r="V94" s="2" t="n">
        <v>2.38</v>
      </c>
      <c r="W94" s="4" t="n">
        <v>138</v>
      </c>
      <c r="X94" s="2" t="n">
        <v>1</v>
      </c>
      <c r="Y94" s="5" t="n">
        <v>-1</v>
      </c>
      <c r="Z94" s="7" t="n">
        <v>100</v>
      </c>
      <c r="AA94" s="7">
        <f>Y94*Z94</f>
        <v/>
      </c>
      <c r="AB94" s="6">
        <f>IF(Z94=0,0,AA94/Z94)</f>
        <v/>
      </c>
      <c r="AC94" s="6" t="n"/>
      <c r="AD94" s="2" t="inlineStr">
        <is>
          <t>Loss</t>
        </is>
      </c>
      <c r="AE94" s="6">
        <f>IF((COUNTIF($AD$2:AD94,"Win")+COUNTIF($AD$2:AD94,"Loss"))=0,0,COUNTIF($AD$2:AD94,"Win")/(COUNTIF($AD$2:AD94,"Win")+COUNTIF($AD$2:AD94,"Loss")))</f>
        <v/>
      </c>
      <c r="AF94" s="6">
        <f>SUM($Y$2:Y94)/SUM($X$2:X94)</f>
        <v/>
      </c>
      <c r="AG94" s="5">
        <f>SUM($Y$2:Y94)</f>
        <v/>
      </c>
      <c r="AH94" s="7">
        <f>10000.0+SUM($AA$2:AA94)</f>
        <v/>
      </c>
      <c r="AI94" s="2" t="n">
        <v>2026</v>
      </c>
      <c r="AJ94" s="2" t="inlineStr">
        <is>
          <t>2026-04</t>
        </is>
      </c>
      <c r="AK94" s="2" t="inlineStr">
        <is>
          <t>+121 to +150</t>
        </is>
      </c>
      <c r="AL94" s="2" t="inlineStr">
        <is>
          <t>2026 Frozen Test</t>
        </is>
      </c>
      <c r="AM94" s="6" t="n">
        <v>0.08150789179786147</v>
      </c>
    </row>
    <row r="95">
      <c r="A95" s="2" t="inlineStr">
        <is>
          <t>KPROP-00496</t>
        </is>
      </c>
      <c r="B95" s="3" t="n">
        <v>46118.77821759259</v>
      </c>
      <c r="C95" s="3" t="n">
        <v>46118</v>
      </c>
      <c r="D95" s="2" t="inlineStr">
        <is>
          <t>Brandon Williamson</t>
        </is>
      </c>
      <c r="E95" s="2" t="n">
        <v>113</v>
      </c>
      <c r="F95" s="2" t="n">
        <v>146</v>
      </c>
      <c r="G95" s="2" t="inlineStr">
        <is>
          <t>Away</t>
        </is>
      </c>
      <c r="H95" s="2" t="inlineStr">
        <is>
          <t>betrivers</t>
        </is>
      </c>
      <c r="I95" s="4" t="n"/>
      <c r="J95" s="4" t="n"/>
      <c r="K95" s="4" t="n">
        <v>-159</v>
      </c>
      <c r="L95" s="4" t="n">
        <v>-159</v>
      </c>
      <c r="M95" s="5" t="n">
        <v>4.5</v>
      </c>
      <c r="N95" s="5" t="n">
        <v>3.829693949075106</v>
      </c>
      <c r="O95" s="5" t="n">
        <v>4.5</v>
      </c>
      <c r="P95" s="5" t="n">
        <v>0.6703060509248941</v>
      </c>
      <c r="Q95" s="6" t="n">
        <v>0.0784630396348916</v>
      </c>
      <c r="R95" s="6" t="n">
        <v>0.662068043636864</v>
      </c>
      <c r="S95" s="6" t="n">
        <v>0.5832797013772687</v>
      </c>
      <c r="T95" s="2" t="inlineStr">
        <is>
          <t>Under</t>
        </is>
      </c>
      <c r="U95" s="4" t="n">
        <v>-159</v>
      </c>
      <c r="V95" s="2" t="n">
        <v>1.628930817610063</v>
      </c>
      <c r="W95" s="4" t="n">
        <v>-159</v>
      </c>
      <c r="X95" s="2" t="n">
        <v>1</v>
      </c>
      <c r="Y95" s="5" t="n">
        <v>0.6289308176100628</v>
      </c>
      <c r="Z95" s="7" t="n">
        <v>100</v>
      </c>
      <c r="AA95" s="7">
        <f>Y95*Z95</f>
        <v/>
      </c>
      <c r="AB95" s="6">
        <f>IF(Z95=0,0,AA95/Z95)</f>
        <v/>
      </c>
      <c r="AC95" s="6" t="n"/>
      <c r="AD95" s="2" t="inlineStr">
        <is>
          <t>Win</t>
        </is>
      </c>
      <c r="AE95" s="6">
        <f>IF((COUNTIF($AD$2:AD95,"Win")+COUNTIF($AD$2:AD95,"Loss"))=0,0,COUNTIF($AD$2:AD95,"Win")/(COUNTIF($AD$2:AD95,"Win")+COUNTIF($AD$2:AD95,"Loss")))</f>
        <v/>
      </c>
      <c r="AF95" s="6">
        <f>SUM($Y$2:Y95)/SUM($X$2:X95)</f>
        <v/>
      </c>
      <c r="AG95" s="5">
        <f>SUM($Y$2:Y95)</f>
        <v/>
      </c>
      <c r="AH95" s="7">
        <f>10000.0+SUM($AA$2:AA95)</f>
        <v/>
      </c>
      <c r="AI95" s="2" t="n">
        <v>2026</v>
      </c>
      <c r="AJ95" s="2" t="inlineStr">
        <is>
          <t>2026-04</t>
        </is>
      </c>
      <c r="AK95" s="2" t="inlineStr">
        <is>
          <t>&lt;= -150</t>
        </is>
      </c>
      <c r="AL95" s="2" t="inlineStr">
        <is>
          <t>2026 Frozen Test</t>
        </is>
      </c>
      <c r="AM95" s="6" t="n">
        <v>0.1247562330194777</v>
      </c>
    </row>
    <row r="96">
      <c r="A96" s="2" t="inlineStr">
        <is>
          <t>KPROP-00497</t>
        </is>
      </c>
      <c r="B96" s="3" t="n">
        <v>46118.67403935185</v>
      </c>
      <c r="C96" s="3" t="n">
        <v>46118</v>
      </c>
      <c r="D96" s="2" t="inlineStr">
        <is>
          <t>Jameson Taillon</t>
        </is>
      </c>
      <c r="E96" s="2" t="n">
        <v>112</v>
      </c>
      <c r="F96" s="2" t="n">
        <v>139</v>
      </c>
      <c r="G96" s="2" t="inlineStr">
        <is>
          <t>Away</t>
        </is>
      </c>
      <c r="H96" s="2" t="inlineStr">
        <is>
          <t>bovada</t>
        </is>
      </c>
      <c r="I96" s="4" t="n"/>
      <c r="J96" s="4" t="n"/>
      <c r="K96" s="4" t="n">
        <v>115</v>
      </c>
      <c r="L96" s="4" t="n">
        <v>115</v>
      </c>
      <c r="M96" s="5" t="n">
        <v>3.5</v>
      </c>
      <c r="N96" s="5" t="n">
        <v>3.626399122495935</v>
      </c>
      <c r="O96" s="5" t="n">
        <v>3.5</v>
      </c>
      <c r="P96" s="5" t="n">
        <v>-0.1263991224959349</v>
      </c>
      <c r="Q96" s="6" t="n">
        <v>0.09568209564796792</v>
      </c>
      <c r="R96" s="6" t="n">
        <v>0.5096195793711479</v>
      </c>
      <c r="S96" s="6" t="n">
        <v>0.4556962025316456</v>
      </c>
      <c r="T96" s="2" t="inlineStr">
        <is>
          <t>Under</t>
        </is>
      </c>
      <c r="U96" s="4" t="n">
        <v>115</v>
      </c>
      <c r="V96" s="2" t="n">
        <v>2.15</v>
      </c>
      <c r="W96" s="4" t="n">
        <v>115</v>
      </c>
      <c r="X96" s="2" t="n">
        <v>1</v>
      </c>
      <c r="Y96" s="5" t="n">
        <v>-1</v>
      </c>
      <c r="Z96" s="7" t="n">
        <v>100</v>
      </c>
      <c r="AA96" s="7">
        <f>Y96*Z96</f>
        <v/>
      </c>
      <c r="AB96" s="6">
        <f>IF(Z96=0,0,AA96/Z96)</f>
        <v/>
      </c>
      <c r="AC96" s="6" t="n"/>
      <c r="AD96" s="2" t="inlineStr">
        <is>
          <t>Loss</t>
        </is>
      </c>
      <c r="AE96" s="6">
        <f>IF((COUNTIF($AD$2:AD96,"Win")+COUNTIF($AD$2:AD96,"Loss"))=0,0,COUNTIF($AD$2:AD96,"Win")/(COUNTIF($AD$2:AD96,"Win")+COUNTIF($AD$2:AD96,"Loss")))</f>
        <v/>
      </c>
      <c r="AF96" s="6">
        <f>SUM($Y$2:Y96)/SUM($X$2:X96)</f>
        <v/>
      </c>
      <c r="AG96" s="5">
        <f>SUM($Y$2:Y96)</f>
        <v/>
      </c>
      <c r="AH96" s="7">
        <f>10000.0+SUM($AA$2:AA96)</f>
        <v/>
      </c>
      <c r="AI96" s="2" t="n">
        <v>2026</v>
      </c>
      <c r="AJ96" s="2" t="inlineStr">
        <is>
          <t>2026-04</t>
        </is>
      </c>
      <c r="AK96" s="2" t="inlineStr">
        <is>
          <t>+100 to +120</t>
        </is>
      </c>
      <c r="AL96" s="2" t="inlineStr">
        <is>
          <t>2026 Frozen Test</t>
        </is>
      </c>
      <c r="AM96" s="6" t="n">
        <v>0.08320182230258082</v>
      </c>
    </row>
    <row r="97">
      <c r="A97" s="2" t="inlineStr">
        <is>
          <t>KPROP-00498</t>
        </is>
      </c>
      <c r="B97" s="3" t="n">
        <v>46118.77821759259</v>
      </c>
      <c r="C97" s="3" t="n">
        <v>46118</v>
      </c>
      <c r="D97" s="2" t="inlineStr">
        <is>
          <t>Janson Junk</t>
        </is>
      </c>
      <c r="E97" s="2" t="n">
        <v>146</v>
      </c>
      <c r="F97" s="2" t="n">
        <v>113</v>
      </c>
      <c r="G97" s="2" t="inlineStr">
        <is>
          <t>Home</t>
        </is>
      </c>
      <c r="H97" s="2" t="inlineStr">
        <is>
          <t>fanatics</t>
        </is>
      </c>
      <c r="I97" s="4" t="n"/>
      <c r="J97" s="4" t="n"/>
      <c r="K97" s="4" t="n">
        <v>-105</v>
      </c>
      <c r="L97" s="4" t="n">
        <v>-105</v>
      </c>
      <c r="M97" s="5" t="n">
        <v>4.5</v>
      </c>
      <c r="N97" s="5" t="n">
        <v>4.396959357105889</v>
      </c>
      <c r="O97" s="5" t="n">
        <v>4.5</v>
      </c>
      <c r="P97" s="5" t="n">
        <v>0.1030406428941113</v>
      </c>
      <c r="Q97" s="6" t="n">
        <v>0.07725916571769154</v>
      </c>
      <c r="R97" s="6" t="n">
        <v>0.551766889757842</v>
      </c>
      <c r="S97" s="6" t="n">
        <v>0.5085111484056581</v>
      </c>
      <c r="T97" s="2" t="inlineStr">
        <is>
          <t>Under</t>
        </is>
      </c>
      <c r="U97" s="4" t="n">
        <v>-105</v>
      </c>
      <c r="V97" s="2" t="n">
        <v>1.952380952380952</v>
      </c>
      <c r="W97" s="4" t="n">
        <v>-105</v>
      </c>
      <c r="X97" s="2" t="n">
        <v>1</v>
      </c>
      <c r="Y97" s="5" t="n">
        <v>0.9523809523809523</v>
      </c>
      <c r="Z97" s="7" t="n">
        <v>100</v>
      </c>
      <c r="AA97" s="7">
        <f>Y97*Z97</f>
        <v/>
      </c>
      <c r="AB97" s="6">
        <f>IF(Z97=0,0,AA97/Z97)</f>
        <v/>
      </c>
      <c r="AC97" s="6" t="n"/>
      <c r="AD97" s="2" t="inlineStr">
        <is>
          <t>Win</t>
        </is>
      </c>
      <c r="AE97" s="6">
        <f>IF((COUNTIF($AD$2:AD97,"Win")+COUNTIF($AD$2:AD97,"Loss"))=0,0,COUNTIF($AD$2:AD97,"Win")/(COUNTIF($AD$2:AD97,"Win")+COUNTIF($AD$2:AD97,"Loss")))</f>
        <v/>
      </c>
      <c r="AF97" s="6">
        <f>SUM($Y$2:Y97)/SUM($X$2:X97)</f>
        <v/>
      </c>
      <c r="AG97" s="5">
        <f>SUM($Y$2:Y97)</f>
        <v/>
      </c>
      <c r="AH97" s="7">
        <f>10000.0+SUM($AA$2:AA97)</f>
        <v/>
      </c>
      <c r="AI97" s="2" t="n">
        <v>2026</v>
      </c>
      <c r="AJ97" s="2" t="inlineStr">
        <is>
          <t>2026-04</t>
        </is>
      </c>
      <c r="AK97" s="2" t="inlineStr">
        <is>
          <t>-119 to -101</t>
        </is>
      </c>
      <c r="AL97" s="2" t="inlineStr">
        <is>
          <t>2026 Frozen Test</t>
        </is>
      </c>
      <c r="AM97" s="6" t="n">
        <v>0.08112212400357612</v>
      </c>
    </row>
    <row r="98">
      <c r="A98" s="2" t="inlineStr">
        <is>
          <t>KPROP-00499</t>
        </is>
      </c>
      <c r="B98" s="3" t="n">
        <v>46118.81987268518</v>
      </c>
      <c r="C98" s="3" t="n">
        <v>46118</v>
      </c>
      <c r="D98" s="2" t="inlineStr">
        <is>
          <t>Joe Ryan</t>
        </is>
      </c>
      <c r="E98" s="2" t="n">
        <v>142</v>
      </c>
      <c r="F98" s="2" t="n">
        <v>116</v>
      </c>
      <c r="G98" s="2" t="inlineStr">
        <is>
          <t>Home</t>
        </is>
      </c>
      <c r="H98" s="2" t="inlineStr">
        <is>
          <t>draftkings</t>
        </is>
      </c>
      <c r="I98" s="4" t="n"/>
      <c r="J98" s="4" t="n"/>
      <c r="K98" s="4" t="n">
        <v>-124</v>
      </c>
      <c r="L98" s="4" t="n">
        <v>-124</v>
      </c>
      <c r="M98" s="5" t="n">
        <v>6.5</v>
      </c>
      <c r="N98" s="5" t="n">
        <v>5.269986262928136</v>
      </c>
      <c r="O98" s="5" t="n">
        <v>6.5</v>
      </c>
      <c r="P98" s="5" t="n">
        <v>1.230013737071864</v>
      </c>
      <c r="Q98" s="6" t="n">
        <v>0.3037819581467722</v>
      </c>
      <c r="R98" s="6" t="n">
        <v>0.7217364411169632</v>
      </c>
      <c r="S98" s="6" t="n">
        <v>0.5254237288135594</v>
      </c>
      <c r="T98" s="2" t="inlineStr">
        <is>
          <t>Under</t>
        </is>
      </c>
      <c r="U98" s="4" t="n">
        <v>-124</v>
      </c>
      <c r="V98" s="2" t="n">
        <v>1.806451612903226</v>
      </c>
      <c r="W98" s="4" t="n">
        <v>-124</v>
      </c>
      <c r="X98" s="2" t="n">
        <v>1</v>
      </c>
      <c r="Y98" s="5" t="n">
        <v>-1</v>
      </c>
      <c r="Z98" s="7" t="n">
        <v>100</v>
      </c>
      <c r="AA98" s="7">
        <f>Y98*Z98</f>
        <v/>
      </c>
      <c r="AB98" s="6">
        <f>IF(Z98=0,0,AA98/Z98)</f>
        <v/>
      </c>
      <c r="AC98" s="6" t="n"/>
      <c r="AD98" s="2" t="inlineStr">
        <is>
          <t>Loss</t>
        </is>
      </c>
      <c r="AE98" s="6">
        <f>IF((COUNTIF($AD$2:AD98,"Win")+COUNTIF($AD$2:AD98,"Loss"))=0,0,COUNTIF($AD$2:AD98,"Win")/(COUNTIF($AD$2:AD98,"Win")+COUNTIF($AD$2:AD98,"Loss")))</f>
        <v/>
      </c>
      <c r="AF98" s="6">
        <f>SUM($Y$2:Y98)/SUM($X$2:X98)</f>
        <v/>
      </c>
      <c r="AG98" s="5">
        <f>SUM($Y$2:Y98)</f>
        <v/>
      </c>
      <c r="AH98" s="7">
        <f>10000.0+SUM($AA$2:AA98)</f>
        <v/>
      </c>
      <c r="AI98" s="2" t="n">
        <v>2026</v>
      </c>
      <c r="AJ98" s="2" t="inlineStr">
        <is>
          <t>2026-04</t>
        </is>
      </c>
      <c r="AK98" s="2" t="inlineStr">
        <is>
          <t>-149 to -120</t>
        </is>
      </c>
      <c r="AL98" s="2" t="inlineStr">
        <is>
          <t>2026 Frozen Test</t>
        </is>
      </c>
      <c r="AM98" s="6" t="n">
        <v>0.3766896281019976</v>
      </c>
    </row>
    <row r="99">
      <c r="A99" s="2" t="inlineStr">
        <is>
          <t>KPROP-00500</t>
        </is>
      </c>
      <c r="B99" s="3" t="n">
        <v>46118.67403935185</v>
      </c>
      <c r="C99" s="3" t="n">
        <v>46118</v>
      </c>
      <c r="D99" s="2" t="inlineStr">
        <is>
          <t>Shane McClanahan</t>
        </is>
      </c>
      <c r="E99" s="2" t="n">
        <v>139</v>
      </c>
      <c r="F99" s="2" t="n">
        <v>112</v>
      </c>
      <c r="G99" s="2" t="inlineStr">
        <is>
          <t>Home</t>
        </is>
      </c>
      <c r="H99" s="2" t="inlineStr">
        <is>
          <t>bovada</t>
        </is>
      </c>
      <c r="I99" s="4" t="n"/>
      <c r="J99" s="4" t="n"/>
      <c r="K99" s="4" t="n">
        <v>-130</v>
      </c>
      <c r="L99" s="4" t="n">
        <v>-130</v>
      </c>
      <c r="M99" s="5" t="n">
        <v>5.5</v>
      </c>
      <c r="N99" s="5" t="n">
        <v>5.062025241899391</v>
      </c>
      <c r="O99" s="5" t="n">
        <v>5.5</v>
      </c>
      <c r="P99" s="5" t="n">
        <v>0.4379747581006086</v>
      </c>
      <c r="Q99" s="6" t="n">
        <v>0.0705237400651379</v>
      </c>
      <c r="R99" s="6" t="n">
        <v>0.605078635688991</v>
      </c>
      <c r="S99" s="6" t="n">
        <v>0.5391705069124424</v>
      </c>
      <c r="T99" s="2" t="inlineStr">
        <is>
          <t>Under</t>
        </is>
      </c>
      <c r="U99" s="4" t="n">
        <v>-130</v>
      </c>
      <c r="V99" s="2" t="n">
        <v>1.769230769230769</v>
      </c>
      <c r="W99" s="4" t="n">
        <v>-130</v>
      </c>
      <c r="X99" s="2" t="n">
        <v>1</v>
      </c>
      <c r="Y99" s="5" t="n">
        <v>0.7692307692307692</v>
      </c>
      <c r="Z99" s="7" t="n">
        <v>100</v>
      </c>
      <c r="AA99" s="7">
        <f>Y99*Z99</f>
        <v/>
      </c>
      <c r="AB99" s="6">
        <f>IF(Z99=0,0,AA99/Z99)</f>
        <v/>
      </c>
      <c r="AC99" s="6" t="n"/>
      <c r="AD99" s="2" t="inlineStr">
        <is>
          <t>Win</t>
        </is>
      </c>
      <c r="AE99" s="6">
        <f>IF((COUNTIF($AD$2:AD99,"Win")+COUNTIF($AD$2:AD99,"Loss"))=0,0,COUNTIF($AD$2:AD99,"Win")/(COUNTIF($AD$2:AD99,"Win")+COUNTIF($AD$2:AD99,"Loss")))</f>
        <v/>
      </c>
      <c r="AF99" s="6">
        <f>SUM($Y$2:Y99)/SUM($X$2:X99)</f>
        <v/>
      </c>
      <c r="AG99" s="5">
        <f>SUM($Y$2:Y99)</f>
        <v/>
      </c>
      <c r="AH99" s="7">
        <f>10000.0+SUM($AA$2:AA99)</f>
        <v/>
      </c>
      <c r="AI99" s="2" t="n">
        <v>2026</v>
      </c>
      <c r="AJ99" s="2" t="inlineStr">
        <is>
          <t>2026-04</t>
        </is>
      </c>
      <c r="AK99" s="2" t="inlineStr">
        <is>
          <t>-149 to -120</t>
        </is>
      </c>
      <c r="AL99" s="2" t="inlineStr">
        <is>
          <t>2026 Frozen Test</t>
        </is>
      </c>
      <c r="AM99" s="6" t="n">
        <v>0.09168086208467928</v>
      </c>
    </row>
    <row r="100">
      <c r="A100" s="2" t="inlineStr">
        <is>
          <t>KPROP-00501</t>
        </is>
      </c>
      <c r="B100" s="3" t="n">
        <v>46118.75737268518</v>
      </c>
      <c r="C100" s="3" t="n">
        <v>46118</v>
      </c>
      <c r="D100" s="2" t="inlineStr">
        <is>
          <t>Tanner Bibee</t>
        </is>
      </c>
      <c r="E100" s="2" t="n">
        <v>114</v>
      </c>
      <c r="F100" s="2" t="n">
        <v>118</v>
      </c>
      <c r="G100" s="2" t="inlineStr">
        <is>
          <t>Home</t>
        </is>
      </c>
      <c r="H100" s="2" t="inlineStr">
        <is>
          <t>draftkings</t>
        </is>
      </c>
      <c r="I100" s="4" t="n"/>
      <c r="J100" s="4" t="n"/>
      <c r="K100" s="4" t="n">
        <v>119</v>
      </c>
      <c r="L100" s="4" t="n">
        <v>119</v>
      </c>
      <c r="M100" s="5" t="n">
        <v>4.5</v>
      </c>
      <c r="N100" s="5" t="n">
        <v>4.603030727352275</v>
      </c>
      <c r="O100" s="5" t="n">
        <v>4.5</v>
      </c>
      <c r="P100" s="5" t="n">
        <v>-0.1030307273522748</v>
      </c>
      <c r="Q100" s="6" t="n">
        <v>0.1227380316980793</v>
      </c>
      <c r="R100" s="6" t="n">
        <v>0.5126657678986664</v>
      </c>
      <c r="S100" s="6" t="n">
        <v>0.442853104682936</v>
      </c>
      <c r="T100" s="2" t="inlineStr">
        <is>
          <t>Under</t>
        </is>
      </c>
      <c r="U100" s="4" t="n">
        <v>119</v>
      </c>
      <c r="V100" s="2" t="n">
        <v>2.19</v>
      </c>
      <c r="W100" s="4" t="n">
        <v>119</v>
      </c>
      <c r="X100" s="2" t="n">
        <v>1</v>
      </c>
      <c r="Y100" s="5" t="n">
        <v>1.19</v>
      </c>
      <c r="Z100" s="7" t="n">
        <v>100</v>
      </c>
      <c r="AA100" s="7">
        <f>Y100*Z100</f>
        <v/>
      </c>
      <c r="AB100" s="6">
        <f>IF(Z100=0,0,AA100/Z100)</f>
        <v/>
      </c>
      <c r="AC100" s="6" t="n"/>
      <c r="AD100" s="2" t="inlineStr">
        <is>
          <t>Win</t>
        </is>
      </c>
      <c r="AE100" s="6">
        <f>IF((COUNTIF($AD$2:AD100,"Win")+COUNTIF($AD$2:AD100,"Loss"))=0,0,COUNTIF($AD$2:AD100,"Win")/(COUNTIF($AD$2:AD100,"Win")+COUNTIF($AD$2:AD100,"Loss")))</f>
        <v/>
      </c>
      <c r="AF100" s="6">
        <f>SUM($Y$2:Y100)/SUM($X$2:X100)</f>
        <v/>
      </c>
      <c r="AG100" s="5">
        <f>SUM($Y$2:Y100)</f>
        <v/>
      </c>
      <c r="AH100" s="7">
        <f>10000.0+SUM($AA$2:AA100)</f>
        <v/>
      </c>
      <c r="AI100" s="2" t="n">
        <v>2026</v>
      </c>
      <c r="AJ100" s="2" t="inlineStr">
        <is>
          <t>2026-04</t>
        </is>
      </c>
      <c r="AK100" s="2" t="inlineStr">
        <is>
          <t>+100 to +120</t>
        </is>
      </c>
      <c r="AL100" s="2" t="inlineStr">
        <is>
          <t>2026 Frozen Test</t>
        </is>
      </c>
      <c r="AM100" s="6" t="n">
        <v>0.1031412031076297</v>
      </c>
    </row>
    <row r="101">
      <c r="A101" s="2" t="inlineStr">
        <is>
          <t>KPROP-00502</t>
        </is>
      </c>
      <c r="B101" s="3" t="n">
        <v>46119.79557870371</v>
      </c>
      <c r="C101" s="3" t="n">
        <v>46119</v>
      </c>
      <c r="D101" s="2" t="inlineStr">
        <is>
          <t>Aaron Civale</t>
        </is>
      </c>
      <c r="E101" s="2" t="n">
        <v>133</v>
      </c>
      <c r="F101" s="2" t="n">
        <v>147</v>
      </c>
      <c r="G101" s="2" t="inlineStr">
        <is>
          <t>Away</t>
        </is>
      </c>
      <c r="H101" s="2" t="inlineStr">
        <is>
          <t>draftkings</t>
        </is>
      </c>
      <c r="I101" s="4" t="n"/>
      <c r="J101" s="4" t="n"/>
      <c r="K101" s="4" t="n">
        <v>101</v>
      </c>
      <c r="L101" s="4" t="n">
        <v>101</v>
      </c>
      <c r="M101" s="5" t="n">
        <v>4.5</v>
      </c>
      <c r="N101" s="5" t="n">
        <v>4.315327655904918</v>
      </c>
      <c r="O101" s="5" t="n">
        <v>4.5</v>
      </c>
      <c r="P101" s="5" t="n">
        <v>0.1846723440950822</v>
      </c>
      <c r="Q101" s="6" t="n">
        <v>0.1406290162624938</v>
      </c>
      <c r="R101" s="6" t="n">
        <v>0.5674771225186537</v>
      </c>
      <c r="S101" s="6" t="n">
        <v>0.47423601216426</v>
      </c>
      <c r="T101" s="2" t="inlineStr">
        <is>
          <t>Under</t>
        </is>
      </c>
      <c r="U101" s="4" t="n">
        <v>101</v>
      </c>
      <c r="V101" s="2" t="n">
        <v>2.01</v>
      </c>
      <c r="W101" s="4" t="n">
        <v>101</v>
      </c>
      <c r="X101" s="2" t="n">
        <v>1</v>
      </c>
      <c r="Y101" s="5" t="n">
        <v>-1</v>
      </c>
      <c r="Z101" s="7" t="n">
        <v>100</v>
      </c>
      <c r="AA101" s="7">
        <f>Y101*Z101</f>
        <v/>
      </c>
      <c r="AB101" s="6">
        <f>IF(Z101=0,0,AA101/Z101)</f>
        <v/>
      </c>
      <c r="AC101" s="6" t="n"/>
      <c r="AD101" s="2" t="inlineStr">
        <is>
          <t>Loss</t>
        </is>
      </c>
      <c r="AE101" s="6">
        <f>IF((COUNTIF($AD$2:AD101,"Win")+COUNTIF($AD$2:AD101,"Loss"))=0,0,COUNTIF($AD$2:AD101,"Win")/(COUNTIF($AD$2:AD101,"Win")+COUNTIF($AD$2:AD101,"Loss")))</f>
        <v/>
      </c>
      <c r="AF101" s="6">
        <f>SUM($Y$2:Y101)/SUM($X$2:X101)</f>
        <v/>
      </c>
      <c r="AG101" s="5">
        <f>SUM($Y$2:Y101)</f>
        <v/>
      </c>
      <c r="AH101" s="7">
        <f>10000.0+SUM($AA$2:AA101)</f>
        <v/>
      </c>
      <c r="AI101" s="2" t="n">
        <v>2026</v>
      </c>
      <c r="AJ101" s="2" t="inlineStr">
        <is>
          <t>2026-04</t>
        </is>
      </c>
      <c r="AK101" s="2" t="inlineStr">
        <is>
          <t>+100 to +120</t>
        </is>
      </c>
      <c r="AL101" s="2" t="inlineStr">
        <is>
          <t>2026 Frozen Test</t>
        </is>
      </c>
      <c r="AM101" s="6" t="n">
        <v>0.1392366497648454</v>
      </c>
    </row>
    <row r="102">
      <c r="A102" s="2" t="inlineStr">
        <is>
          <t>KPROP-00503</t>
        </is>
      </c>
      <c r="B102" s="3" t="n">
        <v>46119.77820601852</v>
      </c>
      <c r="C102" s="3" t="n">
        <v>46119</v>
      </c>
      <c r="D102" s="2" t="inlineStr">
        <is>
          <t>Andrew Abbott</t>
        </is>
      </c>
      <c r="E102" s="2" t="n">
        <v>113</v>
      </c>
      <c r="F102" s="2" t="n">
        <v>146</v>
      </c>
      <c r="G102" s="2" t="inlineStr">
        <is>
          <t>Away</t>
        </is>
      </c>
      <c r="H102" s="2" t="inlineStr">
        <is>
          <t>draftkings</t>
        </is>
      </c>
      <c r="I102" s="4" t="n"/>
      <c r="J102" s="4" t="n"/>
      <c r="K102" s="4" t="n">
        <v>119</v>
      </c>
      <c r="L102" s="4" t="n">
        <v>119</v>
      </c>
      <c r="M102" s="5" t="n">
        <v>4.5</v>
      </c>
      <c r="N102" s="5" t="n">
        <v>4.443825442869096</v>
      </c>
      <c r="O102" s="5" t="n">
        <v>4.5</v>
      </c>
      <c r="P102" s="5" t="n">
        <v>0.05617455713090358</v>
      </c>
      <c r="Q102" s="6" t="n">
        <v>0.1887279707099309</v>
      </c>
      <c r="R102" s="6" t="n">
        <v>0.5427981601415209</v>
      </c>
      <c r="S102" s="6" t="n">
        <v>0.442853104682936</v>
      </c>
      <c r="T102" s="2" t="inlineStr">
        <is>
          <t>Under</t>
        </is>
      </c>
      <c r="U102" s="4" t="n">
        <v>119</v>
      </c>
      <c r="V102" s="2" t="n">
        <v>2.19</v>
      </c>
      <c r="W102" s="4" t="n">
        <v>119</v>
      </c>
      <c r="X102" s="2" t="n">
        <v>1</v>
      </c>
      <c r="Y102" s="5" t="n">
        <v>1.19</v>
      </c>
      <c r="Z102" s="7" t="n">
        <v>100</v>
      </c>
      <c r="AA102" s="7">
        <f>Y102*Z102</f>
        <v/>
      </c>
      <c r="AB102" s="6">
        <f>IF(Z102=0,0,AA102/Z102)</f>
        <v/>
      </c>
      <c r="AC102" s="6" t="n"/>
      <c r="AD102" s="2" t="inlineStr">
        <is>
          <t>Win</t>
        </is>
      </c>
      <c r="AE102" s="6">
        <f>IF((COUNTIF($AD$2:AD102,"Win")+COUNTIF($AD$2:AD102,"Loss"))=0,0,COUNTIF($AD$2:AD102,"Win")/(COUNTIF($AD$2:AD102,"Win")+COUNTIF($AD$2:AD102,"Loss")))</f>
        <v/>
      </c>
      <c r="AF102" s="6">
        <f>SUM($Y$2:Y102)/SUM($X$2:X102)</f>
        <v/>
      </c>
      <c r="AG102" s="5">
        <f>SUM($Y$2:Y102)</f>
        <v/>
      </c>
      <c r="AH102" s="7">
        <f>10000.0+SUM($AA$2:AA102)</f>
        <v/>
      </c>
      <c r="AI102" s="2" t="n">
        <v>2026</v>
      </c>
      <c r="AJ102" s="2" t="inlineStr">
        <is>
          <t>2026-04</t>
        </is>
      </c>
      <c r="AK102" s="2" t="inlineStr">
        <is>
          <t>+100 to +120</t>
        </is>
      </c>
      <c r="AL102" s="2" t="inlineStr">
        <is>
          <t>2026 Frozen Test</t>
        </is>
      </c>
      <c r="AM102" s="6" t="n">
        <v>0.1585949333696898</v>
      </c>
    </row>
    <row r="103">
      <c r="A103" s="2" t="inlineStr">
        <is>
          <t>KPROP-00504</t>
        </is>
      </c>
      <c r="B103" s="3" t="n">
        <v>46119.77820601852</v>
      </c>
      <c r="C103" s="3" t="n">
        <v>46119</v>
      </c>
      <c r="D103" s="2" t="inlineStr">
        <is>
          <t>Andrew Abbott</t>
        </is>
      </c>
      <c r="E103" s="2" t="n">
        <v>113</v>
      </c>
      <c r="F103" s="2" t="n">
        <v>146</v>
      </c>
      <c r="G103" s="2" t="inlineStr">
        <is>
          <t>Away</t>
        </is>
      </c>
      <c r="H103" s="2" t="inlineStr">
        <is>
          <t>bovada</t>
        </is>
      </c>
      <c r="I103" s="4" t="n"/>
      <c r="J103" s="4" t="n"/>
      <c r="K103" s="4" t="n">
        <v>-160</v>
      </c>
      <c r="L103" s="4" t="n">
        <v>-160</v>
      </c>
      <c r="M103" s="5" t="n">
        <v>5.5</v>
      </c>
      <c r="N103" s="5" t="n">
        <v>4.443825442869096</v>
      </c>
      <c r="O103" s="5" t="n">
        <v>5.5</v>
      </c>
      <c r="P103" s="5" t="n">
        <v>1.056174557130904</v>
      </c>
      <c r="Q103" s="6" t="n">
        <v>0.1578050648939361</v>
      </c>
      <c r="R103" s="6" t="n">
        <v>0.7124954245501145</v>
      </c>
      <c r="S103" s="6" t="n">
        <v>0.6041412911084043</v>
      </c>
      <c r="T103" s="2" t="inlineStr">
        <is>
          <t>Under</t>
        </is>
      </c>
      <c r="U103" s="4" t="n">
        <v>-160</v>
      </c>
      <c r="V103" s="2" t="n">
        <v>1.625</v>
      </c>
      <c r="W103" s="4" t="n">
        <v>-160</v>
      </c>
      <c r="X103" s="2" t="n">
        <v>1</v>
      </c>
      <c r="Y103" s="5" t="n">
        <v>0.625</v>
      </c>
      <c r="Z103" s="7" t="n">
        <v>100</v>
      </c>
      <c r="AA103" s="7">
        <f>Y103*Z103</f>
        <v/>
      </c>
      <c r="AB103" s="6">
        <f>IF(Z103=0,0,AA103/Z103)</f>
        <v/>
      </c>
      <c r="AC103" s="6" t="n"/>
      <c r="AD103" s="2" t="inlineStr">
        <is>
          <t>Win</t>
        </is>
      </c>
      <c r="AE103" s="6">
        <f>IF((COUNTIF($AD$2:AD103,"Win")+COUNTIF($AD$2:AD103,"Loss"))=0,0,COUNTIF($AD$2:AD103,"Win")/(COUNTIF($AD$2:AD103,"Win")+COUNTIF($AD$2:AD103,"Loss")))</f>
        <v/>
      </c>
      <c r="AF103" s="6">
        <f>SUM($Y$2:Y103)/SUM($X$2:X103)</f>
        <v/>
      </c>
      <c r="AG103" s="5">
        <f>SUM($Y$2:Y103)</f>
        <v/>
      </c>
      <c r="AH103" s="7">
        <f>10000.0+SUM($AA$2:AA103)</f>
        <v/>
      </c>
      <c r="AI103" s="2" t="n">
        <v>2026</v>
      </c>
      <c r="AJ103" s="2" t="inlineStr">
        <is>
          <t>2026-04</t>
        </is>
      </c>
      <c r="AK103" s="2" t="inlineStr">
        <is>
          <t>&lt;= -150</t>
        </is>
      </c>
      <c r="AL103" s="2" t="inlineStr">
        <is>
          <t>2026 Frozen Test</t>
        </is>
      </c>
      <c r="AM103" s="6" t="n">
        <v>0.2524881038302977</v>
      </c>
    </row>
    <row r="104">
      <c r="A104" s="2" t="inlineStr">
        <is>
          <t>KPROP-00505</t>
        </is>
      </c>
      <c r="B104" s="3" t="n">
        <v>46119.67405092593</v>
      </c>
      <c r="C104" s="3" t="n">
        <v>46119</v>
      </c>
      <c r="D104" s="2" t="inlineStr">
        <is>
          <t>Freddy Peralta</t>
        </is>
      </c>
      <c r="E104" s="2" t="n">
        <v>121</v>
      </c>
      <c r="F104" s="2" t="n">
        <v>109</v>
      </c>
      <c r="G104" s="2" t="inlineStr">
        <is>
          <t>Home</t>
        </is>
      </c>
      <c r="H104" s="2" t="inlineStr">
        <is>
          <t>betonlineag</t>
        </is>
      </c>
      <c r="I104" s="4" t="n"/>
      <c r="J104" s="4" t="n"/>
      <c r="K104" s="4" t="n">
        <v>120</v>
      </c>
      <c r="L104" s="4" t="n">
        <v>120</v>
      </c>
      <c r="M104" s="5" t="n">
        <v>5.5</v>
      </c>
      <c r="N104" s="5" t="n">
        <v>5.435591419186276</v>
      </c>
      <c r="O104" s="5" t="n">
        <v>5.5</v>
      </c>
      <c r="P104" s="5" t="n">
        <v>0.06440858081372447</v>
      </c>
      <c r="Q104" s="6" t="n">
        <v>0.187976834919259</v>
      </c>
      <c r="R104" s="6" t="n">
        <v>0.539989470417845</v>
      </c>
      <c r="S104" s="6" t="n">
        <v>0.4409566517189835</v>
      </c>
      <c r="T104" s="2" t="inlineStr">
        <is>
          <t>Under</t>
        </is>
      </c>
      <c r="U104" s="4" t="n">
        <v>120</v>
      </c>
      <c r="V104" s="2" t="n">
        <v>2.2</v>
      </c>
      <c r="W104" s="4" t="n">
        <v>120</v>
      </c>
      <c r="X104" s="2" t="n">
        <v>1</v>
      </c>
      <c r="Y104" s="5" t="n">
        <v>1.2</v>
      </c>
      <c r="Z104" s="7" t="n">
        <v>100</v>
      </c>
      <c r="AA104" s="7">
        <f>Y104*Z104</f>
        <v/>
      </c>
      <c r="AB104" s="6">
        <f>IF(Z104=0,0,AA104/Z104)</f>
        <v/>
      </c>
      <c r="AC104" s="6" t="n"/>
      <c r="AD104" s="2" t="inlineStr">
        <is>
          <t>Win</t>
        </is>
      </c>
      <c r="AE104" s="6">
        <f>IF((COUNTIF($AD$2:AD104,"Win")+COUNTIF($AD$2:AD104,"Loss"))=0,0,COUNTIF($AD$2:AD104,"Win")/(COUNTIF($AD$2:AD104,"Win")+COUNTIF($AD$2:AD104,"Loss")))</f>
        <v/>
      </c>
      <c r="AF104" s="6">
        <f>SUM($Y$2:Y104)/SUM($X$2:X104)</f>
        <v/>
      </c>
      <c r="AG104" s="5">
        <f>SUM($Y$2:Y104)</f>
        <v/>
      </c>
      <c r="AH104" s="7">
        <f>10000.0+SUM($AA$2:AA104)</f>
        <v/>
      </c>
      <c r="AI104" s="2" t="n">
        <v>2026</v>
      </c>
      <c r="AJ104" s="2" t="inlineStr">
        <is>
          <t>2026-04</t>
        </is>
      </c>
      <c r="AK104" s="2" t="inlineStr">
        <is>
          <t>+100 to +120</t>
        </is>
      </c>
      <c r="AL104" s="2" t="inlineStr">
        <is>
          <t>2026 Frozen Test</t>
        </is>
      </c>
      <c r="AM104" s="6" t="n">
        <v>0.1566473624327158</v>
      </c>
    </row>
    <row r="105">
      <c r="A105" s="2" t="inlineStr">
        <is>
          <t>KPROP-00506</t>
        </is>
      </c>
      <c r="B105" s="3" t="n">
        <v>46119.67405092593</v>
      </c>
      <c r="C105" s="3" t="n">
        <v>46119</v>
      </c>
      <c r="D105" s="2" t="inlineStr">
        <is>
          <t>Freddy Peralta</t>
        </is>
      </c>
      <c r="E105" s="2" t="n">
        <v>121</v>
      </c>
      <c r="F105" s="2" t="n">
        <v>109</v>
      </c>
      <c r="G105" s="2" t="inlineStr">
        <is>
          <t>Home</t>
        </is>
      </c>
      <c r="H105" s="2" t="inlineStr">
        <is>
          <t>betmgm</t>
        </is>
      </c>
      <c r="I105" s="4" t="n"/>
      <c r="J105" s="4" t="n"/>
      <c r="K105" s="4" t="n">
        <v>-145</v>
      </c>
      <c r="L105" s="4" t="n">
        <v>-145</v>
      </c>
      <c r="M105" s="5" t="n">
        <v>6.5</v>
      </c>
      <c r="N105" s="5" t="n">
        <v>5.435591419186276</v>
      </c>
      <c r="O105" s="5" t="n">
        <v>6.5</v>
      </c>
      <c r="P105" s="5" t="n">
        <v>1.064408580813724</v>
      </c>
      <c r="Q105" s="6" t="n">
        <v>0.1762107391309113</v>
      </c>
      <c r="R105" s="6" t="n">
        <v>0.6961247231591108</v>
      </c>
      <c r="S105" s="6" t="n">
        <v>0.5967078189300411</v>
      </c>
      <c r="T105" s="2" t="inlineStr">
        <is>
          <t>Under</t>
        </is>
      </c>
      <c r="U105" s="4" t="n">
        <v>-145</v>
      </c>
      <c r="V105" s="2" t="n">
        <v>1.689655172413793</v>
      </c>
      <c r="W105" s="4" t="n">
        <v>-145</v>
      </c>
      <c r="X105" s="2" t="n">
        <v>1</v>
      </c>
      <c r="Y105" s="5" t="n">
        <v>0.6896551724137931</v>
      </c>
      <c r="Z105" s="7" t="n">
        <v>100</v>
      </c>
      <c r="AA105" s="7">
        <f>Y105*Z105</f>
        <v/>
      </c>
      <c r="AB105" s="6">
        <f>IF(Z105=0,0,AA105/Z105)</f>
        <v/>
      </c>
      <c r="AC105" s="6" t="n"/>
      <c r="AD105" s="2" t="inlineStr">
        <is>
          <t>Win</t>
        </is>
      </c>
      <c r="AE105" s="6">
        <f>IF((COUNTIF($AD$2:AD105,"Win")+COUNTIF($AD$2:AD105,"Loss"))=0,0,COUNTIF($AD$2:AD105,"Win")/(COUNTIF($AD$2:AD105,"Win")+COUNTIF($AD$2:AD105,"Loss")))</f>
        <v/>
      </c>
      <c r="AF105" s="6">
        <f>SUM($Y$2:Y105)/SUM($X$2:X105)</f>
        <v/>
      </c>
      <c r="AG105" s="5">
        <f>SUM($Y$2:Y105)</f>
        <v/>
      </c>
      <c r="AH105" s="7">
        <f>10000.0+SUM($AA$2:AA105)</f>
        <v/>
      </c>
      <c r="AI105" s="2" t="n">
        <v>2026</v>
      </c>
      <c r="AJ105" s="2" t="inlineStr">
        <is>
          <t>2026-04</t>
        </is>
      </c>
      <c r="AK105" s="2" t="inlineStr">
        <is>
          <t>-149 to -120</t>
        </is>
      </c>
      <c r="AL105" s="2" t="inlineStr">
        <is>
          <t>2026 Frozen Test</t>
        </is>
      </c>
      <c r="AM105" s="6" t="n">
        <v>0.2555055717398214</v>
      </c>
    </row>
    <row r="106">
      <c r="A106" s="2" t="inlineStr">
        <is>
          <t>KPROP-00507</t>
        </is>
      </c>
      <c r="B106" s="3" t="n">
        <v>46119.78168981482</v>
      </c>
      <c r="C106" s="3" t="n">
        <v>46119</v>
      </c>
      <c r="D106" s="2" t="inlineStr">
        <is>
          <t>Garrett Crochet</t>
        </is>
      </c>
      <c r="E106" s="2" t="n">
        <v>111</v>
      </c>
      <c r="F106" s="2" t="n">
        <v>158</v>
      </c>
      <c r="G106" s="2" t="inlineStr">
        <is>
          <t>Home</t>
        </is>
      </c>
      <c r="H106" s="2" t="inlineStr">
        <is>
          <t>fanduel</t>
        </is>
      </c>
      <c r="I106" s="4" t="n"/>
      <c r="J106" s="4" t="n"/>
      <c r="K106" s="4" t="n">
        <v>-120</v>
      </c>
      <c r="L106" s="4" t="n">
        <v>-120</v>
      </c>
      <c r="M106" s="5" t="n">
        <v>7.5</v>
      </c>
      <c r="N106" s="5" t="n">
        <v>6.438824458464192</v>
      </c>
      <c r="O106" s="5" t="n">
        <v>7.5</v>
      </c>
      <c r="P106" s="5" t="n">
        <v>1.061175541535808</v>
      </c>
      <c r="Q106" s="6" t="n">
        <v>0.2497499527389877</v>
      </c>
      <c r="R106" s="6" t="n">
        <v>0.6816817924030841</v>
      </c>
      <c r="S106" s="6" t="n">
        <v>0.5254529767040552</v>
      </c>
      <c r="T106" s="2" t="inlineStr">
        <is>
          <t>Under</t>
        </is>
      </c>
      <c r="U106" s="4" t="n">
        <v>-120</v>
      </c>
      <c r="V106" s="2" t="n">
        <v>1.833333333333333</v>
      </c>
      <c r="W106" s="4" t="n">
        <v>-120</v>
      </c>
      <c r="X106" s="2" t="n">
        <v>1</v>
      </c>
      <c r="Y106" s="5" t="n">
        <v>0.8333333333333335</v>
      </c>
      <c r="Z106" s="7" t="n">
        <v>100</v>
      </c>
      <c r="AA106" s="7">
        <f>Y106*Z106</f>
        <v/>
      </c>
      <c r="AB106" s="6">
        <f>IF(Z106=0,0,AA106/Z106)</f>
        <v/>
      </c>
      <c r="AC106" s="6" t="n"/>
      <c r="AD106" s="2" t="inlineStr">
        <is>
          <t>Win</t>
        </is>
      </c>
      <c r="AE106" s="6">
        <f>IF((COUNTIF($AD$2:AD106,"Win")+COUNTIF($AD$2:AD106,"Loss"))=0,0,COUNTIF($AD$2:AD106,"Win")/(COUNTIF($AD$2:AD106,"Win")+COUNTIF($AD$2:AD106,"Loss")))</f>
        <v/>
      </c>
      <c r="AF106" s="6">
        <f>SUM($Y$2:Y106)/SUM($X$2:X106)</f>
        <v/>
      </c>
      <c r="AG106" s="5">
        <f>SUM($Y$2:Y106)</f>
        <v/>
      </c>
      <c r="AH106" s="7">
        <f>10000.0+SUM($AA$2:AA106)</f>
        <v/>
      </c>
      <c r="AI106" s="2" t="n">
        <v>2026</v>
      </c>
      <c r="AJ106" s="2" t="inlineStr">
        <is>
          <t>2026-04</t>
        </is>
      </c>
      <c r="AK106" s="2" t="inlineStr">
        <is>
          <t>-149 to -120</t>
        </is>
      </c>
      <c r="AL106" s="2" t="inlineStr">
        <is>
          <t>2026 Frozen Test</t>
        </is>
      </c>
      <c r="AM106" s="6" t="n">
        <v>0.2996999432867852</v>
      </c>
    </row>
    <row r="107">
      <c r="A107" s="2" t="inlineStr">
        <is>
          <t>KPROP-00508</t>
        </is>
      </c>
      <c r="B107" s="3" t="n">
        <v>46119.77820601852</v>
      </c>
      <c r="C107" s="3" t="n">
        <v>46119</v>
      </c>
      <c r="D107" s="2" t="inlineStr">
        <is>
          <t>Javier Assad</t>
        </is>
      </c>
      <c r="E107" s="2" t="n">
        <v>112</v>
      </c>
      <c r="F107" s="2" t="n">
        <v>139</v>
      </c>
      <c r="G107" s="2" t="inlineStr">
        <is>
          <t>Away</t>
        </is>
      </c>
      <c r="H107" s="2" t="inlineStr">
        <is>
          <t>bovada</t>
        </is>
      </c>
      <c r="I107" s="4" t="n"/>
      <c r="J107" s="4" t="n"/>
      <c r="K107" s="4" t="n">
        <v>-120</v>
      </c>
      <c r="L107" s="4" t="n">
        <v>-120</v>
      </c>
      <c r="M107" s="5" t="n">
        <v>3.5</v>
      </c>
      <c r="N107" s="5" t="n">
        <v>3.278368104480284</v>
      </c>
      <c r="O107" s="5" t="n">
        <v>3.5</v>
      </c>
      <c r="P107" s="5" t="n">
        <v>0.2216318955197156</v>
      </c>
      <c r="Q107" s="6" t="n">
        <v>0.07272281538966552</v>
      </c>
      <c r="R107" s="6" t="n">
        <v>0.5851215356670902</v>
      </c>
      <c r="S107" s="6" t="n">
        <v>0.5397489539748954</v>
      </c>
      <c r="T107" s="2" t="inlineStr">
        <is>
          <t>Under</t>
        </is>
      </c>
      <c r="U107" s="4" t="n">
        <v>-120</v>
      </c>
      <c r="V107" s="2" t="n">
        <v>1.833333333333333</v>
      </c>
      <c r="W107" s="4" t="n">
        <v>-120</v>
      </c>
      <c r="X107" s="2" t="n">
        <v>1</v>
      </c>
      <c r="Y107" s="5" t="n">
        <v>0.8333333333333335</v>
      </c>
      <c r="Z107" s="7" t="n">
        <v>100</v>
      </c>
      <c r="AA107" s="7">
        <f>Y107*Z107</f>
        <v/>
      </c>
      <c r="AB107" s="6">
        <f>IF(Z107=0,0,AA107/Z107)</f>
        <v/>
      </c>
      <c r="AC107" s="6" t="n"/>
      <c r="AD107" s="2" t="inlineStr">
        <is>
          <t>Win</t>
        </is>
      </c>
      <c r="AE107" s="6">
        <f>IF((COUNTIF($AD$2:AD107,"Win")+COUNTIF($AD$2:AD107,"Loss"))=0,0,COUNTIF($AD$2:AD107,"Win")/(COUNTIF($AD$2:AD107,"Win")+COUNTIF($AD$2:AD107,"Loss")))</f>
        <v/>
      </c>
      <c r="AF107" s="6">
        <f>SUM($Y$2:Y107)/SUM($X$2:X107)</f>
        <v/>
      </c>
      <c r="AG107" s="5">
        <f>SUM($Y$2:Y107)</f>
        <v/>
      </c>
      <c r="AH107" s="7">
        <f>10000.0+SUM($AA$2:AA107)</f>
        <v/>
      </c>
      <c r="AI107" s="2" t="n">
        <v>2026</v>
      </c>
      <c r="AJ107" s="2" t="inlineStr">
        <is>
          <t>2026-04</t>
        </is>
      </c>
      <c r="AK107" s="2" t="inlineStr">
        <is>
          <t>-149 to -120</t>
        </is>
      </c>
      <c r="AL107" s="2" t="inlineStr">
        <is>
          <t>2026 Frozen Test</t>
        </is>
      </c>
      <c r="AM107" s="6" t="n">
        <v>0.08726737846759861</v>
      </c>
    </row>
    <row r="108">
      <c r="A108" s="2" t="inlineStr">
        <is>
          <t>KPROP-00509</t>
        </is>
      </c>
      <c r="B108" s="3" t="n">
        <v>46119.78168981482</v>
      </c>
      <c r="C108" s="3" t="n">
        <v>46119</v>
      </c>
      <c r="D108" s="2" t="inlineStr">
        <is>
          <t>Matthew Liberatore</t>
        </is>
      </c>
      <c r="E108" s="2" t="n">
        <v>138</v>
      </c>
      <c r="F108" s="2" t="n">
        <v>120</v>
      </c>
      <c r="G108" s="2" t="inlineStr">
        <is>
          <t>Away</t>
        </is>
      </c>
      <c r="H108" s="2" t="inlineStr">
        <is>
          <t>betmgm</t>
        </is>
      </c>
      <c r="I108" s="4" t="n"/>
      <c r="J108" s="4" t="n"/>
      <c r="K108" s="4" t="n">
        <v>-125</v>
      </c>
      <c r="L108" s="4" t="n">
        <v>-125</v>
      </c>
      <c r="M108" s="5" t="n">
        <v>4.5</v>
      </c>
      <c r="N108" s="5" t="n">
        <v>3.841080323390452</v>
      </c>
      <c r="O108" s="5" t="n">
        <v>4.5</v>
      </c>
      <c r="P108" s="5" t="n">
        <v>0.6589196766095484</v>
      </c>
      <c r="Q108" s="6" t="n">
        <v>0.1877322713599902</v>
      </c>
      <c r="R108" s="6" t="n">
        <v>0.6598512618666612</v>
      </c>
      <c r="S108" s="6" t="n">
        <v>0.5324675324675325</v>
      </c>
      <c r="T108" s="2" t="inlineStr">
        <is>
          <t>Under</t>
        </is>
      </c>
      <c r="U108" s="4" t="n">
        <v>-125</v>
      </c>
      <c r="V108" s="2" t="n">
        <v>1.8</v>
      </c>
      <c r="W108" s="4" t="n">
        <v>-125</v>
      </c>
      <c r="X108" s="2" t="n">
        <v>1</v>
      </c>
      <c r="Y108" s="5" t="n">
        <v>-1</v>
      </c>
      <c r="Z108" s="7" t="n">
        <v>100</v>
      </c>
      <c r="AA108" s="7">
        <f>Y108*Z108</f>
        <v/>
      </c>
      <c r="AB108" s="6">
        <f>IF(Z108=0,0,AA108/Z108)</f>
        <v/>
      </c>
      <c r="AC108" s="6" t="n"/>
      <c r="AD108" s="2" t="inlineStr">
        <is>
          <t>Loss</t>
        </is>
      </c>
      <c r="AE108" s="6">
        <f>IF((COUNTIF($AD$2:AD108,"Win")+COUNTIF($AD$2:AD108,"Loss"))=0,0,COUNTIF($AD$2:AD108,"Win")/(COUNTIF($AD$2:AD108,"Win")+COUNTIF($AD$2:AD108,"Loss")))</f>
        <v/>
      </c>
      <c r="AF108" s="6">
        <f>SUM($Y$2:Y108)/SUM($X$2:X108)</f>
        <v/>
      </c>
      <c r="AG108" s="5">
        <f>SUM($Y$2:Y108)</f>
        <v/>
      </c>
      <c r="AH108" s="7">
        <f>10000.0+SUM($AA$2:AA108)</f>
        <v/>
      </c>
      <c r="AI108" s="2" t="n">
        <v>2026</v>
      </c>
      <c r="AJ108" s="2" t="inlineStr">
        <is>
          <t>2026-04</t>
        </is>
      </c>
      <c r="AK108" s="2" t="inlineStr">
        <is>
          <t>-149 to -120</t>
        </is>
      </c>
      <c r="AL108" s="2" t="inlineStr">
        <is>
          <t>2026 Frozen Test</t>
        </is>
      </c>
      <c r="AM108" s="6" t="n">
        <v>0.2346653391999877</v>
      </c>
    </row>
    <row r="109">
      <c r="A109" s="2" t="inlineStr">
        <is>
          <t>KPROP-00510</t>
        </is>
      </c>
      <c r="B109" s="3" t="n">
        <v>46119.77820601852</v>
      </c>
      <c r="C109" s="3" t="n">
        <v>46119</v>
      </c>
      <c r="D109" s="2" t="inlineStr">
        <is>
          <t>Nick Pivetta</t>
        </is>
      </c>
      <c r="E109" s="2" t="n">
        <v>135</v>
      </c>
      <c r="F109" s="2" t="n">
        <v>134</v>
      </c>
      <c r="G109" s="2" t="inlineStr">
        <is>
          <t>Away</t>
        </is>
      </c>
      <c r="H109" s="2" t="inlineStr">
        <is>
          <t>draftkings</t>
        </is>
      </c>
      <c r="I109" s="4" t="n"/>
      <c r="J109" s="4" t="n"/>
      <c r="K109" s="4" t="n">
        <v>-119</v>
      </c>
      <c r="L109" s="4" t="n">
        <v>-119</v>
      </c>
      <c r="M109" s="5" t="n">
        <v>6.5</v>
      </c>
      <c r="N109" s="5" t="n">
        <v>5.625844035244437</v>
      </c>
      <c r="O109" s="5" t="n">
        <v>6.5</v>
      </c>
      <c r="P109" s="5" t="n">
        <v>0.8741559647555626</v>
      </c>
      <c r="Q109" s="6" t="n">
        <v>0.2259592216821394</v>
      </c>
      <c r="R109" s="6" t="n">
        <v>0.6661604903204319</v>
      </c>
      <c r="S109" s="6" t="n">
        <v>0.5207877461706784</v>
      </c>
      <c r="T109" s="2" t="inlineStr">
        <is>
          <t>Under</t>
        </is>
      </c>
      <c r="U109" s="4" t="n">
        <v>-119</v>
      </c>
      <c r="V109" s="2" t="n">
        <v>1.840336134453782</v>
      </c>
      <c r="W109" s="4" t="n">
        <v>-119</v>
      </c>
      <c r="X109" s="2" t="n">
        <v>1</v>
      </c>
      <c r="Y109" s="5" t="n">
        <v>-1</v>
      </c>
      <c r="Z109" s="7" t="n">
        <v>100</v>
      </c>
      <c r="AA109" s="7">
        <f>Y109*Z109</f>
        <v/>
      </c>
      <c r="AB109" s="6">
        <f>IF(Z109=0,0,AA109/Z109)</f>
        <v/>
      </c>
      <c r="AC109" s="6" t="n"/>
      <c r="AD109" s="2" t="inlineStr">
        <is>
          <t>Loss</t>
        </is>
      </c>
      <c r="AE109" s="6">
        <f>IF((COUNTIF($AD$2:AD109,"Win")+COUNTIF($AD$2:AD109,"Loss"))=0,0,COUNTIF($AD$2:AD109,"Win")/(COUNTIF($AD$2:AD109,"Win")+COUNTIF($AD$2:AD109,"Loss")))</f>
        <v/>
      </c>
      <c r="AF109" s="6">
        <f>SUM($Y$2:Y109)/SUM($X$2:X109)</f>
        <v/>
      </c>
      <c r="AG109" s="5">
        <f>SUM($Y$2:Y109)</f>
        <v/>
      </c>
      <c r="AH109" s="7">
        <f>10000.0+SUM($AA$2:AA109)</f>
        <v/>
      </c>
      <c r="AI109" s="2" t="n">
        <v>2026</v>
      </c>
      <c r="AJ109" s="2" t="inlineStr">
        <is>
          <t>2026-04</t>
        </is>
      </c>
      <c r="AK109" s="2" t="inlineStr">
        <is>
          <t>-119 to -101</t>
        </is>
      </c>
      <c r="AL109" s="2" t="inlineStr">
        <is>
          <t>2026 Frozen Test</t>
        </is>
      </c>
      <c r="AM109" s="6" t="n">
        <v>0.2688914738017459</v>
      </c>
    </row>
    <row r="110">
      <c r="A110" s="2" t="inlineStr">
        <is>
          <t>KPROP-00511</t>
        </is>
      </c>
      <c r="B110" s="3" t="n">
        <v>46119.77820601852</v>
      </c>
      <c r="C110" s="3" t="n">
        <v>46119</v>
      </c>
      <c r="D110" s="2" t="inlineStr">
        <is>
          <t>Paul Skenes</t>
        </is>
      </c>
      <c r="E110" s="2" t="n">
        <v>134</v>
      </c>
      <c r="F110" s="2" t="n">
        <v>135</v>
      </c>
      <c r="G110" s="2" t="inlineStr">
        <is>
          <t>Home</t>
        </is>
      </c>
      <c r="H110" s="2" t="inlineStr">
        <is>
          <t>bovada</t>
        </is>
      </c>
      <c r="I110" s="4" t="n"/>
      <c r="J110" s="4" t="n"/>
      <c r="K110" s="4" t="n">
        <v>-105</v>
      </c>
      <c r="L110" s="4" t="n">
        <v>-105</v>
      </c>
      <c r="M110" s="5" t="n">
        <v>6.5</v>
      </c>
      <c r="N110" s="5" t="n">
        <v>5.663586209155944</v>
      </c>
      <c r="O110" s="5" t="n">
        <v>6.5</v>
      </c>
      <c r="P110" s="5" t="n">
        <v>0.8364137908440563</v>
      </c>
      <c r="Q110" s="6" t="n">
        <v>0.2888922641284365</v>
      </c>
      <c r="R110" s="6" t="n">
        <v>0.660164330407248</v>
      </c>
      <c r="S110" s="6" t="n">
        <v>0.4922600619195047</v>
      </c>
      <c r="T110" s="2" t="inlineStr">
        <is>
          <t>Under</t>
        </is>
      </c>
      <c r="U110" s="4" t="n">
        <v>-105</v>
      </c>
      <c r="V110" s="2" t="n">
        <v>1.952380952380952</v>
      </c>
      <c r="W110" s="4" t="n">
        <v>-105</v>
      </c>
      <c r="X110" s="2" t="n">
        <v>1</v>
      </c>
      <c r="Y110" s="5" t="n">
        <v>0.9523809523809523</v>
      </c>
      <c r="Z110" s="7" t="n">
        <v>100</v>
      </c>
      <c r="AA110" s="7">
        <f>Y110*Z110</f>
        <v/>
      </c>
      <c r="AB110" s="6">
        <f>IF(Z110=0,0,AA110/Z110)</f>
        <v/>
      </c>
      <c r="AC110" s="6" t="n"/>
      <c r="AD110" s="2" t="inlineStr">
        <is>
          <t>Win</t>
        </is>
      </c>
      <c r="AE110" s="6">
        <f>IF((COUNTIF($AD$2:AD110,"Win")+COUNTIF($AD$2:AD110,"Loss"))=0,0,COUNTIF($AD$2:AD110,"Win")/(COUNTIF($AD$2:AD110,"Win")+COUNTIF($AD$2:AD110,"Loss")))</f>
        <v/>
      </c>
      <c r="AF110" s="6">
        <f>SUM($Y$2:Y110)/SUM($X$2:X110)</f>
        <v/>
      </c>
      <c r="AG110" s="5">
        <f>SUM($Y$2:Y110)</f>
        <v/>
      </c>
      <c r="AH110" s="7">
        <f>10000.0+SUM($AA$2:AA110)</f>
        <v/>
      </c>
      <c r="AI110" s="2" t="n">
        <v>2026</v>
      </c>
      <c r="AJ110" s="2" t="inlineStr">
        <is>
          <t>2026-04</t>
        </is>
      </c>
      <c r="AK110" s="2" t="inlineStr">
        <is>
          <t>-119 to -101</t>
        </is>
      </c>
      <c r="AL110" s="2" t="inlineStr">
        <is>
          <t>2026 Frozen Test</t>
        </is>
      </c>
      <c r="AM110" s="6" t="n">
        <v>0.3033368773348583</v>
      </c>
    </row>
    <row r="111">
      <c r="A111" s="2" t="inlineStr">
        <is>
          <t>KPROP-00512</t>
        </is>
      </c>
      <c r="B111" s="3" t="n">
        <v>46119.81988425926</v>
      </c>
      <c r="C111" s="3" t="n">
        <v>46119</v>
      </c>
      <c r="D111" s="2" t="inlineStr">
        <is>
          <t>Taj Bradley</t>
        </is>
      </c>
      <c r="E111" s="2" t="n">
        <v>142</v>
      </c>
      <c r="F111" s="2" t="n">
        <v>116</v>
      </c>
      <c r="G111" s="2" t="inlineStr">
        <is>
          <t>Home</t>
        </is>
      </c>
      <c r="H111" s="2" t="inlineStr">
        <is>
          <t>draftkings</t>
        </is>
      </c>
      <c r="I111" s="4" t="n"/>
      <c r="J111" s="4" t="n"/>
      <c r="K111" s="4" t="n">
        <v>124</v>
      </c>
      <c r="L111" s="4" t="n">
        <v>124</v>
      </c>
      <c r="M111" s="5" t="n">
        <v>5.5</v>
      </c>
      <c r="N111" s="5" t="n">
        <v>5.432247320741491</v>
      </c>
      <c r="O111" s="5" t="n">
        <v>5.5</v>
      </c>
      <c r="P111" s="5" t="n">
        <v>0.06775267925850859</v>
      </c>
      <c r="Q111" s="6" t="n">
        <v>0.2108676049001009</v>
      </c>
      <c r="R111" s="6" t="n">
        <v>0.5405658950446879</v>
      </c>
      <c r="S111" s="6" t="n">
        <v>0.4335260115606936</v>
      </c>
      <c r="T111" s="2" t="inlineStr">
        <is>
          <t>Under</t>
        </is>
      </c>
      <c r="U111" s="4" t="n">
        <v>124</v>
      </c>
      <c r="V111" s="2" t="n">
        <v>2.24</v>
      </c>
      <c r="W111" s="4" t="n">
        <v>124</v>
      </c>
      <c r="X111" s="2" t="n">
        <v>1</v>
      </c>
      <c r="Y111" s="5" t="n">
        <v>-1</v>
      </c>
      <c r="Z111" s="7" t="n">
        <v>100</v>
      </c>
      <c r="AA111" s="7">
        <f>Y111*Z111</f>
        <v/>
      </c>
      <c r="AB111" s="6">
        <f>IF(Z111=0,0,AA111/Z111)</f>
        <v/>
      </c>
      <c r="AC111" s="6" t="n"/>
      <c r="AD111" s="2" t="inlineStr">
        <is>
          <t>Loss</t>
        </is>
      </c>
      <c r="AE111" s="6">
        <f>IF((COUNTIF($AD$2:AD111,"Win")+COUNTIF($AD$2:AD111,"Loss"))=0,0,COUNTIF($AD$2:AD111,"Win")/(COUNTIF($AD$2:AD111,"Win")+COUNTIF($AD$2:AD111,"Loss")))</f>
        <v/>
      </c>
      <c r="AF111" s="6">
        <f>SUM($Y$2:Y111)/SUM($X$2:X111)</f>
        <v/>
      </c>
      <c r="AG111" s="5">
        <f>SUM($Y$2:Y111)</f>
        <v/>
      </c>
      <c r="AH111" s="7">
        <f>10000.0+SUM($AA$2:AA111)</f>
        <v/>
      </c>
      <c r="AI111" s="2" t="n">
        <v>2026</v>
      </c>
      <c r="AJ111" s="2" t="inlineStr">
        <is>
          <t>2026-04</t>
        </is>
      </c>
      <c r="AK111" s="2" t="inlineStr">
        <is>
          <t>+121 to +150</t>
        </is>
      </c>
      <c r="AL111" s="2" t="inlineStr">
        <is>
          <t>2026 Frozen Test</t>
        </is>
      </c>
      <c r="AM111" s="6" t="n">
        <v>0.1700545200807265</v>
      </c>
    </row>
    <row r="112">
      <c r="A112" s="2" t="inlineStr">
        <is>
          <t>KPROP-00513</t>
        </is>
      </c>
      <c r="B112" s="3" t="n">
        <v>46119.81988425926</v>
      </c>
      <c r="C112" s="3" t="n">
        <v>46119</v>
      </c>
      <c r="D112" s="2" t="inlineStr">
        <is>
          <t>Taj Bradley</t>
        </is>
      </c>
      <c r="E112" s="2" t="n">
        <v>142</v>
      </c>
      <c r="F112" s="2" t="n">
        <v>116</v>
      </c>
      <c r="G112" s="2" t="inlineStr">
        <is>
          <t>Home</t>
        </is>
      </c>
      <c r="H112" s="2" t="inlineStr">
        <is>
          <t>betrivers</t>
        </is>
      </c>
      <c r="I112" s="4" t="n"/>
      <c r="J112" s="4" t="n"/>
      <c r="K112" s="4" t="n">
        <v>-175</v>
      </c>
      <c r="L112" s="4" t="n">
        <v>-175</v>
      </c>
      <c r="M112" s="5" t="n">
        <v>6.5</v>
      </c>
      <c r="N112" s="5" t="n">
        <v>5.432247320741491</v>
      </c>
      <c r="O112" s="5" t="n">
        <v>6.5</v>
      </c>
      <c r="P112" s="5" t="n">
        <v>1.067752679258509</v>
      </c>
      <c r="Q112" s="6" t="n">
        <v>0.09473062910537644</v>
      </c>
      <c r="R112" s="6" t="n">
        <v>0.6966467639761487</v>
      </c>
      <c r="S112" s="6" t="n">
        <v>0.5919881305637983</v>
      </c>
      <c r="T112" s="2" t="inlineStr">
        <is>
          <t>Under</t>
        </is>
      </c>
      <c r="U112" s="4" t="n">
        <v>-175</v>
      </c>
      <c r="V112" s="2" t="n">
        <v>1.571428571428571</v>
      </c>
      <c r="W112" s="4" t="n">
        <v>-175</v>
      </c>
      <c r="X112" s="2" t="n">
        <v>1</v>
      </c>
      <c r="Y112" s="5" t="n">
        <v>-1</v>
      </c>
      <c r="Z112" s="7" t="n">
        <v>100</v>
      </c>
      <c r="AA112" s="7">
        <f>Y112*Z112</f>
        <v/>
      </c>
      <c r="AB112" s="6">
        <f>IF(Z112=0,0,AA112/Z112)</f>
        <v/>
      </c>
      <c r="AC112" s="6" t="n"/>
      <c r="AD112" s="2" t="inlineStr">
        <is>
          <t>Loss</t>
        </is>
      </c>
      <c r="AE112" s="6">
        <f>IF((COUNTIF($AD$2:AD112,"Win")+COUNTIF($AD$2:AD112,"Loss"))=0,0,COUNTIF($AD$2:AD112,"Win")/(COUNTIF($AD$2:AD112,"Win")+COUNTIF($AD$2:AD112,"Loss")))</f>
        <v/>
      </c>
      <c r="AF112" s="6">
        <f>SUM($Y$2:Y112)/SUM($X$2:X112)</f>
        <v/>
      </c>
      <c r="AG112" s="5">
        <f>SUM($Y$2:Y112)</f>
        <v/>
      </c>
      <c r="AH112" s="7">
        <f>10000.0+SUM($AA$2:AA112)</f>
        <v/>
      </c>
      <c r="AI112" s="2" t="n">
        <v>2026</v>
      </c>
      <c r="AJ112" s="2" t="inlineStr">
        <is>
          <t>2026-04</t>
        </is>
      </c>
      <c r="AK112" s="2" t="inlineStr">
        <is>
          <t>&lt;= -150</t>
        </is>
      </c>
      <c r="AL112" s="2" t="inlineStr">
        <is>
          <t>2026 Frozen Test</t>
        </is>
      </c>
      <c r="AM112" s="6" t="n">
        <v>0.1657786009344088</v>
      </c>
    </row>
    <row r="113">
      <c r="A113" s="2" t="inlineStr">
        <is>
          <t>KPROP-00514</t>
        </is>
      </c>
      <c r="B113" s="3" t="n">
        <v>46119.81988425926</v>
      </c>
      <c r="C113" s="3" t="n">
        <v>46119</v>
      </c>
      <c r="D113" s="2" t="inlineStr">
        <is>
          <t>Tarik Skubal</t>
        </is>
      </c>
      <c r="E113" s="2" t="n">
        <v>116</v>
      </c>
      <c r="F113" s="2" t="n">
        <v>142</v>
      </c>
      <c r="G113" s="2" t="inlineStr">
        <is>
          <t>Away</t>
        </is>
      </c>
      <c r="H113" s="2" t="inlineStr">
        <is>
          <t>draftkings</t>
        </is>
      </c>
      <c r="I113" s="4" t="n"/>
      <c r="J113" s="4" t="n"/>
      <c r="K113" s="4" t="n">
        <v>115</v>
      </c>
      <c r="L113" s="4" t="n">
        <v>115</v>
      </c>
      <c r="M113" s="5" t="n">
        <v>7.5</v>
      </c>
      <c r="N113" s="5" t="n">
        <v>6.701017188779272</v>
      </c>
      <c r="O113" s="5" t="n">
        <v>7.5</v>
      </c>
      <c r="P113" s="5" t="n">
        <v>0.7989828112207276</v>
      </c>
      <c r="Q113" s="6" t="n">
        <v>0.3828077621485849</v>
      </c>
      <c r="R113" s="6" t="n">
        <v>0.6431664009993419</v>
      </c>
      <c r="S113" s="6" t="n">
        <v>0.451422963689892</v>
      </c>
      <c r="T113" s="2" t="inlineStr">
        <is>
          <t>Under</t>
        </is>
      </c>
      <c r="U113" s="4" t="n">
        <v>115</v>
      </c>
      <c r="V113" s="2" t="n">
        <v>2.15</v>
      </c>
      <c r="W113" s="4" t="n">
        <v>115</v>
      </c>
      <c r="X113" s="2" t="n">
        <v>1</v>
      </c>
      <c r="Y113" s="5" t="n">
        <v>1.15</v>
      </c>
      <c r="Z113" s="7" t="n">
        <v>100</v>
      </c>
      <c r="AA113" s="7">
        <f>Y113*Z113</f>
        <v/>
      </c>
      <c r="AB113" s="6">
        <f>IF(Z113=0,0,AA113/Z113)</f>
        <v/>
      </c>
      <c r="AC113" s="6" t="n"/>
      <c r="AD113" s="2" t="inlineStr">
        <is>
          <t>Win</t>
        </is>
      </c>
      <c r="AE113" s="6">
        <f>IF((COUNTIF($AD$2:AD113,"Win")+COUNTIF($AD$2:AD113,"Loss"))=0,0,COUNTIF($AD$2:AD113,"Win")/(COUNTIF($AD$2:AD113,"Win")+COUNTIF($AD$2:AD113,"Loss")))</f>
        <v/>
      </c>
      <c r="AF113" s="6">
        <f>SUM($Y$2:Y113)/SUM($X$2:X113)</f>
        <v/>
      </c>
      <c r="AG113" s="5">
        <f>SUM($Y$2:Y113)</f>
        <v/>
      </c>
      <c r="AH113" s="7">
        <f>10000.0+SUM($AA$2:AA113)</f>
        <v/>
      </c>
      <c r="AI113" s="2" t="n">
        <v>2026</v>
      </c>
      <c r="AJ113" s="2" t="inlineStr">
        <is>
          <t>2026-04</t>
        </is>
      </c>
      <c r="AK113" s="2" t="inlineStr">
        <is>
          <t>+100 to +120</t>
        </is>
      </c>
      <c r="AL113" s="2" t="inlineStr">
        <is>
          <t>2026 Frozen Test</t>
        </is>
      </c>
      <c r="AM113" s="6" t="n">
        <v>0.332876314911813</v>
      </c>
    </row>
    <row r="114">
      <c r="A114" s="2" t="inlineStr">
        <is>
          <t>KPROP-00515</t>
        </is>
      </c>
      <c r="B114" s="3" t="n">
        <v>46119.81988425926</v>
      </c>
      <c r="C114" s="3" t="n">
        <v>46119</v>
      </c>
      <c r="D114" s="2" t="inlineStr">
        <is>
          <t>Tarik Skubal</t>
        </is>
      </c>
      <c r="E114" s="2" t="n">
        <v>116</v>
      </c>
      <c r="F114" s="2" t="n">
        <v>142</v>
      </c>
      <c r="G114" s="2" t="inlineStr">
        <is>
          <t>Away</t>
        </is>
      </c>
      <c r="H114" s="2" t="inlineStr">
        <is>
          <t>betrivers</t>
        </is>
      </c>
      <c r="I114" s="4" t="n"/>
      <c r="J114" s="4" t="n"/>
      <c r="K114" s="4" t="n">
        <v>-180</v>
      </c>
      <c r="L114" s="4" t="n">
        <v>-180</v>
      </c>
      <c r="M114" s="5" t="n">
        <v>8.5</v>
      </c>
      <c r="N114" s="5" t="n">
        <v>6.701017188779272</v>
      </c>
      <c r="O114" s="5" t="n">
        <v>8.5</v>
      </c>
      <c r="P114" s="5" t="n">
        <v>1.798982811220728</v>
      </c>
      <c r="Q114" s="6" t="n">
        <v>0.1933561264324282</v>
      </c>
      <c r="R114" s="6" t="n">
        <v>0.7671575098494181</v>
      </c>
      <c r="S114" s="6" t="n">
        <v>0.5996568487274806</v>
      </c>
      <c r="T114" s="2" t="inlineStr">
        <is>
          <t>Under</t>
        </is>
      </c>
      <c r="U114" s="4" t="n">
        <v>-180</v>
      </c>
      <c r="V114" s="2" t="n">
        <v>1.555555555555556</v>
      </c>
      <c r="W114" s="4" t="n">
        <v>-180</v>
      </c>
      <c r="X114" s="2" t="n">
        <v>1</v>
      </c>
      <c r="Y114" s="5" t="n">
        <v>0.5555555555555556</v>
      </c>
      <c r="Z114" s="7" t="n">
        <v>100</v>
      </c>
      <c r="AA114" s="7">
        <f>Y114*Z114</f>
        <v/>
      </c>
      <c r="AB114" s="6">
        <f>IF(Z114=0,0,AA114/Z114)</f>
        <v/>
      </c>
      <c r="AC114" s="6" t="n"/>
      <c r="AD114" s="2" t="inlineStr">
        <is>
          <t>Win</t>
        </is>
      </c>
      <c r="AE114" s="6">
        <f>IF((COUNTIF($AD$2:AD114,"Win")+COUNTIF($AD$2:AD114,"Loss"))=0,0,COUNTIF($AD$2:AD114,"Win")/(COUNTIF($AD$2:AD114,"Win")+COUNTIF($AD$2:AD114,"Loss")))</f>
        <v/>
      </c>
      <c r="AF114" s="6">
        <f>SUM($Y$2:Y114)/SUM($X$2:X114)</f>
        <v/>
      </c>
      <c r="AG114" s="5">
        <f>SUM($Y$2:Y114)</f>
        <v/>
      </c>
      <c r="AH114" s="7">
        <f>10000.0+SUM($AA$2:AA114)</f>
        <v/>
      </c>
      <c r="AI114" s="2" t="n">
        <v>2026</v>
      </c>
      <c r="AJ114" s="2" t="inlineStr">
        <is>
          <t>2026-04</t>
        </is>
      </c>
      <c r="AK114" s="2" t="inlineStr">
        <is>
          <t>&lt;= -150</t>
        </is>
      </c>
      <c r="AL114" s="2" t="inlineStr">
        <is>
          <t>2026 Frozen Test</t>
        </is>
      </c>
      <c r="AM114" s="6" t="n">
        <v>0.3480410275783707</v>
      </c>
    </row>
    <row r="115">
      <c r="A115" s="2" t="inlineStr">
        <is>
          <t>KPROP-00516</t>
        </is>
      </c>
      <c r="B115" s="3" t="n">
        <v>46119.63238425926</v>
      </c>
      <c r="C115" s="3" t="n">
        <v>46119</v>
      </c>
      <c r="D115" s="2" t="inlineStr">
        <is>
          <t>Trevor Rogers</t>
        </is>
      </c>
      <c r="E115" s="2" t="n">
        <v>110</v>
      </c>
      <c r="F115" s="2" t="n">
        <v>145</v>
      </c>
      <c r="G115" s="2" t="inlineStr">
        <is>
          <t>Away</t>
        </is>
      </c>
      <c r="H115" s="2" t="inlineStr">
        <is>
          <t>draftkings</t>
        </is>
      </c>
      <c r="I115" s="4" t="n"/>
      <c r="J115" s="4" t="n"/>
      <c r="K115" s="4" t="n">
        <v>124</v>
      </c>
      <c r="L115" s="4" t="n">
        <v>124</v>
      </c>
      <c r="M115" s="5" t="n">
        <v>4.5</v>
      </c>
      <c r="N115" s="5" t="n">
        <v>4.597443238653516</v>
      </c>
      <c r="O115" s="5" t="n">
        <v>4.5</v>
      </c>
      <c r="P115" s="5" t="n">
        <v>-0.09744323865351578</v>
      </c>
      <c r="Q115" s="6" t="n">
        <v>0.1507183391744523</v>
      </c>
      <c r="R115" s="6" t="n">
        <v>0.513713544274309</v>
      </c>
      <c r="S115" s="6" t="n">
        <v>0.4266211604095563</v>
      </c>
      <c r="T115" s="2" t="inlineStr">
        <is>
          <t>Under</t>
        </is>
      </c>
      <c r="U115" s="4" t="n">
        <v>124</v>
      </c>
      <c r="V115" s="2" t="n">
        <v>2.24</v>
      </c>
      <c r="W115" s="4" t="n">
        <v>124</v>
      </c>
      <c r="X115" s="2" t="n">
        <v>1</v>
      </c>
      <c r="Y115" s="5" t="n">
        <v>-1</v>
      </c>
      <c r="Z115" s="7" t="n">
        <v>100</v>
      </c>
      <c r="AA115" s="7">
        <f>Y115*Z115</f>
        <v/>
      </c>
      <c r="AB115" s="6">
        <f>IF(Z115=0,0,AA115/Z115)</f>
        <v/>
      </c>
      <c r="AC115" s="6" t="n"/>
      <c r="AD115" s="2" t="inlineStr">
        <is>
          <t>Loss</t>
        </is>
      </c>
      <c r="AE115" s="6">
        <f>IF((COUNTIF($AD$2:AD115,"Win")+COUNTIF($AD$2:AD115,"Loss"))=0,0,COUNTIF($AD$2:AD115,"Win")/(COUNTIF($AD$2:AD115,"Win")+COUNTIF($AD$2:AD115,"Loss")))</f>
        <v/>
      </c>
      <c r="AF115" s="6">
        <f>SUM($Y$2:Y115)/SUM($X$2:X115)</f>
        <v/>
      </c>
      <c r="AG115" s="5">
        <f>SUM($Y$2:Y115)</f>
        <v/>
      </c>
      <c r="AH115" s="7">
        <f>10000.0+SUM($AA$2:AA115)</f>
        <v/>
      </c>
      <c r="AI115" s="2" t="n">
        <v>2026</v>
      </c>
      <c r="AJ115" s="2" t="inlineStr">
        <is>
          <t>2026-04</t>
        </is>
      </c>
      <c r="AK115" s="2" t="inlineStr">
        <is>
          <t>+121 to +150</t>
        </is>
      </c>
      <c r="AL115" s="2" t="inlineStr">
        <is>
          <t>2026 Frozen Test</t>
        </is>
      </c>
      <c r="AM115" s="6" t="n">
        <v>0.1215470477213325</v>
      </c>
    </row>
    <row r="116">
      <c r="A116" s="2" t="inlineStr">
        <is>
          <t>KPROP-00517</t>
        </is>
      </c>
      <c r="B116" s="3" t="n">
        <v>46119.63238425926</v>
      </c>
      <c r="C116" s="3" t="n">
        <v>46119</v>
      </c>
      <c r="D116" s="2" t="inlineStr">
        <is>
          <t>Trevor Rogers</t>
        </is>
      </c>
      <c r="E116" s="2" t="n">
        <v>110</v>
      </c>
      <c r="F116" s="2" t="n">
        <v>145</v>
      </c>
      <c r="G116" s="2" t="inlineStr">
        <is>
          <t>Away</t>
        </is>
      </c>
      <c r="H116" s="2" t="inlineStr">
        <is>
          <t>betmgm</t>
        </is>
      </c>
      <c r="I116" s="4" t="n"/>
      <c r="J116" s="4" t="n"/>
      <c r="K116" s="4" t="n">
        <v>-145</v>
      </c>
      <c r="L116" s="4" t="n">
        <v>-145</v>
      </c>
      <c r="M116" s="5" t="n">
        <v>5.5</v>
      </c>
      <c r="N116" s="5" t="n">
        <v>4.597443238653516</v>
      </c>
      <c r="O116" s="5" t="n">
        <v>5.5</v>
      </c>
      <c r="P116" s="5" t="n">
        <v>0.9025567613464842</v>
      </c>
      <c r="Q116" s="6" t="n">
        <v>0.1594423230397373</v>
      </c>
      <c r="R116" s="6" t="n">
        <v>0.6862005585337221</v>
      </c>
      <c r="S116" s="6" t="n">
        <v>0.5848161328588375</v>
      </c>
      <c r="T116" s="2" t="inlineStr">
        <is>
          <t>Under</t>
        </is>
      </c>
      <c r="U116" s="4" t="n">
        <v>-145</v>
      </c>
      <c r="V116" s="2" t="n">
        <v>1.689655172413793</v>
      </c>
      <c r="W116" s="4" t="n">
        <v>-145</v>
      </c>
      <c r="X116" s="2" t="n">
        <v>1</v>
      </c>
      <c r="Y116" s="5" t="n">
        <v>-1</v>
      </c>
      <c r="Z116" s="7" t="n">
        <v>100</v>
      </c>
      <c r="AA116" s="7">
        <f>Y116*Z116</f>
        <v/>
      </c>
      <c r="AB116" s="6">
        <f>IF(Z116=0,0,AA116/Z116)</f>
        <v/>
      </c>
      <c r="AC116" s="6" t="n"/>
      <c r="AD116" s="2" t="inlineStr">
        <is>
          <t>Loss</t>
        </is>
      </c>
      <c r="AE116" s="6">
        <f>IF((COUNTIF($AD$2:AD116,"Win")+COUNTIF($AD$2:AD116,"Loss"))=0,0,COUNTIF($AD$2:AD116,"Win")/(COUNTIF($AD$2:AD116,"Win")+COUNTIF($AD$2:AD116,"Loss")))</f>
        <v/>
      </c>
      <c r="AF116" s="6">
        <f>SUM($Y$2:Y116)/SUM($X$2:X116)</f>
        <v/>
      </c>
      <c r="AG116" s="5">
        <f>SUM($Y$2:Y116)</f>
        <v/>
      </c>
      <c r="AH116" s="7">
        <f>10000.0+SUM($AA$2:AA116)</f>
        <v/>
      </c>
      <c r="AI116" s="2" t="n">
        <v>2026</v>
      </c>
      <c r="AJ116" s="2" t="inlineStr">
        <is>
          <t>2026-04</t>
        </is>
      </c>
      <c r="AK116" s="2" t="inlineStr">
        <is>
          <t>-149 to -120</t>
        </is>
      </c>
      <c r="AL116" s="2" t="inlineStr">
        <is>
          <t>2026 Frozen Test</t>
        </is>
      </c>
      <c r="AM116" s="6" t="n">
        <v>0.2311913684076191</v>
      </c>
    </row>
    <row r="117">
      <c r="A117" s="2" t="inlineStr">
        <is>
          <t>KPROP-00518</t>
        </is>
      </c>
      <c r="B117" s="3" t="n">
        <v>46120.65668981482</v>
      </c>
      <c r="C117" s="3" t="n">
        <v>46120</v>
      </c>
      <c r="D117" s="2" t="inlineStr">
        <is>
          <t>Aaron Nola</t>
        </is>
      </c>
      <c r="E117" s="2" t="n">
        <v>143</v>
      </c>
      <c r="F117" s="2" t="n">
        <v>137</v>
      </c>
      <c r="G117" s="2" t="inlineStr">
        <is>
          <t>Away</t>
        </is>
      </c>
      <c r="H117" s="2" t="inlineStr">
        <is>
          <t>bovada</t>
        </is>
      </c>
      <c r="I117" s="4" t="n"/>
      <c r="J117" s="4" t="n"/>
      <c r="K117" s="4" t="n">
        <v>-135</v>
      </c>
      <c r="L117" s="4" t="n">
        <v>-135</v>
      </c>
      <c r="M117" s="5" t="n">
        <v>5.5</v>
      </c>
      <c r="N117" s="5" t="n">
        <v>4.869294475458082</v>
      </c>
      <c r="O117" s="5" t="n">
        <v>5.5</v>
      </c>
      <c r="P117" s="5" t="n">
        <v>0.6307055245419182</v>
      </c>
      <c r="Q117" s="6" t="n">
        <v>0.1121278954330022</v>
      </c>
      <c r="R117" s="6" t="n">
        <v>0.6388819824827885</v>
      </c>
      <c r="S117" s="6" t="n">
        <v>0.5582706766917294</v>
      </c>
      <c r="T117" s="2" t="inlineStr">
        <is>
          <t>Under</t>
        </is>
      </c>
      <c r="U117" s="4" t="n">
        <v>-135</v>
      </c>
      <c r="V117" s="2" t="n">
        <v>1.740740740740741</v>
      </c>
      <c r="W117" s="4" t="n">
        <v>-135</v>
      </c>
      <c r="X117" s="2" t="n">
        <v>1</v>
      </c>
      <c r="Y117" s="5" t="n">
        <v>0.7407407407407407</v>
      </c>
      <c r="Z117" s="7" t="n">
        <v>100</v>
      </c>
      <c r="AA117" s="7">
        <f>Y117*Z117</f>
        <v/>
      </c>
      <c r="AB117" s="6">
        <f>IF(Z117=0,0,AA117/Z117)</f>
        <v/>
      </c>
      <c r="AC117" s="6" t="n"/>
      <c r="AD117" s="2" t="inlineStr">
        <is>
          <t>Win</t>
        </is>
      </c>
      <c r="AE117" s="6">
        <f>IF((COUNTIF($AD$2:AD117,"Win")+COUNTIF($AD$2:AD117,"Loss"))=0,0,COUNTIF($AD$2:AD117,"Win")/(COUNTIF($AD$2:AD117,"Win")+COUNTIF($AD$2:AD117,"Loss")))</f>
        <v/>
      </c>
      <c r="AF117" s="6">
        <f>SUM($Y$2:Y117)/SUM($X$2:X117)</f>
        <v/>
      </c>
      <c r="AG117" s="5">
        <f>SUM($Y$2:Y117)</f>
        <v/>
      </c>
      <c r="AH117" s="7">
        <f>10000.0+SUM($AA$2:AA117)</f>
        <v/>
      </c>
      <c r="AI117" s="2" t="n">
        <v>2026</v>
      </c>
      <c r="AJ117" s="2" t="inlineStr">
        <is>
          <t>2026-04</t>
        </is>
      </c>
      <c r="AK117" s="2" t="inlineStr">
        <is>
          <t>-149 to -120</t>
        </is>
      </c>
      <c r="AL117" s="2" t="inlineStr">
        <is>
          <t>2026 Frozen Test</t>
        </is>
      </c>
      <c r="AM117" s="6" t="n">
        <v>0.1513726588345529</v>
      </c>
    </row>
    <row r="118">
      <c r="A118" s="2" t="inlineStr">
        <is>
          <t>KPROP-00519</t>
        </is>
      </c>
      <c r="B118" s="3" t="n">
        <v>46120.81987268518</v>
      </c>
      <c r="C118" s="3" t="n">
        <v>46120</v>
      </c>
      <c r="D118" s="2" t="inlineStr">
        <is>
          <t>Bailey Ober</t>
        </is>
      </c>
      <c r="E118" s="2" t="n">
        <v>142</v>
      </c>
      <c r="F118" s="2" t="n">
        <v>116</v>
      </c>
      <c r="G118" s="2" t="inlineStr">
        <is>
          <t>Home</t>
        </is>
      </c>
      <c r="H118" s="2" t="inlineStr">
        <is>
          <t>draftkings</t>
        </is>
      </c>
      <c r="I118" s="4" t="n"/>
      <c r="J118" s="4" t="n"/>
      <c r="K118" s="4" t="n">
        <v>-111</v>
      </c>
      <c r="L118" s="4" t="n">
        <v>-111</v>
      </c>
      <c r="M118" s="5" t="n">
        <v>4.5</v>
      </c>
      <c r="N118" s="5" t="n">
        <v>3.957380733634164</v>
      </c>
      <c r="O118" s="5" t="n">
        <v>4.5</v>
      </c>
      <c r="P118" s="5" t="n">
        <v>0.5426192663658362</v>
      </c>
      <c r="Q118" s="6" t="n">
        <v>0.2111831352327275</v>
      </c>
      <c r="R118" s="6" t="n">
        <v>0.637162691994468</v>
      </c>
      <c r="S118" s="6" t="n">
        <v>0.5248817833821211</v>
      </c>
      <c r="T118" s="2" t="inlineStr">
        <is>
          <t>Under</t>
        </is>
      </c>
      <c r="U118" s="4" t="n">
        <v>-111</v>
      </c>
      <c r="V118" s="2" t="n">
        <v>1.900900900900901</v>
      </c>
      <c r="W118" s="4" t="n">
        <v>-111</v>
      </c>
      <c r="X118" s="2" t="n">
        <v>1</v>
      </c>
      <c r="Y118" s="5" t="n">
        <v>0.900900900900901</v>
      </c>
      <c r="Z118" s="7" t="n">
        <v>100</v>
      </c>
      <c r="AA118" s="7">
        <f>Y118*Z118</f>
        <v/>
      </c>
      <c r="AB118" s="6">
        <f>IF(Z118=0,0,AA118/Z118)</f>
        <v/>
      </c>
      <c r="AC118" s="6" t="n"/>
      <c r="AD118" s="2" t="inlineStr">
        <is>
          <t>Win</t>
        </is>
      </c>
      <c r="AE118" s="6">
        <f>IF((COUNTIF($AD$2:AD118,"Win")+COUNTIF($AD$2:AD118,"Loss"))=0,0,COUNTIF($AD$2:AD118,"Win")/(COUNTIF($AD$2:AD118,"Win")+COUNTIF($AD$2:AD118,"Loss")))</f>
        <v/>
      </c>
      <c r="AF118" s="6">
        <f>SUM($Y$2:Y118)/SUM($X$2:X118)</f>
        <v/>
      </c>
      <c r="AG118" s="5">
        <f>SUM($Y$2:Y118)</f>
        <v/>
      </c>
      <c r="AH118" s="7">
        <f>10000.0+SUM($AA$2:AA118)</f>
        <v/>
      </c>
      <c r="AI118" s="2" t="n">
        <v>2026</v>
      </c>
      <c r="AJ118" s="2" t="inlineStr">
        <is>
          <t>2026-04</t>
        </is>
      </c>
      <c r="AK118" s="2" t="inlineStr">
        <is>
          <t>-119 to -101</t>
        </is>
      </c>
      <c r="AL118" s="2" t="inlineStr">
        <is>
          <t>2026 Frozen Test</t>
        </is>
      </c>
      <c r="AM118" s="6" t="n">
        <v>0.2344132801083275</v>
      </c>
    </row>
    <row r="119">
      <c r="A119" s="2" t="inlineStr">
        <is>
          <t>KPROP-00520</t>
        </is>
      </c>
      <c r="B119" s="3" t="n">
        <v>46120.77821759259</v>
      </c>
      <c r="C119" s="3" t="n">
        <v>46120</v>
      </c>
      <c r="D119" s="2" t="inlineStr">
        <is>
          <t>Brady Singer</t>
        </is>
      </c>
      <c r="E119" s="2" t="n">
        <v>113</v>
      </c>
      <c r="F119" s="2" t="n">
        <v>146</v>
      </c>
      <c r="G119" s="2" t="inlineStr">
        <is>
          <t>Away</t>
        </is>
      </c>
      <c r="H119" s="2" t="inlineStr">
        <is>
          <t>betrivers</t>
        </is>
      </c>
      <c r="I119" s="4" t="n"/>
      <c r="J119" s="4" t="n"/>
      <c r="K119" s="4" t="n">
        <v>102</v>
      </c>
      <c r="L119" s="4" t="n">
        <v>102</v>
      </c>
      <c r="M119" s="5" t="n">
        <v>4.5</v>
      </c>
      <c r="N119" s="5" t="n">
        <v>4.440331711983765</v>
      </c>
      <c r="O119" s="5" t="n">
        <v>4.5</v>
      </c>
      <c r="P119" s="5" t="n">
        <v>0.05966828801623514</v>
      </c>
      <c r="Q119" s="6" t="n">
        <v>0.09780001774005775</v>
      </c>
      <c r="R119" s="6" t="n">
        <v>0.5434653553168602</v>
      </c>
      <c r="S119" s="6" t="n">
        <v>0.4806617482673821</v>
      </c>
      <c r="T119" s="2" t="inlineStr">
        <is>
          <t>Under</t>
        </is>
      </c>
      <c r="U119" s="4" t="n">
        <v>102</v>
      </c>
      <c r="V119" s="2" t="n">
        <v>2.02</v>
      </c>
      <c r="W119" s="4" t="n">
        <v>102</v>
      </c>
      <c r="X119" s="2" t="n">
        <v>1</v>
      </c>
      <c r="Y119" s="5" t="n">
        <v>1.02</v>
      </c>
      <c r="Z119" s="7" t="n">
        <v>100</v>
      </c>
      <c r="AA119" s="7">
        <f>Y119*Z119</f>
        <v/>
      </c>
      <c r="AB119" s="6">
        <f>IF(Z119=0,0,AA119/Z119)</f>
        <v/>
      </c>
      <c r="AC119" s="6" t="n"/>
      <c r="AD119" s="2" t="inlineStr">
        <is>
          <t>Win</t>
        </is>
      </c>
      <c r="AE119" s="6">
        <f>IF((COUNTIF($AD$2:AD119,"Win")+COUNTIF($AD$2:AD119,"Loss"))=0,0,COUNTIF($AD$2:AD119,"Win")/(COUNTIF($AD$2:AD119,"Win")+COUNTIF($AD$2:AD119,"Loss")))</f>
        <v/>
      </c>
      <c r="AF119" s="6">
        <f>SUM($Y$2:Y119)/SUM($X$2:X119)</f>
        <v/>
      </c>
      <c r="AG119" s="5">
        <f>SUM($Y$2:Y119)</f>
        <v/>
      </c>
      <c r="AH119" s="7">
        <f>10000.0+SUM($AA$2:AA119)</f>
        <v/>
      </c>
      <c r="AI119" s="2" t="n">
        <v>2026</v>
      </c>
      <c r="AJ119" s="2" t="inlineStr">
        <is>
          <t>2026-04</t>
        </is>
      </c>
      <c r="AK119" s="2" t="inlineStr">
        <is>
          <t>+100 to +120</t>
        </is>
      </c>
      <c r="AL119" s="2" t="inlineStr">
        <is>
          <t>2026 Frozen Test</t>
        </is>
      </c>
      <c r="AM119" s="6" t="n">
        <v>0.09588237033338995</v>
      </c>
    </row>
    <row r="120">
      <c r="A120" s="2" t="inlineStr">
        <is>
          <t>KPROP-00521</t>
        </is>
      </c>
      <c r="B120" s="3" t="n">
        <v>46120.54903935185</v>
      </c>
      <c r="C120" s="3" t="n">
        <v>46120</v>
      </c>
      <c r="D120" s="2" t="inlineStr">
        <is>
          <t>Cole Ragans</t>
        </is>
      </c>
      <c r="E120" s="2" t="n">
        <v>118</v>
      </c>
      <c r="F120" s="2" t="n">
        <v>114</v>
      </c>
      <c r="G120" s="2" t="inlineStr">
        <is>
          <t>Away</t>
        </is>
      </c>
      <c r="H120" s="2" t="inlineStr">
        <is>
          <t>bovada</t>
        </is>
      </c>
      <c r="I120" s="4" t="n"/>
      <c r="J120" s="4" t="n"/>
      <c r="K120" s="4" t="n">
        <v>110</v>
      </c>
      <c r="L120" s="4" t="n">
        <v>110</v>
      </c>
      <c r="M120" s="5" t="n">
        <v>6.5</v>
      </c>
      <c r="N120" s="5" t="n">
        <v>5.693119252708569</v>
      </c>
      <c r="O120" s="5" t="n">
        <v>6.5</v>
      </c>
      <c r="P120" s="5" t="n">
        <v>0.806880747291431</v>
      </c>
      <c r="Q120" s="6" t="n">
        <v>0.3764720955812074</v>
      </c>
      <c r="R120" s="6" t="n">
        <v>0.6554629026577178</v>
      </c>
      <c r="S120" s="6" t="n">
        <v>0.4642409033877039</v>
      </c>
      <c r="T120" s="2" t="inlineStr">
        <is>
          <t>Under</t>
        </is>
      </c>
      <c r="U120" s="4" t="n">
        <v>110</v>
      </c>
      <c r="V120" s="2" t="n">
        <v>2.1</v>
      </c>
      <c r="W120" s="4" t="n">
        <v>110</v>
      </c>
      <c r="X120" s="2" t="n">
        <v>1</v>
      </c>
      <c r="Y120" s="5" t="n">
        <v>1.1</v>
      </c>
      <c r="Z120" s="7" t="n">
        <v>100</v>
      </c>
      <c r="AA120" s="7">
        <f>Y120*Z120</f>
        <v/>
      </c>
      <c r="AB120" s="6">
        <f>IF(Z120=0,0,AA120/Z120)</f>
        <v/>
      </c>
      <c r="AC120" s="6" t="n"/>
      <c r="AD120" s="2" t="inlineStr">
        <is>
          <t>Win</t>
        </is>
      </c>
      <c r="AE120" s="6">
        <f>IF((COUNTIF($AD$2:AD120,"Win")+COUNTIF($AD$2:AD120,"Loss"))=0,0,COUNTIF($AD$2:AD120,"Win")/(COUNTIF($AD$2:AD120,"Win")+COUNTIF($AD$2:AD120,"Loss")))</f>
        <v/>
      </c>
      <c r="AF120" s="6">
        <f>SUM($Y$2:Y120)/SUM($X$2:X120)</f>
        <v/>
      </c>
      <c r="AG120" s="5">
        <f>SUM($Y$2:Y120)</f>
        <v/>
      </c>
      <c r="AH120" s="7">
        <f>10000.0+SUM($AA$2:AA120)</f>
        <v/>
      </c>
      <c r="AI120" s="2" t="n">
        <v>2026</v>
      </c>
      <c r="AJ120" s="2" t="inlineStr">
        <is>
          <t>2026-04</t>
        </is>
      </c>
      <c r="AK120" s="2" t="inlineStr">
        <is>
          <t>+100 to +120</t>
        </is>
      </c>
      <c r="AL120" s="2" t="inlineStr">
        <is>
          <t>2026 Frozen Test</t>
        </is>
      </c>
      <c r="AM120" s="6" t="n">
        <v>0.3422473596192794</v>
      </c>
    </row>
    <row r="121">
      <c r="A121" s="2" t="inlineStr">
        <is>
          <t>KPROP-00522</t>
        </is>
      </c>
      <c r="B121" s="3" t="n">
        <v>46120.67405092593</v>
      </c>
      <c r="C121" s="3" t="n">
        <v>46120</v>
      </c>
      <c r="D121" s="2" t="inlineStr">
        <is>
          <t>David Peterson</t>
        </is>
      </c>
      <c r="E121" s="2" t="n">
        <v>121</v>
      </c>
      <c r="F121" s="2" t="n">
        <v>109</v>
      </c>
      <c r="G121" s="2" t="inlineStr">
        <is>
          <t>Home</t>
        </is>
      </c>
      <c r="H121" s="2" t="inlineStr">
        <is>
          <t>draftkings</t>
        </is>
      </c>
      <c r="I121" s="4" t="n"/>
      <c r="J121" s="4" t="n"/>
      <c r="K121" s="4" t="n">
        <v>-159</v>
      </c>
      <c r="L121" s="4" t="n">
        <v>-159</v>
      </c>
      <c r="M121" s="5" t="n">
        <v>4.5</v>
      </c>
      <c r="N121" s="5" t="n">
        <v>3.386258217186197</v>
      </c>
      <c r="O121" s="5" t="n">
        <v>4.5</v>
      </c>
      <c r="P121" s="5" t="n">
        <v>1.113741782813803</v>
      </c>
      <c r="Q121" s="6" t="n">
        <v>0.2163749089467562</v>
      </c>
      <c r="R121" s="6" t="n">
        <v>0.7467320869595917</v>
      </c>
      <c r="S121" s="6" t="n">
        <v>0.5811365915192288</v>
      </c>
      <c r="T121" s="2" t="inlineStr">
        <is>
          <t>Under</t>
        </is>
      </c>
      <c r="U121" s="4" t="n">
        <v>-159</v>
      </c>
      <c r="V121" s="2" t="n">
        <v>1.628930817610063</v>
      </c>
      <c r="W121" s="4" t="n">
        <v>-159</v>
      </c>
      <c r="X121" s="2" t="n">
        <v>1</v>
      </c>
      <c r="Y121" s="5" t="n">
        <v>-1</v>
      </c>
      <c r="Z121" s="7" t="n">
        <v>100</v>
      </c>
      <c r="AA121" s="7">
        <f>Y121*Z121</f>
        <v/>
      </c>
      <c r="AB121" s="6">
        <f>IF(Z121=0,0,AA121/Z121)</f>
        <v/>
      </c>
      <c r="AC121" s="6" t="n"/>
      <c r="AD121" s="2" t="inlineStr">
        <is>
          <t>Loss</t>
        </is>
      </c>
      <c r="AE121" s="6">
        <f>IF((COUNTIF($AD$2:AD121,"Win")+COUNTIF($AD$2:AD121,"Loss"))=0,0,COUNTIF($AD$2:AD121,"Win")/(COUNTIF($AD$2:AD121,"Win")+COUNTIF($AD$2:AD121,"Loss")))</f>
        <v/>
      </c>
      <c r="AF121" s="6">
        <f>SUM($Y$2:Y121)/SUM($X$2:X121)</f>
        <v/>
      </c>
      <c r="AG121" s="5">
        <f>SUM($Y$2:Y121)</f>
        <v/>
      </c>
      <c r="AH121" s="7">
        <f>10000.0+SUM($AA$2:AA121)</f>
        <v/>
      </c>
      <c r="AI121" s="2" t="n">
        <v>2026</v>
      </c>
      <c r="AJ121" s="2" t="inlineStr">
        <is>
          <t>2026-04</t>
        </is>
      </c>
      <c r="AK121" s="2" t="inlineStr">
        <is>
          <t>&lt;= -150</t>
        </is>
      </c>
      <c r="AL121" s="2" t="inlineStr">
        <is>
          <t>2026 Frozen Test</t>
        </is>
      </c>
      <c r="AM121" s="6" t="n">
        <v>0.3440361052253424</v>
      </c>
    </row>
    <row r="122">
      <c r="A122" s="2" t="inlineStr">
        <is>
          <t>KPROP-00523</t>
        </is>
      </c>
      <c r="B122" s="3" t="n">
        <v>46120.62890046297</v>
      </c>
      <c r="C122" s="3" t="n">
        <v>46120</v>
      </c>
      <c r="D122" s="2" t="inlineStr">
        <is>
          <t>Dylan Cease</t>
        </is>
      </c>
      <c r="E122" s="2" t="n">
        <v>141</v>
      </c>
      <c r="F122" s="2" t="n">
        <v>119</v>
      </c>
      <c r="G122" s="2" t="inlineStr">
        <is>
          <t>Home</t>
        </is>
      </c>
      <c r="H122" s="2" t="inlineStr">
        <is>
          <t>fanduel</t>
        </is>
      </c>
      <c r="I122" s="4" t="n"/>
      <c r="J122" s="4" t="n"/>
      <c r="K122" s="4" t="n">
        <v>126</v>
      </c>
      <c r="L122" s="4" t="n">
        <v>126</v>
      </c>
      <c r="M122" s="5" t="n">
        <v>6.5</v>
      </c>
      <c r="N122" s="5" t="n">
        <v>6.447136997158518</v>
      </c>
      <c r="O122" s="5" t="n">
        <v>6.5</v>
      </c>
      <c r="P122" s="5" t="n">
        <v>0.05286300284148204</v>
      </c>
      <c r="Q122" s="6" t="n">
        <v>0.2087949867045483</v>
      </c>
      <c r="R122" s="6" t="n">
        <v>0.5348650383648444</v>
      </c>
      <c r="S122" s="6" t="n">
        <v>0.4238003579508999</v>
      </c>
      <c r="T122" s="2" t="inlineStr">
        <is>
          <t>Under</t>
        </is>
      </c>
      <c r="U122" s="4" t="n">
        <v>126</v>
      </c>
      <c r="V122" s="2" t="n">
        <v>2.26</v>
      </c>
      <c r="W122" s="4" t="n">
        <v>126</v>
      </c>
      <c r="X122" s="2" t="n">
        <v>1</v>
      </c>
      <c r="Y122" s="5" t="n">
        <v>-1</v>
      </c>
      <c r="Z122" s="7" t="n">
        <v>100</v>
      </c>
      <c r="AA122" s="7">
        <f>Y122*Z122</f>
        <v/>
      </c>
      <c r="AB122" s="6">
        <f>IF(Z122=0,0,AA122/Z122)</f>
        <v/>
      </c>
      <c r="AC122" s="6" t="n"/>
      <c r="AD122" s="2" t="inlineStr">
        <is>
          <t>Loss</t>
        </is>
      </c>
      <c r="AE122" s="6">
        <f>IF((COUNTIF($AD$2:AD122,"Win")+COUNTIF($AD$2:AD122,"Loss"))=0,0,COUNTIF($AD$2:AD122,"Win")/(COUNTIF($AD$2:AD122,"Win")+COUNTIF($AD$2:AD122,"Loss")))</f>
        <v/>
      </c>
      <c r="AF122" s="6">
        <f>SUM($Y$2:Y122)/SUM($X$2:X122)</f>
        <v/>
      </c>
      <c r="AG122" s="5">
        <f>SUM($Y$2:Y122)</f>
        <v/>
      </c>
      <c r="AH122" s="7">
        <f>10000.0+SUM($AA$2:AA122)</f>
        <v/>
      </c>
      <c r="AI122" s="2" t="n">
        <v>2026</v>
      </c>
      <c r="AJ122" s="2" t="inlineStr">
        <is>
          <t>2026-04</t>
        </is>
      </c>
      <c r="AK122" s="2" t="inlineStr">
        <is>
          <t>+121 to +150</t>
        </is>
      </c>
      <c r="AL122" s="2" t="inlineStr">
        <is>
          <t>2026 Frozen Test</t>
        </is>
      </c>
      <c r="AM122" s="6" t="n">
        <v>0.1657103069083717</v>
      </c>
    </row>
    <row r="123">
      <c r="A123" s="2" t="inlineStr">
        <is>
          <t>KPROP-00524</t>
        </is>
      </c>
      <c r="B123" s="3" t="n">
        <v>46120.62890046297</v>
      </c>
      <c r="C123" s="3" t="n">
        <v>46120</v>
      </c>
      <c r="D123" s="2" t="inlineStr">
        <is>
          <t>Dylan Cease</t>
        </is>
      </c>
      <c r="E123" s="2" t="n">
        <v>141</v>
      </c>
      <c r="F123" s="2" t="n">
        <v>119</v>
      </c>
      <c r="G123" s="2" t="inlineStr">
        <is>
          <t>Home</t>
        </is>
      </c>
      <c r="H123" s="2" t="inlineStr">
        <is>
          <t>betrivers</t>
        </is>
      </c>
      <c r="I123" s="4" t="n"/>
      <c r="J123" s="4" t="n"/>
      <c r="K123" s="4" t="n">
        <v>-159</v>
      </c>
      <c r="L123" s="4" t="n">
        <v>-159</v>
      </c>
      <c r="M123" s="5" t="n">
        <v>7.5</v>
      </c>
      <c r="N123" s="5" t="n">
        <v>6.447136997158518</v>
      </c>
      <c r="O123" s="5" t="n">
        <v>7.5</v>
      </c>
      <c r="P123" s="5" t="n">
        <v>1.052863002841482</v>
      </c>
      <c r="Q123" s="6" t="n">
        <v>0.108441589246113</v>
      </c>
      <c r="R123" s="6" t="n">
        <v>0.6804718636684632</v>
      </c>
      <c r="S123" s="6" t="n">
        <v>0.5723390905188072</v>
      </c>
      <c r="T123" s="2" t="inlineStr">
        <is>
          <t>Under</t>
        </is>
      </c>
      <c r="U123" s="4" t="n">
        <v>-159</v>
      </c>
      <c r="V123" s="2" t="n">
        <v>1.628930817610063</v>
      </c>
      <c r="W123" s="4" t="n">
        <v>-159</v>
      </c>
      <c r="X123" s="2" t="n">
        <v>1</v>
      </c>
      <c r="Y123" s="5" t="n">
        <v>-1</v>
      </c>
      <c r="Z123" s="7" t="n">
        <v>100</v>
      </c>
      <c r="AA123" s="7">
        <f>Y123*Z123</f>
        <v/>
      </c>
      <c r="AB123" s="6">
        <f>IF(Z123=0,0,AA123/Z123)</f>
        <v/>
      </c>
      <c r="AC123" s="6" t="n"/>
      <c r="AD123" s="2" t="inlineStr">
        <is>
          <t>Loss</t>
        </is>
      </c>
      <c r="AE123" s="6">
        <f>IF((COUNTIF($AD$2:AD123,"Win")+COUNTIF($AD$2:AD123,"Loss"))=0,0,COUNTIF($AD$2:AD123,"Win")/(COUNTIF($AD$2:AD123,"Win")+COUNTIF($AD$2:AD123,"Loss")))</f>
        <v/>
      </c>
      <c r="AF123" s="6">
        <f>SUM($Y$2:Y123)/SUM($X$2:X123)</f>
        <v/>
      </c>
      <c r="AG123" s="5">
        <f>SUM($Y$2:Y123)</f>
        <v/>
      </c>
      <c r="AH123" s="7">
        <f>10000.0+SUM($AA$2:AA123)</f>
        <v/>
      </c>
      <c r="AI123" s="2" t="n">
        <v>2026</v>
      </c>
      <c r="AJ123" s="2" t="inlineStr">
        <is>
          <t>2026-04</t>
        </is>
      </c>
      <c r="AK123" s="2" t="inlineStr">
        <is>
          <t>&lt;= -150</t>
        </is>
      </c>
      <c r="AL123" s="2" t="inlineStr">
        <is>
          <t>2026 Frozen Test</t>
        </is>
      </c>
      <c r="AM123" s="6" t="n">
        <v>0.1724221269013197</v>
      </c>
    </row>
    <row r="124">
      <c r="A124" s="2" t="inlineStr">
        <is>
          <t>KPROP-00525</t>
        </is>
      </c>
      <c r="B124" s="3" t="n">
        <v>46120.54903935185</v>
      </c>
      <c r="C124" s="3" t="n">
        <v>46120</v>
      </c>
      <c r="D124" s="2" t="inlineStr">
        <is>
          <t>Joey Cantillo</t>
        </is>
      </c>
      <c r="E124" s="2" t="n">
        <v>114</v>
      </c>
      <c r="F124" s="2" t="n">
        <v>118</v>
      </c>
      <c r="G124" s="2" t="inlineStr">
        <is>
          <t>Home</t>
        </is>
      </c>
      <c r="H124" s="2" t="inlineStr">
        <is>
          <t>betrivers</t>
        </is>
      </c>
      <c r="I124" s="4" t="n"/>
      <c r="J124" s="4" t="n"/>
      <c r="K124" s="4" t="n">
        <v>128</v>
      </c>
      <c r="L124" s="4" t="n">
        <v>128</v>
      </c>
      <c r="M124" s="5" t="n">
        <v>4.5</v>
      </c>
      <c r="N124" s="5" t="n">
        <v>4.618241063511599</v>
      </c>
      <c r="O124" s="5" t="n">
        <v>4.5</v>
      </c>
      <c r="P124" s="5" t="n">
        <v>-0.1182410635115989</v>
      </c>
      <c r="Q124" s="6" t="n">
        <v>0.1623836666965524</v>
      </c>
      <c r="R124" s="6" t="n">
        <v>0.5098173976739264</v>
      </c>
      <c r="S124" s="6" t="n">
        <v>0.4080118694362018</v>
      </c>
      <c r="T124" s="2" t="inlineStr">
        <is>
          <t>Under</t>
        </is>
      </c>
      <c r="U124" s="4" t="n">
        <v>128</v>
      </c>
      <c r="V124" s="2" t="n">
        <v>2.28</v>
      </c>
      <c r="W124" s="4" t="n">
        <v>128</v>
      </c>
      <c r="X124" s="2" t="n">
        <v>1</v>
      </c>
      <c r="Y124" s="5" t="n">
        <v>-1</v>
      </c>
      <c r="Z124" s="7" t="n">
        <v>100</v>
      </c>
      <c r="AA124" s="7">
        <f>Y124*Z124</f>
        <v/>
      </c>
      <c r="AB124" s="6">
        <f>IF(Z124=0,0,AA124/Z124)</f>
        <v/>
      </c>
      <c r="AC124" s="6" t="n"/>
      <c r="AD124" s="2" t="inlineStr">
        <is>
          <t>Loss</t>
        </is>
      </c>
      <c r="AE124" s="6">
        <f>IF((COUNTIF($AD$2:AD124,"Win")+COUNTIF($AD$2:AD124,"Loss"))=0,0,COUNTIF($AD$2:AD124,"Win")/(COUNTIF($AD$2:AD124,"Win")+COUNTIF($AD$2:AD124,"Loss")))</f>
        <v/>
      </c>
      <c r="AF124" s="6">
        <f>SUM($Y$2:Y124)/SUM($X$2:X124)</f>
        <v/>
      </c>
      <c r="AG124" s="5">
        <f>SUM($Y$2:Y124)</f>
        <v/>
      </c>
      <c r="AH124" s="7">
        <f>10000.0+SUM($AA$2:AA124)</f>
        <v/>
      </c>
      <c r="AI124" s="2" t="n">
        <v>2026</v>
      </c>
      <c r="AJ124" s="2" t="inlineStr">
        <is>
          <t>2026-04</t>
        </is>
      </c>
      <c r="AK124" s="2" t="inlineStr">
        <is>
          <t>+121 to +150</t>
        </is>
      </c>
      <c r="AL124" s="2" t="inlineStr">
        <is>
          <t>2026 Frozen Test</t>
        </is>
      </c>
      <c r="AM124" s="6" t="n">
        <v>0.1268622396066815</v>
      </c>
    </row>
    <row r="125">
      <c r="A125" s="2" t="inlineStr">
        <is>
          <t>KPROP-00526</t>
        </is>
      </c>
      <c r="B125" s="3" t="n">
        <v>46120.54903935185</v>
      </c>
      <c r="C125" s="3" t="n">
        <v>46120</v>
      </c>
      <c r="D125" s="2" t="inlineStr">
        <is>
          <t>Joey Cantillo</t>
        </is>
      </c>
      <c r="E125" s="2" t="n">
        <v>114</v>
      </c>
      <c r="F125" s="2" t="n">
        <v>118</v>
      </c>
      <c r="G125" s="2" t="inlineStr">
        <is>
          <t>Home</t>
        </is>
      </c>
      <c r="H125" s="2" t="inlineStr">
        <is>
          <t>draftkings</t>
        </is>
      </c>
      <c r="I125" s="4" t="n"/>
      <c r="J125" s="4" t="n"/>
      <c r="K125" s="4" t="n">
        <v>-142</v>
      </c>
      <c r="L125" s="4" t="n">
        <v>-142</v>
      </c>
      <c r="M125" s="5" t="n">
        <v>5.5</v>
      </c>
      <c r="N125" s="5" t="n">
        <v>4.618241063511599</v>
      </c>
      <c r="O125" s="5" t="n">
        <v>5.5</v>
      </c>
      <c r="P125" s="5" t="n">
        <v>0.8817589364884011</v>
      </c>
      <c r="Q125" s="6" t="n">
        <v>0.163321261696217</v>
      </c>
      <c r="R125" s="6" t="n">
        <v>0.682609996532491</v>
      </c>
      <c r="S125" s="6" t="n">
        <v>0.5634920634920635</v>
      </c>
      <c r="T125" s="2" t="inlineStr">
        <is>
          <t>Under</t>
        </is>
      </c>
      <c r="U125" s="4" t="n">
        <v>-142</v>
      </c>
      <c r="V125" s="2" t="n">
        <v>1.704225352112676</v>
      </c>
      <c r="W125" s="4" t="n">
        <v>-142</v>
      </c>
      <c r="X125" s="2" t="n">
        <v>1</v>
      </c>
      <c r="Y125" s="5" t="n">
        <v>-1</v>
      </c>
      <c r="Z125" s="7" t="n">
        <v>100</v>
      </c>
      <c r="AA125" s="7">
        <f>Y125*Z125</f>
        <v/>
      </c>
      <c r="AB125" s="6">
        <f>IF(Z125=0,0,AA125/Z125)</f>
        <v/>
      </c>
      <c r="AC125" s="6" t="n"/>
      <c r="AD125" s="2" t="inlineStr">
        <is>
          <t>Loss</t>
        </is>
      </c>
      <c r="AE125" s="6">
        <f>IF((COUNTIF($AD$2:AD125,"Win")+COUNTIF($AD$2:AD125,"Loss"))=0,0,COUNTIF($AD$2:AD125,"Win")/(COUNTIF($AD$2:AD125,"Win")+COUNTIF($AD$2:AD125,"Loss")))</f>
        <v/>
      </c>
      <c r="AF125" s="6">
        <f>SUM($Y$2:Y125)/SUM($X$2:X125)</f>
        <v/>
      </c>
      <c r="AG125" s="5">
        <f>SUM($Y$2:Y125)</f>
        <v/>
      </c>
      <c r="AH125" s="7">
        <f>10000.0+SUM($AA$2:AA125)</f>
        <v/>
      </c>
      <c r="AI125" s="2" t="n">
        <v>2026</v>
      </c>
      <c r="AJ125" s="2" t="inlineStr">
        <is>
          <t>2026-04</t>
        </is>
      </c>
      <c r="AK125" s="2" t="inlineStr">
        <is>
          <t>-149 to -120</t>
        </is>
      </c>
      <c r="AL125" s="2" t="inlineStr">
        <is>
          <t>2026 Frozen Test</t>
        </is>
      </c>
      <c r="AM125" s="6" t="n">
        <v>0.2319161916086282</v>
      </c>
    </row>
    <row r="126">
      <c r="A126" s="2" t="inlineStr">
        <is>
          <t>KPROP-00527</t>
        </is>
      </c>
      <c r="B126" s="3" t="n">
        <v>46120.60807870371</v>
      </c>
      <c r="C126" s="3" t="n">
        <v>46120</v>
      </c>
      <c r="D126" s="2" t="inlineStr">
        <is>
          <t>MacKenzie Gore</t>
        </is>
      </c>
      <c r="E126" s="2" t="n">
        <v>140</v>
      </c>
      <c r="F126" s="2" t="n">
        <v>136</v>
      </c>
      <c r="G126" s="2" t="inlineStr">
        <is>
          <t>Home</t>
        </is>
      </c>
      <c r="H126" s="2" t="inlineStr">
        <is>
          <t>betrivers</t>
        </is>
      </c>
      <c r="I126" s="4" t="n"/>
      <c r="J126" s="4" t="n"/>
      <c r="K126" s="4" t="n">
        <v>140</v>
      </c>
      <c r="L126" s="4" t="n">
        <v>140</v>
      </c>
      <c r="M126" s="5" t="n">
        <v>5.5</v>
      </c>
      <c r="N126" s="5" t="n">
        <v>5.087855754327067</v>
      </c>
      <c r="O126" s="5" t="n">
        <v>5.5</v>
      </c>
      <c r="P126" s="5" t="n">
        <v>0.4121442456729332</v>
      </c>
      <c r="Q126" s="6" t="n">
        <v>0.4413170422886882</v>
      </c>
      <c r="R126" s="6" t="n">
        <v>0.6005487676202867</v>
      </c>
      <c r="S126" s="6" t="n">
        <v>0.388739946380697</v>
      </c>
      <c r="T126" s="2" t="inlineStr">
        <is>
          <t>Under</t>
        </is>
      </c>
      <c r="U126" s="4" t="n">
        <v>140</v>
      </c>
      <c r="V126" s="2" t="n">
        <v>2.4</v>
      </c>
      <c r="W126" s="4" t="n">
        <v>140</v>
      </c>
      <c r="X126" s="2" t="n">
        <v>1</v>
      </c>
      <c r="Y126" s="5" t="n">
        <v>-1</v>
      </c>
      <c r="Z126" s="7" t="n">
        <v>100</v>
      </c>
      <c r="AA126" s="7">
        <f>Y126*Z126</f>
        <v/>
      </c>
      <c r="AB126" s="6">
        <f>IF(Z126=0,0,AA126/Z126)</f>
        <v/>
      </c>
      <c r="AC126" s="6" t="n"/>
      <c r="AD126" s="2" t="inlineStr">
        <is>
          <t>Loss</t>
        </is>
      </c>
      <c r="AE126" s="6">
        <f>IF((COUNTIF($AD$2:AD126,"Win")+COUNTIF($AD$2:AD126,"Loss"))=0,0,COUNTIF($AD$2:AD126,"Win")/(COUNTIF($AD$2:AD126,"Win")+COUNTIF($AD$2:AD126,"Loss")))</f>
        <v/>
      </c>
      <c r="AF126" s="6">
        <f>SUM($Y$2:Y126)/SUM($X$2:X126)</f>
        <v/>
      </c>
      <c r="AG126" s="5">
        <f>SUM($Y$2:Y126)</f>
        <v/>
      </c>
      <c r="AH126" s="7">
        <f>10000.0+SUM($AA$2:AA126)</f>
        <v/>
      </c>
      <c r="AI126" s="2" t="n">
        <v>2026</v>
      </c>
      <c r="AJ126" s="2" t="inlineStr">
        <is>
          <t>2026-04</t>
        </is>
      </c>
      <c r="AK126" s="2" t="inlineStr">
        <is>
          <t>+121 to +150</t>
        </is>
      </c>
      <c r="AL126" s="2" t="inlineStr">
        <is>
          <t>2026 Frozen Test</t>
        </is>
      </c>
      <c r="AM126" s="6" t="n">
        <v>0.3152264587776344</v>
      </c>
    </row>
    <row r="127">
      <c r="A127" s="2" t="inlineStr">
        <is>
          <t>KPROP-00528</t>
        </is>
      </c>
      <c r="B127" s="3" t="n">
        <v>46120.60807870371</v>
      </c>
      <c r="C127" s="3" t="n">
        <v>46120</v>
      </c>
      <c r="D127" s="2" t="inlineStr">
        <is>
          <t>MacKenzie Gore</t>
        </is>
      </c>
      <c r="E127" s="2" t="n">
        <v>140</v>
      </c>
      <c r="F127" s="2" t="n">
        <v>136</v>
      </c>
      <c r="G127" s="2" t="inlineStr">
        <is>
          <t>Home</t>
        </is>
      </c>
      <c r="H127" s="2" t="inlineStr">
        <is>
          <t>betonlineag</t>
        </is>
      </c>
      <c r="I127" s="4" t="n"/>
      <c r="J127" s="4" t="n"/>
      <c r="K127" s="4" t="n">
        <v>-135</v>
      </c>
      <c r="L127" s="4" t="n">
        <v>-135</v>
      </c>
      <c r="M127" s="5" t="n">
        <v>6.5</v>
      </c>
      <c r="N127" s="5" t="n">
        <v>5.087855754327067</v>
      </c>
      <c r="O127" s="5" t="n">
        <v>6.5</v>
      </c>
      <c r="P127" s="5" t="n">
        <v>1.412144245672933</v>
      </c>
      <c r="Q127" s="6" t="n">
        <v>0.3042106640366844</v>
      </c>
      <c r="R127" s="6" t="n">
        <v>0.7492274027444783</v>
      </c>
      <c r="S127" s="6" t="n">
        <v>0.54911742133538</v>
      </c>
      <c r="T127" s="2" t="inlineStr">
        <is>
          <t>Under</t>
        </is>
      </c>
      <c r="U127" s="4" t="n">
        <v>-135</v>
      </c>
      <c r="V127" s="2" t="n">
        <v>1.740740740740741</v>
      </c>
      <c r="W127" s="4" t="n">
        <v>-135</v>
      </c>
      <c r="X127" s="2" t="n">
        <v>1</v>
      </c>
      <c r="Y127" s="5" t="n">
        <v>-1</v>
      </c>
      <c r="Z127" s="7" t="n">
        <v>100</v>
      </c>
      <c r="AA127" s="7">
        <f>Y127*Z127</f>
        <v/>
      </c>
      <c r="AB127" s="6">
        <f>IF(Z127=0,0,AA127/Z127)</f>
        <v/>
      </c>
      <c r="AC127" s="6" t="n"/>
      <c r="AD127" s="2" t="inlineStr">
        <is>
          <t>Loss</t>
        </is>
      </c>
      <c r="AE127" s="6">
        <f>IF((COUNTIF($AD$2:AD127,"Win")+COUNTIF($AD$2:AD127,"Loss"))=0,0,COUNTIF($AD$2:AD127,"Win")/(COUNTIF($AD$2:AD127,"Win")+COUNTIF($AD$2:AD127,"Loss")))</f>
        <v/>
      </c>
      <c r="AF127" s="6">
        <f>SUM($Y$2:Y127)/SUM($X$2:X127)</f>
        <v/>
      </c>
      <c r="AG127" s="5">
        <f>SUM($Y$2:Y127)</f>
        <v/>
      </c>
      <c r="AH127" s="7">
        <f>10000.0+SUM($AA$2:AA127)</f>
        <v/>
      </c>
      <c r="AI127" s="2" t="n">
        <v>2026</v>
      </c>
      <c r="AJ127" s="2" t="inlineStr">
        <is>
          <t>2026-04</t>
        </is>
      </c>
      <c r="AK127" s="2" t="inlineStr">
        <is>
          <t>-149 to -120</t>
        </is>
      </c>
      <c r="AL127" s="2" t="inlineStr">
        <is>
          <t>2026 Frozen Test</t>
        </is>
      </c>
      <c r="AM127" s="6" t="n">
        <v>0.410684396449524</v>
      </c>
    </row>
    <row r="128">
      <c r="A128" s="2" t="inlineStr">
        <is>
          <t>KPROP-00529</t>
        </is>
      </c>
      <c r="B128" s="3" t="n">
        <v>46120.52474537037</v>
      </c>
      <c r="C128" s="3" t="n">
        <v>46120</v>
      </c>
      <c r="D128" s="2" t="inlineStr">
        <is>
          <t>Michael King</t>
        </is>
      </c>
      <c r="E128" s="2" t="n">
        <v>135</v>
      </c>
      <c r="F128" s="2" t="n">
        <v>134</v>
      </c>
      <c r="G128" s="2" t="inlineStr">
        <is>
          <t>Away</t>
        </is>
      </c>
      <c r="H128" s="2" t="inlineStr">
        <is>
          <t>bovada</t>
        </is>
      </c>
      <c r="I128" s="4" t="n"/>
      <c r="J128" s="4" t="n"/>
      <c r="K128" s="4" t="n">
        <v>110</v>
      </c>
      <c r="L128" s="4" t="n">
        <v>110</v>
      </c>
      <c r="M128" s="5" t="n">
        <v>5.5</v>
      </c>
      <c r="N128" s="5" t="n">
        <v>4.756853203927402</v>
      </c>
      <c r="O128" s="5" t="n">
        <v>5.5</v>
      </c>
      <c r="P128" s="5" t="n">
        <v>0.7431467960725984</v>
      </c>
      <c r="Q128" s="6" t="n">
        <v>0.3829318102767825</v>
      </c>
      <c r="R128" s="6" t="n">
        <v>0.6585389572746583</v>
      </c>
      <c r="S128" s="6" t="n">
        <v>0.4597933967996759</v>
      </c>
      <c r="T128" s="2" t="inlineStr">
        <is>
          <t>Under</t>
        </is>
      </c>
      <c r="U128" s="4" t="n">
        <v>110</v>
      </c>
      <c r="V128" s="2" t="n">
        <v>2.1</v>
      </c>
      <c r="W128" s="4" t="n">
        <v>110</v>
      </c>
      <c r="X128" s="2" t="n">
        <v>1</v>
      </c>
      <c r="Y128" s="5" t="n">
        <v>1.1</v>
      </c>
      <c r="Z128" s="7" t="n">
        <v>100</v>
      </c>
      <c r="AA128" s="7">
        <f>Y128*Z128</f>
        <v/>
      </c>
      <c r="AB128" s="6">
        <f>IF(Z128=0,0,AA128/Z128)</f>
        <v/>
      </c>
      <c r="AC128" s="6" t="n"/>
      <c r="AD128" s="2" t="inlineStr">
        <is>
          <t>Win</t>
        </is>
      </c>
      <c r="AE128" s="6">
        <f>IF((COUNTIF($AD$2:AD128,"Win")+COUNTIF($AD$2:AD128,"Loss"))=0,0,COUNTIF($AD$2:AD128,"Win")/(COUNTIF($AD$2:AD128,"Win")+COUNTIF($AD$2:AD128,"Loss")))</f>
        <v/>
      </c>
      <c r="AF128" s="6">
        <f>SUM($Y$2:Y128)/SUM($X$2:X128)</f>
        <v/>
      </c>
      <c r="AG128" s="5">
        <f>SUM($Y$2:Y128)</f>
        <v/>
      </c>
      <c r="AH128" s="7">
        <f>10000.0+SUM($AA$2:AA128)</f>
        <v/>
      </c>
      <c r="AI128" s="2" t="n">
        <v>2026</v>
      </c>
      <c r="AJ128" s="2" t="inlineStr">
        <is>
          <t>2026-04</t>
        </is>
      </c>
      <c r="AK128" s="2" t="inlineStr">
        <is>
          <t>+100 to +120</t>
        </is>
      </c>
      <c r="AL128" s="2" t="inlineStr">
        <is>
          <t>2026 Frozen Test</t>
        </is>
      </c>
      <c r="AM128" s="6" t="n">
        <v>0.3481198275243477</v>
      </c>
    </row>
    <row r="129">
      <c r="A129" s="2" t="inlineStr">
        <is>
          <t>KPROP-00530</t>
        </is>
      </c>
      <c r="B129" s="3" t="n">
        <v>46120.67056712963</v>
      </c>
      <c r="C129" s="3" t="n">
        <v>46120</v>
      </c>
      <c r="D129" s="2" t="inlineStr">
        <is>
          <t>Reid Detmers</t>
        </is>
      </c>
      <c r="E129" s="2" t="n">
        <v>108</v>
      </c>
      <c r="F129" s="2" t="n">
        <v>144</v>
      </c>
      <c r="G129" s="2" t="inlineStr">
        <is>
          <t>Home</t>
        </is>
      </c>
      <c r="H129" s="2" t="inlineStr">
        <is>
          <t>draftkings</t>
        </is>
      </c>
      <c r="I129" s="4" t="n"/>
      <c r="J129" s="4" t="n"/>
      <c r="K129" s="4" t="n">
        <v>106</v>
      </c>
      <c r="L129" s="4" t="n">
        <v>106</v>
      </c>
      <c r="M129" s="5" t="n">
        <v>5.5</v>
      </c>
      <c r="N129" s="5" t="n">
        <v>5.533076531438742</v>
      </c>
      <c r="O129" s="5" t="n">
        <v>5.5</v>
      </c>
      <c r="P129" s="5" t="n">
        <v>-0.03307653143874223</v>
      </c>
      <c r="Q129" s="6" t="n">
        <v>0.07791154504348352</v>
      </c>
      <c r="R129" s="6" t="n">
        <v>0.5232580315745066</v>
      </c>
      <c r="S129" s="6" t="n">
        <v>0.4737784376228112</v>
      </c>
      <c r="T129" s="2" t="inlineStr">
        <is>
          <t>Under</t>
        </is>
      </c>
      <c r="U129" s="4" t="n">
        <v>106</v>
      </c>
      <c r="V129" s="2" t="n">
        <v>2.06</v>
      </c>
      <c r="W129" s="4" t="n">
        <v>106</v>
      </c>
      <c r="X129" s="2" t="n">
        <v>1</v>
      </c>
      <c r="Y129" s="5" t="n">
        <v>1.06</v>
      </c>
      <c r="Z129" s="7" t="n">
        <v>100</v>
      </c>
      <c r="AA129" s="7">
        <f>Y129*Z129</f>
        <v/>
      </c>
      <c r="AB129" s="6">
        <f>IF(Z129=0,0,AA129/Z129)</f>
        <v/>
      </c>
      <c r="AC129" s="6" t="n"/>
      <c r="AD129" s="2" t="inlineStr">
        <is>
          <t>Win</t>
        </is>
      </c>
      <c r="AE129" s="6">
        <f>IF((COUNTIF($AD$2:AD129,"Win")+COUNTIF($AD$2:AD129,"Loss"))=0,0,COUNTIF($AD$2:AD129,"Win")/(COUNTIF($AD$2:AD129,"Win")+COUNTIF($AD$2:AD129,"Loss")))</f>
        <v/>
      </c>
      <c r="AF129" s="6">
        <f>SUM($Y$2:Y129)/SUM($X$2:X129)</f>
        <v/>
      </c>
      <c r="AG129" s="5">
        <f>SUM($Y$2:Y129)</f>
        <v/>
      </c>
      <c r="AH129" s="7">
        <f>10000.0+SUM($AA$2:AA129)</f>
        <v/>
      </c>
      <c r="AI129" s="2" t="n">
        <v>2026</v>
      </c>
      <c r="AJ129" s="2" t="inlineStr">
        <is>
          <t>2026-04</t>
        </is>
      </c>
      <c r="AK129" s="2" t="inlineStr">
        <is>
          <t>+100 to +120</t>
        </is>
      </c>
      <c r="AL129" s="2" t="inlineStr">
        <is>
          <t>2026 Frozen Test</t>
        </is>
      </c>
      <c r="AM129" s="6" t="n">
        <v>0.073501457588192</v>
      </c>
    </row>
    <row r="130">
      <c r="A130" s="2" t="inlineStr">
        <is>
          <t>KPROP-00531</t>
        </is>
      </c>
      <c r="B130" s="3" t="n">
        <v>46120.59070601852</v>
      </c>
      <c r="C130" s="3" t="n">
        <v>46120</v>
      </c>
      <c r="D130" s="2" t="inlineStr">
        <is>
          <t>Sean Burke</t>
        </is>
      </c>
      <c r="E130" s="2" t="n">
        <v>145</v>
      </c>
      <c r="F130" s="2" t="n">
        <v>110</v>
      </c>
      <c r="G130" s="2" t="inlineStr">
        <is>
          <t>Home</t>
        </is>
      </c>
      <c r="H130" s="2" t="inlineStr">
        <is>
          <t>bovada</t>
        </is>
      </c>
      <c r="I130" s="4" t="n"/>
      <c r="J130" s="4" t="n"/>
      <c r="K130" s="4" t="n">
        <v>110</v>
      </c>
      <c r="L130" s="4" t="n">
        <v>110</v>
      </c>
      <c r="M130" s="5" t="n">
        <v>5.5</v>
      </c>
      <c r="N130" s="5" t="n">
        <v>5.561807683209731</v>
      </c>
      <c r="O130" s="5" t="n">
        <v>5.5</v>
      </c>
      <c r="P130" s="5" t="n">
        <v>-0.06180768320973051</v>
      </c>
      <c r="Q130" s="6" t="n">
        <v>0.08854679874784355</v>
      </c>
      <c r="R130" s="6" t="n">
        <v>0.518355618451354</v>
      </c>
      <c r="S130" s="6" t="n">
        <v>0.4532304725168756</v>
      </c>
      <c r="T130" s="2" t="inlineStr">
        <is>
          <t>Under</t>
        </is>
      </c>
      <c r="U130" s="4" t="n">
        <v>110</v>
      </c>
      <c r="V130" s="2" t="n">
        <v>2.1</v>
      </c>
      <c r="W130" s="4" t="n">
        <v>110</v>
      </c>
      <c r="X130" s="2" t="n">
        <v>1</v>
      </c>
      <c r="Y130" s="5" t="n">
        <v>1.1</v>
      </c>
      <c r="Z130" s="7" t="n">
        <v>100</v>
      </c>
      <c r="AA130" s="7">
        <f>Y130*Z130</f>
        <v/>
      </c>
      <c r="AB130" s="6">
        <f>IF(Z130=0,0,AA130/Z130)</f>
        <v/>
      </c>
      <c r="AC130" s="6" t="n"/>
      <c r="AD130" s="2" t="inlineStr">
        <is>
          <t>Win</t>
        </is>
      </c>
      <c r="AE130" s="6">
        <f>IF((COUNTIF($AD$2:AD130,"Win")+COUNTIF($AD$2:AD130,"Loss"))=0,0,COUNTIF($AD$2:AD130,"Win")/(COUNTIF($AD$2:AD130,"Win")+COUNTIF($AD$2:AD130,"Loss")))</f>
        <v/>
      </c>
      <c r="AF130" s="6">
        <f>SUM($Y$2:Y130)/SUM($X$2:X130)</f>
        <v/>
      </c>
      <c r="AG130" s="5">
        <f>SUM($Y$2:Y130)</f>
        <v/>
      </c>
      <c r="AH130" s="7">
        <f>10000.0+SUM($AA$2:AA130)</f>
        <v/>
      </c>
      <c r="AI130" s="2" t="n">
        <v>2026</v>
      </c>
      <c r="AJ130" s="2" t="inlineStr">
        <is>
          <t>2026-04</t>
        </is>
      </c>
      <c r="AK130" s="2" t="inlineStr">
        <is>
          <t>+100 to +120</t>
        </is>
      </c>
      <c r="AL130" s="2" t="inlineStr">
        <is>
          <t>2026 Frozen Test</t>
        </is>
      </c>
      <c r="AM130" s="6" t="n">
        <v>0.08049708977076686</v>
      </c>
    </row>
    <row r="131">
      <c r="A131" s="2" t="inlineStr">
        <is>
          <t>KPROP-00532</t>
        </is>
      </c>
      <c r="B131" s="3" t="n">
        <v>46120.62890046297</v>
      </c>
      <c r="C131" s="3" t="n">
        <v>46120</v>
      </c>
      <c r="D131" s="2" t="inlineStr">
        <is>
          <t>Shohei Ohtani</t>
        </is>
      </c>
      <c r="E131" s="2" t="n">
        <v>119</v>
      </c>
      <c r="F131" s="2" t="n">
        <v>141</v>
      </c>
      <c r="G131" s="2" t="inlineStr">
        <is>
          <t>Away</t>
        </is>
      </c>
      <c r="H131" s="2" t="inlineStr">
        <is>
          <t>draftkings</t>
        </is>
      </c>
      <c r="I131" s="4" t="n"/>
      <c r="J131" s="4" t="n"/>
      <c r="K131" s="4" t="n">
        <v>124</v>
      </c>
      <c r="L131" s="4" t="n">
        <v>124</v>
      </c>
      <c r="M131" s="5" t="n">
        <v>5.5</v>
      </c>
      <c r="N131" s="5" t="n">
        <v>5.619627825784244</v>
      </c>
      <c r="O131" s="5" t="n">
        <v>5.5</v>
      </c>
      <c r="P131" s="5" t="n">
        <v>-0.119627825784244</v>
      </c>
      <c r="Q131" s="6" t="n">
        <v>0.1391148520477287</v>
      </c>
      <c r="R131" s="6" t="n">
        <v>0.5085334160927359</v>
      </c>
      <c r="S131" s="6" t="n">
        <v>0.42997542997543</v>
      </c>
      <c r="T131" s="2" t="inlineStr">
        <is>
          <t>Under</t>
        </is>
      </c>
      <c r="U131" s="4" t="n">
        <v>124</v>
      </c>
      <c r="V131" s="2" t="n">
        <v>2.24</v>
      </c>
      <c r="W131" s="4" t="n">
        <v>124</v>
      </c>
      <c r="X131" s="2" t="n">
        <v>1</v>
      </c>
      <c r="Y131" s="5" t="n">
        <v>1.24</v>
      </c>
      <c r="Z131" s="7" t="n">
        <v>100</v>
      </c>
      <c r="AA131" s="7">
        <f>Y131*Z131</f>
        <v/>
      </c>
      <c r="AB131" s="6">
        <f>IF(Z131=0,0,AA131/Z131)</f>
        <v/>
      </c>
      <c r="AC131" s="6" t="n"/>
      <c r="AD131" s="2" t="inlineStr">
        <is>
          <t>Win</t>
        </is>
      </c>
      <c r="AE131" s="6">
        <f>IF((COUNTIF($AD$2:AD131,"Win")+COUNTIF($AD$2:AD131,"Loss"))=0,0,COUNTIF($AD$2:AD131,"Win")/(COUNTIF($AD$2:AD131,"Win")+COUNTIF($AD$2:AD131,"Loss")))</f>
        <v/>
      </c>
      <c r="AF131" s="6">
        <f>SUM($Y$2:Y131)/SUM($X$2:X131)</f>
        <v/>
      </c>
      <c r="AG131" s="5">
        <f>SUM($Y$2:Y131)</f>
        <v/>
      </c>
      <c r="AH131" s="7">
        <f>10000.0+SUM($AA$2:AA131)</f>
        <v/>
      </c>
      <c r="AI131" s="2" t="n">
        <v>2026</v>
      </c>
      <c r="AJ131" s="2" t="inlineStr">
        <is>
          <t>2026-04</t>
        </is>
      </c>
      <c r="AK131" s="2" t="inlineStr">
        <is>
          <t>+121 to +150</t>
        </is>
      </c>
      <c r="AL131" s="2" t="inlineStr">
        <is>
          <t>2026 Frozen Test</t>
        </is>
      </c>
      <c r="AM131" s="6" t="n">
        <v>0.1121893968126844</v>
      </c>
    </row>
    <row r="132">
      <c r="A132" s="2" t="inlineStr">
        <is>
          <t>KPROP-00533</t>
        </is>
      </c>
      <c r="B132" s="3" t="n">
        <v>46120.56296296296</v>
      </c>
      <c r="C132" s="3" t="n">
        <v>46120</v>
      </c>
      <c r="D132" s="2" t="inlineStr">
        <is>
          <t>Sonny Gray</t>
        </is>
      </c>
      <c r="E132" s="2" t="n">
        <v>111</v>
      </c>
      <c r="F132" s="2" t="n">
        <v>158</v>
      </c>
      <c r="G132" s="2" t="inlineStr">
        <is>
          <t>Home</t>
        </is>
      </c>
      <c r="H132" s="2" t="inlineStr">
        <is>
          <t>betmgm</t>
        </is>
      </c>
      <c r="I132" s="4" t="n"/>
      <c r="J132" s="4" t="n"/>
      <c r="K132" s="4" t="n">
        <v>110</v>
      </c>
      <c r="L132" s="4" t="n">
        <v>110</v>
      </c>
      <c r="M132" s="5" t="n">
        <v>5.5</v>
      </c>
      <c r="N132" s="5" t="n">
        <v>5.517295865305806</v>
      </c>
      <c r="O132" s="5" t="n">
        <v>5.5</v>
      </c>
      <c r="P132" s="5" t="n">
        <v>-0.0172958653058064</v>
      </c>
      <c r="Q132" s="6" t="n">
        <v>0.1045086860331478</v>
      </c>
      <c r="R132" s="6" t="n">
        <v>0.5259565171586418</v>
      </c>
      <c r="S132" s="6" t="n">
        <v>0.4615384615384616</v>
      </c>
      <c r="T132" s="2" t="inlineStr">
        <is>
          <t>Under</t>
        </is>
      </c>
      <c r="U132" s="4" t="n">
        <v>110</v>
      </c>
      <c r="V132" s="2" t="n">
        <v>2.1</v>
      </c>
      <c r="W132" s="4" t="n">
        <v>110</v>
      </c>
      <c r="X132" s="2" t="n">
        <v>1</v>
      </c>
      <c r="Y132" s="5" t="n">
        <v>1.1</v>
      </c>
      <c r="Z132" s="7" t="n">
        <v>100</v>
      </c>
      <c r="AA132" s="7">
        <f>Y132*Z132</f>
        <v/>
      </c>
      <c r="AB132" s="6">
        <f>IF(Z132=0,0,AA132/Z132)</f>
        <v/>
      </c>
      <c r="AC132" s="6" t="n"/>
      <c r="AD132" s="2" t="inlineStr">
        <is>
          <t>Win</t>
        </is>
      </c>
      <c r="AE132" s="6">
        <f>IF((COUNTIF($AD$2:AD132,"Win")+COUNTIF($AD$2:AD132,"Loss"))=0,0,COUNTIF($AD$2:AD132,"Win")/(COUNTIF($AD$2:AD132,"Win")+COUNTIF($AD$2:AD132,"Loss")))</f>
        <v/>
      </c>
      <c r="AF132" s="6">
        <f>SUM($Y$2:Y132)/SUM($X$2:X132)</f>
        <v/>
      </c>
      <c r="AG132" s="5">
        <f>SUM($Y$2:Y132)</f>
        <v/>
      </c>
      <c r="AH132" s="7">
        <f>10000.0+SUM($AA$2:AA132)</f>
        <v/>
      </c>
      <c r="AI132" s="2" t="n">
        <v>2026</v>
      </c>
      <c r="AJ132" s="2" t="inlineStr">
        <is>
          <t>2026-04</t>
        </is>
      </c>
      <c r="AK132" s="2" t="inlineStr">
        <is>
          <t>+100 to +120</t>
        </is>
      </c>
      <c r="AL132" s="2" t="inlineStr">
        <is>
          <t>2026 Frozen Test</t>
        </is>
      </c>
      <c r="AM132" s="6" t="n">
        <v>0.0950078963937707</v>
      </c>
    </row>
    <row r="133">
      <c r="A133" s="2" t="inlineStr">
        <is>
          <t>KPROP-00534</t>
        </is>
      </c>
      <c r="B133" s="3" t="n">
        <v>46120.79557870371</v>
      </c>
      <c r="C133" s="3" t="n">
        <v>46120</v>
      </c>
      <c r="D133" s="2" t="inlineStr">
        <is>
          <t>Will Warren</t>
        </is>
      </c>
      <c r="E133" s="2" t="n">
        <v>147</v>
      </c>
      <c r="F133" s="2" t="n">
        <v>133</v>
      </c>
      <c r="G133" s="2" t="inlineStr">
        <is>
          <t>Home</t>
        </is>
      </c>
      <c r="H133" s="2" t="inlineStr">
        <is>
          <t>betmgm</t>
        </is>
      </c>
      <c r="I133" s="4" t="n"/>
      <c r="J133" s="4" t="n"/>
      <c r="K133" s="4" t="n">
        <v>105</v>
      </c>
      <c r="L133" s="4" t="n">
        <v>105</v>
      </c>
      <c r="M133" s="5" t="n">
        <v>5.5</v>
      </c>
      <c r="N133" s="5" t="n">
        <v>4.748159236698885</v>
      </c>
      <c r="O133" s="5" t="n">
        <v>5.5</v>
      </c>
      <c r="P133" s="5" t="n">
        <v>0.7518407633011153</v>
      </c>
      <c r="Q133" s="6" t="n">
        <v>0.3531124011988716</v>
      </c>
      <c r="R133" s="6" t="n">
        <v>0.6600548298531081</v>
      </c>
      <c r="S133" s="6" t="n">
        <v>0.4866524923222301</v>
      </c>
      <c r="T133" s="2" t="inlineStr">
        <is>
          <t>Under</t>
        </is>
      </c>
      <c r="U133" s="4" t="n">
        <v>105</v>
      </c>
      <c r="V133" s="2" t="n">
        <v>2.05</v>
      </c>
      <c r="W133" s="4" t="n">
        <v>105</v>
      </c>
      <c r="X133" s="2" t="n">
        <v>1</v>
      </c>
      <c r="Y133" s="5" t="n">
        <v>1.05</v>
      </c>
      <c r="Z133" s="7" t="n">
        <v>100</v>
      </c>
      <c r="AA133" s="7">
        <f>Y133*Z133</f>
        <v/>
      </c>
      <c r="AB133" s="6">
        <f>IF(Z133=0,0,AA133/Z133)</f>
        <v/>
      </c>
      <c r="AC133" s="6" t="n"/>
      <c r="AD133" s="2" t="inlineStr">
        <is>
          <t>Win</t>
        </is>
      </c>
      <c r="AE133" s="6">
        <f>IF((COUNTIF($AD$2:AD133,"Win")+COUNTIF($AD$2:AD133,"Loss"))=0,0,COUNTIF($AD$2:AD133,"Win")/(COUNTIF($AD$2:AD133,"Win")+COUNTIF($AD$2:AD133,"Loss")))</f>
        <v/>
      </c>
      <c r="AF133" s="6">
        <f>SUM($Y$2:Y133)/SUM($X$2:X133)</f>
        <v/>
      </c>
      <c r="AG133" s="5">
        <f>SUM($Y$2:Y133)</f>
        <v/>
      </c>
      <c r="AH133" s="7">
        <f>10000.0+SUM($AA$2:AA133)</f>
        <v/>
      </c>
      <c r="AI133" s="2" t="n">
        <v>2026</v>
      </c>
      <c r="AJ133" s="2" t="inlineStr">
        <is>
          <t>2026-04</t>
        </is>
      </c>
      <c r="AK133" s="2" t="inlineStr">
        <is>
          <t>+100 to +120</t>
        </is>
      </c>
      <c r="AL133" s="2" t="inlineStr">
        <is>
          <t>2026 Frozen Test</t>
        </is>
      </c>
      <c r="AM133" s="6" t="n">
        <v>0.3362975249513063</v>
      </c>
    </row>
    <row r="134">
      <c r="A134" s="2" t="inlineStr">
        <is>
          <t>KPROP-00535</t>
        </is>
      </c>
      <c r="B134" s="3" t="n">
        <v>46121.56987268518</v>
      </c>
      <c r="C134" s="3" t="n">
        <v>46121</v>
      </c>
      <c r="D134" s="2" t="inlineStr">
        <is>
          <t>Jack Flaherty</t>
        </is>
      </c>
      <c r="E134" s="2" t="n">
        <v>116</v>
      </c>
      <c r="F134" s="2" t="n">
        <v>142</v>
      </c>
      <c r="G134" s="2" t="inlineStr">
        <is>
          <t>Away</t>
        </is>
      </c>
      <c r="H134" s="2" t="inlineStr">
        <is>
          <t>bovada</t>
        </is>
      </c>
      <c r="I134" s="4" t="n"/>
      <c r="J134" s="4" t="n"/>
      <c r="K134" s="4" t="n">
        <v>115</v>
      </c>
      <c r="L134" s="4" t="n">
        <v>115</v>
      </c>
      <c r="M134" s="5" t="n">
        <v>5.5</v>
      </c>
      <c r="N134" s="5" t="n">
        <v>5.453766894995767</v>
      </c>
      <c r="O134" s="5" t="n">
        <v>5.5</v>
      </c>
      <c r="P134" s="5" t="n">
        <v>0.04623310500423283</v>
      </c>
      <c r="Q134" s="6" t="n">
        <v>0.1542474494066457</v>
      </c>
      <c r="R134" s="6" t="n">
        <v>0.5368592787937887</v>
      </c>
      <c r="S134" s="6" t="n">
        <v>0.4497867390461419</v>
      </c>
      <c r="T134" s="2" t="inlineStr">
        <is>
          <t>Under</t>
        </is>
      </c>
      <c r="U134" s="4" t="n">
        <v>115</v>
      </c>
      <c r="V134" s="2" t="n">
        <v>2.15</v>
      </c>
      <c r="W134" s="4" t="n">
        <v>115</v>
      </c>
      <c r="X134" s="2" t="n">
        <v>1</v>
      </c>
      <c r="Y134" s="5" t="n">
        <v>-1</v>
      </c>
      <c r="Z134" s="7" t="n">
        <v>100</v>
      </c>
      <c r="AA134" s="7">
        <f>Y134*Z134</f>
        <v/>
      </c>
      <c r="AB134" s="6">
        <f>IF(Z134=0,0,AA134/Z134)</f>
        <v/>
      </c>
      <c r="AC134" s="6" t="n"/>
      <c r="AD134" s="2" t="inlineStr">
        <is>
          <t>Loss</t>
        </is>
      </c>
      <c r="AE134" s="6">
        <f>IF((COUNTIF($AD$2:AD134,"Win")+COUNTIF($AD$2:AD134,"Loss"))=0,0,COUNTIF($AD$2:AD134,"Win")/(COUNTIF($AD$2:AD134,"Win")+COUNTIF($AD$2:AD134,"Loss")))</f>
        <v/>
      </c>
      <c r="AF134" s="6">
        <f>SUM($Y$2:Y134)/SUM($X$2:X134)</f>
        <v/>
      </c>
      <c r="AG134" s="5">
        <f>SUM($Y$2:Y134)</f>
        <v/>
      </c>
      <c r="AH134" s="7">
        <f>10000.0+SUM($AA$2:AA134)</f>
        <v/>
      </c>
      <c r="AI134" s="2" t="n">
        <v>2026</v>
      </c>
      <c r="AJ134" s="2" t="inlineStr">
        <is>
          <t>2026-04</t>
        </is>
      </c>
      <c r="AK134" s="2" t="inlineStr">
        <is>
          <t>+100 to +120</t>
        </is>
      </c>
      <c r="AL134" s="2" t="inlineStr">
        <is>
          <t>2026 Frozen Test</t>
        </is>
      </c>
      <c r="AM134" s="6" t="n">
        <v>0.1341282168753441</v>
      </c>
    </row>
    <row r="135">
      <c r="A135" s="2" t="inlineStr">
        <is>
          <t>KPROP-00536</t>
        </is>
      </c>
      <c r="B135" s="3" t="n">
        <v>46121.56987268518</v>
      </c>
      <c r="C135" s="3" t="n">
        <v>46121</v>
      </c>
      <c r="D135" s="2" t="inlineStr">
        <is>
          <t>Jack Flaherty</t>
        </is>
      </c>
      <c r="E135" s="2" t="n">
        <v>116</v>
      </c>
      <c r="F135" s="2" t="n">
        <v>142</v>
      </c>
      <c r="G135" s="2" t="inlineStr">
        <is>
          <t>Away</t>
        </is>
      </c>
      <c r="H135" s="2" t="inlineStr">
        <is>
          <t>betmgm</t>
        </is>
      </c>
      <c r="I135" s="4" t="n"/>
      <c r="J135" s="4" t="n"/>
      <c r="K135" s="4" t="n">
        <v>-160</v>
      </c>
      <c r="L135" s="4" t="n">
        <v>-160</v>
      </c>
      <c r="M135" s="5" t="n">
        <v>6.5</v>
      </c>
      <c r="N135" s="5" t="n">
        <v>5.453766894995767</v>
      </c>
      <c r="O135" s="5" t="n">
        <v>6.5</v>
      </c>
      <c r="P135" s="5" t="n">
        <v>1.046233105004233</v>
      </c>
      <c r="Q135" s="6" t="n">
        <v>0.1265868945768631</v>
      </c>
      <c r="R135" s="6" t="n">
        <v>0.6932842428165311</v>
      </c>
      <c r="S135" s="6" t="n">
        <v>0.5911949685534592</v>
      </c>
      <c r="T135" s="2" t="inlineStr">
        <is>
          <t>Under</t>
        </is>
      </c>
      <c r="U135" s="4" t="n">
        <v>-160</v>
      </c>
      <c r="V135" s="2" t="n">
        <v>1.625</v>
      </c>
      <c r="W135" s="4" t="n">
        <v>-160</v>
      </c>
      <c r="X135" s="2" t="n">
        <v>1</v>
      </c>
      <c r="Y135" s="5" t="n">
        <v>0.625</v>
      </c>
      <c r="Z135" s="7" t="n">
        <v>100</v>
      </c>
      <c r="AA135" s="7">
        <f>Y135*Z135</f>
        <v/>
      </c>
      <c r="AB135" s="6">
        <f>IF(Z135=0,0,AA135/Z135)</f>
        <v/>
      </c>
      <c r="AC135" s="6" t="n"/>
      <c r="AD135" s="2" t="inlineStr">
        <is>
          <t>Win</t>
        </is>
      </c>
      <c r="AE135" s="6">
        <f>IF((COUNTIF($AD$2:AD135,"Win")+COUNTIF($AD$2:AD135,"Loss"))=0,0,COUNTIF($AD$2:AD135,"Win")/(COUNTIF($AD$2:AD135,"Win")+COUNTIF($AD$2:AD135,"Loss")))</f>
        <v/>
      </c>
      <c r="AF135" s="6">
        <f>SUM($Y$2:Y135)/SUM($X$2:X135)</f>
        <v/>
      </c>
      <c r="AG135" s="5">
        <f>SUM($Y$2:Y135)</f>
        <v/>
      </c>
      <c r="AH135" s="7">
        <f>10000.0+SUM($AA$2:AA135)</f>
        <v/>
      </c>
      <c r="AI135" s="2" t="n">
        <v>2026</v>
      </c>
      <c r="AJ135" s="2" t="inlineStr">
        <is>
          <t>2026-04</t>
        </is>
      </c>
      <c r="AK135" s="2" t="inlineStr">
        <is>
          <t>&lt;= -150</t>
        </is>
      </c>
      <c r="AL135" s="2" t="inlineStr">
        <is>
          <t>2026 Frozen Test</t>
        </is>
      </c>
      <c r="AM135" s="6" t="n">
        <v>0.2025390313229809</v>
      </c>
    </row>
    <row r="136">
      <c r="A136" s="2" t="inlineStr">
        <is>
          <t>KPROP-00537</t>
        </is>
      </c>
      <c r="B136" s="3" t="n">
        <v>46121.50738425926</v>
      </c>
      <c r="C136" s="3" t="n">
        <v>46121</v>
      </c>
      <c r="D136" s="2" t="inlineStr">
        <is>
          <t>Max Meyer</t>
        </is>
      </c>
      <c r="E136" s="2" t="n">
        <v>146</v>
      </c>
      <c r="F136" s="2" t="n">
        <v>113</v>
      </c>
      <c r="G136" s="2" t="inlineStr">
        <is>
          <t>Home</t>
        </is>
      </c>
      <c r="H136" s="2" t="inlineStr">
        <is>
          <t>betonlineag</t>
        </is>
      </c>
      <c r="I136" s="4" t="n"/>
      <c r="J136" s="4" t="n"/>
      <c r="K136" s="4" t="n">
        <v>115</v>
      </c>
      <c r="L136" s="4" t="n">
        <v>115</v>
      </c>
      <c r="M136" s="5" t="n">
        <v>5.5</v>
      </c>
      <c r="N136" s="5" t="n">
        <v>5.167443011078546</v>
      </c>
      <c r="O136" s="5" t="n">
        <v>5.5</v>
      </c>
      <c r="P136" s="5" t="n">
        <v>0.3325569889214544</v>
      </c>
      <c r="Q136" s="6" t="n">
        <v>0.2612047394758129</v>
      </c>
      <c r="R136" s="6" t="n">
        <v>0.5866068555701456</v>
      </c>
      <c r="S136" s="6" t="n">
        <v>0.451422963689892</v>
      </c>
      <c r="T136" s="2" t="inlineStr">
        <is>
          <t>Under</t>
        </is>
      </c>
      <c r="U136" s="4" t="n">
        <v>115</v>
      </c>
      <c r="V136" s="2" t="n">
        <v>2.15</v>
      </c>
      <c r="W136" s="4" t="n">
        <v>115</v>
      </c>
      <c r="X136" s="2" t="n">
        <v>1</v>
      </c>
      <c r="Y136" s="5" t="n">
        <v>1.15</v>
      </c>
      <c r="Z136" s="7" t="n">
        <v>100</v>
      </c>
      <c r="AA136" s="7">
        <f>Y136*Z136</f>
        <v/>
      </c>
      <c r="AB136" s="6">
        <f>IF(Z136=0,0,AA136/Z136)</f>
        <v/>
      </c>
      <c r="AC136" s="6" t="n"/>
      <c r="AD136" s="2" t="inlineStr">
        <is>
          <t>Win</t>
        </is>
      </c>
      <c r="AE136" s="6">
        <f>IF((COUNTIF($AD$2:AD136,"Win")+COUNTIF($AD$2:AD136,"Loss"))=0,0,COUNTIF($AD$2:AD136,"Win")/(COUNTIF($AD$2:AD136,"Win")+COUNTIF($AD$2:AD136,"Loss")))</f>
        <v/>
      </c>
      <c r="AF136" s="6">
        <f>SUM($Y$2:Y136)/SUM($X$2:X136)</f>
        <v/>
      </c>
      <c r="AG136" s="5">
        <f>SUM($Y$2:Y136)</f>
        <v/>
      </c>
      <c r="AH136" s="7">
        <f>10000.0+SUM($AA$2:AA136)</f>
        <v/>
      </c>
      <c r="AI136" s="2" t="n">
        <v>2026</v>
      </c>
      <c r="AJ136" s="2" t="inlineStr">
        <is>
          <t>2026-04</t>
        </is>
      </c>
      <c r="AK136" s="2" t="inlineStr">
        <is>
          <t>+100 to +120</t>
        </is>
      </c>
      <c r="AL136" s="2" t="inlineStr">
        <is>
          <t>2026 Frozen Test</t>
        </is>
      </c>
      <c r="AM136" s="6" t="n">
        <v>0.2271345560659243</v>
      </c>
    </row>
    <row r="137">
      <c r="A137" s="2" t="inlineStr">
        <is>
          <t>KPROP-00538</t>
        </is>
      </c>
      <c r="B137" s="3" t="n">
        <v>46121.50738425926</v>
      </c>
      <c r="C137" s="3" t="n">
        <v>46121</v>
      </c>
      <c r="D137" s="2" t="inlineStr">
        <is>
          <t>Max Meyer</t>
        </is>
      </c>
      <c r="E137" s="2" t="n">
        <v>146</v>
      </c>
      <c r="F137" s="2" t="n">
        <v>113</v>
      </c>
      <c r="G137" s="2" t="inlineStr">
        <is>
          <t>Home</t>
        </is>
      </c>
      <c r="H137" s="2" t="inlineStr">
        <is>
          <t>betrivers</t>
        </is>
      </c>
      <c r="I137" s="4" t="n"/>
      <c r="J137" s="4" t="n"/>
      <c r="K137" s="4" t="n">
        <v>-182</v>
      </c>
      <c r="L137" s="4" t="n">
        <v>-182</v>
      </c>
      <c r="M137" s="5" t="n">
        <v>6.5</v>
      </c>
      <c r="N137" s="5" t="n">
        <v>5.167443011078546</v>
      </c>
      <c r="O137" s="5" t="n">
        <v>6.5</v>
      </c>
      <c r="P137" s="5" t="n">
        <v>1.332556988921454</v>
      </c>
      <c r="Q137" s="6" t="n">
        <v>0.1424293519465283</v>
      </c>
      <c r="R137" s="6" t="n">
        <v>0.7373125604761281</v>
      </c>
      <c r="S137" s="6" t="n">
        <v>0.6026490066225165</v>
      </c>
      <c r="T137" s="2" t="inlineStr">
        <is>
          <t>Under</t>
        </is>
      </c>
      <c r="U137" s="4" t="n">
        <v>-182</v>
      </c>
      <c r="V137" s="2" t="n">
        <v>1.549450549450549</v>
      </c>
      <c r="W137" s="4" t="n">
        <v>-182</v>
      </c>
      <c r="X137" s="2" t="n">
        <v>1</v>
      </c>
      <c r="Y137" s="5" t="n">
        <v>0.5494505494505495</v>
      </c>
      <c r="Z137" s="7" t="n">
        <v>100</v>
      </c>
      <c r="AA137" s="7">
        <f>Y137*Z137</f>
        <v/>
      </c>
      <c r="AB137" s="6">
        <f>IF(Z137=0,0,AA137/Z137)</f>
        <v/>
      </c>
      <c r="AC137" s="6" t="n"/>
      <c r="AD137" s="2" t="inlineStr">
        <is>
          <t>Win</t>
        </is>
      </c>
      <c r="AE137" s="6">
        <f>IF((COUNTIF($AD$2:AD137,"Win")+COUNTIF($AD$2:AD137,"Loss"))=0,0,COUNTIF($AD$2:AD137,"Win")/(COUNTIF($AD$2:AD137,"Win")+COUNTIF($AD$2:AD137,"Loss")))</f>
        <v/>
      </c>
      <c r="AF137" s="6">
        <f>SUM($Y$2:Y137)/SUM($X$2:X137)</f>
        <v/>
      </c>
      <c r="AG137" s="5">
        <f>SUM($Y$2:Y137)</f>
        <v/>
      </c>
      <c r="AH137" s="7">
        <f>10000.0+SUM($AA$2:AA137)</f>
        <v/>
      </c>
      <c r="AI137" s="2" t="n">
        <v>2026</v>
      </c>
      <c r="AJ137" s="2" t="inlineStr">
        <is>
          <t>2026-04</t>
        </is>
      </c>
      <c r="AK137" s="2" t="inlineStr">
        <is>
          <t>&lt;= -150</t>
        </is>
      </c>
      <c r="AL137" s="2" t="inlineStr">
        <is>
          <t>2026 Frozen Test</t>
        </is>
      </c>
      <c r="AM137" s="6" t="n">
        <v>0.2592214205426814</v>
      </c>
    </row>
    <row r="138">
      <c r="A138" s="2" t="inlineStr">
        <is>
          <t>KPROP-00539</t>
        </is>
      </c>
      <c r="B138" s="3" t="n">
        <v>46121.56641203703</v>
      </c>
      <c r="C138" s="3" t="n">
        <v>46121</v>
      </c>
      <c r="D138" s="2" t="inlineStr">
        <is>
          <t>Ryan Weathers</t>
        </is>
      </c>
      <c r="E138" s="2" t="n">
        <v>147</v>
      </c>
      <c r="F138" s="2" t="n">
        <v>133</v>
      </c>
      <c r="G138" s="2" t="inlineStr">
        <is>
          <t>Home</t>
        </is>
      </c>
      <c r="H138" s="2" t="inlineStr">
        <is>
          <t>betmgm</t>
        </is>
      </c>
      <c r="I138" s="4" t="n"/>
      <c r="J138" s="4" t="n"/>
      <c r="K138" s="4" t="n">
        <v>110</v>
      </c>
      <c r="L138" s="4" t="n">
        <v>110</v>
      </c>
      <c r="M138" s="5" t="n">
        <v>5.5</v>
      </c>
      <c r="N138" s="5" t="n">
        <v>5.062999348580896</v>
      </c>
      <c r="O138" s="5" t="n">
        <v>5.5</v>
      </c>
      <c r="P138" s="5" t="n">
        <v>0.4370006514191038</v>
      </c>
      <c r="Q138" s="6" t="n">
        <v>0.2703063337623656</v>
      </c>
      <c r="R138" s="6" t="n">
        <v>0.6049077779820788</v>
      </c>
      <c r="S138" s="6" t="n">
        <v>0.4661016949152542</v>
      </c>
      <c r="T138" s="2" t="inlineStr">
        <is>
          <t>Under</t>
        </is>
      </c>
      <c r="U138" s="4" t="n">
        <v>110</v>
      </c>
      <c r="V138" s="2" t="n">
        <v>2.1</v>
      </c>
      <c r="W138" s="4" t="n">
        <v>110</v>
      </c>
      <c r="X138" s="2" t="n">
        <v>1</v>
      </c>
      <c r="Y138" s="5" t="n">
        <v>-1</v>
      </c>
      <c r="Z138" s="7" t="n">
        <v>100</v>
      </c>
      <c r="AA138" s="7">
        <f>Y138*Z138</f>
        <v/>
      </c>
      <c r="AB138" s="6">
        <f>IF(Z138=0,0,AA138/Z138)</f>
        <v/>
      </c>
      <c r="AC138" s="6" t="n"/>
      <c r="AD138" s="2" t="inlineStr">
        <is>
          <t>Loss</t>
        </is>
      </c>
      <c r="AE138" s="6">
        <f>IF((COUNTIF($AD$2:AD138,"Win")+COUNTIF($AD$2:AD138,"Loss"))=0,0,COUNTIF($AD$2:AD138,"Win")/(COUNTIF($AD$2:AD138,"Win")+COUNTIF($AD$2:AD138,"Loss")))</f>
        <v/>
      </c>
      <c r="AF138" s="6">
        <f>SUM($Y$2:Y138)/SUM($X$2:X138)</f>
        <v/>
      </c>
      <c r="AG138" s="5">
        <f>SUM($Y$2:Y138)</f>
        <v/>
      </c>
      <c r="AH138" s="7">
        <f>10000.0+SUM($AA$2:AA138)</f>
        <v/>
      </c>
      <c r="AI138" s="2" t="n">
        <v>2026</v>
      </c>
      <c r="AJ138" s="2" t="inlineStr">
        <is>
          <t>2026-04</t>
        </is>
      </c>
      <c r="AK138" s="2" t="inlineStr">
        <is>
          <t>+100 to +120</t>
        </is>
      </c>
      <c r="AL138" s="2" t="inlineStr">
        <is>
          <t>2026 Frozen Test</t>
        </is>
      </c>
      <c r="AM138" s="6" t="n">
        <v>0.2457330306930596</v>
      </c>
    </row>
    <row r="139">
      <c r="A139" s="2" t="inlineStr">
        <is>
          <t>KPROP-00540</t>
        </is>
      </c>
      <c r="B139" s="3" t="n">
        <v>46121.81987268518</v>
      </c>
      <c r="C139" s="3" t="n">
        <v>46121</v>
      </c>
      <c r="D139" s="2" t="inlineStr">
        <is>
          <t>Seth Lugo</t>
        </is>
      </c>
      <c r="E139" s="2" t="n">
        <v>118</v>
      </c>
      <c r="F139" s="2" t="n">
        <v>145</v>
      </c>
      <c r="G139" s="2" t="inlineStr">
        <is>
          <t>Home</t>
        </is>
      </c>
      <c r="H139" s="2" t="inlineStr">
        <is>
          <t>betonlineag</t>
        </is>
      </c>
      <c r="I139" s="4" t="n"/>
      <c r="J139" s="4" t="n"/>
      <c r="K139" s="4" t="n">
        <v>118</v>
      </c>
      <c r="L139" s="4" t="n">
        <v>118</v>
      </c>
      <c r="M139" s="5" t="n">
        <v>4.5</v>
      </c>
      <c r="N139" s="5" t="n">
        <v>4.627930672731371</v>
      </c>
      <c r="O139" s="5" t="n">
        <v>4.5</v>
      </c>
      <c r="P139" s="5" t="n">
        <v>-0.1279306727313712</v>
      </c>
      <c r="Q139" s="6" t="n">
        <v>0.1074528246186465</v>
      </c>
      <c r="R139" s="6" t="n">
        <v>0.5080058828525902</v>
      </c>
      <c r="S139" s="6" t="n">
        <v>0.4479937670432412</v>
      </c>
      <c r="T139" s="2" t="inlineStr">
        <is>
          <t>Under</t>
        </is>
      </c>
      <c r="U139" s="4" t="n">
        <v>118</v>
      </c>
      <c r="V139" s="2" t="n">
        <v>2.18</v>
      </c>
      <c r="W139" s="4" t="n">
        <v>118</v>
      </c>
      <c r="X139" s="2" t="n">
        <v>1</v>
      </c>
      <c r="Y139" s="5" t="n">
        <v>1.18</v>
      </c>
      <c r="Z139" s="7" t="n">
        <v>100</v>
      </c>
      <c r="AA139" s="7">
        <f>Y139*Z139</f>
        <v/>
      </c>
      <c r="AB139" s="6">
        <f>IF(Z139=0,0,AA139/Z139)</f>
        <v/>
      </c>
      <c r="AC139" s="6" t="n"/>
      <c r="AD139" s="2" t="inlineStr">
        <is>
          <t>Win</t>
        </is>
      </c>
      <c r="AE139" s="6">
        <f>IF((COUNTIF($AD$2:AD139,"Win")+COUNTIF($AD$2:AD139,"Loss"))=0,0,COUNTIF($AD$2:AD139,"Win")/(COUNTIF($AD$2:AD139,"Win")+COUNTIF($AD$2:AD139,"Loss")))</f>
        <v/>
      </c>
      <c r="AF139" s="6">
        <f>SUM($Y$2:Y139)/SUM($X$2:X139)</f>
        <v/>
      </c>
      <c r="AG139" s="5">
        <f>SUM($Y$2:Y139)</f>
        <v/>
      </c>
      <c r="AH139" s="7">
        <f>10000.0+SUM($AA$2:AA139)</f>
        <v/>
      </c>
      <c r="AI139" s="2" t="n">
        <v>2026</v>
      </c>
      <c r="AJ139" s="2" t="inlineStr">
        <is>
          <t>2026-04</t>
        </is>
      </c>
      <c r="AK139" s="2" t="inlineStr">
        <is>
          <t>+100 to +120</t>
        </is>
      </c>
      <c r="AL139" s="2" t="inlineStr">
        <is>
          <t>2026 Frozen Test</t>
        </is>
      </c>
      <c r="AM139" s="6" t="n">
        <v>0.09106171577851398</v>
      </c>
    </row>
    <row r="140">
      <c r="A140" s="2" t="inlineStr">
        <is>
          <t>KPROP-00541</t>
        </is>
      </c>
      <c r="B140" s="3" t="n">
        <v>46122.79905092593</v>
      </c>
      <c r="C140" s="3" t="n">
        <v>46122</v>
      </c>
      <c r="D140" s="2" t="inlineStr">
        <is>
          <t>Clay Holmes</t>
        </is>
      </c>
      <c r="E140" s="2" t="n">
        <v>121</v>
      </c>
      <c r="F140" s="2" t="n">
        <v>133</v>
      </c>
      <c r="G140" s="2" t="inlineStr">
        <is>
          <t>Home</t>
        </is>
      </c>
      <c r="H140" s="2" t="inlineStr">
        <is>
          <t>bovada</t>
        </is>
      </c>
      <c r="I140" s="4" t="n"/>
      <c r="J140" s="4" t="n"/>
      <c r="K140" s="4" t="n">
        <v>125</v>
      </c>
      <c r="L140" s="4" t="n">
        <v>125</v>
      </c>
      <c r="M140" s="5" t="n">
        <v>4.5</v>
      </c>
      <c r="N140" s="5" t="n">
        <v>4.408895355226848</v>
      </c>
      <c r="O140" s="5" t="n">
        <v>4.5</v>
      </c>
      <c r="P140" s="5" t="n">
        <v>0.09110464477315183</v>
      </c>
      <c r="Q140" s="6" t="n">
        <v>0.2363276205505005</v>
      </c>
      <c r="R140" s="6" t="n">
        <v>0.5494789424668891</v>
      </c>
      <c r="S140" s="6" t="n">
        <v>0.4317062248096731</v>
      </c>
      <c r="T140" s="2" t="inlineStr">
        <is>
          <t>Under</t>
        </is>
      </c>
      <c r="U140" s="4" t="n">
        <v>125</v>
      </c>
      <c r="V140" s="2" t="n">
        <v>2.25</v>
      </c>
      <c r="W140" s="4" t="n">
        <v>125</v>
      </c>
      <c r="X140" s="2" t="n">
        <v>1</v>
      </c>
      <c r="Y140" s="5" t="n">
        <v>1.25</v>
      </c>
      <c r="Z140" s="7" t="n">
        <v>100</v>
      </c>
      <c r="AA140" s="7">
        <f>Y140*Z140</f>
        <v/>
      </c>
      <c r="AB140" s="6">
        <f>IF(Z140=0,0,AA140/Z140)</f>
        <v/>
      </c>
      <c r="AC140" s="6" t="n"/>
      <c r="AD140" s="2" t="inlineStr">
        <is>
          <t>Win</t>
        </is>
      </c>
      <c r="AE140" s="6">
        <f>IF((COUNTIF($AD$2:AD140,"Win")+COUNTIF($AD$2:AD140,"Loss"))=0,0,COUNTIF($AD$2:AD140,"Win")/(COUNTIF($AD$2:AD140,"Win")+COUNTIF($AD$2:AD140,"Loss")))</f>
        <v/>
      </c>
      <c r="AF140" s="6">
        <f>SUM($Y$2:Y140)/SUM($X$2:X140)</f>
        <v/>
      </c>
      <c r="AG140" s="5">
        <f>SUM($Y$2:Y140)</f>
        <v/>
      </c>
      <c r="AH140" s="7">
        <f>10000.0+SUM($AA$2:AA140)</f>
        <v/>
      </c>
      <c r="AI140" s="2" t="n">
        <v>2026</v>
      </c>
      <c r="AJ140" s="2" t="inlineStr">
        <is>
          <t>2026-04</t>
        </is>
      </c>
      <c r="AK140" s="2" t="inlineStr">
        <is>
          <t>+121 to +150</t>
        </is>
      </c>
      <c r="AL140" s="2" t="inlineStr">
        <is>
          <t>2026 Frozen Test</t>
        </is>
      </c>
      <c r="AM140" s="6" t="n">
        <v>0.1890620964404004</v>
      </c>
    </row>
    <row r="141">
      <c r="A141" s="2" t="inlineStr">
        <is>
          <t>KPROP-00542</t>
        </is>
      </c>
      <c r="B141" s="3" t="n">
        <v>46122.77821759259</v>
      </c>
      <c r="C141" s="3" t="n">
        <v>46122</v>
      </c>
      <c r="D141" s="2" t="inlineStr">
        <is>
          <t>Jesús Luzardo</t>
        </is>
      </c>
      <c r="E141" s="2" t="n">
        <v>143</v>
      </c>
      <c r="F141" s="2" t="n">
        <v>109</v>
      </c>
      <c r="G141" s="2" t="inlineStr">
        <is>
          <t>Home</t>
        </is>
      </c>
      <c r="H141" s="2" t="inlineStr">
        <is>
          <t>betonlineag</t>
        </is>
      </c>
      <c r="I141" s="4" t="n"/>
      <c r="J141" s="4" t="n"/>
      <c r="K141" s="4" t="n">
        <v>128</v>
      </c>
      <c r="L141" s="4" t="n">
        <v>128</v>
      </c>
      <c r="M141" s="5" t="n">
        <v>5.5</v>
      </c>
      <c r="N141" s="5" t="n">
        <v>5.796867596092296</v>
      </c>
      <c r="O141" s="5" t="n">
        <v>5.5</v>
      </c>
      <c r="P141" s="5" t="n">
        <v>-0.2968675960922962</v>
      </c>
      <c r="Q141" s="6" t="n">
        <v>0.09174041127939091</v>
      </c>
      <c r="R141" s="6" t="n">
        <v>0.478833513719031</v>
      </c>
      <c r="S141" s="6" t="n">
        <v>0.4263349175286553</v>
      </c>
      <c r="T141" s="2" t="inlineStr">
        <is>
          <t>Under</t>
        </is>
      </c>
      <c r="U141" s="4" t="n">
        <v>128</v>
      </c>
      <c r="V141" s="2" t="n">
        <v>2.28</v>
      </c>
      <c r="W141" s="4" t="n">
        <v>128</v>
      </c>
      <c r="X141" s="2" t="n">
        <v>1</v>
      </c>
      <c r="Y141" s="5" t="n">
        <v>-1</v>
      </c>
      <c r="Z141" s="7" t="n">
        <v>100</v>
      </c>
      <c r="AA141" s="7">
        <f>Y141*Z141</f>
        <v/>
      </c>
      <c r="AB141" s="6">
        <f>IF(Z141=0,0,AA141/Z141)</f>
        <v/>
      </c>
      <c r="AC141" s="6" t="n"/>
      <c r="AD141" s="2" t="inlineStr">
        <is>
          <t>Loss</t>
        </is>
      </c>
      <c r="AE141" s="6">
        <f>IF((COUNTIF($AD$2:AD141,"Win")+COUNTIF($AD$2:AD141,"Loss"))=0,0,COUNTIF($AD$2:AD141,"Win")/(COUNTIF($AD$2:AD141,"Win")+COUNTIF($AD$2:AD141,"Loss")))</f>
        <v/>
      </c>
      <c r="AF141" s="6">
        <f>SUM($Y$2:Y141)/SUM($X$2:X141)</f>
        <v/>
      </c>
      <c r="AG141" s="5">
        <f>SUM($Y$2:Y141)</f>
        <v/>
      </c>
      <c r="AH141" s="7">
        <f>10000.0+SUM($AA$2:AA141)</f>
        <v/>
      </c>
      <c r="AI141" s="2" t="n">
        <v>2026</v>
      </c>
      <c r="AJ141" s="2" t="inlineStr">
        <is>
          <t>2026-04</t>
        </is>
      </c>
      <c r="AK141" s="2" t="inlineStr">
        <is>
          <t>+121 to +150</t>
        </is>
      </c>
      <c r="AL141" s="2" t="inlineStr">
        <is>
          <t>2026 Frozen Test</t>
        </is>
      </c>
      <c r="AM141" s="6" t="n">
        <v>0.07167219631202414</v>
      </c>
    </row>
    <row r="142">
      <c r="A142" s="2" t="inlineStr">
        <is>
          <t>KPROP-00543</t>
        </is>
      </c>
      <c r="B142" s="3" t="n">
        <v>46122.81989583333</v>
      </c>
      <c r="C142" s="3" t="n">
        <v>46122</v>
      </c>
      <c r="D142" s="2" t="inlineStr">
        <is>
          <t>Kris Bubic</t>
        </is>
      </c>
      <c r="E142" s="2" t="n">
        <v>118</v>
      </c>
      <c r="F142" s="2" t="n">
        <v>145</v>
      </c>
      <c r="G142" s="2" t="inlineStr">
        <is>
          <t>Home</t>
        </is>
      </c>
      <c r="H142" s="2" t="inlineStr">
        <is>
          <t>draftkings</t>
        </is>
      </c>
      <c r="I142" s="4" t="n"/>
      <c r="J142" s="4" t="n"/>
      <c r="K142" s="4" t="n">
        <v>124</v>
      </c>
      <c r="L142" s="4" t="n">
        <v>124</v>
      </c>
      <c r="M142" s="5" t="n">
        <v>5.5</v>
      </c>
      <c r="N142" s="5" t="n">
        <v>4.653630472312055</v>
      </c>
      <c r="O142" s="5" t="n">
        <v>5.5</v>
      </c>
      <c r="P142" s="5" t="n">
        <v>0.846369527687945</v>
      </c>
      <c r="Q142" s="6" t="n">
        <v>0.5153293437058157</v>
      </c>
      <c r="R142" s="6" t="n">
        <v>0.676486314154382</v>
      </c>
      <c r="S142" s="6" t="n">
        <v>0.4372906587272051</v>
      </c>
      <c r="T142" s="2" t="inlineStr">
        <is>
          <t>Under</t>
        </is>
      </c>
      <c r="U142" s="4" t="n">
        <v>124</v>
      </c>
      <c r="V142" s="2" t="n">
        <v>2.24</v>
      </c>
      <c r="W142" s="4" t="n">
        <v>124</v>
      </c>
      <c r="X142" s="2" t="n">
        <v>1</v>
      </c>
      <c r="Y142" s="5" t="n">
        <v>-1</v>
      </c>
      <c r="Z142" s="7" t="n">
        <v>100</v>
      </c>
      <c r="AA142" s="7">
        <f>Y142*Z142</f>
        <v/>
      </c>
      <c r="AB142" s="6">
        <f>IF(Z142=0,0,AA142/Z142)</f>
        <v/>
      </c>
      <c r="AC142" s="6" t="n"/>
      <c r="AD142" s="2" t="inlineStr">
        <is>
          <t>Loss</t>
        </is>
      </c>
      <c r="AE142" s="6">
        <f>IF((COUNTIF($AD$2:AD142,"Win")+COUNTIF($AD$2:AD142,"Loss"))=0,0,COUNTIF($AD$2:AD142,"Win")/(COUNTIF($AD$2:AD142,"Win")+COUNTIF($AD$2:AD142,"Loss")))</f>
        <v/>
      </c>
      <c r="AF142" s="6">
        <f>SUM($Y$2:Y142)/SUM($X$2:X142)</f>
        <v/>
      </c>
      <c r="AG142" s="5">
        <f>SUM($Y$2:Y142)</f>
        <v/>
      </c>
      <c r="AH142" s="7">
        <f>10000.0+SUM($AA$2:AA142)</f>
        <v/>
      </c>
      <c r="AI142" s="2" t="n">
        <v>2026</v>
      </c>
      <c r="AJ142" s="2" t="inlineStr">
        <is>
          <t>2026-04</t>
        </is>
      </c>
      <c r="AK142" s="2" t="inlineStr">
        <is>
          <t>+121 to +150</t>
        </is>
      </c>
      <c r="AL142" s="2" t="inlineStr">
        <is>
          <t>2026 Frozen Test</t>
        </is>
      </c>
      <c r="AM142" s="6" t="n">
        <v>0.4155881804079158</v>
      </c>
    </row>
    <row r="143">
      <c r="A143" s="2" t="inlineStr">
        <is>
          <t>KPROP-00544</t>
        </is>
      </c>
      <c r="B143" s="3" t="n">
        <v>46122.81989583333</v>
      </c>
      <c r="C143" s="3" t="n">
        <v>46122</v>
      </c>
      <c r="D143" s="2" t="inlineStr">
        <is>
          <t>Kris Bubic</t>
        </is>
      </c>
      <c r="E143" s="2" t="n">
        <v>118</v>
      </c>
      <c r="F143" s="2" t="n">
        <v>145</v>
      </c>
      <c r="G143" s="2" t="inlineStr">
        <is>
          <t>Home</t>
        </is>
      </c>
      <c r="H143" s="2" t="inlineStr">
        <is>
          <t>betrivers</t>
        </is>
      </c>
      <c r="I143" s="4" t="n"/>
      <c r="J143" s="4" t="n"/>
      <c r="K143" s="4" t="n">
        <v>-190</v>
      </c>
      <c r="L143" s="4" t="n">
        <v>-190</v>
      </c>
      <c r="M143" s="5" t="n">
        <v>6.5</v>
      </c>
      <c r="N143" s="5" t="n">
        <v>4.653630472312055</v>
      </c>
      <c r="O143" s="5" t="n">
        <v>6.5</v>
      </c>
      <c r="P143" s="5" t="n">
        <v>1.846369527687945</v>
      </c>
      <c r="Q143" s="6" t="n">
        <v>0.2376560998621774</v>
      </c>
      <c r="R143" s="6" t="n">
        <v>0.8108781343924611</v>
      </c>
      <c r="S143" s="6" t="n">
        <v>0.6112600536193029</v>
      </c>
      <c r="T143" s="2" t="inlineStr">
        <is>
          <t>Under</t>
        </is>
      </c>
      <c r="U143" s="4" t="n">
        <v>-190</v>
      </c>
      <c r="V143" s="2" t="n">
        <v>1.526315789473684</v>
      </c>
      <c r="W143" s="4" t="n">
        <v>-190</v>
      </c>
      <c r="X143" s="2" t="n">
        <v>1</v>
      </c>
      <c r="Y143" s="5" t="n">
        <v>-1</v>
      </c>
      <c r="Z143" s="7" t="n">
        <v>100</v>
      </c>
      <c r="AA143" s="7">
        <f>Y143*Z143</f>
        <v/>
      </c>
      <c r="AB143" s="6">
        <f>IF(Z143=0,0,AA143/Z143)</f>
        <v/>
      </c>
      <c r="AC143" s="6" t="n"/>
      <c r="AD143" s="2" t="inlineStr">
        <is>
          <t>Loss</t>
        </is>
      </c>
      <c r="AE143" s="6">
        <f>IF((COUNTIF($AD$2:AD143,"Win")+COUNTIF($AD$2:AD143,"Loss"))=0,0,COUNTIF($AD$2:AD143,"Win")/(COUNTIF($AD$2:AD143,"Win")+COUNTIF($AD$2:AD143,"Loss")))</f>
        <v/>
      </c>
      <c r="AF143" s="6">
        <f>SUM($Y$2:Y143)/SUM($X$2:X143)</f>
        <v/>
      </c>
      <c r="AG143" s="5">
        <f>SUM($Y$2:Y143)</f>
        <v/>
      </c>
      <c r="AH143" s="7">
        <f>10000.0+SUM($AA$2:AA143)</f>
        <v/>
      </c>
      <c r="AI143" s="2" t="n">
        <v>2026</v>
      </c>
      <c r="AJ143" s="2" t="inlineStr">
        <is>
          <t>2026-04</t>
        </is>
      </c>
      <c r="AK143" s="2" t="inlineStr">
        <is>
          <t>&lt;= -150</t>
        </is>
      </c>
      <c r="AL143" s="2" t="inlineStr">
        <is>
          <t>2026 Frozen Test</t>
        </is>
      </c>
      <c r="AM143" s="6" t="n">
        <v>0.4515465897381373</v>
      </c>
    </row>
    <row r="144">
      <c r="A144" s="2" t="inlineStr">
        <is>
          <t>KPROP-00545</t>
        </is>
      </c>
      <c r="B144" s="3" t="n">
        <v>46122.80252314815</v>
      </c>
      <c r="C144" s="3" t="n">
        <v>46122</v>
      </c>
      <c r="D144" s="2" t="inlineStr">
        <is>
          <t>Landen Roupp</t>
        </is>
      </c>
      <c r="E144" s="2" t="n">
        <v>137</v>
      </c>
      <c r="F144" s="2" t="n">
        <v>110</v>
      </c>
      <c r="G144" s="2" t="inlineStr">
        <is>
          <t>Away</t>
        </is>
      </c>
      <c r="H144" s="2" t="inlineStr">
        <is>
          <t>betonlineag</t>
        </is>
      </c>
      <c r="I144" s="4" t="n"/>
      <c r="J144" s="4" t="n"/>
      <c r="K144" s="4" t="n">
        <v>110</v>
      </c>
      <c r="L144" s="4" t="n">
        <v>110</v>
      </c>
      <c r="M144" s="5" t="n">
        <v>5.5</v>
      </c>
      <c r="N144" s="5" t="n">
        <v>4.998019042633723</v>
      </c>
      <c r="O144" s="5" t="n">
        <v>5.5</v>
      </c>
      <c r="P144" s="5" t="n">
        <v>0.5019809573662775</v>
      </c>
      <c r="Q144" s="6" t="n">
        <v>0.2942473211491662</v>
      </c>
      <c r="R144" s="6" t="n">
        <v>0.6163082481662696</v>
      </c>
      <c r="S144" s="6" t="n">
        <v>0.4615384615384616</v>
      </c>
      <c r="T144" s="2" t="inlineStr">
        <is>
          <t>Under</t>
        </is>
      </c>
      <c r="U144" s="4" t="n">
        <v>110</v>
      </c>
      <c r="V144" s="2" t="n">
        <v>2.1</v>
      </c>
      <c r="W144" s="4" t="n">
        <v>110</v>
      </c>
      <c r="X144" s="2" t="n">
        <v>1</v>
      </c>
      <c r="Y144" s="5" t="n">
        <v>1.1</v>
      </c>
      <c r="Z144" s="7" t="n">
        <v>100</v>
      </c>
      <c r="AA144" s="7">
        <f>Y144*Z144</f>
        <v/>
      </c>
      <c r="AB144" s="6">
        <f>IF(Z144=0,0,AA144/Z144)</f>
        <v/>
      </c>
      <c r="AC144" s="6" t="n"/>
      <c r="AD144" s="2" t="inlineStr">
        <is>
          <t>Win</t>
        </is>
      </c>
      <c r="AE144" s="6">
        <f>IF((COUNTIF($AD$2:AD144,"Win")+COUNTIF($AD$2:AD144,"Loss"))=0,0,COUNTIF($AD$2:AD144,"Win")/(COUNTIF($AD$2:AD144,"Win")+COUNTIF($AD$2:AD144,"Loss")))</f>
        <v/>
      </c>
      <c r="AF144" s="6">
        <f>SUM($Y$2:Y144)/SUM($X$2:X144)</f>
        <v/>
      </c>
      <c r="AG144" s="5">
        <f>SUM($Y$2:Y144)</f>
        <v/>
      </c>
      <c r="AH144" s="7">
        <f>10000.0+SUM($AA$2:AA144)</f>
        <v/>
      </c>
      <c r="AI144" s="2" t="n">
        <v>2026</v>
      </c>
      <c r="AJ144" s="2" t="inlineStr">
        <is>
          <t>2026-04</t>
        </is>
      </c>
      <c r="AK144" s="2" t="inlineStr">
        <is>
          <t>+100 to +120</t>
        </is>
      </c>
      <c r="AL144" s="2" t="inlineStr">
        <is>
          <t>2026 Frozen Test</t>
        </is>
      </c>
      <c r="AM144" s="6" t="n">
        <v>0.2674975646810602</v>
      </c>
    </row>
    <row r="145">
      <c r="A145" s="2" t="inlineStr">
        <is>
          <t>KPROP-00546</t>
        </is>
      </c>
      <c r="B145" s="3" t="n">
        <v>46122.77821759259</v>
      </c>
      <c r="C145" s="3" t="n">
        <v>46122</v>
      </c>
      <c r="D145" s="2" t="inlineStr">
        <is>
          <t>Michael Soroka</t>
        </is>
      </c>
      <c r="E145" s="2" t="n">
        <v>109</v>
      </c>
      <c r="F145" s="2" t="n">
        <v>143</v>
      </c>
      <c r="G145" s="2" t="inlineStr">
        <is>
          <t>Away</t>
        </is>
      </c>
      <c r="H145" s="2" t="inlineStr">
        <is>
          <t>betmgm</t>
        </is>
      </c>
      <c r="I145" s="4" t="n"/>
      <c r="J145" s="4" t="n"/>
      <c r="K145" s="4" t="n">
        <v>-145</v>
      </c>
      <c r="L145" s="4" t="n">
        <v>-145</v>
      </c>
      <c r="M145" s="5" t="n">
        <v>5.5</v>
      </c>
      <c r="N145" s="5" t="n">
        <v>4.820569078354389</v>
      </c>
      <c r="O145" s="5" t="n">
        <v>5.5</v>
      </c>
      <c r="P145" s="5" t="n">
        <v>0.6794309216456114</v>
      </c>
      <c r="Q145" s="6" t="n">
        <v>0.09390058899808112</v>
      </c>
      <c r="R145" s="6" t="n">
        <v>0.6474105526723337</v>
      </c>
      <c r="S145" s="6" t="n">
        <v>0.5764909248055315</v>
      </c>
      <c r="T145" s="2" t="inlineStr">
        <is>
          <t>Under</t>
        </is>
      </c>
      <c r="U145" s="4" t="n">
        <v>-145</v>
      </c>
      <c r="V145" s="2" t="n">
        <v>1.689655172413793</v>
      </c>
      <c r="W145" s="4" t="n">
        <v>-145</v>
      </c>
      <c r="X145" s="2" t="n">
        <v>1</v>
      </c>
      <c r="Y145" s="5" t="n">
        <v>-1</v>
      </c>
      <c r="Z145" s="7" t="n">
        <v>100</v>
      </c>
      <c r="AA145" s="7">
        <f>Y145*Z145</f>
        <v/>
      </c>
      <c r="AB145" s="6">
        <f>IF(Z145=0,0,AA145/Z145)</f>
        <v/>
      </c>
      <c r="AC145" s="6" t="n"/>
      <c r="AD145" s="2" t="inlineStr">
        <is>
          <t>Loss</t>
        </is>
      </c>
      <c r="AE145" s="6">
        <f>IF((COUNTIF($AD$2:AD145,"Win")+COUNTIF($AD$2:AD145,"Loss"))=0,0,COUNTIF($AD$2:AD145,"Win")/(COUNTIF($AD$2:AD145,"Win")+COUNTIF($AD$2:AD145,"Loss")))</f>
        <v/>
      </c>
      <c r="AF145" s="6">
        <f>SUM($Y$2:Y145)/SUM($X$2:X145)</f>
        <v/>
      </c>
      <c r="AG145" s="5">
        <f>SUM($Y$2:Y145)</f>
        <v/>
      </c>
      <c r="AH145" s="7">
        <f>10000.0+SUM($AA$2:AA145)</f>
        <v/>
      </c>
      <c r="AI145" s="2" t="n">
        <v>2026</v>
      </c>
      <c r="AJ145" s="2" t="inlineStr">
        <is>
          <t>2026-04</t>
        </is>
      </c>
      <c r="AK145" s="2" t="inlineStr">
        <is>
          <t>-149 to -120</t>
        </is>
      </c>
      <c r="AL145" s="2" t="inlineStr">
        <is>
          <t>2026 Frozen Test</t>
        </is>
      </c>
      <c r="AM145" s="6" t="n">
        <v>0.1361558540472176</v>
      </c>
    </row>
    <row r="146">
      <c r="A146" s="2" t="inlineStr">
        <is>
          <t>KPROP-00547</t>
        </is>
      </c>
      <c r="B146" s="3" t="n">
        <v>46122.79557870371</v>
      </c>
      <c r="C146" s="3" t="n">
        <v>46122</v>
      </c>
      <c r="D146" s="2" t="inlineStr">
        <is>
          <t>Patrick Corbin</t>
        </is>
      </c>
      <c r="E146" s="2" t="n">
        <v>141</v>
      </c>
      <c r="F146" s="2" t="n">
        <v>142</v>
      </c>
      <c r="G146" s="2" t="inlineStr">
        <is>
          <t>Home</t>
        </is>
      </c>
      <c r="H146" s="2" t="inlineStr">
        <is>
          <t>betmgm</t>
        </is>
      </c>
      <c r="I146" s="4" t="n"/>
      <c r="J146" s="4" t="n"/>
      <c r="K146" s="4" t="n">
        <v>-125</v>
      </c>
      <c r="L146" s="4" t="n">
        <v>-125</v>
      </c>
      <c r="M146" s="5" t="n">
        <v>4.5</v>
      </c>
      <c r="N146" s="5" t="n">
        <v>4.049995526647294</v>
      </c>
      <c r="O146" s="5" t="n">
        <v>4.5</v>
      </c>
      <c r="P146" s="5" t="n">
        <v>0.4500044733527062</v>
      </c>
      <c r="Q146" s="6" t="n">
        <v>0.1143268626359973</v>
      </c>
      <c r="R146" s="6" t="n">
        <v>0.6190704792422207</v>
      </c>
      <c r="S146" s="6" t="n">
        <v>0.5544554455445545</v>
      </c>
      <c r="T146" s="2" t="inlineStr">
        <is>
          <t>Under</t>
        </is>
      </c>
      <c r="U146" s="4" t="n">
        <v>-125</v>
      </c>
      <c r="V146" s="2" t="n">
        <v>1.8</v>
      </c>
      <c r="W146" s="4" t="n">
        <v>-125</v>
      </c>
      <c r="X146" s="2" t="n">
        <v>1</v>
      </c>
      <c r="Y146" s="5" t="n">
        <v>0.8</v>
      </c>
      <c r="Z146" s="7" t="n">
        <v>100</v>
      </c>
      <c r="AA146" s="7">
        <f>Y146*Z146</f>
        <v/>
      </c>
      <c r="AB146" s="6">
        <f>IF(Z146=0,0,AA146/Z146)</f>
        <v/>
      </c>
      <c r="AC146" s="6" t="n"/>
      <c r="AD146" s="2" t="inlineStr">
        <is>
          <t>Win</t>
        </is>
      </c>
      <c r="AE146" s="6">
        <f>IF((COUNTIF($AD$2:AD146,"Win")+COUNTIF($AD$2:AD146,"Loss"))=0,0,COUNTIF($AD$2:AD146,"Win")/(COUNTIF($AD$2:AD146,"Win")+COUNTIF($AD$2:AD146,"Loss")))</f>
        <v/>
      </c>
      <c r="AF146" s="6">
        <f>SUM($Y$2:Y146)/SUM($X$2:X146)</f>
        <v/>
      </c>
      <c r="AG146" s="5">
        <f>SUM($Y$2:Y146)</f>
        <v/>
      </c>
      <c r="AH146" s="7">
        <f>10000.0+SUM($AA$2:AA146)</f>
        <v/>
      </c>
      <c r="AI146" s="2" t="n">
        <v>2026</v>
      </c>
      <c r="AJ146" s="2" t="inlineStr">
        <is>
          <t>2026-04</t>
        </is>
      </c>
      <c r="AK146" s="2" t="inlineStr">
        <is>
          <t>-149 to -120</t>
        </is>
      </c>
      <c r="AL146" s="2" t="inlineStr">
        <is>
          <t>2026 Frozen Test</t>
        </is>
      </c>
      <c r="AM146" s="6" t="n">
        <v>0.1429085782949966</v>
      </c>
    </row>
    <row r="147">
      <c r="A147" s="2" t="inlineStr">
        <is>
          <t>KPROP-00548</t>
        </is>
      </c>
      <c r="B147" s="3" t="n">
        <v>46122.80252314815</v>
      </c>
      <c r="C147" s="3" t="n">
        <v>46122</v>
      </c>
      <c r="D147" s="2" t="inlineStr">
        <is>
          <t>Shane Baz</t>
        </is>
      </c>
      <c r="E147" s="2" t="n">
        <v>110</v>
      </c>
      <c r="F147" s="2" t="n">
        <v>137</v>
      </c>
      <c r="G147" s="2" t="inlineStr">
        <is>
          <t>Home</t>
        </is>
      </c>
      <c r="H147" s="2" t="inlineStr">
        <is>
          <t>bovada</t>
        </is>
      </c>
      <c r="I147" s="4" t="n"/>
      <c r="J147" s="4" t="n"/>
      <c r="K147" s="4" t="n">
        <v>-125</v>
      </c>
      <c r="L147" s="4" t="n">
        <v>-125</v>
      </c>
      <c r="M147" s="5" t="n">
        <v>5.5</v>
      </c>
      <c r="N147" s="5" t="n">
        <v>4.816328831690644</v>
      </c>
      <c r="O147" s="5" t="n">
        <v>5.5</v>
      </c>
      <c r="P147" s="5" t="n">
        <v>0.6836711683093561</v>
      </c>
      <c r="Q147" s="6" t="n">
        <v>0.1666737229938277</v>
      </c>
      <c r="R147" s="6" t="n">
        <v>0.6481520683299042</v>
      </c>
      <c r="S147" s="6" t="n">
        <v>0.5324675324675325</v>
      </c>
      <c r="T147" s="2" t="inlineStr">
        <is>
          <t>Under</t>
        </is>
      </c>
      <c r="U147" s="4" t="n">
        <v>-125</v>
      </c>
      <c r="V147" s="2" t="n">
        <v>1.8</v>
      </c>
      <c r="W147" s="4" t="n">
        <v>-125</v>
      </c>
      <c r="X147" s="2" t="n">
        <v>1</v>
      </c>
      <c r="Y147" s="5" t="n">
        <v>0.8</v>
      </c>
      <c r="Z147" s="7" t="n">
        <v>100</v>
      </c>
      <c r="AA147" s="7">
        <f>Y147*Z147</f>
        <v/>
      </c>
      <c r="AB147" s="6">
        <f>IF(Z147=0,0,AA147/Z147)</f>
        <v/>
      </c>
      <c r="AC147" s="6" t="n"/>
      <c r="AD147" s="2" t="inlineStr">
        <is>
          <t>Win</t>
        </is>
      </c>
      <c r="AE147" s="6">
        <f>IF((COUNTIF($AD$2:AD147,"Win")+COUNTIF($AD$2:AD147,"Loss"))=0,0,COUNTIF($AD$2:AD147,"Win")/(COUNTIF($AD$2:AD147,"Win")+COUNTIF($AD$2:AD147,"Loss")))</f>
        <v/>
      </c>
      <c r="AF147" s="6">
        <f>SUM($Y$2:Y147)/SUM($X$2:X147)</f>
        <v/>
      </c>
      <c r="AG147" s="5">
        <f>SUM($Y$2:Y147)</f>
        <v/>
      </c>
      <c r="AH147" s="7">
        <f>10000.0+SUM($AA$2:AA147)</f>
        <v/>
      </c>
      <c r="AI147" s="2" t="n">
        <v>2026</v>
      </c>
      <c r="AJ147" s="2" t="inlineStr">
        <is>
          <t>2026-04</t>
        </is>
      </c>
      <c r="AK147" s="2" t="inlineStr">
        <is>
          <t>-149 to -120</t>
        </is>
      </c>
      <c r="AL147" s="2" t="inlineStr">
        <is>
          <t>2026 Frozen Test</t>
        </is>
      </c>
      <c r="AM147" s="6" t="n">
        <v>0.2083421537422846</v>
      </c>
    </row>
    <row r="148">
      <c r="A148" s="2" t="inlineStr">
        <is>
          <t>KPROP-00549</t>
        </is>
      </c>
      <c r="B148" s="3" t="n">
        <v>46122.59766203703</v>
      </c>
      <c r="C148" s="3" t="n">
        <v>46122</v>
      </c>
      <c r="D148" s="2" t="inlineStr">
        <is>
          <t>Shota Imanaga</t>
        </is>
      </c>
      <c r="E148" s="2" t="n">
        <v>112</v>
      </c>
      <c r="F148" s="2" t="n">
        <v>134</v>
      </c>
      <c r="G148" s="2" t="inlineStr">
        <is>
          <t>Home</t>
        </is>
      </c>
      <c r="H148" s="2" t="inlineStr">
        <is>
          <t>betonlineag</t>
        </is>
      </c>
      <c r="I148" s="4" t="n"/>
      <c r="J148" s="4" t="n"/>
      <c r="K148" s="4" t="n">
        <v>113</v>
      </c>
      <c r="L148" s="4" t="n">
        <v>113</v>
      </c>
      <c r="M148" s="5" t="n">
        <v>5.5</v>
      </c>
      <c r="N148" s="5" t="n">
        <v>5.202561260249063</v>
      </c>
      <c r="O148" s="5" t="n">
        <v>5.5</v>
      </c>
      <c r="P148" s="5" t="n">
        <v>0.2974387397509366</v>
      </c>
      <c r="Q148" s="6" t="n">
        <v>0.2363912099743957</v>
      </c>
      <c r="R148" s="6" t="n">
        <v>0.5804653567954909</v>
      </c>
      <c r="S148" s="6" t="n">
        <v>0.449717730360731</v>
      </c>
      <c r="T148" s="2" t="inlineStr">
        <is>
          <t>Under</t>
        </is>
      </c>
      <c r="U148" s="4" t="n">
        <v>113</v>
      </c>
      <c r="V148" s="2" t="n">
        <v>2.13</v>
      </c>
      <c r="W148" s="4" t="n">
        <v>113</v>
      </c>
      <c r="X148" s="2" t="n">
        <v>1</v>
      </c>
      <c r="Y148" s="5" t="n">
        <v>-1</v>
      </c>
      <c r="Z148" s="7" t="n">
        <v>100</v>
      </c>
      <c r="AA148" s="7">
        <f>Y148*Z148</f>
        <v/>
      </c>
      <c r="AB148" s="6">
        <f>IF(Z148=0,0,AA148/Z148)</f>
        <v/>
      </c>
      <c r="AC148" s="6" t="n"/>
      <c r="AD148" s="2" t="inlineStr">
        <is>
          <t>Loss</t>
        </is>
      </c>
      <c r="AE148" s="6">
        <f>IF((COUNTIF($AD$2:AD148,"Win")+COUNTIF($AD$2:AD148,"Loss"))=0,0,COUNTIF($AD$2:AD148,"Win")/(COUNTIF($AD$2:AD148,"Win")+COUNTIF($AD$2:AD148,"Loss")))</f>
        <v/>
      </c>
      <c r="AF148" s="6">
        <f>SUM($Y$2:Y148)/SUM($X$2:X148)</f>
        <v/>
      </c>
      <c r="AG148" s="5">
        <f>SUM($Y$2:Y148)</f>
        <v/>
      </c>
      <c r="AH148" s="7">
        <f>10000.0+SUM($AA$2:AA148)</f>
        <v/>
      </c>
      <c r="AI148" s="2" t="n">
        <v>2026</v>
      </c>
      <c r="AJ148" s="2" t="inlineStr">
        <is>
          <t>2026-04</t>
        </is>
      </c>
      <c r="AK148" s="2" t="inlineStr">
        <is>
          <t>+100 to +120</t>
        </is>
      </c>
      <c r="AL148" s="2" t="inlineStr">
        <is>
          <t>2026 Frozen Test</t>
        </is>
      </c>
      <c r="AM148" s="6" t="n">
        <v>0.2091957610392882</v>
      </c>
    </row>
    <row r="149">
      <c r="A149" s="2" t="inlineStr">
        <is>
          <t>KPROP-00550</t>
        </is>
      </c>
      <c r="B149" s="3" t="n">
        <v>46122.80252314815</v>
      </c>
      <c r="C149" s="3" t="n">
        <v>46122</v>
      </c>
      <c r="D149" s="2" t="inlineStr">
        <is>
          <t>Slade Cecconi</t>
        </is>
      </c>
      <c r="E149" s="2" t="n">
        <v>114</v>
      </c>
      <c r="F149" s="2" t="n">
        <v>144</v>
      </c>
      <c r="G149" s="2" t="inlineStr">
        <is>
          <t>Away</t>
        </is>
      </c>
      <c r="H149" s="2" t="inlineStr">
        <is>
          <t>draftkings</t>
        </is>
      </c>
      <c r="I149" s="4" t="n"/>
      <c r="J149" s="4" t="n"/>
      <c r="K149" s="4" t="n">
        <v>-136</v>
      </c>
      <c r="L149" s="4" t="n">
        <v>-136</v>
      </c>
      <c r="M149" s="5" t="n">
        <v>4.5</v>
      </c>
      <c r="N149" s="5" t="n">
        <v>4.055237616558765</v>
      </c>
      <c r="O149" s="5" t="n">
        <v>4.5</v>
      </c>
      <c r="P149" s="5" t="n">
        <v>0.4447623834412351</v>
      </c>
      <c r="Q149" s="6" t="n">
        <v>0.07249280362526211</v>
      </c>
      <c r="R149" s="6" t="n">
        <v>0.6180467003942188</v>
      </c>
      <c r="S149" s="6" t="n">
        <v>0.5533686601059804</v>
      </c>
      <c r="T149" s="2" t="inlineStr">
        <is>
          <t>Under</t>
        </is>
      </c>
      <c r="U149" s="4" t="n">
        <v>-136</v>
      </c>
      <c r="V149" s="2" t="n">
        <v>1.735294117647059</v>
      </c>
      <c r="W149" s="4" t="n">
        <v>-136</v>
      </c>
      <c r="X149" s="2" t="n">
        <v>1</v>
      </c>
      <c r="Y149" s="5" t="n">
        <v>0.7352941176470589</v>
      </c>
      <c r="Z149" s="7" t="n">
        <v>100</v>
      </c>
      <c r="AA149" s="7">
        <f>Y149*Z149</f>
        <v/>
      </c>
      <c r="AB149" s="6">
        <f>IF(Z149=0,0,AA149/Z149)</f>
        <v/>
      </c>
      <c r="AC149" s="6" t="n"/>
      <c r="AD149" s="2" t="inlineStr">
        <is>
          <t>Win</t>
        </is>
      </c>
      <c r="AE149" s="6">
        <f>IF((COUNTIF($AD$2:AD149,"Win")+COUNTIF($AD$2:AD149,"Loss"))=0,0,COUNTIF($AD$2:AD149,"Win")/(COUNTIF($AD$2:AD149,"Win")+COUNTIF($AD$2:AD149,"Loss")))</f>
        <v/>
      </c>
      <c r="AF149" s="6">
        <f>SUM($Y$2:Y149)/SUM($X$2:X149)</f>
        <v/>
      </c>
      <c r="AG149" s="5">
        <f>SUM($Y$2:Y149)</f>
        <v/>
      </c>
      <c r="AH149" s="7">
        <f>10000.0+SUM($AA$2:AA149)</f>
        <v/>
      </c>
      <c r="AI149" s="2" t="n">
        <v>2026</v>
      </c>
      <c r="AJ149" s="2" t="inlineStr">
        <is>
          <t>2026-04</t>
        </is>
      </c>
      <c r="AK149" s="2" t="inlineStr">
        <is>
          <t>-149 to -120</t>
        </is>
      </c>
      <c r="AL149" s="2" t="inlineStr">
        <is>
          <t>2026 Frozen Test</t>
        </is>
      </c>
      <c r="AM149" s="6" t="n">
        <v>0.09859021293035647</v>
      </c>
    </row>
    <row r="150">
      <c r="A150" s="2" t="inlineStr">
        <is>
          <t>KPROP-00551</t>
        </is>
      </c>
      <c r="B150" s="3" t="n">
        <v>46122.79905092593</v>
      </c>
      <c r="C150" s="3" t="n">
        <v>46122</v>
      </c>
      <c r="D150" s="2" t="inlineStr">
        <is>
          <t>Steven Matz</t>
        </is>
      </c>
      <c r="E150" s="2" t="n">
        <v>139</v>
      </c>
      <c r="F150" s="2" t="n">
        <v>147</v>
      </c>
      <c r="G150" s="2" t="inlineStr">
        <is>
          <t>Home</t>
        </is>
      </c>
      <c r="H150" s="2" t="inlineStr">
        <is>
          <t>betmgm</t>
        </is>
      </c>
      <c r="I150" s="4" t="n"/>
      <c r="J150" s="4" t="n"/>
      <c r="K150" s="4" t="n">
        <v>-120</v>
      </c>
      <c r="L150" s="4" t="n">
        <v>-120</v>
      </c>
      <c r="M150" s="5" t="n">
        <v>4.5</v>
      </c>
      <c r="N150" s="5" t="n">
        <v>4.211045630863996</v>
      </c>
      <c r="O150" s="5" t="n">
        <v>4.5</v>
      </c>
      <c r="P150" s="5" t="n">
        <v>0.2889543691360039</v>
      </c>
      <c r="Q150" s="6" t="n">
        <v>0.0774134506498379</v>
      </c>
      <c r="R150" s="6" t="n">
        <v>0.5876800639908206</v>
      </c>
      <c r="S150" s="6" t="n">
        <v>0.5278969957081545</v>
      </c>
      <c r="T150" s="2" t="inlineStr">
        <is>
          <t>Under</t>
        </is>
      </c>
      <c r="U150" s="4" t="n">
        <v>-120</v>
      </c>
      <c r="V150" s="2" t="n">
        <v>1.833333333333333</v>
      </c>
      <c r="W150" s="4" t="n">
        <v>-120</v>
      </c>
      <c r="X150" s="2" t="n">
        <v>1</v>
      </c>
      <c r="Y150" s="5" t="n">
        <v>-1</v>
      </c>
      <c r="Z150" s="7" t="n">
        <v>100</v>
      </c>
      <c r="AA150" s="7">
        <f>Y150*Z150</f>
        <v/>
      </c>
      <c r="AB150" s="6">
        <f>IF(Z150=0,0,AA150/Z150)</f>
        <v/>
      </c>
      <c r="AC150" s="6" t="n"/>
      <c r="AD150" s="2" t="inlineStr">
        <is>
          <t>Loss</t>
        </is>
      </c>
      <c r="AE150" s="6">
        <f>IF((COUNTIF($AD$2:AD150,"Win")+COUNTIF($AD$2:AD150,"Loss"))=0,0,COUNTIF($AD$2:AD150,"Win")/(COUNTIF($AD$2:AD150,"Win")+COUNTIF($AD$2:AD150,"Loss")))</f>
        <v/>
      </c>
      <c r="AF150" s="6">
        <f>SUM($Y$2:Y150)/SUM($X$2:X150)</f>
        <v/>
      </c>
      <c r="AG150" s="5">
        <f>SUM($Y$2:Y150)</f>
        <v/>
      </c>
      <c r="AH150" s="7">
        <f>10000.0+SUM($AA$2:AA150)</f>
        <v/>
      </c>
      <c r="AI150" s="2" t="n">
        <v>2026</v>
      </c>
      <c r="AJ150" s="2" t="inlineStr">
        <is>
          <t>2026-04</t>
        </is>
      </c>
      <c r="AK150" s="2" t="inlineStr">
        <is>
          <t>-149 to -120</t>
        </is>
      </c>
      <c r="AL150" s="2" t="inlineStr">
        <is>
          <t>2026 Frozen Test</t>
        </is>
      </c>
      <c r="AM150" s="6" t="n">
        <v>0.09289614077980546</v>
      </c>
    </row>
    <row r="151">
      <c r="A151" s="2" t="inlineStr">
        <is>
          <t>KPROP-00552</t>
        </is>
      </c>
      <c r="B151" s="3" t="n">
        <v>46123.80252314815</v>
      </c>
      <c r="C151" s="3" t="n">
        <v>46123</v>
      </c>
      <c r="D151" s="2" t="inlineStr">
        <is>
          <t>Chris Bassitt</t>
        </is>
      </c>
      <c r="E151" s="2" t="n">
        <v>110</v>
      </c>
      <c r="F151" s="2" t="n">
        <v>137</v>
      </c>
      <c r="G151" s="2" t="inlineStr">
        <is>
          <t>Home</t>
        </is>
      </c>
      <c r="H151" s="2" t="inlineStr">
        <is>
          <t>betonlineag</t>
        </is>
      </c>
      <c r="I151" s="4" t="n"/>
      <c r="J151" s="4" t="n"/>
      <c r="K151" s="4" t="n">
        <v>110</v>
      </c>
      <c r="L151" s="4" t="n">
        <v>110</v>
      </c>
      <c r="M151" s="5" t="n">
        <v>4.5</v>
      </c>
      <c r="N151" s="5" t="n">
        <v>3.989744798294767</v>
      </c>
      <c r="O151" s="5" t="n">
        <v>4.5</v>
      </c>
      <c r="P151" s="5" t="n">
        <v>0.5102552017052329</v>
      </c>
      <c r="Q151" s="6" t="n">
        <v>0.3247649502111625</v>
      </c>
      <c r="R151" s="6" t="n">
        <v>0.6308404524815059</v>
      </c>
      <c r="S151" s="6" t="n">
        <v>0.4709748083242059</v>
      </c>
      <c r="T151" s="2" t="inlineStr">
        <is>
          <t>Under</t>
        </is>
      </c>
      <c r="U151" s="4" t="n">
        <v>110</v>
      </c>
      <c r="V151" s="2" t="n">
        <v>2.1</v>
      </c>
      <c r="W151" s="4" t="n">
        <v>110</v>
      </c>
      <c r="X151" s="2" t="n">
        <v>1</v>
      </c>
      <c r="Y151" s="5" t="n">
        <v>1.1</v>
      </c>
      <c r="Z151" s="7" t="n">
        <v>100</v>
      </c>
      <c r="AA151" s="7">
        <f>Y151*Z151</f>
        <v/>
      </c>
      <c r="AB151" s="6">
        <f>IF(Z151=0,0,AA151/Z151)</f>
        <v/>
      </c>
      <c r="AC151" s="6" t="n"/>
      <c r="AD151" s="2" t="inlineStr">
        <is>
          <t>Win</t>
        </is>
      </c>
      <c r="AE151" s="6">
        <f>IF((COUNTIF($AD$2:AD151,"Win")+COUNTIF($AD$2:AD151,"Loss"))=0,0,COUNTIF($AD$2:AD151,"Win")/(COUNTIF($AD$2:AD151,"Win")+COUNTIF($AD$2:AD151,"Loss")))</f>
        <v/>
      </c>
      <c r="AF151" s="6">
        <f>SUM($Y$2:Y151)/SUM($X$2:X151)</f>
        <v/>
      </c>
      <c r="AG151" s="5">
        <f>SUM($Y$2:Y151)</f>
        <v/>
      </c>
      <c r="AH151" s="7">
        <f>10000.0+SUM($AA$2:AA151)</f>
        <v/>
      </c>
      <c r="AI151" s="2" t="n">
        <v>2026</v>
      </c>
      <c r="AJ151" s="2" t="inlineStr">
        <is>
          <t>2026-04</t>
        </is>
      </c>
      <c r="AK151" s="2" t="inlineStr">
        <is>
          <t>+100 to +120</t>
        </is>
      </c>
      <c r="AL151" s="2" t="inlineStr">
        <is>
          <t>2026 Frozen Test</t>
        </is>
      </c>
      <c r="AM151" s="6" t="n">
        <v>0.2952408638283295</v>
      </c>
    </row>
    <row r="152">
      <c r="A152" s="2" t="inlineStr">
        <is>
          <t>KPROP-00553</t>
        </is>
      </c>
      <c r="B152" s="3" t="n">
        <v>46123.59765046297</v>
      </c>
      <c r="C152" s="3" t="n">
        <v>46123</v>
      </c>
      <c r="D152" s="2" t="inlineStr">
        <is>
          <t>Edward Cabrera</t>
        </is>
      </c>
      <c r="E152" s="2" t="n">
        <v>112</v>
      </c>
      <c r="F152" s="2" t="n">
        <v>134</v>
      </c>
      <c r="G152" s="2" t="inlineStr">
        <is>
          <t>Home</t>
        </is>
      </c>
      <c r="H152" s="2" t="inlineStr">
        <is>
          <t>betrivers</t>
        </is>
      </c>
      <c r="I152" s="4" t="n"/>
      <c r="J152" s="4" t="n"/>
      <c r="K152" s="4" t="n">
        <v>138</v>
      </c>
      <c r="L152" s="4" t="n">
        <v>138</v>
      </c>
      <c r="M152" s="5" t="n">
        <v>5.5</v>
      </c>
      <c r="N152" s="5" t="n">
        <v>5.654742232739626</v>
      </c>
      <c r="O152" s="5" t="n">
        <v>5.5</v>
      </c>
      <c r="P152" s="5" t="n">
        <v>-0.1547422327396255</v>
      </c>
      <c r="Q152" s="6" t="n">
        <v>0.1961844501362564</v>
      </c>
      <c r="R152" s="6" t="n">
        <v>0.5025985084606119</v>
      </c>
      <c r="S152" s="6" t="n">
        <v>0.3924905308228578</v>
      </c>
      <c r="T152" s="2" t="inlineStr">
        <is>
          <t>Under</t>
        </is>
      </c>
      <c r="U152" s="4" t="n">
        <v>138</v>
      </c>
      <c r="V152" s="2" t="n">
        <v>2.38</v>
      </c>
      <c r="W152" s="4" t="n">
        <v>138</v>
      </c>
      <c r="X152" s="2" t="n">
        <v>1</v>
      </c>
      <c r="Y152" s="5" t="n">
        <v>1.38</v>
      </c>
      <c r="Z152" s="7" t="n">
        <v>100</v>
      </c>
      <c r="AA152" s="7">
        <f>Y152*Z152</f>
        <v/>
      </c>
      <c r="AB152" s="6">
        <f>IF(Z152=0,0,AA152/Z152)</f>
        <v/>
      </c>
      <c r="AC152" s="6" t="n"/>
      <c r="AD152" s="2" t="inlineStr">
        <is>
          <t>Win</t>
        </is>
      </c>
      <c r="AE152" s="6">
        <f>IF((COUNTIF($AD$2:AD152,"Win")+COUNTIF($AD$2:AD152,"Loss"))=0,0,COUNTIF($AD$2:AD152,"Win")/(COUNTIF($AD$2:AD152,"Win")+COUNTIF($AD$2:AD152,"Loss")))</f>
        <v/>
      </c>
      <c r="AF152" s="6">
        <f>SUM($Y$2:Y152)/SUM($X$2:X152)</f>
        <v/>
      </c>
      <c r="AG152" s="5">
        <f>SUM($Y$2:Y152)</f>
        <v/>
      </c>
      <c r="AH152" s="7">
        <f>10000.0+SUM($AA$2:AA152)</f>
        <v/>
      </c>
      <c r="AI152" s="2" t="n">
        <v>2026</v>
      </c>
      <c r="AJ152" s="2" t="inlineStr">
        <is>
          <t>2026-04</t>
        </is>
      </c>
      <c r="AK152" s="2" t="inlineStr">
        <is>
          <t>+121 to +150</t>
        </is>
      </c>
      <c r="AL152" s="2" t="inlineStr">
        <is>
          <t>2026 Frozen Test</t>
        </is>
      </c>
      <c r="AM152" s="6" t="n">
        <v>0.1421626450262728</v>
      </c>
    </row>
    <row r="153">
      <c r="A153" s="2" t="inlineStr">
        <is>
          <t>KPROP-00554</t>
        </is>
      </c>
      <c r="B153" s="3" t="n">
        <v>46123.59765046297</v>
      </c>
      <c r="C153" s="3" t="n">
        <v>46123</v>
      </c>
      <c r="D153" s="2" t="inlineStr">
        <is>
          <t>Edward Cabrera</t>
        </is>
      </c>
      <c r="E153" s="2" t="n">
        <v>112</v>
      </c>
      <c r="F153" s="2" t="n">
        <v>134</v>
      </c>
      <c r="G153" s="2" t="inlineStr">
        <is>
          <t>Home</t>
        </is>
      </c>
      <c r="H153" s="2" t="inlineStr">
        <is>
          <t>fanatics</t>
        </is>
      </c>
      <c r="I153" s="4" t="n"/>
      <c r="J153" s="4" t="n"/>
      <c r="K153" s="4" t="n">
        <v>-145</v>
      </c>
      <c r="L153" s="4" t="n">
        <v>-145</v>
      </c>
      <c r="M153" s="5" t="n">
        <v>6.5</v>
      </c>
      <c r="N153" s="5" t="n">
        <v>5.654742232739626</v>
      </c>
      <c r="O153" s="5" t="n">
        <v>6.5</v>
      </c>
      <c r="P153" s="5" t="n">
        <v>0.8452577672603745</v>
      </c>
      <c r="Q153" s="6" t="n">
        <v>0.1178262749519479</v>
      </c>
      <c r="R153" s="6" t="n">
        <v>0.6615706525225814</v>
      </c>
      <c r="S153" s="6" t="n">
        <v>0.5610892153350053</v>
      </c>
      <c r="T153" s="2" t="inlineStr">
        <is>
          <t>Under</t>
        </is>
      </c>
      <c r="U153" s="4" t="n">
        <v>-145</v>
      </c>
      <c r="V153" s="2" t="n">
        <v>1.689655172413793</v>
      </c>
      <c r="W153" s="4" t="n">
        <v>-145</v>
      </c>
      <c r="X153" s="2" t="n">
        <v>1</v>
      </c>
      <c r="Y153" s="5" t="n">
        <v>0.6896551724137931</v>
      </c>
      <c r="Z153" s="7" t="n">
        <v>100</v>
      </c>
      <c r="AA153" s="7">
        <f>Y153*Z153</f>
        <v/>
      </c>
      <c r="AB153" s="6">
        <f>IF(Z153=0,0,AA153/Z153)</f>
        <v/>
      </c>
      <c r="AC153" s="6" t="n"/>
      <c r="AD153" s="2" t="inlineStr">
        <is>
          <t>Win</t>
        </is>
      </c>
      <c r="AE153" s="6">
        <f>IF((COUNTIF($AD$2:AD153,"Win")+COUNTIF($AD$2:AD153,"Loss"))=0,0,COUNTIF($AD$2:AD153,"Win")/(COUNTIF($AD$2:AD153,"Win")+COUNTIF($AD$2:AD153,"Loss")))</f>
        <v/>
      </c>
      <c r="AF153" s="6">
        <f>SUM($Y$2:Y153)/SUM($X$2:X153)</f>
        <v/>
      </c>
      <c r="AG153" s="5">
        <f>SUM($Y$2:Y153)</f>
        <v/>
      </c>
      <c r="AH153" s="7">
        <f>10000.0+SUM($AA$2:AA153)</f>
        <v/>
      </c>
      <c r="AI153" s="2" t="n">
        <v>2026</v>
      </c>
      <c r="AJ153" s="2" t="inlineStr">
        <is>
          <t>2026-04</t>
        </is>
      </c>
      <c r="AK153" s="2" t="inlineStr">
        <is>
          <t>-149 to -120</t>
        </is>
      </c>
      <c r="AL153" s="2" t="inlineStr">
        <is>
          <t>2026 Frozen Test</t>
        </is>
      </c>
      <c r="AM153" s="6" t="n">
        <v>0.1708480986803245</v>
      </c>
    </row>
    <row r="154">
      <c r="A154" s="2" t="inlineStr">
        <is>
          <t>KPROP-00555</t>
        </is>
      </c>
      <c r="B154" s="3" t="n">
        <v>46123.62892361111</v>
      </c>
      <c r="C154" s="3" t="n">
        <v>46123</v>
      </c>
      <c r="D154" s="2" t="inlineStr">
        <is>
          <t>Eric Lauer</t>
        </is>
      </c>
      <c r="E154" s="2" t="n">
        <v>141</v>
      </c>
      <c r="F154" s="2" t="n">
        <v>142</v>
      </c>
      <c r="G154" s="2" t="inlineStr">
        <is>
          <t>Home</t>
        </is>
      </c>
      <c r="H154" s="2" t="inlineStr">
        <is>
          <t>betmgm</t>
        </is>
      </c>
      <c r="I154" s="4" t="n"/>
      <c r="J154" s="4" t="n"/>
      <c r="K154" s="4" t="n">
        <v>-105</v>
      </c>
      <c r="L154" s="4" t="n">
        <v>-105</v>
      </c>
      <c r="M154" s="5" t="n">
        <v>4.5</v>
      </c>
      <c r="N154" s="5" t="n">
        <v>4.184577065458323</v>
      </c>
      <c r="O154" s="5" t="n">
        <v>4.5</v>
      </c>
      <c r="P154" s="5" t="n">
        <v>0.3154229345416768</v>
      </c>
      <c r="Q154" s="6" t="n">
        <v>0.1574235160085481</v>
      </c>
      <c r="R154" s="6" t="n">
        <v>0.5928266789312076</v>
      </c>
      <c r="S154" s="6" t="n">
        <v>0.5011698642957417</v>
      </c>
      <c r="T154" s="2" t="inlineStr">
        <is>
          <t>Under</t>
        </is>
      </c>
      <c r="U154" s="4" t="n">
        <v>-105</v>
      </c>
      <c r="V154" s="2" t="n">
        <v>1.952380952380952</v>
      </c>
      <c r="W154" s="4" t="n">
        <v>-105</v>
      </c>
      <c r="X154" s="2" t="n">
        <v>1</v>
      </c>
      <c r="Y154" s="5" t="n">
        <v>0.9523809523809523</v>
      </c>
      <c r="Z154" s="7" t="n">
        <v>100</v>
      </c>
      <c r="AA154" s="7">
        <f>Y154*Z154</f>
        <v/>
      </c>
      <c r="AB154" s="6">
        <f>IF(Z154=0,0,AA154/Z154)</f>
        <v/>
      </c>
      <c r="AC154" s="6" t="n"/>
      <c r="AD154" s="2" t="inlineStr">
        <is>
          <t>Win</t>
        </is>
      </c>
      <c r="AE154" s="6">
        <f>IF((COUNTIF($AD$2:AD154,"Win")+COUNTIF($AD$2:AD154,"Loss"))=0,0,COUNTIF($AD$2:AD154,"Win")/(COUNTIF($AD$2:AD154,"Win")+COUNTIF($AD$2:AD154,"Loss")))</f>
        <v/>
      </c>
      <c r="AF154" s="6">
        <f>SUM($Y$2:Y154)/SUM($X$2:X154)</f>
        <v/>
      </c>
      <c r="AG154" s="5">
        <f>SUM($Y$2:Y154)</f>
        <v/>
      </c>
      <c r="AH154" s="7">
        <f>10000.0+SUM($AA$2:AA154)</f>
        <v/>
      </c>
      <c r="AI154" s="2" t="n">
        <v>2026</v>
      </c>
      <c r="AJ154" s="2" t="inlineStr">
        <is>
          <t>2026-04</t>
        </is>
      </c>
      <c r="AK154" s="2" t="inlineStr">
        <is>
          <t>-119 to -101</t>
        </is>
      </c>
      <c r="AL154" s="2" t="inlineStr">
        <is>
          <t>2026 Frozen Test</t>
        </is>
      </c>
      <c r="AM154" s="6" t="n">
        <v>0.1652946918089755</v>
      </c>
    </row>
    <row r="155">
      <c r="A155" s="2" t="inlineStr">
        <is>
          <t>KPROP-00556</t>
        </is>
      </c>
      <c r="B155" s="3" t="n">
        <v>46123.67403935185</v>
      </c>
      <c r="C155" s="3" t="n">
        <v>46123</v>
      </c>
      <c r="D155" s="2" t="inlineStr">
        <is>
          <t>Kodai Senga</t>
        </is>
      </c>
      <c r="E155" s="2" t="n">
        <v>121</v>
      </c>
      <c r="F155" s="2" t="n">
        <v>133</v>
      </c>
      <c r="G155" s="2" t="inlineStr">
        <is>
          <t>Home</t>
        </is>
      </c>
      <c r="H155" s="2" t="inlineStr">
        <is>
          <t>betrivers</t>
        </is>
      </c>
      <c r="I155" s="4" t="n"/>
      <c r="J155" s="4" t="n"/>
      <c r="K155" s="4" t="n">
        <v>140</v>
      </c>
      <c r="L155" s="4" t="n">
        <v>140</v>
      </c>
      <c r="M155" s="5" t="n">
        <v>5.5</v>
      </c>
      <c r="N155" s="5" t="n">
        <v>5.261338047205609</v>
      </c>
      <c r="O155" s="5" t="n">
        <v>5.5</v>
      </c>
      <c r="P155" s="5" t="n">
        <v>0.2386619527943914</v>
      </c>
      <c r="Q155" s="6" t="n">
        <v>0.3684941685493243</v>
      </c>
      <c r="R155" s="6" t="n">
        <v>0.5702059035622185</v>
      </c>
      <c r="S155" s="6" t="n">
        <v>0.388739946380697</v>
      </c>
      <c r="T155" s="2" t="inlineStr">
        <is>
          <t>Under</t>
        </is>
      </c>
      <c r="U155" s="4" t="n">
        <v>140</v>
      </c>
      <c r="V155" s="2" t="n">
        <v>2.4</v>
      </c>
      <c r="W155" s="4" t="n">
        <v>140</v>
      </c>
      <c r="X155" s="2" t="n">
        <v>1</v>
      </c>
      <c r="Y155" s="5" t="n">
        <v>1.4</v>
      </c>
      <c r="Z155" s="7" t="n">
        <v>100</v>
      </c>
      <c r="AA155" s="7">
        <f>Y155*Z155</f>
        <v/>
      </c>
      <c r="AB155" s="6">
        <f>IF(Z155=0,0,AA155/Z155)</f>
        <v/>
      </c>
      <c r="AC155" s="6" t="n"/>
      <c r="AD155" s="2" t="inlineStr">
        <is>
          <t>Win</t>
        </is>
      </c>
      <c r="AE155" s="6">
        <f>IF((COUNTIF($AD$2:AD155,"Win")+COUNTIF($AD$2:AD155,"Loss"))=0,0,COUNTIF($AD$2:AD155,"Win")/(COUNTIF($AD$2:AD155,"Win")+COUNTIF($AD$2:AD155,"Loss")))</f>
        <v/>
      </c>
      <c r="AF155" s="6">
        <f>SUM($Y$2:Y155)/SUM($X$2:X155)</f>
        <v/>
      </c>
      <c r="AG155" s="5">
        <f>SUM($Y$2:Y155)</f>
        <v/>
      </c>
      <c r="AH155" s="7">
        <f>10000.0+SUM($AA$2:AA155)</f>
        <v/>
      </c>
      <c r="AI155" s="2" t="n">
        <v>2026</v>
      </c>
      <c r="AJ155" s="2" t="inlineStr">
        <is>
          <t>2026-04</t>
        </is>
      </c>
      <c r="AK155" s="2" t="inlineStr">
        <is>
          <t>+121 to +150</t>
        </is>
      </c>
      <c r="AL155" s="2" t="inlineStr">
        <is>
          <t>2026 Frozen Test</t>
        </is>
      </c>
      <c r="AM155" s="6" t="n">
        <v>0.2632101203923745</v>
      </c>
    </row>
    <row r="156">
      <c r="A156" s="2" t="inlineStr">
        <is>
          <t>KPROP-00557</t>
        </is>
      </c>
      <c r="B156" s="3" t="n">
        <v>46123.67403935185</v>
      </c>
      <c r="C156" s="3" t="n">
        <v>46123</v>
      </c>
      <c r="D156" s="2" t="inlineStr">
        <is>
          <t>Kodai Senga</t>
        </is>
      </c>
      <c r="E156" s="2" t="n">
        <v>121</v>
      </c>
      <c r="F156" s="2" t="n">
        <v>133</v>
      </c>
      <c r="G156" s="2" t="inlineStr">
        <is>
          <t>Home</t>
        </is>
      </c>
      <c r="H156" s="2" t="inlineStr">
        <is>
          <t>fanduel</t>
        </is>
      </c>
      <c r="I156" s="4" t="n"/>
      <c r="J156" s="4" t="n"/>
      <c r="K156" s="4" t="n">
        <v>-120</v>
      </c>
      <c r="L156" s="4" t="n">
        <v>-120</v>
      </c>
      <c r="M156" s="5" t="n">
        <v>6.5</v>
      </c>
      <c r="N156" s="5" t="n">
        <v>5.261338047205609</v>
      </c>
      <c r="O156" s="5" t="n">
        <v>6.5</v>
      </c>
      <c r="P156" s="5" t="n">
        <v>1.238661952794391</v>
      </c>
      <c r="Q156" s="6" t="n">
        <v>0.3256084383805147</v>
      </c>
      <c r="R156" s="6" t="n">
        <v>0.7230591482075535</v>
      </c>
      <c r="S156" s="6" t="n">
        <v>0.5303159692570453</v>
      </c>
      <c r="T156" s="2" t="inlineStr">
        <is>
          <t>Under</t>
        </is>
      </c>
      <c r="U156" s="4" t="n">
        <v>-120</v>
      </c>
      <c r="V156" s="2" t="n">
        <v>1.833333333333333</v>
      </c>
      <c r="W156" s="4" t="n">
        <v>-120</v>
      </c>
      <c r="X156" s="2" t="n">
        <v>1</v>
      </c>
      <c r="Y156" s="5" t="n">
        <v>0.8333333333333335</v>
      </c>
      <c r="Z156" s="7" t="n">
        <v>100</v>
      </c>
      <c r="AA156" s="7">
        <f>Y156*Z156</f>
        <v/>
      </c>
      <c r="AB156" s="6">
        <f>IF(Z156=0,0,AA156/Z156)</f>
        <v/>
      </c>
      <c r="AC156" s="6" t="n"/>
      <c r="AD156" s="2" t="inlineStr">
        <is>
          <t>Win</t>
        </is>
      </c>
      <c r="AE156" s="6">
        <f>IF((COUNTIF($AD$2:AD156,"Win")+COUNTIF($AD$2:AD156,"Loss"))=0,0,COUNTIF($AD$2:AD156,"Win")/(COUNTIF($AD$2:AD156,"Win")+COUNTIF($AD$2:AD156,"Loss")))</f>
        <v/>
      </c>
      <c r="AF156" s="6">
        <f>SUM($Y$2:Y156)/SUM($X$2:X156)</f>
        <v/>
      </c>
      <c r="AG156" s="5">
        <f>SUM($Y$2:Y156)</f>
        <v/>
      </c>
      <c r="AH156" s="7">
        <f>10000.0+SUM($AA$2:AA156)</f>
        <v/>
      </c>
      <c r="AI156" s="2" t="n">
        <v>2026</v>
      </c>
      <c r="AJ156" s="2" t="inlineStr">
        <is>
          <t>2026-04</t>
        </is>
      </c>
      <c r="AK156" s="2" t="inlineStr">
        <is>
          <t>-149 to -120</t>
        </is>
      </c>
      <c r="AL156" s="2" t="inlineStr">
        <is>
          <t>2026 Frozen Test</t>
        </is>
      </c>
      <c r="AM156" s="6" t="n">
        <v>0.3907301260566177</v>
      </c>
    </row>
    <row r="157">
      <c r="A157" s="2" t="inlineStr">
        <is>
          <t>KPROP-00558</t>
        </is>
      </c>
      <c r="B157" s="3" t="n">
        <v>46123.7990625</v>
      </c>
      <c r="C157" s="3" t="n">
        <v>46123</v>
      </c>
      <c r="D157" s="2" t="inlineStr">
        <is>
          <t>Kyle Harrison</t>
        </is>
      </c>
      <c r="E157" s="2" t="n">
        <v>158</v>
      </c>
      <c r="F157" s="2" t="n">
        <v>120</v>
      </c>
      <c r="G157" s="2" t="inlineStr">
        <is>
          <t>Home</t>
        </is>
      </c>
      <c r="H157" s="2" t="inlineStr">
        <is>
          <t>draftkings</t>
        </is>
      </c>
      <c r="I157" s="4" t="n"/>
      <c r="J157" s="4" t="n"/>
      <c r="K157" s="4" t="n">
        <v>120</v>
      </c>
      <c r="L157" s="4" t="n">
        <v>120</v>
      </c>
      <c r="M157" s="5" t="n">
        <v>5.5</v>
      </c>
      <c r="N157" s="5" t="n">
        <v>4.946699866170924</v>
      </c>
      <c r="O157" s="5" t="n">
        <v>5.5</v>
      </c>
      <c r="P157" s="5" t="n">
        <v>0.5533001338290759</v>
      </c>
      <c r="Q157" s="6" t="n">
        <v>0.375686837369042</v>
      </c>
      <c r="R157" s="6" t="n">
        <v>0.6253121988041099</v>
      </c>
      <c r="S157" s="6" t="n">
        <v>0.4545454545454545</v>
      </c>
      <c r="T157" s="2" t="inlineStr">
        <is>
          <t>Under</t>
        </is>
      </c>
      <c r="U157" s="4" t="n">
        <v>120</v>
      </c>
      <c r="V157" s="2" t="n">
        <v>2.2</v>
      </c>
      <c r="W157" s="4" t="n">
        <v>120</v>
      </c>
      <c r="X157" s="2" t="n">
        <v>1</v>
      </c>
      <c r="Y157" s="5" t="n">
        <v>1.2</v>
      </c>
      <c r="Z157" s="7" t="n">
        <v>100</v>
      </c>
      <c r="AA157" s="7">
        <f>Y157*Z157</f>
        <v/>
      </c>
      <c r="AB157" s="6">
        <f>IF(Z157=0,0,AA157/Z157)</f>
        <v/>
      </c>
      <c r="AC157" s="6" t="n"/>
      <c r="AD157" s="2" t="inlineStr">
        <is>
          <t>Win</t>
        </is>
      </c>
      <c r="AE157" s="6">
        <f>IF((COUNTIF($AD$2:AD157,"Win")+COUNTIF($AD$2:AD157,"Loss"))=0,0,COUNTIF($AD$2:AD157,"Win")/(COUNTIF($AD$2:AD157,"Win")+COUNTIF($AD$2:AD157,"Loss")))</f>
        <v/>
      </c>
      <c r="AF157" s="6">
        <f>SUM($Y$2:Y157)/SUM($X$2:X157)</f>
        <v/>
      </c>
      <c r="AG157" s="5">
        <f>SUM($Y$2:Y157)</f>
        <v/>
      </c>
      <c r="AH157" s="7">
        <f>10000.0+SUM($AA$2:AA157)</f>
        <v/>
      </c>
      <c r="AI157" s="2" t="n">
        <v>2026</v>
      </c>
      <c r="AJ157" s="2" t="inlineStr">
        <is>
          <t>2026-04</t>
        </is>
      </c>
      <c r="AK157" s="2" t="inlineStr">
        <is>
          <t>+100 to +120</t>
        </is>
      </c>
      <c r="AL157" s="2" t="inlineStr">
        <is>
          <t>2026 Frozen Test</t>
        </is>
      </c>
      <c r="AM157" s="6" t="n">
        <v>0.3130723644742016</v>
      </c>
    </row>
    <row r="158">
      <c r="A158" s="2" t="inlineStr">
        <is>
          <t>KPROP-00559</t>
        </is>
      </c>
      <c r="B158" s="3" t="n">
        <v>46123.7990625</v>
      </c>
      <c r="C158" s="3" t="n">
        <v>46123</v>
      </c>
      <c r="D158" s="2" t="inlineStr">
        <is>
          <t>Kyle Harrison</t>
        </is>
      </c>
      <c r="E158" s="2" t="n">
        <v>158</v>
      </c>
      <c r="F158" s="2" t="n">
        <v>120</v>
      </c>
      <c r="G158" s="2" t="inlineStr">
        <is>
          <t>Home</t>
        </is>
      </c>
      <c r="H158" s="2" t="inlineStr">
        <is>
          <t>betrivers</t>
        </is>
      </c>
      <c r="I158" s="4" t="n"/>
      <c r="J158" s="4" t="n"/>
      <c r="K158" s="4" t="n">
        <v>-182</v>
      </c>
      <c r="L158" s="4" t="n">
        <v>-182</v>
      </c>
      <c r="M158" s="5" t="n">
        <v>6.5</v>
      </c>
      <c r="N158" s="5" t="n">
        <v>4.946699866170924</v>
      </c>
      <c r="O158" s="5" t="n">
        <v>6.5</v>
      </c>
      <c r="P158" s="5" t="n">
        <v>1.553300133829076</v>
      </c>
      <c r="Q158" s="6" t="n">
        <v>0.1929760255160529</v>
      </c>
      <c r="R158" s="6" t="n">
        <v>0.7699348817160341</v>
      </c>
      <c r="S158" s="6" t="n">
        <v>0.6026490066225165</v>
      </c>
      <c r="T158" s="2" t="inlineStr">
        <is>
          <t>Under</t>
        </is>
      </c>
      <c r="U158" s="4" t="n">
        <v>-182</v>
      </c>
      <c r="V158" s="2" t="n">
        <v>1.549450549450549</v>
      </c>
      <c r="W158" s="4" t="n">
        <v>-182</v>
      </c>
      <c r="X158" s="2" t="n">
        <v>1</v>
      </c>
      <c r="Y158" s="5" t="n">
        <v>0.5494505494505495</v>
      </c>
      <c r="Z158" s="7" t="n">
        <v>100</v>
      </c>
      <c r="AA158" s="7">
        <f>Y158*Z158</f>
        <v/>
      </c>
      <c r="AB158" s="6">
        <f>IF(Z158=0,0,AA158/Z158)</f>
        <v/>
      </c>
      <c r="AC158" s="6" t="n"/>
      <c r="AD158" s="2" t="inlineStr">
        <is>
          <t>Win</t>
        </is>
      </c>
      <c r="AE158" s="6">
        <f>IF((COUNTIF($AD$2:AD158,"Win")+COUNTIF($AD$2:AD158,"Loss"))=0,0,COUNTIF($AD$2:AD158,"Win")/(COUNTIF($AD$2:AD158,"Win")+COUNTIF($AD$2:AD158,"Loss")))</f>
        <v/>
      </c>
      <c r="AF158" s="6">
        <f>SUM($Y$2:Y158)/SUM($X$2:X158)</f>
        <v/>
      </c>
      <c r="AG158" s="5">
        <f>SUM($Y$2:Y158)</f>
        <v/>
      </c>
      <c r="AH158" s="7">
        <f>10000.0+SUM($AA$2:AA158)</f>
        <v/>
      </c>
      <c r="AI158" s="2" t="n">
        <v>2026</v>
      </c>
      <c r="AJ158" s="2" t="inlineStr">
        <is>
          <t>2026-04</t>
        </is>
      </c>
      <c r="AK158" s="2" t="inlineStr">
        <is>
          <t>&lt;= -150</t>
        </is>
      </c>
      <c r="AL158" s="2" t="inlineStr">
        <is>
          <t>2026 Frozen Test</t>
        </is>
      </c>
      <c r="AM158" s="6" t="n">
        <v>0.3512163664392162</v>
      </c>
    </row>
    <row r="159">
      <c r="A159" s="2" t="inlineStr">
        <is>
          <t>KPROP-00560</t>
        </is>
      </c>
      <c r="B159" s="3" t="n">
        <v>46123.75738425926</v>
      </c>
      <c r="C159" s="3" t="n">
        <v>46123</v>
      </c>
      <c r="D159" s="2" t="inlineStr">
        <is>
          <t>Nick Martinez</t>
        </is>
      </c>
      <c r="E159" s="2" t="n">
        <v>139</v>
      </c>
      <c r="F159" s="2" t="n">
        <v>147</v>
      </c>
      <c r="G159" s="2" t="inlineStr">
        <is>
          <t>Home</t>
        </is>
      </c>
      <c r="H159" s="2" t="inlineStr">
        <is>
          <t>betonlineag</t>
        </is>
      </c>
      <c r="I159" s="4" t="n"/>
      <c r="J159" s="4" t="n"/>
      <c r="K159" s="4" t="n">
        <v>100</v>
      </c>
      <c r="L159" s="4" t="n">
        <v>100</v>
      </c>
      <c r="M159" s="5" t="n">
        <v>4.5</v>
      </c>
      <c r="N159" s="5" t="n">
        <v>4.311675973808254</v>
      </c>
      <c r="O159" s="5" t="n">
        <v>4.5</v>
      </c>
      <c r="P159" s="5" t="n">
        <v>0.1883240261917463</v>
      </c>
      <c r="Q159" s="6" t="n">
        <v>0.1363645127729134</v>
      </c>
      <c r="R159" s="6" t="n">
        <v>0.5681822563864567</v>
      </c>
      <c r="S159" s="6" t="n">
        <v>0.4883720930232558</v>
      </c>
      <c r="T159" s="2" t="inlineStr">
        <is>
          <t>Under</t>
        </is>
      </c>
      <c r="U159" s="4" t="n">
        <v>100</v>
      </c>
      <c r="V159" s="2" t="n">
        <v>2</v>
      </c>
      <c r="W159" s="4" t="n">
        <v>100</v>
      </c>
      <c r="X159" s="2" t="n">
        <v>1</v>
      </c>
      <c r="Y159" s="5" t="n">
        <v>1</v>
      </c>
      <c r="Z159" s="7" t="n">
        <v>100</v>
      </c>
      <c r="AA159" s="7">
        <f>Y159*Z159</f>
        <v/>
      </c>
      <c r="AB159" s="6">
        <f>IF(Z159=0,0,AA159/Z159)</f>
        <v/>
      </c>
      <c r="AC159" s="6" t="n"/>
      <c r="AD159" s="2" t="inlineStr">
        <is>
          <t>Win</t>
        </is>
      </c>
      <c r="AE159" s="6">
        <f>IF((COUNTIF($AD$2:AD159,"Win")+COUNTIF($AD$2:AD159,"Loss"))=0,0,COUNTIF($AD$2:AD159,"Win")/(COUNTIF($AD$2:AD159,"Win")+COUNTIF($AD$2:AD159,"Loss")))</f>
        <v/>
      </c>
      <c r="AF159" s="6">
        <f>SUM($Y$2:Y159)/SUM($X$2:X159)</f>
        <v/>
      </c>
      <c r="AG159" s="5">
        <f>SUM($Y$2:Y159)</f>
        <v/>
      </c>
      <c r="AH159" s="7">
        <f>10000.0+SUM($AA$2:AA159)</f>
        <v/>
      </c>
      <c r="AI159" s="2" t="n">
        <v>2026</v>
      </c>
      <c r="AJ159" s="2" t="inlineStr">
        <is>
          <t>2026-04</t>
        </is>
      </c>
      <c r="AK159" s="2" t="inlineStr">
        <is>
          <t>+100 to +120</t>
        </is>
      </c>
      <c r="AL159" s="2" t="inlineStr">
        <is>
          <t>2026 Frozen Test</t>
        </is>
      </c>
      <c r="AM159" s="6" t="n">
        <v>0.1363645127729134</v>
      </c>
    </row>
    <row r="160">
      <c r="A160" s="2" t="inlineStr">
        <is>
          <t>KPROP-00561</t>
        </is>
      </c>
      <c r="B160" s="3" t="n">
        <v>46123.80252314815</v>
      </c>
      <c r="C160" s="3" t="n">
        <v>46123</v>
      </c>
      <c r="D160" s="2" t="inlineStr">
        <is>
          <t>Ranger Suarez</t>
        </is>
      </c>
      <c r="E160" s="2" t="n">
        <v>111</v>
      </c>
      <c r="F160" s="2" t="n">
        <v>138</v>
      </c>
      <c r="G160" s="2" t="inlineStr">
        <is>
          <t>Away</t>
        </is>
      </c>
      <c r="H160" s="2" t="inlineStr">
        <is>
          <t>bovada</t>
        </is>
      </c>
      <c r="I160" s="4" t="n"/>
      <c r="J160" s="4" t="n"/>
      <c r="K160" s="4" t="n">
        <v>110</v>
      </c>
      <c r="L160" s="4" t="n">
        <v>110</v>
      </c>
      <c r="M160" s="5" t="n">
        <v>4.5</v>
      </c>
      <c r="N160" s="5" t="n">
        <v>4.105536204754475</v>
      </c>
      <c r="O160" s="5" t="n">
        <v>4.5</v>
      </c>
      <c r="P160" s="5" t="n">
        <v>0.3944637952455254</v>
      </c>
      <c r="Q160" s="6" t="n">
        <v>0.2772790170704691</v>
      </c>
      <c r="R160" s="6" t="n">
        <v>0.60822810336689</v>
      </c>
      <c r="S160" s="6" t="n">
        <v>0.4709748083242059</v>
      </c>
      <c r="T160" s="2" t="inlineStr">
        <is>
          <t>Under</t>
        </is>
      </c>
      <c r="U160" s="4" t="n">
        <v>110</v>
      </c>
      <c r="V160" s="2" t="n">
        <v>2.1</v>
      </c>
      <c r="W160" s="4" t="n">
        <v>110</v>
      </c>
      <c r="X160" s="2" t="n">
        <v>1</v>
      </c>
      <c r="Y160" s="5" t="n">
        <v>-1</v>
      </c>
      <c r="Z160" s="7" t="n">
        <v>100</v>
      </c>
      <c r="AA160" s="7">
        <f>Y160*Z160</f>
        <v/>
      </c>
      <c r="AB160" s="6">
        <f>IF(Z160=0,0,AA160/Z160)</f>
        <v/>
      </c>
      <c r="AC160" s="6" t="n"/>
      <c r="AD160" s="2" t="inlineStr">
        <is>
          <t>Loss</t>
        </is>
      </c>
      <c r="AE160" s="6">
        <f>IF((COUNTIF($AD$2:AD160,"Win")+COUNTIF($AD$2:AD160,"Loss"))=0,0,COUNTIF($AD$2:AD160,"Win")/(COUNTIF($AD$2:AD160,"Win")+COUNTIF($AD$2:AD160,"Loss")))</f>
        <v/>
      </c>
      <c r="AF160" s="6">
        <f>SUM($Y$2:Y160)/SUM($X$2:X160)</f>
        <v/>
      </c>
      <c r="AG160" s="5">
        <f>SUM($Y$2:Y160)</f>
        <v/>
      </c>
      <c r="AH160" s="7">
        <f>10000.0+SUM($AA$2:AA160)</f>
        <v/>
      </c>
      <c r="AI160" s="2" t="n">
        <v>2026</v>
      </c>
      <c r="AJ160" s="2" t="inlineStr">
        <is>
          <t>2026-04</t>
        </is>
      </c>
      <c r="AK160" s="2" t="inlineStr">
        <is>
          <t>+100 to +120</t>
        </is>
      </c>
      <c r="AL160" s="2" t="inlineStr">
        <is>
          <t>2026 Frozen Test</t>
        </is>
      </c>
      <c r="AM160" s="6" t="n">
        <v>0.2520718337004264</v>
      </c>
    </row>
    <row r="161">
      <c r="A161" s="2" t="inlineStr">
        <is>
          <t>KPROP-00562</t>
        </is>
      </c>
      <c r="B161" s="3" t="n">
        <v>46124.59070601852</v>
      </c>
      <c r="C161" s="3" t="n">
        <v>46124</v>
      </c>
      <c r="D161" s="2" t="inlineStr">
        <is>
          <t>Brandon Woodruff</t>
        </is>
      </c>
      <c r="E161" s="2" t="n">
        <v>158</v>
      </c>
      <c r="F161" s="2" t="n">
        <v>120</v>
      </c>
      <c r="G161" s="2" t="inlineStr">
        <is>
          <t>Home</t>
        </is>
      </c>
      <c r="H161" s="2" t="inlineStr">
        <is>
          <t>bovada</t>
        </is>
      </c>
      <c r="I161" s="4" t="n"/>
      <c r="J161" s="4" t="n"/>
      <c r="K161" s="4" t="n">
        <v>125</v>
      </c>
      <c r="L161" s="4" t="n">
        <v>125</v>
      </c>
      <c r="M161" s="5" t="n">
        <v>5.5</v>
      </c>
      <c r="N161" s="5" t="n">
        <v>4.95368326422097</v>
      </c>
      <c r="O161" s="5" t="n">
        <v>5.5</v>
      </c>
      <c r="P161" s="5" t="n">
        <v>0.5463167357790297</v>
      </c>
      <c r="Q161" s="6" t="n">
        <v>0.4041960803372027</v>
      </c>
      <c r="R161" s="6" t="n">
        <v>0.6240871468165345</v>
      </c>
      <c r="S161" s="6" t="n">
        <v>0.4199432509120389</v>
      </c>
      <c r="T161" s="2" t="inlineStr">
        <is>
          <t>Under</t>
        </is>
      </c>
      <c r="U161" s="4" t="n">
        <v>125</v>
      </c>
      <c r="V161" s="2" t="n">
        <v>2.25</v>
      </c>
      <c r="W161" s="4" t="n">
        <v>125</v>
      </c>
      <c r="X161" s="2" t="n">
        <v>1</v>
      </c>
      <c r="Y161" s="5" t="n">
        <v>-1</v>
      </c>
      <c r="Z161" s="7" t="n">
        <v>100</v>
      </c>
      <c r="AA161" s="7">
        <f>Y161*Z161</f>
        <v/>
      </c>
      <c r="AB161" s="6">
        <f>IF(Z161=0,0,AA161/Z161)</f>
        <v/>
      </c>
      <c r="AC161" s="6" t="n"/>
      <c r="AD161" s="2" t="inlineStr">
        <is>
          <t>Loss</t>
        </is>
      </c>
      <c r="AE161" s="6">
        <f>IF((COUNTIF($AD$2:AD161,"Win")+COUNTIF($AD$2:AD161,"Loss"))=0,0,COUNTIF($AD$2:AD161,"Win")/(COUNTIF($AD$2:AD161,"Win")+COUNTIF($AD$2:AD161,"Loss")))</f>
        <v/>
      </c>
      <c r="AF161" s="6">
        <f>SUM($Y$2:Y161)/SUM($X$2:X161)</f>
        <v/>
      </c>
      <c r="AG161" s="5">
        <f>SUM($Y$2:Y161)</f>
        <v/>
      </c>
      <c r="AH161" s="7">
        <f>10000.0+SUM($AA$2:AA161)</f>
        <v/>
      </c>
      <c r="AI161" s="2" t="n">
        <v>2026</v>
      </c>
      <c r="AJ161" s="2" t="inlineStr">
        <is>
          <t>2026-04</t>
        </is>
      </c>
      <c r="AK161" s="2" t="inlineStr">
        <is>
          <t>+121 to +150</t>
        </is>
      </c>
      <c r="AL161" s="2" t="inlineStr">
        <is>
          <t>2026 Frozen Test</t>
        </is>
      </c>
      <c r="AM161" s="6" t="n">
        <v>0.3233568642697621</v>
      </c>
    </row>
    <row r="162">
      <c r="A162" s="2" t="inlineStr">
        <is>
          <t>KPROP-00563</t>
        </is>
      </c>
      <c r="B162" s="3" t="n">
        <v>46124.59070601852</v>
      </c>
      <c r="C162" s="3" t="n">
        <v>46124</v>
      </c>
      <c r="D162" s="2" t="inlineStr">
        <is>
          <t>Brandon Woodruff</t>
        </is>
      </c>
      <c r="E162" s="2" t="n">
        <v>158</v>
      </c>
      <c r="F162" s="2" t="n">
        <v>120</v>
      </c>
      <c r="G162" s="2" t="inlineStr">
        <is>
          <t>Home</t>
        </is>
      </c>
      <c r="H162" s="2" t="inlineStr">
        <is>
          <t>draftkings</t>
        </is>
      </c>
      <c r="I162" s="4" t="n"/>
      <c r="J162" s="4" t="n"/>
      <c r="K162" s="4" t="n">
        <v>-149</v>
      </c>
      <c r="L162" s="4" t="n">
        <v>-149</v>
      </c>
      <c r="M162" s="5" t="n">
        <v>6.5</v>
      </c>
      <c r="N162" s="5" t="n">
        <v>4.95368326422097</v>
      </c>
      <c r="O162" s="5" t="n">
        <v>6.5</v>
      </c>
      <c r="P162" s="5" t="n">
        <v>1.54631673577903</v>
      </c>
      <c r="Q162" s="6" t="n">
        <v>0.2849806677956841</v>
      </c>
      <c r="R162" s="6" t="n">
        <v>0.7689241747050479</v>
      </c>
      <c r="S162" s="6" t="n">
        <v>0.5812874150803794</v>
      </c>
      <c r="T162" s="2" t="inlineStr">
        <is>
          <t>Under</t>
        </is>
      </c>
      <c r="U162" s="4" t="n">
        <v>-149</v>
      </c>
      <c r="V162" s="2" t="n">
        <v>1.671140939597315</v>
      </c>
      <c r="W162" s="4" t="n">
        <v>-149</v>
      </c>
      <c r="X162" s="2" t="n">
        <v>1</v>
      </c>
      <c r="Y162" s="5" t="n">
        <v>0.6711409395973154</v>
      </c>
      <c r="Z162" s="7" t="n">
        <v>100</v>
      </c>
      <c r="AA162" s="7">
        <f>Y162*Z162</f>
        <v/>
      </c>
      <c r="AB162" s="6">
        <f>IF(Z162=0,0,AA162/Z162)</f>
        <v/>
      </c>
      <c r="AC162" s="6" t="n"/>
      <c r="AD162" s="2" t="inlineStr">
        <is>
          <t>Win</t>
        </is>
      </c>
      <c r="AE162" s="6">
        <f>IF((COUNTIF($AD$2:AD162,"Win")+COUNTIF($AD$2:AD162,"Loss"))=0,0,COUNTIF($AD$2:AD162,"Win")/(COUNTIF($AD$2:AD162,"Win")+COUNTIF($AD$2:AD162,"Loss")))</f>
        <v/>
      </c>
      <c r="AF162" s="6">
        <f>SUM($Y$2:Y162)/SUM($X$2:X162)</f>
        <v/>
      </c>
      <c r="AG162" s="5">
        <f>SUM($Y$2:Y162)</f>
        <v/>
      </c>
      <c r="AH162" s="7">
        <f>10000.0+SUM($AA$2:AA162)</f>
        <v/>
      </c>
      <c r="AI162" s="2" t="n">
        <v>2026</v>
      </c>
      <c r="AJ162" s="2" t="inlineStr">
        <is>
          <t>2026-04</t>
        </is>
      </c>
      <c r="AK162" s="2" t="inlineStr">
        <is>
          <t>-149 to -120</t>
        </is>
      </c>
      <c r="AL162" s="2" t="inlineStr">
        <is>
          <t>2026 Frozen Test</t>
        </is>
      </c>
      <c r="AM162" s="6" t="n">
        <v>0.4246211950155693</v>
      </c>
    </row>
    <row r="163">
      <c r="A163" s="2" t="inlineStr">
        <is>
          <t>KPROP-00564</t>
        </is>
      </c>
      <c r="B163" s="3" t="n">
        <v>46124.56640046297</v>
      </c>
      <c r="C163" s="3" t="n">
        <v>46124</v>
      </c>
      <c r="D163" s="2" t="inlineStr">
        <is>
          <t>Cade Povich</t>
        </is>
      </c>
      <c r="E163" s="2" t="n">
        <v>110</v>
      </c>
      <c r="F163" s="2" t="n">
        <v>137</v>
      </c>
      <c r="G163" s="2" t="inlineStr">
        <is>
          <t>Home</t>
        </is>
      </c>
      <c r="H163" s="2" t="inlineStr">
        <is>
          <t>draftkings</t>
        </is>
      </c>
      <c r="I163" s="4" t="n"/>
      <c r="J163" s="4" t="n"/>
      <c r="K163" s="4" t="n">
        <v>-130</v>
      </c>
      <c r="L163" s="4" t="n">
        <v>-130</v>
      </c>
      <c r="M163" s="5" t="n">
        <v>5.5</v>
      </c>
      <c r="N163" s="5" t="n">
        <v>4.478503272483075</v>
      </c>
      <c r="O163" s="5" t="n">
        <v>5.5</v>
      </c>
      <c r="P163" s="5" t="n">
        <v>1.021496727516925</v>
      </c>
      <c r="Q163" s="6" t="n">
        <v>0.250135279244012</v>
      </c>
      <c r="R163" s="6" t="n">
        <v>0.7065982013118329</v>
      </c>
      <c r="S163" s="6" t="n">
        <v>0.5427435387673957</v>
      </c>
      <c r="T163" s="2" t="inlineStr">
        <is>
          <t>Under</t>
        </is>
      </c>
      <c r="U163" s="4" t="n">
        <v>-130</v>
      </c>
      <c r="V163" s="2" t="n">
        <v>1.769230769230769</v>
      </c>
      <c r="W163" s="4" t="n">
        <v>-130</v>
      </c>
      <c r="X163" s="2" t="n">
        <v>1</v>
      </c>
      <c r="Y163" s="5" t="n">
        <v>0.7692307692307692</v>
      </c>
      <c r="Z163" s="7" t="n">
        <v>100</v>
      </c>
      <c r="AA163" s="7">
        <f>Y163*Z163</f>
        <v/>
      </c>
      <c r="AB163" s="6">
        <f>IF(Z163=0,0,AA163/Z163)</f>
        <v/>
      </c>
      <c r="AC163" s="6" t="n"/>
      <c r="AD163" s="2" t="inlineStr">
        <is>
          <t>Win</t>
        </is>
      </c>
      <c r="AE163" s="6">
        <f>IF((COUNTIF($AD$2:AD163,"Win")+COUNTIF($AD$2:AD163,"Loss"))=0,0,COUNTIF($AD$2:AD163,"Win")/(COUNTIF($AD$2:AD163,"Win")+COUNTIF($AD$2:AD163,"Loss")))</f>
        <v/>
      </c>
      <c r="AF163" s="6">
        <f>SUM($Y$2:Y163)/SUM($X$2:X163)</f>
        <v/>
      </c>
      <c r="AG163" s="5">
        <f>SUM($Y$2:Y163)</f>
        <v/>
      </c>
      <c r="AH163" s="7">
        <f>10000.0+SUM($AA$2:AA163)</f>
        <v/>
      </c>
      <c r="AI163" s="2" t="n">
        <v>2026</v>
      </c>
      <c r="AJ163" s="2" t="inlineStr">
        <is>
          <t>2026-04</t>
        </is>
      </c>
      <c r="AK163" s="2" t="inlineStr">
        <is>
          <t>-149 to -120</t>
        </is>
      </c>
      <c r="AL163" s="2" t="inlineStr">
        <is>
          <t>2026 Frozen Test</t>
        </is>
      </c>
      <c r="AM163" s="6" t="n">
        <v>0.3251758630172157</v>
      </c>
    </row>
    <row r="164">
      <c r="A164" s="2" t="inlineStr">
        <is>
          <t>KPROP-00565</t>
        </is>
      </c>
      <c r="B164" s="3" t="n">
        <v>46124.80598379629</v>
      </c>
      <c r="C164" s="3" t="n">
        <v>46124</v>
      </c>
      <c r="D164" s="2" t="inlineStr">
        <is>
          <t>Chris Sale</t>
        </is>
      </c>
      <c r="E164" s="2" t="n">
        <v>144</v>
      </c>
      <c r="F164" s="2" t="n">
        <v>114</v>
      </c>
      <c r="G164" s="2" t="inlineStr">
        <is>
          <t>Home</t>
        </is>
      </c>
      <c r="H164" s="2" t="inlineStr">
        <is>
          <t>betonlineag</t>
        </is>
      </c>
      <c r="I164" s="4" t="n"/>
      <c r="J164" s="4" t="n"/>
      <c r="K164" s="4" t="n">
        <v>132</v>
      </c>
      <c r="L164" s="4" t="n">
        <v>132</v>
      </c>
      <c r="M164" s="5" t="n">
        <v>6.5</v>
      </c>
      <c r="N164" s="5" t="n">
        <v>6.003093483170852</v>
      </c>
      <c r="O164" s="5" t="n">
        <v>6.5</v>
      </c>
      <c r="P164" s="5" t="n">
        <v>0.4969065168291475</v>
      </c>
      <c r="Q164" s="6" t="n">
        <v>0.4054696823414263</v>
      </c>
      <c r="R164" s="6" t="n">
        <v>0.6058058975609595</v>
      </c>
      <c r="S164" s="6" t="n">
        <v>0.4220869083863825</v>
      </c>
      <c r="T164" s="2" t="inlineStr">
        <is>
          <t>Under</t>
        </is>
      </c>
      <c r="U164" s="4" t="n">
        <v>132</v>
      </c>
      <c r="V164" s="2" t="n">
        <v>2.32</v>
      </c>
      <c r="W164" s="4" t="n">
        <v>132</v>
      </c>
      <c r="X164" s="2" t="n">
        <v>1</v>
      </c>
      <c r="Y164" s="5" t="n">
        <v>1.32</v>
      </c>
      <c r="Z164" s="7" t="n">
        <v>100</v>
      </c>
      <c r="AA164" s="7">
        <f>Y164*Z164</f>
        <v/>
      </c>
      <c r="AB164" s="6">
        <f>IF(Z164=0,0,AA164/Z164)</f>
        <v/>
      </c>
      <c r="AC164" s="6" t="n"/>
      <c r="AD164" s="2" t="inlineStr">
        <is>
          <t>Win</t>
        </is>
      </c>
      <c r="AE164" s="6">
        <f>IF((COUNTIF($AD$2:AD164,"Win")+COUNTIF($AD$2:AD164,"Loss"))=0,0,COUNTIF($AD$2:AD164,"Win")/(COUNTIF($AD$2:AD164,"Win")+COUNTIF($AD$2:AD164,"Loss")))</f>
        <v/>
      </c>
      <c r="AF164" s="6">
        <f>SUM($Y$2:Y164)/SUM($X$2:X164)</f>
        <v/>
      </c>
      <c r="AG164" s="5">
        <f>SUM($Y$2:Y164)</f>
        <v/>
      </c>
      <c r="AH164" s="7">
        <f>10000.0+SUM($AA$2:AA164)</f>
        <v/>
      </c>
      <c r="AI164" s="2" t="n">
        <v>2026</v>
      </c>
      <c r="AJ164" s="2" t="inlineStr">
        <is>
          <t>2026-04</t>
        </is>
      </c>
      <c r="AK164" s="2" t="inlineStr">
        <is>
          <t>+121 to +150</t>
        </is>
      </c>
      <c r="AL164" s="2" t="inlineStr">
        <is>
          <t>2026 Frozen Test</t>
        </is>
      </c>
      <c r="AM164" s="6" t="n">
        <v>0.3071740017738077</v>
      </c>
    </row>
    <row r="165">
      <c r="A165" s="2" t="inlineStr">
        <is>
          <t>KPROP-00566</t>
        </is>
      </c>
      <c r="B165" s="3" t="n">
        <v>46124.80598379629</v>
      </c>
      <c r="C165" s="3" t="n">
        <v>46124</v>
      </c>
      <c r="D165" s="2" t="inlineStr">
        <is>
          <t>Chris Sale</t>
        </is>
      </c>
      <c r="E165" s="2" t="n">
        <v>144</v>
      </c>
      <c r="F165" s="2" t="n">
        <v>114</v>
      </c>
      <c r="G165" s="2" t="inlineStr">
        <is>
          <t>Home</t>
        </is>
      </c>
      <c r="H165" s="2" t="inlineStr">
        <is>
          <t>betrivers</t>
        </is>
      </c>
      <c r="I165" s="4" t="n"/>
      <c r="J165" s="4" t="n"/>
      <c r="K165" s="4" t="n">
        <v>-159</v>
      </c>
      <c r="L165" s="4" t="n">
        <v>-159</v>
      </c>
      <c r="M165" s="5" t="n">
        <v>7.5</v>
      </c>
      <c r="N165" s="5" t="n">
        <v>6.003093483170852</v>
      </c>
      <c r="O165" s="5" t="n">
        <v>7.5</v>
      </c>
      <c r="P165" s="5" t="n">
        <v>1.496906516829148</v>
      </c>
      <c r="Q165" s="6" t="n">
        <v>0.2111976168805855</v>
      </c>
      <c r="R165" s="6" t="n">
        <v>0.743553749359124</v>
      </c>
      <c r="S165" s="6" t="n">
        <v>0.5745729303547964</v>
      </c>
      <c r="T165" s="2" t="inlineStr">
        <is>
          <t>Under</t>
        </is>
      </c>
      <c r="U165" s="4" t="n">
        <v>-159</v>
      </c>
      <c r="V165" s="2" t="n">
        <v>1.628930817610063</v>
      </c>
      <c r="W165" s="4" t="n">
        <v>-159</v>
      </c>
      <c r="X165" s="2" t="n">
        <v>1</v>
      </c>
      <c r="Y165" s="5" t="n">
        <v>0.6289308176100628</v>
      </c>
      <c r="Z165" s="7" t="n">
        <v>100</v>
      </c>
      <c r="AA165" s="7">
        <f>Y165*Z165</f>
        <v/>
      </c>
      <c r="AB165" s="6">
        <f>IF(Z165=0,0,AA165/Z165)</f>
        <v/>
      </c>
      <c r="AC165" s="6" t="n"/>
      <c r="AD165" s="2" t="inlineStr">
        <is>
          <t>Win</t>
        </is>
      </c>
      <c r="AE165" s="6">
        <f>IF((COUNTIF($AD$2:AD165,"Win")+COUNTIF($AD$2:AD165,"Loss"))=0,0,COUNTIF($AD$2:AD165,"Win")/(COUNTIF($AD$2:AD165,"Win")+COUNTIF($AD$2:AD165,"Loss")))</f>
        <v/>
      </c>
      <c r="AF165" s="6">
        <f>SUM($Y$2:Y165)/SUM($X$2:X165)</f>
        <v/>
      </c>
      <c r="AG165" s="5">
        <f>SUM($Y$2:Y165)</f>
        <v/>
      </c>
      <c r="AH165" s="7">
        <f>10000.0+SUM($AA$2:AA165)</f>
        <v/>
      </c>
      <c r="AI165" s="2" t="n">
        <v>2026</v>
      </c>
      <c r="AJ165" s="2" t="inlineStr">
        <is>
          <t>2026-04</t>
        </is>
      </c>
      <c r="AK165" s="2" t="inlineStr">
        <is>
          <t>&lt;= -150</t>
        </is>
      </c>
      <c r="AL165" s="2" t="inlineStr">
        <is>
          <t>2026 Frozen Test</t>
        </is>
      </c>
      <c r="AM165" s="6" t="n">
        <v>0.3358042108401311</v>
      </c>
    </row>
    <row r="166">
      <c r="A166" s="2" t="inlineStr">
        <is>
          <t>KPROP-00567</t>
        </is>
      </c>
      <c r="B166" s="3" t="n">
        <v>46124.56987268518</v>
      </c>
      <c r="C166" s="3" t="n">
        <v>46124</v>
      </c>
      <c r="D166" s="2" t="inlineStr">
        <is>
          <t>Freddy Peralta</t>
        </is>
      </c>
      <c r="E166" s="2" t="n">
        <v>121</v>
      </c>
      <c r="F166" s="2" t="n">
        <v>133</v>
      </c>
      <c r="G166" s="2" t="inlineStr">
        <is>
          <t>Home</t>
        </is>
      </c>
      <c r="H166" s="2" t="inlineStr">
        <is>
          <t>betmgm</t>
        </is>
      </c>
      <c r="I166" s="4" t="n"/>
      <c r="J166" s="4" t="n"/>
      <c r="K166" s="4" t="n">
        <v>110</v>
      </c>
      <c r="L166" s="4" t="n">
        <v>110</v>
      </c>
      <c r="M166" s="5" t="n">
        <v>6.5</v>
      </c>
      <c r="N166" s="5" t="n">
        <v>6.197819942679645</v>
      </c>
      <c r="O166" s="5" t="n">
        <v>6.5</v>
      </c>
      <c r="P166" s="5" t="n">
        <v>0.3021800573203555</v>
      </c>
      <c r="Q166" s="6" t="n">
        <v>0.2065807678689796</v>
      </c>
      <c r="R166" s="6" t="n">
        <v>0.5745622704137998</v>
      </c>
      <c r="S166" s="6" t="n">
        <v>0.4532304725168756</v>
      </c>
      <c r="T166" s="2" t="inlineStr">
        <is>
          <t>Under</t>
        </is>
      </c>
      <c r="U166" s="4" t="n">
        <v>110</v>
      </c>
      <c r="V166" s="2" t="n">
        <v>2.1</v>
      </c>
      <c r="W166" s="4" t="n">
        <v>110</v>
      </c>
      <c r="X166" s="2" t="n">
        <v>1</v>
      </c>
      <c r="Y166" s="5" t="n">
        <v>1.1</v>
      </c>
      <c r="Z166" s="7" t="n">
        <v>100</v>
      </c>
      <c r="AA166" s="7">
        <f>Y166*Z166</f>
        <v/>
      </c>
      <c r="AB166" s="6">
        <f>IF(Z166=0,0,AA166/Z166)</f>
        <v/>
      </c>
      <c r="AC166" s="6" t="n"/>
      <c r="AD166" s="2" t="inlineStr">
        <is>
          <t>Win</t>
        </is>
      </c>
      <c r="AE166" s="6">
        <f>IF((COUNTIF($AD$2:AD166,"Win")+COUNTIF($AD$2:AD166,"Loss"))=0,0,COUNTIF($AD$2:AD166,"Win")/(COUNTIF($AD$2:AD166,"Win")+COUNTIF($AD$2:AD166,"Loss")))</f>
        <v/>
      </c>
      <c r="AF166" s="6">
        <f>SUM($Y$2:Y166)/SUM($X$2:X166)</f>
        <v/>
      </c>
      <c r="AG166" s="5">
        <f>SUM($Y$2:Y166)</f>
        <v/>
      </c>
      <c r="AH166" s="7">
        <f>10000.0+SUM($AA$2:AA166)</f>
        <v/>
      </c>
      <c r="AI166" s="2" t="n">
        <v>2026</v>
      </c>
      <c r="AJ166" s="2" t="inlineStr">
        <is>
          <t>2026-04</t>
        </is>
      </c>
      <c r="AK166" s="2" t="inlineStr">
        <is>
          <t>+100 to +120</t>
        </is>
      </c>
      <c r="AL166" s="2" t="inlineStr">
        <is>
          <t>2026 Frozen Test</t>
        </is>
      </c>
      <c r="AM166" s="6" t="n">
        <v>0.1878006980627087</v>
      </c>
    </row>
    <row r="167">
      <c r="A167" s="2" t="inlineStr">
        <is>
          <t>KPROP-00568</t>
        </is>
      </c>
      <c r="B167" s="3" t="n">
        <v>46124.56987268518</v>
      </c>
      <c r="C167" s="3" t="n">
        <v>46124</v>
      </c>
      <c r="D167" s="2" t="inlineStr">
        <is>
          <t>Freddy Peralta</t>
        </is>
      </c>
      <c r="E167" s="2" t="n">
        <v>121</v>
      </c>
      <c r="F167" s="2" t="n">
        <v>133</v>
      </c>
      <c r="G167" s="2" t="inlineStr">
        <is>
          <t>Home</t>
        </is>
      </c>
      <c r="H167" s="2" t="inlineStr">
        <is>
          <t>betrivers</t>
        </is>
      </c>
      <c r="I167" s="4" t="n"/>
      <c r="J167" s="4" t="n"/>
      <c r="K167" s="4" t="n">
        <v>-186</v>
      </c>
      <c r="L167" s="4" t="n">
        <v>-186</v>
      </c>
      <c r="M167" s="5" t="n">
        <v>7.5</v>
      </c>
      <c r="N167" s="5" t="n">
        <v>6.197819942679645</v>
      </c>
      <c r="O167" s="5" t="n">
        <v>7.5</v>
      </c>
      <c r="P167" s="5" t="n">
        <v>1.302180057320355</v>
      </c>
      <c r="Q167" s="6" t="n">
        <v>0.1014465105256143</v>
      </c>
      <c r="R167" s="6" t="n">
        <v>0.7163253529991758</v>
      </c>
      <c r="S167" s="6" t="n">
        <v>0.6075094691771422</v>
      </c>
      <c r="T167" s="2" t="inlineStr">
        <is>
          <t>Under</t>
        </is>
      </c>
      <c r="U167" s="4" t="n">
        <v>-186</v>
      </c>
      <c r="V167" s="2" t="n">
        <v>1.537634408602151</v>
      </c>
      <c r="W167" s="4" t="n">
        <v>-186</v>
      </c>
      <c r="X167" s="2" t="n">
        <v>1</v>
      </c>
      <c r="Y167" s="5" t="n">
        <v>0.5376344086021505</v>
      </c>
      <c r="Z167" s="7" t="n">
        <v>100</v>
      </c>
      <c r="AA167" s="7">
        <f>Y167*Z167</f>
        <v/>
      </c>
      <c r="AB167" s="6">
        <f>IF(Z167=0,0,AA167/Z167)</f>
        <v/>
      </c>
      <c r="AC167" s="6" t="n"/>
      <c r="AD167" s="2" t="inlineStr">
        <is>
          <t>Win</t>
        </is>
      </c>
      <c r="AE167" s="6">
        <f>IF((COUNTIF($AD$2:AD167,"Win")+COUNTIF($AD$2:AD167,"Loss"))=0,0,COUNTIF($AD$2:AD167,"Win")/(COUNTIF($AD$2:AD167,"Win")+COUNTIF($AD$2:AD167,"Loss")))</f>
        <v/>
      </c>
      <c r="AF167" s="6">
        <f>SUM($Y$2:Y167)/SUM($X$2:X167)</f>
        <v/>
      </c>
      <c r="AG167" s="5">
        <f>SUM($Y$2:Y167)</f>
        <v/>
      </c>
      <c r="AH167" s="7">
        <f>10000.0+SUM($AA$2:AA167)</f>
        <v/>
      </c>
      <c r="AI167" s="2" t="n">
        <v>2026</v>
      </c>
      <c r="AJ167" s="2" t="inlineStr">
        <is>
          <t>2026-04</t>
        </is>
      </c>
      <c r="AK167" s="2" t="inlineStr">
        <is>
          <t>&lt;= -150</t>
        </is>
      </c>
      <c r="AL167" s="2" t="inlineStr">
        <is>
          <t>2026 Frozen Test</t>
        </is>
      </c>
      <c r="AM167" s="6" t="n">
        <v>0.1886905095776426</v>
      </c>
    </row>
    <row r="168">
      <c r="A168" s="2" t="inlineStr">
        <is>
          <t>KPROP-00569</t>
        </is>
      </c>
      <c r="B168" s="3" t="n">
        <v>46124.59765046297</v>
      </c>
      <c r="C168" s="3" t="n">
        <v>46124</v>
      </c>
      <c r="D168" s="2" t="inlineStr">
        <is>
          <t>Jameson Taillon</t>
        </is>
      </c>
      <c r="E168" s="2" t="n">
        <v>112</v>
      </c>
      <c r="F168" s="2" t="n">
        <v>134</v>
      </c>
      <c r="G168" s="2" t="inlineStr">
        <is>
          <t>Home</t>
        </is>
      </c>
      <c r="H168" s="2" t="inlineStr">
        <is>
          <t>betrivers</t>
        </is>
      </c>
      <c r="I168" s="4" t="n"/>
      <c r="J168" s="4" t="n"/>
      <c r="K168" s="4" t="n">
        <v>108</v>
      </c>
      <c r="L168" s="4" t="n">
        <v>108</v>
      </c>
      <c r="M168" s="5" t="n">
        <v>4.5</v>
      </c>
      <c r="N168" s="5" t="n">
        <v>4.423500892352125</v>
      </c>
      <c r="O168" s="5" t="n">
        <v>4.5</v>
      </c>
      <c r="P168" s="5" t="n">
        <v>0.07649910764787471</v>
      </c>
      <c r="Q168" s="6" t="n">
        <v>0.1371000906456411</v>
      </c>
      <c r="R168" s="6" t="n">
        <v>0.5466827358873274</v>
      </c>
      <c r="S168" s="6" t="n">
        <v>0.4723582925122463</v>
      </c>
      <c r="T168" s="2" t="inlineStr">
        <is>
          <t>Under</t>
        </is>
      </c>
      <c r="U168" s="4" t="n">
        <v>108</v>
      </c>
      <c r="V168" s="2" t="n">
        <v>2.08</v>
      </c>
      <c r="W168" s="4" t="n">
        <v>108</v>
      </c>
      <c r="X168" s="2" t="n">
        <v>1</v>
      </c>
      <c r="Y168" s="5" t="n">
        <v>-1</v>
      </c>
      <c r="Z168" s="7" t="n">
        <v>100</v>
      </c>
      <c r="AA168" s="7">
        <f>Y168*Z168</f>
        <v/>
      </c>
      <c r="AB168" s="6">
        <f>IF(Z168=0,0,AA168/Z168)</f>
        <v/>
      </c>
      <c r="AC168" s="6" t="n"/>
      <c r="AD168" s="2" t="inlineStr">
        <is>
          <t>Loss</t>
        </is>
      </c>
      <c r="AE168" s="6">
        <f>IF((COUNTIF($AD$2:AD168,"Win")+COUNTIF($AD$2:AD168,"Loss"))=0,0,COUNTIF($AD$2:AD168,"Win")/(COUNTIF($AD$2:AD168,"Win")+COUNTIF($AD$2:AD168,"Loss")))</f>
        <v/>
      </c>
      <c r="AF168" s="6">
        <f>SUM($Y$2:Y168)/SUM($X$2:X168)</f>
        <v/>
      </c>
      <c r="AG168" s="5">
        <f>SUM($Y$2:Y168)</f>
        <v/>
      </c>
      <c r="AH168" s="7">
        <f>10000.0+SUM($AA$2:AA168)</f>
        <v/>
      </c>
      <c r="AI168" s="2" t="n">
        <v>2026</v>
      </c>
      <c r="AJ168" s="2" t="inlineStr">
        <is>
          <t>2026-04</t>
        </is>
      </c>
      <c r="AK168" s="2" t="inlineStr">
        <is>
          <t>+100 to +120</t>
        </is>
      </c>
      <c r="AL168" s="2" t="inlineStr">
        <is>
          <t>2026 Frozen Test</t>
        </is>
      </c>
      <c r="AM168" s="6" t="n">
        <v>0.1269445283755936</v>
      </c>
    </row>
    <row r="169">
      <c r="A169" s="2" t="inlineStr">
        <is>
          <t>KPROP-00570</t>
        </is>
      </c>
      <c r="B169" s="3" t="n">
        <v>46124.67403935185</v>
      </c>
      <c r="C169" s="3" t="n">
        <v>46124</v>
      </c>
      <c r="D169" s="2" t="inlineStr">
        <is>
          <t>Logan Gilbert</t>
        </is>
      </c>
      <c r="E169" s="2" t="n">
        <v>136</v>
      </c>
      <c r="F169" s="2" t="n">
        <v>117</v>
      </c>
      <c r="G169" s="2" t="inlineStr">
        <is>
          <t>Home</t>
        </is>
      </c>
      <c r="H169" s="2" t="inlineStr">
        <is>
          <t>betrivers</t>
        </is>
      </c>
      <c r="I169" s="4" t="n"/>
      <c r="J169" s="4" t="n"/>
      <c r="K169" s="4" t="n">
        <v>135</v>
      </c>
      <c r="L169" s="4" t="n">
        <v>135</v>
      </c>
      <c r="M169" s="5" t="n">
        <v>5.5</v>
      </c>
      <c r="N169" s="5" t="n">
        <v>5.569424880382461</v>
      </c>
      <c r="O169" s="5" t="n">
        <v>5.5</v>
      </c>
      <c r="P169" s="5" t="n">
        <v>-0.06942488038246086</v>
      </c>
      <c r="Q169" s="6" t="n">
        <v>0.2150868852204019</v>
      </c>
      <c r="R169" s="6" t="n">
        <v>0.5170582490299582</v>
      </c>
      <c r="S169" s="6" t="n">
        <v>0.4059747223286097</v>
      </c>
      <c r="T169" s="2" t="inlineStr">
        <is>
          <t>Under</t>
        </is>
      </c>
      <c r="U169" s="4" t="n">
        <v>135</v>
      </c>
      <c r="V169" s="2" t="n">
        <v>2.35</v>
      </c>
      <c r="W169" s="4" t="n">
        <v>135</v>
      </c>
      <c r="X169" s="2" t="n">
        <v>1</v>
      </c>
      <c r="Y169" s="5" t="n">
        <v>-1</v>
      </c>
      <c r="Z169" s="7" t="n">
        <v>100</v>
      </c>
      <c r="AA169" s="7">
        <f>Y169*Z169</f>
        <v/>
      </c>
      <c r="AB169" s="6">
        <f>IF(Z169=0,0,AA169/Z169)</f>
        <v/>
      </c>
      <c r="AC169" s="6" t="n"/>
      <c r="AD169" s="2" t="inlineStr">
        <is>
          <t>Loss</t>
        </is>
      </c>
      <c r="AE169" s="6">
        <f>IF((COUNTIF($AD$2:AD169,"Win")+COUNTIF($AD$2:AD169,"Loss"))=0,0,COUNTIF($AD$2:AD169,"Win")/(COUNTIF($AD$2:AD169,"Win")+COUNTIF($AD$2:AD169,"Loss")))</f>
        <v/>
      </c>
      <c r="AF169" s="6">
        <f>SUM($Y$2:Y169)/SUM($X$2:X169)</f>
        <v/>
      </c>
      <c r="AG169" s="5">
        <f>SUM($Y$2:Y169)</f>
        <v/>
      </c>
      <c r="AH169" s="7">
        <f>10000.0+SUM($AA$2:AA169)</f>
        <v/>
      </c>
      <c r="AI169" s="2" t="n">
        <v>2026</v>
      </c>
      <c r="AJ169" s="2" t="inlineStr">
        <is>
          <t>2026-04</t>
        </is>
      </c>
      <c r="AK169" s="2" t="inlineStr">
        <is>
          <t>+121 to +150</t>
        </is>
      </c>
      <c r="AL169" s="2" t="inlineStr">
        <is>
          <t>2026 Frozen Test</t>
        </is>
      </c>
      <c r="AM169" s="6" t="n">
        <v>0.1593236186817792</v>
      </c>
    </row>
    <row r="170">
      <c r="A170" s="2" t="inlineStr">
        <is>
          <t>KPROP-00571</t>
        </is>
      </c>
      <c r="B170" s="3" t="n">
        <v>46124.67403935185</v>
      </c>
      <c r="C170" s="3" t="n">
        <v>46124</v>
      </c>
      <c r="D170" s="2" t="inlineStr">
        <is>
          <t>Logan Gilbert</t>
        </is>
      </c>
      <c r="E170" s="2" t="n">
        <v>136</v>
      </c>
      <c r="F170" s="2" t="n">
        <v>117</v>
      </c>
      <c r="G170" s="2" t="inlineStr">
        <is>
          <t>Home</t>
        </is>
      </c>
      <c r="H170" s="2" t="inlineStr">
        <is>
          <t>bovada</t>
        </is>
      </c>
      <c r="I170" s="4" t="n"/>
      <c r="J170" s="4" t="n"/>
      <c r="K170" s="4" t="n">
        <v>-145</v>
      </c>
      <c r="L170" s="4" t="n">
        <v>-145</v>
      </c>
      <c r="M170" s="5" t="n">
        <v>6.5</v>
      </c>
      <c r="N170" s="5" t="n">
        <v>5.569424880382461</v>
      </c>
      <c r="O170" s="5" t="n">
        <v>6.5</v>
      </c>
      <c r="P170" s="5" t="n">
        <v>0.9305751196175391</v>
      </c>
      <c r="Q170" s="6" t="n">
        <v>0.1406783868690961</v>
      </c>
      <c r="R170" s="6" t="n">
        <v>0.6750953718204854</v>
      </c>
      <c r="S170" s="6" t="n">
        <v>0.5667167742505969</v>
      </c>
      <c r="T170" s="2" t="inlineStr">
        <is>
          <t>Under</t>
        </is>
      </c>
      <c r="U170" s="4" t="n">
        <v>-145</v>
      </c>
      <c r="V170" s="2" t="n">
        <v>1.689655172413793</v>
      </c>
      <c r="W170" s="4" t="n">
        <v>-145</v>
      </c>
      <c r="X170" s="2" t="n">
        <v>1</v>
      </c>
      <c r="Y170" s="5" t="n">
        <v>-1</v>
      </c>
      <c r="Z170" s="7" t="n">
        <v>100</v>
      </c>
      <c r="AA170" s="7">
        <f>Y170*Z170</f>
        <v/>
      </c>
      <c r="AB170" s="6">
        <f>IF(Z170=0,0,AA170/Z170)</f>
        <v/>
      </c>
      <c r="AC170" s="6" t="n"/>
      <c r="AD170" s="2" t="inlineStr">
        <is>
          <t>Loss</t>
        </is>
      </c>
      <c r="AE170" s="6">
        <f>IF((COUNTIF($AD$2:AD170,"Win")+COUNTIF($AD$2:AD170,"Loss"))=0,0,COUNTIF($AD$2:AD170,"Win")/(COUNTIF($AD$2:AD170,"Win")+COUNTIF($AD$2:AD170,"Loss")))</f>
        <v/>
      </c>
      <c r="AF170" s="6">
        <f>SUM($Y$2:Y170)/SUM($X$2:X170)</f>
        <v/>
      </c>
      <c r="AG170" s="5">
        <f>SUM($Y$2:Y170)</f>
        <v/>
      </c>
      <c r="AH170" s="7">
        <f>10000.0+SUM($AA$2:AA170)</f>
        <v/>
      </c>
      <c r="AI170" s="2" t="n">
        <v>2026</v>
      </c>
      <c r="AJ170" s="2" t="inlineStr">
        <is>
          <t>2026-04</t>
        </is>
      </c>
      <c r="AK170" s="2" t="inlineStr">
        <is>
          <t>-149 to -120</t>
        </is>
      </c>
      <c r="AL170" s="2" t="inlineStr">
        <is>
          <t>2026 Frozen Test</t>
        </is>
      </c>
      <c r="AM170" s="6" t="n">
        <v>0.2039836609601893</v>
      </c>
    </row>
    <row r="171">
      <c r="A171" s="2" t="inlineStr">
        <is>
          <t>KPROP-00572</t>
        </is>
      </c>
      <c r="B171" s="3" t="n">
        <v>46124.56640046297</v>
      </c>
      <c r="C171" s="3" t="n">
        <v>46124</v>
      </c>
      <c r="D171" s="2" t="inlineStr">
        <is>
          <t>Max Scherzer</t>
        </is>
      </c>
      <c r="E171" s="2" t="n">
        <v>141</v>
      </c>
      <c r="F171" s="2" t="n">
        <v>142</v>
      </c>
      <c r="G171" s="2" t="inlineStr">
        <is>
          <t>Home</t>
        </is>
      </c>
      <c r="H171" s="2" t="inlineStr">
        <is>
          <t>betonlineag</t>
        </is>
      </c>
      <c r="I171" s="4" t="n"/>
      <c r="J171" s="4" t="n"/>
      <c r="K171" s="4" t="n">
        <v>130</v>
      </c>
      <c r="L171" s="4" t="n">
        <v>130</v>
      </c>
      <c r="M171" s="5" t="n">
        <v>4.5</v>
      </c>
      <c r="N171" s="5" t="n">
        <v>4.729283465203942</v>
      </c>
      <c r="O171" s="5" t="n">
        <v>4.5</v>
      </c>
      <c r="P171" s="5" t="n">
        <v>-0.2292834652039417</v>
      </c>
      <c r="Q171" s="6" t="n">
        <v>0.1251725720903579</v>
      </c>
      <c r="R171" s="6" t="n">
        <v>0.4892054661262426</v>
      </c>
      <c r="S171" s="6" t="n">
        <v>0.4235090751944685</v>
      </c>
      <c r="T171" s="2" t="inlineStr">
        <is>
          <t>Under</t>
        </is>
      </c>
      <c r="U171" s="4" t="n">
        <v>130</v>
      </c>
      <c r="V171" s="2" t="n">
        <v>2.3</v>
      </c>
      <c r="W171" s="4" t="n">
        <v>130</v>
      </c>
      <c r="X171" s="2" t="n">
        <v>1</v>
      </c>
      <c r="Y171" s="5" t="n">
        <v>1.3</v>
      </c>
      <c r="Z171" s="7" t="n">
        <v>100</v>
      </c>
      <c r="AA171" s="7">
        <f>Y171*Z171</f>
        <v/>
      </c>
      <c r="AB171" s="6">
        <f>IF(Z171=0,0,AA171/Z171)</f>
        <v/>
      </c>
      <c r="AC171" s="6" t="n"/>
      <c r="AD171" s="2" t="inlineStr">
        <is>
          <t>Win</t>
        </is>
      </c>
      <c r="AE171" s="6">
        <f>IF((COUNTIF($AD$2:AD171,"Win")+COUNTIF($AD$2:AD171,"Loss"))=0,0,COUNTIF($AD$2:AD171,"Win")/(COUNTIF($AD$2:AD171,"Win")+COUNTIF($AD$2:AD171,"Loss")))</f>
        <v/>
      </c>
      <c r="AF171" s="6">
        <f>SUM($Y$2:Y171)/SUM($X$2:X171)</f>
        <v/>
      </c>
      <c r="AG171" s="5">
        <f>SUM($Y$2:Y171)</f>
        <v/>
      </c>
      <c r="AH171" s="7">
        <f>10000.0+SUM($AA$2:AA171)</f>
        <v/>
      </c>
      <c r="AI171" s="2" t="n">
        <v>2026</v>
      </c>
      <c r="AJ171" s="2" t="inlineStr">
        <is>
          <t>2026-04</t>
        </is>
      </c>
      <c r="AK171" s="2" t="inlineStr">
        <is>
          <t>+121 to +150</t>
        </is>
      </c>
      <c r="AL171" s="2" t="inlineStr">
        <is>
          <t>2026 Frozen Test</t>
        </is>
      </c>
      <c r="AM171" s="6" t="n">
        <v>0.09628659391565995</v>
      </c>
    </row>
    <row r="172">
      <c r="A172" s="2" t="inlineStr">
        <is>
          <t>KPROP-00573</t>
        </is>
      </c>
      <c r="B172" s="3" t="n">
        <v>46124.67403935185</v>
      </c>
      <c r="C172" s="3" t="n">
        <v>46124</v>
      </c>
      <c r="D172" s="2" t="inlineStr">
        <is>
          <t>Nick Pivetta</t>
        </is>
      </c>
      <c r="E172" s="2" t="n">
        <v>135</v>
      </c>
      <c r="F172" s="2" t="n">
        <v>115</v>
      </c>
      <c r="G172" s="2" t="inlineStr">
        <is>
          <t>Home</t>
        </is>
      </c>
      <c r="H172" s="2" t="inlineStr">
        <is>
          <t>bovada</t>
        </is>
      </c>
      <c r="I172" s="4" t="n"/>
      <c r="J172" s="4" t="n"/>
      <c r="K172" s="4" t="n">
        <v>-125</v>
      </c>
      <c r="L172" s="4" t="n">
        <v>-125</v>
      </c>
      <c r="M172" s="5" t="n">
        <v>7.5</v>
      </c>
      <c r="N172" s="5" t="n">
        <v>6.098157997601136</v>
      </c>
      <c r="O172" s="5" t="n">
        <v>7.5</v>
      </c>
      <c r="P172" s="5" t="n">
        <v>1.401842002398864</v>
      </c>
      <c r="Q172" s="6" t="n">
        <v>0.3146457529589876</v>
      </c>
      <c r="R172" s="6" t="n">
        <v>0.730358751643882</v>
      </c>
      <c r="S172" s="6" t="n">
        <v>0.5360824742268041</v>
      </c>
      <c r="T172" s="2" t="inlineStr">
        <is>
          <t>Under</t>
        </is>
      </c>
      <c r="U172" s="4" t="n">
        <v>-125</v>
      </c>
      <c r="V172" s="2" t="n">
        <v>1.8</v>
      </c>
      <c r="W172" s="4" t="n">
        <v>-125</v>
      </c>
      <c r="X172" s="2" t="n">
        <v>1</v>
      </c>
      <c r="Y172" s="5" t="n">
        <v>0.8</v>
      </c>
      <c r="Z172" s="7" t="n">
        <v>100</v>
      </c>
      <c r="AA172" s="7">
        <f>Y172*Z172</f>
        <v/>
      </c>
      <c r="AB172" s="6">
        <f>IF(Z172=0,0,AA172/Z172)</f>
        <v/>
      </c>
      <c r="AC172" s="6" t="n"/>
      <c r="AD172" s="2" t="inlineStr">
        <is>
          <t>Win</t>
        </is>
      </c>
      <c r="AE172" s="6">
        <f>IF((COUNTIF($AD$2:AD172,"Win")+COUNTIF($AD$2:AD172,"Loss"))=0,0,COUNTIF($AD$2:AD172,"Win")/(COUNTIF($AD$2:AD172,"Win")+COUNTIF($AD$2:AD172,"Loss")))</f>
        <v/>
      </c>
      <c r="AF172" s="6">
        <f>SUM($Y$2:Y172)/SUM($X$2:X172)</f>
        <v/>
      </c>
      <c r="AG172" s="5">
        <f>SUM($Y$2:Y172)</f>
        <v/>
      </c>
      <c r="AH172" s="7">
        <f>10000.0+SUM($AA$2:AA172)</f>
        <v/>
      </c>
      <c r="AI172" s="2" t="n">
        <v>2026</v>
      </c>
      <c r="AJ172" s="2" t="inlineStr">
        <is>
          <t>2026-04</t>
        </is>
      </c>
      <c r="AK172" s="2" t="inlineStr">
        <is>
          <t>-149 to -120</t>
        </is>
      </c>
      <c r="AL172" s="2" t="inlineStr">
        <is>
          <t>2026 Frozen Test</t>
        </is>
      </c>
      <c r="AM172" s="6" t="n">
        <v>0.3933071911987344</v>
      </c>
    </row>
    <row r="173">
      <c r="A173" s="2" t="inlineStr">
        <is>
          <t>KPROP-00574</t>
        </is>
      </c>
      <c r="B173" s="3" t="n">
        <v>46124.59070601852</v>
      </c>
      <c r="C173" s="3" t="n">
        <v>46124</v>
      </c>
      <c r="D173" s="2" t="inlineStr">
        <is>
          <t>Noah Cameron</t>
        </is>
      </c>
      <c r="E173" s="2" t="n">
        <v>118</v>
      </c>
      <c r="F173" s="2" t="n">
        <v>145</v>
      </c>
      <c r="G173" s="2" t="inlineStr">
        <is>
          <t>Home</t>
        </is>
      </c>
      <c r="H173" s="2" t="inlineStr">
        <is>
          <t>draftkings</t>
        </is>
      </c>
      <c r="I173" s="4" t="n"/>
      <c r="J173" s="4" t="n"/>
      <c r="K173" s="4" t="n">
        <v>118</v>
      </c>
      <c r="L173" s="4" t="n">
        <v>118</v>
      </c>
      <c r="M173" s="5" t="n">
        <v>4.5</v>
      </c>
      <c r="N173" s="5" t="n">
        <v>4.635464880907063</v>
      </c>
      <c r="O173" s="5" t="n">
        <v>4.5</v>
      </c>
      <c r="P173" s="5" t="n">
        <v>-0.1354648809070627</v>
      </c>
      <c r="Q173" s="6" t="n">
        <v>0.1043857611518193</v>
      </c>
      <c r="R173" s="6" t="n">
        <v>0.5065989730054218</v>
      </c>
      <c r="S173" s="6" t="n">
        <v>0.4549553242069022</v>
      </c>
      <c r="T173" s="2" t="inlineStr">
        <is>
          <t>Under</t>
        </is>
      </c>
      <c r="U173" s="4" t="n">
        <v>118</v>
      </c>
      <c r="V173" s="2" t="n">
        <v>2.18</v>
      </c>
      <c r="W173" s="4" t="n">
        <v>118</v>
      </c>
      <c r="X173" s="2" t="n">
        <v>1</v>
      </c>
      <c r="Y173" s="5" t="n">
        <v>1.18</v>
      </c>
      <c r="Z173" s="7" t="n">
        <v>100</v>
      </c>
      <c r="AA173" s="7">
        <f>Y173*Z173</f>
        <v/>
      </c>
      <c r="AB173" s="6">
        <f>IF(Z173=0,0,AA173/Z173)</f>
        <v/>
      </c>
      <c r="AC173" s="6" t="n"/>
      <c r="AD173" s="2" t="inlineStr">
        <is>
          <t>Win</t>
        </is>
      </c>
      <c r="AE173" s="6">
        <f>IF((COUNTIF($AD$2:AD173,"Win")+COUNTIF($AD$2:AD173,"Loss"))=0,0,COUNTIF($AD$2:AD173,"Win")/(COUNTIF($AD$2:AD173,"Win")+COUNTIF($AD$2:AD173,"Loss")))</f>
        <v/>
      </c>
      <c r="AF173" s="6">
        <f>SUM($Y$2:Y173)/SUM($X$2:X173)</f>
        <v/>
      </c>
      <c r="AG173" s="5">
        <f>SUM($Y$2:Y173)</f>
        <v/>
      </c>
      <c r="AH173" s="7">
        <f>10000.0+SUM($AA$2:AA173)</f>
        <v/>
      </c>
      <c r="AI173" s="2" t="n">
        <v>2026</v>
      </c>
      <c r="AJ173" s="2" t="inlineStr">
        <is>
          <t>2026-04</t>
        </is>
      </c>
      <c r="AK173" s="2" t="inlineStr">
        <is>
          <t>+100 to +120</t>
        </is>
      </c>
      <c r="AL173" s="2" t="inlineStr">
        <is>
          <t>2026 Frozen Test</t>
        </is>
      </c>
      <c r="AM173" s="6" t="n">
        <v>0.08846250945069434</v>
      </c>
    </row>
    <row r="174">
      <c r="A174" s="2" t="inlineStr">
        <is>
          <t>KPROP-00575</t>
        </is>
      </c>
      <c r="B174" s="3" t="n">
        <v>46124.80598379629</v>
      </c>
      <c r="C174" s="3" t="n">
        <v>46124</v>
      </c>
      <c r="D174" s="2" t="inlineStr">
        <is>
          <t>Tanner Bibee</t>
        </is>
      </c>
      <c r="E174" s="2" t="n">
        <v>114</v>
      </c>
      <c r="F174" s="2" t="n">
        <v>144</v>
      </c>
      <c r="G174" s="2" t="inlineStr">
        <is>
          <t>Away</t>
        </is>
      </c>
      <c r="H174" s="2" t="inlineStr">
        <is>
          <t>betrivers</t>
        </is>
      </c>
      <c r="I174" s="4" t="n"/>
      <c r="J174" s="4" t="n"/>
      <c r="K174" s="4" t="n">
        <v>104</v>
      </c>
      <c r="L174" s="4" t="n">
        <v>104</v>
      </c>
      <c r="M174" s="5" t="n">
        <v>4.5</v>
      </c>
      <c r="N174" s="5" t="n">
        <v>4.521023141748282</v>
      </c>
      <c r="O174" s="5" t="n">
        <v>4.5</v>
      </c>
      <c r="P174" s="5" t="n">
        <v>-0.02102314174828201</v>
      </c>
      <c r="Q174" s="6" t="n">
        <v>0.07736059474871637</v>
      </c>
      <c r="R174" s="6" t="n">
        <v>0.5281179386023119</v>
      </c>
      <c r="S174" s="6" t="n">
        <v>0.4705435516542876</v>
      </c>
      <c r="T174" s="2" t="inlineStr">
        <is>
          <t>Under</t>
        </is>
      </c>
      <c r="U174" s="4" t="n">
        <v>104</v>
      </c>
      <c r="V174" s="2" t="n">
        <v>2.04</v>
      </c>
      <c r="W174" s="4" t="n">
        <v>104</v>
      </c>
      <c r="X174" s="2" t="n">
        <v>1</v>
      </c>
      <c r="Y174" s="5" t="n">
        <v>1.04</v>
      </c>
      <c r="Z174" s="7" t="n">
        <v>100</v>
      </c>
      <c r="AA174" s="7">
        <f>Y174*Z174</f>
        <v/>
      </c>
      <c r="AB174" s="6">
        <f>IF(Z174=0,0,AA174/Z174)</f>
        <v/>
      </c>
      <c r="AC174" s="6" t="n"/>
      <c r="AD174" s="2" t="inlineStr">
        <is>
          <t>Win</t>
        </is>
      </c>
      <c r="AE174" s="6">
        <f>IF((COUNTIF($AD$2:AD174,"Win")+COUNTIF($AD$2:AD174,"Loss"))=0,0,COUNTIF($AD$2:AD174,"Win")/(COUNTIF($AD$2:AD174,"Win")+COUNTIF($AD$2:AD174,"Loss")))</f>
        <v/>
      </c>
      <c r="AF174" s="6">
        <f>SUM($Y$2:Y174)/SUM($X$2:X174)</f>
        <v/>
      </c>
      <c r="AG174" s="5">
        <f>SUM($Y$2:Y174)</f>
        <v/>
      </c>
      <c r="AH174" s="7">
        <f>10000.0+SUM($AA$2:AA174)</f>
        <v/>
      </c>
      <c r="AI174" s="2" t="n">
        <v>2026</v>
      </c>
      <c r="AJ174" s="2" t="inlineStr">
        <is>
          <t>2026-04</t>
        </is>
      </c>
      <c r="AK174" s="2" t="inlineStr">
        <is>
          <t>+100 to +120</t>
        </is>
      </c>
      <c r="AL174" s="2" t="inlineStr">
        <is>
          <t>2026 Frozen Test</t>
        </is>
      </c>
      <c r="AM174" s="6" t="n">
        <v>0.07438518725838113</v>
      </c>
    </row>
    <row r="175">
      <c r="A175" s="2" t="inlineStr">
        <is>
          <t>KPROP-00576</t>
        </is>
      </c>
      <c r="B175" s="3" t="n">
        <v>46124.56987268518</v>
      </c>
      <c r="C175" s="3" t="n">
        <v>46124</v>
      </c>
      <c r="D175" s="2" t="inlineStr">
        <is>
          <t>Tarik Skubal</t>
        </is>
      </c>
      <c r="E175" s="2" t="n">
        <v>116</v>
      </c>
      <c r="F175" s="2" t="n">
        <v>146</v>
      </c>
      <c r="G175" s="2" t="inlineStr">
        <is>
          <t>Home</t>
        </is>
      </c>
      <c r="H175" s="2" t="inlineStr">
        <is>
          <t>bovada</t>
        </is>
      </c>
      <c r="I175" s="4" t="n"/>
      <c r="J175" s="4" t="n"/>
      <c r="K175" s="4" t="n">
        <v>105</v>
      </c>
      <c r="L175" s="4" t="n">
        <v>105</v>
      </c>
      <c r="M175" s="5" t="n">
        <v>7.5</v>
      </c>
      <c r="N175" s="5" t="n">
        <v>5.949525818072354</v>
      </c>
      <c r="O175" s="5" t="n">
        <v>7.5</v>
      </c>
      <c r="P175" s="5" t="n">
        <v>1.550474181927646</v>
      </c>
      <c r="Q175" s="6" t="n">
        <v>0.5393433051998515</v>
      </c>
      <c r="R175" s="6" t="n">
        <v>0.7508991732682203</v>
      </c>
      <c r="S175" s="6" t="n">
        <v>0.4740160904544466</v>
      </c>
      <c r="T175" s="2" t="inlineStr">
        <is>
          <t>Under</t>
        </is>
      </c>
      <c r="U175" s="4" t="n">
        <v>105</v>
      </c>
      <c r="V175" s="2" t="n">
        <v>2.05</v>
      </c>
      <c r="W175" s="4" t="n">
        <v>105</v>
      </c>
      <c r="X175" s="2" t="n">
        <v>1</v>
      </c>
      <c r="Y175" s="5" t="n">
        <v>1.05</v>
      </c>
      <c r="Z175" s="7" t="n">
        <v>100</v>
      </c>
      <c r="AA175" s="7">
        <f>Y175*Z175</f>
        <v/>
      </c>
      <c r="AB175" s="6">
        <f>IF(Z175=0,0,AA175/Z175)</f>
        <v/>
      </c>
      <c r="AC175" s="6" t="n"/>
      <c r="AD175" s="2" t="inlineStr">
        <is>
          <t>Win</t>
        </is>
      </c>
      <c r="AE175" s="6">
        <f>IF((COUNTIF($AD$2:AD175,"Win")+COUNTIF($AD$2:AD175,"Loss"))=0,0,COUNTIF($AD$2:AD175,"Win")/(COUNTIF($AD$2:AD175,"Win")+COUNTIF($AD$2:AD175,"Loss")))</f>
        <v/>
      </c>
      <c r="AF175" s="6">
        <f>SUM($Y$2:Y175)/SUM($X$2:X175)</f>
        <v/>
      </c>
      <c r="AG175" s="5">
        <f>SUM($Y$2:Y175)</f>
        <v/>
      </c>
      <c r="AH175" s="7">
        <f>10000.0+SUM($AA$2:AA175)</f>
        <v/>
      </c>
      <c r="AI175" s="2" t="n">
        <v>2026</v>
      </c>
      <c r="AJ175" s="2" t="inlineStr">
        <is>
          <t>2026-04</t>
        </is>
      </c>
      <c r="AK175" s="2" t="inlineStr">
        <is>
          <t>+100 to +120</t>
        </is>
      </c>
      <c r="AL175" s="2" t="inlineStr">
        <is>
          <t>2026 Frozen Test</t>
        </is>
      </c>
      <c r="AM175" s="6" t="n">
        <v>0.5136602906665253</v>
      </c>
    </row>
    <row r="176">
      <c r="A176" s="2" t="inlineStr">
        <is>
          <t>KPROP-00577</t>
        </is>
      </c>
      <c r="B176" s="3" t="n">
        <v>46124.56640046297</v>
      </c>
      <c r="C176" s="3" t="n">
        <v>46124</v>
      </c>
      <c r="D176" s="2" t="inlineStr">
        <is>
          <t>Zac Gallen</t>
        </is>
      </c>
      <c r="E176" s="2" t="n">
        <v>109</v>
      </c>
      <c r="F176" s="2" t="n">
        <v>143</v>
      </c>
      <c r="G176" s="2" t="inlineStr">
        <is>
          <t>Away</t>
        </is>
      </c>
      <c r="H176" s="2" t="inlineStr">
        <is>
          <t>betmgm</t>
        </is>
      </c>
      <c r="I176" s="4" t="n"/>
      <c r="J176" s="4" t="n"/>
      <c r="K176" s="4" t="n">
        <v>-125</v>
      </c>
      <c r="L176" s="4" t="n">
        <v>-125</v>
      </c>
      <c r="M176" s="5" t="n">
        <v>5.5</v>
      </c>
      <c r="N176" s="5" t="n">
        <v>4.694363063676444</v>
      </c>
      <c r="O176" s="5" t="n">
        <v>5.5</v>
      </c>
      <c r="P176" s="5" t="n">
        <v>0.8056369363235563</v>
      </c>
      <c r="Q176" s="6" t="n">
        <v>0.2049527146567284</v>
      </c>
      <c r="R176" s="6" t="n">
        <v>0.6694181748092936</v>
      </c>
      <c r="S176" s="6" t="n">
        <v>0.5511221945137158</v>
      </c>
      <c r="T176" s="2" t="inlineStr">
        <is>
          <t>Under</t>
        </is>
      </c>
      <c r="U176" s="4" t="n">
        <v>-125</v>
      </c>
      <c r="V176" s="2" t="n">
        <v>1.8</v>
      </c>
      <c r="W176" s="4" t="n">
        <v>-125</v>
      </c>
      <c r="X176" s="2" t="n">
        <v>1</v>
      </c>
      <c r="Y176" s="5" t="n">
        <v>0.8</v>
      </c>
      <c r="Z176" s="7" t="n">
        <v>100</v>
      </c>
      <c r="AA176" s="7">
        <f>Y176*Z176</f>
        <v/>
      </c>
      <c r="AB176" s="6">
        <f>IF(Z176=0,0,AA176/Z176)</f>
        <v/>
      </c>
      <c r="AC176" s="6" t="n"/>
      <c r="AD176" s="2" t="inlineStr">
        <is>
          <t>Win</t>
        </is>
      </c>
      <c r="AE176" s="6">
        <f>IF((COUNTIF($AD$2:AD176,"Win")+COUNTIF($AD$2:AD176,"Loss"))=0,0,COUNTIF($AD$2:AD176,"Win")/(COUNTIF($AD$2:AD176,"Win")+COUNTIF($AD$2:AD176,"Loss")))</f>
        <v/>
      </c>
      <c r="AF176" s="6">
        <f>SUM($Y$2:Y176)/SUM($X$2:X176)</f>
        <v/>
      </c>
      <c r="AG176" s="5">
        <f>SUM($Y$2:Y176)</f>
        <v/>
      </c>
      <c r="AH176" s="7">
        <f>10000.0+SUM($AA$2:AA176)</f>
        <v/>
      </c>
      <c r="AI176" s="2" t="n">
        <v>2026</v>
      </c>
      <c r="AJ176" s="2" t="inlineStr">
        <is>
          <t>2026-04</t>
        </is>
      </c>
      <c r="AK176" s="2" t="inlineStr">
        <is>
          <t>-149 to -120</t>
        </is>
      </c>
      <c r="AL176" s="2" t="inlineStr">
        <is>
          <t>2026 Frozen Test</t>
        </is>
      </c>
      <c r="AM176" s="6" t="n">
        <v>0.2561908933209104</v>
      </c>
    </row>
    <row r="177">
      <c r="A177" s="2" t="inlineStr">
        <is>
          <t>KPROP-00578</t>
        </is>
      </c>
      <c r="B177" s="3" t="n">
        <v>46125.77821759259</v>
      </c>
      <c r="C177" s="3" t="n">
        <v>46125</v>
      </c>
      <c r="D177" s="2" t="inlineStr">
        <is>
          <t>Cristopher Sánchez</t>
        </is>
      </c>
      <c r="E177" s="2" t="n">
        <v>143</v>
      </c>
      <c r="F177" s="2" t="n">
        <v>112</v>
      </c>
      <c r="G177" s="2" t="inlineStr">
        <is>
          <t>Home</t>
        </is>
      </c>
      <c r="H177" s="2" t="inlineStr">
        <is>
          <t>draftkings</t>
        </is>
      </c>
      <c r="I177" s="4" t="n"/>
      <c r="J177" s="4" t="n"/>
      <c r="K177" s="4" t="n">
        <v>-132</v>
      </c>
      <c r="L177" s="4" t="n">
        <v>-132</v>
      </c>
      <c r="M177" s="5" t="n">
        <v>6.5</v>
      </c>
      <c r="N177" s="5" t="n">
        <v>5.760280751404272</v>
      </c>
      <c r="O177" s="5" t="n">
        <v>6.5</v>
      </c>
      <c r="P177" s="5" t="n">
        <v>0.739719248595728</v>
      </c>
      <c r="Q177" s="6" t="n">
        <v>0.1331875002439889</v>
      </c>
      <c r="R177" s="6" t="n">
        <v>0.6447446122077868</v>
      </c>
      <c r="S177" s="6" t="n">
        <v>0.555895865237366</v>
      </c>
      <c r="T177" s="2" t="inlineStr">
        <is>
          <t>Under</t>
        </is>
      </c>
      <c r="U177" s="4" t="n">
        <v>-132</v>
      </c>
      <c r="V177" s="2" t="n">
        <v>1.757575757575758</v>
      </c>
      <c r="W177" s="4" t="n">
        <v>-132</v>
      </c>
      <c r="X177" s="2" t="n">
        <v>1</v>
      </c>
      <c r="Y177" s="5" t="n">
        <v>-1</v>
      </c>
      <c r="Z177" s="7" t="n">
        <v>100</v>
      </c>
      <c r="AA177" s="7">
        <f>Y177*Z177</f>
        <v/>
      </c>
      <c r="AB177" s="6">
        <f>IF(Z177=0,0,AA177/Z177)</f>
        <v/>
      </c>
      <c r="AC177" s="6" t="n"/>
      <c r="AD177" s="2" t="inlineStr">
        <is>
          <t>Loss</t>
        </is>
      </c>
      <c r="AE177" s="6">
        <f>IF((COUNTIF($AD$2:AD177,"Win")+COUNTIF($AD$2:AD177,"Loss"))=0,0,COUNTIF($AD$2:AD177,"Win")/(COUNTIF($AD$2:AD177,"Win")+COUNTIF($AD$2:AD177,"Loss")))</f>
        <v/>
      </c>
      <c r="AF177" s="6">
        <f>SUM($Y$2:Y177)/SUM($X$2:X177)</f>
        <v/>
      </c>
      <c r="AG177" s="5">
        <f>SUM($Y$2:Y177)</f>
        <v/>
      </c>
      <c r="AH177" s="7">
        <f>10000.0+SUM($AA$2:AA177)</f>
        <v/>
      </c>
      <c r="AI177" s="2" t="n">
        <v>2026</v>
      </c>
      <c r="AJ177" s="2" t="inlineStr">
        <is>
          <t>2026-04</t>
        </is>
      </c>
      <c r="AK177" s="2" t="inlineStr">
        <is>
          <t>-149 to -120</t>
        </is>
      </c>
      <c r="AL177" s="2" t="inlineStr">
        <is>
          <t>2026 Frozen Test</t>
        </is>
      </c>
      <c r="AM177" s="6" t="n">
        <v>0.1758075003220654</v>
      </c>
    </row>
    <row r="178">
      <c r="A178" s="2" t="inlineStr">
        <is>
          <t>KPROP-00579</t>
        </is>
      </c>
      <c r="B178" s="3" t="n">
        <v>46125.81988425926</v>
      </c>
      <c r="C178" s="3" t="n">
        <v>46125</v>
      </c>
      <c r="D178" s="2" t="inlineStr">
        <is>
          <t>Garrett Crochet</t>
        </is>
      </c>
      <c r="E178" s="2" t="n">
        <v>111</v>
      </c>
      <c r="F178" s="2" t="n">
        <v>142</v>
      </c>
      <c r="G178" s="2" t="inlineStr">
        <is>
          <t>Away</t>
        </is>
      </c>
      <c r="H178" s="2" t="inlineStr">
        <is>
          <t>betmgm</t>
        </is>
      </c>
      <c r="I178" s="4" t="n"/>
      <c r="J178" s="4" t="n"/>
      <c r="K178" s="4" t="n">
        <v>-110</v>
      </c>
      <c r="L178" s="4" t="n">
        <v>-110</v>
      </c>
      <c r="M178" s="5" t="n">
        <v>7.5</v>
      </c>
      <c r="N178" s="5" t="n">
        <v>6.6691674957043</v>
      </c>
      <c r="O178" s="5" t="n">
        <v>7.5</v>
      </c>
      <c r="P178" s="5" t="n">
        <v>0.8308325042957003</v>
      </c>
      <c r="Q178" s="6" t="n">
        <v>0.2368571036263496</v>
      </c>
      <c r="R178" s="6" t="n">
        <v>0.647877530470945</v>
      </c>
      <c r="S178" s="6" t="n">
        <v>0.4989251934651763</v>
      </c>
      <c r="T178" s="2" t="inlineStr">
        <is>
          <t>Under</t>
        </is>
      </c>
      <c r="U178" s="4" t="n">
        <v>-110</v>
      </c>
      <c r="V178" s="2" t="n">
        <v>1.909090909090909</v>
      </c>
      <c r="W178" s="4" t="n">
        <v>-110</v>
      </c>
      <c r="X178" s="2" t="n">
        <v>1</v>
      </c>
      <c r="Y178" s="5" t="n">
        <v>0.9090909090909092</v>
      </c>
      <c r="Z178" s="7" t="n">
        <v>100</v>
      </c>
      <c r="AA178" s="7">
        <f>Y178*Z178</f>
        <v/>
      </c>
      <c r="AB178" s="6">
        <f>IF(Z178=0,0,AA178/Z178)</f>
        <v/>
      </c>
      <c r="AC178" s="6" t="n"/>
      <c r="AD178" s="2" t="inlineStr">
        <is>
          <t>Win</t>
        </is>
      </c>
      <c r="AE178" s="6">
        <f>IF((COUNTIF($AD$2:AD178,"Win")+COUNTIF($AD$2:AD178,"Loss"))=0,0,COUNTIF($AD$2:AD178,"Win")/(COUNTIF($AD$2:AD178,"Win")+COUNTIF($AD$2:AD178,"Loss")))</f>
        <v/>
      </c>
      <c r="AF178" s="6">
        <f>SUM($Y$2:Y178)/SUM($X$2:X178)</f>
        <v/>
      </c>
      <c r="AG178" s="5">
        <f>SUM($Y$2:Y178)</f>
        <v/>
      </c>
      <c r="AH178" s="7">
        <f>10000.0+SUM($AA$2:AA178)</f>
        <v/>
      </c>
      <c r="AI178" s="2" t="n">
        <v>2026</v>
      </c>
      <c r="AJ178" s="2" t="inlineStr">
        <is>
          <t>2026-04</t>
        </is>
      </c>
      <c r="AK178" s="2" t="inlineStr">
        <is>
          <t>-119 to -101</t>
        </is>
      </c>
      <c r="AL178" s="2" t="inlineStr">
        <is>
          <t>2026 Frozen Test</t>
        </is>
      </c>
      <c r="AM178" s="6" t="n">
        <v>0.2605428139889845</v>
      </c>
    </row>
    <row r="179">
      <c r="A179" s="2" t="inlineStr">
        <is>
          <t>KPROP-00580</t>
        </is>
      </c>
      <c r="B179" s="3" t="n">
        <v>46125.80252314815</v>
      </c>
      <c r="C179" s="3" t="n">
        <v>46125</v>
      </c>
      <c r="D179" s="2" t="inlineStr">
        <is>
          <t>Grant Holmes</t>
        </is>
      </c>
      <c r="E179" s="2" t="n">
        <v>144</v>
      </c>
      <c r="F179" s="2" t="n">
        <v>146</v>
      </c>
      <c r="G179" s="2" t="inlineStr">
        <is>
          <t>Home</t>
        </is>
      </c>
      <c r="H179" s="2" t="inlineStr">
        <is>
          <t>betrivers</t>
        </is>
      </c>
      <c r="I179" s="4" t="n"/>
      <c r="J179" s="4" t="n"/>
      <c r="K179" s="4" t="n">
        <v>145</v>
      </c>
      <c r="L179" s="4" t="n">
        <v>145</v>
      </c>
      <c r="M179" s="5" t="n">
        <v>4.5</v>
      </c>
      <c r="N179" s="5" t="n">
        <v>4.790823127414338</v>
      </c>
      <c r="O179" s="5" t="n">
        <v>4.5</v>
      </c>
      <c r="P179" s="5" t="n">
        <v>-0.2908231274143382</v>
      </c>
      <c r="Q179" s="6" t="n">
        <v>0.1709296836105981</v>
      </c>
      <c r="R179" s="6" t="n">
        <v>0.4779304831063665</v>
      </c>
      <c r="S179" s="6" t="n">
        <v>0.3987730061349693</v>
      </c>
      <c r="T179" s="2" t="inlineStr">
        <is>
          <t>Under</t>
        </is>
      </c>
      <c r="U179" s="4" t="n">
        <v>145</v>
      </c>
      <c r="V179" s="2" t="n">
        <v>2.45</v>
      </c>
      <c r="W179" s="4" t="n">
        <v>145</v>
      </c>
      <c r="X179" s="2" t="n">
        <v>1</v>
      </c>
      <c r="Y179" s="5" t="n">
        <v>1.45</v>
      </c>
      <c r="Z179" s="7" t="n">
        <v>100</v>
      </c>
      <c r="AA179" s="7">
        <f>Y179*Z179</f>
        <v/>
      </c>
      <c r="AB179" s="6">
        <f>IF(Z179=0,0,AA179/Z179)</f>
        <v/>
      </c>
      <c r="AC179" s="6" t="n"/>
      <c r="AD179" s="2" t="inlineStr">
        <is>
          <t>Win</t>
        </is>
      </c>
      <c r="AE179" s="6">
        <f>IF((COUNTIF($AD$2:AD179,"Win")+COUNTIF($AD$2:AD179,"Loss"))=0,0,COUNTIF($AD$2:AD179,"Win")/(COUNTIF($AD$2:AD179,"Win")+COUNTIF($AD$2:AD179,"Loss")))</f>
        <v/>
      </c>
      <c r="AF179" s="6">
        <f>SUM($Y$2:Y179)/SUM($X$2:X179)</f>
        <v/>
      </c>
      <c r="AG179" s="5">
        <f>SUM($Y$2:Y179)</f>
        <v/>
      </c>
      <c r="AH179" s="7">
        <f>10000.0+SUM($AA$2:AA179)</f>
        <v/>
      </c>
      <c r="AI179" s="2" t="n">
        <v>2026</v>
      </c>
      <c r="AJ179" s="2" t="inlineStr">
        <is>
          <t>2026-04</t>
        </is>
      </c>
      <c r="AK179" s="2" t="inlineStr">
        <is>
          <t>+121 to +150</t>
        </is>
      </c>
      <c r="AL179" s="2" t="inlineStr">
        <is>
          <t>2026 Frozen Test</t>
        </is>
      </c>
      <c r="AM179" s="6" t="n">
        <v>0.1178825404211021</v>
      </c>
    </row>
    <row r="180">
      <c r="A180" s="2" t="inlineStr">
        <is>
          <t>KPROP-00581</t>
        </is>
      </c>
      <c r="B180" s="3" t="n">
        <v>46125.80252314815</v>
      </c>
      <c r="C180" s="3" t="n">
        <v>46125</v>
      </c>
      <c r="D180" s="2" t="inlineStr">
        <is>
          <t>Grant Holmes</t>
        </is>
      </c>
      <c r="E180" s="2" t="n">
        <v>144</v>
      </c>
      <c r="F180" s="2" t="n">
        <v>146</v>
      </c>
      <c r="G180" s="2" t="inlineStr">
        <is>
          <t>Home</t>
        </is>
      </c>
      <c r="H180" s="2" t="inlineStr">
        <is>
          <t>betrivers</t>
        </is>
      </c>
      <c r="I180" s="4" t="n"/>
      <c r="J180" s="4" t="n"/>
      <c r="K180" s="4" t="n">
        <v>-143</v>
      </c>
      <c r="L180" s="4" t="n">
        <v>-143</v>
      </c>
      <c r="M180" s="5" t="n">
        <v>5.5</v>
      </c>
      <c r="N180" s="5" t="n">
        <v>4.790823127414338</v>
      </c>
      <c r="O180" s="5" t="n">
        <v>5.5</v>
      </c>
      <c r="P180" s="5" t="n">
        <v>0.7091768725856618</v>
      </c>
      <c r="Q180" s="6" t="n">
        <v>0.1089802267331857</v>
      </c>
      <c r="R180" s="6" t="n">
        <v>0.6526097630569776</v>
      </c>
      <c r="S180" s="6" t="n">
        <v>0.5630832299476779</v>
      </c>
      <c r="T180" s="2" t="inlineStr">
        <is>
          <t>Under</t>
        </is>
      </c>
      <c r="U180" s="4" t="n">
        <v>-143</v>
      </c>
      <c r="V180" s="2" t="n">
        <v>1.699300699300699</v>
      </c>
      <c r="W180" s="4" t="n">
        <v>-143</v>
      </c>
      <c r="X180" s="2" t="n">
        <v>1</v>
      </c>
      <c r="Y180" s="5" t="n">
        <v>0.6993006993006992</v>
      </c>
      <c r="Z180" s="7" t="n">
        <v>100</v>
      </c>
      <c r="AA180" s="7">
        <f>Y180*Z180</f>
        <v/>
      </c>
      <c r="AB180" s="6">
        <f>IF(Z180=0,0,AA180/Z180)</f>
        <v/>
      </c>
      <c r="AC180" s="6" t="n"/>
      <c r="AD180" s="2" t="inlineStr">
        <is>
          <t>Win</t>
        </is>
      </c>
      <c r="AE180" s="6">
        <f>IF((COUNTIF($AD$2:AD180,"Win")+COUNTIF($AD$2:AD180,"Loss"))=0,0,COUNTIF($AD$2:AD180,"Win")/(COUNTIF($AD$2:AD180,"Win")+COUNTIF($AD$2:AD180,"Loss")))</f>
        <v/>
      </c>
      <c r="AF180" s="6">
        <f>SUM($Y$2:Y180)/SUM($X$2:X180)</f>
        <v/>
      </c>
      <c r="AG180" s="5">
        <f>SUM($Y$2:Y180)</f>
        <v/>
      </c>
      <c r="AH180" s="7">
        <f>10000.0+SUM($AA$2:AA180)</f>
        <v/>
      </c>
      <c r="AI180" s="2" t="n">
        <v>2026</v>
      </c>
      <c r="AJ180" s="2" t="inlineStr">
        <is>
          <t>2026-04</t>
        </is>
      </c>
      <c r="AK180" s="2" t="inlineStr">
        <is>
          <t>-149 to -120</t>
        </is>
      </c>
      <c r="AL180" s="2" t="inlineStr">
        <is>
          <t>2026 Frozen Test</t>
        </is>
      </c>
      <c r="AM180" s="6" t="n">
        <v>0.1558417242284555</v>
      </c>
    </row>
    <row r="181">
      <c r="A181" s="2" t="inlineStr">
        <is>
          <t>KPROP-00582</t>
        </is>
      </c>
      <c r="B181" s="3" t="n">
        <v>46125.77821759259</v>
      </c>
      <c r="C181" s="3" t="n">
        <v>46125</v>
      </c>
      <c r="D181" s="2" t="inlineStr">
        <is>
          <t>Paul Skenes</t>
        </is>
      </c>
      <c r="E181" s="2" t="n">
        <v>134</v>
      </c>
      <c r="F181" s="2" t="n">
        <v>120</v>
      </c>
      <c r="G181" s="2" t="inlineStr">
        <is>
          <t>Home</t>
        </is>
      </c>
      <c r="H181" s="2" t="inlineStr">
        <is>
          <t>draftkings</t>
        </is>
      </c>
      <c r="I181" s="4" t="n"/>
      <c r="J181" s="4" t="n"/>
      <c r="K181" s="4" t="n">
        <v>109</v>
      </c>
      <c r="L181" s="4" t="n">
        <v>109</v>
      </c>
      <c r="M181" s="5" t="n">
        <v>6.5</v>
      </c>
      <c r="N181" s="5" t="n">
        <v>5.631090300472817</v>
      </c>
      <c r="O181" s="5" t="n">
        <v>6.5</v>
      </c>
      <c r="P181" s="5" t="n">
        <v>0.8689096995271832</v>
      </c>
      <c r="Q181" s="6" t="n">
        <v>0.3905352513515172</v>
      </c>
      <c r="R181" s="6" t="n">
        <v>0.6653278714600561</v>
      </c>
      <c r="S181" s="6" t="n">
        <v>0.4721642692434392</v>
      </c>
      <c r="T181" s="2" t="inlineStr">
        <is>
          <t>Under</t>
        </is>
      </c>
      <c r="U181" s="4" t="n">
        <v>109</v>
      </c>
      <c r="V181" s="2" t="n">
        <v>2.09</v>
      </c>
      <c r="W181" s="4" t="n">
        <v>109</v>
      </c>
      <c r="X181" s="2" t="n">
        <v>1</v>
      </c>
      <c r="Y181" s="5" t="n">
        <v>1.09</v>
      </c>
      <c r="Z181" s="7" t="n">
        <v>100</v>
      </c>
      <c r="AA181" s="7">
        <f>Y181*Z181</f>
        <v/>
      </c>
      <c r="AB181" s="6">
        <f>IF(Z181=0,0,AA181/Z181)</f>
        <v/>
      </c>
      <c r="AC181" s="6" t="n"/>
      <c r="AD181" s="2" t="inlineStr">
        <is>
          <t>Win</t>
        </is>
      </c>
      <c r="AE181" s="6">
        <f>IF((COUNTIF($AD$2:AD181,"Win")+COUNTIF($AD$2:AD181,"Loss"))=0,0,COUNTIF($AD$2:AD181,"Win")/(COUNTIF($AD$2:AD181,"Win")+COUNTIF($AD$2:AD181,"Loss")))</f>
        <v/>
      </c>
      <c r="AF181" s="6">
        <f>SUM($Y$2:Y181)/SUM($X$2:X181)</f>
        <v/>
      </c>
      <c r="AG181" s="5">
        <f>SUM($Y$2:Y181)</f>
        <v/>
      </c>
      <c r="AH181" s="7">
        <f>10000.0+SUM($AA$2:AA181)</f>
        <v/>
      </c>
      <c r="AI181" s="2" t="n">
        <v>2026</v>
      </c>
      <c r="AJ181" s="2" t="inlineStr">
        <is>
          <t>2026-04</t>
        </is>
      </c>
      <c r="AK181" s="2" t="inlineStr">
        <is>
          <t>+100 to +120</t>
        </is>
      </c>
      <c r="AL181" s="2" t="inlineStr">
        <is>
          <t>2026 Frozen Test</t>
        </is>
      </c>
      <c r="AM181" s="6" t="n">
        <v>0.3582892214234104</v>
      </c>
    </row>
    <row r="182">
      <c r="A182" s="2" t="inlineStr">
        <is>
          <t>KPROP-00583</t>
        </is>
      </c>
      <c r="B182" s="3" t="n">
        <v>46125.79556712963</v>
      </c>
      <c r="C182" s="3" t="n">
        <v>46125</v>
      </c>
      <c r="D182" s="2" t="inlineStr">
        <is>
          <t>Will Warren</t>
        </is>
      </c>
      <c r="E182" s="2" t="n">
        <v>147</v>
      </c>
      <c r="F182" s="2" t="n">
        <v>108</v>
      </c>
      <c r="G182" s="2" t="inlineStr">
        <is>
          <t>Home</t>
        </is>
      </c>
      <c r="H182" s="2" t="inlineStr">
        <is>
          <t>betmgm</t>
        </is>
      </c>
      <c r="I182" s="4" t="n"/>
      <c r="J182" s="4" t="n"/>
      <c r="K182" s="4" t="n">
        <v>120</v>
      </c>
      <c r="L182" s="4" t="n">
        <v>120</v>
      </c>
      <c r="M182" s="5" t="n">
        <v>5.5</v>
      </c>
      <c r="N182" s="5" t="n">
        <v>5.150479137848643</v>
      </c>
      <c r="O182" s="5" t="n">
        <v>5.5</v>
      </c>
      <c r="P182" s="5" t="n">
        <v>0.3495208621513575</v>
      </c>
      <c r="Q182" s="6" t="n">
        <v>0.2970674166412114</v>
      </c>
      <c r="R182" s="6" t="n">
        <v>0.5895760984732779</v>
      </c>
      <c r="S182" s="6" t="n">
        <v>0.4465678627145086</v>
      </c>
      <c r="T182" s="2" t="inlineStr">
        <is>
          <t>Under</t>
        </is>
      </c>
      <c r="U182" s="4" t="n">
        <v>120</v>
      </c>
      <c r="V182" s="2" t="n">
        <v>2.2</v>
      </c>
      <c r="W182" s="4" t="n">
        <v>120</v>
      </c>
      <c r="X182" s="2" t="n">
        <v>1</v>
      </c>
      <c r="Y182" s="5" t="n">
        <v>-1</v>
      </c>
      <c r="Z182" s="7" t="n">
        <v>100</v>
      </c>
      <c r="AA182" s="7">
        <f>Y182*Z182</f>
        <v/>
      </c>
      <c r="AB182" s="6">
        <f>IF(Z182=0,0,AA182/Z182)</f>
        <v/>
      </c>
      <c r="AC182" s="6" t="n"/>
      <c r="AD182" s="2" t="inlineStr">
        <is>
          <t>Loss</t>
        </is>
      </c>
      <c r="AE182" s="6">
        <f>IF((COUNTIF($AD$2:AD182,"Win")+COUNTIF($AD$2:AD182,"Loss"))=0,0,COUNTIF($AD$2:AD182,"Win")/(COUNTIF($AD$2:AD182,"Win")+COUNTIF($AD$2:AD182,"Loss")))</f>
        <v/>
      </c>
      <c r="AF182" s="6">
        <f>SUM($Y$2:Y182)/SUM($X$2:X182)</f>
        <v/>
      </c>
      <c r="AG182" s="5">
        <f>SUM($Y$2:Y182)</f>
        <v/>
      </c>
      <c r="AH182" s="7">
        <f>10000.0+SUM($AA$2:AA182)</f>
        <v/>
      </c>
      <c r="AI182" s="2" t="n">
        <v>2026</v>
      </c>
      <c r="AJ182" s="2" t="inlineStr">
        <is>
          <t>2026-04</t>
        </is>
      </c>
      <c r="AK182" s="2" t="inlineStr">
        <is>
          <t>+100 to +120</t>
        </is>
      </c>
      <c r="AL182" s="2" t="inlineStr">
        <is>
          <t>2026 Frozen Test</t>
        </is>
      </c>
      <c r="AM182" s="6" t="n">
        <v>0.2475561805343428</v>
      </c>
    </row>
    <row r="183">
      <c r="A183" s="2" t="inlineStr">
        <is>
          <t>KPROP-00584</t>
        </is>
      </c>
      <c r="B183" s="3" t="n">
        <v>46125.79556712963</v>
      </c>
      <c r="C183" s="3" t="n">
        <v>46125</v>
      </c>
      <c r="D183" s="2" t="inlineStr">
        <is>
          <t>Yusei Kikuchi</t>
        </is>
      </c>
      <c r="E183" s="2" t="n">
        <v>108</v>
      </c>
      <c r="F183" s="2" t="n">
        <v>147</v>
      </c>
      <c r="G183" s="2" t="inlineStr">
        <is>
          <t>Away</t>
        </is>
      </c>
      <c r="H183" s="2" t="inlineStr">
        <is>
          <t>betrivers</t>
        </is>
      </c>
      <c r="I183" s="4" t="n"/>
      <c r="J183" s="4" t="n"/>
      <c r="K183" s="4" t="n">
        <v>-132</v>
      </c>
      <c r="L183" s="4" t="n">
        <v>-132</v>
      </c>
      <c r="M183" s="5" t="n">
        <v>5.5</v>
      </c>
      <c r="N183" s="5" t="n">
        <v>4.980028239689363</v>
      </c>
      <c r="O183" s="5" t="n">
        <v>5.5</v>
      </c>
      <c r="P183" s="5" t="n">
        <v>0.5199717603106366</v>
      </c>
      <c r="Q183" s="6" t="n">
        <v>0.0887566673667321</v>
      </c>
      <c r="R183" s="6" t="n">
        <v>0.6194650003983131</v>
      </c>
      <c r="S183" s="6" t="n">
        <v>0.5443833464257659</v>
      </c>
      <c r="T183" s="2" t="inlineStr">
        <is>
          <t>Under</t>
        </is>
      </c>
      <c r="U183" s="4" t="n">
        <v>-132</v>
      </c>
      <c r="V183" s="2" t="n">
        <v>1.757575757575758</v>
      </c>
      <c r="W183" s="4" t="n">
        <v>-132</v>
      </c>
      <c r="X183" s="2" t="n">
        <v>1</v>
      </c>
      <c r="Y183" s="5" t="n">
        <v>0.7575757575757576</v>
      </c>
      <c r="Z183" s="7" t="n">
        <v>100</v>
      </c>
      <c r="AA183" s="7">
        <f>Y183*Z183</f>
        <v/>
      </c>
      <c r="AB183" s="6">
        <f>IF(Z183=0,0,AA183/Z183)</f>
        <v/>
      </c>
      <c r="AC183" s="6" t="n"/>
      <c r="AD183" s="2" t="inlineStr">
        <is>
          <t>Win</t>
        </is>
      </c>
      <c r="AE183" s="6">
        <f>IF((COUNTIF($AD$2:AD183,"Win")+COUNTIF($AD$2:AD183,"Loss"))=0,0,COUNTIF($AD$2:AD183,"Win")/(COUNTIF($AD$2:AD183,"Win")+COUNTIF($AD$2:AD183,"Loss")))</f>
        <v/>
      </c>
      <c r="AF183" s="6">
        <f>SUM($Y$2:Y183)/SUM($X$2:X183)</f>
        <v/>
      </c>
      <c r="AG183" s="5">
        <f>SUM($Y$2:Y183)</f>
        <v/>
      </c>
      <c r="AH183" s="7">
        <f>10000.0+SUM($AA$2:AA183)</f>
        <v/>
      </c>
      <c r="AI183" s="2" t="n">
        <v>2026</v>
      </c>
      <c r="AJ183" s="2" t="inlineStr">
        <is>
          <t>2026-04</t>
        </is>
      </c>
      <c r="AK183" s="2" t="inlineStr">
        <is>
          <t>-149 to -120</t>
        </is>
      </c>
      <c r="AL183" s="2" t="inlineStr">
        <is>
          <t>2026 Frozen Test</t>
        </is>
      </c>
      <c r="AM183" s="6" t="n">
        <v>0.1171588009240864</v>
      </c>
    </row>
    <row r="184">
      <c r="A184" s="2" t="inlineStr">
        <is>
          <t>KPROP-00585</t>
        </is>
      </c>
      <c r="B184" s="3" t="n">
        <v>46126.77474537037</v>
      </c>
      <c r="C184" s="3" t="n">
        <v>46126</v>
      </c>
      <c r="D184" s="2" t="inlineStr">
        <is>
          <t>Aaron Nola</t>
        </is>
      </c>
      <c r="E184" s="2" t="n">
        <v>143</v>
      </c>
      <c r="F184" s="2" t="n">
        <v>112</v>
      </c>
      <c r="G184" s="2" t="inlineStr">
        <is>
          <t>Home</t>
        </is>
      </c>
      <c r="H184" s="2" t="inlineStr">
        <is>
          <t>betmgm</t>
        </is>
      </c>
      <c r="I184" s="4" t="n"/>
      <c r="J184" s="4" t="n"/>
      <c r="K184" s="4" t="n">
        <v>-135</v>
      </c>
      <c r="L184" s="4" t="n">
        <v>-135</v>
      </c>
      <c r="M184" s="5" t="n">
        <v>5.5</v>
      </c>
      <c r="N184" s="5" t="n">
        <v>4.93245570663885</v>
      </c>
      <c r="O184" s="5" t="n">
        <v>5.5</v>
      </c>
      <c r="P184" s="5" t="n">
        <v>0.5675442933611503</v>
      </c>
      <c r="Q184" s="6" t="n">
        <v>0.09285559324758214</v>
      </c>
      <c r="R184" s="6" t="n">
        <v>0.6278106599507387</v>
      </c>
      <c r="S184" s="6" t="n">
        <v>0.5627093412727949</v>
      </c>
      <c r="T184" s="2" t="inlineStr">
        <is>
          <t>Under</t>
        </is>
      </c>
      <c r="U184" s="4" t="n">
        <v>-135</v>
      </c>
      <c r="V184" s="2" t="n">
        <v>1.740740740740741</v>
      </c>
      <c r="W184" s="4" t="n">
        <v>-135</v>
      </c>
      <c r="X184" s="2" t="n">
        <v>1</v>
      </c>
      <c r="Y184" s="5" t="n">
        <v>0.7407407407407407</v>
      </c>
      <c r="Z184" s="7" t="n">
        <v>100</v>
      </c>
      <c r="AA184" s="7">
        <f>Y184*Z184</f>
        <v/>
      </c>
      <c r="AB184" s="6">
        <f>IF(Z184=0,0,AA184/Z184)</f>
        <v/>
      </c>
      <c r="AC184" s="6" t="n"/>
      <c r="AD184" s="2" t="inlineStr">
        <is>
          <t>Win</t>
        </is>
      </c>
      <c r="AE184" s="6">
        <f>IF((COUNTIF($AD$2:AD184,"Win")+COUNTIF($AD$2:AD184,"Loss"))=0,0,COUNTIF($AD$2:AD184,"Win")/(COUNTIF($AD$2:AD184,"Win")+COUNTIF($AD$2:AD184,"Loss")))</f>
        <v/>
      </c>
      <c r="AF184" s="6">
        <f>SUM($Y$2:Y184)/SUM($X$2:X184)</f>
        <v/>
      </c>
      <c r="AG184" s="5">
        <f>SUM($Y$2:Y184)</f>
        <v/>
      </c>
      <c r="AH184" s="7">
        <f>10000.0+SUM($AA$2:AA184)</f>
        <v/>
      </c>
      <c r="AI184" s="2" t="n">
        <v>2026</v>
      </c>
      <c r="AJ184" s="2" t="inlineStr">
        <is>
          <t>2026-04</t>
        </is>
      </c>
      <c r="AK184" s="2" t="inlineStr">
        <is>
          <t>-149 to -120</t>
        </is>
      </c>
      <c r="AL184" s="2" t="inlineStr">
        <is>
          <t>2026 Frozen Test</t>
        </is>
      </c>
      <c r="AM184" s="6" t="n">
        <v>0.1253550508842359</v>
      </c>
    </row>
    <row r="185">
      <c r="A185" s="2" t="inlineStr">
        <is>
          <t>KPROP-00586</t>
        </is>
      </c>
      <c r="B185" s="3" t="n">
        <v>46126.77474537037</v>
      </c>
      <c r="C185" s="3" t="n">
        <v>46126</v>
      </c>
      <c r="D185" s="2" t="inlineStr">
        <is>
          <t>Brady Singer</t>
        </is>
      </c>
      <c r="E185" s="2" t="n">
        <v>113</v>
      </c>
      <c r="F185" s="2" t="n">
        <v>137</v>
      </c>
      <c r="G185" s="2" t="inlineStr">
        <is>
          <t>Home</t>
        </is>
      </c>
      <c r="H185" s="2" t="inlineStr">
        <is>
          <t>betmgm</t>
        </is>
      </c>
      <c r="I185" s="4" t="n"/>
      <c r="J185" s="4" t="n"/>
      <c r="K185" s="4" t="n">
        <v>-118</v>
      </c>
      <c r="L185" s="4" t="n">
        <v>-118</v>
      </c>
      <c r="M185" s="5" t="n">
        <v>4.5</v>
      </c>
      <c r="N185" s="5" t="n">
        <v>3.858197143117274</v>
      </c>
      <c r="O185" s="5" t="n">
        <v>4.5</v>
      </c>
      <c r="P185" s="5" t="n">
        <v>0.6418028568827263</v>
      </c>
      <c r="Q185" s="6" t="n">
        <v>0.2128871439705791</v>
      </c>
      <c r="R185" s="6" t="n">
        <v>0.6565168944427905</v>
      </c>
      <c r="S185" s="6" t="n">
        <v>0.5319879776728209</v>
      </c>
      <c r="T185" s="2" t="inlineStr">
        <is>
          <t>Under</t>
        </is>
      </c>
      <c r="U185" s="4" t="n">
        <v>-118</v>
      </c>
      <c r="V185" s="2" t="n">
        <v>1.847457627118644</v>
      </c>
      <c r="W185" s="4" t="n">
        <v>-118</v>
      </c>
      <c r="X185" s="2" t="n">
        <v>1</v>
      </c>
      <c r="Y185" s="5" t="n">
        <v>0.847457627118644</v>
      </c>
      <c r="Z185" s="7" t="n">
        <v>100</v>
      </c>
      <c r="AA185" s="7">
        <f>Y185*Z185</f>
        <v/>
      </c>
      <c r="AB185" s="6">
        <f>IF(Z185=0,0,AA185/Z185)</f>
        <v/>
      </c>
      <c r="AC185" s="6" t="n"/>
      <c r="AD185" s="2" t="inlineStr">
        <is>
          <t>Win</t>
        </is>
      </c>
      <c r="AE185" s="6">
        <f>IF((COUNTIF($AD$2:AD185,"Win")+COUNTIF($AD$2:AD185,"Loss"))=0,0,COUNTIF($AD$2:AD185,"Win")/(COUNTIF($AD$2:AD185,"Win")+COUNTIF($AD$2:AD185,"Loss")))</f>
        <v/>
      </c>
      <c r="AF185" s="6">
        <f>SUM($Y$2:Y185)/SUM($X$2:X185)</f>
        <v/>
      </c>
      <c r="AG185" s="5">
        <f>SUM($Y$2:Y185)</f>
        <v/>
      </c>
      <c r="AH185" s="7">
        <f>10000.0+SUM($AA$2:AA185)</f>
        <v/>
      </c>
      <c r="AI185" s="2" t="n">
        <v>2026</v>
      </c>
      <c r="AJ185" s="2" t="inlineStr">
        <is>
          <t>2026-04</t>
        </is>
      </c>
      <c r="AK185" s="2" t="inlineStr">
        <is>
          <t>-119 to -101</t>
        </is>
      </c>
      <c r="AL185" s="2" t="inlineStr">
        <is>
          <t>2026 Frozen Test</t>
        </is>
      </c>
      <c r="AM185" s="6" t="n">
        <v>0.2512068298852833</v>
      </c>
    </row>
    <row r="186">
      <c r="A186" s="2" t="inlineStr">
        <is>
          <t>KPROP-00587</t>
        </is>
      </c>
      <c r="B186" s="3" t="n">
        <v>46126.77474537037</v>
      </c>
      <c r="C186" s="3" t="n">
        <v>46126</v>
      </c>
      <c r="D186" s="2" t="inlineStr">
        <is>
          <t>Cole Ragans</t>
        </is>
      </c>
      <c r="E186" s="2" t="n">
        <v>118</v>
      </c>
      <c r="F186" s="2" t="n">
        <v>116</v>
      </c>
      <c r="G186" s="2" t="inlineStr">
        <is>
          <t>Away</t>
        </is>
      </c>
      <c r="H186" s="2" t="inlineStr">
        <is>
          <t>draftkings</t>
        </is>
      </c>
      <c r="I186" s="4" t="n"/>
      <c r="J186" s="4" t="n"/>
      <c r="K186" s="4" t="n">
        <v>113</v>
      </c>
      <c r="L186" s="4" t="n">
        <v>113</v>
      </c>
      <c r="M186" s="5" t="n">
        <v>6.5</v>
      </c>
      <c r="N186" s="5" t="n">
        <v>6.023428585631172</v>
      </c>
      <c r="O186" s="5" t="n">
        <v>6.5</v>
      </c>
      <c r="P186" s="5" t="n">
        <v>0.476571414368828</v>
      </c>
      <c r="Q186" s="6" t="n">
        <v>0.2834094899931412</v>
      </c>
      <c r="R186" s="6" t="n">
        <v>0.6025396666634466</v>
      </c>
      <c r="S186" s="6" t="n">
        <v>0.449717730360731</v>
      </c>
      <c r="T186" s="2" t="inlineStr">
        <is>
          <t>Under</t>
        </is>
      </c>
      <c r="U186" s="4" t="n">
        <v>113</v>
      </c>
      <c r="V186" s="2" t="n">
        <v>2.13</v>
      </c>
      <c r="W186" s="4" t="n">
        <v>113</v>
      </c>
      <c r="X186" s="2" t="n">
        <v>1</v>
      </c>
      <c r="Y186" s="5" t="n">
        <v>1.13</v>
      </c>
      <c r="Z186" s="7" t="n">
        <v>100</v>
      </c>
      <c r="AA186" s="7">
        <f>Y186*Z186</f>
        <v/>
      </c>
      <c r="AB186" s="6">
        <f>IF(Z186=0,0,AA186/Z186)</f>
        <v/>
      </c>
      <c r="AC186" s="6" t="n"/>
      <c r="AD186" s="2" t="inlineStr">
        <is>
          <t>Win</t>
        </is>
      </c>
      <c r="AE186" s="6">
        <f>IF((COUNTIF($AD$2:AD186,"Win")+COUNTIF($AD$2:AD186,"Loss"))=0,0,COUNTIF($AD$2:AD186,"Win")/(COUNTIF($AD$2:AD186,"Win")+COUNTIF($AD$2:AD186,"Loss")))</f>
        <v/>
      </c>
      <c r="AF186" s="6">
        <f>SUM($Y$2:Y186)/SUM($X$2:X186)</f>
        <v/>
      </c>
      <c r="AG186" s="5">
        <f>SUM($Y$2:Y186)</f>
        <v/>
      </c>
      <c r="AH186" s="7">
        <f>10000.0+SUM($AA$2:AA186)</f>
        <v/>
      </c>
      <c r="AI186" s="2" t="n">
        <v>2026</v>
      </c>
      <c r="AJ186" s="2" t="inlineStr">
        <is>
          <t>2026-04</t>
        </is>
      </c>
      <c r="AK186" s="2" t="inlineStr">
        <is>
          <t>+100 to +120</t>
        </is>
      </c>
      <c r="AL186" s="2" t="inlineStr">
        <is>
          <t>2026 Frozen Test</t>
        </is>
      </c>
      <c r="AM186" s="6" t="n">
        <v>0.2508048584010099</v>
      </c>
    </row>
    <row r="187">
      <c r="A187" s="2" t="inlineStr">
        <is>
          <t>KPROP-00588</t>
        </is>
      </c>
      <c r="B187" s="3" t="n">
        <v>46126.77474537037</v>
      </c>
      <c r="C187" s="3" t="n">
        <v>46126</v>
      </c>
      <c r="D187" s="2" t="inlineStr">
        <is>
          <t>Cole Ragans</t>
        </is>
      </c>
      <c r="E187" s="2" t="n">
        <v>118</v>
      </c>
      <c r="F187" s="2" t="n">
        <v>116</v>
      </c>
      <c r="G187" s="2" t="inlineStr">
        <is>
          <t>Away</t>
        </is>
      </c>
      <c r="H187" s="2" t="inlineStr">
        <is>
          <t>betrivers</t>
        </is>
      </c>
      <c r="I187" s="4" t="n"/>
      <c r="J187" s="4" t="n"/>
      <c r="K187" s="4" t="n">
        <v>-175</v>
      </c>
      <c r="L187" s="4" t="n">
        <v>-175</v>
      </c>
      <c r="M187" s="5" t="n">
        <v>7.5</v>
      </c>
      <c r="N187" s="5" t="n">
        <v>6.023428585631172</v>
      </c>
      <c r="O187" s="5" t="n">
        <v>7.5</v>
      </c>
      <c r="P187" s="5" t="n">
        <v>1.476571414368828</v>
      </c>
      <c r="Q187" s="6" t="n">
        <v>0.1640324696845533</v>
      </c>
      <c r="R187" s="6" t="n">
        <v>0.7407479352538067</v>
      </c>
      <c r="S187" s="6" t="n">
        <v>0.5919881305637983</v>
      </c>
      <c r="T187" s="2" t="inlineStr">
        <is>
          <t>Under</t>
        </is>
      </c>
      <c r="U187" s="4" t="n">
        <v>-175</v>
      </c>
      <c r="V187" s="2" t="n">
        <v>1.571428571428571</v>
      </c>
      <c r="W187" s="4" t="n">
        <v>-175</v>
      </c>
      <c r="X187" s="2" t="n">
        <v>1</v>
      </c>
      <c r="Y187" s="5" t="n">
        <v>0.5714285714285714</v>
      </c>
      <c r="Z187" s="7" t="n">
        <v>100</v>
      </c>
      <c r="AA187" s="7">
        <f>Y187*Z187</f>
        <v/>
      </c>
      <c r="AB187" s="6">
        <f>IF(Z187=0,0,AA187/Z187)</f>
        <v/>
      </c>
      <c r="AC187" s="6" t="n"/>
      <c r="AD187" s="2" t="inlineStr">
        <is>
          <t>Win</t>
        </is>
      </c>
      <c r="AE187" s="6">
        <f>IF((COUNTIF($AD$2:AD187,"Win")+COUNTIF($AD$2:AD187,"Loss"))=0,0,COUNTIF($AD$2:AD187,"Win")/(COUNTIF($AD$2:AD187,"Win")+COUNTIF($AD$2:AD187,"Loss")))</f>
        <v/>
      </c>
      <c r="AF187" s="6">
        <f>SUM($Y$2:Y187)/SUM($X$2:X187)</f>
        <v/>
      </c>
      <c r="AG187" s="5">
        <f>SUM($Y$2:Y187)</f>
        <v/>
      </c>
      <c r="AH187" s="7">
        <f>10000.0+SUM($AA$2:AA187)</f>
        <v/>
      </c>
      <c r="AI187" s="2" t="n">
        <v>2026</v>
      </c>
      <c r="AJ187" s="2" t="inlineStr">
        <is>
          <t>2026-04</t>
        </is>
      </c>
      <c r="AK187" s="2" t="inlineStr">
        <is>
          <t>&lt;= -150</t>
        </is>
      </c>
      <c r="AL187" s="2" t="inlineStr">
        <is>
          <t>2026 Frozen Test</t>
        </is>
      </c>
      <c r="AM187" s="6" t="n">
        <v>0.2870568219479683</v>
      </c>
    </row>
    <row r="188">
      <c r="A188" s="2" t="inlineStr">
        <is>
          <t>KPROP-00589</t>
        </is>
      </c>
      <c r="B188" s="3" t="n">
        <v>46126.81988425926</v>
      </c>
      <c r="C188" s="3" t="n">
        <v>46126</v>
      </c>
      <c r="D188" s="2" t="inlineStr">
        <is>
          <t>Joey Cantillo</t>
        </is>
      </c>
      <c r="E188" s="2" t="n">
        <v>114</v>
      </c>
      <c r="F188" s="2" t="n">
        <v>138</v>
      </c>
      <c r="G188" s="2" t="inlineStr">
        <is>
          <t>Away</t>
        </is>
      </c>
      <c r="H188" s="2" t="inlineStr">
        <is>
          <t>betrivers</t>
        </is>
      </c>
      <c r="I188" s="4" t="n"/>
      <c r="J188" s="4" t="n"/>
      <c r="K188" s="4" t="n">
        <v>138</v>
      </c>
      <c r="L188" s="4" t="n">
        <v>138</v>
      </c>
      <c r="M188" s="5" t="n">
        <v>4.5</v>
      </c>
      <c r="N188" s="5" t="n">
        <v>4.887141259561666</v>
      </c>
      <c r="O188" s="5" t="n">
        <v>4.5</v>
      </c>
      <c r="P188" s="5" t="n">
        <v>-0.3871412595616661</v>
      </c>
      <c r="Q188" s="6" t="n">
        <v>0.09602469950955639</v>
      </c>
      <c r="R188" s="6" t="n">
        <v>0.4605145796258641</v>
      </c>
      <c r="S188" s="6" t="n">
        <v>0.4151838671411625</v>
      </c>
      <c r="T188" s="2" t="inlineStr">
        <is>
          <t>Under</t>
        </is>
      </c>
      <c r="U188" s="4" t="n">
        <v>138</v>
      </c>
      <c r="V188" s="2" t="n">
        <v>2.38</v>
      </c>
      <c r="W188" s="4" t="n">
        <v>138</v>
      </c>
      <c r="X188" s="2" t="n">
        <v>1</v>
      </c>
      <c r="Y188" s="5" t="n">
        <v>1.38</v>
      </c>
      <c r="Z188" s="7" t="n">
        <v>100</v>
      </c>
      <c r="AA188" s="7">
        <f>Y188*Z188</f>
        <v/>
      </c>
      <c r="AB188" s="6">
        <f>IF(Z188=0,0,AA188/Z188)</f>
        <v/>
      </c>
      <c r="AC188" s="6" t="n"/>
      <c r="AD188" s="2" t="inlineStr">
        <is>
          <t>Win</t>
        </is>
      </c>
      <c r="AE188" s="6">
        <f>IF((COUNTIF($AD$2:AD188,"Win")+COUNTIF($AD$2:AD188,"Loss"))=0,0,COUNTIF($AD$2:AD188,"Win")/(COUNTIF($AD$2:AD188,"Win")+COUNTIF($AD$2:AD188,"Loss")))</f>
        <v/>
      </c>
      <c r="AF188" s="6">
        <f>SUM($Y$2:Y188)/SUM($X$2:X188)</f>
        <v/>
      </c>
      <c r="AG188" s="5">
        <f>SUM($Y$2:Y188)</f>
        <v/>
      </c>
      <c r="AH188" s="7">
        <f>10000.0+SUM($AA$2:AA188)</f>
        <v/>
      </c>
      <c r="AI188" s="2" t="n">
        <v>2026</v>
      </c>
      <c r="AJ188" s="2" t="inlineStr">
        <is>
          <t>2026-04</t>
        </is>
      </c>
      <c r="AK188" s="2" t="inlineStr">
        <is>
          <t>+121 to +150</t>
        </is>
      </c>
      <c r="AL188" s="2" t="inlineStr">
        <is>
          <t>2026 Frozen Test</t>
        </is>
      </c>
      <c r="AM188" s="6" t="n">
        <v>0.06958311558663507</v>
      </c>
    </row>
    <row r="189">
      <c r="A189" s="2" t="inlineStr">
        <is>
          <t>KPROP-00590</t>
        </is>
      </c>
      <c r="B189" s="3" t="n">
        <v>46126.81641203703</v>
      </c>
      <c r="C189" s="3" t="n">
        <v>46126</v>
      </c>
      <c r="D189" s="2" t="inlineStr">
        <is>
          <t>Kevin Gausman</t>
        </is>
      </c>
      <c r="E189" s="2" t="n">
        <v>141</v>
      </c>
      <c r="F189" s="2" t="n">
        <v>158</v>
      </c>
      <c r="G189" s="2" t="inlineStr">
        <is>
          <t>Away</t>
        </is>
      </c>
      <c r="H189" s="2" t="inlineStr">
        <is>
          <t>betrivers</t>
        </is>
      </c>
      <c r="I189" s="4" t="n"/>
      <c r="J189" s="4" t="n"/>
      <c r="K189" s="4" t="n">
        <v>140</v>
      </c>
      <c r="L189" s="4" t="n">
        <v>140</v>
      </c>
      <c r="M189" s="5" t="n">
        <v>5.5</v>
      </c>
      <c r="N189" s="5" t="n">
        <v>5.61217894614391</v>
      </c>
      <c r="O189" s="5" t="n">
        <v>5.5</v>
      </c>
      <c r="P189" s="5" t="n">
        <v>-0.11217894614391</v>
      </c>
      <c r="Q189" s="6" t="n">
        <v>0.223508946290689</v>
      </c>
      <c r="R189" s="6" t="n">
        <v>0.5097953942877871</v>
      </c>
      <c r="S189" s="6" t="n">
        <v>0.4073123797305965</v>
      </c>
      <c r="T189" s="2" t="inlineStr">
        <is>
          <t>Under</t>
        </is>
      </c>
      <c r="U189" s="4" t="n">
        <v>140</v>
      </c>
      <c r="V189" s="2" t="n">
        <v>2.4</v>
      </c>
      <c r="W189" s="4" t="n">
        <v>140</v>
      </c>
      <c r="X189" s="2" t="n">
        <v>1</v>
      </c>
      <c r="Y189" s="5" t="n">
        <v>1.4</v>
      </c>
      <c r="Z189" s="7" t="n">
        <v>100</v>
      </c>
      <c r="AA189" s="7">
        <f>Y189*Z189</f>
        <v/>
      </c>
      <c r="AB189" s="6">
        <f>IF(Z189=0,0,AA189/Z189)</f>
        <v/>
      </c>
      <c r="AC189" s="6" t="n"/>
      <c r="AD189" s="2" t="inlineStr">
        <is>
          <t>Win</t>
        </is>
      </c>
      <c r="AE189" s="6">
        <f>IF((COUNTIF($AD$2:AD189,"Win")+COUNTIF($AD$2:AD189,"Loss"))=0,0,COUNTIF($AD$2:AD189,"Win")/(COUNTIF($AD$2:AD189,"Win")+COUNTIF($AD$2:AD189,"Loss")))</f>
        <v/>
      </c>
      <c r="AF189" s="6">
        <f>SUM($Y$2:Y189)/SUM($X$2:X189)</f>
        <v/>
      </c>
      <c r="AG189" s="5">
        <f>SUM($Y$2:Y189)</f>
        <v/>
      </c>
      <c r="AH189" s="7">
        <f>10000.0+SUM($AA$2:AA189)</f>
        <v/>
      </c>
      <c r="AI189" s="2" t="n">
        <v>2026</v>
      </c>
      <c r="AJ189" s="2" t="inlineStr">
        <is>
          <t>2026-04</t>
        </is>
      </c>
      <c r="AK189" s="2" t="inlineStr">
        <is>
          <t>+121 to +150</t>
        </is>
      </c>
      <c r="AL189" s="2" t="inlineStr">
        <is>
          <t>2026 Frozen Test</t>
        </is>
      </c>
      <c r="AM189" s="6" t="n">
        <v>0.1596492473504921</v>
      </c>
    </row>
    <row r="190">
      <c r="A190" s="2" t="inlineStr">
        <is>
          <t>KPROP-00591</t>
        </is>
      </c>
      <c r="B190" s="3" t="n">
        <v>46126.81641203703</v>
      </c>
      <c r="C190" s="3" t="n">
        <v>46126</v>
      </c>
      <c r="D190" s="2" t="inlineStr">
        <is>
          <t>Kevin Gausman</t>
        </is>
      </c>
      <c r="E190" s="2" t="n">
        <v>141</v>
      </c>
      <c r="F190" s="2" t="n">
        <v>158</v>
      </c>
      <c r="G190" s="2" t="inlineStr">
        <is>
          <t>Away</t>
        </is>
      </c>
      <c r="H190" s="2" t="inlineStr">
        <is>
          <t>betrivers</t>
        </is>
      </c>
      <c r="I190" s="4" t="n"/>
      <c r="J190" s="4" t="n"/>
      <c r="K190" s="4" t="n">
        <v>-143</v>
      </c>
      <c r="L190" s="4" t="n">
        <v>-143</v>
      </c>
      <c r="M190" s="5" t="n">
        <v>6.5</v>
      </c>
      <c r="N190" s="5" t="n">
        <v>5.61217894614391</v>
      </c>
      <c r="O190" s="5" t="n">
        <v>6.5</v>
      </c>
      <c r="P190" s="5" t="n">
        <v>0.88782105385609</v>
      </c>
      <c r="Q190" s="6" t="n">
        <v>0.1356900014574174</v>
      </c>
      <c r="R190" s="6" t="n">
        <v>0.6683278609399618</v>
      </c>
      <c r="S190" s="6" t="n">
        <v>0.5642037302725968</v>
      </c>
      <c r="T190" s="2" t="inlineStr">
        <is>
          <t>Under</t>
        </is>
      </c>
      <c r="U190" s="4" t="n">
        <v>-143</v>
      </c>
      <c r="V190" s="2" t="n">
        <v>1.699300699300699</v>
      </c>
      <c r="W190" s="4" t="n">
        <v>-143</v>
      </c>
      <c r="X190" s="2" t="n">
        <v>1</v>
      </c>
      <c r="Y190" s="5" t="n">
        <v>0.6993006993006992</v>
      </c>
      <c r="Z190" s="7" t="n">
        <v>100</v>
      </c>
      <c r="AA190" s="7">
        <f>Y190*Z190</f>
        <v/>
      </c>
      <c r="AB190" s="6">
        <f>IF(Z190=0,0,AA190/Z190)</f>
        <v/>
      </c>
      <c r="AC190" s="6" t="n"/>
      <c r="AD190" s="2" t="inlineStr">
        <is>
          <t>Win</t>
        </is>
      </c>
      <c r="AE190" s="6">
        <f>IF((COUNTIF($AD$2:AD190,"Win")+COUNTIF($AD$2:AD190,"Loss"))=0,0,COUNTIF($AD$2:AD190,"Win")/(COUNTIF($AD$2:AD190,"Win")+COUNTIF($AD$2:AD190,"Loss")))</f>
        <v/>
      </c>
      <c r="AF190" s="6">
        <f>SUM($Y$2:Y190)/SUM($X$2:X190)</f>
        <v/>
      </c>
      <c r="AG190" s="5">
        <f>SUM($Y$2:Y190)</f>
        <v/>
      </c>
      <c r="AH190" s="7">
        <f>10000.0+SUM($AA$2:AA190)</f>
        <v/>
      </c>
      <c r="AI190" s="2" t="n">
        <v>2026</v>
      </c>
      <c r="AJ190" s="2" t="inlineStr">
        <is>
          <t>2026-04</t>
        </is>
      </c>
      <c r="AK190" s="2" t="inlineStr">
        <is>
          <t>-149 to -120</t>
        </is>
      </c>
      <c r="AL190" s="2" t="inlineStr">
        <is>
          <t>2026 Frozen Test</t>
        </is>
      </c>
      <c r="AM190" s="6" t="n">
        <v>0.194036702084107</v>
      </c>
    </row>
    <row r="191">
      <c r="A191" s="2" t="inlineStr">
        <is>
          <t>KPROP-00592</t>
        </is>
      </c>
      <c r="B191" s="3" t="n">
        <v>46126.79903935185</v>
      </c>
      <c r="C191" s="3" t="n">
        <v>46126</v>
      </c>
      <c r="D191" s="2" t="inlineStr">
        <is>
          <t>Reynaldo López</t>
        </is>
      </c>
      <c r="E191" s="2" t="n">
        <v>144</v>
      </c>
      <c r="F191" s="2" t="n">
        <v>146</v>
      </c>
      <c r="G191" s="2" t="inlineStr">
        <is>
          <t>Home</t>
        </is>
      </c>
      <c r="H191" s="2" t="inlineStr">
        <is>
          <t>betmgm</t>
        </is>
      </c>
      <c r="I191" s="4" t="n"/>
      <c r="J191" s="4" t="n"/>
      <c r="K191" s="4" t="n">
        <v>-110</v>
      </c>
      <c r="L191" s="4" t="n">
        <v>-110</v>
      </c>
      <c r="M191" s="5" t="n">
        <v>4.5</v>
      </c>
      <c r="N191" s="5" t="n">
        <v>4.29685659576939</v>
      </c>
      <c r="O191" s="5" t="n">
        <v>4.5</v>
      </c>
      <c r="P191" s="5" t="n">
        <v>0.2031434042306097</v>
      </c>
      <c r="Q191" s="6" t="n">
        <v>0.09017823876073215</v>
      </c>
      <c r="R191" s="6" t="n">
        <v>0.5710457441127644</v>
      </c>
      <c r="S191" s="6" t="n">
        <v>0.5128740431454418</v>
      </c>
      <c r="T191" s="2" t="inlineStr">
        <is>
          <t>Under</t>
        </is>
      </c>
      <c r="U191" s="4" t="n">
        <v>-110</v>
      </c>
      <c r="V191" s="2" t="n">
        <v>1.909090909090909</v>
      </c>
      <c r="W191" s="4" t="n">
        <v>-110</v>
      </c>
      <c r="X191" s="2" t="n">
        <v>1</v>
      </c>
      <c r="Y191" s="5" t="n">
        <v>-1</v>
      </c>
      <c r="Z191" s="7" t="n">
        <v>100</v>
      </c>
      <c r="AA191" s="7">
        <f>Y191*Z191</f>
        <v/>
      </c>
      <c r="AB191" s="6">
        <f>IF(Z191=0,0,AA191/Z191)</f>
        <v/>
      </c>
      <c r="AC191" s="6" t="n"/>
      <c r="AD191" s="2" t="inlineStr">
        <is>
          <t>Loss</t>
        </is>
      </c>
      <c r="AE191" s="6">
        <f>IF((COUNTIF($AD$2:AD191,"Win")+COUNTIF($AD$2:AD191,"Loss"))=0,0,COUNTIF($AD$2:AD191,"Win")/(COUNTIF($AD$2:AD191,"Win")+COUNTIF($AD$2:AD191,"Loss")))</f>
        <v/>
      </c>
      <c r="AF191" s="6">
        <f>SUM($Y$2:Y191)/SUM($X$2:X191)</f>
        <v/>
      </c>
      <c r="AG191" s="5">
        <f>SUM($Y$2:Y191)</f>
        <v/>
      </c>
      <c r="AH191" s="7">
        <f>10000.0+SUM($AA$2:AA191)</f>
        <v/>
      </c>
      <c r="AI191" s="2" t="n">
        <v>2026</v>
      </c>
      <c r="AJ191" s="2" t="inlineStr">
        <is>
          <t>2026-04</t>
        </is>
      </c>
      <c r="AK191" s="2" t="inlineStr">
        <is>
          <t>-119 to -101</t>
        </is>
      </c>
      <c r="AL191" s="2" t="inlineStr">
        <is>
          <t>2026 Frozen Test</t>
        </is>
      </c>
      <c r="AM191" s="6" t="n">
        <v>0.09919606263680537</v>
      </c>
    </row>
    <row r="192">
      <c r="A192" s="2" t="inlineStr">
        <is>
          <t>KPROP-00593</t>
        </is>
      </c>
      <c r="B192" s="3" t="n">
        <v>46126.81641203703</v>
      </c>
      <c r="C192" s="3" t="n">
        <v>46126</v>
      </c>
      <c r="D192" s="2" t="inlineStr">
        <is>
          <t>Sonny Gray</t>
        </is>
      </c>
      <c r="E192" s="2" t="n">
        <v>111</v>
      </c>
      <c r="F192" s="2" t="n">
        <v>142</v>
      </c>
      <c r="G192" s="2" t="inlineStr">
        <is>
          <t>Away</t>
        </is>
      </c>
      <c r="H192" s="2" t="inlineStr">
        <is>
          <t>fanduel</t>
        </is>
      </c>
      <c r="I192" s="4" t="n"/>
      <c r="J192" s="4" t="n"/>
      <c r="K192" s="4" t="n">
        <v>116</v>
      </c>
      <c r="L192" s="4" t="n">
        <v>116</v>
      </c>
      <c r="M192" s="5" t="n">
        <v>5.5</v>
      </c>
      <c r="N192" s="5" t="n">
        <v>5.394469174375988</v>
      </c>
      <c r="O192" s="5" t="n">
        <v>5.5</v>
      </c>
      <c r="P192" s="5" t="n">
        <v>0.1055308256240117</v>
      </c>
      <c r="Q192" s="6" t="n">
        <v>0.1817103910537908</v>
      </c>
      <c r="R192" s="6" t="n">
        <v>0.5470881440063846</v>
      </c>
      <c r="S192" s="6" t="n">
        <v>0.4462590201291302</v>
      </c>
      <c r="T192" s="2" t="inlineStr">
        <is>
          <t>Under</t>
        </is>
      </c>
      <c r="U192" s="4" t="n">
        <v>116</v>
      </c>
      <c r="V192" s="2" t="n">
        <v>2.16</v>
      </c>
      <c r="W192" s="4" t="n">
        <v>116</v>
      </c>
      <c r="X192" s="2" t="n">
        <v>1</v>
      </c>
      <c r="Y192" s="5" t="n">
        <v>1.16</v>
      </c>
      <c r="Z192" s="7" t="n">
        <v>100</v>
      </c>
      <c r="AA192" s="7">
        <f>Y192*Z192</f>
        <v/>
      </c>
      <c r="AB192" s="6">
        <f>IF(Z192=0,0,AA192/Z192)</f>
        <v/>
      </c>
      <c r="AC192" s="6" t="n"/>
      <c r="AD192" s="2" t="inlineStr">
        <is>
          <t>Win</t>
        </is>
      </c>
      <c r="AE192" s="6">
        <f>IF((COUNTIF($AD$2:AD192,"Win")+COUNTIF($AD$2:AD192,"Loss"))=0,0,COUNTIF($AD$2:AD192,"Win")/(COUNTIF($AD$2:AD192,"Win")+COUNTIF($AD$2:AD192,"Loss")))</f>
        <v/>
      </c>
      <c r="AF192" s="6">
        <f>SUM($Y$2:Y192)/SUM($X$2:X192)</f>
        <v/>
      </c>
      <c r="AG192" s="5">
        <f>SUM($Y$2:Y192)</f>
        <v/>
      </c>
      <c r="AH192" s="7">
        <f>10000.0+SUM($AA$2:AA192)</f>
        <v/>
      </c>
      <c r="AI192" s="2" t="n">
        <v>2026</v>
      </c>
      <c r="AJ192" s="2" t="inlineStr">
        <is>
          <t>2026-04</t>
        </is>
      </c>
      <c r="AK192" s="2" t="inlineStr">
        <is>
          <t>+100 to +120</t>
        </is>
      </c>
      <c r="AL192" s="2" t="inlineStr">
        <is>
          <t>2026 Frozen Test</t>
        </is>
      </c>
      <c r="AM192" s="6" t="n">
        <v>0.1566468888394748</v>
      </c>
    </row>
    <row r="193">
      <c r="A193" s="2" t="inlineStr">
        <is>
          <t>KPROP-00594</t>
        </is>
      </c>
      <c r="B193" s="3" t="n">
        <v>46126.81641203703</v>
      </c>
      <c r="C193" s="3" t="n">
        <v>46126</v>
      </c>
      <c r="D193" s="2" t="inlineStr">
        <is>
          <t>Sonny Gray</t>
        </is>
      </c>
      <c r="E193" s="2" t="n">
        <v>111</v>
      </c>
      <c r="F193" s="2" t="n">
        <v>142</v>
      </c>
      <c r="G193" s="2" t="inlineStr">
        <is>
          <t>Away</t>
        </is>
      </c>
      <c r="H193" s="2" t="inlineStr">
        <is>
          <t>betrivers</t>
        </is>
      </c>
      <c r="I193" s="4" t="n"/>
      <c r="J193" s="4" t="n"/>
      <c r="K193" s="4" t="n">
        <v>-186</v>
      </c>
      <c r="L193" s="4" t="n">
        <v>-186</v>
      </c>
      <c r="M193" s="5" t="n">
        <v>6.5</v>
      </c>
      <c r="N193" s="5" t="n">
        <v>5.394469174375988</v>
      </c>
      <c r="O193" s="5" t="n">
        <v>6.5</v>
      </c>
      <c r="P193" s="5" t="n">
        <v>1.105530825624012</v>
      </c>
      <c r="Q193" s="6" t="n">
        <v>0.08023629867672299</v>
      </c>
      <c r="R193" s="6" t="n">
        <v>0.7025312991394073</v>
      </c>
      <c r="S193" s="6" t="n">
        <v>0.6075094691771422</v>
      </c>
      <c r="T193" s="2" t="inlineStr">
        <is>
          <t>Under</t>
        </is>
      </c>
      <c r="U193" s="4" t="n">
        <v>-186</v>
      </c>
      <c r="V193" s="2" t="n">
        <v>1.537634408602151</v>
      </c>
      <c r="W193" s="4" t="n">
        <v>-186</v>
      </c>
      <c r="X193" s="2" t="n">
        <v>1</v>
      </c>
      <c r="Y193" s="5" t="n">
        <v>0.5376344086021505</v>
      </c>
      <c r="Z193" s="7" t="n">
        <v>100</v>
      </c>
      <c r="AA193" s="7">
        <f>Y193*Z193</f>
        <v/>
      </c>
      <c r="AB193" s="6">
        <f>IF(Z193=0,0,AA193/Z193)</f>
        <v/>
      </c>
      <c r="AC193" s="6" t="n"/>
      <c r="AD193" s="2" t="inlineStr">
        <is>
          <t>Win</t>
        </is>
      </c>
      <c r="AE193" s="6">
        <f>IF((COUNTIF($AD$2:AD193,"Win")+COUNTIF($AD$2:AD193,"Loss"))=0,0,COUNTIF($AD$2:AD193,"Win")/(COUNTIF($AD$2:AD193,"Win")+COUNTIF($AD$2:AD193,"Loss")))</f>
        <v/>
      </c>
      <c r="AF193" s="6">
        <f>SUM($Y$2:Y193)/SUM($X$2:X193)</f>
        <v/>
      </c>
      <c r="AG193" s="5">
        <f>SUM($Y$2:Y193)</f>
        <v/>
      </c>
      <c r="AH193" s="7">
        <f>10000.0+SUM($AA$2:AA193)</f>
        <v/>
      </c>
      <c r="AI193" s="2" t="n">
        <v>2026</v>
      </c>
      <c r="AJ193" s="2" t="inlineStr">
        <is>
          <t>2026-04</t>
        </is>
      </c>
      <c r="AK193" s="2" t="inlineStr">
        <is>
          <t>&lt;= -150</t>
        </is>
      </c>
      <c r="AL193" s="2" t="inlineStr">
        <is>
          <t>2026 Frozen Test</t>
        </is>
      </c>
      <c r="AM193" s="6" t="n">
        <v>0.1492395155387048</v>
      </c>
    </row>
    <row r="194">
      <c r="A194" s="2" t="inlineStr">
        <is>
          <t>KPROP-00595</t>
        </is>
      </c>
      <c r="B194" s="3" t="n">
        <v>46127.77820601852</v>
      </c>
      <c r="C194" s="3" t="n">
        <v>46127</v>
      </c>
      <c r="D194" s="2" t="inlineStr">
        <is>
          <t>Jack Flaherty</t>
        </is>
      </c>
      <c r="E194" s="2" t="n">
        <v>116</v>
      </c>
      <c r="F194" s="2" t="n">
        <v>118</v>
      </c>
      <c r="G194" s="2" t="inlineStr">
        <is>
          <t>Home</t>
        </is>
      </c>
      <c r="H194" s="2" t="inlineStr">
        <is>
          <t>betrivers</t>
        </is>
      </c>
      <c r="I194" s="4" t="n"/>
      <c r="J194" s="4" t="n"/>
      <c r="K194" s="4" t="n">
        <v>140</v>
      </c>
      <c r="L194" s="4" t="n">
        <v>140</v>
      </c>
      <c r="M194" s="5" t="n">
        <v>4.5</v>
      </c>
      <c r="N194" s="5" t="n">
        <v>4.46045509723795</v>
      </c>
      <c r="O194" s="5" t="n">
        <v>4.5</v>
      </c>
      <c r="P194" s="5" t="n">
        <v>0.03954490276205025</v>
      </c>
      <c r="Q194" s="6" t="n">
        <v>0.2951015002623399</v>
      </c>
      <c r="R194" s="6" t="n">
        <v>0.5396256251093083</v>
      </c>
      <c r="S194" s="6" t="n">
        <v>0.4104846686449061</v>
      </c>
      <c r="T194" s="2" t="inlineStr">
        <is>
          <t>Under</t>
        </is>
      </c>
      <c r="U194" s="4" t="n">
        <v>140</v>
      </c>
      <c r="V194" s="2" t="n">
        <v>2.4</v>
      </c>
      <c r="W194" s="4" t="n">
        <v>140</v>
      </c>
      <c r="X194" s="2" t="n">
        <v>1</v>
      </c>
      <c r="Y194" s="5" t="n">
        <v>-1</v>
      </c>
      <c r="Z194" s="7" t="n">
        <v>100</v>
      </c>
      <c r="AA194" s="7">
        <f>Y194*Z194</f>
        <v/>
      </c>
      <c r="AB194" s="6">
        <f>IF(Z194=0,0,AA194/Z194)</f>
        <v/>
      </c>
      <c r="AC194" s="6" t="n"/>
      <c r="AD194" s="2" t="inlineStr">
        <is>
          <t>Loss</t>
        </is>
      </c>
      <c r="AE194" s="6">
        <f>IF((COUNTIF($AD$2:AD194,"Win")+COUNTIF($AD$2:AD194,"Loss"))=0,0,COUNTIF($AD$2:AD194,"Win")/(COUNTIF($AD$2:AD194,"Win")+COUNTIF($AD$2:AD194,"Loss")))</f>
        <v/>
      </c>
      <c r="AF194" s="6">
        <f>SUM($Y$2:Y194)/SUM($X$2:X194)</f>
        <v/>
      </c>
      <c r="AG194" s="5">
        <f>SUM($Y$2:Y194)</f>
        <v/>
      </c>
      <c r="AH194" s="7">
        <f>10000.0+SUM($AA$2:AA194)</f>
        <v/>
      </c>
      <c r="AI194" s="2" t="n">
        <v>2026</v>
      </c>
      <c r="AJ194" s="2" t="inlineStr">
        <is>
          <t>2026-04</t>
        </is>
      </c>
      <c r="AK194" s="2" t="inlineStr">
        <is>
          <t>+121 to +150</t>
        </is>
      </c>
      <c r="AL194" s="2" t="inlineStr">
        <is>
          <t>2026 Frozen Test</t>
        </is>
      </c>
      <c r="AM194" s="6" t="n">
        <v>0.2107867859016714</v>
      </c>
    </row>
    <row r="195">
      <c r="A195" s="2" t="inlineStr">
        <is>
          <t>KPROP-00596</t>
        </is>
      </c>
      <c r="B195" s="3" t="n">
        <v>46127.77820601852</v>
      </c>
      <c r="C195" s="3" t="n">
        <v>46127</v>
      </c>
      <c r="D195" s="2" t="inlineStr">
        <is>
          <t>Jack Flaherty</t>
        </is>
      </c>
      <c r="E195" s="2" t="n">
        <v>116</v>
      </c>
      <c r="F195" s="2" t="n">
        <v>118</v>
      </c>
      <c r="G195" s="2" t="inlineStr">
        <is>
          <t>Home</t>
        </is>
      </c>
      <c r="H195" s="2" t="inlineStr">
        <is>
          <t>betrivers</t>
        </is>
      </c>
      <c r="I195" s="4" t="n"/>
      <c r="J195" s="4" t="n"/>
      <c r="K195" s="4" t="n">
        <v>-155</v>
      </c>
      <c r="L195" s="4" t="n">
        <v>-155</v>
      </c>
      <c r="M195" s="5" t="n">
        <v>5.5</v>
      </c>
      <c r="N195" s="5" t="n">
        <v>4.46045509723795</v>
      </c>
      <c r="O195" s="5" t="n">
        <v>5.5</v>
      </c>
      <c r="P195" s="5" t="n">
        <v>1.03954490276205</v>
      </c>
      <c r="Q195" s="6" t="n">
        <v>0.1675224549627241</v>
      </c>
      <c r="R195" s="6" t="n">
        <v>0.7096705118400872</v>
      </c>
      <c r="S195" s="6" t="n">
        <v>0.5922935486449755</v>
      </c>
      <c r="T195" s="2" t="inlineStr">
        <is>
          <t>Under</t>
        </is>
      </c>
      <c r="U195" s="4" t="n">
        <v>-155</v>
      </c>
      <c r="V195" s="2" t="n">
        <v>1.645161290322581</v>
      </c>
      <c r="W195" s="4" t="n">
        <v>-155</v>
      </c>
      <c r="X195" s="2" t="n">
        <v>1</v>
      </c>
      <c r="Y195" s="5" t="n">
        <v>-1</v>
      </c>
      <c r="Z195" s="7" t="n">
        <v>100</v>
      </c>
      <c r="AA195" s="7">
        <f>Y195*Z195</f>
        <v/>
      </c>
      <c r="AB195" s="6">
        <f>IF(Z195=0,0,AA195/Z195)</f>
        <v/>
      </c>
      <c r="AC195" s="6" t="n"/>
      <c r="AD195" s="2" t="inlineStr">
        <is>
          <t>Loss</t>
        </is>
      </c>
      <c r="AE195" s="6">
        <f>IF((COUNTIF($AD$2:AD195,"Win")+COUNTIF($AD$2:AD195,"Loss"))=0,0,COUNTIF($AD$2:AD195,"Win")/(COUNTIF($AD$2:AD195,"Win")+COUNTIF($AD$2:AD195,"Loss")))</f>
        <v/>
      </c>
      <c r="AF195" s="6">
        <f>SUM($Y$2:Y195)/SUM($X$2:X195)</f>
        <v/>
      </c>
      <c r="AG195" s="5">
        <f>SUM($Y$2:Y195)</f>
        <v/>
      </c>
      <c r="AH195" s="7">
        <f>10000.0+SUM($AA$2:AA195)</f>
        <v/>
      </c>
      <c r="AI195" s="2" t="n">
        <v>2026</v>
      </c>
      <c r="AJ195" s="2" t="inlineStr">
        <is>
          <t>2026-04</t>
        </is>
      </c>
      <c r="AK195" s="2" t="inlineStr">
        <is>
          <t>&lt;= -150</t>
        </is>
      </c>
      <c r="AL195" s="2" t="inlineStr">
        <is>
          <t>2026 Frozen Test</t>
        </is>
      </c>
      <c r="AM195" s="6" t="n">
        <v>0.2596598051922223</v>
      </c>
    </row>
    <row r="196">
      <c r="A196" s="2" t="inlineStr">
        <is>
          <t>KPROP-00597</t>
        </is>
      </c>
      <c r="B196" s="3" t="n">
        <v>46127.77820601852</v>
      </c>
      <c r="C196" s="3" t="n">
        <v>46127</v>
      </c>
      <c r="D196" s="2" t="inlineStr">
        <is>
          <t>Rhett Lowder</t>
        </is>
      </c>
      <c r="E196" s="2" t="n">
        <v>113</v>
      </c>
      <c r="F196" s="2" t="n">
        <v>137</v>
      </c>
      <c r="G196" s="2" t="inlineStr">
        <is>
          <t>Home</t>
        </is>
      </c>
      <c r="H196" s="2" t="inlineStr">
        <is>
          <t>bovada</t>
        </is>
      </c>
      <c r="I196" s="4" t="n"/>
      <c r="J196" s="4" t="n"/>
      <c r="K196" s="4" t="n">
        <v>100</v>
      </c>
      <c r="L196" s="4" t="n">
        <v>100</v>
      </c>
      <c r="M196" s="5" t="n">
        <v>3.5</v>
      </c>
      <c r="N196" s="5" t="n">
        <v>3.482342135994474</v>
      </c>
      <c r="O196" s="5" t="n">
        <v>3.5</v>
      </c>
      <c r="P196" s="5" t="n">
        <v>0.01765786400552649</v>
      </c>
      <c r="Q196" s="6" t="n">
        <v>0.08089547911572303</v>
      </c>
      <c r="R196" s="6" t="n">
        <v>0.5404477395578615</v>
      </c>
      <c r="S196" s="6" t="n">
        <v>0.4883720930232558</v>
      </c>
      <c r="T196" s="2" t="inlineStr">
        <is>
          <t>Under</t>
        </is>
      </c>
      <c r="U196" s="4" t="n">
        <v>100</v>
      </c>
      <c r="V196" s="2" t="n">
        <v>2</v>
      </c>
      <c r="W196" s="4" t="n">
        <v>100</v>
      </c>
      <c r="X196" s="2" t="n">
        <v>1</v>
      </c>
      <c r="Y196" s="5" t="n">
        <v>-1</v>
      </c>
      <c r="Z196" s="7" t="n">
        <v>100</v>
      </c>
      <c r="AA196" s="7">
        <f>Y196*Z196</f>
        <v/>
      </c>
      <c r="AB196" s="6">
        <f>IF(Z196=0,0,AA196/Z196)</f>
        <v/>
      </c>
      <c r="AC196" s="6" t="n"/>
      <c r="AD196" s="2" t="inlineStr">
        <is>
          <t>Loss</t>
        </is>
      </c>
      <c r="AE196" s="6">
        <f>IF((COUNTIF($AD$2:AD196,"Win")+COUNTIF($AD$2:AD196,"Loss"))=0,0,COUNTIF($AD$2:AD196,"Win")/(COUNTIF($AD$2:AD196,"Win")+COUNTIF($AD$2:AD196,"Loss")))</f>
        <v/>
      </c>
      <c r="AF196" s="6">
        <f>SUM($Y$2:Y196)/SUM($X$2:X196)</f>
        <v/>
      </c>
      <c r="AG196" s="5">
        <f>SUM($Y$2:Y196)</f>
        <v/>
      </c>
      <c r="AH196" s="7">
        <f>10000.0+SUM($AA$2:AA196)</f>
        <v/>
      </c>
      <c r="AI196" s="2" t="n">
        <v>2026</v>
      </c>
      <c r="AJ196" s="2" t="inlineStr">
        <is>
          <t>2026-04</t>
        </is>
      </c>
      <c r="AK196" s="2" t="inlineStr">
        <is>
          <t>+100 to +120</t>
        </is>
      </c>
      <c r="AL196" s="2" t="inlineStr">
        <is>
          <t>2026 Frozen Test</t>
        </is>
      </c>
      <c r="AM196" s="6" t="n">
        <v>0.08089547911572303</v>
      </c>
    </row>
    <row r="197">
      <c r="A197" s="2" t="inlineStr">
        <is>
          <t>KPROP-00598</t>
        </is>
      </c>
      <c r="B197" s="3" t="n">
        <v>46127.77820601852</v>
      </c>
      <c r="C197" s="3" t="n">
        <v>46127</v>
      </c>
      <c r="D197" s="2" t="inlineStr">
        <is>
          <t>Shota Imanaga</t>
        </is>
      </c>
      <c r="E197" s="2" t="n">
        <v>112</v>
      </c>
      <c r="F197" s="2" t="n">
        <v>143</v>
      </c>
      <c r="G197" s="2" t="inlineStr">
        <is>
          <t>Away</t>
        </is>
      </c>
      <c r="H197" s="2" t="inlineStr">
        <is>
          <t>betmgm</t>
        </is>
      </c>
      <c r="I197" s="4" t="n"/>
      <c r="J197" s="4" t="n"/>
      <c r="K197" s="4" t="n">
        <v>-105</v>
      </c>
      <c r="L197" s="4" t="n">
        <v>-105</v>
      </c>
      <c r="M197" s="5" t="n">
        <v>5.5</v>
      </c>
      <c r="N197" s="5" t="n">
        <v>5.1915548295655</v>
      </c>
      <c r="O197" s="5" t="n">
        <v>5.5</v>
      </c>
      <c r="P197" s="5" t="n">
        <v>0.3084451704345001</v>
      </c>
      <c r="Q197" s="6" t="n">
        <v>0.1370458351150389</v>
      </c>
      <c r="R197" s="6" t="n">
        <v>0.5823893301808736</v>
      </c>
      <c r="S197" s="6" t="n">
        <v>0.5047835446065534</v>
      </c>
      <c r="T197" s="2" t="inlineStr">
        <is>
          <t>Under</t>
        </is>
      </c>
      <c r="U197" s="4" t="n">
        <v>-105</v>
      </c>
      <c r="V197" s="2" t="n">
        <v>1.952380952380952</v>
      </c>
      <c r="W197" s="4" t="n">
        <v>-105</v>
      </c>
      <c r="X197" s="2" t="n">
        <v>1</v>
      </c>
      <c r="Y197" s="5" t="n">
        <v>-1</v>
      </c>
      <c r="Z197" s="7" t="n">
        <v>100</v>
      </c>
      <c r="AA197" s="7">
        <f>Y197*Z197</f>
        <v/>
      </c>
      <c r="AB197" s="6">
        <f>IF(Z197=0,0,AA197/Z197)</f>
        <v/>
      </c>
      <c r="AC197" s="6" t="n"/>
      <c r="AD197" s="2" t="inlineStr">
        <is>
          <t>Loss</t>
        </is>
      </c>
      <c r="AE197" s="6">
        <f>IF((COUNTIF($AD$2:AD197,"Win")+COUNTIF($AD$2:AD197,"Loss"))=0,0,COUNTIF($AD$2:AD197,"Win")/(COUNTIF($AD$2:AD197,"Win")+COUNTIF($AD$2:AD197,"Loss")))</f>
        <v/>
      </c>
      <c r="AF197" s="6">
        <f>SUM($Y$2:Y197)/SUM($X$2:X197)</f>
        <v/>
      </c>
      <c r="AG197" s="5">
        <f>SUM($Y$2:Y197)</f>
        <v/>
      </c>
      <c r="AH197" s="7">
        <f>10000.0+SUM($AA$2:AA197)</f>
        <v/>
      </c>
      <c r="AI197" s="2" t="n">
        <v>2026</v>
      </c>
      <c r="AJ197" s="2" t="inlineStr">
        <is>
          <t>2026-04</t>
        </is>
      </c>
      <c r="AK197" s="2" t="inlineStr">
        <is>
          <t>-119 to -101</t>
        </is>
      </c>
      <c r="AL197" s="2" t="inlineStr">
        <is>
          <t>2026 Frozen Test</t>
        </is>
      </c>
      <c r="AM197" s="6" t="n">
        <v>0.1438981268707908</v>
      </c>
    </row>
    <row r="198">
      <c r="A198" s="2" t="inlineStr">
        <is>
          <t>KPROP-00599</t>
        </is>
      </c>
      <c r="B198" s="3" t="n">
        <v>46128.62891203703</v>
      </c>
      <c r="C198" s="3" t="n">
        <v>46128</v>
      </c>
      <c r="D198" s="2" t="inlineStr">
        <is>
          <t>Jacob Lopez</t>
        </is>
      </c>
      <c r="E198" s="2" t="n">
        <v>133</v>
      </c>
      <c r="F198" s="2" t="n">
        <v>140</v>
      </c>
      <c r="G198" s="2" t="inlineStr">
        <is>
          <t>Home</t>
        </is>
      </c>
      <c r="H198" s="2" t="inlineStr">
        <is>
          <t>betmgm</t>
        </is>
      </c>
      <c r="I198" s="4" t="n"/>
      <c r="J198" s="4" t="n"/>
      <c r="K198" s="4" t="n">
        <v>-105</v>
      </c>
      <c r="L198" s="4" t="n">
        <v>-105</v>
      </c>
      <c r="M198" s="5" t="n">
        <v>5.5</v>
      </c>
      <c r="N198" s="5" t="n">
        <v>4.835032242713285</v>
      </c>
      <c r="O198" s="5" t="n">
        <v>5.5</v>
      </c>
      <c r="P198" s="5" t="n">
        <v>0.664967757286715</v>
      </c>
      <c r="Q198" s="6" t="n">
        <v>0.2590522777358936</v>
      </c>
      <c r="R198" s="6" t="n">
        <v>0.6448804349378967</v>
      </c>
      <c r="S198" s="6" t="n">
        <v>0.5</v>
      </c>
      <c r="T198" s="2" t="inlineStr">
        <is>
          <t>Under</t>
        </is>
      </c>
      <c r="U198" s="4" t="n">
        <v>-105</v>
      </c>
      <c r="V198" s="2" t="n">
        <v>1.952380952380952</v>
      </c>
      <c r="W198" s="4" t="n">
        <v>-105</v>
      </c>
      <c r="X198" s="2" t="n">
        <v>1</v>
      </c>
      <c r="Y198" s="5" t="n">
        <v>0.9523809523809523</v>
      </c>
      <c r="Z198" s="7" t="n">
        <v>100</v>
      </c>
      <c r="AA198" s="7">
        <f>Y198*Z198</f>
        <v/>
      </c>
      <c r="AB198" s="6">
        <f>IF(Z198=0,0,AA198/Z198)</f>
        <v/>
      </c>
      <c r="AC198" s="6" t="n"/>
      <c r="AD198" s="2" t="inlineStr">
        <is>
          <t>Win</t>
        </is>
      </c>
      <c r="AE198" s="6">
        <f>IF((COUNTIF($AD$2:AD198,"Win")+COUNTIF($AD$2:AD198,"Loss"))=0,0,COUNTIF($AD$2:AD198,"Win")/(COUNTIF($AD$2:AD198,"Win")+COUNTIF($AD$2:AD198,"Loss")))</f>
        <v/>
      </c>
      <c r="AF198" s="6">
        <f>SUM($Y$2:Y198)/SUM($X$2:X198)</f>
        <v/>
      </c>
      <c r="AG198" s="5">
        <f>SUM($Y$2:Y198)</f>
        <v/>
      </c>
      <c r="AH198" s="7">
        <f>10000.0+SUM($AA$2:AA198)</f>
        <v/>
      </c>
      <c r="AI198" s="2" t="n">
        <v>2026</v>
      </c>
      <c r="AJ198" s="2" t="inlineStr">
        <is>
          <t>2026-04</t>
        </is>
      </c>
      <c r="AK198" s="2" t="inlineStr">
        <is>
          <t>-119 to -101</t>
        </is>
      </c>
      <c r="AL198" s="2" t="inlineStr">
        <is>
          <t>2026 Frozen Test</t>
        </is>
      </c>
      <c r="AM198" s="6" t="n">
        <v>0.2720048916226883</v>
      </c>
    </row>
    <row r="199">
      <c r="A199" s="2" t="inlineStr">
        <is>
          <t>KPROP-00600</t>
        </is>
      </c>
      <c r="B199" s="3" t="n">
        <v>46128.54905092593</v>
      </c>
      <c r="C199" s="3" t="n">
        <v>46128</v>
      </c>
      <c r="D199" s="2" t="inlineStr">
        <is>
          <t>Kris Bubic</t>
        </is>
      </c>
      <c r="E199" s="2" t="n">
        <v>118</v>
      </c>
      <c r="F199" s="2" t="n">
        <v>116</v>
      </c>
      <c r="G199" s="2" t="inlineStr">
        <is>
          <t>Away</t>
        </is>
      </c>
      <c r="H199" s="2" t="inlineStr">
        <is>
          <t>betrivers</t>
        </is>
      </c>
      <c r="I199" s="4" t="n"/>
      <c r="J199" s="4" t="n"/>
      <c r="K199" s="4" t="n">
        <v>102</v>
      </c>
      <c r="L199" s="4" t="n">
        <v>102</v>
      </c>
      <c r="M199" s="5" t="n">
        <v>5.5</v>
      </c>
      <c r="N199" s="5" t="n">
        <v>5.020421221501871</v>
      </c>
      <c r="O199" s="5" t="n">
        <v>5.5</v>
      </c>
      <c r="P199" s="5" t="n">
        <v>0.4795787784981291</v>
      </c>
      <c r="Q199" s="6" t="n">
        <v>0.2370024419643781</v>
      </c>
      <c r="R199" s="6" t="n">
        <v>0.6123774465170189</v>
      </c>
      <c r="S199" s="6" t="n">
        <v>0.4757785467128028</v>
      </c>
      <c r="T199" s="2" t="inlineStr">
        <is>
          <t>Under</t>
        </is>
      </c>
      <c r="U199" s="4" t="n">
        <v>102</v>
      </c>
      <c r="V199" s="2" t="n">
        <v>2.02</v>
      </c>
      <c r="W199" s="4" t="n">
        <v>102</v>
      </c>
      <c r="X199" s="2" t="n">
        <v>1</v>
      </c>
      <c r="Y199" s="5" t="n">
        <v>1.02</v>
      </c>
      <c r="Z199" s="7" t="n">
        <v>100</v>
      </c>
      <c r="AA199" s="7">
        <f>Y199*Z199</f>
        <v/>
      </c>
      <c r="AB199" s="6">
        <f>IF(Z199=0,0,AA199/Z199)</f>
        <v/>
      </c>
      <c r="AC199" s="6" t="n"/>
      <c r="AD199" s="2" t="inlineStr">
        <is>
          <t>Win</t>
        </is>
      </c>
      <c r="AE199" s="6">
        <f>IF((COUNTIF($AD$2:AD199,"Win")+COUNTIF($AD$2:AD199,"Loss"))=0,0,COUNTIF($AD$2:AD199,"Win")/(COUNTIF($AD$2:AD199,"Win")+COUNTIF($AD$2:AD199,"Loss")))</f>
        <v/>
      </c>
      <c r="AF199" s="6">
        <f>SUM($Y$2:Y199)/SUM($X$2:X199)</f>
        <v/>
      </c>
      <c r="AG199" s="5">
        <f>SUM($Y$2:Y199)</f>
        <v/>
      </c>
      <c r="AH199" s="7">
        <f>10000.0+SUM($AA$2:AA199)</f>
        <v/>
      </c>
      <c r="AI199" s="2" t="n">
        <v>2026</v>
      </c>
      <c r="AJ199" s="2" t="inlineStr">
        <is>
          <t>2026-04</t>
        </is>
      </c>
      <c r="AK199" s="2" t="inlineStr">
        <is>
          <t>+100 to +120</t>
        </is>
      </c>
      <c r="AL199" s="2" t="inlineStr">
        <is>
          <t>2026 Frozen Test</t>
        </is>
      </c>
      <c r="AM199" s="6" t="n">
        <v>0.2323553352591942</v>
      </c>
    </row>
    <row r="200">
      <c r="A200" s="2" t="inlineStr">
        <is>
          <t>KPROP-00601</t>
        </is>
      </c>
      <c r="B200" s="3" t="n">
        <v>46128.52821759259</v>
      </c>
      <c r="C200" s="3" t="n">
        <v>46128</v>
      </c>
      <c r="D200" s="2" t="inlineStr">
        <is>
          <t>Landen Roupp</t>
        </is>
      </c>
      <c r="E200" s="2" t="n">
        <v>137</v>
      </c>
      <c r="F200" s="2" t="n">
        <v>113</v>
      </c>
      <c r="G200" s="2" t="inlineStr">
        <is>
          <t>Away</t>
        </is>
      </c>
      <c r="H200" s="2" t="inlineStr">
        <is>
          <t>betmgm</t>
        </is>
      </c>
      <c r="I200" s="4" t="n"/>
      <c r="J200" s="4" t="n"/>
      <c r="K200" s="4" t="n">
        <v>110</v>
      </c>
      <c r="L200" s="4" t="n">
        <v>110</v>
      </c>
      <c r="M200" s="5" t="n">
        <v>5.5</v>
      </c>
      <c r="N200" s="5" t="n">
        <v>5.355735152584763</v>
      </c>
      <c r="O200" s="5" t="n">
        <v>5.5</v>
      </c>
      <c r="P200" s="5" t="n">
        <v>0.1442648474152373</v>
      </c>
      <c r="Q200" s="6" t="n">
        <v>0.1629676906738769</v>
      </c>
      <c r="R200" s="6" t="n">
        <v>0.5537941384161318</v>
      </c>
      <c r="S200" s="6" t="n">
        <v>0.4761904761904762</v>
      </c>
      <c r="T200" s="2" t="inlineStr">
        <is>
          <t>Under</t>
        </is>
      </c>
      <c r="U200" s="4" t="n">
        <v>110</v>
      </c>
      <c r="V200" s="2" t="n">
        <v>2.1</v>
      </c>
      <c r="W200" s="4" t="n">
        <v>110</v>
      </c>
      <c r="X200" s="2" t="n">
        <v>1</v>
      </c>
      <c r="Y200" s="5" t="n">
        <v>-1</v>
      </c>
      <c r="Z200" s="7" t="n">
        <v>100</v>
      </c>
      <c r="AA200" s="7">
        <f>Y200*Z200</f>
        <v/>
      </c>
      <c r="AB200" s="6">
        <f>IF(Z200=0,0,AA200/Z200)</f>
        <v/>
      </c>
      <c r="AC200" s="6" t="n"/>
      <c r="AD200" s="2" t="inlineStr">
        <is>
          <t>Loss</t>
        </is>
      </c>
      <c r="AE200" s="6">
        <f>IF((COUNTIF($AD$2:AD200,"Win")+COUNTIF($AD$2:AD200,"Loss"))=0,0,COUNTIF($AD$2:AD200,"Win")/(COUNTIF($AD$2:AD200,"Win")+COUNTIF($AD$2:AD200,"Loss")))</f>
        <v/>
      </c>
      <c r="AF200" s="6">
        <f>SUM($Y$2:Y200)/SUM($X$2:X200)</f>
        <v/>
      </c>
      <c r="AG200" s="5">
        <f>SUM($Y$2:Y200)</f>
        <v/>
      </c>
      <c r="AH200" s="7">
        <f>10000.0+SUM($AA$2:AA200)</f>
        <v/>
      </c>
      <c r="AI200" s="2" t="n">
        <v>2026</v>
      </c>
      <c r="AJ200" s="2" t="inlineStr">
        <is>
          <t>2026-04</t>
        </is>
      </c>
      <c r="AK200" s="2" t="inlineStr">
        <is>
          <t>+100 to +120</t>
        </is>
      </c>
      <c r="AL200" s="2" t="inlineStr">
        <is>
          <t>2026 Frozen Test</t>
        </is>
      </c>
      <c r="AM200" s="6" t="n">
        <v>0.1481524460671607</v>
      </c>
    </row>
    <row r="201">
      <c r="A201" s="2" t="inlineStr">
        <is>
          <t>KPROP-00602</t>
        </is>
      </c>
      <c r="B201" s="3" t="n">
        <v>46128.75738425926</v>
      </c>
      <c r="C201" s="3" t="n">
        <v>46128</v>
      </c>
      <c r="D201" s="2" t="inlineStr">
        <is>
          <t>Shane Baz</t>
        </is>
      </c>
      <c r="E201" s="2" t="n">
        <v>110</v>
      </c>
      <c r="F201" s="2" t="n">
        <v>114</v>
      </c>
      <c r="G201" s="2" t="inlineStr">
        <is>
          <t>Away</t>
        </is>
      </c>
      <c r="H201" s="2" t="inlineStr">
        <is>
          <t>fanduel</t>
        </is>
      </c>
      <c r="I201" s="4" t="n"/>
      <c r="J201" s="4" t="n"/>
      <c r="K201" s="4" t="n">
        <v>-172</v>
      </c>
      <c r="L201" s="4" t="n">
        <v>-172</v>
      </c>
      <c r="M201" s="5" t="n">
        <v>5.5</v>
      </c>
      <c r="N201" s="5" t="n">
        <v>4.615852055260258</v>
      </c>
      <c r="O201" s="5" t="n">
        <v>5.5</v>
      </c>
      <c r="P201" s="5" t="n">
        <v>0.884147944739742</v>
      </c>
      <c r="Q201" s="6" t="n">
        <v>0.08012901364225516</v>
      </c>
      <c r="R201" s="6" t="n">
        <v>0.6830227586267201</v>
      </c>
      <c r="S201" s="6" t="n">
        <v>0.5977521443359953</v>
      </c>
      <c r="T201" s="2" t="inlineStr">
        <is>
          <t>Under</t>
        </is>
      </c>
      <c r="U201" s="4" t="n">
        <v>-172</v>
      </c>
      <c r="V201" s="2" t="n">
        <v>1.581395348837209</v>
      </c>
      <c r="W201" s="4" t="n">
        <v>-172</v>
      </c>
      <c r="X201" s="2" t="n">
        <v>1</v>
      </c>
      <c r="Y201" s="5" t="n">
        <v>-1</v>
      </c>
      <c r="Z201" s="7" t="n">
        <v>100</v>
      </c>
      <c r="AA201" s="7">
        <f>Y201*Z201</f>
        <v/>
      </c>
      <c r="AB201" s="6">
        <f>IF(Z201=0,0,AA201/Z201)</f>
        <v/>
      </c>
      <c r="AC201" s="6" t="n"/>
      <c r="AD201" s="2" t="inlineStr">
        <is>
          <t>Loss</t>
        </is>
      </c>
      <c r="AE201" s="6">
        <f>IF((COUNTIF($AD$2:AD201,"Win")+COUNTIF($AD$2:AD201,"Loss"))=0,0,COUNTIF($AD$2:AD201,"Win")/(COUNTIF($AD$2:AD201,"Win")+COUNTIF($AD$2:AD201,"Loss")))</f>
        <v/>
      </c>
      <c r="AF201" s="6">
        <f>SUM($Y$2:Y201)/SUM($X$2:X201)</f>
        <v/>
      </c>
      <c r="AG201" s="5">
        <f>SUM($Y$2:Y201)</f>
        <v/>
      </c>
      <c r="AH201" s="7">
        <f>10000.0+SUM($AA$2:AA201)</f>
        <v/>
      </c>
      <c r="AI201" s="2" t="n">
        <v>2026</v>
      </c>
      <c r="AJ201" s="2" t="inlineStr">
        <is>
          <t>2026-04</t>
        </is>
      </c>
      <c r="AK201" s="2" t="inlineStr">
        <is>
          <t>&lt;= -150</t>
        </is>
      </c>
      <c r="AL201" s="2" t="inlineStr">
        <is>
          <t>2026 Frozen Test</t>
        </is>
      </c>
      <c r="AM201" s="6" t="n">
        <v>0.1378219034646788</v>
      </c>
    </row>
    <row r="202">
      <c r="A202" s="2" t="inlineStr">
        <is>
          <t>KPROP-00603</t>
        </is>
      </c>
      <c r="B202" s="3" t="n">
        <v>46128.59071759259</v>
      </c>
      <c r="C202" s="3" t="n">
        <v>46128</v>
      </c>
      <c r="D202" s="2" t="inlineStr">
        <is>
          <t>Steven Matz</t>
        </is>
      </c>
      <c r="E202" s="2" t="n">
        <v>139</v>
      </c>
      <c r="F202" s="2" t="n">
        <v>145</v>
      </c>
      <c r="G202" s="2" t="inlineStr">
        <is>
          <t>Away</t>
        </is>
      </c>
      <c r="H202" s="2" t="inlineStr">
        <is>
          <t>betrivers</t>
        </is>
      </c>
      <c r="I202" s="4" t="n"/>
      <c r="J202" s="4" t="n"/>
      <c r="K202" s="4" t="n">
        <v>120</v>
      </c>
      <c r="L202" s="4" t="n">
        <v>120</v>
      </c>
      <c r="M202" s="5" t="n">
        <v>4.5</v>
      </c>
      <c r="N202" s="5" t="n">
        <v>4.000331696526165</v>
      </c>
      <c r="O202" s="5" t="n">
        <v>4.5</v>
      </c>
      <c r="P202" s="5" t="n">
        <v>0.4996683034738352</v>
      </c>
      <c r="Q202" s="6" t="n">
        <v>0.3832986919100122</v>
      </c>
      <c r="R202" s="6" t="n">
        <v>0.6287721326863691</v>
      </c>
      <c r="S202" s="6" t="n">
        <v>0.4357962697274032</v>
      </c>
      <c r="T202" s="2" t="inlineStr">
        <is>
          <t>Under</t>
        </is>
      </c>
      <c r="U202" s="4" t="n">
        <v>120</v>
      </c>
      <c r="V202" s="2" t="n">
        <v>2.2</v>
      </c>
      <c r="W202" s="4" t="n">
        <v>120</v>
      </c>
      <c r="X202" s="2" t="n">
        <v>1</v>
      </c>
      <c r="Y202" s="5" t="n">
        <v>1.2</v>
      </c>
      <c r="Z202" s="7" t="n">
        <v>100</v>
      </c>
      <c r="AA202" s="7">
        <f>Y202*Z202</f>
        <v/>
      </c>
      <c r="AB202" s="6">
        <f>IF(Z202=0,0,AA202/Z202)</f>
        <v/>
      </c>
      <c r="AC202" s="6" t="n"/>
      <c r="AD202" s="2" t="inlineStr">
        <is>
          <t>Win</t>
        </is>
      </c>
      <c r="AE202" s="6">
        <f>IF((COUNTIF($AD$2:AD202,"Win")+COUNTIF($AD$2:AD202,"Loss"))=0,0,COUNTIF($AD$2:AD202,"Win")/(COUNTIF($AD$2:AD202,"Win")+COUNTIF($AD$2:AD202,"Loss")))</f>
        <v/>
      </c>
      <c r="AF202" s="6">
        <f>SUM($Y$2:Y202)/SUM($X$2:X202)</f>
        <v/>
      </c>
      <c r="AG202" s="5">
        <f>SUM($Y$2:Y202)</f>
        <v/>
      </c>
      <c r="AH202" s="7">
        <f>10000.0+SUM($AA$2:AA202)</f>
        <v/>
      </c>
      <c r="AI202" s="2" t="n">
        <v>2026</v>
      </c>
      <c r="AJ202" s="2" t="inlineStr">
        <is>
          <t>2026-04</t>
        </is>
      </c>
      <c r="AK202" s="2" t="inlineStr">
        <is>
          <t>+100 to +120</t>
        </is>
      </c>
      <c r="AL202" s="2" t="inlineStr">
        <is>
          <t>2026 Frozen Test</t>
        </is>
      </c>
      <c r="AM202" s="6" t="n">
        <v>0.3194155765916768</v>
      </c>
    </row>
    <row r="203">
      <c r="A203" s="2" t="inlineStr">
        <is>
          <t>KPROP-00604</t>
        </is>
      </c>
      <c r="B203" s="3" t="n">
        <v>46128.59071759259</v>
      </c>
      <c r="C203" s="3" t="n">
        <v>46128</v>
      </c>
      <c r="D203" s="2" t="inlineStr">
        <is>
          <t>Steven Matz</t>
        </is>
      </c>
      <c r="E203" s="2" t="n">
        <v>139</v>
      </c>
      <c r="F203" s="2" t="n">
        <v>145</v>
      </c>
      <c r="G203" s="2" t="inlineStr">
        <is>
          <t>Away</t>
        </is>
      </c>
      <c r="H203" s="2" t="inlineStr">
        <is>
          <t>bovada</t>
        </is>
      </c>
      <c r="I203" s="4" t="n"/>
      <c r="J203" s="4" t="n"/>
      <c r="K203" s="4" t="n">
        <v>-165</v>
      </c>
      <c r="L203" s="4" t="n">
        <v>-165</v>
      </c>
      <c r="M203" s="5" t="n">
        <v>5.5</v>
      </c>
      <c r="N203" s="5" t="n">
        <v>4.000331696526165</v>
      </c>
      <c r="O203" s="5" t="n">
        <v>5.5</v>
      </c>
      <c r="P203" s="5" t="n">
        <v>1.499668303473835</v>
      </c>
      <c r="Q203" s="6" t="n">
        <v>0.2608837203928682</v>
      </c>
      <c r="R203" s="6" t="n">
        <v>0.7850785428861256</v>
      </c>
      <c r="S203" s="6" t="n">
        <v>0.5909231244211176</v>
      </c>
      <c r="T203" s="2" t="inlineStr">
        <is>
          <t>Under</t>
        </is>
      </c>
      <c r="U203" s="4" t="n">
        <v>-165</v>
      </c>
      <c r="V203" s="2" t="n">
        <v>1.606060606060606</v>
      </c>
      <c r="W203" s="4" t="n">
        <v>-165</v>
      </c>
      <c r="X203" s="2" t="n">
        <v>1</v>
      </c>
      <c r="Y203" s="5" t="n">
        <v>0.606060606060606</v>
      </c>
      <c r="Z203" s="7" t="n">
        <v>100</v>
      </c>
      <c r="AA203" s="7">
        <f>Y203*Z203</f>
        <v/>
      </c>
      <c r="AB203" s="6">
        <f>IF(Z203=0,0,AA203/Z203)</f>
        <v/>
      </c>
      <c r="AC203" s="6" t="n"/>
      <c r="AD203" s="2" t="inlineStr">
        <is>
          <t>Win</t>
        </is>
      </c>
      <c r="AE203" s="6">
        <f>IF((COUNTIF($AD$2:AD203,"Win")+COUNTIF($AD$2:AD203,"Loss"))=0,0,COUNTIF($AD$2:AD203,"Win")/(COUNTIF($AD$2:AD203,"Win")+COUNTIF($AD$2:AD203,"Loss")))</f>
        <v/>
      </c>
      <c r="AF203" s="6">
        <f>SUM($Y$2:Y203)/SUM($X$2:X203)</f>
        <v/>
      </c>
      <c r="AG203" s="5">
        <f>SUM($Y$2:Y203)</f>
        <v/>
      </c>
      <c r="AH203" s="7">
        <f>10000.0+SUM($AA$2:AA203)</f>
        <v/>
      </c>
      <c r="AI203" s="2" t="n">
        <v>2026</v>
      </c>
      <c r="AJ203" s="2" t="inlineStr">
        <is>
          <t>2026-04</t>
        </is>
      </c>
      <c r="AK203" s="2" t="inlineStr">
        <is>
          <t>&lt;= -150</t>
        </is>
      </c>
      <c r="AL203" s="2" t="inlineStr">
        <is>
          <t>2026 Frozen Test</t>
        </is>
      </c>
      <c r="AM203" s="6" t="n">
        <v>0.4304581386482326</v>
      </c>
    </row>
    <row r="204">
      <c r="A204" s="2" t="inlineStr">
        <is>
          <t>KPROP-00605</t>
        </is>
      </c>
      <c r="B204" s="3" t="n">
        <v>46129.59766203703</v>
      </c>
      <c r="C204" s="3" t="n">
        <v>46129</v>
      </c>
      <c r="D204" s="2" t="inlineStr">
        <is>
          <t>Edward Cabrera</t>
        </is>
      </c>
      <c r="E204" s="2" t="n">
        <v>112</v>
      </c>
      <c r="F204" s="2" t="n">
        <v>121</v>
      </c>
      <c r="G204" s="2" t="inlineStr">
        <is>
          <t>Home</t>
        </is>
      </c>
      <c r="H204" s="2" t="inlineStr">
        <is>
          <t>draftkings</t>
        </is>
      </c>
      <c r="I204" s="4" t="n"/>
      <c r="J204" s="4" t="n"/>
      <c r="K204" s="4" t="n">
        <v>121</v>
      </c>
      <c r="L204" s="4" t="n">
        <v>121</v>
      </c>
      <c r="M204" s="5" t="n">
        <v>5.5</v>
      </c>
      <c r="N204" s="5" t="n">
        <v>5.570329988649346</v>
      </c>
      <c r="O204" s="5" t="n">
        <v>5.5</v>
      </c>
      <c r="P204" s="5" t="n">
        <v>-0.07032998864934559</v>
      </c>
      <c r="Q204" s="6" t="n">
        <v>0.1423581867620726</v>
      </c>
      <c r="R204" s="6" t="n">
        <v>0.5169041569059152</v>
      </c>
      <c r="S204" s="6" t="n">
        <v>0.4488778054862843</v>
      </c>
      <c r="T204" s="2" t="inlineStr">
        <is>
          <t>Under</t>
        </is>
      </c>
      <c r="U204" s="4" t="n">
        <v>121</v>
      </c>
      <c r="V204" s="2" t="n">
        <v>2.21</v>
      </c>
      <c r="W204" s="4" t="n">
        <v>121</v>
      </c>
      <c r="X204" s="2" t="n">
        <v>1</v>
      </c>
      <c r="Y204" s="5" t="n">
        <v>1.21</v>
      </c>
      <c r="Z204" s="7" t="n">
        <v>100</v>
      </c>
      <c r="AA204" s="7">
        <f>Y204*Z204</f>
        <v/>
      </c>
      <c r="AB204" s="6">
        <f>IF(Z204=0,0,AA204/Z204)</f>
        <v/>
      </c>
      <c r="AC204" s="6" t="n"/>
      <c r="AD204" s="2" t="inlineStr">
        <is>
          <t>Win</t>
        </is>
      </c>
      <c r="AE204" s="6">
        <f>IF((COUNTIF($AD$2:AD204,"Win")+COUNTIF($AD$2:AD204,"Loss"))=0,0,COUNTIF($AD$2:AD204,"Win")/(COUNTIF($AD$2:AD204,"Win")+COUNTIF($AD$2:AD204,"Loss")))</f>
        <v/>
      </c>
      <c r="AF204" s="6">
        <f>SUM($Y$2:Y204)/SUM($X$2:X204)</f>
        <v/>
      </c>
      <c r="AG204" s="5">
        <f>SUM($Y$2:Y204)</f>
        <v/>
      </c>
      <c r="AH204" s="7">
        <f>10000.0+SUM($AA$2:AA204)</f>
        <v/>
      </c>
      <c r="AI204" s="2" t="n">
        <v>2026</v>
      </c>
      <c r="AJ204" s="2" t="inlineStr">
        <is>
          <t>2026-04</t>
        </is>
      </c>
      <c r="AK204" s="2" t="inlineStr">
        <is>
          <t>+121 to +150</t>
        </is>
      </c>
      <c r="AL204" s="2" t="inlineStr">
        <is>
          <t>2026 Frozen Test</t>
        </is>
      </c>
      <c r="AM204" s="6" t="n">
        <v>0.1176513940182418</v>
      </c>
    </row>
    <row r="205">
      <c r="A205" s="2" t="inlineStr">
        <is>
          <t>KPROP-00606</t>
        </is>
      </c>
      <c r="B205" s="3" t="n">
        <v>46129.59766203703</v>
      </c>
      <c r="C205" s="3" t="n">
        <v>46129</v>
      </c>
      <c r="D205" s="2" t="inlineStr">
        <is>
          <t>Kodai Senga</t>
        </is>
      </c>
      <c r="E205" s="2" t="n">
        <v>121</v>
      </c>
      <c r="F205" s="2" t="n">
        <v>112</v>
      </c>
      <c r="G205" s="2" t="inlineStr">
        <is>
          <t>Away</t>
        </is>
      </c>
      <c r="H205" s="2" t="inlineStr">
        <is>
          <t>betonlineag</t>
        </is>
      </c>
      <c r="I205" s="4" t="n"/>
      <c r="J205" s="4" t="n"/>
      <c r="K205" s="4" t="n">
        <v>117</v>
      </c>
      <c r="L205" s="4" t="n">
        <v>117</v>
      </c>
      <c r="M205" s="5" t="n">
        <v>4.5</v>
      </c>
      <c r="N205" s="5" t="n">
        <v>4.663738485287541</v>
      </c>
      <c r="O205" s="5" t="n">
        <v>4.5</v>
      </c>
      <c r="P205" s="5" t="n">
        <v>-0.1637384852875412</v>
      </c>
      <c r="Q205" s="6" t="n">
        <v>0.08789114806935039</v>
      </c>
      <c r="R205" s="6" t="n">
        <v>0.5013323262992398</v>
      </c>
      <c r="S205" s="6" t="n">
        <v>0.4413387274733358</v>
      </c>
      <c r="T205" s="2" t="inlineStr">
        <is>
          <t>Under</t>
        </is>
      </c>
      <c r="U205" s="4" t="n">
        <v>117</v>
      </c>
      <c r="V205" s="2" t="n">
        <v>2.17</v>
      </c>
      <c r="W205" s="4" t="n">
        <v>117</v>
      </c>
      <c r="X205" s="2" t="n">
        <v>1</v>
      </c>
      <c r="Y205" s="5" t="n">
        <v>1.17</v>
      </c>
      <c r="Z205" s="7" t="n">
        <v>100</v>
      </c>
      <c r="AA205" s="7">
        <f>Y205*Z205</f>
        <v/>
      </c>
      <c r="AB205" s="6">
        <f>IF(Z205=0,0,AA205/Z205)</f>
        <v/>
      </c>
      <c r="AC205" s="6" t="n"/>
      <c r="AD205" s="2" t="inlineStr">
        <is>
          <t>Win</t>
        </is>
      </c>
      <c r="AE205" s="6">
        <f>IF((COUNTIF($AD$2:AD205,"Win")+COUNTIF($AD$2:AD205,"Loss"))=0,0,COUNTIF($AD$2:AD205,"Win")/(COUNTIF($AD$2:AD205,"Win")+COUNTIF($AD$2:AD205,"Loss")))</f>
        <v/>
      </c>
      <c r="AF205" s="6">
        <f>SUM($Y$2:Y205)/SUM($X$2:X205)</f>
        <v/>
      </c>
      <c r="AG205" s="5">
        <f>SUM($Y$2:Y205)</f>
        <v/>
      </c>
      <c r="AH205" s="7">
        <f>10000.0+SUM($AA$2:AA205)</f>
        <v/>
      </c>
      <c r="AI205" s="2" t="n">
        <v>2026</v>
      </c>
      <c r="AJ205" s="2" t="inlineStr">
        <is>
          <t>2026-04</t>
        </is>
      </c>
      <c r="AK205" s="2" t="inlineStr">
        <is>
          <t>+100 to +120</t>
        </is>
      </c>
      <c r="AL205" s="2" t="inlineStr">
        <is>
          <t>2026 Frozen Test</t>
        </is>
      </c>
      <c r="AM205" s="6" t="n">
        <v>0.07512063937551315</v>
      </c>
    </row>
    <row r="206">
      <c r="A206" s="2" t="inlineStr">
        <is>
          <t>KPROP-00607</t>
        </is>
      </c>
      <c r="B206" s="3" t="n">
        <v>46129.59766203703</v>
      </c>
      <c r="C206" s="3" t="n">
        <v>46129</v>
      </c>
      <c r="D206" s="2" t="inlineStr">
        <is>
          <t>Kodai Senga</t>
        </is>
      </c>
      <c r="E206" s="2" t="n">
        <v>121</v>
      </c>
      <c r="F206" s="2" t="n">
        <v>112</v>
      </c>
      <c r="G206" s="2" t="inlineStr">
        <is>
          <t>Away</t>
        </is>
      </c>
      <c r="H206" s="2" t="inlineStr">
        <is>
          <t>bovada</t>
        </is>
      </c>
      <c r="I206" s="4" t="n"/>
      <c r="J206" s="4" t="n"/>
      <c r="K206" s="4" t="n">
        <v>-150</v>
      </c>
      <c r="L206" s="4" t="n">
        <v>-150</v>
      </c>
      <c r="M206" s="5" t="n">
        <v>5.5</v>
      </c>
      <c r="N206" s="5" t="n">
        <v>4.663738485287541</v>
      </c>
      <c r="O206" s="5" t="n">
        <v>5.5</v>
      </c>
      <c r="P206" s="5" t="n">
        <v>0.8362615147124588</v>
      </c>
      <c r="Q206" s="6" t="n">
        <v>0.124557018441827</v>
      </c>
      <c r="R206" s="6" t="n">
        <v>0.6747342110650962</v>
      </c>
      <c r="S206" s="6" t="n">
        <v>0.5755517826825127</v>
      </c>
      <c r="T206" s="2" t="inlineStr">
        <is>
          <t>Under</t>
        </is>
      </c>
      <c r="U206" s="4" t="n">
        <v>-150</v>
      </c>
      <c r="V206" s="2" t="n">
        <v>1.666666666666667</v>
      </c>
      <c r="W206" s="4" t="n">
        <v>-150</v>
      </c>
      <c r="X206" s="2" t="n">
        <v>1</v>
      </c>
      <c r="Y206" s="5" t="n">
        <v>0.6666666666666665</v>
      </c>
      <c r="Z206" s="7" t="n">
        <v>100</v>
      </c>
      <c r="AA206" s="7">
        <f>Y206*Z206</f>
        <v/>
      </c>
      <c r="AB206" s="6">
        <f>IF(Z206=0,0,AA206/Z206)</f>
        <v/>
      </c>
      <c r="AC206" s="6" t="n"/>
      <c r="AD206" s="2" t="inlineStr">
        <is>
          <t>Win</t>
        </is>
      </c>
      <c r="AE206" s="6">
        <f>IF((COUNTIF($AD$2:AD206,"Win")+COUNTIF($AD$2:AD206,"Loss"))=0,0,COUNTIF($AD$2:AD206,"Win")/(COUNTIF($AD$2:AD206,"Win")+COUNTIF($AD$2:AD206,"Loss")))</f>
        <v/>
      </c>
      <c r="AF206" s="6">
        <f>SUM($Y$2:Y206)/SUM($X$2:X206)</f>
        <v/>
      </c>
      <c r="AG206" s="5">
        <f>SUM($Y$2:Y206)</f>
        <v/>
      </c>
      <c r="AH206" s="7">
        <f>10000.0+SUM($AA$2:AA206)</f>
        <v/>
      </c>
      <c r="AI206" s="2" t="n">
        <v>2026</v>
      </c>
      <c r="AJ206" s="2" t="inlineStr">
        <is>
          <t>2026-04</t>
        </is>
      </c>
      <c r="AK206" s="2" t="inlineStr">
        <is>
          <t>&lt;= -150</t>
        </is>
      </c>
      <c r="AL206" s="2" t="inlineStr">
        <is>
          <t>2026 Frozen Test</t>
        </is>
      </c>
      <c r="AM206" s="6" t="n">
        <v>0.1868355276627405</v>
      </c>
    </row>
    <row r="207">
      <c r="A207" s="2" t="inlineStr">
        <is>
          <t>KPROP-00608</t>
        </is>
      </c>
      <c r="B207" s="3" t="n">
        <v>46129.80252314815</v>
      </c>
      <c r="C207" s="3" t="n">
        <v>46129</v>
      </c>
      <c r="D207" s="2" t="inlineStr">
        <is>
          <t>Ranger Suarez</t>
        </is>
      </c>
      <c r="E207" s="2" t="n">
        <v>111</v>
      </c>
      <c r="F207" s="2" t="n">
        <v>116</v>
      </c>
      <c r="G207" s="2" t="inlineStr">
        <is>
          <t>Home</t>
        </is>
      </c>
      <c r="H207" s="2" t="inlineStr">
        <is>
          <t>betmgm</t>
        </is>
      </c>
      <c r="I207" s="4" t="n"/>
      <c r="J207" s="4" t="n"/>
      <c r="K207" s="4" t="n">
        <v>105</v>
      </c>
      <c r="L207" s="4" t="n">
        <v>105</v>
      </c>
      <c r="M207" s="5" t="n">
        <v>4.5</v>
      </c>
      <c r="N207" s="5" t="n">
        <v>4.141397168574283</v>
      </c>
      <c r="O207" s="5" t="n">
        <v>4.5</v>
      </c>
      <c r="P207" s="5" t="n">
        <v>0.358602831425717</v>
      </c>
      <c r="Q207" s="6" t="n">
        <v>0.2325321973615315</v>
      </c>
      <c r="R207" s="6" t="n">
        <v>0.6012352182251374</v>
      </c>
      <c r="S207" s="6" t="n">
        <v>0.4779986598168416</v>
      </c>
      <c r="T207" s="2" t="inlineStr">
        <is>
          <t>Under</t>
        </is>
      </c>
      <c r="U207" s="4" t="n">
        <v>105</v>
      </c>
      <c r="V207" s="2" t="n">
        <v>2.05</v>
      </c>
      <c r="W207" s="4" t="n">
        <v>105</v>
      </c>
      <c r="X207" s="2" t="n">
        <v>1</v>
      </c>
      <c r="Y207" s="5" t="n">
        <v>1.05</v>
      </c>
      <c r="Z207" s="7" t="n">
        <v>100</v>
      </c>
      <c r="AA207" s="7">
        <f>Y207*Z207</f>
        <v/>
      </c>
      <c r="AB207" s="6">
        <f>IF(Z207=0,0,AA207/Z207)</f>
        <v/>
      </c>
      <c r="AC207" s="6" t="n"/>
      <c r="AD207" s="2" t="inlineStr">
        <is>
          <t>Win</t>
        </is>
      </c>
      <c r="AE207" s="6">
        <f>IF((COUNTIF($AD$2:AD207,"Win")+COUNTIF($AD$2:AD207,"Loss"))=0,0,COUNTIF($AD$2:AD207,"Win")/(COUNTIF($AD$2:AD207,"Win")+COUNTIF($AD$2:AD207,"Loss")))</f>
        <v/>
      </c>
      <c r="AF207" s="6">
        <f>SUM($Y$2:Y207)/SUM($X$2:X207)</f>
        <v/>
      </c>
      <c r="AG207" s="5">
        <f>SUM($Y$2:Y207)</f>
        <v/>
      </c>
      <c r="AH207" s="7">
        <f>10000.0+SUM($AA$2:AA207)</f>
        <v/>
      </c>
      <c r="AI207" s="2" t="n">
        <v>2026</v>
      </c>
      <c r="AJ207" s="2" t="inlineStr">
        <is>
          <t>2026-04</t>
        </is>
      </c>
      <c r="AK207" s="2" t="inlineStr">
        <is>
          <t>+100 to +120</t>
        </is>
      </c>
      <c r="AL207" s="2" t="inlineStr">
        <is>
          <t>2026 Frozen Test</t>
        </is>
      </c>
      <c r="AM207" s="6" t="n">
        <v>0.221459235582411</v>
      </c>
    </row>
    <row r="208">
      <c r="A208" s="2" t="inlineStr">
        <is>
          <t>KPROP-00609</t>
        </is>
      </c>
      <c r="B208" s="3" t="n">
        <v>46129.75738425926</v>
      </c>
      <c r="C208" s="3" t="n">
        <v>46129</v>
      </c>
      <c r="D208" s="2" t="inlineStr">
        <is>
          <t>Tanner Bibee</t>
        </is>
      </c>
      <c r="E208" s="2" t="n">
        <v>114</v>
      </c>
      <c r="F208" s="2" t="n">
        <v>110</v>
      </c>
      <c r="G208" s="2" t="inlineStr">
        <is>
          <t>Home</t>
        </is>
      </c>
      <c r="H208" s="2" t="inlineStr">
        <is>
          <t>draftkings</t>
        </is>
      </c>
      <c r="I208" s="4" t="n"/>
      <c r="J208" s="4" t="n"/>
      <c r="K208" s="4" t="n">
        <v>108</v>
      </c>
      <c r="L208" s="4" t="n">
        <v>108</v>
      </c>
      <c r="M208" s="5" t="n">
        <v>5.5</v>
      </c>
      <c r="N208" s="5" t="n">
        <v>5.539160104345701</v>
      </c>
      <c r="O208" s="5" t="n">
        <v>5.5</v>
      </c>
      <c r="P208" s="5" t="n">
        <v>-0.03916010434570083</v>
      </c>
      <c r="Q208" s="6" t="n">
        <v>0.08621517261231926</v>
      </c>
      <c r="R208" s="6" t="n">
        <v>0.5222188329866919</v>
      </c>
      <c r="S208" s="6" t="n">
        <v>0.4639175257731958</v>
      </c>
      <c r="T208" s="2" t="inlineStr">
        <is>
          <t>Under</t>
        </is>
      </c>
      <c r="U208" s="4" t="n">
        <v>108</v>
      </c>
      <c r="V208" s="2" t="n">
        <v>2.08</v>
      </c>
      <c r="W208" s="4" t="n">
        <v>108</v>
      </c>
      <c r="X208" s="2" t="n">
        <v>1</v>
      </c>
      <c r="Y208" s="5" t="n">
        <v>1.08</v>
      </c>
      <c r="Z208" s="7" t="n">
        <v>100</v>
      </c>
      <c r="AA208" s="7">
        <f>Y208*Z208</f>
        <v/>
      </c>
      <c r="AB208" s="6">
        <f>IF(Z208=0,0,AA208/Z208)</f>
        <v/>
      </c>
      <c r="AC208" s="6" t="n"/>
      <c r="AD208" s="2" t="inlineStr">
        <is>
          <t>Win</t>
        </is>
      </c>
      <c r="AE208" s="6">
        <f>IF((COUNTIF($AD$2:AD208,"Win")+COUNTIF($AD$2:AD208,"Loss"))=0,0,COUNTIF($AD$2:AD208,"Win")/(COUNTIF($AD$2:AD208,"Win")+COUNTIF($AD$2:AD208,"Loss")))</f>
        <v/>
      </c>
      <c r="AF208" s="6">
        <f>SUM($Y$2:Y208)/SUM($X$2:X208)</f>
        <v/>
      </c>
      <c r="AG208" s="5">
        <f>SUM($Y$2:Y208)</f>
        <v/>
      </c>
      <c r="AH208" s="7">
        <f>10000.0+SUM($AA$2:AA208)</f>
        <v/>
      </c>
      <c r="AI208" s="2" t="n">
        <v>2026</v>
      </c>
      <c r="AJ208" s="2" t="inlineStr">
        <is>
          <t>2026-04</t>
        </is>
      </c>
      <c r="AK208" s="2" t="inlineStr">
        <is>
          <t>+100 to +120</t>
        </is>
      </c>
      <c r="AL208" s="2" t="inlineStr">
        <is>
          <t>2026 Frozen Test</t>
        </is>
      </c>
      <c r="AM208" s="6" t="n">
        <v>0.07982886352992523</v>
      </c>
    </row>
    <row r="209">
      <c r="A209" s="2" t="inlineStr">
        <is>
          <t>KPROP-00610</t>
        </is>
      </c>
      <c r="B209" s="3" t="n">
        <v>46130.80252314815</v>
      </c>
      <c r="C209" s="3" t="n">
        <v>46130</v>
      </c>
      <c r="D209" s="2" t="inlineStr">
        <is>
          <t>Chris Sale</t>
        </is>
      </c>
      <c r="E209" s="2" t="n">
        <v>144</v>
      </c>
      <c r="F209" s="2" t="n">
        <v>143</v>
      </c>
      <c r="G209" s="2" t="inlineStr">
        <is>
          <t>Away</t>
        </is>
      </c>
      <c r="H209" s="2" t="inlineStr">
        <is>
          <t>mybookieag</t>
        </is>
      </c>
      <c r="I209" s="4" t="n"/>
      <c r="J209" s="4" t="n"/>
      <c r="K209" s="4" t="n">
        <v>100</v>
      </c>
      <c r="L209" s="4" t="n">
        <v>100</v>
      </c>
      <c r="M209" s="5" t="n">
        <v>7.5</v>
      </c>
      <c r="N209" s="5" t="n">
        <v>6.754614369863081</v>
      </c>
      <c r="O209" s="5" t="n">
        <v>7.5</v>
      </c>
      <c r="P209" s="5" t="n">
        <v>0.7453856301369193</v>
      </c>
      <c r="Q209" s="6" t="n">
        <v>0.2704473775389591</v>
      </c>
      <c r="R209" s="6" t="n">
        <v>0.6352236887694795</v>
      </c>
      <c r="S209" s="6" t="n">
        <v>0.5121951219512195</v>
      </c>
      <c r="T209" s="2" t="inlineStr">
        <is>
          <t>Under</t>
        </is>
      </c>
      <c r="U209" s="4" t="n">
        <v>100</v>
      </c>
      <c r="V209" s="2" t="n">
        <v>2</v>
      </c>
      <c r="W209" s="4" t="n">
        <v>100</v>
      </c>
      <c r="X209" s="2" t="n">
        <v>1</v>
      </c>
      <c r="Y209" s="5" t="n">
        <v>1</v>
      </c>
      <c r="Z209" s="7" t="n">
        <v>100</v>
      </c>
      <c r="AA209" s="7">
        <f>Y209*Z209</f>
        <v/>
      </c>
      <c r="AB209" s="6">
        <f>IF(Z209=0,0,AA209/Z209)</f>
        <v/>
      </c>
      <c r="AC209" s="6" t="n"/>
      <c r="AD209" s="2" t="inlineStr">
        <is>
          <t>Win</t>
        </is>
      </c>
      <c r="AE209" s="6">
        <f>IF((COUNTIF($AD$2:AD209,"Win")+COUNTIF($AD$2:AD209,"Loss"))=0,0,COUNTIF($AD$2:AD209,"Win")/(COUNTIF($AD$2:AD209,"Win")+COUNTIF($AD$2:AD209,"Loss")))</f>
        <v/>
      </c>
      <c r="AF209" s="6">
        <f>SUM($Y$2:Y209)/SUM($X$2:X209)</f>
        <v/>
      </c>
      <c r="AG209" s="5">
        <f>SUM($Y$2:Y209)</f>
        <v/>
      </c>
      <c r="AH209" s="7">
        <f>10000.0+SUM($AA$2:AA209)</f>
        <v/>
      </c>
      <c r="AI209" s="2" t="n">
        <v>2026</v>
      </c>
      <c r="AJ209" s="2" t="inlineStr">
        <is>
          <t>2026-04</t>
        </is>
      </c>
      <c r="AK209" s="2" t="inlineStr">
        <is>
          <t>+100 to +120</t>
        </is>
      </c>
      <c r="AL209" s="2" t="inlineStr">
        <is>
          <t>2026 Frozen Test</t>
        </is>
      </c>
      <c r="AM209" s="6" t="n">
        <v>0.2704473775389591</v>
      </c>
    </row>
    <row r="210">
      <c r="A210" s="2" t="inlineStr">
        <is>
          <t>KPROP-00611</t>
        </is>
      </c>
      <c r="B210" s="3" t="n">
        <v>46130.80252314815</v>
      </c>
      <c r="C210" s="3" t="n">
        <v>46130</v>
      </c>
      <c r="D210" s="2" t="inlineStr">
        <is>
          <t>Cristopher Sánchez</t>
        </is>
      </c>
      <c r="E210" s="2" t="n">
        <v>143</v>
      </c>
      <c r="F210" s="2" t="n">
        <v>144</v>
      </c>
      <c r="G210" s="2" t="inlineStr">
        <is>
          <t>Home</t>
        </is>
      </c>
      <c r="H210" s="2" t="inlineStr">
        <is>
          <t>betrivers</t>
        </is>
      </c>
      <c r="I210" s="4" t="n"/>
      <c r="J210" s="4" t="n"/>
      <c r="K210" s="4" t="n">
        <v>188</v>
      </c>
      <c r="L210" s="4" t="n">
        <v>188</v>
      </c>
      <c r="M210" s="5" t="n">
        <v>5.5</v>
      </c>
      <c r="N210" s="5" t="n">
        <v>5.835418627194001</v>
      </c>
      <c r="O210" s="5" t="n">
        <v>5.5</v>
      </c>
      <c r="P210" s="5" t="n">
        <v>-0.3354186271940014</v>
      </c>
      <c r="Q210" s="6" t="n">
        <v>0.3606962527935313</v>
      </c>
      <c r="R210" s="6" t="n">
        <v>0.4724639766644206</v>
      </c>
      <c r="S210" s="6" t="n">
        <v>0.3607103218645949</v>
      </c>
      <c r="T210" s="2" t="inlineStr">
        <is>
          <t>Under</t>
        </is>
      </c>
      <c r="U210" s="4" t="n">
        <v>188</v>
      </c>
      <c r="V210" s="2" t="n">
        <v>2.88</v>
      </c>
      <c r="W210" s="4" t="n">
        <v>188</v>
      </c>
      <c r="X210" s="2" t="n">
        <v>1</v>
      </c>
      <c r="Y210" s="5" t="n">
        <v>-1</v>
      </c>
      <c r="Z210" s="7" t="n">
        <v>100</v>
      </c>
      <c r="AA210" s="7">
        <f>Y210*Z210</f>
        <v/>
      </c>
      <c r="AB210" s="6">
        <f>IF(Z210=0,0,AA210/Z210)</f>
        <v/>
      </c>
      <c r="AC210" s="6" t="n"/>
      <c r="AD210" s="2" t="inlineStr">
        <is>
          <t>Loss</t>
        </is>
      </c>
      <c r="AE210" s="6">
        <f>IF((COUNTIF($AD$2:AD210,"Win")+COUNTIF($AD$2:AD210,"Loss"))=0,0,COUNTIF($AD$2:AD210,"Win")/(COUNTIF($AD$2:AD210,"Win")+COUNTIF($AD$2:AD210,"Loss")))</f>
        <v/>
      </c>
      <c r="AF210" s="6">
        <f>SUM($Y$2:Y210)/SUM($X$2:X210)</f>
        <v/>
      </c>
      <c r="AG210" s="5">
        <f>SUM($Y$2:Y210)</f>
        <v/>
      </c>
      <c r="AH210" s="7">
        <f>10000.0+SUM($AA$2:AA210)</f>
        <v/>
      </c>
      <c r="AI210" s="2" t="n">
        <v>2026</v>
      </c>
      <c r="AJ210" s="2" t="inlineStr">
        <is>
          <t>2026-04</t>
        </is>
      </c>
      <c r="AK210" s="2" t="inlineStr">
        <is>
          <t>&gt;= +151</t>
        </is>
      </c>
      <c r="AL210" s="2" t="inlineStr">
        <is>
          <t>2026 Frozen Test</t>
        </is>
      </c>
      <c r="AM210" s="6" t="n">
        <v>0.1918597089327294</v>
      </c>
    </row>
    <row r="211">
      <c r="A211" s="2" t="inlineStr">
        <is>
          <t>KPROP-00612</t>
        </is>
      </c>
      <c r="B211" s="3" t="n">
        <v>46130.80252314815</v>
      </c>
      <c r="C211" s="3" t="n">
        <v>46130</v>
      </c>
      <c r="D211" s="2" t="inlineStr">
        <is>
          <t>Cristopher Sánchez</t>
        </is>
      </c>
      <c r="E211" s="2" t="n">
        <v>143</v>
      </c>
      <c r="F211" s="2" t="n">
        <v>144</v>
      </c>
      <c r="G211" s="2" t="inlineStr">
        <is>
          <t>Home</t>
        </is>
      </c>
      <c r="H211" s="2" t="inlineStr">
        <is>
          <t>betrivers</t>
        </is>
      </c>
      <c r="I211" s="4" t="n"/>
      <c r="J211" s="4" t="n"/>
      <c r="K211" s="4" t="n">
        <v>-108</v>
      </c>
      <c r="L211" s="4" t="n">
        <v>-108</v>
      </c>
      <c r="M211" s="5" t="n">
        <v>6.5</v>
      </c>
      <c r="N211" s="5" t="n">
        <v>5.835418627194001</v>
      </c>
      <c r="O211" s="5" t="n">
        <v>6.5</v>
      </c>
      <c r="P211" s="5" t="n">
        <v>0.6645813728059986</v>
      </c>
      <c r="Q211" s="6" t="n">
        <v>0.2185683955638977</v>
      </c>
      <c r="R211" s="6" t="n">
        <v>0.6327182053889469</v>
      </c>
      <c r="S211" s="6" t="n">
        <v>0.5286439448875998</v>
      </c>
      <c r="T211" s="2" t="inlineStr">
        <is>
          <t>Under</t>
        </is>
      </c>
      <c r="U211" s="4" t="n">
        <v>-108</v>
      </c>
      <c r="V211" s="2" t="n">
        <v>1.925925925925926</v>
      </c>
      <c r="W211" s="4" t="n">
        <v>-108</v>
      </c>
      <c r="X211" s="2" t="n">
        <v>1</v>
      </c>
      <c r="Y211" s="5" t="n">
        <v>-1</v>
      </c>
      <c r="Z211" s="7" t="n">
        <v>100</v>
      </c>
      <c r="AA211" s="7">
        <f>Y211*Z211</f>
        <v/>
      </c>
      <c r="AB211" s="6">
        <f>IF(Z211=0,0,AA211/Z211)</f>
        <v/>
      </c>
      <c r="AC211" s="6" t="n"/>
      <c r="AD211" s="2" t="inlineStr">
        <is>
          <t>Loss</t>
        </is>
      </c>
      <c r="AE211" s="6">
        <f>IF((COUNTIF($AD$2:AD211,"Win")+COUNTIF($AD$2:AD211,"Loss"))=0,0,COUNTIF($AD$2:AD211,"Win")/(COUNTIF($AD$2:AD211,"Win")+COUNTIF($AD$2:AD211,"Loss")))</f>
        <v/>
      </c>
      <c r="AF211" s="6">
        <f>SUM($Y$2:Y211)/SUM($X$2:X211)</f>
        <v/>
      </c>
      <c r="AG211" s="5">
        <f>SUM($Y$2:Y211)</f>
        <v/>
      </c>
      <c r="AH211" s="7">
        <f>10000.0+SUM($AA$2:AA211)</f>
        <v/>
      </c>
      <c r="AI211" s="2" t="n">
        <v>2026</v>
      </c>
      <c r="AJ211" s="2" t="inlineStr">
        <is>
          <t>2026-04</t>
        </is>
      </c>
      <c r="AK211" s="2" t="inlineStr">
        <is>
          <t>-119 to -101</t>
        </is>
      </c>
      <c r="AL211" s="2" t="inlineStr">
        <is>
          <t>2026 Frozen Test</t>
        </is>
      </c>
      <c r="AM211" s="6" t="n">
        <v>0.2360538672090095</v>
      </c>
    </row>
    <row r="212">
      <c r="A212" s="2" t="inlineStr">
        <is>
          <t>KPROP-00613</t>
        </is>
      </c>
      <c r="B212" s="3" t="n">
        <v>46130.59766203703</v>
      </c>
      <c r="C212" s="3" t="n">
        <v>46130</v>
      </c>
      <c r="D212" s="2" t="inlineStr">
        <is>
          <t>Freddy Peralta</t>
        </is>
      </c>
      <c r="E212" s="2" t="n">
        <v>121</v>
      </c>
      <c r="F212" s="2" t="n">
        <v>112</v>
      </c>
      <c r="G212" s="2" t="inlineStr">
        <is>
          <t>Away</t>
        </is>
      </c>
      <c r="H212" s="2" t="inlineStr">
        <is>
          <t>draftkings</t>
        </is>
      </c>
      <c r="I212" s="4" t="n"/>
      <c r="J212" s="4" t="n"/>
      <c r="K212" s="4" t="n">
        <v>106</v>
      </c>
      <c r="L212" s="4" t="n">
        <v>106</v>
      </c>
      <c r="M212" s="5" t="n">
        <v>5.5</v>
      </c>
      <c r="N212" s="5" t="n">
        <v>5.540825895704296</v>
      </c>
      <c r="O212" s="5" t="n">
        <v>5.5</v>
      </c>
      <c r="P212" s="5" t="n">
        <v>-0.0408258957042964</v>
      </c>
      <c r="Q212" s="6" t="n">
        <v>0.07518484095638811</v>
      </c>
      <c r="R212" s="6" t="n">
        <v>0.5219343888137806</v>
      </c>
      <c r="S212" s="6" t="n">
        <v>0.4620329449578144</v>
      </c>
      <c r="T212" s="2" t="inlineStr">
        <is>
          <t>Under</t>
        </is>
      </c>
      <c r="U212" s="4" t="n">
        <v>106</v>
      </c>
      <c r="V212" s="2" t="n">
        <v>2.06</v>
      </c>
      <c r="W212" s="4" t="n">
        <v>106</v>
      </c>
      <c r="X212" s="2" t="n">
        <v>1</v>
      </c>
      <c r="Y212" s="5" t="n">
        <v>1.06</v>
      </c>
      <c r="Z212" s="7" t="n">
        <v>100</v>
      </c>
      <c r="AA212" s="7">
        <f>Y212*Z212</f>
        <v/>
      </c>
      <c r="AB212" s="6">
        <f>IF(Z212=0,0,AA212/Z212)</f>
        <v/>
      </c>
      <c r="AC212" s="6" t="n"/>
      <c r="AD212" s="2" t="inlineStr">
        <is>
          <t>Win</t>
        </is>
      </c>
      <c r="AE212" s="6">
        <f>IF((COUNTIF($AD$2:AD212,"Win")+COUNTIF($AD$2:AD212,"Loss"))=0,0,COUNTIF($AD$2:AD212,"Win")/(COUNTIF($AD$2:AD212,"Win")+COUNTIF($AD$2:AD212,"Loss")))</f>
        <v/>
      </c>
      <c r="AF212" s="6">
        <f>SUM($Y$2:Y212)/SUM($X$2:X212)</f>
        <v/>
      </c>
      <c r="AG212" s="5">
        <f>SUM($Y$2:Y212)</f>
        <v/>
      </c>
      <c r="AH212" s="7">
        <f>10000.0+SUM($AA$2:AA212)</f>
        <v/>
      </c>
      <c r="AI212" s="2" t="n">
        <v>2026</v>
      </c>
      <c r="AJ212" s="2" t="inlineStr">
        <is>
          <t>2026-04</t>
        </is>
      </c>
      <c r="AK212" s="2" t="inlineStr">
        <is>
          <t>+100 to +120</t>
        </is>
      </c>
      <c r="AL212" s="2" t="inlineStr">
        <is>
          <t>2026 Frozen Test</t>
        </is>
      </c>
      <c r="AM212" s="6" t="n">
        <v>0.07092909524187557</v>
      </c>
    </row>
    <row r="213">
      <c r="A213" s="2" t="inlineStr">
        <is>
          <t>KPROP-00614</t>
        </is>
      </c>
      <c r="B213" s="3" t="n">
        <v>46130.79905092593</v>
      </c>
      <c r="C213" s="3" t="n">
        <v>46130</v>
      </c>
      <c r="D213" s="2" t="inlineStr">
        <is>
          <t>Lance McCullers Jr.</t>
        </is>
      </c>
      <c r="E213" s="2" t="n">
        <v>117</v>
      </c>
      <c r="F213" s="2" t="n">
        <v>138</v>
      </c>
      <c r="G213" s="2" t="inlineStr">
        <is>
          <t>Home</t>
        </is>
      </c>
      <c r="H213" s="2" t="inlineStr">
        <is>
          <t>fanduel</t>
        </is>
      </c>
      <c r="I213" s="4" t="n"/>
      <c r="J213" s="4" t="n"/>
      <c r="K213" s="4" t="n">
        <v>118</v>
      </c>
      <c r="L213" s="4" t="n">
        <v>118</v>
      </c>
      <c r="M213" s="5" t="n">
        <v>4.5</v>
      </c>
      <c r="N213" s="5" t="n">
        <v>4.615560636245791</v>
      </c>
      <c r="O213" s="5" t="n">
        <v>4.5</v>
      </c>
      <c r="P213" s="5" t="n">
        <v>-0.1155606362457915</v>
      </c>
      <c r="Q213" s="6" t="n">
        <v>0.112495271080541</v>
      </c>
      <c r="R213" s="6" t="n">
        <v>0.5103189316883217</v>
      </c>
      <c r="S213" s="6" t="n">
        <v>0.4432091346153846</v>
      </c>
      <c r="T213" s="2" t="inlineStr">
        <is>
          <t>Under</t>
        </is>
      </c>
      <c r="U213" s="4" t="n">
        <v>118</v>
      </c>
      <c r="V213" s="2" t="n">
        <v>2.18</v>
      </c>
      <c r="W213" s="4" t="n">
        <v>118</v>
      </c>
      <c r="X213" s="2" t="n">
        <v>1</v>
      </c>
      <c r="Y213" s="5" t="n">
        <v>1.18</v>
      </c>
      <c r="Z213" s="7" t="n">
        <v>100</v>
      </c>
      <c r="AA213" s="7">
        <f>Y213*Z213</f>
        <v/>
      </c>
      <c r="AB213" s="6">
        <f>IF(Z213=0,0,AA213/Z213)</f>
        <v/>
      </c>
      <c r="AC213" s="6" t="n"/>
      <c r="AD213" s="2" t="inlineStr">
        <is>
          <t>Win</t>
        </is>
      </c>
      <c r="AE213" s="6">
        <f>IF((COUNTIF($AD$2:AD213,"Win")+COUNTIF($AD$2:AD213,"Loss"))=0,0,COUNTIF($AD$2:AD213,"Win")/(COUNTIF($AD$2:AD213,"Win")+COUNTIF($AD$2:AD213,"Loss")))</f>
        <v/>
      </c>
      <c r="AF213" s="6">
        <f>SUM($Y$2:Y213)/SUM($X$2:X213)</f>
        <v/>
      </c>
      <c r="AG213" s="5">
        <f>SUM($Y$2:Y213)</f>
        <v/>
      </c>
      <c r="AH213" s="7">
        <f>10000.0+SUM($AA$2:AA213)</f>
        <v/>
      </c>
      <c r="AI213" s="2" t="n">
        <v>2026</v>
      </c>
      <c r="AJ213" s="2" t="inlineStr">
        <is>
          <t>2026-04</t>
        </is>
      </c>
      <c r="AK213" s="2" t="inlineStr">
        <is>
          <t>+100 to +120</t>
        </is>
      </c>
      <c r="AL213" s="2" t="inlineStr">
        <is>
          <t>2026 Frozen Test</t>
        </is>
      </c>
      <c r="AM213" s="6" t="n">
        <v>0.09533497549198394</v>
      </c>
    </row>
    <row r="214">
      <c r="A214" s="2" t="inlineStr">
        <is>
          <t>KPROP-00615</t>
        </is>
      </c>
      <c r="B214" s="3" t="n">
        <v>46130.80252314815</v>
      </c>
      <c r="C214" s="3" t="n">
        <v>46130</v>
      </c>
      <c r="D214" s="2" t="inlineStr">
        <is>
          <t>Nathan Eovaldi</t>
        </is>
      </c>
      <c r="E214" s="2" t="n">
        <v>140</v>
      </c>
      <c r="F214" s="2" t="n">
        <v>136</v>
      </c>
      <c r="G214" s="2" t="inlineStr">
        <is>
          <t>Away</t>
        </is>
      </c>
      <c r="H214" s="2" t="inlineStr">
        <is>
          <t>draftkings</t>
        </is>
      </c>
      <c r="I214" s="4" t="n"/>
      <c r="J214" s="4" t="n"/>
      <c r="K214" s="4" t="n">
        <v>114</v>
      </c>
      <c r="L214" s="4" t="n">
        <v>114</v>
      </c>
      <c r="M214" s="5" t="n">
        <v>5.5</v>
      </c>
      <c r="N214" s="5" t="n">
        <v>5.225371242988249</v>
      </c>
      <c r="O214" s="5" t="n">
        <v>5.5</v>
      </c>
      <c r="P214" s="5" t="n">
        <v>0.2746287570117509</v>
      </c>
      <c r="Q214" s="6" t="n">
        <v>0.2336687886925846</v>
      </c>
      <c r="R214" s="6" t="n">
        <v>0.5764807423797125</v>
      </c>
      <c r="S214" s="6" t="n">
        <v>0.4525777253049981</v>
      </c>
      <c r="T214" s="2" t="inlineStr">
        <is>
          <t>Under</t>
        </is>
      </c>
      <c r="U214" s="4" t="n">
        <v>114</v>
      </c>
      <c r="V214" s="2" t="n">
        <v>2.14</v>
      </c>
      <c r="W214" s="4" t="n">
        <v>114</v>
      </c>
      <c r="X214" s="2" t="n">
        <v>1</v>
      </c>
      <c r="Y214" s="5" t="n">
        <v>1.14</v>
      </c>
      <c r="Z214" s="7" t="n">
        <v>100</v>
      </c>
      <c r="AA214" s="7">
        <f>Y214*Z214</f>
        <v/>
      </c>
      <c r="AB214" s="6">
        <f>IF(Z214=0,0,AA214/Z214)</f>
        <v/>
      </c>
      <c r="AC214" s="6" t="n"/>
      <c r="AD214" s="2" t="inlineStr">
        <is>
          <t>Win</t>
        </is>
      </c>
      <c r="AE214" s="6">
        <f>IF((COUNTIF($AD$2:AD214,"Win")+COUNTIF($AD$2:AD214,"Loss"))=0,0,COUNTIF($AD$2:AD214,"Win")/(COUNTIF($AD$2:AD214,"Win")+COUNTIF($AD$2:AD214,"Loss")))</f>
        <v/>
      </c>
      <c r="AF214" s="6">
        <f>SUM($Y$2:Y214)/SUM($X$2:X214)</f>
        <v/>
      </c>
      <c r="AG214" s="5">
        <f>SUM($Y$2:Y214)</f>
        <v/>
      </c>
      <c r="AH214" s="7">
        <f>10000.0+SUM($AA$2:AA214)</f>
        <v/>
      </c>
      <c r="AI214" s="2" t="n">
        <v>2026</v>
      </c>
      <c r="AJ214" s="2" t="inlineStr">
        <is>
          <t>2026-04</t>
        </is>
      </c>
      <c r="AK214" s="2" t="inlineStr">
        <is>
          <t>+100 to +120</t>
        </is>
      </c>
      <c r="AL214" s="2" t="inlineStr">
        <is>
          <t>2026 Frozen Test</t>
        </is>
      </c>
      <c r="AM214" s="6" t="n">
        <v>0.2049726216601619</v>
      </c>
    </row>
    <row r="215">
      <c r="A215" s="2" t="inlineStr">
        <is>
          <t>KPROP-00616</t>
        </is>
      </c>
      <c r="B215" s="3" t="n">
        <v>46130.80252314815</v>
      </c>
      <c r="C215" s="3" t="n">
        <v>46130</v>
      </c>
      <c r="D215" s="2" t="inlineStr">
        <is>
          <t>Nathan Eovaldi</t>
        </is>
      </c>
      <c r="E215" s="2" t="n">
        <v>140</v>
      </c>
      <c r="F215" s="2" t="n">
        <v>136</v>
      </c>
      <c r="G215" s="2" t="inlineStr">
        <is>
          <t>Away</t>
        </is>
      </c>
      <c r="H215" s="2" t="inlineStr">
        <is>
          <t>betrivers</t>
        </is>
      </c>
      <c r="I215" s="4" t="n"/>
      <c r="J215" s="4" t="n"/>
      <c r="K215" s="4" t="n">
        <v>-190</v>
      </c>
      <c r="L215" s="4" t="n">
        <v>-190</v>
      </c>
      <c r="M215" s="5" t="n">
        <v>6.5</v>
      </c>
      <c r="N215" s="5" t="n">
        <v>5.225371242988249</v>
      </c>
      <c r="O215" s="5" t="n">
        <v>6.5</v>
      </c>
      <c r="P215" s="5" t="n">
        <v>1.274628757011751</v>
      </c>
      <c r="Q215" s="6" t="n">
        <v>0.1119861914937575</v>
      </c>
      <c r="R215" s="6" t="n">
        <v>0.7285426771855653</v>
      </c>
      <c r="S215" s="6" t="n">
        <v>0.6112600536193029</v>
      </c>
      <c r="T215" s="2" t="inlineStr">
        <is>
          <t>Under</t>
        </is>
      </c>
      <c r="U215" s="4" t="n">
        <v>-190</v>
      </c>
      <c r="V215" s="2" t="n">
        <v>1.526315789473684</v>
      </c>
      <c r="W215" s="4" t="n">
        <v>-190</v>
      </c>
      <c r="X215" s="2" t="n">
        <v>1</v>
      </c>
      <c r="Y215" s="5" t="n">
        <v>0.5263157894736841</v>
      </c>
      <c r="Z215" s="7" t="n">
        <v>100</v>
      </c>
      <c r="AA215" s="7">
        <f>Y215*Z215</f>
        <v/>
      </c>
      <c r="AB215" s="6">
        <f>IF(Z215=0,0,AA215/Z215)</f>
        <v/>
      </c>
      <c r="AC215" s="6" t="n"/>
      <c r="AD215" s="2" t="inlineStr">
        <is>
          <t>Win</t>
        </is>
      </c>
      <c r="AE215" s="6">
        <f>IF((COUNTIF($AD$2:AD215,"Win")+COUNTIF($AD$2:AD215,"Loss"))=0,0,COUNTIF($AD$2:AD215,"Win")/(COUNTIF($AD$2:AD215,"Win")+COUNTIF($AD$2:AD215,"Loss")))</f>
        <v/>
      </c>
      <c r="AF215" s="6">
        <f>SUM($Y$2:Y215)/SUM($X$2:X215)</f>
        <v/>
      </c>
      <c r="AG215" s="5">
        <f>SUM($Y$2:Y215)</f>
        <v/>
      </c>
      <c r="AH215" s="7">
        <f>10000.0+SUM($AA$2:AA215)</f>
        <v/>
      </c>
      <c r="AI215" s="2" t="n">
        <v>2026</v>
      </c>
      <c r="AJ215" s="2" t="inlineStr">
        <is>
          <t>2026-04</t>
        </is>
      </c>
      <c r="AK215" s="2" t="inlineStr">
        <is>
          <t>&lt;= -150</t>
        </is>
      </c>
      <c r="AL215" s="2" t="inlineStr">
        <is>
          <t>2026 Frozen Test</t>
        </is>
      </c>
      <c r="AM215" s="6" t="n">
        <v>0.2127737638381393</v>
      </c>
    </row>
    <row r="216">
      <c r="A216" s="2" t="inlineStr">
        <is>
          <t>KPROP-00617</t>
        </is>
      </c>
      <c r="B216" s="3" t="n">
        <v>46130.67057870371</v>
      </c>
      <c r="C216" s="3" t="n">
        <v>46130</v>
      </c>
      <c r="D216" s="2" t="inlineStr">
        <is>
          <t>Paul Skenes</t>
        </is>
      </c>
      <c r="E216" s="2" t="n">
        <v>134</v>
      </c>
      <c r="F216" s="2" t="n">
        <v>139</v>
      </c>
      <c r="G216" s="2" t="inlineStr">
        <is>
          <t>Home</t>
        </is>
      </c>
      <c r="H216" s="2" t="inlineStr">
        <is>
          <t>betmgm</t>
        </is>
      </c>
      <c r="I216" s="4" t="n"/>
      <c r="J216" s="4" t="n"/>
      <c r="K216" s="4" t="n">
        <v>-135</v>
      </c>
      <c r="L216" s="4" t="n">
        <v>-135</v>
      </c>
      <c r="M216" s="5" t="n">
        <v>6.5</v>
      </c>
      <c r="N216" s="5" t="n">
        <v>5.563787964470715</v>
      </c>
      <c r="O216" s="5" t="n">
        <v>6.5</v>
      </c>
      <c r="P216" s="5" t="n">
        <v>0.9362120355292847</v>
      </c>
      <c r="Q216" s="6" t="n">
        <v>0.1767164030906573</v>
      </c>
      <c r="R216" s="6" t="n">
        <v>0.6759860187967606</v>
      </c>
      <c r="S216" s="6" t="n">
        <v>0.54911742133538</v>
      </c>
      <c r="T216" s="2" t="inlineStr">
        <is>
          <t>Under</t>
        </is>
      </c>
      <c r="U216" s="4" t="n">
        <v>-135</v>
      </c>
      <c r="V216" s="2" t="n">
        <v>1.740740740740741</v>
      </c>
      <c r="W216" s="4" t="n">
        <v>-135</v>
      </c>
      <c r="X216" s="2" t="n">
        <v>1</v>
      </c>
      <c r="Y216" s="5" t="n">
        <v>0.7407407407407407</v>
      </c>
      <c r="Z216" s="7" t="n">
        <v>100</v>
      </c>
      <c r="AA216" s="7">
        <f>Y216*Z216</f>
        <v/>
      </c>
      <c r="AB216" s="6">
        <f>IF(Z216=0,0,AA216/Z216)</f>
        <v/>
      </c>
      <c r="AC216" s="6" t="n"/>
      <c r="AD216" s="2" t="inlineStr">
        <is>
          <t>Win</t>
        </is>
      </c>
      <c r="AE216" s="6">
        <f>IF((COUNTIF($AD$2:AD216,"Win")+COUNTIF($AD$2:AD216,"Loss"))=0,0,COUNTIF($AD$2:AD216,"Win")/(COUNTIF($AD$2:AD216,"Win")+COUNTIF($AD$2:AD216,"Loss")))</f>
        <v/>
      </c>
      <c r="AF216" s="6">
        <f>SUM($Y$2:Y216)/SUM($X$2:X216)</f>
        <v/>
      </c>
      <c r="AG216" s="5">
        <f>SUM($Y$2:Y216)</f>
        <v/>
      </c>
      <c r="AH216" s="7">
        <f>10000.0+SUM($AA$2:AA216)</f>
        <v/>
      </c>
      <c r="AI216" s="2" t="n">
        <v>2026</v>
      </c>
      <c r="AJ216" s="2" t="inlineStr">
        <is>
          <t>2026-04</t>
        </is>
      </c>
      <c r="AK216" s="2" t="inlineStr">
        <is>
          <t>-149 to -120</t>
        </is>
      </c>
      <c r="AL216" s="2" t="inlineStr">
        <is>
          <t>2026 Frozen Test</t>
        </is>
      </c>
      <c r="AM216" s="6" t="n">
        <v>0.2385671441723873</v>
      </c>
    </row>
    <row r="217">
      <c r="A217" s="2" t="inlineStr">
        <is>
          <t>KPROP-00618</t>
        </is>
      </c>
      <c r="B217" s="3" t="n">
        <v>46130.67405092593</v>
      </c>
      <c r="C217" s="3" t="n">
        <v>46130</v>
      </c>
      <c r="D217" s="2" t="inlineStr">
        <is>
          <t>Tarik Skubal</t>
        </is>
      </c>
      <c r="E217" s="2" t="n">
        <v>116</v>
      </c>
      <c r="F217" s="2" t="n">
        <v>111</v>
      </c>
      <c r="G217" s="2" t="inlineStr">
        <is>
          <t>Away</t>
        </is>
      </c>
      <c r="H217" s="2" t="inlineStr">
        <is>
          <t>betrivers</t>
        </is>
      </c>
      <c r="I217" s="4" t="n"/>
      <c r="J217" s="4" t="n"/>
      <c r="K217" s="4" t="n">
        <v>-103</v>
      </c>
      <c r="L217" s="4" t="n">
        <v>-103</v>
      </c>
      <c r="M217" s="5" t="n">
        <v>7.5</v>
      </c>
      <c r="N217" s="5" t="n">
        <v>6.931393333480867</v>
      </c>
      <c r="O217" s="5" t="n">
        <v>7.5</v>
      </c>
      <c r="P217" s="5" t="n">
        <v>0.5686066665191332</v>
      </c>
      <c r="Q217" s="6" t="n">
        <v>0.2001345580672189</v>
      </c>
      <c r="R217" s="6" t="n">
        <v>0.6089352683789337</v>
      </c>
      <c r="S217" s="6" t="n">
        <v>0.4976431769974075</v>
      </c>
      <c r="T217" s="2" t="inlineStr">
        <is>
          <t>Under</t>
        </is>
      </c>
      <c r="U217" s="4" t="n">
        <v>-103</v>
      </c>
      <c r="V217" s="2" t="n">
        <v>1.970873786407767</v>
      </c>
      <c r="W217" s="4" t="n">
        <v>-103</v>
      </c>
      <c r="X217" s="2" t="n">
        <v>1</v>
      </c>
      <c r="Y217" s="5" t="n">
        <v>-1</v>
      </c>
      <c r="Z217" s="7" t="n">
        <v>100</v>
      </c>
      <c r="AA217" s="7">
        <f>Y217*Z217</f>
        <v/>
      </c>
      <c r="AB217" s="6">
        <f>IF(Z217=0,0,AA217/Z217)</f>
        <v/>
      </c>
      <c r="AC217" s="6" t="n"/>
      <c r="AD217" s="2" t="inlineStr">
        <is>
          <t>Loss</t>
        </is>
      </c>
      <c r="AE217" s="6">
        <f>IF((COUNTIF($AD$2:AD217,"Win")+COUNTIF($AD$2:AD217,"Loss"))=0,0,COUNTIF($AD$2:AD217,"Win")/(COUNTIF($AD$2:AD217,"Win")+COUNTIF($AD$2:AD217,"Loss")))</f>
        <v/>
      </c>
      <c r="AF217" s="6">
        <f>SUM($Y$2:Y217)/SUM($X$2:X217)</f>
        <v/>
      </c>
      <c r="AG217" s="5">
        <f>SUM($Y$2:Y217)</f>
        <v/>
      </c>
      <c r="AH217" s="7">
        <f>10000.0+SUM($AA$2:AA217)</f>
        <v/>
      </c>
      <c r="AI217" s="2" t="n">
        <v>2026</v>
      </c>
      <c r="AJ217" s="2" t="inlineStr">
        <is>
          <t>2026-04</t>
        </is>
      </c>
      <c r="AK217" s="2" t="inlineStr">
        <is>
          <t>-119 to -101</t>
        </is>
      </c>
      <c r="AL217" s="2" t="inlineStr">
        <is>
          <t>2026 Frozen Test</t>
        </is>
      </c>
      <c r="AM217" s="6" t="n">
        <v>0.2061385948092355</v>
      </c>
    </row>
    <row r="218">
      <c r="A218" s="2" t="inlineStr">
        <is>
          <t>KPROP-00619</t>
        </is>
      </c>
      <c r="B218" s="3" t="n">
        <v>46130.56641203703</v>
      </c>
      <c r="C218" s="3" t="n">
        <v>46130</v>
      </c>
      <c r="D218" s="2" t="inlineStr">
        <is>
          <t>Will Warren</t>
        </is>
      </c>
      <c r="E218" s="2" t="n">
        <v>147</v>
      </c>
      <c r="F218" s="2" t="n">
        <v>118</v>
      </c>
      <c r="G218" s="2" t="inlineStr">
        <is>
          <t>Home</t>
        </is>
      </c>
      <c r="H218" s="2" t="inlineStr">
        <is>
          <t>betonlineag</t>
        </is>
      </c>
      <c r="I218" s="4" t="n"/>
      <c r="J218" s="4" t="n"/>
      <c r="K218" s="4" t="n">
        <v>128</v>
      </c>
      <c r="L218" s="4" t="n">
        <v>128</v>
      </c>
      <c r="M218" s="5" t="n">
        <v>4.5</v>
      </c>
      <c r="N218" s="5" t="n">
        <v>4.454961074289693</v>
      </c>
      <c r="O218" s="5" t="n">
        <v>4.5</v>
      </c>
      <c r="P218" s="5" t="n">
        <v>0.04503892571030743</v>
      </c>
      <c r="Q218" s="6" t="n">
        <v>0.2327347998683624</v>
      </c>
      <c r="R218" s="6" t="n">
        <v>0.540673157837001</v>
      </c>
      <c r="S218" s="6" t="n">
        <v>0.4329403095062638</v>
      </c>
      <c r="T218" s="2" t="inlineStr">
        <is>
          <t>Under</t>
        </is>
      </c>
      <c r="U218" s="4" t="n">
        <v>128</v>
      </c>
      <c r="V218" s="2" t="n">
        <v>2.28</v>
      </c>
      <c r="W218" s="4" t="n">
        <v>128</v>
      </c>
      <c r="X218" s="2" t="n">
        <v>1</v>
      </c>
      <c r="Y218" s="5" t="n">
        <v>-1</v>
      </c>
      <c r="Z218" s="7" t="n">
        <v>100</v>
      </c>
      <c r="AA218" s="7">
        <f>Y218*Z218</f>
        <v/>
      </c>
      <c r="AB218" s="6">
        <f>IF(Z218=0,0,AA218/Z218)</f>
        <v/>
      </c>
      <c r="AC218" s="6" t="n"/>
      <c r="AD218" s="2" t="inlineStr">
        <is>
          <t>Loss</t>
        </is>
      </c>
      <c r="AE218" s="6">
        <f>IF((COUNTIF($AD$2:AD218,"Win")+COUNTIF($AD$2:AD218,"Loss"))=0,0,COUNTIF($AD$2:AD218,"Win")/(COUNTIF($AD$2:AD218,"Win")+COUNTIF($AD$2:AD218,"Loss")))</f>
        <v/>
      </c>
      <c r="AF218" s="6">
        <f>SUM($Y$2:Y218)/SUM($X$2:X218)</f>
        <v/>
      </c>
      <c r="AG218" s="5">
        <f>SUM($Y$2:Y218)</f>
        <v/>
      </c>
      <c r="AH218" s="7">
        <f>10000.0+SUM($AA$2:AA218)</f>
        <v/>
      </c>
      <c r="AI218" s="2" t="n">
        <v>2026</v>
      </c>
      <c r="AJ218" s="2" t="inlineStr">
        <is>
          <t>2026-04</t>
        </is>
      </c>
      <c r="AK218" s="2" t="inlineStr">
        <is>
          <t>+121 to +150</t>
        </is>
      </c>
      <c r="AL218" s="2" t="inlineStr">
        <is>
          <t>2026 Frozen Test</t>
        </is>
      </c>
      <c r="AM218" s="6" t="n">
        <v>0.1818240623971581</v>
      </c>
    </row>
    <row r="219">
      <c r="A219" s="2" t="inlineStr">
        <is>
          <t>KPROP-00620</t>
        </is>
      </c>
      <c r="B219" s="3" t="n">
        <v>46131.80598379629</v>
      </c>
      <c r="C219" s="3" t="n">
        <v>46131</v>
      </c>
      <c r="D219" s="2" t="inlineStr">
        <is>
          <t>Andrew Painter</t>
        </is>
      </c>
      <c r="E219" s="2" t="n">
        <v>143</v>
      </c>
      <c r="F219" s="2" t="n">
        <v>144</v>
      </c>
      <c r="G219" s="2" t="inlineStr">
        <is>
          <t>Home</t>
        </is>
      </c>
      <c r="H219" s="2" t="inlineStr">
        <is>
          <t>bovada</t>
        </is>
      </c>
      <c r="I219" s="4" t="n"/>
      <c r="J219" s="4" t="n"/>
      <c r="K219" s="4" t="n">
        <v>-110</v>
      </c>
      <c r="L219" s="4" t="n">
        <v>-110</v>
      </c>
      <c r="M219" s="5" t="n">
        <v>4.5</v>
      </c>
      <c r="N219" s="5" t="n">
        <v>4.303616517788342</v>
      </c>
      <c r="O219" s="5" t="n">
        <v>4.5</v>
      </c>
      <c r="P219" s="5" t="n">
        <v>0.1963834822116581</v>
      </c>
      <c r="Q219" s="6" t="n">
        <v>0.08768388952675921</v>
      </c>
      <c r="R219" s="6" t="n">
        <v>0.5697391802283024</v>
      </c>
      <c r="S219" s="6" t="n">
        <v>0.495787700084246</v>
      </c>
      <c r="T219" s="2" t="inlineStr">
        <is>
          <t>Under</t>
        </is>
      </c>
      <c r="U219" s="4" t="n">
        <v>-110</v>
      </c>
      <c r="V219" s="2" t="n">
        <v>1.909090909090909</v>
      </c>
      <c r="W219" s="4" t="n">
        <v>-110</v>
      </c>
      <c r="X219" s="2" t="n">
        <v>1</v>
      </c>
      <c r="Y219" s="5" t="n">
        <v>0.9090909090909092</v>
      </c>
      <c r="Z219" s="7" t="n">
        <v>100</v>
      </c>
      <c r="AA219" s="7">
        <f>Y219*Z219</f>
        <v/>
      </c>
      <c r="AB219" s="6">
        <f>IF(Z219=0,0,AA219/Z219)</f>
        <v/>
      </c>
      <c r="AC219" s="6" t="n"/>
      <c r="AD219" s="2" t="inlineStr">
        <is>
          <t>Win</t>
        </is>
      </c>
      <c r="AE219" s="6">
        <f>IF((COUNTIF($AD$2:AD219,"Win")+COUNTIF($AD$2:AD219,"Loss"))=0,0,COUNTIF($AD$2:AD219,"Win")/(COUNTIF($AD$2:AD219,"Win")+COUNTIF($AD$2:AD219,"Loss")))</f>
        <v/>
      </c>
      <c r="AF219" s="6">
        <f>SUM($Y$2:Y219)/SUM($X$2:X219)</f>
        <v/>
      </c>
      <c r="AG219" s="5">
        <f>SUM($Y$2:Y219)</f>
        <v/>
      </c>
      <c r="AH219" s="7">
        <f>10000.0+SUM($AA$2:AA219)</f>
        <v/>
      </c>
      <c r="AI219" s="2" t="n">
        <v>2026</v>
      </c>
      <c r="AJ219" s="2" t="inlineStr">
        <is>
          <t>2026-04</t>
        </is>
      </c>
      <c r="AK219" s="2" t="inlineStr">
        <is>
          <t>-119 to -101</t>
        </is>
      </c>
      <c r="AL219" s="2" t="inlineStr">
        <is>
          <t>2026 Frozen Test</t>
        </is>
      </c>
      <c r="AM219" s="6" t="n">
        <v>0.09645227847943512</v>
      </c>
    </row>
    <row r="220">
      <c r="A220" s="2" t="inlineStr">
        <is>
          <t>KPROP-00621</t>
        </is>
      </c>
      <c r="B220" s="3" t="n">
        <v>46131.59071759259</v>
      </c>
      <c r="C220" s="3" t="n">
        <v>46131</v>
      </c>
      <c r="D220" s="2" t="inlineStr">
        <is>
          <t>Bailey Ober</t>
        </is>
      </c>
      <c r="E220" s="2" t="n">
        <v>142</v>
      </c>
      <c r="F220" s="2" t="n">
        <v>113</v>
      </c>
      <c r="G220" s="2" t="inlineStr">
        <is>
          <t>Home</t>
        </is>
      </c>
      <c r="H220" s="2" t="inlineStr">
        <is>
          <t>bovada</t>
        </is>
      </c>
      <c r="I220" s="4" t="n"/>
      <c r="J220" s="4" t="n"/>
      <c r="K220" s="4" t="n">
        <v>120</v>
      </c>
      <c r="L220" s="4" t="n">
        <v>120</v>
      </c>
      <c r="M220" s="5" t="n">
        <v>4.5</v>
      </c>
      <c r="N220" s="5" t="n">
        <v>4.597537478531545</v>
      </c>
      <c r="O220" s="5" t="n">
        <v>4.5</v>
      </c>
      <c r="P220" s="5" t="n">
        <v>-0.09753747853154504</v>
      </c>
      <c r="Q220" s="6" t="n">
        <v>0.1301309050011547</v>
      </c>
      <c r="R220" s="6" t="n">
        <v>0.5136958659096157</v>
      </c>
      <c r="S220" s="6" t="n">
        <v>0.4260237780713342</v>
      </c>
      <c r="T220" s="2" t="inlineStr">
        <is>
          <t>Under</t>
        </is>
      </c>
      <c r="U220" s="4" t="n">
        <v>120</v>
      </c>
      <c r="V220" s="2" t="n">
        <v>2.2</v>
      </c>
      <c r="W220" s="4" t="n">
        <v>120</v>
      </c>
      <c r="X220" s="2" t="n">
        <v>1</v>
      </c>
      <c r="Y220" s="5" t="n">
        <v>-1</v>
      </c>
      <c r="Z220" s="7" t="n">
        <v>100</v>
      </c>
      <c r="AA220" s="7">
        <f>Y220*Z220</f>
        <v/>
      </c>
      <c r="AB220" s="6">
        <f>IF(Z220=0,0,AA220/Z220)</f>
        <v/>
      </c>
      <c r="AC220" s="6" t="n"/>
      <c r="AD220" s="2" t="inlineStr">
        <is>
          <t>Loss</t>
        </is>
      </c>
      <c r="AE220" s="6">
        <f>IF((COUNTIF($AD$2:AD220,"Win")+COUNTIF($AD$2:AD220,"Loss"))=0,0,COUNTIF($AD$2:AD220,"Win")/(COUNTIF($AD$2:AD220,"Win")+COUNTIF($AD$2:AD220,"Loss")))</f>
        <v/>
      </c>
      <c r="AF220" s="6">
        <f>SUM($Y$2:Y220)/SUM($X$2:X220)</f>
        <v/>
      </c>
      <c r="AG220" s="5">
        <f>SUM($Y$2:Y220)</f>
        <v/>
      </c>
      <c r="AH220" s="7">
        <f>10000.0+SUM($AA$2:AA220)</f>
        <v/>
      </c>
      <c r="AI220" s="2" t="n">
        <v>2026</v>
      </c>
      <c r="AJ220" s="2" t="inlineStr">
        <is>
          <t>2026-04</t>
        </is>
      </c>
      <c r="AK220" s="2" t="inlineStr">
        <is>
          <t>+100 to +120</t>
        </is>
      </c>
      <c r="AL220" s="2" t="inlineStr">
        <is>
          <t>2026 Frozen Test</t>
        </is>
      </c>
      <c r="AM220" s="6" t="n">
        <v>0.1084424208342955</v>
      </c>
    </row>
    <row r="221">
      <c r="A221" s="2" t="inlineStr">
        <is>
          <t>KPROP-00622</t>
        </is>
      </c>
      <c r="B221" s="3" t="n">
        <v>46131.59071759259</v>
      </c>
      <c r="C221" s="3" t="n">
        <v>46131</v>
      </c>
      <c r="D221" s="2" t="inlineStr">
        <is>
          <t>Bailey Ober</t>
        </is>
      </c>
      <c r="E221" s="2" t="n">
        <v>142</v>
      </c>
      <c r="F221" s="2" t="n">
        <v>113</v>
      </c>
      <c r="G221" s="2" t="inlineStr">
        <is>
          <t>Home</t>
        </is>
      </c>
      <c r="H221" s="2" t="inlineStr">
        <is>
          <t>betonlineag</t>
        </is>
      </c>
      <c r="I221" s="4" t="n"/>
      <c r="J221" s="4" t="n"/>
      <c r="K221" s="4" t="n">
        <v>-159</v>
      </c>
      <c r="L221" s="4" t="n">
        <v>-159</v>
      </c>
      <c r="M221" s="5" t="n">
        <v>5.5</v>
      </c>
      <c r="N221" s="5" t="n">
        <v>4.597537478531545</v>
      </c>
      <c r="O221" s="5" t="n">
        <v>5.5</v>
      </c>
      <c r="P221" s="5" t="n">
        <v>0.902462521468455</v>
      </c>
      <c r="Q221" s="6" t="n">
        <v>0.1177467582243533</v>
      </c>
      <c r="R221" s="6" t="n">
        <v>0.6861843033114756</v>
      </c>
      <c r="S221" s="6" t="n">
        <v>0.5885427423070201</v>
      </c>
      <c r="T221" s="2" t="inlineStr">
        <is>
          <t>Under</t>
        </is>
      </c>
      <c r="U221" s="4" t="n">
        <v>-159</v>
      </c>
      <c r="V221" s="2" t="n">
        <v>1.628930817610063</v>
      </c>
      <c r="W221" s="4" t="n">
        <v>-159</v>
      </c>
      <c r="X221" s="2" t="n">
        <v>1</v>
      </c>
      <c r="Y221" s="5" t="n">
        <v>-1</v>
      </c>
      <c r="Z221" s="7" t="n">
        <v>100</v>
      </c>
      <c r="AA221" s="7">
        <f>Y221*Z221</f>
        <v/>
      </c>
      <c r="AB221" s="6">
        <f>IF(Z221=0,0,AA221/Z221)</f>
        <v/>
      </c>
      <c r="AC221" s="6" t="n"/>
      <c r="AD221" s="2" t="inlineStr">
        <is>
          <t>Loss</t>
        </is>
      </c>
      <c r="AE221" s="6">
        <f>IF((COUNTIF($AD$2:AD221,"Win")+COUNTIF($AD$2:AD221,"Loss"))=0,0,COUNTIF($AD$2:AD221,"Win")/(COUNTIF($AD$2:AD221,"Win")+COUNTIF($AD$2:AD221,"Loss")))</f>
        <v/>
      </c>
      <c r="AF221" s="6">
        <f>SUM($Y$2:Y221)/SUM($X$2:X221)</f>
        <v/>
      </c>
      <c r="AG221" s="5">
        <f>SUM($Y$2:Y221)</f>
        <v/>
      </c>
      <c r="AH221" s="7">
        <f>10000.0+SUM($AA$2:AA221)</f>
        <v/>
      </c>
      <c r="AI221" s="2" t="n">
        <v>2026</v>
      </c>
      <c r="AJ221" s="2" t="inlineStr">
        <is>
          <t>2026-04</t>
        </is>
      </c>
      <c r="AK221" s="2" t="inlineStr">
        <is>
          <t>&lt;= -150</t>
        </is>
      </c>
      <c r="AL221" s="2" t="inlineStr">
        <is>
          <t>2026 Frozen Test</t>
        </is>
      </c>
      <c r="AM221" s="6" t="n">
        <v>0.1872173455767217</v>
      </c>
    </row>
    <row r="222">
      <c r="A222" s="2" t="inlineStr">
        <is>
          <t>KPROP-00623</t>
        </is>
      </c>
      <c r="B222" s="3" t="n">
        <v>46131.59071759259</v>
      </c>
      <c r="C222" s="3" t="n">
        <v>46131</v>
      </c>
      <c r="D222" s="2" t="inlineStr">
        <is>
          <t>Brady Singer</t>
        </is>
      </c>
      <c r="E222" s="2" t="n">
        <v>113</v>
      </c>
      <c r="F222" s="2" t="n">
        <v>142</v>
      </c>
      <c r="G222" s="2" t="inlineStr">
        <is>
          <t>Away</t>
        </is>
      </c>
      <c r="H222" s="2" t="inlineStr">
        <is>
          <t>bovada</t>
        </is>
      </c>
      <c r="I222" s="4" t="n"/>
      <c r="J222" s="4" t="n"/>
      <c r="K222" s="4" t="n">
        <v>105</v>
      </c>
      <c r="L222" s="4" t="n">
        <v>105</v>
      </c>
      <c r="M222" s="5" t="n">
        <v>4.5</v>
      </c>
      <c r="N222" s="5" t="n">
        <v>4.515116632290745</v>
      </c>
      <c r="O222" s="5" t="n">
        <v>4.5</v>
      </c>
      <c r="P222" s="5" t="n">
        <v>-0.015116632290745</v>
      </c>
      <c r="Q222" s="6" t="n">
        <v>0.08493534606372977</v>
      </c>
      <c r="R222" s="6" t="n">
        <v>0.5292367541774292</v>
      </c>
      <c r="S222" s="6" t="n">
        <v>0.4721030042918455</v>
      </c>
      <c r="T222" s="2" t="inlineStr">
        <is>
          <t>Under</t>
        </is>
      </c>
      <c r="U222" s="4" t="n">
        <v>105</v>
      </c>
      <c r="V222" s="2" t="n">
        <v>2.05</v>
      </c>
      <c r="W222" s="4" t="n">
        <v>105</v>
      </c>
      <c r="X222" s="2" t="n">
        <v>1</v>
      </c>
      <c r="Y222" s="5" t="n">
        <v>1.05</v>
      </c>
      <c r="Z222" s="7" t="n">
        <v>100</v>
      </c>
      <c r="AA222" s="7">
        <f>Y222*Z222</f>
        <v/>
      </c>
      <c r="AB222" s="6">
        <f>IF(Z222=0,0,AA222/Z222)</f>
        <v/>
      </c>
      <c r="AC222" s="6" t="n"/>
      <c r="AD222" s="2" t="inlineStr">
        <is>
          <t>Win</t>
        </is>
      </c>
      <c r="AE222" s="6">
        <f>IF((COUNTIF($AD$2:AD222,"Win")+COUNTIF($AD$2:AD222,"Loss"))=0,0,COUNTIF($AD$2:AD222,"Win")/(COUNTIF($AD$2:AD222,"Win")+COUNTIF($AD$2:AD222,"Loss")))</f>
        <v/>
      </c>
      <c r="AF222" s="6">
        <f>SUM($Y$2:Y222)/SUM($X$2:X222)</f>
        <v/>
      </c>
      <c r="AG222" s="5">
        <f>SUM($Y$2:Y222)</f>
        <v/>
      </c>
      <c r="AH222" s="7">
        <f>10000.0+SUM($AA$2:AA222)</f>
        <v/>
      </c>
      <c r="AI222" s="2" t="n">
        <v>2026</v>
      </c>
      <c r="AJ222" s="2" t="inlineStr">
        <is>
          <t>2026-04</t>
        </is>
      </c>
      <c r="AK222" s="2" t="inlineStr">
        <is>
          <t>+100 to +120</t>
        </is>
      </c>
      <c r="AL222" s="2" t="inlineStr">
        <is>
          <t>2026 Frozen Test</t>
        </is>
      </c>
      <c r="AM222" s="6" t="n">
        <v>0.08089080577498074</v>
      </c>
    </row>
    <row r="223">
      <c r="A223" s="2" t="inlineStr">
        <is>
          <t>KPROP-00624</t>
        </is>
      </c>
      <c r="B223" s="3" t="n">
        <v>46131.56640046297</v>
      </c>
      <c r="C223" s="3" t="n">
        <v>46131</v>
      </c>
      <c r="D223" s="2" t="inlineStr">
        <is>
          <t>Cole Ragans</t>
        </is>
      </c>
      <c r="E223" s="2" t="n">
        <v>118</v>
      </c>
      <c r="F223" s="2" t="n">
        <v>147</v>
      </c>
      <c r="G223" s="2" t="inlineStr">
        <is>
          <t>Away</t>
        </is>
      </c>
      <c r="H223" s="2" t="inlineStr">
        <is>
          <t>betrivers</t>
        </is>
      </c>
      <c r="I223" s="4" t="n"/>
      <c r="J223" s="4" t="n"/>
      <c r="K223" s="4" t="n">
        <v>-117</v>
      </c>
      <c r="L223" s="4" t="n">
        <v>-117</v>
      </c>
      <c r="M223" s="5" t="n">
        <v>6.5</v>
      </c>
      <c r="N223" s="5" t="n">
        <v>6.119342249948927</v>
      </c>
      <c r="O223" s="5" t="n">
        <v>6.5</v>
      </c>
      <c r="P223" s="5" t="n">
        <v>0.3806577500510731</v>
      </c>
      <c r="Q223" s="6" t="n">
        <v>0.08897121502002679</v>
      </c>
      <c r="R223" s="6" t="n">
        <v>0.5871411620154061</v>
      </c>
      <c r="S223" s="6" t="n">
        <v>0.5250082083834957</v>
      </c>
      <c r="T223" s="2" t="inlineStr">
        <is>
          <t>Under</t>
        </is>
      </c>
      <c r="U223" s="4" t="n">
        <v>-117</v>
      </c>
      <c r="V223" s="2" t="n">
        <v>1.854700854700855</v>
      </c>
      <c r="W223" s="4" t="n">
        <v>-117</v>
      </c>
      <c r="X223" s="2" t="n">
        <v>1</v>
      </c>
      <c r="Y223" s="5" t="n">
        <v>0.8547008547008548</v>
      </c>
      <c r="Z223" s="7" t="n">
        <v>100</v>
      </c>
      <c r="AA223" s="7">
        <f>Y223*Z223</f>
        <v/>
      </c>
      <c r="AB223" s="6">
        <f>IF(Z223=0,0,AA223/Z223)</f>
        <v/>
      </c>
      <c r="AC223" s="6" t="n"/>
      <c r="AD223" s="2" t="inlineStr">
        <is>
          <t>Win</t>
        </is>
      </c>
      <c r="AE223" s="6">
        <f>IF((COUNTIF($AD$2:AD223,"Win")+COUNTIF($AD$2:AD223,"Loss"))=0,0,COUNTIF($AD$2:AD223,"Win")/(COUNTIF($AD$2:AD223,"Win")+COUNTIF($AD$2:AD223,"Loss")))</f>
        <v/>
      </c>
      <c r="AF223" s="6">
        <f>SUM($Y$2:Y223)/SUM($X$2:X223)</f>
        <v/>
      </c>
      <c r="AG223" s="5">
        <f>SUM($Y$2:Y223)</f>
        <v/>
      </c>
      <c r="AH223" s="7">
        <f>10000.0+SUM($AA$2:AA223)</f>
        <v/>
      </c>
      <c r="AI223" s="2" t="n">
        <v>2026</v>
      </c>
      <c r="AJ223" s="2" t="inlineStr">
        <is>
          <t>2026-04</t>
        </is>
      </c>
      <c r="AK223" s="2" t="inlineStr">
        <is>
          <t>-119 to -101</t>
        </is>
      </c>
      <c r="AL223" s="2" t="inlineStr">
        <is>
          <t>2026 Frozen Test</t>
        </is>
      </c>
      <c r="AM223" s="6" t="n">
        <v>0.1040963215734313</v>
      </c>
    </row>
    <row r="224">
      <c r="A224" s="2" t="inlineStr">
        <is>
          <t>KPROP-00625</t>
        </is>
      </c>
      <c r="B224" s="3" t="n">
        <v>46131.68800925926</v>
      </c>
      <c r="C224" s="3" t="n">
        <v>46131</v>
      </c>
      <c r="D224" s="2" t="inlineStr">
        <is>
          <t>Garrett Crochet</t>
        </is>
      </c>
      <c r="E224" s="2" t="n">
        <v>111</v>
      </c>
      <c r="F224" s="2" t="n">
        <v>116</v>
      </c>
      <c r="G224" s="2" t="inlineStr">
        <is>
          <t>Home</t>
        </is>
      </c>
      <c r="H224" s="2" t="inlineStr">
        <is>
          <t>betrivers</t>
        </is>
      </c>
      <c r="I224" s="4" t="n"/>
      <c r="J224" s="4" t="n"/>
      <c r="K224" s="4" t="n">
        <v>125</v>
      </c>
      <c r="L224" s="4" t="n">
        <v>125</v>
      </c>
      <c r="M224" s="5" t="n">
        <v>6.5</v>
      </c>
      <c r="N224" s="5" t="n">
        <v>6.271398392195959</v>
      </c>
      <c r="O224" s="5" t="n">
        <v>6.5</v>
      </c>
      <c r="P224" s="5" t="n">
        <v>0.2286016078040412</v>
      </c>
      <c r="Q224" s="6" t="n">
        <v>0.2662932327295364</v>
      </c>
      <c r="R224" s="6" t="n">
        <v>0.5627969923242384</v>
      </c>
      <c r="S224" s="6" t="n">
        <v>0.4154025670945157</v>
      </c>
      <c r="T224" s="2" t="inlineStr">
        <is>
          <t>Under</t>
        </is>
      </c>
      <c r="U224" s="4" t="n">
        <v>125</v>
      </c>
      <c r="V224" s="2" t="n">
        <v>2.25</v>
      </c>
      <c r="W224" s="4" t="n">
        <v>125</v>
      </c>
      <c r="X224" s="2" t="n">
        <v>1</v>
      </c>
      <c r="Y224" s="5" t="n">
        <v>-1</v>
      </c>
      <c r="Z224" s="7" t="n">
        <v>100</v>
      </c>
      <c r="AA224" s="7">
        <f>Y224*Z224</f>
        <v/>
      </c>
      <c r="AB224" s="6">
        <f>IF(Z224=0,0,AA224/Z224)</f>
        <v/>
      </c>
      <c r="AC224" s="6" t="n"/>
      <c r="AD224" s="2" t="inlineStr">
        <is>
          <t>Loss</t>
        </is>
      </c>
      <c r="AE224" s="6">
        <f>IF((COUNTIF($AD$2:AD224,"Win")+COUNTIF($AD$2:AD224,"Loss"))=0,0,COUNTIF($AD$2:AD224,"Win")/(COUNTIF($AD$2:AD224,"Win")+COUNTIF($AD$2:AD224,"Loss")))</f>
        <v/>
      </c>
      <c r="AF224" s="6">
        <f>SUM($Y$2:Y224)/SUM($X$2:X224)</f>
        <v/>
      </c>
      <c r="AG224" s="5">
        <f>SUM($Y$2:Y224)</f>
        <v/>
      </c>
      <c r="AH224" s="7">
        <f>10000.0+SUM($AA$2:AA224)</f>
        <v/>
      </c>
      <c r="AI224" s="2" t="n">
        <v>2026</v>
      </c>
      <c r="AJ224" s="2" t="inlineStr">
        <is>
          <t>2026-04</t>
        </is>
      </c>
      <c r="AK224" s="2" t="inlineStr">
        <is>
          <t>+121 to +150</t>
        </is>
      </c>
      <c r="AL224" s="2" t="inlineStr">
        <is>
          <t>2026 Frozen Test</t>
        </is>
      </c>
      <c r="AM224" s="6" t="n">
        <v>0.2130345861836291</v>
      </c>
    </row>
    <row r="225">
      <c r="A225" s="2" t="inlineStr">
        <is>
          <t>KPROP-00626</t>
        </is>
      </c>
      <c r="B225" s="3" t="n">
        <v>46131.68800925926</v>
      </c>
      <c r="C225" s="3" t="n">
        <v>46131</v>
      </c>
      <c r="D225" s="2" t="inlineStr">
        <is>
          <t>Garrett Crochet</t>
        </is>
      </c>
      <c r="E225" s="2" t="n">
        <v>111</v>
      </c>
      <c r="F225" s="2" t="n">
        <v>116</v>
      </c>
      <c r="G225" s="2" t="inlineStr">
        <is>
          <t>Home</t>
        </is>
      </c>
      <c r="H225" s="2" t="inlineStr">
        <is>
          <t>draftkings</t>
        </is>
      </c>
      <c r="I225" s="4" t="n"/>
      <c r="J225" s="4" t="n"/>
      <c r="K225" s="4" t="n">
        <v>-133</v>
      </c>
      <c r="L225" s="4" t="n">
        <v>-133</v>
      </c>
      <c r="M225" s="5" t="n">
        <v>7.5</v>
      </c>
      <c r="N225" s="5" t="n">
        <v>6.271398392195959</v>
      </c>
      <c r="O225" s="5" t="n">
        <v>7.5</v>
      </c>
      <c r="P225" s="5" t="n">
        <v>1.228601607804041</v>
      </c>
      <c r="Q225" s="6" t="n">
        <v>0.2365582192189641</v>
      </c>
      <c r="R225" s="6" t="n">
        <v>0.7058465371507392</v>
      </c>
      <c r="S225" s="6" t="n">
        <v>0.556697108066971</v>
      </c>
      <c r="T225" s="2" t="inlineStr">
        <is>
          <t>Under</t>
        </is>
      </c>
      <c r="U225" s="4" t="n">
        <v>-133</v>
      </c>
      <c r="V225" s="2" t="n">
        <v>1.75187969924812</v>
      </c>
      <c r="W225" s="4" t="n">
        <v>-133</v>
      </c>
      <c r="X225" s="2" t="n">
        <v>1</v>
      </c>
      <c r="Y225" s="5" t="n">
        <v>-1</v>
      </c>
      <c r="Z225" s="7" t="n">
        <v>100</v>
      </c>
      <c r="AA225" s="7">
        <f>Y225*Z225</f>
        <v/>
      </c>
      <c r="AB225" s="6">
        <f>IF(Z225=0,0,AA225/Z225)</f>
        <v/>
      </c>
      <c r="AC225" s="6" t="n"/>
      <c r="AD225" s="2" t="inlineStr">
        <is>
          <t>Loss</t>
        </is>
      </c>
      <c r="AE225" s="6">
        <f>IF((COUNTIF($AD$2:AD225,"Win")+COUNTIF($AD$2:AD225,"Loss"))=0,0,COUNTIF($AD$2:AD225,"Win")/(COUNTIF($AD$2:AD225,"Win")+COUNTIF($AD$2:AD225,"Loss")))</f>
        <v/>
      </c>
      <c r="AF225" s="6">
        <f>SUM($Y$2:Y225)/SUM($X$2:X225)</f>
        <v/>
      </c>
      <c r="AG225" s="5">
        <f>SUM($Y$2:Y225)</f>
        <v/>
      </c>
      <c r="AH225" s="7">
        <f>10000.0+SUM($AA$2:AA225)</f>
        <v/>
      </c>
      <c r="AI225" s="2" t="n">
        <v>2026</v>
      </c>
      <c r="AJ225" s="2" t="inlineStr">
        <is>
          <t>2026-04</t>
        </is>
      </c>
      <c r="AK225" s="2" t="inlineStr">
        <is>
          <t>-149 to -120</t>
        </is>
      </c>
      <c r="AL225" s="2" t="inlineStr">
        <is>
          <t>2026 Frozen Test</t>
        </is>
      </c>
      <c r="AM225" s="6" t="n">
        <v>0.3146224315612223</v>
      </c>
    </row>
    <row r="226">
      <c r="A226" s="2" t="inlineStr">
        <is>
          <t>KPROP-00627</t>
        </is>
      </c>
      <c r="B226" s="3" t="n">
        <v>46131.67057870371</v>
      </c>
      <c r="C226" s="3" t="n">
        <v>46131</v>
      </c>
      <c r="D226" s="2" t="inlineStr">
        <is>
          <t>Jeffrey Springs</t>
        </is>
      </c>
      <c r="E226" s="2" t="n">
        <v>133</v>
      </c>
      <c r="F226" s="2" t="n">
        <v>145</v>
      </c>
      <c r="G226" s="2" t="inlineStr">
        <is>
          <t>Home</t>
        </is>
      </c>
      <c r="H226" s="2" t="inlineStr">
        <is>
          <t>betonlineag</t>
        </is>
      </c>
      <c r="I226" s="4" t="n"/>
      <c r="J226" s="4" t="n"/>
      <c r="K226" s="4" t="n">
        <v>-145</v>
      </c>
      <c r="L226" s="4" t="n">
        <v>-145</v>
      </c>
      <c r="M226" s="5" t="n">
        <v>5.5</v>
      </c>
      <c r="N226" s="5" t="n">
        <v>4.826795416734394</v>
      </c>
      <c r="O226" s="5" t="n">
        <v>5.5</v>
      </c>
      <c r="P226" s="5" t="n">
        <v>0.6732045832656057</v>
      </c>
      <c r="Q226" s="6" t="n">
        <v>0.09206047689794072</v>
      </c>
      <c r="R226" s="6" t="n">
        <v>0.6463215067355159</v>
      </c>
      <c r="S226" s="6" t="n">
        <v>0.5622263914946841</v>
      </c>
      <c r="T226" s="2" t="inlineStr">
        <is>
          <t>Under</t>
        </is>
      </c>
      <c r="U226" s="4" t="n">
        <v>-145</v>
      </c>
      <c r="V226" s="2" t="n">
        <v>1.689655172413793</v>
      </c>
      <c r="W226" s="4" t="n">
        <v>-145</v>
      </c>
      <c r="X226" s="2" t="n">
        <v>1</v>
      </c>
      <c r="Y226" s="5" t="n">
        <v>-1</v>
      </c>
      <c r="Z226" s="7" t="n">
        <v>100</v>
      </c>
      <c r="AA226" s="7">
        <f>Y226*Z226</f>
        <v/>
      </c>
      <c r="AB226" s="6">
        <f>IF(Z226=0,0,AA226/Z226)</f>
        <v/>
      </c>
      <c r="AC226" s="6" t="n"/>
      <c r="AD226" s="2" t="inlineStr">
        <is>
          <t>Loss</t>
        </is>
      </c>
      <c r="AE226" s="6">
        <f>IF((COUNTIF($AD$2:AD226,"Win")+COUNTIF($AD$2:AD226,"Loss"))=0,0,COUNTIF($AD$2:AD226,"Win")/(COUNTIF($AD$2:AD226,"Win")+COUNTIF($AD$2:AD226,"Loss")))</f>
        <v/>
      </c>
      <c r="AF226" s="6">
        <f>SUM($Y$2:Y226)/SUM($X$2:X226)</f>
        <v/>
      </c>
      <c r="AG226" s="5">
        <f>SUM($Y$2:Y226)</f>
        <v/>
      </c>
      <c r="AH226" s="7">
        <f>10000.0+SUM($AA$2:AA226)</f>
        <v/>
      </c>
      <c r="AI226" s="2" t="n">
        <v>2026</v>
      </c>
      <c r="AJ226" s="2" t="inlineStr">
        <is>
          <t>2026-04</t>
        </is>
      </c>
      <c r="AK226" s="2" t="inlineStr">
        <is>
          <t>-149 to -120</t>
        </is>
      </c>
      <c r="AL226" s="2" t="inlineStr">
        <is>
          <t>2026 Frozen Test</t>
        </is>
      </c>
      <c r="AM226" s="6" t="n">
        <v>0.133487691502014</v>
      </c>
    </row>
    <row r="227">
      <c r="A227" s="2" t="inlineStr">
        <is>
          <t>KPROP-00628</t>
        </is>
      </c>
      <c r="B227" s="3" t="n">
        <v>46131.67405092593</v>
      </c>
      <c r="C227" s="3" t="n">
        <v>46131</v>
      </c>
      <c r="D227" s="2" t="inlineStr">
        <is>
          <t>MacKenzie Gore</t>
        </is>
      </c>
      <c r="E227" s="2" t="n">
        <v>140</v>
      </c>
      <c r="F227" s="2" t="n">
        <v>136</v>
      </c>
      <c r="G227" s="2" t="inlineStr">
        <is>
          <t>Away</t>
        </is>
      </c>
      <c r="H227" s="2" t="inlineStr">
        <is>
          <t>bovada</t>
        </is>
      </c>
      <c r="I227" s="4" t="n"/>
      <c r="J227" s="4" t="n"/>
      <c r="K227" s="4" t="n">
        <v>-110</v>
      </c>
      <c r="L227" s="4" t="n">
        <v>-110</v>
      </c>
      <c r="M227" s="5" t="n">
        <v>6.5</v>
      </c>
      <c r="N227" s="5" t="n">
        <v>5.770867525699857</v>
      </c>
      <c r="O227" s="5" t="n">
        <v>6.5</v>
      </c>
      <c r="P227" s="5" t="n">
        <v>0.7291324743001431</v>
      </c>
      <c r="Q227" s="6" t="n">
        <v>0.2276449381355263</v>
      </c>
      <c r="R227" s="6" t="n">
        <v>0.6430521104519423</v>
      </c>
      <c r="S227" s="6" t="n">
        <v>0.5067750677506776</v>
      </c>
      <c r="T227" s="2" t="inlineStr">
        <is>
          <t>Under</t>
        </is>
      </c>
      <c r="U227" s="4" t="n">
        <v>-110</v>
      </c>
      <c r="V227" s="2" t="n">
        <v>1.909090909090909</v>
      </c>
      <c r="W227" s="4" t="n">
        <v>-110</v>
      </c>
      <c r="X227" s="2" t="n">
        <v>1</v>
      </c>
      <c r="Y227" s="5" t="n">
        <v>0.9090909090909092</v>
      </c>
      <c r="Z227" s="7" t="n">
        <v>100</v>
      </c>
      <c r="AA227" s="7">
        <f>Y227*Z227</f>
        <v/>
      </c>
      <c r="AB227" s="6">
        <f>IF(Z227=0,0,AA227/Z227)</f>
        <v/>
      </c>
      <c r="AC227" s="6" t="n"/>
      <c r="AD227" s="2" t="inlineStr">
        <is>
          <t>Win</t>
        </is>
      </c>
      <c r="AE227" s="6">
        <f>IF((COUNTIF($AD$2:AD227,"Win")+COUNTIF($AD$2:AD227,"Loss"))=0,0,COUNTIF($AD$2:AD227,"Win")/(COUNTIF($AD$2:AD227,"Win")+COUNTIF($AD$2:AD227,"Loss")))</f>
        <v/>
      </c>
      <c r="AF227" s="6">
        <f>SUM($Y$2:Y227)/SUM($X$2:X227)</f>
        <v/>
      </c>
      <c r="AG227" s="5">
        <f>SUM($Y$2:Y227)</f>
        <v/>
      </c>
      <c r="AH227" s="7">
        <f>10000.0+SUM($AA$2:AA227)</f>
        <v/>
      </c>
      <c r="AI227" s="2" t="n">
        <v>2026</v>
      </c>
      <c r="AJ227" s="2" t="inlineStr">
        <is>
          <t>2026-04</t>
        </is>
      </c>
      <c r="AK227" s="2" t="inlineStr">
        <is>
          <t>-119 to -101</t>
        </is>
      </c>
      <c r="AL227" s="2" t="inlineStr">
        <is>
          <t>2026 Frozen Test</t>
        </is>
      </c>
      <c r="AM227" s="6" t="n">
        <v>0.2504094319490789</v>
      </c>
    </row>
    <row r="228">
      <c r="A228" s="2" t="inlineStr">
        <is>
          <t>KPROP-00629</t>
        </is>
      </c>
      <c r="B228" s="3" t="n">
        <v>46131.56640046297</v>
      </c>
      <c r="C228" s="3" t="n">
        <v>46131</v>
      </c>
      <c r="D228" s="2" t="inlineStr">
        <is>
          <t>Robbie Ray</t>
        </is>
      </c>
      <c r="E228" s="2" t="n">
        <v>137</v>
      </c>
      <c r="F228" s="2" t="n">
        <v>120</v>
      </c>
      <c r="G228" s="2" t="inlineStr">
        <is>
          <t>Away</t>
        </is>
      </c>
      <c r="H228" s="2" t="inlineStr">
        <is>
          <t>fanatics</t>
        </is>
      </c>
      <c r="I228" s="4" t="n"/>
      <c r="J228" s="4" t="n"/>
      <c r="K228" s="4" t="n">
        <v>120</v>
      </c>
      <c r="L228" s="4" t="n">
        <v>120</v>
      </c>
      <c r="M228" s="5" t="n">
        <v>5.5</v>
      </c>
      <c r="N228" s="5" t="n">
        <v>5.328124362687071</v>
      </c>
      <c r="O228" s="5" t="n">
        <v>5.5</v>
      </c>
      <c r="P228" s="5" t="n">
        <v>0.1718756373129287</v>
      </c>
      <c r="Q228" s="6" t="n">
        <v>0.2288870448966149</v>
      </c>
      <c r="R228" s="6" t="n">
        <v>0.5585850204075522</v>
      </c>
      <c r="S228" s="6" t="n">
        <v>0.4350927246790299</v>
      </c>
      <c r="T228" s="2" t="inlineStr">
        <is>
          <t>Under</t>
        </is>
      </c>
      <c r="U228" s="4" t="n">
        <v>120</v>
      </c>
      <c r="V228" s="2" t="n">
        <v>2.2</v>
      </c>
      <c r="W228" s="4" t="n">
        <v>120</v>
      </c>
      <c r="X228" s="2" t="n">
        <v>1</v>
      </c>
      <c r="Y228" s="5" t="n">
        <v>-1</v>
      </c>
      <c r="Z228" s="7" t="n">
        <v>100</v>
      </c>
      <c r="AA228" s="7">
        <f>Y228*Z228</f>
        <v/>
      </c>
      <c r="AB228" s="6">
        <f>IF(Z228=0,0,AA228/Z228)</f>
        <v/>
      </c>
      <c r="AC228" s="6" t="n"/>
      <c r="AD228" s="2" t="inlineStr">
        <is>
          <t>Loss</t>
        </is>
      </c>
      <c r="AE228" s="6">
        <f>IF((COUNTIF($AD$2:AD228,"Win")+COUNTIF($AD$2:AD228,"Loss"))=0,0,COUNTIF($AD$2:AD228,"Win")/(COUNTIF($AD$2:AD228,"Win")+COUNTIF($AD$2:AD228,"Loss")))</f>
        <v/>
      </c>
      <c r="AF228" s="6">
        <f>SUM($Y$2:Y228)/SUM($X$2:X228)</f>
        <v/>
      </c>
      <c r="AG228" s="5">
        <f>SUM($Y$2:Y228)</f>
        <v/>
      </c>
      <c r="AH228" s="7">
        <f>10000.0+SUM($AA$2:AA228)</f>
        <v/>
      </c>
      <c r="AI228" s="2" t="n">
        <v>2026</v>
      </c>
      <c r="AJ228" s="2" t="inlineStr">
        <is>
          <t>2026-04</t>
        </is>
      </c>
      <c r="AK228" s="2" t="inlineStr">
        <is>
          <t>+100 to +120</t>
        </is>
      </c>
      <c r="AL228" s="2" t="inlineStr">
        <is>
          <t>2026 Frozen Test</t>
        </is>
      </c>
      <c r="AM228" s="6" t="n">
        <v>0.1907392040805124</v>
      </c>
    </row>
    <row r="229">
      <c r="A229" s="2" t="inlineStr">
        <is>
          <t>KPROP-00630</t>
        </is>
      </c>
      <c r="B229" s="3" t="n">
        <v>46131.56640046297</v>
      </c>
      <c r="C229" s="3" t="n">
        <v>46131</v>
      </c>
      <c r="D229" s="2" t="inlineStr">
        <is>
          <t>Robbie Ray</t>
        </is>
      </c>
      <c r="E229" s="2" t="n">
        <v>137</v>
      </c>
      <c r="F229" s="2" t="n">
        <v>120</v>
      </c>
      <c r="G229" s="2" t="inlineStr">
        <is>
          <t>Away</t>
        </is>
      </c>
      <c r="H229" s="2" t="inlineStr">
        <is>
          <t>draftkings</t>
        </is>
      </c>
      <c r="I229" s="4" t="n"/>
      <c r="J229" s="4" t="n"/>
      <c r="K229" s="4" t="n">
        <v>-145</v>
      </c>
      <c r="L229" s="4" t="n">
        <v>-145</v>
      </c>
      <c r="M229" s="5" t="n">
        <v>6.5</v>
      </c>
      <c r="N229" s="5" t="n">
        <v>5.328124362687071</v>
      </c>
      <c r="O229" s="5" t="n">
        <v>6.5</v>
      </c>
      <c r="P229" s="5" t="n">
        <v>1.171875637312929</v>
      </c>
      <c r="Q229" s="6" t="n">
        <v>0.2043934377710771</v>
      </c>
      <c r="R229" s="6" t="n">
        <v>0.7128042794971681</v>
      </c>
      <c r="S229" s="6" t="n">
        <v>0.5868465430016863</v>
      </c>
      <c r="T229" s="2" t="inlineStr">
        <is>
          <t>Under</t>
        </is>
      </c>
      <c r="U229" s="4" t="n">
        <v>-145</v>
      </c>
      <c r="V229" s="2" t="n">
        <v>1.689655172413793</v>
      </c>
      <c r="W229" s="4" t="n">
        <v>-145</v>
      </c>
      <c r="X229" s="2" t="n">
        <v>1</v>
      </c>
      <c r="Y229" s="5" t="n">
        <v>-1</v>
      </c>
      <c r="Z229" s="7" t="n">
        <v>100</v>
      </c>
      <c r="AA229" s="7">
        <f>Y229*Z229</f>
        <v/>
      </c>
      <c r="AB229" s="6">
        <f>IF(Z229=0,0,AA229/Z229)</f>
        <v/>
      </c>
      <c r="AC229" s="6" t="n"/>
      <c r="AD229" s="2" t="inlineStr">
        <is>
          <t>Loss</t>
        </is>
      </c>
      <c r="AE229" s="6">
        <f>IF((COUNTIF($AD$2:AD229,"Win")+COUNTIF($AD$2:AD229,"Loss"))=0,0,COUNTIF($AD$2:AD229,"Win")/(COUNTIF($AD$2:AD229,"Win")+COUNTIF($AD$2:AD229,"Loss")))</f>
        <v/>
      </c>
      <c r="AF229" s="6">
        <f>SUM($Y$2:Y229)/SUM($X$2:X229)</f>
        <v/>
      </c>
      <c r="AG229" s="5">
        <f>SUM($Y$2:Y229)</f>
        <v/>
      </c>
      <c r="AH229" s="7">
        <f>10000.0+SUM($AA$2:AA229)</f>
        <v/>
      </c>
      <c r="AI229" s="2" t="n">
        <v>2026</v>
      </c>
      <c r="AJ229" s="2" t="inlineStr">
        <is>
          <t>2026-04</t>
        </is>
      </c>
      <c r="AK229" s="2" t="inlineStr">
        <is>
          <t>-149 to -120</t>
        </is>
      </c>
      <c r="AL229" s="2" t="inlineStr">
        <is>
          <t>2026 Frozen Test</t>
        </is>
      </c>
      <c r="AM229" s="6" t="n">
        <v>0.2963704847680618</v>
      </c>
    </row>
    <row r="230">
      <c r="A230" s="2" t="inlineStr">
        <is>
          <t>KPROP-00631</t>
        </is>
      </c>
      <c r="B230" s="3" t="n">
        <v>46131.56640046297</v>
      </c>
      <c r="C230" s="3" t="n">
        <v>46131</v>
      </c>
      <c r="D230" s="2" t="inlineStr">
        <is>
          <t>Ryan Weathers</t>
        </is>
      </c>
      <c r="E230" s="2" t="n">
        <v>147</v>
      </c>
      <c r="F230" s="2" t="n">
        <v>118</v>
      </c>
      <c r="G230" s="2" t="inlineStr">
        <is>
          <t>Home</t>
        </is>
      </c>
      <c r="H230" s="2" t="inlineStr">
        <is>
          <t>betmgm</t>
        </is>
      </c>
      <c r="I230" s="4" t="n"/>
      <c r="J230" s="4" t="n"/>
      <c r="K230" s="4" t="n">
        <v>-125</v>
      </c>
      <c r="L230" s="4" t="n">
        <v>-125</v>
      </c>
      <c r="M230" s="5" t="n">
        <v>5.5</v>
      </c>
      <c r="N230" s="5" t="n">
        <v>4.941968481886692</v>
      </c>
      <c r="O230" s="5" t="n">
        <v>5.5</v>
      </c>
      <c r="P230" s="5" t="n">
        <v>0.5580315181133084</v>
      </c>
      <c r="Q230" s="6" t="n">
        <v>0.1270558575129102</v>
      </c>
      <c r="R230" s="6" t="n">
        <v>0.6261421430627279</v>
      </c>
      <c r="S230" s="6" t="n">
        <v>0.5443037974683544</v>
      </c>
      <c r="T230" s="2" t="inlineStr">
        <is>
          <t>Under</t>
        </is>
      </c>
      <c r="U230" s="4" t="n">
        <v>-125</v>
      </c>
      <c r="V230" s="2" t="n">
        <v>1.8</v>
      </c>
      <c r="W230" s="4" t="n">
        <v>-125</v>
      </c>
      <c r="X230" s="2" t="n">
        <v>1</v>
      </c>
      <c r="Y230" s="5" t="n">
        <v>-1</v>
      </c>
      <c r="Z230" s="7" t="n">
        <v>100</v>
      </c>
      <c r="AA230" s="7">
        <f>Y230*Z230</f>
        <v/>
      </c>
      <c r="AB230" s="6">
        <f>IF(Z230=0,0,AA230/Z230)</f>
        <v/>
      </c>
      <c r="AC230" s="6" t="n"/>
      <c r="AD230" s="2" t="inlineStr">
        <is>
          <t>Loss</t>
        </is>
      </c>
      <c r="AE230" s="6">
        <f>IF((COUNTIF($AD$2:AD230,"Win")+COUNTIF($AD$2:AD230,"Loss"))=0,0,COUNTIF($AD$2:AD230,"Win")/(COUNTIF($AD$2:AD230,"Win")+COUNTIF($AD$2:AD230,"Loss")))</f>
        <v/>
      </c>
      <c r="AF230" s="6">
        <f>SUM($Y$2:Y230)/SUM($X$2:X230)</f>
        <v/>
      </c>
      <c r="AG230" s="5">
        <f>SUM($Y$2:Y230)</f>
        <v/>
      </c>
      <c r="AH230" s="7">
        <f>10000.0+SUM($AA$2:AA230)</f>
        <v/>
      </c>
      <c r="AI230" s="2" t="n">
        <v>2026</v>
      </c>
      <c r="AJ230" s="2" t="inlineStr">
        <is>
          <t>2026-04</t>
        </is>
      </c>
      <c r="AK230" s="2" t="inlineStr">
        <is>
          <t>-149 to -120</t>
        </is>
      </c>
      <c r="AL230" s="2" t="inlineStr">
        <is>
          <t>2026 Frozen Test</t>
        </is>
      </c>
      <c r="AM230" s="6" t="n">
        <v>0.1588198218911377</v>
      </c>
    </row>
    <row r="231">
      <c r="A231" s="2" t="inlineStr">
        <is>
          <t>KPROP-00632</t>
        </is>
      </c>
      <c r="B231" s="3" t="n">
        <v>46132.81988425926</v>
      </c>
      <c r="C231" s="3" t="n">
        <v>46132</v>
      </c>
      <c r="D231" s="2" t="inlineStr">
        <is>
          <t>Aaron Nola</t>
        </is>
      </c>
      <c r="E231" s="2" t="n">
        <v>143</v>
      </c>
      <c r="F231" s="2" t="n">
        <v>112</v>
      </c>
      <c r="G231" s="2" t="inlineStr">
        <is>
          <t>Away</t>
        </is>
      </c>
      <c r="H231" s="2" t="inlineStr">
        <is>
          <t>betmgm</t>
        </is>
      </c>
      <c r="I231" s="4" t="n"/>
      <c r="J231" s="4" t="n"/>
      <c r="K231" s="4" t="n">
        <v>-135</v>
      </c>
      <c r="L231" s="4" t="n">
        <v>-135</v>
      </c>
      <c r="M231" s="5" t="n">
        <v>5.5</v>
      </c>
      <c r="N231" s="5" t="n">
        <v>4.895679255292786</v>
      </c>
      <c r="O231" s="5" t="n">
        <v>5.5</v>
      </c>
      <c r="P231" s="5" t="n">
        <v>0.6043207447072136</v>
      </c>
      <c r="Q231" s="6" t="n">
        <v>0.1040801912907727</v>
      </c>
      <c r="R231" s="6" t="n">
        <v>0.6342588332946992</v>
      </c>
      <c r="S231" s="6" t="n">
        <v>0.5537409798708697</v>
      </c>
      <c r="T231" s="2" t="inlineStr">
        <is>
          <t>Under</t>
        </is>
      </c>
      <c r="U231" s="4" t="n">
        <v>-135</v>
      </c>
      <c r="V231" s="2" t="n">
        <v>1.740740740740741</v>
      </c>
      <c r="W231" s="4" t="n">
        <v>-135</v>
      </c>
      <c r="X231" s="2" t="n">
        <v>1</v>
      </c>
      <c r="Y231" s="5" t="n">
        <v>0.7407407407407407</v>
      </c>
      <c r="Z231" s="7" t="n">
        <v>100</v>
      </c>
      <c r="AA231" s="7">
        <f>Y231*Z231</f>
        <v/>
      </c>
      <c r="AB231" s="6">
        <f>IF(Z231=0,0,AA231/Z231)</f>
        <v/>
      </c>
      <c r="AC231" s="6" t="n"/>
      <c r="AD231" s="2" t="inlineStr">
        <is>
          <t>Win</t>
        </is>
      </c>
      <c r="AE231" s="6">
        <f>IF((COUNTIF($AD$2:AD231,"Win")+COUNTIF($AD$2:AD231,"Loss"))=0,0,COUNTIF($AD$2:AD231,"Win")/(COUNTIF($AD$2:AD231,"Win")+COUNTIF($AD$2:AD231,"Loss")))</f>
        <v/>
      </c>
      <c r="AF231" s="6">
        <f>SUM($Y$2:Y231)/SUM($X$2:X231)</f>
        <v/>
      </c>
      <c r="AG231" s="5">
        <f>SUM($Y$2:Y231)</f>
        <v/>
      </c>
      <c r="AH231" s="7">
        <f>10000.0+SUM($AA$2:AA231)</f>
        <v/>
      </c>
      <c r="AI231" s="2" t="n">
        <v>2026</v>
      </c>
      <c r="AJ231" s="2" t="inlineStr">
        <is>
          <t>2026-04</t>
        </is>
      </c>
      <c r="AK231" s="2" t="inlineStr">
        <is>
          <t>-149 to -120</t>
        </is>
      </c>
      <c r="AL231" s="2" t="inlineStr">
        <is>
          <t>2026 Frozen Test</t>
        </is>
      </c>
      <c r="AM231" s="6" t="n">
        <v>0.1405082582425432</v>
      </c>
    </row>
    <row r="232">
      <c r="A232" s="2" t="inlineStr">
        <is>
          <t>KPROP-00633</t>
        </is>
      </c>
      <c r="B232" s="3" t="n">
        <v>46132.46571759259</v>
      </c>
      <c r="C232" s="3" t="n">
        <v>46132</v>
      </c>
      <c r="D232" s="2" t="inlineStr">
        <is>
          <t>Jack Flaherty</t>
        </is>
      </c>
      <c r="E232" s="2" t="n">
        <v>116</v>
      </c>
      <c r="F232" s="2" t="n">
        <v>111</v>
      </c>
      <c r="G232" s="2" t="inlineStr">
        <is>
          <t>Away</t>
        </is>
      </c>
      <c r="H232" s="2" t="inlineStr">
        <is>
          <t>fanduel</t>
        </is>
      </c>
      <c r="I232" s="4" t="n"/>
      <c r="J232" s="4" t="n"/>
      <c r="K232" s="4" t="n">
        <v>126</v>
      </c>
      <c r="L232" s="4" t="n">
        <v>126</v>
      </c>
      <c r="M232" s="5" t="n">
        <v>5.5</v>
      </c>
      <c r="N232" s="5" t="n">
        <v>5.113140912326362</v>
      </c>
      <c r="O232" s="5" t="n">
        <v>5.5</v>
      </c>
      <c r="P232" s="5" t="n">
        <v>0.3868590876736384</v>
      </c>
      <c r="Q232" s="6" t="n">
        <v>0.3472232669294966</v>
      </c>
      <c r="R232" s="6" t="n">
        <v>0.5961164897918128</v>
      </c>
      <c r="S232" s="6" t="n">
        <v>0.4251032881483252</v>
      </c>
      <c r="T232" s="2" t="inlineStr">
        <is>
          <t>Under</t>
        </is>
      </c>
      <c r="U232" s="4" t="n">
        <v>126</v>
      </c>
      <c r="V232" s="2" t="n">
        <v>2.26</v>
      </c>
      <c r="W232" s="4" t="n">
        <v>126</v>
      </c>
      <c r="X232" s="2" t="n">
        <v>1</v>
      </c>
      <c r="Y232" s="5" t="n">
        <v>1.26</v>
      </c>
      <c r="Z232" s="7" t="n">
        <v>100</v>
      </c>
      <c r="AA232" s="7">
        <f>Y232*Z232</f>
        <v/>
      </c>
      <c r="AB232" s="6">
        <f>IF(Z232=0,0,AA232/Z232)</f>
        <v/>
      </c>
      <c r="AC232" s="6" t="n"/>
      <c r="AD232" s="2" t="inlineStr">
        <is>
          <t>Win</t>
        </is>
      </c>
      <c r="AE232" s="6">
        <f>IF((COUNTIF($AD$2:AD232,"Win")+COUNTIF($AD$2:AD232,"Loss"))=0,0,COUNTIF($AD$2:AD232,"Win")/(COUNTIF($AD$2:AD232,"Win")+COUNTIF($AD$2:AD232,"Loss")))</f>
        <v/>
      </c>
      <c r="AF232" s="6">
        <f>SUM($Y$2:Y232)/SUM($X$2:X232)</f>
        <v/>
      </c>
      <c r="AG232" s="5">
        <f>SUM($Y$2:Y232)</f>
        <v/>
      </c>
      <c r="AH232" s="7">
        <f>10000.0+SUM($AA$2:AA232)</f>
        <v/>
      </c>
      <c r="AI232" s="2" t="n">
        <v>2026</v>
      </c>
      <c r="AJ232" s="2" t="inlineStr">
        <is>
          <t>2026-04</t>
        </is>
      </c>
      <c r="AK232" s="2" t="inlineStr">
        <is>
          <t>+121 to +150</t>
        </is>
      </c>
      <c r="AL232" s="2" t="inlineStr">
        <is>
          <t>2026 Frozen Test</t>
        </is>
      </c>
      <c r="AM232" s="6" t="n">
        <v>0.2755740213726164</v>
      </c>
    </row>
    <row r="233">
      <c r="A233" s="2" t="inlineStr">
        <is>
          <t>KPROP-00634</t>
        </is>
      </c>
      <c r="B233" s="3" t="n">
        <v>46132.46571759259</v>
      </c>
      <c r="C233" s="3" t="n">
        <v>46132</v>
      </c>
      <c r="D233" s="2" t="inlineStr">
        <is>
          <t>Jack Flaherty</t>
        </is>
      </c>
      <c r="E233" s="2" t="n">
        <v>116</v>
      </c>
      <c r="F233" s="2" t="n">
        <v>111</v>
      </c>
      <c r="G233" s="2" t="inlineStr">
        <is>
          <t>Away</t>
        </is>
      </c>
      <c r="H233" s="2" t="inlineStr">
        <is>
          <t>betmgm</t>
        </is>
      </c>
      <c r="I233" s="4" t="n"/>
      <c r="J233" s="4" t="n"/>
      <c r="K233" s="4" t="n">
        <v>-140</v>
      </c>
      <c r="L233" s="4" t="n">
        <v>-140</v>
      </c>
      <c r="M233" s="5" t="n">
        <v>6.5</v>
      </c>
      <c r="N233" s="5" t="n">
        <v>5.113140912326362</v>
      </c>
      <c r="O233" s="5" t="n">
        <v>6.5</v>
      </c>
      <c r="P233" s="5" t="n">
        <v>1.386859087673638</v>
      </c>
      <c r="Q233" s="6" t="n">
        <v>0.2779307415549973</v>
      </c>
      <c r="R233" s="6" t="n">
        <v>0.745459599240415</v>
      </c>
      <c r="S233" s="6" t="n">
        <v>0.5445920303605313</v>
      </c>
      <c r="T233" s="2" t="inlineStr">
        <is>
          <t>Under</t>
        </is>
      </c>
      <c r="U233" s="4" t="n">
        <v>-140</v>
      </c>
      <c r="V233" s="2" t="n">
        <v>1.714285714285714</v>
      </c>
      <c r="W233" s="4" t="n">
        <v>-140</v>
      </c>
      <c r="X233" s="2" t="n">
        <v>1</v>
      </c>
      <c r="Y233" s="5" t="n">
        <v>0.7142857142857144</v>
      </c>
      <c r="Z233" s="7" t="n">
        <v>100</v>
      </c>
      <c r="AA233" s="7">
        <f>Y233*Z233</f>
        <v/>
      </c>
      <c r="AB233" s="6">
        <f>IF(Z233=0,0,AA233/Z233)</f>
        <v/>
      </c>
      <c r="AC233" s="6" t="n"/>
      <c r="AD233" s="2" t="inlineStr">
        <is>
          <t>Win</t>
        </is>
      </c>
      <c r="AE233" s="6">
        <f>IF((COUNTIF($AD$2:AD233,"Win")+COUNTIF($AD$2:AD233,"Loss"))=0,0,COUNTIF($AD$2:AD233,"Win")/(COUNTIF($AD$2:AD233,"Win")+COUNTIF($AD$2:AD233,"Loss")))</f>
        <v/>
      </c>
      <c r="AF233" s="6">
        <f>SUM($Y$2:Y233)/SUM($X$2:X233)</f>
        <v/>
      </c>
      <c r="AG233" s="5">
        <f>SUM($Y$2:Y233)</f>
        <v/>
      </c>
      <c r="AH233" s="7">
        <f>10000.0+SUM($AA$2:AA233)</f>
        <v/>
      </c>
      <c r="AI233" s="2" t="n">
        <v>2026</v>
      </c>
      <c r="AJ233" s="2" t="inlineStr">
        <is>
          <t>2026-04</t>
        </is>
      </c>
      <c r="AK233" s="2" t="inlineStr">
        <is>
          <t>-149 to -120</t>
        </is>
      </c>
      <c r="AL233" s="2" t="inlineStr">
        <is>
          <t>2026 Frozen Test</t>
        </is>
      </c>
      <c r="AM233" s="6" t="n">
        <v>0.3891030381769962</v>
      </c>
    </row>
    <row r="234">
      <c r="A234" s="2" t="inlineStr">
        <is>
          <t>KPROP-00635</t>
        </is>
      </c>
      <c r="B234" s="3" t="n">
        <v>46133.78168981482</v>
      </c>
      <c r="C234" s="3" t="n">
        <v>46133</v>
      </c>
      <c r="D234" s="2" t="inlineStr">
        <is>
          <t>Foster Griffin</t>
        </is>
      </c>
      <c r="E234" s="2" t="n">
        <v>120</v>
      </c>
      <c r="F234" s="2" t="n">
        <v>144</v>
      </c>
      <c r="G234" s="2" t="inlineStr">
        <is>
          <t>Home</t>
        </is>
      </c>
      <c r="H234" s="2" t="inlineStr">
        <is>
          <t>betrivers</t>
        </is>
      </c>
      <c r="I234" s="4" t="n"/>
      <c r="J234" s="4" t="n"/>
      <c r="K234" s="4" t="n">
        <v>155</v>
      </c>
      <c r="L234" s="4" t="n">
        <v>155</v>
      </c>
      <c r="M234" s="5" t="n">
        <v>3.5</v>
      </c>
      <c r="N234" s="5" t="n">
        <v>3.813214753860155</v>
      </c>
      <c r="O234" s="5" t="n">
        <v>3.5</v>
      </c>
      <c r="P234" s="5" t="n">
        <v>-0.3132147538601546</v>
      </c>
      <c r="Q234" s="6" t="n">
        <v>0.200501838139969</v>
      </c>
      <c r="R234" s="6" t="n">
        <v>0.4707850345646938</v>
      </c>
      <c r="S234" s="6" t="n">
        <v>0.3892215568862276</v>
      </c>
      <c r="T234" s="2" t="inlineStr">
        <is>
          <t>Under</t>
        </is>
      </c>
      <c r="U234" s="4" t="n">
        <v>155</v>
      </c>
      <c r="V234" s="2" t="n">
        <v>2.55</v>
      </c>
      <c r="W234" s="4" t="n">
        <v>155</v>
      </c>
      <c r="X234" s="2" t="n">
        <v>1</v>
      </c>
      <c r="Y234" s="5" t="n">
        <v>1.55</v>
      </c>
      <c r="Z234" s="7" t="n">
        <v>100</v>
      </c>
      <c r="AA234" s="7">
        <f>Y234*Z234</f>
        <v/>
      </c>
      <c r="AB234" s="6">
        <f>IF(Z234=0,0,AA234/Z234)</f>
        <v/>
      </c>
      <c r="AC234" s="6" t="n"/>
      <c r="AD234" s="2" t="inlineStr">
        <is>
          <t>Win</t>
        </is>
      </c>
      <c r="AE234" s="6">
        <f>IF((COUNTIF($AD$2:AD234,"Win")+COUNTIF($AD$2:AD234,"Loss"))=0,0,COUNTIF($AD$2:AD234,"Win")/(COUNTIF($AD$2:AD234,"Win")+COUNTIF($AD$2:AD234,"Loss")))</f>
        <v/>
      </c>
      <c r="AF234" s="6">
        <f>SUM($Y$2:Y234)/SUM($X$2:X234)</f>
        <v/>
      </c>
      <c r="AG234" s="5">
        <f>SUM($Y$2:Y234)</f>
        <v/>
      </c>
      <c r="AH234" s="7">
        <f>10000.0+SUM($AA$2:AA234)</f>
        <v/>
      </c>
      <c r="AI234" s="2" t="n">
        <v>2026</v>
      </c>
      <c r="AJ234" s="2" t="inlineStr">
        <is>
          <t>2026-04</t>
        </is>
      </c>
      <c r="AK234" s="2" t="inlineStr">
        <is>
          <t>&gt;= +151</t>
        </is>
      </c>
      <c r="AL234" s="2" t="inlineStr">
        <is>
          <t>2026 Frozen Test</t>
        </is>
      </c>
      <c r="AM234" s="6" t="n">
        <v>0.1293560246064316</v>
      </c>
    </row>
    <row r="235">
      <c r="A235" s="2" t="inlineStr">
        <is>
          <t>KPROP-00636</t>
        </is>
      </c>
      <c r="B235" s="3" t="n">
        <v>46133.78168981482</v>
      </c>
      <c r="C235" s="3" t="n">
        <v>46133</v>
      </c>
      <c r="D235" s="2" t="inlineStr">
        <is>
          <t>Foster Griffin</t>
        </is>
      </c>
      <c r="E235" s="2" t="n">
        <v>120</v>
      </c>
      <c r="F235" s="2" t="n">
        <v>144</v>
      </c>
      <c r="G235" s="2" t="inlineStr">
        <is>
          <t>Home</t>
        </is>
      </c>
      <c r="H235" s="2" t="inlineStr">
        <is>
          <t>bovada</t>
        </is>
      </c>
      <c r="I235" s="4" t="n"/>
      <c r="J235" s="4" t="n"/>
      <c r="K235" s="4" t="n">
        <v>-130</v>
      </c>
      <c r="L235" s="4" t="n">
        <v>-130</v>
      </c>
      <c r="M235" s="5" t="n">
        <v>4.5</v>
      </c>
      <c r="N235" s="5" t="n">
        <v>3.813214753860155</v>
      </c>
      <c r="O235" s="5" t="n">
        <v>4.5</v>
      </c>
      <c r="P235" s="5" t="n">
        <v>0.6867852461398454</v>
      </c>
      <c r="Q235" s="6" t="n">
        <v>0.1770238052180596</v>
      </c>
      <c r="R235" s="6" t="n">
        <v>0.6652743246884685</v>
      </c>
      <c r="S235" s="6" t="n">
        <v>0.5403677058353318</v>
      </c>
      <c r="T235" s="2" t="inlineStr">
        <is>
          <t>Under</t>
        </is>
      </c>
      <c r="U235" s="4" t="n">
        <v>-130</v>
      </c>
      <c r="V235" s="2" t="n">
        <v>1.769230769230769</v>
      </c>
      <c r="W235" s="4" t="n">
        <v>-130</v>
      </c>
      <c r="X235" s="2" t="n">
        <v>1</v>
      </c>
      <c r="Y235" s="5" t="n">
        <v>0.7692307692307692</v>
      </c>
      <c r="Z235" s="7" t="n">
        <v>100</v>
      </c>
      <c r="AA235" s="7">
        <f>Y235*Z235</f>
        <v/>
      </c>
      <c r="AB235" s="6">
        <f>IF(Z235=0,0,AA235/Z235)</f>
        <v/>
      </c>
      <c r="AC235" s="6" t="n"/>
      <c r="AD235" s="2" t="inlineStr">
        <is>
          <t>Win</t>
        </is>
      </c>
      <c r="AE235" s="6">
        <f>IF((COUNTIF($AD$2:AD235,"Win")+COUNTIF($AD$2:AD235,"Loss"))=0,0,COUNTIF($AD$2:AD235,"Win")/(COUNTIF($AD$2:AD235,"Win")+COUNTIF($AD$2:AD235,"Loss")))</f>
        <v/>
      </c>
      <c r="AF235" s="6">
        <f>SUM($Y$2:Y235)/SUM($X$2:X235)</f>
        <v/>
      </c>
      <c r="AG235" s="5">
        <f>SUM($Y$2:Y235)</f>
        <v/>
      </c>
      <c r="AH235" s="7">
        <f>10000.0+SUM($AA$2:AA235)</f>
        <v/>
      </c>
      <c r="AI235" s="2" t="n">
        <v>2026</v>
      </c>
      <c r="AJ235" s="2" t="inlineStr">
        <is>
          <t>2026-04</t>
        </is>
      </c>
      <c r="AK235" s="2" t="inlineStr">
        <is>
          <t>-149 to -120</t>
        </is>
      </c>
      <c r="AL235" s="2" t="inlineStr">
        <is>
          <t>2026 Frozen Test</t>
        </is>
      </c>
      <c r="AM235" s="6" t="n">
        <v>0.2301309467834775</v>
      </c>
    </row>
    <row r="236">
      <c r="A236" s="2" t="inlineStr">
        <is>
          <t>KPROP-00637</t>
        </is>
      </c>
      <c r="B236" s="3" t="n">
        <v>46133.81988425926</v>
      </c>
      <c r="C236" s="3" t="n">
        <v>46133</v>
      </c>
      <c r="D236" s="2" t="inlineStr">
        <is>
          <t>Kris Bubic</t>
        </is>
      </c>
      <c r="E236" s="2" t="n">
        <v>118</v>
      </c>
      <c r="F236" s="2" t="n">
        <v>110</v>
      </c>
      <c r="G236" s="2" t="inlineStr">
        <is>
          <t>Home</t>
        </is>
      </c>
      <c r="H236" s="2" t="inlineStr">
        <is>
          <t>betonlineag</t>
        </is>
      </c>
      <c r="I236" s="4" t="n"/>
      <c r="J236" s="4" t="n"/>
      <c r="K236" s="4" t="n">
        <v>-120</v>
      </c>
      <c r="L236" s="4" t="n">
        <v>-120</v>
      </c>
      <c r="M236" s="5" t="n">
        <v>6.5</v>
      </c>
      <c r="N236" s="5" t="n">
        <v>5.57335987565204</v>
      </c>
      <c r="O236" s="5" t="n">
        <v>6.5</v>
      </c>
      <c r="P236" s="5" t="n">
        <v>0.9266401243479603</v>
      </c>
      <c r="Q236" s="6" t="n">
        <v>0.2365345706969118</v>
      </c>
      <c r="R236" s="6" t="n">
        <v>0.6744734021983154</v>
      </c>
      <c r="S236" s="6" t="n">
        <v>0.5278969957081545</v>
      </c>
      <c r="T236" s="2" t="inlineStr">
        <is>
          <t>Under</t>
        </is>
      </c>
      <c r="U236" s="4" t="n">
        <v>-120</v>
      </c>
      <c r="V236" s="2" t="n">
        <v>1.833333333333333</v>
      </c>
      <c r="W236" s="4" t="n">
        <v>-120</v>
      </c>
      <c r="X236" s="2" t="n">
        <v>1</v>
      </c>
      <c r="Y236" s="5" t="n">
        <v>0.8333333333333335</v>
      </c>
      <c r="Z236" s="7" t="n">
        <v>100</v>
      </c>
      <c r="AA236" s="7">
        <f>Y236*Z236</f>
        <v/>
      </c>
      <c r="AB236" s="6">
        <f>IF(Z236=0,0,AA236/Z236)</f>
        <v/>
      </c>
      <c r="AC236" s="6" t="n"/>
      <c r="AD236" s="2" t="inlineStr">
        <is>
          <t>Win</t>
        </is>
      </c>
      <c r="AE236" s="6">
        <f>IF((COUNTIF($AD$2:AD236,"Win")+COUNTIF($AD$2:AD236,"Loss"))=0,0,COUNTIF($AD$2:AD236,"Win")/(COUNTIF($AD$2:AD236,"Win")+COUNTIF($AD$2:AD236,"Loss")))</f>
        <v/>
      </c>
      <c r="AF236" s="6">
        <f>SUM($Y$2:Y236)/SUM($X$2:X236)</f>
        <v/>
      </c>
      <c r="AG236" s="5">
        <f>SUM($Y$2:Y236)</f>
        <v/>
      </c>
      <c r="AH236" s="7">
        <f>10000.0+SUM($AA$2:AA236)</f>
        <v/>
      </c>
      <c r="AI236" s="2" t="n">
        <v>2026</v>
      </c>
      <c r="AJ236" s="2" t="inlineStr">
        <is>
          <t>2026-04</t>
        </is>
      </c>
      <c r="AK236" s="2" t="inlineStr">
        <is>
          <t>-149 to -120</t>
        </is>
      </c>
      <c r="AL236" s="2" t="inlineStr">
        <is>
          <t>2026 Frozen Test</t>
        </is>
      </c>
      <c r="AM236" s="6" t="n">
        <v>0.2838414848362941</v>
      </c>
    </row>
    <row r="237">
      <c r="A237" s="2" t="inlineStr">
        <is>
          <t>KPROP-00638</t>
        </is>
      </c>
      <c r="B237" s="3" t="n">
        <v>46133.81988425926</v>
      </c>
      <c r="C237" s="3" t="n">
        <v>46133</v>
      </c>
      <c r="D237" s="2" t="inlineStr">
        <is>
          <t>Shota Imanaga</t>
        </is>
      </c>
      <c r="E237" s="2" t="n">
        <v>112</v>
      </c>
      <c r="F237" s="2" t="n">
        <v>143</v>
      </c>
      <c r="G237" s="2" t="inlineStr">
        <is>
          <t>Home</t>
        </is>
      </c>
      <c r="H237" s="2" t="inlineStr">
        <is>
          <t>betrivers</t>
        </is>
      </c>
      <c r="I237" s="4" t="n"/>
      <c r="J237" s="4" t="n"/>
      <c r="K237" s="4" t="n">
        <v>135</v>
      </c>
      <c r="L237" s="4" t="n">
        <v>135</v>
      </c>
      <c r="M237" s="5" t="n">
        <v>5.5</v>
      </c>
      <c r="N237" s="5" t="n">
        <v>5.759390191815107</v>
      </c>
      <c r="O237" s="5" t="n">
        <v>5.5</v>
      </c>
      <c r="P237" s="5" t="n">
        <v>-0.2593901918151067</v>
      </c>
      <c r="Q237" s="6" t="n">
        <v>0.1398865705044424</v>
      </c>
      <c r="R237" s="6" t="n">
        <v>0.4850581151082733</v>
      </c>
      <c r="S237" s="6" t="n">
        <v>0.3973509933774834</v>
      </c>
      <c r="T237" s="2" t="inlineStr">
        <is>
          <t>Under</t>
        </is>
      </c>
      <c r="U237" s="4" t="n">
        <v>135</v>
      </c>
      <c r="V237" s="2" t="n">
        <v>2.35</v>
      </c>
      <c r="W237" s="4" t="n">
        <v>135</v>
      </c>
      <c r="X237" s="2" t="n">
        <v>1</v>
      </c>
      <c r="Y237" s="5" t="n">
        <v>1.35</v>
      </c>
      <c r="Z237" s="7" t="n">
        <v>100</v>
      </c>
      <c r="AA237" s="7">
        <f>Y237*Z237</f>
        <v/>
      </c>
      <c r="AB237" s="6">
        <f>IF(Z237=0,0,AA237/Z237)</f>
        <v/>
      </c>
      <c r="AC237" s="6" t="n"/>
      <c r="AD237" s="2" t="inlineStr">
        <is>
          <t>Win</t>
        </is>
      </c>
      <c r="AE237" s="6">
        <f>IF((COUNTIF($AD$2:AD237,"Win")+COUNTIF($AD$2:AD237,"Loss"))=0,0,COUNTIF($AD$2:AD237,"Win")/(COUNTIF($AD$2:AD237,"Win")+COUNTIF($AD$2:AD237,"Loss")))</f>
        <v/>
      </c>
      <c r="AF237" s="6">
        <f>SUM($Y$2:Y237)/SUM($X$2:X237)</f>
        <v/>
      </c>
      <c r="AG237" s="5">
        <f>SUM($Y$2:Y237)</f>
        <v/>
      </c>
      <c r="AH237" s="7">
        <f>10000.0+SUM($AA$2:AA237)</f>
        <v/>
      </c>
      <c r="AI237" s="2" t="n">
        <v>2026</v>
      </c>
      <c r="AJ237" s="2" t="inlineStr">
        <is>
          <t>2026-04</t>
        </is>
      </c>
      <c r="AK237" s="2" t="inlineStr">
        <is>
          <t>+121 to +150</t>
        </is>
      </c>
      <c r="AL237" s="2" t="inlineStr">
        <is>
          <t>2026 Frozen Test</t>
        </is>
      </c>
      <c r="AM237" s="6" t="n">
        <v>0.1036196818551425</v>
      </c>
    </row>
    <row r="238">
      <c r="A238" s="2" t="inlineStr">
        <is>
          <t>KPROP-00639</t>
        </is>
      </c>
      <c r="B238" s="3" t="n">
        <v>46133.81988425926</v>
      </c>
      <c r="C238" s="3" t="n">
        <v>46133</v>
      </c>
      <c r="D238" s="2" t="inlineStr">
        <is>
          <t>Shota Imanaga</t>
        </is>
      </c>
      <c r="E238" s="2" t="n">
        <v>112</v>
      </c>
      <c r="F238" s="2" t="n">
        <v>143</v>
      </c>
      <c r="G238" s="2" t="inlineStr">
        <is>
          <t>Home</t>
        </is>
      </c>
      <c r="H238" s="2" t="inlineStr">
        <is>
          <t>fanatics</t>
        </is>
      </c>
      <c r="I238" s="4" t="n"/>
      <c r="J238" s="4" t="n"/>
      <c r="K238" s="4" t="n">
        <v>-125</v>
      </c>
      <c r="L238" s="4" t="n">
        <v>-125</v>
      </c>
      <c r="M238" s="5" t="n">
        <v>6.5</v>
      </c>
      <c r="N238" s="5" t="n">
        <v>5.759390191815107</v>
      </c>
      <c r="O238" s="5" t="n">
        <v>6.5</v>
      </c>
      <c r="P238" s="5" t="n">
        <v>0.7406098081848933</v>
      </c>
      <c r="Q238" s="6" t="n">
        <v>0.1607965135199233</v>
      </c>
      <c r="R238" s="6" t="n">
        <v>0.6448869519555129</v>
      </c>
      <c r="S238" s="6" t="n">
        <v>0.5431472081218274</v>
      </c>
      <c r="T238" s="2" t="inlineStr">
        <is>
          <t>Under</t>
        </is>
      </c>
      <c r="U238" s="4" t="n">
        <v>-125</v>
      </c>
      <c r="V238" s="2" t="n">
        <v>1.8</v>
      </c>
      <c r="W238" s="4" t="n">
        <v>-125</v>
      </c>
      <c r="X238" s="2" t="n">
        <v>1</v>
      </c>
      <c r="Y238" s="5" t="n">
        <v>0.8</v>
      </c>
      <c r="Z238" s="7" t="n">
        <v>100</v>
      </c>
      <c r="AA238" s="7">
        <f>Y238*Z238</f>
        <v/>
      </c>
      <c r="AB238" s="6">
        <f>IF(Z238=0,0,AA238/Z238)</f>
        <v/>
      </c>
      <c r="AC238" s="6" t="n"/>
      <c r="AD238" s="2" t="inlineStr">
        <is>
          <t>Win</t>
        </is>
      </c>
      <c r="AE238" s="6">
        <f>IF((COUNTIF($AD$2:AD238,"Win")+COUNTIF($AD$2:AD238,"Loss"))=0,0,COUNTIF($AD$2:AD238,"Win")/(COUNTIF($AD$2:AD238,"Win")+COUNTIF($AD$2:AD238,"Loss")))</f>
        <v/>
      </c>
      <c r="AF238" s="6">
        <f>SUM($Y$2:Y238)/SUM($X$2:X238)</f>
        <v/>
      </c>
      <c r="AG238" s="5">
        <f>SUM($Y$2:Y238)</f>
        <v/>
      </c>
      <c r="AH238" s="7">
        <f>10000.0+SUM($AA$2:AA238)</f>
        <v/>
      </c>
      <c r="AI238" s="2" t="n">
        <v>2026</v>
      </c>
      <c r="AJ238" s="2" t="inlineStr">
        <is>
          <t>2026-04</t>
        </is>
      </c>
      <c r="AK238" s="2" t="inlineStr">
        <is>
          <t>-149 to -120</t>
        </is>
      </c>
      <c r="AL238" s="2" t="inlineStr">
        <is>
          <t>2026 Frozen Test</t>
        </is>
      </c>
      <c r="AM238" s="6" t="n">
        <v>0.2009956418999041</v>
      </c>
    </row>
    <row r="239">
      <c r="A239" s="2" t="inlineStr">
        <is>
          <t>KPROP-00640</t>
        </is>
      </c>
      <c r="B239" s="3" t="n">
        <v>46133.77821759259</v>
      </c>
      <c r="C239" s="3" t="n">
        <v>46133</v>
      </c>
      <c r="D239" s="2" t="inlineStr">
        <is>
          <t>Steven Matz</t>
        </is>
      </c>
      <c r="E239" s="2" t="n">
        <v>139</v>
      </c>
      <c r="F239" s="2" t="n">
        <v>113</v>
      </c>
      <c r="G239" s="2" t="inlineStr">
        <is>
          <t>Home</t>
        </is>
      </c>
      <c r="H239" s="2" t="inlineStr">
        <is>
          <t>betrivers</t>
        </is>
      </c>
      <c r="I239" s="4" t="n"/>
      <c r="J239" s="4" t="n"/>
      <c r="K239" s="4" t="n">
        <v>140</v>
      </c>
      <c r="L239" s="4" t="n">
        <v>140</v>
      </c>
      <c r="M239" s="5" t="n">
        <v>4.5</v>
      </c>
      <c r="N239" s="5" t="n">
        <v>4.800859808996825</v>
      </c>
      <c r="O239" s="5" t="n">
        <v>4.5</v>
      </c>
      <c r="P239" s="5" t="n">
        <v>-0.3008598089968251</v>
      </c>
      <c r="Q239" s="6" t="n">
        <v>0.1426454115455257</v>
      </c>
      <c r="R239" s="6" t="n">
        <v>0.4761022548106357</v>
      </c>
      <c r="S239" s="6" t="n">
        <v>0.4009077155824509</v>
      </c>
      <c r="T239" s="2" t="inlineStr">
        <is>
          <t>Under</t>
        </is>
      </c>
      <c r="U239" s="4" t="n">
        <v>140</v>
      </c>
      <c r="V239" s="2" t="n">
        <v>2.4</v>
      </c>
      <c r="W239" s="4" t="n">
        <v>140</v>
      </c>
      <c r="X239" s="2" t="n">
        <v>1</v>
      </c>
      <c r="Y239" s="5" t="n">
        <v>1.4</v>
      </c>
      <c r="Z239" s="7" t="n">
        <v>100</v>
      </c>
      <c r="AA239" s="7">
        <f>Y239*Z239</f>
        <v/>
      </c>
      <c r="AB239" s="6">
        <f>IF(Z239=0,0,AA239/Z239)</f>
        <v/>
      </c>
      <c r="AC239" s="6" t="n"/>
      <c r="AD239" s="2" t="inlineStr">
        <is>
          <t>Win</t>
        </is>
      </c>
      <c r="AE239" s="6">
        <f>IF((COUNTIF($AD$2:AD239,"Win")+COUNTIF($AD$2:AD239,"Loss"))=0,0,COUNTIF($AD$2:AD239,"Win")/(COUNTIF($AD$2:AD239,"Win")+COUNTIF($AD$2:AD239,"Loss")))</f>
        <v/>
      </c>
      <c r="AF239" s="6">
        <f>SUM($Y$2:Y239)/SUM($X$2:X239)</f>
        <v/>
      </c>
      <c r="AG239" s="5">
        <f>SUM($Y$2:Y239)</f>
        <v/>
      </c>
      <c r="AH239" s="7">
        <f>10000.0+SUM($AA$2:AA239)</f>
        <v/>
      </c>
      <c r="AI239" s="2" t="n">
        <v>2026</v>
      </c>
      <c r="AJ239" s="2" t="inlineStr">
        <is>
          <t>2026-04</t>
        </is>
      </c>
      <c r="AK239" s="2" t="inlineStr">
        <is>
          <t>+121 to +150</t>
        </is>
      </c>
      <c r="AL239" s="2" t="inlineStr">
        <is>
          <t>2026 Frozen Test</t>
        </is>
      </c>
      <c r="AM239" s="6" t="n">
        <v>0.1018895796753755</v>
      </c>
    </row>
    <row r="240">
      <c r="A240" s="2" t="inlineStr">
        <is>
          <t>KPROP-00641</t>
        </is>
      </c>
      <c r="B240" s="3" t="n">
        <v>46133.77821759259</v>
      </c>
      <c r="C240" s="3" t="n">
        <v>46133</v>
      </c>
      <c r="D240" s="2" t="inlineStr">
        <is>
          <t>Steven Matz</t>
        </is>
      </c>
      <c r="E240" s="2" t="n">
        <v>139</v>
      </c>
      <c r="F240" s="2" t="n">
        <v>113</v>
      </c>
      <c r="G240" s="2" t="inlineStr">
        <is>
          <t>Home</t>
        </is>
      </c>
      <c r="H240" s="2" t="inlineStr">
        <is>
          <t>fanatics</t>
        </is>
      </c>
      <c r="I240" s="4" t="n"/>
      <c r="J240" s="4" t="n"/>
      <c r="K240" s="4" t="n">
        <v>-130</v>
      </c>
      <c r="L240" s="4" t="n">
        <v>-130</v>
      </c>
      <c r="M240" s="5" t="n">
        <v>5.5</v>
      </c>
      <c r="N240" s="5" t="n">
        <v>4.800859808996825</v>
      </c>
      <c r="O240" s="5" t="n">
        <v>5.5</v>
      </c>
      <c r="P240" s="5" t="n">
        <v>0.6991401910031749</v>
      </c>
      <c r="Q240" s="6" t="n">
        <v>0.1515147887604007</v>
      </c>
      <c r="R240" s="6" t="n">
        <v>0.6508561849515309</v>
      </c>
      <c r="S240" s="6" t="n">
        <v>0.5564982645584265</v>
      </c>
      <c r="T240" s="2" t="inlineStr">
        <is>
          <t>Under</t>
        </is>
      </c>
      <c r="U240" s="4" t="n">
        <v>-130</v>
      </c>
      <c r="V240" s="2" t="n">
        <v>1.769230769230769</v>
      </c>
      <c r="W240" s="4" t="n">
        <v>-130</v>
      </c>
      <c r="X240" s="2" t="n">
        <v>1</v>
      </c>
      <c r="Y240" s="5" t="n">
        <v>0.7692307692307692</v>
      </c>
      <c r="Z240" s="7" t="n">
        <v>100</v>
      </c>
      <c r="AA240" s="7">
        <f>Y240*Z240</f>
        <v/>
      </c>
      <c r="AB240" s="6">
        <f>IF(Z240=0,0,AA240/Z240)</f>
        <v/>
      </c>
      <c r="AC240" s="6" t="n"/>
      <c r="AD240" s="2" t="inlineStr">
        <is>
          <t>Win</t>
        </is>
      </c>
      <c r="AE240" s="6">
        <f>IF((COUNTIF($AD$2:AD240,"Win")+COUNTIF($AD$2:AD240,"Loss"))=0,0,COUNTIF($AD$2:AD240,"Win")/(COUNTIF($AD$2:AD240,"Win")+COUNTIF($AD$2:AD240,"Loss")))</f>
        <v/>
      </c>
      <c r="AF240" s="6">
        <f>SUM($Y$2:Y240)/SUM($X$2:X240)</f>
        <v/>
      </c>
      <c r="AG240" s="5">
        <f>SUM($Y$2:Y240)</f>
        <v/>
      </c>
      <c r="AH240" s="7">
        <f>10000.0+SUM($AA$2:AA240)</f>
        <v/>
      </c>
      <c r="AI240" s="2" t="n">
        <v>2026</v>
      </c>
      <c r="AJ240" s="2" t="inlineStr">
        <is>
          <t>2026-04</t>
        </is>
      </c>
      <c r="AK240" s="2" t="inlineStr">
        <is>
          <t>-149 to -120</t>
        </is>
      </c>
      <c r="AL240" s="2" t="inlineStr">
        <is>
          <t>2026 Frozen Test</t>
        </is>
      </c>
      <c r="AM240" s="6" t="n">
        <v>0.1969692253885209</v>
      </c>
    </row>
    <row r="241">
      <c r="A241" s="2" t="inlineStr">
        <is>
          <t>KPROP-00642</t>
        </is>
      </c>
      <c r="B241" s="3" t="n">
        <v>46134.67405092593</v>
      </c>
      <c r="C241" s="3" t="n">
        <v>46134</v>
      </c>
      <c r="D241" s="2" t="inlineStr">
        <is>
          <t>Aaron Civale</t>
        </is>
      </c>
      <c r="E241" s="2" t="n">
        <v>133</v>
      </c>
      <c r="F241" s="2" t="n">
        <v>136</v>
      </c>
      <c r="G241" s="2" t="inlineStr">
        <is>
          <t>Away</t>
        </is>
      </c>
      <c r="H241" s="2" t="inlineStr">
        <is>
          <t>bovada</t>
        </is>
      </c>
      <c r="I241" s="4" t="n"/>
      <c r="J241" s="4" t="n"/>
      <c r="K241" s="4" t="n">
        <v>110</v>
      </c>
      <c r="L241" s="4" t="n">
        <v>110</v>
      </c>
      <c r="M241" s="5" t="n">
        <v>4.5</v>
      </c>
      <c r="N241" s="5" t="n">
        <v>4.465722995986637</v>
      </c>
      <c r="O241" s="5" t="n">
        <v>4.5</v>
      </c>
      <c r="P241" s="5" t="n">
        <v>0.03427700401336331</v>
      </c>
      <c r="Q241" s="6" t="n">
        <v>0.1311057057848016</v>
      </c>
      <c r="R241" s="6" t="n">
        <v>0.5386217646594293</v>
      </c>
      <c r="S241" s="6" t="n">
        <v>0.4580916183236647</v>
      </c>
      <c r="T241" s="2" t="inlineStr">
        <is>
          <t>Under</t>
        </is>
      </c>
      <c r="U241" s="4" t="n">
        <v>110</v>
      </c>
      <c r="V241" s="2" t="n">
        <v>2.1</v>
      </c>
      <c r="W241" s="4" t="n">
        <v>110</v>
      </c>
      <c r="X241" s="2" t="n">
        <v>1</v>
      </c>
      <c r="Y241" s="5" t="n">
        <v>-1</v>
      </c>
      <c r="Z241" s="7" t="n">
        <v>100</v>
      </c>
      <c r="AA241" s="7">
        <f>Y241*Z241</f>
        <v/>
      </c>
      <c r="AB241" s="6">
        <f>IF(Z241=0,0,AA241/Z241)</f>
        <v/>
      </c>
      <c r="AC241" s="6" t="n"/>
      <c r="AD241" s="2" t="inlineStr">
        <is>
          <t>Loss</t>
        </is>
      </c>
      <c r="AE241" s="6">
        <f>IF((COUNTIF($AD$2:AD241,"Win")+COUNTIF($AD$2:AD241,"Loss"))=0,0,COUNTIF($AD$2:AD241,"Win")/(COUNTIF($AD$2:AD241,"Win")+COUNTIF($AD$2:AD241,"Loss")))</f>
        <v/>
      </c>
      <c r="AF241" s="6">
        <f>SUM($Y$2:Y241)/SUM($X$2:X241)</f>
        <v/>
      </c>
      <c r="AG241" s="5">
        <f>SUM($Y$2:Y241)</f>
        <v/>
      </c>
      <c r="AH241" s="7">
        <f>10000.0+SUM($AA$2:AA241)</f>
        <v/>
      </c>
      <c r="AI241" s="2" t="n">
        <v>2026</v>
      </c>
      <c r="AJ241" s="2" t="inlineStr">
        <is>
          <t>2026-04</t>
        </is>
      </c>
      <c r="AK241" s="2" t="inlineStr">
        <is>
          <t>+100 to +120</t>
        </is>
      </c>
      <c r="AL241" s="2" t="inlineStr">
        <is>
          <t>2026 Frozen Test</t>
        </is>
      </c>
      <c r="AM241" s="6" t="n">
        <v>0.1191870052589106</v>
      </c>
    </row>
    <row r="242">
      <c r="A242" s="2" t="inlineStr">
        <is>
          <t>KPROP-00643</t>
        </is>
      </c>
      <c r="B242" s="3" t="n">
        <v>46134.79905092593</v>
      </c>
      <c r="C242" s="3" t="n">
        <v>46134</v>
      </c>
      <c r="D242" s="2" t="inlineStr">
        <is>
          <t>Clay Holmes</t>
        </is>
      </c>
      <c r="E242" s="2" t="n">
        <v>121</v>
      </c>
      <c r="F242" s="2" t="n">
        <v>142</v>
      </c>
      <c r="G242" s="2" t="inlineStr">
        <is>
          <t>Home</t>
        </is>
      </c>
      <c r="H242" s="2" t="inlineStr">
        <is>
          <t>bovada</t>
        </is>
      </c>
      <c r="I242" s="4" t="n"/>
      <c r="J242" s="4" t="n"/>
      <c r="K242" s="4" t="n">
        <v>-110</v>
      </c>
      <c r="L242" s="4" t="n">
        <v>-110</v>
      </c>
      <c r="M242" s="5" t="n">
        <v>4.5</v>
      </c>
      <c r="N242" s="5" t="n">
        <v>4.201722261500246</v>
      </c>
      <c r="O242" s="5" t="n">
        <v>4.5</v>
      </c>
      <c r="P242" s="5" t="n">
        <v>0.2982777384997544</v>
      </c>
      <c r="Q242" s="6" t="n">
        <v>0.125394174625362</v>
      </c>
      <c r="R242" s="6" t="n">
        <v>0.5894921867085229</v>
      </c>
      <c r="S242" s="6" t="n">
        <v>0.5</v>
      </c>
      <c r="T242" s="2" t="inlineStr">
        <is>
          <t>Under</t>
        </is>
      </c>
      <c r="U242" s="4" t="n">
        <v>-110</v>
      </c>
      <c r="V242" s="2" t="n">
        <v>1.909090909090909</v>
      </c>
      <c r="W242" s="4" t="n">
        <v>-110</v>
      </c>
      <c r="X242" s="2" t="n">
        <v>1</v>
      </c>
      <c r="Y242" s="5" t="n">
        <v>0.9090909090909092</v>
      </c>
      <c r="Z242" s="7" t="n">
        <v>100</v>
      </c>
      <c r="AA242" s="7">
        <f>Y242*Z242</f>
        <v/>
      </c>
      <c r="AB242" s="6">
        <f>IF(Z242=0,0,AA242/Z242)</f>
        <v/>
      </c>
      <c r="AC242" s="6" t="n"/>
      <c r="AD242" s="2" t="inlineStr">
        <is>
          <t>Win</t>
        </is>
      </c>
      <c r="AE242" s="6">
        <f>IF((COUNTIF($AD$2:AD242,"Win")+COUNTIF($AD$2:AD242,"Loss"))=0,0,COUNTIF($AD$2:AD242,"Win")/(COUNTIF($AD$2:AD242,"Win")+COUNTIF($AD$2:AD242,"Loss")))</f>
        <v/>
      </c>
      <c r="AF242" s="6">
        <f>SUM($Y$2:Y242)/SUM($X$2:X242)</f>
        <v/>
      </c>
      <c r="AG242" s="5">
        <f>SUM($Y$2:Y242)</f>
        <v/>
      </c>
      <c r="AH242" s="7">
        <f>10000.0+SUM($AA$2:AA242)</f>
        <v/>
      </c>
      <c r="AI242" s="2" t="n">
        <v>2026</v>
      </c>
      <c r="AJ242" s="2" t="inlineStr">
        <is>
          <t>2026-04</t>
        </is>
      </c>
      <c r="AK242" s="2" t="inlineStr">
        <is>
          <t>-119 to -101</t>
        </is>
      </c>
      <c r="AL242" s="2" t="inlineStr">
        <is>
          <t>2026 Frozen Test</t>
        </is>
      </c>
      <c r="AM242" s="6" t="n">
        <v>0.1379335920878981</v>
      </c>
    </row>
    <row r="243">
      <c r="A243" s="2" t="inlineStr">
        <is>
          <t>KPROP-00644</t>
        </is>
      </c>
      <c r="B243" s="3" t="n">
        <v>46134.50738425926</v>
      </c>
      <c r="C243" s="3" t="n">
        <v>46134</v>
      </c>
      <c r="D243" s="2" t="inlineStr">
        <is>
          <t>Kyle Leahy</t>
        </is>
      </c>
      <c r="E243" s="2" t="n">
        <v>138</v>
      </c>
      <c r="F243" s="2" t="n">
        <v>146</v>
      </c>
      <c r="G243" s="2" t="inlineStr">
        <is>
          <t>Away</t>
        </is>
      </c>
      <c r="H243" s="2" t="inlineStr">
        <is>
          <t>betmgm</t>
        </is>
      </c>
      <c r="I243" s="4" t="n"/>
      <c r="J243" s="4" t="n"/>
      <c r="K243" s="4" t="n">
        <v>105</v>
      </c>
      <c r="L243" s="4" t="n">
        <v>105</v>
      </c>
      <c r="M243" s="5" t="n">
        <v>3.5</v>
      </c>
      <c r="N243" s="5" t="n">
        <v>3.226154572518802</v>
      </c>
      <c r="O243" s="5" t="n">
        <v>3.5</v>
      </c>
      <c r="P243" s="5" t="n">
        <v>0.2738454274811977</v>
      </c>
      <c r="Q243" s="6" t="n">
        <v>0.223239608857105</v>
      </c>
      <c r="R243" s="6" t="n">
        <v>0.5967022482229781</v>
      </c>
      <c r="S243" s="6" t="n">
        <v>0.4779986598168416</v>
      </c>
      <c r="T243" s="2" t="inlineStr">
        <is>
          <t>Under</t>
        </is>
      </c>
      <c r="U243" s="4" t="n">
        <v>105</v>
      </c>
      <c r="V243" s="2" t="n">
        <v>2.05</v>
      </c>
      <c r="W243" s="4" t="n">
        <v>105</v>
      </c>
      <c r="X243" s="2" t="n">
        <v>1</v>
      </c>
      <c r="Y243" s="5" t="n">
        <v>1.05</v>
      </c>
      <c r="Z243" s="7" t="n">
        <v>100</v>
      </c>
      <c r="AA243" s="7">
        <f>Y243*Z243</f>
        <v/>
      </c>
      <c r="AB243" s="6">
        <f>IF(Z243=0,0,AA243/Z243)</f>
        <v/>
      </c>
      <c r="AC243" s="6" t="n"/>
      <c r="AD243" s="2" t="inlineStr">
        <is>
          <t>Win</t>
        </is>
      </c>
      <c r="AE243" s="6">
        <f>IF((COUNTIF($AD$2:AD243,"Win")+COUNTIF($AD$2:AD243,"Loss"))=0,0,COUNTIF($AD$2:AD243,"Win")/(COUNTIF($AD$2:AD243,"Win")+COUNTIF($AD$2:AD243,"Loss")))</f>
        <v/>
      </c>
      <c r="AF243" s="6">
        <f>SUM($Y$2:Y243)/SUM($X$2:X243)</f>
        <v/>
      </c>
      <c r="AG243" s="5">
        <f>SUM($Y$2:Y243)</f>
        <v/>
      </c>
      <c r="AH243" s="7">
        <f>10000.0+SUM($AA$2:AA243)</f>
        <v/>
      </c>
      <c r="AI243" s="2" t="n">
        <v>2026</v>
      </c>
      <c r="AJ243" s="2" t="inlineStr">
        <is>
          <t>2026-04</t>
        </is>
      </c>
      <c r="AK243" s="2" t="inlineStr">
        <is>
          <t>+100 to +120</t>
        </is>
      </c>
      <c r="AL243" s="2" t="inlineStr">
        <is>
          <t>2026 Frozen Test</t>
        </is>
      </c>
      <c r="AM243" s="6" t="n">
        <v>0.212609151292481</v>
      </c>
    </row>
    <row r="244">
      <c r="A244" s="2" t="inlineStr">
        <is>
          <t>KPROP-00645</t>
        </is>
      </c>
      <c r="B244" s="3" t="n">
        <v>46134.67405092593</v>
      </c>
      <c r="C244" s="3" t="n">
        <v>46134</v>
      </c>
      <c r="D244" s="2" t="inlineStr">
        <is>
          <t>Logan Gilbert</t>
        </is>
      </c>
      <c r="E244" s="2" t="n">
        <v>136</v>
      </c>
      <c r="F244" s="2" t="n">
        <v>133</v>
      </c>
      <c r="G244" s="2" t="inlineStr">
        <is>
          <t>Home</t>
        </is>
      </c>
      <c r="H244" s="2" t="inlineStr">
        <is>
          <t>draftkings</t>
        </is>
      </c>
      <c r="I244" s="4" t="n"/>
      <c r="J244" s="4" t="n"/>
      <c r="K244" s="4" t="n">
        <v>111</v>
      </c>
      <c r="L244" s="4" t="n">
        <v>111</v>
      </c>
      <c r="M244" s="5" t="n">
        <v>6.5</v>
      </c>
      <c r="N244" s="5" t="n">
        <v>5.825702012677056</v>
      </c>
      <c r="O244" s="5" t="n">
        <v>6.5</v>
      </c>
      <c r="P244" s="5" t="n">
        <v>0.6742979873229435</v>
      </c>
      <c r="Q244" s="6" t="n">
        <v>0.3383204953743716</v>
      </c>
      <c r="R244" s="6" t="n">
        <v>0.6342751162911713</v>
      </c>
      <c r="S244" s="6" t="n">
        <v>0.4649196956889265</v>
      </c>
      <c r="T244" s="2" t="inlineStr">
        <is>
          <t>Under</t>
        </is>
      </c>
      <c r="U244" s="4" t="n">
        <v>111</v>
      </c>
      <c r="V244" s="2" t="n">
        <v>2.11</v>
      </c>
      <c r="W244" s="4" t="n">
        <v>111</v>
      </c>
      <c r="X244" s="2" t="n">
        <v>1</v>
      </c>
      <c r="Y244" s="5" t="n">
        <v>1.11</v>
      </c>
      <c r="Z244" s="7" t="n">
        <v>100</v>
      </c>
      <c r="AA244" s="7">
        <f>Y244*Z244</f>
        <v/>
      </c>
      <c r="AB244" s="6">
        <f>IF(Z244=0,0,AA244/Z244)</f>
        <v/>
      </c>
      <c r="AC244" s="6" t="n"/>
      <c r="AD244" s="2" t="inlineStr">
        <is>
          <t>Win</t>
        </is>
      </c>
      <c r="AE244" s="6">
        <f>IF((COUNTIF($AD$2:AD244,"Win")+COUNTIF($AD$2:AD244,"Loss"))=0,0,COUNTIF($AD$2:AD244,"Win")/(COUNTIF($AD$2:AD244,"Win")+COUNTIF($AD$2:AD244,"Loss")))</f>
        <v/>
      </c>
      <c r="AF244" s="6">
        <f>SUM($Y$2:Y244)/SUM($X$2:X244)</f>
        <v/>
      </c>
      <c r="AG244" s="5">
        <f>SUM($Y$2:Y244)</f>
        <v/>
      </c>
      <c r="AH244" s="7">
        <f>10000.0+SUM($AA$2:AA244)</f>
        <v/>
      </c>
      <c r="AI244" s="2" t="n">
        <v>2026</v>
      </c>
      <c r="AJ244" s="2" t="inlineStr">
        <is>
          <t>2026-04</t>
        </is>
      </c>
      <c r="AK244" s="2" t="inlineStr">
        <is>
          <t>+100 to +120</t>
        </is>
      </c>
      <c r="AL244" s="2" t="inlineStr">
        <is>
          <t>2026 Frozen Test</t>
        </is>
      </c>
      <c r="AM244" s="6" t="n">
        <v>0.3047932390760104</v>
      </c>
    </row>
    <row r="245">
      <c r="A245" s="2" t="inlineStr">
        <is>
          <t>KPROP-00646</t>
        </is>
      </c>
      <c r="B245" s="3" t="n">
        <v>46134.81988425926</v>
      </c>
      <c r="C245" s="3" t="n">
        <v>46134</v>
      </c>
      <c r="D245" s="2" t="inlineStr">
        <is>
          <t>Matthew Boyd</t>
        </is>
      </c>
      <c r="E245" s="2" t="n">
        <v>112</v>
      </c>
      <c r="F245" s="2" t="n">
        <v>143</v>
      </c>
      <c r="G245" s="2" t="inlineStr">
        <is>
          <t>Home</t>
        </is>
      </c>
      <c r="H245" s="2" t="inlineStr">
        <is>
          <t>betrivers</t>
        </is>
      </c>
      <c r="I245" s="4" t="n"/>
      <c r="J245" s="4" t="n"/>
      <c r="K245" s="4" t="n">
        <v>135</v>
      </c>
      <c r="L245" s="4" t="n">
        <v>135</v>
      </c>
      <c r="M245" s="5" t="n">
        <v>4.5</v>
      </c>
      <c r="N245" s="5" t="n">
        <v>4.651267154235171</v>
      </c>
      <c r="O245" s="5" t="n">
        <v>4.5</v>
      </c>
      <c r="P245" s="5" t="n">
        <v>-0.1512671542351711</v>
      </c>
      <c r="Q245" s="6" t="n">
        <v>0.1835841953229743</v>
      </c>
      <c r="R245" s="6" t="n">
        <v>0.5036528490736061</v>
      </c>
      <c r="S245" s="6" t="n">
        <v>0.4093890776890856</v>
      </c>
      <c r="T245" s="2" t="inlineStr">
        <is>
          <t>Under</t>
        </is>
      </c>
      <c r="U245" s="4" t="n">
        <v>135</v>
      </c>
      <c r="V245" s="2" t="n">
        <v>2.35</v>
      </c>
      <c r="W245" s="4" t="n">
        <v>135</v>
      </c>
      <c r="X245" s="2" t="n">
        <v>1</v>
      </c>
      <c r="Y245" s="5" t="n">
        <v>-1</v>
      </c>
      <c r="Z245" s="7" t="n">
        <v>100</v>
      </c>
      <c r="AA245" s="7">
        <f>Y245*Z245</f>
        <v/>
      </c>
      <c r="AB245" s="6">
        <f>IF(Z245=0,0,AA245/Z245)</f>
        <v/>
      </c>
      <c r="AC245" s="6" t="n"/>
      <c r="AD245" s="2" t="inlineStr">
        <is>
          <t>Loss</t>
        </is>
      </c>
      <c r="AE245" s="6">
        <f>IF((COUNTIF($AD$2:AD245,"Win")+COUNTIF($AD$2:AD245,"Loss"))=0,0,COUNTIF($AD$2:AD245,"Win")/(COUNTIF($AD$2:AD245,"Win")+COUNTIF($AD$2:AD245,"Loss")))</f>
        <v/>
      </c>
      <c r="AF245" s="6">
        <f>SUM($Y$2:Y245)/SUM($X$2:X245)</f>
        <v/>
      </c>
      <c r="AG245" s="5">
        <f>SUM($Y$2:Y245)</f>
        <v/>
      </c>
      <c r="AH245" s="7">
        <f>10000.0+SUM($AA$2:AA245)</f>
        <v/>
      </c>
      <c r="AI245" s="2" t="n">
        <v>2026</v>
      </c>
      <c r="AJ245" s="2" t="inlineStr">
        <is>
          <t>2026-04</t>
        </is>
      </c>
      <c r="AK245" s="2" t="inlineStr">
        <is>
          <t>+121 to +150</t>
        </is>
      </c>
      <c r="AL245" s="2" t="inlineStr">
        <is>
          <t>2026 Frozen Test</t>
        </is>
      </c>
      <c r="AM245" s="6" t="n">
        <v>0.1359882928318328</v>
      </c>
    </row>
    <row r="246">
      <c r="A246" s="2" t="inlineStr">
        <is>
          <t>KPROP-00647</t>
        </is>
      </c>
      <c r="B246" s="3" t="n">
        <v>46134.81988425926</v>
      </c>
      <c r="C246" s="3" t="n">
        <v>46134</v>
      </c>
      <c r="D246" s="2" t="inlineStr">
        <is>
          <t>Matthew Boyd</t>
        </is>
      </c>
      <c r="E246" s="2" t="n">
        <v>112</v>
      </c>
      <c r="F246" s="2" t="n">
        <v>143</v>
      </c>
      <c r="G246" s="2" t="inlineStr">
        <is>
          <t>Home</t>
        </is>
      </c>
      <c r="H246" s="2" t="inlineStr">
        <is>
          <t>betmgm</t>
        </is>
      </c>
      <c r="I246" s="4" t="n"/>
      <c r="J246" s="4" t="n"/>
      <c r="K246" s="4" t="n">
        <v>-150</v>
      </c>
      <c r="L246" s="4" t="n">
        <v>-150</v>
      </c>
      <c r="M246" s="5" t="n">
        <v>5.5</v>
      </c>
      <c r="N246" s="5" t="n">
        <v>4.651267154235171</v>
      </c>
      <c r="O246" s="5" t="n">
        <v>5.5</v>
      </c>
      <c r="P246" s="5" t="n">
        <v>0.8487328457648289</v>
      </c>
      <c r="Q246" s="6" t="n">
        <v>0.1281596308148265</v>
      </c>
      <c r="R246" s="6" t="n">
        <v>0.6768957784888959</v>
      </c>
      <c r="S246" s="6" t="n">
        <v>0.5819397993311037</v>
      </c>
      <c r="T246" s="2" t="inlineStr">
        <is>
          <t>Under</t>
        </is>
      </c>
      <c r="U246" s="4" t="n">
        <v>-150</v>
      </c>
      <c r="V246" s="2" t="n">
        <v>1.666666666666667</v>
      </c>
      <c r="W246" s="4" t="n">
        <v>-150</v>
      </c>
      <c r="X246" s="2" t="n">
        <v>1</v>
      </c>
      <c r="Y246" s="5" t="n">
        <v>0.6666666666666665</v>
      </c>
      <c r="Z246" s="7" t="n">
        <v>100</v>
      </c>
      <c r="AA246" s="7">
        <f>Y246*Z246</f>
        <v/>
      </c>
      <c r="AB246" s="6">
        <f>IF(Z246=0,0,AA246/Z246)</f>
        <v/>
      </c>
      <c r="AC246" s="6" t="n"/>
      <c r="AD246" s="2" t="inlineStr">
        <is>
          <t>Win</t>
        </is>
      </c>
      <c r="AE246" s="6">
        <f>IF((COUNTIF($AD$2:AD246,"Win")+COUNTIF($AD$2:AD246,"Loss"))=0,0,COUNTIF($AD$2:AD246,"Win")/(COUNTIF($AD$2:AD246,"Win")+COUNTIF($AD$2:AD246,"Loss")))</f>
        <v/>
      </c>
      <c r="AF246" s="6">
        <f>SUM($Y$2:Y246)/SUM($X$2:X246)</f>
        <v/>
      </c>
      <c r="AG246" s="5">
        <f>SUM($Y$2:Y246)</f>
        <v/>
      </c>
      <c r="AH246" s="7">
        <f>10000.0+SUM($AA$2:AA246)</f>
        <v/>
      </c>
      <c r="AI246" s="2" t="n">
        <v>2026</v>
      </c>
      <c r="AJ246" s="2" t="inlineStr">
        <is>
          <t>2026-04</t>
        </is>
      </c>
      <c r="AK246" s="2" t="inlineStr">
        <is>
          <t>&lt;= -150</t>
        </is>
      </c>
      <c r="AL246" s="2" t="inlineStr">
        <is>
          <t>2026 Frozen Test</t>
        </is>
      </c>
      <c r="AM246" s="6" t="n">
        <v>0.1922394462222397</v>
      </c>
    </row>
    <row r="247">
      <c r="A247" s="2" t="inlineStr">
        <is>
          <t>KPROP-00648</t>
        </is>
      </c>
      <c r="B247" s="3" t="n">
        <v>46134.54905092593</v>
      </c>
      <c r="C247" s="3" t="n">
        <v>46134</v>
      </c>
      <c r="D247" s="2" t="inlineStr">
        <is>
          <t>Peter Lambert</t>
        </is>
      </c>
      <c r="E247" s="2" t="n">
        <v>117</v>
      </c>
      <c r="F247" s="2" t="n">
        <v>114</v>
      </c>
      <c r="G247" s="2" t="inlineStr">
        <is>
          <t>Away</t>
        </is>
      </c>
      <c r="H247" s="2" t="inlineStr">
        <is>
          <t>draftkings</t>
        </is>
      </c>
      <c r="I247" s="4" t="n"/>
      <c r="J247" s="4" t="n"/>
      <c r="K247" s="4" t="n">
        <v>128</v>
      </c>
      <c r="L247" s="4" t="n">
        <v>128</v>
      </c>
      <c r="M247" s="5" t="n">
        <v>3.5</v>
      </c>
      <c r="N247" s="5" t="n">
        <v>3.630647724800153</v>
      </c>
      <c r="O247" s="5" t="n">
        <v>3.5</v>
      </c>
      <c r="P247" s="5" t="n">
        <v>-0.130647724800153</v>
      </c>
      <c r="Q247" s="6" t="n">
        <v>0.1598844440643007</v>
      </c>
      <c r="R247" s="6" t="n">
        <v>0.5087212473966231</v>
      </c>
      <c r="S247" s="6" t="n">
        <v>0.4161331626120358</v>
      </c>
      <c r="T247" s="2" t="inlineStr">
        <is>
          <t>Under</t>
        </is>
      </c>
      <c r="U247" s="4" t="n">
        <v>128</v>
      </c>
      <c r="V247" s="2" t="n">
        <v>2.28</v>
      </c>
      <c r="W247" s="4" t="n">
        <v>128</v>
      </c>
      <c r="X247" s="2" t="n">
        <v>1</v>
      </c>
      <c r="Y247" s="5" t="n">
        <v>-1</v>
      </c>
      <c r="Z247" s="7" t="n">
        <v>100</v>
      </c>
      <c r="AA247" s="7">
        <f>Y247*Z247</f>
        <v/>
      </c>
      <c r="AB247" s="6">
        <f>IF(Z247=0,0,AA247/Z247)</f>
        <v/>
      </c>
      <c r="AC247" s="6" t="n"/>
      <c r="AD247" s="2" t="inlineStr">
        <is>
          <t>Loss</t>
        </is>
      </c>
      <c r="AE247" s="6">
        <f>IF((COUNTIF($AD$2:AD247,"Win")+COUNTIF($AD$2:AD247,"Loss"))=0,0,COUNTIF($AD$2:AD247,"Win")/(COUNTIF($AD$2:AD247,"Win")+COUNTIF($AD$2:AD247,"Loss")))</f>
        <v/>
      </c>
      <c r="AF247" s="6">
        <f>SUM($Y$2:Y247)/SUM($X$2:X247)</f>
        <v/>
      </c>
      <c r="AG247" s="5">
        <f>SUM($Y$2:Y247)</f>
        <v/>
      </c>
      <c r="AH247" s="7">
        <f>10000.0+SUM($AA$2:AA247)</f>
        <v/>
      </c>
      <c r="AI247" s="2" t="n">
        <v>2026</v>
      </c>
      <c r="AJ247" s="2" t="inlineStr">
        <is>
          <t>2026-04</t>
        </is>
      </c>
      <c r="AK247" s="2" t="inlineStr">
        <is>
          <t>+121 to +150</t>
        </is>
      </c>
      <c r="AL247" s="2" t="inlineStr">
        <is>
          <t>2026 Frozen Test</t>
        </is>
      </c>
      <c r="AM247" s="6" t="n">
        <v>0.1249097219252349</v>
      </c>
    </row>
    <row r="248">
      <c r="A248" s="2" t="inlineStr">
        <is>
          <t>KPROP-00649</t>
        </is>
      </c>
      <c r="B248" s="3" t="n">
        <v>46134.54905092593</v>
      </c>
      <c r="C248" s="3" t="n">
        <v>46134</v>
      </c>
      <c r="D248" s="2" t="inlineStr">
        <is>
          <t>Peter Lambert</t>
        </is>
      </c>
      <c r="E248" s="2" t="n">
        <v>117</v>
      </c>
      <c r="F248" s="2" t="n">
        <v>114</v>
      </c>
      <c r="G248" s="2" t="inlineStr">
        <is>
          <t>Away</t>
        </is>
      </c>
      <c r="H248" s="2" t="inlineStr">
        <is>
          <t>fanduel</t>
        </is>
      </c>
      <c r="I248" s="4" t="n"/>
      <c r="J248" s="4" t="n"/>
      <c r="K248" s="4" t="n">
        <v>-158</v>
      </c>
      <c r="L248" s="4" t="n">
        <v>-158</v>
      </c>
      <c r="M248" s="5" t="n">
        <v>4.5</v>
      </c>
      <c r="N248" s="5" t="n">
        <v>3.630647724800153</v>
      </c>
      <c r="O248" s="5" t="n">
        <v>4.5</v>
      </c>
      <c r="P248" s="5" t="n">
        <v>0.869352275199847</v>
      </c>
      <c r="Q248" s="6" t="n">
        <v>0.1439658160215562</v>
      </c>
      <c r="R248" s="6" t="n">
        <v>0.7005682129124259</v>
      </c>
      <c r="S248" s="6" t="n">
        <v>0.5900206578738281</v>
      </c>
      <c r="T248" s="2" t="inlineStr">
        <is>
          <t>Under</t>
        </is>
      </c>
      <c r="U248" s="4" t="n">
        <v>-158</v>
      </c>
      <c r="V248" s="2" t="n">
        <v>1.632911392405063</v>
      </c>
      <c r="W248" s="4" t="n">
        <v>-158</v>
      </c>
      <c r="X248" s="2" t="n">
        <v>1</v>
      </c>
      <c r="Y248" s="5" t="n">
        <v>-1</v>
      </c>
      <c r="Z248" s="7" t="n">
        <v>100</v>
      </c>
      <c r="AA248" s="7">
        <f>Y248*Z248</f>
        <v/>
      </c>
      <c r="AB248" s="6">
        <f>IF(Z248=0,0,AA248/Z248)</f>
        <v/>
      </c>
      <c r="AC248" s="6" t="n"/>
      <c r="AD248" s="2" t="inlineStr">
        <is>
          <t>Loss</t>
        </is>
      </c>
      <c r="AE248" s="6">
        <f>IF((COUNTIF($AD$2:AD248,"Win")+COUNTIF($AD$2:AD248,"Loss"))=0,0,COUNTIF($AD$2:AD248,"Win")/(COUNTIF($AD$2:AD248,"Win")+COUNTIF($AD$2:AD248,"Loss")))</f>
        <v/>
      </c>
      <c r="AF248" s="6">
        <f>SUM($Y$2:Y248)/SUM($X$2:X248)</f>
        <v/>
      </c>
      <c r="AG248" s="5">
        <f>SUM($Y$2:Y248)</f>
        <v/>
      </c>
      <c r="AH248" s="7">
        <f>10000.0+SUM($AA$2:AA248)</f>
        <v/>
      </c>
      <c r="AI248" s="2" t="n">
        <v>2026</v>
      </c>
      <c r="AJ248" s="2" t="inlineStr">
        <is>
          <t>2026-04</t>
        </is>
      </c>
      <c r="AK248" s="2" t="inlineStr">
        <is>
          <t>&lt;= -150</t>
        </is>
      </c>
      <c r="AL248" s="2" t="inlineStr">
        <is>
          <t>2026 Frozen Test</t>
        </is>
      </c>
      <c r="AM248" s="6" t="n">
        <v>0.2274659893140588</v>
      </c>
    </row>
    <row r="249">
      <c r="A249" s="2" t="inlineStr">
        <is>
          <t>KPROP-00650</t>
        </is>
      </c>
      <c r="B249" s="3" t="n">
        <v>46134.78168981482</v>
      </c>
      <c r="C249" s="3" t="n">
        <v>46134</v>
      </c>
      <c r="D249" s="2" t="inlineStr">
        <is>
          <t>Ranger Suarez</t>
        </is>
      </c>
      <c r="E249" s="2" t="n">
        <v>111</v>
      </c>
      <c r="F249" s="2" t="n">
        <v>147</v>
      </c>
      <c r="G249" s="2" t="inlineStr">
        <is>
          <t>Home</t>
        </is>
      </c>
      <c r="H249" s="2" t="inlineStr">
        <is>
          <t>betrivers</t>
        </is>
      </c>
      <c r="I249" s="4" t="n"/>
      <c r="J249" s="4" t="n"/>
      <c r="K249" s="4" t="n">
        <v>132</v>
      </c>
      <c r="L249" s="4" t="n">
        <v>132</v>
      </c>
      <c r="M249" s="5" t="n">
        <v>4.5</v>
      </c>
      <c r="N249" s="5" t="n">
        <v>4.613032692499726</v>
      </c>
      <c r="O249" s="5" t="n">
        <v>4.5</v>
      </c>
      <c r="P249" s="5" t="n">
        <v>-0.1130326924997265</v>
      </c>
      <c r="Q249" s="6" t="n">
        <v>0.1850376693827724</v>
      </c>
      <c r="R249" s="6" t="n">
        <v>0.5107920988718846</v>
      </c>
      <c r="S249" s="6" t="n">
        <v>0.4028270606712814</v>
      </c>
      <c r="T249" s="2" t="inlineStr">
        <is>
          <t>Under</t>
        </is>
      </c>
      <c r="U249" s="4" t="n">
        <v>132</v>
      </c>
      <c r="V249" s="2" t="n">
        <v>2.32</v>
      </c>
      <c r="W249" s="4" t="n">
        <v>132</v>
      </c>
      <c r="X249" s="2" t="n">
        <v>1</v>
      </c>
      <c r="Y249" s="5" t="n">
        <v>1.32</v>
      </c>
      <c r="Z249" s="7" t="n">
        <v>100</v>
      </c>
      <c r="AA249" s="7">
        <f>Y249*Z249</f>
        <v/>
      </c>
      <c r="AB249" s="6">
        <f>IF(Z249=0,0,AA249/Z249)</f>
        <v/>
      </c>
      <c r="AC249" s="6" t="n"/>
      <c r="AD249" s="2" t="inlineStr">
        <is>
          <t>Win</t>
        </is>
      </c>
      <c r="AE249" s="6">
        <f>IF((COUNTIF($AD$2:AD249,"Win")+COUNTIF($AD$2:AD249,"Loss"))=0,0,COUNTIF($AD$2:AD249,"Win")/(COUNTIF($AD$2:AD249,"Win")+COUNTIF($AD$2:AD249,"Loss")))</f>
        <v/>
      </c>
      <c r="AF249" s="6">
        <f>SUM($Y$2:Y249)/SUM($X$2:X249)</f>
        <v/>
      </c>
      <c r="AG249" s="5">
        <f>SUM($Y$2:Y249)</f>
        <v/>
      </c>
      <c r="AH249" s="7">
        <f>10000.0+SUM($AA$2:AA249)</f>
        <v/>
      </c>
      <c r="AI249" s="2" t="n">
        <v>2026</v>
      </c>
      <c r="AJ249" s="2" t="inlineStr">
        <is>
          <t>2026-04</t>
        </is>
      </c>
      <c r="AK249" s="2" t="inlineStr">
        <is>
          <t>+121 to +150</t>
        </is>
      </c>
      <c r="AL249" s="2" t="inlineStr">
        <is>
          <t>2026 Frozen Test</t>
        </is>
      </c>
      <c r="AM249" s="6" t="n">
        <v>0.1401800525627064</v>
      </c>
    </row>
    <row r="250">
      <c r="A250" s="2" t="inlineStr">
        <is>
          <t>KPROP-00651</t>
        </is>
      </c>
      <c r="B250" s="3" t="n">
        <v>46134.78168981482</v>
      </c>
      <c r="C250" s="3" t="n">
        <v>46134</v>
      </c>
      <c r="D250" s="2" t="inlineStr">
        <is>
          <t>Ranger Suarez</t>
        </is>
      </c>
      <c r="E250" s="2" t="n">
        <v>111</v>
      </c>
      <c r="F250" s="2" t="n">
        <v>147</v>
      </c>
      <c r="G250" s="2" t="inlineStr">
        <is>
          <t>Home</t>
        </is>
      </c>
      <c r="H250" s="2" t="inlineStr">
        <is>
          <t>betrivers</t>
        </is>
      </c>
      <c r="I250" s="4" t="n"/>
      <c r="J250" s="4" t="n"/>
      <c r="K250" s="4" t="n">
        <v>-159</v>
      </c>
      <c r="L250" s="4" t="n">
        <v>-159</v>
      </c>
      <c r="M250" s="5" t="n">
        <v>5.5</v>
      </c>
      <c r="N250" s="5" t="n">
        <v>4.613032692499726</v>
      </c>
      <c r="O250" s="5" t="n">
        <v>5.5</v>
      </c>
      <c r="P250" s="5" t="n">
        <v>0.8869673075002735</v>
      </c>
      <c r="Q250" s="6" t="n">
        <v>0.1133901282178493</v>
      </c>
      <c r="R250" s="6" t="n">
        <v>0.6835097698325794</v>
      </c>
      <c r="S250" s="6" t="n">
        <v>0.5854009924763887</v>
      </c>
      <c r="T250" s="2" t="inlineStr">
        <is>
          <t>Under</t>
        </is>
      </c>
      <c r="U250" s="4" t="n">
        <v>-159</v>
      </c>
      <c r="V250" s="2" t="n">
        <v>1.628930817610063</v>
      </c>
      <c r="W250" s="4" t="n">
        <v>-159</v>
      </c>
      <c r="X250" s="2" t="n">
        <v>1</v>
      </c>
      <c r="Y250" s="5" t="n">
        <v>0.6289308176100628</v>
      </c>
      <c r="Z250" s="7" t="n">
        <v>100</v>
      </c>
      <c r="AA250" s="7">
        <f>Y250*Z250</f>
        <v/>
      </c>
      <c r="AB250" s="6">
        <f>IF(Z250=0,0,AA250/Z250)</f>
        <v/>
      </c>
      <c r="AC250" s="6" t="n"/>
      <c r="AD250" s="2" t="inlineStr">
        <is>
          <t>Win</t>
        </is>
      </c>
      <c r="AE250" s="6">
        <f>IF((COUNTIF($AD$2:AD250,"Win")+COUNTIF($AD$2:AD250,"Loss"))=0,0,COUNTIF($AD$2:AD250,"Win")/(COUNTIF($AD$2:AD250,"Win")+COUNTIF($AD$2:AD250,"Loss")))</f>
        <v/>
      </c>
      <c r="AF250" s="6">
        <f>SUM($Y$2:Y250)/SUM($X$2:X250)</f>
        <v/>
      </c>
      <c r="AG250" s="5">
        <f>SUM($Y$2:Y250)</f>
        <v/>
      </c>
      <c r="AH250" s="7">
        <f>10000.0+SUM($AA$2:AA250)</f>
        <v/>
      </c>
      <c r="AI250" s="2" t="n">
        <v>2026</v>
      </c>
      <c r="AJ250" s="2" t="inlineStr">
        <is>
          <t>2026-04</t>
        </is>
      </c>
      <c r="AK250" s="2" t="inlineStr">
        <is>
          <t>&lt;= -150</t>
        </is>
      </c>
      <c r="AL250" s="2" t="inlineStr">
        <is>
          <t>2026 Frozen Test</t>
        </is>
      </c>
      <c r="AM250" s="6" t="n">
        <v>0.1802903038663805</v>
      </c>
    </row>
    <row r="251">
      <c r="A251" s="2" t="inlineStr">
        <is>
          <t>KPROP-00652</t>
        </is>
      </c>
      <c r="B251" s="3" t="n">
        <v>46135.79905092593</v>
      </c>
      <c r="C251" s="3" t="n">
        <v>46135</v>
      </c>
      <c r="D251" s="2" t="inlineStr">
        <is>
          <t>Joe Ryan</t>
        </is>
      </c>
      <c r="E251" s="2" t="n">
        <v>142</v>
      </c>
      <c r="F251" s="2" t="n">
        <v>121</v>
      </c>
      <c r="G251" s="2" t="inlineStr">
        <is>
          <t>Away</t>
        </is>
      </c>
      <c r="H251" s="2" t="inlineStr">
        <is>
          <t>betrivers</t>
        </is>
      </c>
      <c r="I251" s="4" t="n"/>
      <c r="J251" s="4" t="n"/>
      <c r="K251" s="4" t="n">
        <v>125</v>
      </c>
      <c r="L251" s="4" t="n">
        <v>125</v>
      </c>
      <c r="M251" s="5" t="n">
        <v>5.5</v>
      </c>
      <c r="N251" s="5" t="n">
        <v>5.809102809147594</v>
      </c>
      <c r="O251" s="5" t="n">
        <v>5.5</v>
      </c>
      <c r="P251" s="5" t="n">
        <v>-0.3091028091475945</v>
      </c>
      <c r="Q251" s="6" t="n">
        <v>0.07281854969169765</v>
      </c>
      <c r="R251" s="6" t="n">
        <v>0.4768082443074212</v>
      </c>
      <c r="S251" s="6" t="n">
        <v>0.4281984334203655</v>
      </c>
      <c r="T251" s="2" t="inlineStr">
        <is>
          <t>Under</t>
        </is>
      </c>
      <c r="U251" s="4" t="n">
        <v>125</v>
      </c>
      <c r="V251" s="2" t="n">
        <v>2.25</v>
      </c>
      <c r="W251" s="4" t="n">
        <v>125</v>
      </c>
      <c r="X251" s="2" t="n">
        <v>1</v>
      </c>
      <c r="Y251" s="5" t="n">
        <v>1.25</v>
      </c>
      <c r="Z251" s="7" t="n">
        <v>100</v>
      </c>
      <c r="AA251" s="7">
        <f>Y251*Z251</f>
        <v/>
      </c>
      <c r="AB251" s="6">
        <f>IF(Z251=0,0,AA251/Z251)</f>
        <v/>
      </c>
      <c r="AC251" s="6" t="n"/>
      <c r="AD251" s="2" t="inlineStr">
        <is>
          <t>Win</t>
        </is>
      </c>
      <c r="AE251" s="6">
        <f>IF((COUNTIF($AD$2:AD251,"Win")+COUNTIF($AD$2:AD251,"Loss"))=0,0,COUNTIF($AD$2:AD251,"Win")/(COUNTIF($AD$2:AD251,"Win")+COUNTIF($AD$2:AD251,"Loss")))</f>
        <v/>
      </c>
      <c r="AF251" s="6">
        <f>SUM($Y$2:Y251)/SUM($X$2:X251)</f>
        <v/>
      </c>
      <c r="AG251" s="5">
        <f>SUM($Y$2:Y251)</f>
        <v/>
      </c>
      <c r="AH251" s="7">
        <f>10000.0+SUM($AA$2:AA251)</f>
        <v/>
      </c>
      <c r="AI251" s="2" t="n">
        <v>2026</v>
      </c>
      <c r="AJ251" s="2" t="inlineStr">
        <is>
          <t>2026-04</t>
        </is>
      </c>
      <c r="AK251" s="2" t="inlineStr">
        <is>
          <t>+121 to +150</t>
        </is>
      </c>
      <c r="AL251" s="2" t="inlineStr">
        <is>
          <t>2026 Frozen Test</t>
        </is>
      </c>
      <c r="AM251" s="6" t="n">
        <v>0.05825483975335812</v>
      </c>
    </row>
    <row r="252">
      <c r="A252" s="2" t="inlineStr">
        <is>
          <t>KPROP-00653</t>
        </is>
      </c>
      <c r="B252" s="3" t="n">
        <v>46135.65668981482</v>
      </c>
      <c r="C252" s="3" t="n">
        <v>46135</v>
      </c>
      <c r="D252" s="2" t="inlineStr">
        <is>
          <t>Logan Webb</t>
        </is>
      </c>
      <c r="E252" s="2" t="n">
        <v>137</v>
      </c>
      <c r="F252" s="2" t="n">
        <v>119</v>
      </c>
      <c r="G252" s="2" t="inlineStr">
        <is>
          <t>Home</t>
        </is>
      </c>
      <c r="H252" s="2" t="inlineStr">
        <is>
          <t>betonlineag</t>
        </is>
      </c>
      <c r="I252" s="4" t="n"/>
      <c r="J252" s="4" t="n"/>
      <c r="K252" s="4" t="n">
        <v>118</v>
      </c>
      <c r="L252" s="4" t="n">
        <v>118</v>
      </c>
      <c r="M252" s="5" t="n">
        <v>5.5</v>
      </c>
      <c r="N252" s="5" t="n">
        <v>5.528982023113532</v>
      </c>
      <c r="O252" s="5" t="n">
        <v>5.5</v>
      </c>
      <c r="P252" s="5" t="n">
        <v>-0.02898202311353248</v>
      </c>
      <c r="Q252" s="6" t="n">
        <v>0.1422280054585612</v>
      </c>
      <c r="R252" s="6" t="n">
        <v>0.5239578006690648</v>
      </c>
      <c r="S252" s="6" t="n">
        <v>0.4549553242069022</v>
      </c>
      <c r="T252" s="2" t="inlineStr">
        <is>
          <t>Under</t>
        </is>
      </c>
      <c r="U252" s="4" t="n">
        <v>118</v>
      </c>
      <c r="V252" s="2" t="n">
        <v>2.18</v>
      </c>
      <c r="W252" s="4" t="n">
        <v>118</v>
      </c>
      <c r="X252" s="2" t="n">
        <v>1</v>
      </c>
      <c r="Y252" s="5" t="n">
        <v>1.18</v>
      </c>
      <c r="Z252" s="7" t="n">
        <v>100</v>
      </c>
      <c r="AA252" s="7">
        <f>Y252*Z252</f>
        <v/>
      </c>
      <c r="AB252" s="6">
        <f>IF(Z252=0,0,AA252/Z252)</f>
        <v/>
      </c>
      <c r="AC252" s="6" t="n"/>
      <c r="AD252" s="2" t="inlineStr">
        <is>
          <t>Win</t>
        </is>
      </c>
      <c r="AE252" s="6">
        <f>IF((COUNTIF($AD$2:AD252,"Win")+COUNTIF($AD$2:AD252,"Loss"))=0,0,COUNTIF($AD$2:AD252,"Win")/(COUNTIF($AD$2:AD252,"Win")+COUNTIF($AD$2:AD252,"Loss")))</f>
        <v/>
      </c>
      <c r="AF252" s="6">
        <f>SUM($Y$2:Y252)/SUM($X$2:X252)</f>
        <v/>
      </c>
      <c r="AG252" s="5">
        <f>SUM($Y$2:Y252)</f>
        <v/>
      </c>
      <c r="AH252" s="7">
        <f>10000.0+SUM($AA$2:AA252)</f>
        <v/>
      </c>
      <c r="AI252" s="2" t="n">
        <v>2026</v>
      </c>
      <c r="AJ252" s="2" t="inlineStr">
        <is>
          <t>2026-04</t>
        </is>
      </c>
      <c r="AK252" s="2" t="inlineStr">
        <is>
          <t>+100 to +120</t>
        </is>
      </c>
      <c r="AL252" s="2" t="inlineStr">
        <is>
          <t>2026 Frozen Test</t>
        </is>
      </c>
      <c r="AM252" s="6" t="n">
        <v>0.1205322080157298</v>
      </c>
    </row>
    <row r="253">
      <c r="A253" s="2" t="inlineStr">
        <is>
          <t>KPROP-00654</t>
        </is>
      </c>
      <c r="B253" s="3" t="n">
        <v>46135.65321759259</v>
      </c>
      <c r="C253" s="3" t="n">
        <v>46135</v>
      </c>
      <c r="D253" s="2" t="inlineStr">
        <is>
          <t>Michael Soroka</t>
        </is>
      </c>
      <c r="E253" s="2" t="n">
        <v>109</v>
      </c>
      <c r="F253" s="2" t="n">
        <v>145</v>
      </c>
      <c r="G253" s="2" t="inlineStr">
        <is>
          <t>Home</t>
        </is>
      </c>
      <c r="H253" s="2" t="inlineStr">
        <is>
          <t>draftkings</t>
        </is>
      </c>
      <c r="I253" s="4" t="n"/>
      <c r="J253" s="4" t="n"/>
      <c r="K253" s="4" t="n">
        <v>103</v>
      </c>
      <c r="L253" s="4" t="n">
        <v>103</v>
      </c>
      <c r="M253" s="5" t="n">
        <v>5.5</v>
      </c>
      <c r="N253" s="5" t="n">
        <v>5.364317239892636</v>
      </c>
      <c r="O253" s="5" t="n">
        <v>5.5</v>
      </c>
      <c r="P253" s="5" t="n">
        <v>0.1356827601073638</v>
      </c>
      <c r="Q253" s="6" t="n">
        <v>0.1211827593501694</v>
      </c>
      <c r="R253" s="6" t="n">
        <v>0.5523067780050095</v>
      </c>
      <c r="S253" s="6" t="n">
        <v>0.4745470232959448</v>
      </c>
      <c r="T253" s="2" t="inlineStr">
        <is>
          <t>Under</t>
        </is>
      </c>
      <c r="U253" s="4" t="n">
        <v>103</v>
      </c>
      <c r="V253" s="2" t="n">
        <v>2.03</v>
      </c>
      <c r="W253" s="4" t="n">
        <v>103</v>
      </c>
      <c r="X253" s="2" t="n">
        <v>1</v>
      </c>
      <c r="Y253" s="5" t="n">
        <v>-1</v>
      </c>
      <c r="Z253" s="7" t="n">
        <v>100</v>
      </c>
      <c r="AA253" s="7">
        <f>Y253*Z253</f>
        <v/>
      </c>
      <c r="AB253" s="6">
        <f>IF(Z253=0,0,AA253/Z253)</f>
        <v/>
      </c>
      <c r="AC253" s="6" t="n"/>
      <c r="AD253" s="2" t="inlineStr">
        <is>
          <t>Loss</t>
        </is>
      </c>
      <c r="AE253" s="6">
        <f>IF((COUNTIF($AD$2:AD253,"Win")+COUNTIF($AD$2:AD253,"Loss"))=0,0,COUNTIF($AD$2:AD253,"Win")/(COUNTIF($AD$2:AD253,"Win")+COUNTIF($AD$2:AD253,"Loss")))</f>
        <v/>
      </c>
      <c r="AF253" s="6">
        <f>SUM($Y$2:Y253)/SUM($X$2:X253)</f>
        <v/>
      </c>
      <c r="AG253" s="5">
        <f>SUM($Y$2:Y253)</f>
        <v/>
      </c>
      <c r="AH253" s="7">
        <f>10000.0+SUM($AA$2:AA253)</f>
        <v/>
      </c>
      <c r="AI253" s="2" t="n">
        <v>2026</v>
      </c>
      <c r="AJ253" s="2" t="inlineStr">
        <is>
          <t>2026-04</t>
        </is>
      </c>
      <c r="AK253" s="2" t="inlineStr">
        <is>
          <t>+100 to +120</t>
        </is>
      </c>
      <c r="AL253" s="2" t="inlineStr">
        <is>
          <t>2026 Frozen Test</t>
        </is>
      </c>
      <c r="AM253" s="6" t="n">
        <v>0.1176531644176402</v>
      </c>
    </row>
    <row r="254">
      <c r="A254" s="2" t="inlineStr">
        <is>
          <t>KPROP-00655</t>
        </is>
      </c>
      <c r="B254" s="3" t="n">
        <v>46135.54903935185</v>
      </c>
      <c r="C254" s="3" t="n">
        <v>46135</v>
      </c>
      <c r="D254" s="2" t="inlineStr">
        <is>
          <t>Tarik Skubal</t>
        </is>
      </c>
      <c r="E254" s="2" t="n">
        <v>116</v>
      </c>
      <c r="F254" s="2" t="n">
        <v>158</v>
      </c>
      <c r="G254" s="2" t="inlineStr">
        <is>
          <t>Home</t>
        </is>
      </c>
      <c r="H254" s="2" t="inlineStr">
        <is>
          <t>betrivers</t>
        </is>
      </c>
      <c r="I254" s="4" t="n"/>
      <c r="J254" s="4" t="n"/>
      <c r="K254" s="4" t="n">
        <v>148</v>
      </c>
      <c r="L254" s="4" t="n">
        <v>148</v>
      </c>
      <c r="M254" s="5" t="n">
        <v>6.5</v>
      </c>
      <c r="N254" s="5" t="n">
        <v>6.485738061076645</v>
      </c>
      <c r="O254" s="5" t="n">
        <v>6.5</v>
      </c>
      <c r="P254" s="5" t="n">
        <v>0.01426193892335537</v>
      </c>
      <c r="Q254" s="6" t="n">
        <v>0.3113517234026749</v>
      </c>
      <c r="R254" s="6" t="n">
        <v>0.528770856210756</v>
      </c>
      <c r="S254" s="6" t="n">
        <v>0.3988113856740694</v>
      </c>
      <c r="T254" s="2" t="inlineStr">
        <is>
          <t>Under</t>
        </is>
      </c>
      <c r="U254" s="4" t="n">
        <v>148</v>
      </c>
      <c r="V254" s="2" t="n">
        <v>2.48</v>
      </c>
      <c r="W254" s="4" t="n">
        <v>148</v>
      </c>
      <c r="X254" s="2" t="n">
        <v>1</v>
      </c>
      <c r="Y254" s="5" t="n">
        <v>1.48</v>
      </c>
      <c r="Z254" s="7" t="n">
        <v>100</v>
      </c>
      <c r="AA254" s="7">
        <f>Y254*Z254</f>
        <v/>
      </c>
      <c r="AB254" s="6">
        <f>IF(Z254=0,0,AA254/Z254)</f>
        <v/>
      </c>
      <c r="AC254" s="6" t="n"/>
      <c r="AD254" s="2" t="inlineStr">
        <is>
          <t>Win</t>
        </is>
      </c>
      <c r="AE254" s="6">
        <f>IF((COUNTIF($AD$2:AD254,"Win")+COUNTIF($AD$2:AD254,"Loss"))=0,0,COUNTIF($AD$2:AD254,"Win")/(COUNTIF($AD$2:AD254,"Win")+COUNTIF($AD$2:AD254,"Loss")))</f>
        <v/>
      </c>
      <c r="AF254" s="6">
        <f>SUM($Y$2:Y254)/SUM($X$2:X254)</f>
        <v/>
      </c>
      <c r="AG254" s="5">
        <f>SUM($Y$2:Y254)</f>
        <v/>
      </c>
      <c r="AH254" s="7">
        <f>10000.0+SUM($AA$2:AA254)</f>
        <v/>
      </c>
      <c r="AI254" s="2" t="n">
        <v>2026</v>
      </c>
      <c r="AJ254" s="2" t="inlineStr">
        <is>
          <t>2026-04</t>
        </is>
      </c>
      <c r="AK254" s="2" t="inlineStr">
        <is>
          <t>+121 to +150</t>
        </is>
      </c>
      <c r="AL254" s="2" t="inlineStr">
        <is>
          <t>2026 Frozen Test</t>
        </is>
      </c>
      <c r="AM254" s="6" t="n">
        <v>0.2103727860828885</v>
      </c>
    </row>
    <row r="255">
      <c r="A255" s="2" t="inlineStr">
        <is>
          <t>KPROP-00656</t>
        </is>
      </c>
      <c r="B255" s="3" t="n">
        <v>46135.54903935185</v>
      </c>
      <c r="C255" s="3" t="n">
        <v>46135</v>
      </c>
      <c r="D255" s="2" t="inlineStr">
        <is>
          <t>Tarik Skubal</t>
        </is>
      </c>
      <c r="E255" s="2" t="n">
        <v>116</v>
      </c>
      <c r="F255" s="2" t="n">
        <v>158</v>
      </c>
      <c r="G255" s="2" t="inlineStr">
        <is>
          <t>Home</t>
        </is>
      </c>
      <c r="H255" s="2" t="inlineStr">
        <is>
          <t>betrivers</t>
        </is>
      </c>
      <c r="I255" s="4" t="n"/>
      <c r="J255" s="4" t="n"/>
      <c r="K255" s="4" t="n">
        <v>-137</v>
      </c>
      <c r="L255" s="4" t="n">
        <v>-137</v>
      </c>
      <c r="M255" s="5" t="n">
        <v>7.5</v>
      </c>
      <c r="N255" s="5" t="n">
        <v>6.485738061076645</v>
      </c>
      <c r="O255" s="5" t="n">
        <v>7.5</v>
      </c>
      <c r="P255" s="5" t="n">
        <v>1.014261938923355</v>
      </c>
      <c r="Q255" s="6" t="n">
        <v>0.167427760313587</v>
      </c>
      <c r="R255" s="6" t="n">
        <v>0.6748422074386558</v>
      </c>
      <c r="S255" s="6" t="n">
        <v>0.5685889034512888</v>
      </c>
      <c r="T255" s="2" t="inlineStr">
        <is>
          <t>Under</t>
        </is>
      </c>
      <c r="U255" s="4" t="n">
        <v>-137</v>
      </c>
      <c r="V255" s="2" t="n">
        <v>1.72992700729927</v>
      </c>
      <c r="W255" s="4" t="n">
        <v>-137</v>
      </c>
      <c r="X255" s="2" t="n">
        <v>1</v>
      </c>
      <c r="Y255" s="5" t="n">
        <v>0.7299270072992701</v>
      </c>
      <c r="Z255" s="7" t="n">
        <v>100</v>
      </c>
      <c r="AA255" s="7">
        <f>Y255*Z255</f>
        <v/>
      </c>
      <c r="AB255" s="6">
        <f>IF(Z255=0,0,AA255/Z255)</f>
        <v/>
      </c>
      <c r="AC255" s="6" t="n"/>
      <c r="AD255" s="2" t="inlineStr">
        <is>
          <t>Win</t>
        </is>
      </c>
      <c r="AE255" s="6">
        <f>IF((COUNTIF($AD$2:AD255,"Win")+COUNTIF($AD$2:AD255,"Loss"))=0,0,COUNTIF($AD$2:AD255,"Win")/(COUNTIF($AD$2:AD255,"Win")+COUNTIF($AD$2:AD255,"Loss")))</f>
        <v/>
      </c>
      <c r="AF255" s="6">
        <f>SUM($Y$2:Y255)/SUM($X$2:X255)</f>
        <v/>
      </c>
      <c r="AG255" s="5">
        <f>SUM($Y$2:Y255)</f>
        <v/>
      </c>
      <c r="AH255" s="7">
        <f>10000.0+SUM($AA$2:AA255)</f>
        <v/>
      </c>
      <c r="AI255" s="2" t="n">
        <v>2026</v>
      </c>
      <c r="AJ255" s="2" t="inlineStr">
        <is>
          <t>2026-04</t>
        </is>
      </c>
      <c r="AK255" s="2" t="inlineStr">
        <is>
          <t>-149 to -120</t>
        </is>
      </c>
      <c r="AL255" s="2" t="inlineStr">
        <is>
          <t>2026 Frozen Test</t>
        </is>
      </c>
      <c r="AM255" s="6" t="n">
        <v>0.2293760316296141</v>
      </c>
    </row>
    <row r="256">
      <c r="A256" s="2" t="inlineStr">
        <is>
          <t>KPROP-00657</t>
        </is>
      </c>
      <c r="B256" s="3" t="n">
        <v>46135.65668981482</v>
      </c>
      <c r="C256" s="3" t="n">
        <v>46135</v>
      </c>
      <c r="D256" s="2" t="inlineStr">
        <is>
          <t>Tyler Glasnow</t>
        </is>
      </c>
      <c r="E256" s="2" t="n">
        <v>119</v>
      </c>
      <c r="F256" s="2" t="n">
        <v>137</v>
      </c>
      <c r="G256" s="2" t="inlineStr">
        <is>
          <t>Away</t>
        </is>
      </c>
      <c r="H256" s="2" t="inlineStr">
        <is>
          <t>betmgm</t>
        </is>
      </c>
      <c r="I256" s="4" t="n"/>
      <c r="J256" s="4" t="n"/>
      <c r="K256" s="4" t="n">
        <v>-140</v>
      </c>
      <c r="L256" s="4" t="n">
        <v>-140</v>
      </c>
      <c r="M256" s="5" t="n">
        <v>6.5</v>
      </c>
      <c r="N256" s="5" t="n">
        <v>5.634757650180573</v>
      </c>
      <c r="O256" s="5" t="n">
        <v>6.5</v>
      </c>
      <c r="P256" s="5" t="n">
        <v>0.865242349819427</v>
      </c>
      <c r="Q256" s="6" t="n">
        <v>0.1395640010426072</v>
      </c>
      <c r="R256" s="6" t="n">
        <v>0.6647456672748542</v>
      </c>
      <c r="S256" s="6" t="n">
        <v>0.5750708215297451</v>
      </c>
      <c r="T256" s="2" t="inlineStr">
        <is>
          <t>Under</t>
        </is>
      </c>
      <c r="U256" s="4" t="n">
        <v>-140</v>
      </c>
      <c r="V256" s="2" t="n">
        <v>1.714285714285714</v>
      </c>
      <c r="W256" s="4" t="n">
        <v>-140</v>
      </c>
      <c r="X256" s="2" t="n">
        <v>1</v>
      </c>
      <c r="Y256" s="5" t="n">
        <v>-1</v>
      </c>
      <c r="Z256" s="7" t="n">
        <v>100</v>
      </c>
      <c r="AA256" s="7">
        <f>Y256*Z256</f>
        <v/>
      </c>
      <c r="AB256" s="6">
        <f>IF(Z256=0,0,AA256/Z256)</f>
        <v/>
      </c>
      <c r="AC256" s="6" t="n"/>
      <c r="AD256" s="2" t="inlineStr">
        <is>
          <t>Loss</t>
        </is>
      </c>
      <c r="AE256" s="6">
        <f>IF((COUNTIF($AD$2:AD256,"Win")+COUNTIF($AD$2:AD256,"Loss"))=0,0,COUNTIF($AD$2:AD256,"Win")/(COUNTIF($AD$2:AD256,"Win")+COUNTIF($AD$2:AD256,"Loss")))</f>
        <v/>
      </c>
      <c r="AF256" s="6">
        <f>SUM($Y$2:Y256)/SUM($X$2:X256)</f>
        <v/>
      </c>
      <c r="AG256" s="5">
        <f>SUM($Y$2:Y256)</f>
        <v/>
      </c>
      <c r="AH256" s="7">
        <f>10000.0+SUM($AA$2:AA256)</f>
        <v/>
      </c>
      <c r="AI256" s="2" t="n">
        <v>2026</v>
      </c>
      <c r="AJ256" s="2" t="inlineStr">
        <is>
          <t>2026-04</t>
        </is>
      </c>
      <c r="AK256" s="2" t="inlineStr">
        <is>
          <t>-149 to -120</t>
        </is>
      </c>
      <c r="AL256" s="2" t="inlineStr">
        <is>
          <t>2026 Frozen Test</t>
        </is>
      </c>
      <c r="AM256" s="6" t="n">
        <v>0.1953896014596501</v>
      </c>
    </row>
    <row r="257">
      <c r="A257" s="2" t="inlineStr">
        <is>
          <t>KPROP-00658</t>
        </is>
      </c>
      <c r="B257" s="3" t="n">
        <v>46136.79905092593</v>
      </c>
      <c r="C257" s="3" t="n">
        <v>46136</v>
      </c>
      <c r="D257" s="2" t="inlineStr">
        <is>
          <t>Freddy Peralta</t>
        </is>
      </c>
      <c r="E257" s="2" t="n">
        <v>121</v>
      </c>
      <c r="F257" s="2" t="n">
        <v>115</v>
      </c>
      <c r="G257" s="2" t="inlineStr">
        <is>
          <t>Home</t>
        </is>
      </c>
      <c r="H257" s="2" t="inlineStr">
        <is>
          <t>betonlineag</t>
        </is>
      </c>
      <c r="I257" s="4" t="n"/>
      <c r="J257" s="4" t="n"/>
      <c r="K257" s="4" t="n">
        <v>114</v>
      </c>
      <c r="L257" s="4" t="n">
        <v>114</v>
      </c>
      <c r="M257" s="5" t="n">
        <v>6.5</v>
      </c>
      <c r="N257" s="5" t="n">
        <v>6.034345384898523</v>
      </c>
      <c r="O257" s="5" t="n">
        <v>6.5</v>
      </c>
      <c r="P257" s="5" t="n">
        <v>0.4656546151014771</v>
      </c>
      <c r="Q257" s="6" t="n">
        <v>0.2856826799719443</v>
      </c>
      <c r="R257" s="6" t="n">
        <v>0.6007862990523105</v>
      </c>
      <c r="S257" s="6" t="n">
        <v>0.4447739065974796</v>
      </c>
      <c r="T257" s="2" t="inlineStr">
        <is>
          <t>Under</t>
        </is>
      </c>
      <c r="U257" s="4" t="n">
        <v>114</v>
      </c>
      <c r="V257" s="2" t="n">
        <v>2.14</v>
      </c>
      <c r="W257" s="4" t="n">
        <v>114</v>
      </c>
      <c r="X257" s="2" t="n">
        <v>1</v>
      </c>
      <c r="Y257" s="5" t="n">
        <v>-1</v>
      </c>
      <c r="Z257" s="7" t="n">
        <v>100</v>
      </c>
      <c r="AA257" s="7">
        <f>Y257*Z257</f>
        <v/>
      </c>
      <c r="AB257" s="6">
        <f>IF(Z257=0,0,AA257/Z257)</f>
        <v/>
      </c>
      <c r="AC257" s="6" t="n"/>
      <c r="AD257" s="2" t="inlineStr">
        <is>
          <t>Loss</t>
        </is>
      </c>
      <c r="AE257" s="6">
        <f>IF((COUNTIF($AD$2:AD257,"Win")+COUNTIF($AD$2:AD257,"Loss"))=0,0,COUNTIF($AD$2:AD257,"Win")/(COUNTIF($AD$2:AD257,"Win")+COUNTIF($AD$2:AD257,"Loss")))</f>
        <v/>
      </c>
      <c r="AF257" s="6">
        <f>SUM($Y$2:Y257)/SUM($X$2:X257)</f>
        <v/>
      </c>
      <c r="AG257" s="5">
        <f>SUM($Y$2:Y257)</f>
        <v/>
      </c>
      <c r="AH257" s="7">
        <f>10000.0+SUM($AA$2:AA257)</f>
        <v/>
      </c>
      <c r="AI257" s="2" t="n">
        <v>2026</v>
      </c>
      <c r="AJ257" s="2" t="inlineStr">
        <is>
          <t>2026-04</t>
        </is>
      </c>
      <c r="AK257" s="2" t="inlineStr">
        <is>
          <t>+100 to +120</t>
        </is>
      </c>
      <c r="AL257" s="2" t="inlineStr">
        <is>
          <t>2026 Frozen Test</t>
        </is>
      </c>
      <c r="AM257" s="6" t="n">
        <v>0.250598842080653</v>
      </c>
    </row>
    <row r="258">
      <c r="A258" s="2" t="inlineStr">
        <is>
          <t>KPROP-00659</t>
        </is>
      </c>
      <c r="B258" s="3" t="n">
        <v>46136.79905092593</v>
      </c>
      <c r="C258" s="3" t="n">
        <v>46136</v>
      </c>
      <c r="D258" s="2" t="inlineStr">
        <is>
          <t>Freddy Peralta</t>
        </is>
      </c>
      <c r="E258" s="2" t="n">
        <v>121</v>
      </c>
      <c r="F258" s="2" t="n">
        <v>115</v>
      </c>
      <c r="G258" s="2" t="inlineStr">
        <is>
          <t>Home</t>
        </is>
      </c>
      <c r="H258" s="2" t="inlineStr">
        <is>
          <t>draftkings</t>
        </is>
      </c>
      <c r="I258" s="4" t="n"/>
      <c r="J258" s="4" t="n"/>
      <c r="K258" s="4" t="n">
        <v>-153</v>
      </c>
      <c r="L258" s="4" t="n">
        <v>-153</v>
      </c>
      <c r="M258" s="5" t="n">
        <v>7.5</v>
      </c>
      <c r="N258" s="5" t="n">
        <v>6.034345384898523</v>
      </c>
      <c r="O258" s="5" t="n">
        <v>7.5</v>
      </c>
      <c r="P258" s="5" t="n">
        <v>1.465654615101477</v>
      </c>
      <c r="Q258" s="6" t="n">
        <v>0.2223997824437863</v>
      </c>
      <c r="R258" s="6" t="n">
        <v>0.7392378130984163</v>
      </c>
      <c r="S258" s="6" t="n">
        <v>0.586972492041466</v>
      </c>
      <c r="T258" s="2" t="inlineStr">
        <is>
          <t>Under</t>
        </is>
      </c>
      <c r="U258" s="4" t="n">
        <v>-153</v>
      </c>
      <c r="V258" s="2" t="n">
        <v>1.65359477124183</v>
      </c>
      <c r="W258" s="4" t="n">
        <v>-153</v>
      </c>
      <c r="X258" s="2" t="n">
        <v>1</v>
      </c>
      <c r="Y258" s="5" t="n">
        <v>-1</v>
      </c>
      <c r="Z258" s="7" t="n">
        <v>100</v>
      </c>
      <c r="AA258" s="7">
        <f>Y258*Z258</f>
        <v/>
      </c>
      <c r="AB258" s="6">
        <f>IF(Z258=0,0,AA258/Z258)</f>
        <v/>
      </c>
      <c r="AC258" s="6" t="n"/>
      <c r="AD258" s="2" t="inlineStr">
        <is>
          <t>Loss</t>
        </is>
      </c>
      <c r="AE258" s="6">
        <f>IF((COUNTIF($AD$2:AD258,"Win")+COUNTIF($AD$2:AD258,"Loss"))=0,0,COUNTIF($AD$2:AD258,"Win")/(COUNTIF($AD$2:AD258,"Win")+COUNTIF($AD$2:AD258,"Loss")))</f>
        <v/>
      </c>
      <c r="AF258" s="6">
        <f>SUM($Y$2:Y258)/SUM($X$2:X258)</f>
        <v/>
      </c>
      <c r="AG258" s="5">
        <f>SUM($Y$2:Y258)</f>
        <v/>
      </c>
      <c r="AH258" s="7">
        <f>10000.0+SUM($AA$2:AA258)</f>
        <v/>
      </c>
      <c r="AI258" s="2" t="n">
        <v>2026</v>
      </c>
      <c r="AJ258" s="2" t="inlineStr">
        <is>
          <t>2026-04</t>
        </is>
      </c>
      <c r="AK258" s="2" t="inlineStr">
        <is>
          <t>&lt;= -150</t>
        </is>
      </c>
      <c r="AL258" s="2" t="inlineStr">
        <is>
          <t>2026 Frozen Test</t>
        </is>
      </c>
      <c r="AM258" s="6" t="n">
        <v>0.3402716671389932</v>
      </c>
    </row>
    <row r="259">
      <c r="A259" s="2" t="inlineStr">
        <is>
          <t>KPROP-00660</t>
        </is>
      </c>
      <c r="B259" s="3" t="n">
        <v>46136.79905092593</v>
      </c>
      <c r="C259" s="3" t="n">
        <v>46136</v>
      </c>
      <c r="D259" s="2" t="inlineStr">
        <is>
          <t>Taj Bradley</t>
        </is>
      </c>
      <c r="E259" s="2" t="n">
        <v>142</v>
      </c>
      <c r="F259" s="2" t="n">
        <v>139</v>
      </c>
      <c r="G259" s="2" t="inlineStr">
        <is>
          <t>Away</t>
        </is>
      </c>
      <c r="H259" s="2" t="inlineStr">
        <is>
          <t>betrivers</t>
        </is>
      </c>
      <c r="I259" s="4" t="n"/>
      <c r="J259" s="4" t="n"/>
      <c r="K259" s="4" t="n">
        <v>135</v>
      </c>
      <c r="L259" s="4" t="n">
        <v>135</v>
      </c>
      <c r="M259" s="5" t="n">
        <v>4.5</v>
      </c>
      <c r="N259" s="5" t="n">
        <v>4.822219750486386</v>
      </c>
      <c r="O259" s="5" t="n">
        <v>4.5</v>
      </c>
      <c r="P259" s="5" t="n">
        <v>-0.3222197504863864</v>
      </c>
      <c r="Q259" s="6" t="n">
        <v>0.1097208910504179</v>
      </c>
      <c r="R259" s="6" t="n">
        <v>0.4722216557661353</v>
      </c>
      <c r="S259" s="6" t="n">
        <v>0.4217926186291739</v>
      </c>
      <c r="T259" s="2" t="inlineStr">
        <is>
          <t>Under</t>
        </is>
      </c>
      <c r="U259" s="4" t="n">
        <v>135</v>
      </c>
      <c r="V259" s="2" t="n">
        <v>2.35</v>
      </c>
      <c r="W259" s="4" t="n">
        <v>135</v>
      </c>
      <c r="X259" s="2" t="n">
        <v>1</v>
      </c>
      <c r="Y259" s="5" t="n">
        <v>1.35</v>
      </c>
      <c r="Z259" s="7" t="n">
        <v>100</v>
      </c>
      <c r="AA259" s="7">
        <f>Y259*Z259</f>
        <v/>
      </c>
      <c r="AB259" s="6">
        <f>IF(Z259=0,0,AA259/Z259)</f>
        <v/>
      </c>
      <c r="AC259" s="6" t="n"/>
      <c r="AD259" s="2" t="inlineStr">
        <is>
          <t>Win</t>
        </is>
      </c>
      <c r="AE259" s="6">
        <f>IF((COUNTIF($AD$2:AD259,"Win")+COUNTIF($AD$2:AD259,"Loss"))=0,0,COUNTIF($AD$2:AD259,"Win")/(COUNTIF($AD$2:AD259,"Win")+COUNTIF($AD$2:AD259,"Loss")))</f>
        <v/>
      </c>
      <c r="AF259" s="6">
        <f>SUM($Y$2:Y259)/SUM($X$2:X259)</f>
        <v/>
      </c>
      <c r="AG259" s="5">
        <f>SUM($Y$2:Y259)</f>
        <v/>
      </c>
      <c r="AH259" s="7">
        <f>10000.0+SUM($AA$2:AA259)</f>
        <v/>
      </c>
      <c r="AI259" s="2" t="n">
        <v>2026</v>
      </c>
      <c r="AJ259" s="2" t="inlineStr">
        <is>
          <t>2026-04</t>
        </is>
      </c>
      <c r="AK259" s="2" t="inlineStr">
        <is>
          <t>+121 to +150</t>
        </is>
      </c>
      <c r="AL259" s="2" t="inlineStr">
        <is>
          <t>2026 Frozen Test</t>
        </is>
      </c>
      <c r="AM259" s="6" t="n">
        <v>0.08127473411142069</v>
      </c>
    </row>
    <row r="260">
      <c r="A260" s="2" t="inlineStr">
        <is>
          <t>KPROP-00661</t>
        </is>
      </c>
      <c r="B260" s="3" t="n">
        <v>46136.81988425926</v>
      </c>
      <c r="C260" s="3" t="n">
        <v>46136</v>
      </c>
      <c r="D260" s="2" t="inlineStr">
        <is>
          <t>Yusei Kikuchi</t>
        </is>
      </c>
      <c r="E260" s="2" t="n">
        <v>108</v>
      </c>
      <c r="F260" s="2" t="n">
        <v>118</v>
      </c>
      <c r="G260" s="2" t="inlineStr">
        <is>
          <t>Away</t>
        </is>
      </c>
      <c r="H260" s="2" t="inlineStr">
        <is>
          <t>draftkings</t>
        </is>
      </c>
      <c r="I260" s="4" t="n"/>
      <c r="J260" s="4" t="n"/>
      <c r="K260" s="4" t="n">
        <v>125</v>
      </c>
      <c r="L260" s="4" t="n">
        <v>125</v>
      </c>
      <c r="M260" s="5" t="n">
        <v>4.5</v>
      </c>
      <c r="N260" s="5" t="n">
        <v>4.59115103380268</v>
      </c>
      <c r="O260" s="5" t="n">
        <v>4.5</v>
      </c>
      <c r="P260" s="5" t="n">
        <v>-0.09115103380267975</v>
      </c>
      <c r="Q260" s="6" t="n">
        <v>0.1585123576196994</v>
      </c>
      <c r="R260" s="6" t="n">
        <v>0.5148943811643109</v>
      </c>
      <c r="S260" s="6" t="n">
        <v>0.4242424242424243</v>
      </c>
      <c r="T260" s="2" t="inlineStr">
        <is>
          <t>Under</t>
        </is>
      </c>
      <c r="U260" s="4" t="n">
        <v>125</v>
      </c>
      <c r="V260" s="2" t="n">
        <v>2.25</v>
      </c>
      <c r="W260" s="4" t="n">
        <v>125</v>
      </c>
      <c r="X260" s="2" t="n">
        <v>1</v>
      </c>
      <c r="Y260" s="5" t="n">
        <v>-1</v>
      </c>
      <c r="Z260" s="7" t="n">
        <v>100</v>
      </c>
      <c r="AA260" s="7">
        <f>Y260*Z260</f>
        <v/>
      </c>
      <c r="AB260" s="6">
        <f>IF(Z260=0,0,AA260/Z260)</f>
        <v/>
      </c>
      <c r="AC260" s="6" t="n"/>
      <c r="AD260" s="2" t="inlineStr">
        <is>
          <t>Loss</t>
        </is>
      </c>
      <c r="AE260" s="6">
        <f>IF((COUNTIF($AD$2:AD260,"Win")+COUNTIF($AD$2:AD260,"Loss"))=0,0,COUNTIF($AD$2:AD260,"Win")/(COUNTIF($AD$2:AD260,"Win")+COUNTIF($AD$2:AD260,"Loss")))</f>
        <v/>
      </c>
      <c r="AF260" s="6">
        <f>SUM($Y$2:Y260)/SUM($X$2:X260)</f>
        <v/>
      </c>
      <c r="AG260" s="5">
        <f>SUM($Y$2:Y260)</f>
        <v/>
      </c>
      <c r="AH260" s="7">
        <f>10000.0+SUM($AA$2:AA260)</f>
        <v/>
      </c>
      <c r="AI260" s="2" t="n">
        <v>2026</v>
      </c>
      <c r="AJ260" s="2" t="inlineStr">
        <is>
          <t>2026-04</t>
        </is>
      </c>
      <c r="AK260" s="2" t="inlineStr">
        <is>
          <t>+121 to +150</t>
        </is>
      </c>
      <c r="AL260" s="2" t="inlineStr">
        <is>
          <t>2026 Frozen Test</t>
        </is>
      </c>
      <c r="AM260" s="6" t="n">
        <v>0.1268098860957595</v>
      </c>
    </row>
    <row r="261">
      <c r="A261" s="2" t="inlineStr">
        <is>
          <t>KPROP-00662</t>
        </is>
      </c>
      <c r="B261" s="3" t="n">
        <v>46136.81988425926</v>
      </c>
      <c r="C261" s="3" t="n">
        <v>46136</v>
      </c>
      <c r="D261" s="2" t="inlineStr">
        <is>
          <t>Yusei Kikuchi</t>
        </is>
      </c>
      <c r="E261" s="2" t="n">
        <v>108</v>
      </c>
      <c r="F261" s="2" t="n">
        <v>118</v>
      </c>
      <c r="G261" s="2" t="inlineStr">
        <is>
          <t>Away</t>
        </is>
      </c>
      <c r="H261" s="2" t="inlineStr">
        <is>
          <t>betmgm</t>
        </is>
      </c>
      <c r="I261" s="4" t="n"/>
      <c r="J261" s="4" t="n"/>
      <c r="K261" s="4" t="n">
        <v>-160</v>
      </c>
      <c r="L261" s="4" t="n">
        <v>-160</v>
      </c>
      <c r="M261" s="5" t="n">
        <v>5.5</v>
      </c>
      <c r="N261" s="5" t="n">
        <v>4.59115103380268</v>
      </c>
      <c r="O261" s="5" t="n">
        <v>5.5</v>
      </c>
      <c r="P261" s="5" t="n">
        <v>0.9088489661973203</v>
      </c>
      <c r="Q261" s="6" t="n">
        <v>0.1168390700046896</v>
      </c>
      <c r="R261" s="6" t="n">
        <v>0.6872855815413474</v>
      </c>
      <c r="S261" s="6" t="n">
        <v>0.5891276864728192</v>
      </c>
      <c r="T261" s="2" t="inlineStr">
        <is>
          <t>Under</t>
        </is>
      </c>
      <c r="U261" s="4" t="n">
        <v>-160</v>
      </c>
      <c r="V261" s="2" t="n">
        <v>1.625</v>
      </c>
      <c r="W261" s="4" t="n">
        <v>-160</v>
      </c>
      <c r="X261" s="2" t="n">
        <v>1</v>
      </c>
      <c r="Y261" s="5" t="n">
        <v>0.625</v>
      </c>
      <c r="Z261" s="7" t="n">
        <v>100</v>
      </c>
      <c r="AA261" s="7">
        <f>Y261*Z261</f>
        <v/>
      </c>
      <c r="AB261" s="6">
        <f>IF(Z261=0,0,AA261/Z261)</f>
        <v/>
      </c>
      <c r="AC261" s="6" t="n"/>
      <c r="AD261" s="2" t="inlineStr">
        <is>
          <t>Win</t>
        </is>
      </c>
      <c r="AE261" s="6">
        <f>IF((COUNTIF($AD$2:AD261,"Win")+COUNTIF($AD$2:AD261,"Loss"))=0,0,COUNTIF($AD$2:AD261,"Win")/(COUNTIF($AD$2:AD261,"Win")+COUNTIF($AD$2:AD261,"Loss")))</f>
        <v/>
      </c>
      <c r="AF261" s="6">
        <f>SUM($Y$2:Y261)/SUM($X$2:X261)</f>
        <v/>
      </c>
      <c r="AG261" s="5">
        <f>SUM($Y$2:Y261)</f>
        <v/>
      </c>
      <c r="AH261" s="7">
        <f>10000.0+SUM($AA$2:AA261)</f>
        <v/>
      </c>
      <c r="AI261" s="2" t="n">
        <v>2026</v>
      </c>
      <c r="AJ261" s="2" t="inlineStr">
        <is>
          <t>2026-04</t>
        </is>
      </c>
      <c r="AK261" s="2" t="inlineStr">
        <is>
          <t>&lt;= -150</t>
        </is>
      </c>
      <c r="AL261" s="2" t="inlineStr">
        <is>
          <t>2026 Frozen Test</t>
        </is>
      </c>
      <c r="AM261" s="6" t="n">
        <v>0.1869425120075034</v>
      </c>
    </row>
    <row r="262">
      <c r="A262" s="2" t="inlineStr">
        <is>
          <t>KPROP-00663</t>
        </is>
      </c>
      <c r="B262" s="3" t="n">
        <v>46137.67403935185</v>
      </c>
      <c r="C262" s="3" t="n">
        <v>46137</v>
      </c>
      <c r="D262" s="2" t="inlineStr">
        <is>
          <t>Bailey Ober</t>
        </is>
      </c>
      <c r="E262" s="2" t="n">
        <v>142</v>
      </c>
      <c r="F262" s="2" t="n">
        <v>139</v>
      </c>
      <c r="G262" s="2" t="inlineStr">
        <is>
          <t>Away</t>
        </is>
      </c>
      <c r="H262" s="2" t="inlineStr">
        <is>
          <t>betrivers</t>
        </is>
      </c>
      <c r="I262" s="4" t="n"/>
      <c r="J262" s="4" t="n"/>
      <c r="K262" s="4" t="n">
        <v>143</v>
      </c>
      <c r="L262" s="4" t="n">
        <v>143</v>
      </c>
      <c r="M262" s="5" t="n">
        <v>3.5</v>
      </c>
      <c r="N262" s="5" t="n">
        <v>3.699502728402563</v>
      </c>
      <c r="O262" s="5" t="n">
        <v>3.5</v>
      </c>
      <c r="P262" s="5" t="n">
        <v>-0.199502728402563</v>
      </c>
      <c r="Q262" s="6" t="n">
        <v>0.2010446062883748</v>
      </c>
      <c r="R262" s="6" t="n">
        <v>0.4942570396248457</v>
      </c>
      <c r="S262" s="6" t="n">
        <v>0.4136504653567735</v>
      </c>
      <c r="T262" s="2" t="inlineStr">
        <is>
          <t>Under</t>
        </is>
      </c>
      <c r="U262" s="4" t="n">
        <v>143</v>
      </c>
      <c r="V262" s="2" t="n">
        <v>2.43</v>
      </c>
      <c r="W262" s="4" t="n">
        <v>143</v>
      </c>
      <c r="X262" s="2" t="n">
        <v>1</v>
      </c>
      <c r="Y262" s="5" t="n">
        <v>1.43</v>
      </c>
      <c r="Z262" s="7" t="n">
        <v>100</v>
      </c>
      <c r="AA262" s="7">
        <f>Y262*Z262</f>
        <v/>
      </c>
      <c r="AB262" s="6">
        <f>IF(Z262=0,0,AA262/Z262)</f>
        <v/>
      </c>
      <c r="AC262" s="6" t="n"/>
      <c r="AD262" s="2" t="inlineStr">
        <is>
          <t>Win</t>
        </is>
      </c>
      <c r="AE262" s="6">
        <f>IF((COUNTIF($AD$2:AD262,"Win")+COUNTIF($AD$2:AD262,"Loss"))=0,0,COUNTIF($AD$2:AD262,"Win")/(COUNTIF($AD$2:AD262,"Win")+COUNTIF($AD$2:AD262,"Loss")))</f>
        <v/>
      </c>
      <c r="AF262" s="6">
        <f>SUM($Y$2:Y262)/SUM($X$2:X262)</f>
        <v/>
      </c>
      <c r="AG262" s="5">
        <f>SUM($Y$2:Y262)</f>
        <v/>
      </c>
      <c r="AH262" s="7">
        <f>10000.0+SUM($AA$2:AA262)</f>
        <v/>
      </c>
      <c r="AI262" s="2" t="n">
        <v>2026</v>
      </c>
      <c r="AJ262" s="2" t="inlineStr">
        <is>
          <t>2026-04</t>
        </is>
      </c>
      <c r="AK262" s="2" t="inlineStr">
        <is>
          <t>+121 to +150</t>
        </is>
      </c>
      <c r="AL262" s="2" t="inlineStr">
        <is>
          <t>2026 Frozen Test</t>
        </is>
      </c>
      <c r="AM262" s="6" t="n">
        <v>0.1405906337680943</v>
      </c>
    </row>
    <row r="263">
      <c r="A263" s="2" t="inlineStr">
        <is>
          <t>KPROP-00664</t>
        </is>
      </c>
      <c r="B263" s="3" t="n">
        <v>46137.67403935185</v>
      </c>
      <c r="C263" s="3" t="n">
        <v>46137</v>
      </c>
      <c r="D263" s="2" t="inlineStr">
        <is>
          <t>Bailey Ober</t>
        </is>
      </c>
      <c r="E263" s="2" t="n">
        <v>142</v>
      </c>
      <c r="F263" s="2" t="n">
        <v>139</v>
      </c>
      <c r="G263" s="2" t="inlineStr">
        <is>
          <t>Away</t>
        </is>
      </c>
      <c r="H263" s="2" t="inlineStr">
        <is>
          <t>betrivers</t>
        </is>
      </c>
      <c r="I263" s="4" t="n"/>
      <c r="J263" s="4" t="n"/>
      <c r="K263" s="4" t="n">
        <v>-165</v>
      </c>
      <c r="L263" s="4" t="n">
        <v>-165</v>
      </c>
      <c r="M263" s="5" t="n">
        <v>4.5</v>
      </c>
      <c r="N263" s="5" t="n">
        <v>3.699502728402563</v>
      </c>
      <c r="O263" s="5" t="n">
        <v>4.5</v>
      </c>
      <c r="P263" s="5" t="n">
        <v>0.800497271597437</v>
      </c>
      <c r="Q263" s="6" t="n">
        <v>0.1038701392696273</v>
      </c>
      <c r="R263" s="6" t="n">
        <v>0.6873153697339189</v>
      </c>
      <c r="S263" s="6" t="n">
        <v>0.5888285492629945</v>
      </c>
      <c r="T263" s="2" t="inlineStr">
        <is>
          <t>Under</t>
        </is>
      </c>
      <c r="U263" s="4" t="n">
        <v>-165</v>
      </c>
      <c r="V263" s="2" t="n">
        <v>1.606060606060606</v>
      </c>
      <c r="W263" s="4" t="n">
        <v>-165</v>
      </c>
      <c r="X263" s="2" t="n">
        <v>1</v>
      </c>
      <c r="Y263" s="5" t="n">
        <v>0.606060606060606</v>
      </c>
      <c r="Z263" s="7" t="n">
        <v>100</v>
      </c>
      <c r="AA263" s="7">
        <f>Y263*Z263</f>
        <v/>
      </c>
      <c r="AB263" s="6">
        <f>IF(Z263=0,0,AA263/Z263)</f>
        <v/>
      </c>
      <c r="AC263" s="6" t="n"/>
      <c r="AD263" s="2" t="inlineStr">
        <is>
          <t>Win</t>
        </is>
      </c>
      <c r="AE263" s="6">
        <f>IF((COUNTIF($AD$2:AD263,"Win")+COUNTIF($AD$2:AD263,"Loss"))=0,0,COUNTIF($AD$2:AD263,"Win")/(COUNTIF($AD$2:AD263,"Win")+COUNTIF($AD$2:AD263,"Loss")))</f>
        <v/>
      </c>
      <c r="AF263" s="6">
        <f>SUM($Y$2:Y263)/SUM($X$2:X263)</f>
        <v/>
      </c>
      <c r="AG263" s="5">
        <f>SUM($Y$2:Y263)</f>
        <v/>
      </c>
      <c r="AH263" s="7">
        <f>10000.0+SUM($AA$2:AA263)</f>
        <v/>
      </c>
      <c r="AI263" s="2" t="n">
        <v>2026</v>
      </c>
      <c r="AJ263" s="2" t="inlineStr">
        <is>
          <t>2026-04</t>
        </is>
      </c>
      <c r="AK263" s="2" t="inlineStr">
        <is>
          <t>&lt;= -150</t>
        </is>
      </c>
      <c r="AL263" s="2" t="inlineStr">
        <is>
          <t>2026 Frozen Test</t>
        </is>
      </c>
      <c r="AM263" s="6" t="n">
        <v>0.1713857297948851</v>
      </c>
    </row>
    <row r="264">
      <c r="A264" s="2" t="inlineStr">
        <is>
          <t>KPROP-00665</t>
        </is>
      </c>
      <c r="B264" s="3" t="n">
        <v>46137.80252314815</v>
      </c>
      <c r="C264" s="3" t="n">
        <v>46137</v>
      </c>
      <c r="D264" s="2" t="inlineStr">
        <is>
          <t>Brady Singer</t>
        </is>
      </c>
      <c r="E264" s="2" t="n">
        <v>113</v>
      </c>
      <c r="F264" s="2" t="n">
        <v>116</v>
      </c>
      <c r="G264" s="2" t="inlineStr">
        <is>
          <t>Home</t>
        </is>
      </c>
      <c r="H264" s="2" t="inlineStr">
        <is>
          <t>draftkings</t>
        </is>
      </c>
      <c r="I264" s="4" t="n"/>
      <c r="J264" s="4" t="n"/>
      <c r="K264" s="4" t="n">
        <v>115</v>
      </c>
      <c r="L264" s="4" t="n">
        <v>115</v>
      </c>
      <c r="M264" s="5" t="n">
        <v>4.5</v>
      </c>
      <c r="N264" s="5" t="n">
        <v>4.31554085652604</v>
      </c>
      <c r="O264" s="5" t="n">
        <v>4.5</v>
      </c>
      <c r="P264" s="5" t="n">
        <v>0.1844591434739602</v>
      </c>
      <c r="Q264" s="6" t="n">
        <v>0.2199873131813158</v>
      </c>
      <c r="R264" s="6" t="n">
        <v>0.5674359596192167</v>
      </c>
      <c r="S264" s="6" t="n">
        <v>0.4428925847652301</v>
      </c>
      <c r="T264" s="2" t="inlineStr">
        <is>
          <t>Under</t>
        </is>
      </c>
      <c r="U264" s="4" t="n">
        <v>115</v>
      </c>
      <c r="V264" s="2" t="n">
        <v>2.15</v>
      </c>
      <c r="W264" s="4" t="n">
        <v>115</v>
      </c>
      <c r="X264" s="2" t="n">
        <v>1</v>
      </c>
      <c r="Y264" s="5" t="n">
        <v>1.15</v>
      </c>
      <c r="Z264" s="7" t="n">
        <v>100</v>
      </c>
      <c r="AA264" s="7">
        <f>Y264*Z264</f>
        <v/>
      </c>
      <c r="AB264" s="6">
        <f>IF(Z264=0,0,AA264/Z264)</f>
        <v/>
      </c>
      <c r="AC264" s="6" t="n"/>
      <c r="AD264" s="2" t="inlineStr">
        <is>
          <t>Win</t>
        </is>
      </c>
      <c r="AE264" s="6">
        <f>IF((COUNTIF($AD$2:AD264,"Win")+COUNTIF($AD$2:AD264,"Loss"))=0,0,COUNTIF($AD$2:AD264,"Win")/(COUNTIF($AD$2:AD264,"Win")+COUNTIF($AD$2:AD264,"Loss")))</f>
        <v/>
      </c>
      <c r="AF264" s="6">
        <f>SUM($Y$2:Y264)/SUM($X$2:X264)</f>
        <v/>
      </c>
      <c r="AG264" s="5">
        <f>SUM($Y$2:Y264)</f>
        <v/>
      </c>
      <c r="AH264" s="7">
        <f>10000.0+SUM($AA$2:AA264)</f>
        <v/>
      </c>
      <c r="AI264" s="2" t="n">
        <v>2026</v>
      </c>
      <c r="AJ264" s="2" t="inlineStr">
        <is>
          <t>2026-04</t>
        </is>
      </c>
      <c r="AK264" s="2" t="inlineStr">
        <is>
          <t>+100 to +120</t>
        </is>
      </c>
      <c r="AL264" s="2" t="inlineStr">
        <is>
          <t>2026 Frozen Test</t>
        </is>
      </c>
      <c r="AM264" s="6" t="n">
        <v>0.1912933158098399</v>
      </c>
    </row>
    <row r="265">
      <c r="A265" s="2" t="inlineStr">
        <is>
          <t>KPROP-00666</t>
        </is>
      </c>
      <c r="B265" s="3" t="n">
        <v>46137.50391203703</v>
      </c>
      <c r="C265" s="3" t="n">
        <v>46137</v>
      </c>
      <c r="D265" s="2" t="inlineStr">
        <is>
          <t>Garrett Crochet</t>
        </is>
      </c>
      <c r="E265" s="2" t="n">
        <v>111</v>
      </c>
      <c r="F265" s="2" t="n">
        <v>110</v>
      </c>
      <c r="G265" s="2" t="inlineStr">
        <is>
          <t>Away</t>
        </is>
      </c>
      <c r="H265" s="2" t="inlineStr">
        <is>
          <t>draftkings</t>
        </is>
      </c>
      <c r="I265" s="4" t="n"/>
      <c r="J265" s="4" t="n"/>
      <c r="K265" s="4" t="n">
        <v>-107</v>
      </c>
      <c r="L265" s="4" t="n">
        <v>-107</v>
      </c>
      <c r="M265" s="5" t="n">
        <v>7.5</v>
      </c>
      <c r="N265" s="5" t="n">
        <v>6.501203652666904</v>
      </c>
      <c r="O265" s="5" t="n">
        <v>7.5</v>
      </c>
      <c r="P265" s="5" t="n">
        <v>0.9987963473330961</v>
      </c>
      <c r="Q265" s="6" t="n">
        <v>0.3011628380279967</v>
      </c>
      <c r="R265" s="6" t="n">
        <v>0.6725817568550514</v>
      </c>
      <c r="S265" s="6" t="n">
        <v>0.4914548173467208</v>
      </c>
      <c r="T265" s="2" t="inlineStr">
        <is>
          <t>Under</t>
        </is>
      </c>
      <c r="U265" s="4" t="n">
        <v>-107</v>
      </c>
      <c r="V265" s="2" t="n">
        <v>1.934579439252337</v>
      </c>
      <c r="W265" s="4" t="n">
        <v>-107</v>
      </c>
      <c r="X265" s="2" t="n">
        <v>1</v>
      </c>
      <c r="Y265" s="5" t="n">
        <v>0.9345794392523366</v>
      </c>
      <c r="Z265" s="7" t="n">
        <v>100</v>
      </c>
      <c r="AA265" s="7">
        <f>Y265*Z265</f>
        <v/>
      </c>
      <c r="AB265" s="6">
        <f>IF(Z265=0,0,AA265/Z265)</f>
        <v/>
      </c>
      <c r="AC265" s="6" t="n"/>
      <c r="AD265" s="2" t="inlineStr">
        <is>
          <t>Win</t>
        </is>
      </c>
      <c r="AE265" s="6">
        <f>IF((COUNTIF($AD$2:AD265,"Win")+COUNTIF($AD$2:AD265,"Loss"))=0,0,COUNTIF($AD$2:AD265,"Win")/(COUNTIF($AD$2:AD265,"Win")+COUNTIF($AD$2:AD265,"Loss")))</f>
        <v/>
      </c>
      <c r="AF265" s="6">
        <f>SUM($Y$2:Y265)/SUM($X$2:X265)</f>
        <v/>
      </c>
      <c r="AG265" s="5">
        <f>SUM($Y$2:Y265)</f>
        <v/>
      </c>
      <c r="AH265" s="7">
        <f>10000.0+SUM($AA$2:AA265)</f>
        <v/>
      </c>
      <c r="AI265" s="2" t="n">
        <v>2026</v>
      </c>
      <c r="AJ265" s="2" t="inlineStr">
        <is>
          <t>2026-04</t>
        </is>
      </c>
      <c r="AK265" s="2" t="inlineStr">
        <is>
          <t>-119 to -101</t>
        </is>
      </c>
      <c r="AL265" s="2" t="inlineStr">
        <is>
          <t>2026 Frozen Test</t>
        </is>
      </c>
      <c r="AM265" s="6" t="n">
        <v>0.3222442366899564</v>
      </c>
    </row>
    <row r="266">
      <c r="A266" s="2" t="inlineStr">
        <is>
          <t>KPROP-00667</t>
        </is>
      </c>
      <c r="B266" s="3" t="n">
        <v>46137.80252314815</v>
      </c>
      <c r="C266" s="3" t="n">
        <v>46137</v>
      </c>
      <c r="D266" s="2" t="inlineStr">
        <is>
          <t>Jack Flaherty</t>
        </is>
      </c>
      <c r="E266" s="2" t="n">
        <v>116</v>
      </c>
      <c r="F266" s="2" t="n">
        <v>113</v>
      </c>
      <c r="G266" s="2" t="inlineStr">
        <is>
          <t>Away</t>
        </is>
      </c>
      <c r="H266" s="2" t="inlineStr">
        <is>
          <t>betrivers</t>
        </is>
      </c>
      <c r="I266" s="4" t="n"/>
      <c r="J266" s="4" t="n"/>
      <c r="K266" s="4" t="n">
        <v>107</v>
      </c>
      <c r="L266" s="4" t="n">
        <v>107</v>
      </c>
      <c r="M266" s="5" t="n">
        <v>5.5</v>
      </c>
      <c r="N266" s="5" t="n">
        <v>5.291139850922868</v>
      </c>
      <c r="O266" s="5" t="n">
        <v>5.5</v>
      </c>
      <c r="P266" s="5" t="n">
        <v>0.2088601490771316</v>
      </c>
      <c r="Q266" s="6" t="n">
        <v>0.1695811411015526</v>
      </c>
      <c r="R266" s="6" t="n">
        <v>0.5650150440104118</v>
      </c>
      <c r="S266" s="6" t="n">
        <v>0.4745613066990398</v>
      </c>
      <c r="T266" s="2" t="inlineStr">
        <is>
          <t>Under</t>
        </is>
      </c>
      <c r="U266" s="4" t="n">
        <v>107</v>
      </c>
      <c r="V266" s="2" t="n">
        <v>2.07</v>
      </c>
      <c r="W266" s="4" t="n">
        <v>107</v>
      </c>
      <c r="X266" s="2" t="n">
        <v>1</v>
      </c>
      <c r="Y266" s="5" t="n">
        <v>1.07</v>
      </c>
      <c r="Z266" s="7" t="n">
        <v>100</v>
      </c>
      <c r="AA266" s="7">
        <f>Y266*Z266</f>
        <v/>
      </c>
      <c r="AB266" s="6">
        <f>IF(Z266=0,0,AA266/Z266)</f>
        <v/>
      </c>
      <c r="AC266" s="6" t="n"/>
      <c r="AD266" s="2" t="inlineStr">
        <is>
          <t>Win</t>
        </is>
      </c>
      <c r="AE266" s="6">
        <f>IF((COUNTIF($AD$2:AD266,"Win")+COUNTIF($AD$2:AD266,"Loss"))=0,0,COUNTIF($AD$2:AD266,"Win")/(COUNTIF($AD$2:AD266,"Win")+COUNTIF($AD$2:AD266,"Loss")))</f>
        <v/>
      </c>
      <c r="AF266" s="6">
        <f>SUM($Y$2:Y266)/SUM($X$2:X266)</f>
        <v/>
      </c>
      <c r="AG266" s="5">
        <f>SUM($Y$2:Y266)</f>
        <v/>
      </c>
      <c r="AH266" s="7">
        <f>10000.0+SUM($AA$2:AA266)</f>
        <v/>
      </c>
      <c r="AI266" s="2" t="n">
        <v>2026</v>
      </c>
      <c r="AJ266" s="2" t="inlineStr">
        <is>
          <t>2026-04</t>
        </is>
      </c>
      <c r="AK266" s="2" t="inlineStr">
        <is>
          <t>+100 to +120</t>
        </is>
      </c>
      <c r="AL266" s="2" t="inlineStr">
        <is>
          <t>2026 Frozen Test</t>
        </is>
      </c>
      <c r="AM266" s="6" t="n">
        <v>0.1584870477584604</v>
      </c>
    </row>
    <row r="267">
      <c r="A267" s="2" t="inlineStr">
        <is>
          <t>KPROP-00668</t>
        </is>
      </c>
      <c r="B267" s="3" t="n">
        <v>46137.80252314815</v>
      </c>
      <c r="C267" s="3" t="n">
        <v>46137</v>
      </c>
      <c r="D267" s="2" t="inlineStr">
        <is>
          <t>Jack Flaherty</t>
        </is>
      </c>
      <c r="E267" s="2" t="n">
        <v>116</v>
      </c>
      <c r="F267" s="2" t="n">
        <v>113</v>
      </c>
      <c r="G267" s="2" t="inlineStr">
        <is>
          <t>Away</t>
        </is>
      </c>
      <c r="H267" s="2" t="inlineStr">
        <is>
          <t>betrivers</t>
        </is>
      </c>
      <c r="I267" s="4" t="n"/>
      <c r="J267" s="4" t="n"/>
      <c r="K267" s="4" t="n">
        <v>-190</v>
      </c>
      <c r="L267" s="4" t="n">
        <v>-190</v>
      </c>
      <c r="M267" s="5" t="n">
        <v>6.5</v>
      </c>
      <c r="N267" s="5" t="n">
        <v>5.291139850922868</v>
      </c>
      <c r="O267" s="5" t="n">
        <v>6.5</v>
      </c>
      <c r="P267" s="5" t="n">
        <v>1.208860149077132</v>
      </c>
      <c r="Q267" s="6" t="n">
        <v>0.09664942216107536</v>
      </c>
      <c r="R267" s="6" t="n">
        <v>0.7184944490020839</v>
      </c>
      <c r="S267" s="6" t="n">
        <v>0.6112600536193029</v>
      </c>
      <c r="T267" s="2" t="inlineStr">
        <is>
          <t>Under</t>
        </is>
      </c>
      <c r="U267" s="4" t="n">
        <v>-190</v>
      </c>
      <c r="V267" s="2" t="n">
        <v>1.526315789473684</v>
      </c>
      <c r="W267" s="4" t="n">
        <v>-190</v>
      </c>
      <c r="X267" s="2" t="n">
        <v>1</v>
      </c>
      <c r="Y267" s="5" t="n">
        <v>0.5263157894736841</v>
      </c>
      <c r="Z267" s="7" t="n">
        <v>100</v>
      </c>
      <c r="AA267" s="7">
        <f>Y267*Z267</f>
        <v/>
      </c>
      <c r="AB267" s="6">
        <f>IF(Z267=0,0,AA267/Z267)</f>
        <v/>
      </c>
      <c r="AC267" s="6" t="n"/>
      <c r="AD267" s="2" t="inlineStr">
        <is>
          <t>Win</t>
        </is>
      </c>
      <c r="AE267" s="6">
        <f>IF((COUNTIF($AD$2:AD267,"Win")+COUNTIF($AD$2:AD267,"Loss"))=0,0,COUNTIF($AD$2:AD267,"Win")/(COUNTIF($AD$2:AD267,"Win")+COUNTIF($AD$2:AD267,"Loss")))</f>
        <v/>
      </c>
      <c r="AF267" s="6">
        <f>SUM($Y$2:Y267)/SUM($X$2:X267)</f>
        <v/>
      </c>
      <c r="AG267" s="5">
        <f>SUM($Y$2:Y267)</f>
        <v/>
      </c>
      <c r="AH267" s="7">
        <f>10000.0+SUM($AA$2:AA267)</f>
        <v/>
      </c>
      <c r="AI267" s="2" t="n">
        <v>2026</v>
      </c>
      <c r="AJ267" s="2" t="inlineStr">
        <is>
          <t>2026-04</t>
        </is>
      </c>
      <c r="AK267" s="2" t="inlineStr">
        <is>
          <t>&lt;= -150</t>
        </is>
      </c>
      <c r="AL267" s="2" t="inlineStr">
        <is>
          <t>2026 Frozen Test</t>
        </is>
      </c>
      <c r="AM267" s="6" t="n">
        <v>0.1836339021060432</v>
      </c>
    </row>
    <row r="268">
      <c r="A268" s="2" t="inlineStr">
        <is>
          <t>KPROP-00669</t>
        </is>
      </c>
      <c r="B268" s="3" t="n">
        <v>46137.79556712963</v>
      </c>
      <c r="C268" s="3" t="n">
        <v>46137</v>
      </c>
      <c r="D268" s="2" t="inlineStr">
        <is>
          <t>Jeffrey Springs</t>
        </is>
      </c>
      <c r="E268" s="2" t="n">
        <v>133</v>
      </c>
      <c r="F268" s="2" t="n">
        <v>140</v>
      </c>
      <c r="G268" s="2" t="inlineStr">
        <is>
          <t>Away</t>
        </is>
      </c>
      <c r="H268" s="2" t="inlineStr">
        <is>
          <t>betmgm</t>
        </is>
      </c>
      <c r="I268" s="4" t="n"/>
      <c r="J268" s="4" t="n"/>
      <c r="K268" s="4" t="n">
        <v>115</v>
      </c>
      <c r="L268" s="4" t="n">
        <v>115</v>
      </c>
      <c r="M268" s="5" t="n">
        <v>4.5</v>
      </c>
      <c r="N268" s="5" t="n">
        <v>4.658206750045639</v>
      </c>
      <c r="O268" s="5" t="n">
        <v>4.5</v>
      </c>
      <c r="P268" s="5" t="n">
        <v>-0.1582067500456388</v>
      </c>
      <c r="Q268" s="6" t="n">
        <v>0.08007637374878229</v>
      </c>
      <c r="R268" s="6" t="n">
        <v>0.5023611040692011</v>
      </c>
      <c r="S268" s="6" t="n">
        <v>0.4400538841490795</v>
      </c>
      <c r="T268" s="2" t="inlineStr">
        <is>
          <t>Under</t>
        </is>
      </c>
      <c r="U268" s="4" t="n">
        <v>115</v>
      </c>
      <c r="V268" s="2" t="n">
        <v>2.15</v>
      </c>
      <c r="W268" s="4" t="n">
        <v>115</v>
      </c>
      <c r="X268" s="2" t="n">
        <v>1</v>
      </c>
      <c r="Y268" s="5" t="n">
        <v>1.15</v>
      </c>
      <c r="Z268" s="7" t="n">
        <v>100</v>
      </c>
      <c r="AA268" s="7">
        <f>Y268*Z268</f>
        <v/>
      </c>
      <c r="AB268" s="6">
        <f>IF(Z268=0,0,AA268/Z268)</f>
        <v/>
      </c>
      <c r="AC268" s="6" t="n"/>
      <c r="AD268" s="2" t="inlineStr">
        <is>
          <t>Win</t>
        </is>
      </c>
      <c r="AE268" s="6">
        <f>IF((COUNTIF($AD$2:AD268,"Win")+COUNTIF($AD$2:AD268,"Loss"))=0,0,COUNTIF($AD$2:AD268,"Win")/(COUNTIF($AD$2:AD268,"Win")+COUNTIF($AD$2:AD268,"Loss")))</f>
        <v/>
      </c>
      <c r="AF268" s="6">
        <f>SUM($Y$2:Y268)/SUM($X$2:X268)</f>
        <v/>
      </c>
      <c r="AG268" s="5">
        <f>SUM($Y$2:Y268)</f>
        <v/>
      </c>
      <c r="AH268" s="7">
        <f>10000.0+SUM($AA$2:AA268)</f>
        <v/>
      </c>
      <c r="AI268" s="2" t="n">
        <v>2026</v>
      </c>
      <c r="AJ268" s="2" t="inlineStr">
        <is>
          <t>2026-04</t>
        </is>
      </c>
      <c r="AK268" s="2" t="inlineStr">
        <is>
          <t>+100 to +120</t>
        </is>
      </c>
      <c r="AL268" s="2" t="inlineStr">
        <is>
          <t>2026 Frozen Test</t>
        </is>
      </c>
      <c r="AM268" s="6" t="n">
        <v>0.06963162934676721</v>
      </c>
    </row>
    <row r="269">
      <c r="A269" s="2" t="inlineStr">
        <is>
          <t>KPROP-00670</t>
        </is>
      </c>
      <c r="B269" s="3" t="n">
        <v>46137.79556712963</v>
      </c>
      <c r="C269" s="3" t="n">
        <v>46137</v>
      </c>
      <c r="D269" s="2" t="inlineStr">
        <is>
          <t>Jeffrey Springs</t>
        </is>
      </c>
      <c r="E269" s="2" t="n">
        <v>133</v>
      </c>
      <c r="F269" s="2" t="n">
        <v>140</v>
      </c>
      <c r="G269" s="2" t="inlineStr">
        <is>
          <t>Away</t>
        </is>
      </c>
      <c r="H269" s="2" t="inlineStr">
        <is>
          <t>draftkings</t>
        </is>
      </c>
      <c r="I269" s="4" t="n"/>
      <c r="J269" s="4" t="n"/>
      <c r="K269" s="4" t="n">
        <v>-155</v>
      </c>
      <c r="L269" s="4" t="n">
        <v>-155</v>
      </c>
      <c r="M269" s="5" t="n">
        <v>5.5</v>
      </c>
      <c r="N269" s="5" t="n">
        <v>4.658206750045639</v>
      </c>
      <c r="O269" s="5" t="n">
        <v>5.5</v>
      </c>
      <c r="P269" s="5" t="n">
        <v>0.8417932499543612</v>
      </c>
      <c r="Q269" s="6" t="n">
        <v>0.1116243494091265</v>
      </c>
      <c r="R269" s="6" t="n">
        <v>0.6756932319937828</v>
      </c>
      <c r="S269" s="6" t="n">
        <v>0.5933014354066986</v>
      </c>
      <c r="T269" s="2" t="inlineStr">
        <is>
          <t>Under</t>
        </is>
      </c>
      <c r="U269" s="4" t="n">
        <v>-155</v>
      </c>
      <c r="V269" s="2" t="n">
        <v>1.645161290322581</v>
      </c>
      <c r="W269" s="4" t="n">
        <v>-155</v>
      </c>
      <c r="X269" s="2" t="n">
        <v>1</v>
      </c>
      <c r="Y269" s="5" t="n">
        <v>0.6451612903225805</v>
      </c>
      <c r="Z269" s="7" t="n">
        <v>100</v>
      </c>
      <c r="AA269" s="7">
        <f>Y269*Z269</f>
        <v/>
      </c>
      <c r="AB269" s="6">
        <f>IF(Z269=0,0,AA269/Z269)</f>
        <v/>
      </c>
      <c r="AC269" s="6" t="n"/>
      <c r="AD269" s="2" t="inlineStr">
        <is>
          <t>Win</t>
        </is>
      </c>
      <c r="AE269" s="6">
        <f>IF((COUNTIF($AD$2:AD269,"Win")+COUNTIF($AD$2:AD269,"Loss"))=0,0,COUNTIF($AD$2:AD269,"Win")/(COUNTIF($AD$2:AD269,"Win")+COUNTIF($AD$2:AD269,"Loss")))</f>
        <v/>
      </c>
      <c r="AF269" s="6">
        <f>SUM($Y$2:Y269)/SUM($X$2:X269)</f>
        <v/>
      </c>
      <c r="AG269" s="5">
        <f>SUM($Y$2:Y269)</f>
        <v/>
      </c>
      <c r="AH269" s="7">
        <f>10000.0+SUM($AA$2:AA269)</f>
        <v/>
      </c>
      <c r="AI269" s="2" t="n">
        <v>2026</v>
      </c>
      <c r="AJ269" s="2" t="inlineStr">
        <is>
          <t>2026-04</t>
        </is>
      </c>
      <c r="AK269" s="2" t="inlineStr">
        <is>
          <t>&lt;= -150</t>
        </is>
      </c>
      <c r="AL269" s="2" t="inlineStr">
        <is>
          <t>2026 Frozen Test</t>
        </is>
      </c>
      <c r="AM269" s="6" t="n">
        <v>0.1730177415841462</v>
      </c>
    </row>
    <row r="270">
      <c r="A270" s="2" t="inlineStr">
        <is>
          <t>KPROP-00671</t>
        </is>
      </c>
      <c r="B270" s="3" t="n">
        <v>46137.62891203703</v>
      </c>
      <c r="C270" s="3" t="n">
        <v>46137</v>
      </c>
      <c r="D270" s="2" t="inlineStr">
        <is>
          <t>Kevin Gausman</t>
        </is>
      </c>
      <c r="E270" s="2" t="n">
        <v>141</v>
      </c>
      <c r="F270" s="2" t="n">
        <v>114</v>
      </c>
      <c r="G270" s="2" t="inlineStr">
        <is>
          <t>Home</t>
        </is>
      </c>
      <c r="H270" s="2" t="inlineStr">
        <is>
          <t>betmgm</t>
        </is>
      </c>
      <c r="I270" s="4" t="n"/>
      <c r="J270" s="4" t="n"/>
      <c r="K270" s="4" t="n">
        <v>100</v>
      </c>
      <c r="L270" s="4" t="n">
        <v>100</v>
      </c>
      <c r="M270" s="5" t="n">
        <v>5.5</v>
      </c>
      <c r="N270" s="5" t="n">
        <v>5.417355802903619</v>
      </c>
      <c r="O270" s="5" t="n">
        <v>5.5</v>
      </c>
      <c r="P270" s="5" t="n">
        <v>0.08264419709638116</v>
      </c>
      <c r="Q270" s="6" t="n">
        <v>0.08626920872532029</v>
      </c>
      <c r="R270" s="6" t="n">
        <v>0.5431346043626601</v>
      </c>
      <c r="S270" s="6" t="n">
        <v>0.522673031026253</v>
      </c>
      <c r="T270" s="2" t="inlineStr">
        <is>
          <t>Under</t>
        </is>
      </c>
      <c r="U270" s="4" t="n">
        <v>100</v>
      </c>
      <c r="V270" s="2" t="n">
        <v>2</v>
      </c>
      <c r="W270" s="4" t="n">
        <v>100</v>
      </c>
      <c r="X270" s="2" t="n">
        <v>1</v>
      </c>
      <c r="Y270" s="5" t="n">
        <v>1</v>
      </c>
      <c r="Z270" s="7" t="n">
        <v>100</v>
      </c>
      <c r="AA270" s="7">
        <f>Y270*Z270</f>
        <v/>
      </c>
      <c r="AB270" s="6">
        <f>IF(Z270=0,0,AA270/Z270)</f>
        <v/>
      </c>
      <c r="AC270" s="6" t="n"/>
      <c r="AD270" s="2" t="inlineStr">
        <is>
          <t>Win</t>
        </is>
      </c>
      <c r="AE270" s="6">
        <f>IF((COUNTIF($AD$2:AD270,"Win")+COUNTIF($AD$2:AD270,"Loss"))=0,0,COUNTIF($AD$2:AD270,"Win")/(COUNTIF($AD$2:AD270,"Win")+COUNTIF($AD$2:AD270,"Loss")))</f>
        <v/>
      </c>
      <c r="AF270" s="6">
        <f>SUM($Y$2:Y270)/SUM($X$2:X270)</f>
        <v/>
      </c>
      <c r="AG270" s="5">
        <f>SUM($Y$2:Y270)</f>
        <v/>
      </c>
      <c r="AH270" s="7">
        <f>10000.0+SUM($AA$2:AA270)</f>
        <v/>
      </c>
      <c r="AI270" s="2" t="n">
        <v>2026</v>
      </c>
      <c r="AJ270" s="2" t="inlineStr">
        <is>
          <t>2026-04</t>
        </is>
      </c>
      <c r="AK270" s="2" t="inlineStr">
        <is>
          <t>+100 to +120</t>
        </is>
      </c>
      <c r="AL270" s="2" t="inlineStr">
        <is>
          <t>2026 Frozen Test</t>
        </is>
      </c>
      <c r="AM270" s="6" t="n">
        <v>0.08626920872532029</v>
      </c>
    </row>
    <row r="271">
      <c r="A271" s="2" t="inlineStr">
        <is>
          <t>KPROP-00672</t>
        </is>
      </c>
      <c r="B271" s="3" t="n">
        <v>46137.79556712963</v>
      </c>
      <c r="C271" s="3" t="n">
        <v>46137</v>
      </c>
      <c r="D271" s="2" t="inlineStr">
        <is>
          <t>MacKenzie Gore</t>
        </is>
      </c>
      <c r="E271" s="2" t="n">
        <v>140</v>
      </c>
      <c r="F271" s="2" t="n">
        <v>133</v>
      </c>
      <c r="G271" s="2" t="inlineStr">
        <is>
          <t>Home</t>
        </is>
      </c>
      <c r="H271" s="2" t="inlineStr">
        <is>
          <t>betrivers</t>
        </is>
      </c>
      <c r="I271" s="4" t="n"/>
      <c r="J271" s="4" t="n"/>
      <c r="K271" s="4" t="n">
        <v>105</v>
      </c>
      <c r="L271" s="4" t="n">
        <v>105</v>
      </c>
      <c r="M271" s="5" t="n">
        <v>6.5</v>
      </c>
      <c r="N271" s="5" t="n">
        <v>5.67830557062105</v>
      </c>
      <c r="O271" s="5" t="n">
        <v>6.5</v>
      </c>
      <c r="P271" s="5" t="n">
        <v>0.8216944293789501</v>
      </c>
      <c r="Q271" s="6" t="n">
        <v>0.3485353198770403</v>
      </c>
      <c r="R271" s="6" t="n">
        <v>0.6578221072570929</v>
      </c>
      <c r="S271" s="6" t="n">
        <v>0.4675324675324675</v>
      </c>
      <c r="T271" s="2" t="inlineStr">
        <is>
          <t>Under</t>
        </is>
      </c>
      <c r="U271" s="4" t="n">
        <v>105</v>
      </c>
      <c r="V271" s="2" t="n">
        <v>2.05</v>
      </c>
      <c r="W271" s="4" t="n">
        <v>105</v>
      </c>
      <c r="X271" s="2" t="n">
        <v>1</v>
      </c>
      <c r="Y271" s="5" t="n">
        <v>-1</v>
      </c>
      <c r="Z271" s="7" t="n">
        <v>100</v>
      </c>
      <c r="AA271" s="7">
        <f>Y271*Z271</f>
        <v/>
      </c>
      <c r="AB271" s="6">
        <f>IF(Z271=0,0,AA271/Z271)</f>
        <v/>
      </c>
      <c r="AC271" s="6" t="n"/>
      <c r="AD271" s="2" t="inlineStr">
        <is>
          <t>Loss</t>
        </is>
      </c>
      <c r="AE271" s="6">
        <f>IF((COUNTIF($AD$2:AD271,"Win")+COUNTIF($AD$2:AD271,"Loss"))=0,0,COUNTIF($AD$2:AD271,"Win")/(COUNTIF($AD$2:AD271,"Win")+COUNTIF($AD$2:AD271,"Loss")))</f>
        <v/>
      </c>
      <c r="AF271" s="6">
        <f>SUM($Y$2:Y271)/SUM($X$2:X271)</f>
        <v/>
      </c>
      <c r="AG271" s="5">
        <f>SUM($Y$2:Y271)</f>
        <v/>
      </c>
      <c r="AH271" s="7">
        <f>10000.0+SUM($AA$2:AA271)</f>
        <v/>
      </c>
      <c r="AI271" s="2" t="n">
        <v>2026</v>
      </c>
      <c r="AJ271" s="2" t="inlineStr">
        <is>
          <t>2026-04</t>
        </is>
      </c>
      <c r="AK271" s="2" t="inlineStr">
        <is>
          <t>+100 to +120</t>
        </is>
      </c>
      <c r="AL271" s="2" t="inlineStr">
        <is>
          <t>2026 Frozen Test</t>
        </is>
      </c>
      <c r="AM271" s="6" t="n">
        <v>0.3319383998828956</v>
      </c>
    </row>
    <row r="272">
      <c r="A272" s="2" t="inlineStr">
        <is>
          <t>KPROP-00673</t>
        </is>
      </c>
      <c r="B272" s="3" t="n">
        <v>46137.67403935185</v>
      </c>
      <c r="C272" s="3" t="n">
        <v>46137</v>
      </c>
      <c r="D272" s="2" t="inlineStr">
        <is>
          <t>Noah Schultz</t>
        </is>
      </c>
      <c r="E272" s="2" t="n">
        <v>145</v>
      </c>
      <c r="F272" s="2" t="n">
        <v>120</v>
      </c>
      <c r="G272" s="2" t="inlineStr">
        <is>
          <t>Home</t>
        </is>
      </c>
      <c r="H272" s="2" t="inlineStr">
        <is>
          <t>betonlineag</t>
        </is>
      </c>
      <c r="I272" s="4" t="n"/>
      <c r="J272" s="4" t="n"/>
      <c r="K272" s="4" t="n">
        <v>128</v>
      </c>
      <c r="L272" s="4" t="n">
        <v>128</v>
      </c>
      <c r="M272" s="5" t="n">
        <v>4.5</v>
      </c>
      <c r="N272" s="5" t="n">
        <v>4.830841477605175</v>
      </c>
      <c r="O272" s="5" t="n">
        <v>4.5</v>
      </c>
      <c r="P272" s="5" t="n">
        <v>-0.3308414776051753</v>
      </c>
      <c r="Q272" s="6" t="n">
        <v>0.07310314204222623</v>
      </c>
      <c r="R272" s="6" t="n">
        <v>0.4706592728255378</v>
      </c>
      <c r="S272" s="6" t="n">
        <v>0.4411764705882352</v>
      </c>
      <c r="T272" s="2" t="inlineStr">
        <is>
          <t>Under</t>
        </is>
      </c>
      <c r="U272" s="4" t="n">
        <v>128</v>
      </c>
      <c r="V272" s="2" t="n">
        <v>2.28</v>
      </c>
      <c r="W272" s="4" t="n">
        <v>128</v>
      </c>
      <c r="X272" s="2" t="n">
        <v>1</v>
      </c>
      <c r="Y272" s="5" t="n">
        <v>-1</v>
      </c>
      <c r="Z272" s="7" t="n">
        <v>100</v>
      </c>
      <c r="AA272" s="7">
        <f>Y272*Z272</f>
        <v/>
      </c>
      <c r="AB272" s="6">
        <f>IF(Z272=0,0,AA272/Z272)</f>
        <v/>
      </c>
      <c r="AC272" s="6" t="n"/>
      <c r="AD272" s="2" t="inlineStr">
        <is>
          <t>Loss</t>
        </is>
      </c>
      <c r="AE272" s="6">
        <f>IF((COUNTIF($AD$2:AD272,"Win")+COUNTIF($AD$2:AD272,"Loss"))=0,0,COUNTIF($AD$2:AD272,"Win")/(COUNTIF($AD$2:AD272,"Win")+COUNTIF($AD$2:AD272,"Loss")))</f>
        <v/>
      </c>
      <c r="AF272" s="6">
        <f>SUM($Y$2:Y272)/SUM($X$2:X272)</f>
        <v/>
      </c>
      <c r="AG272" s="5">
        <f>SUM($Y$2:Y272)</f>
        <v/>
      </c>
      <c r="AH272" s="7">
        <f>10000.0+SUM($AA$2:AA272)</f>
        <v/>
      </c>
      <c r="AI272" s="2" t="n">
        <v>2026</v>
      </c>
      <c r="AJ272" s="2" t="inlineStr">
        <is>
          <t>2026-04</t>
        </is>
      </c>
      <c r="AK272" s="2" t="inlineStr">
        <is>
          <t>+121 to +150</t>
        </is>
      </c>
      <c r="AL272" s="2" t="inlineStr">
        <is>
          <t>2026 Frozen Test</t>
        </is>
      </c>
      <c r="AM272" s="6" t="n">
        <v>0.05711182972048923</v>
      </c>
    </row>
    <row r="273">
      <c r="A273" s="2" t="inlineStr">
        <is>
          <t>KPROP-00674</t>
        </is>
      </c>
      <c r="B273" s="3" t="n">
        <v>46137.67056712963</v>
      </c>
      <c r="C273" s="3" t="n">
        <v>46137</v>
      </c>
      <c r="D273" s="2" t="inlineStr">
        <is>
          <t>Robbie Ray</t>
        </is>
      </c>
      <c r="E273" s="2" t="n">
        <v>137</v>
      </c>
      <c r="F273" s="2" t="n">
        <v>146</v>
      </c>
      <c r="G273" s="2" t="inlineStr">
        <is>
          <t>Home</t>
        </is>
      </c>
      <c r="H273" s="2" t="inlineStr">
        <is>
          <t>bovada</t>
        </is>
      </c>
      <c r="I273" s="4" t="n"/>
      <c r="J273" s="4" t="n"/>
      <c r="K273" s="4" t="n">
        <v>120</v>
      </c>
      <c r="L273" s="4" t="n">
        <v>120</v>
      </c>
      <c r="M273" s="5" t="n">
        <v>5.5</v>
      </c>
      <c r="N273" s="5" t="n">
        <v>5.338687069668536</v>
      </c>
      <c r="O273" s="5" t="n">
        <v>5.5</v>
      </c>
      <c r="P273" s="5" t="n">
        <v>0.161312930331464</v>
      </c>
      <c r="Q273" s="6" t="n">
        <v>0.2248527210438719</v>
      </c>
      <c r="R273" s="6" t="n">
        <v>0.5567512368381236</v>
      </c>
      <c r="S273" s="6" t="n">
        <v>0.4343971631205674</v>
      </c>
      <c r="T273" s="2" t="inlineStr">
        <is>
          <t>Under</t>
        </is>
      </c>
      <c r="U273" s="4" t="n">
        <v>120</v>
      </c>
      <c r="V273" s="2" t="n">
        <v>2.2</v>
      </c>
      <c r="W273" s="4" t="n">
        <v>120</v>
      </c>
      <c r="X273" s="2" t="n">
        <v>1</v>
      </c>
      <c r="Y273" s="5" t="n">
        <v>1.2</v>
      </c>
      <c r="Z273" s="7" t="n">
        <v>100</v>
      </c>
      <c r="AA273" s="7">
        <f>Y273*Z273</f>
        <v/>
      </c>
      <c r="AB273" s="6">
        <f>IF(Z273=0,0,AA273/Z273)</f>
        <v/>
      </c>
      <c r="AC273" s="6" t="n"/>
      <c r="AD273" s="2" t="inlineStr">
        <is>
          <t>Win</t>
        </is>
      </c>
      <c r="AE273" s="6">
        <f>IF((COUNTIF($AD$2:AD273,"Win")+COUNTIF($AD$2:AD273,"Loss"))=0,0,COUNTIF($AD$2:AD273,"Win")/(COUNTIF($AD$2:AD273,"Win")+COUNTIF($AD$2:AD273,"Loss")))</f>
        <v/>
      </c>
      <c r="AF273" s="6">
        <f>SUM($Y$2:Y273)/SUM($X$2:X273)</f>
        <v/>
      </c>
      <c r="AG273" s="5">
        <f>SUM($Y$2:Y273)</f>
        <v/>
      </c>
      <c r="AH273" s="7">
        <f>10000.0+SUM($AA$2:AA273)</f>
        <v/>
      </c>
      <c r="AI273" s="2" t="n">
        <v>2026</v>
      </c>
      <c r="AJ273" s="2" t="inlineStr">
        <is>
          <t>2026-04</t>
        </is>
      </c>
      <c r="AK273" s="2" t="inlineStr">
        <is>
          <t>+100 to +120</t>
        </is>
      </c>
      <c r="AL273" s="2" t="inlineStr">
        <is>
          <t>2026 Frozen Test</t>
        </is>
      </c>
      <c r="AM273" s="6" t="n">
        <v>0.1873772675365599</v>
      </c>
    </row>
    <row r="274">
      <c r="A274" s="2" t="inlineStr">
        <is>
          <t>KPROP-00675</t>
        </is>
      </c>
      <c r="B274" s="3" t="n">
        <v>46137.67056712963</v>
      </c>
      <c r="C274" s="3" t="n">
        <v>46137</v>
      </c>
      <c r="D274" s="2" t="inlineStr">
        <is>
          <t>Robbie Ray</t>
        </is>
      </c>
      <c r="E274" s="2" t="n">
        <v>137</v>
      </c>
      <c r="F274" s="2" t="n">
        <v>146</v>
      </c>
      <c r="G274" s="2" t="inlineStr">
        <is>
          <t>Home</t>
        </is>
      </c>
      <c r="H274" s="2" t="inlineStr">
        <is>
          <t>betrivers</t>
        </is>
      </c>
      <c r="I274" s="4" t="n"/>
      <c r="J274" s="4" t="n"/>
      <c r="K274" s="4" t="n">
        <v>-180</v>
      </c>
      <c r="L274" s="4" t="n">
        <v>-180</v>
      </c>
      <c r="M274" s="5" t="n">
        <v>6.5</v>
      </c>
      <c r="N274" s="5" t="n">
        <v>5.338687069668536</v>
      </c>
      <c r="O274" s="5" t="n">
        <v>6.5</v>
      </c>
      <c r="P274" s="5" t="n">
        <v>1.161312930331464</v>
      </c>
      <c r="Q274" s="6" t="n">
        <v>0.1062710208867348</v>
      </c>
      <c r="R274" s="6" t="n">
        <v>0.711174227712901</v>
      </c>
      <c r="S274" s="6" t="n">
        <v>0.5996568487274806</v>
      </c>
      <c r="T274" s="2" t="inlineStr">
        <is>
          <t>Under</t>
        </is>
      </c>
      <c r="U274" s="4" t="n">
        <v>-180</v>
      </c>
      <c r="V274" s="2" t="n">
        <v>1.555555555555556</v>
      </c>
      <c r="W274" s="4" t="n">
        <v>-180</v>
      </c>
      <c r="X274" s="2" t="n">
        <v>1</v>
      </c>
      <c r="Y274" s="5" t="n">
        <v>0.5555555555555556</v>
      </c>
      <c r="Z274" s="7" t="n">
        <v>100</v>
      </c>
      <c r="AA274" s="7">
        <f>Y274*Z274</f>
        <v/>
      </c>
      <c r="AB274" s="6">
        <f>IF(Z274=0,0,AA274/Z274)</f>
        <v/>
      </c>
      <c r="AC274" s="6" t="n"/>
      <c r="AD274" s="2" t="inlineStr">
        <is>
          <t>Win</t>
        </is>
      </c>
      <c r="AE274" s="6">
        <f>IF((COUNTIF($AD$2:AD274,"Win")+COUNTIF($AD$2:AD274,"Loss"))=0,0,COUNTIF($AD$2:AD274,"Win")/(COUNTIF($AD$2:AD274,"Win")+COUNTIF($AD$2:AD274,"Loss")))</f>
        <v/>
      </c>
      <c r="AF274" s="6">
        <f>SUM($Y$2:Y274)/SUM($X$2:X274)</f>
        <v/>
      </c>
      <c r="AG274" s="5">
        <f>SUM($Y$2:Y274)</f>
        <v/>
      </c>
      <c r="AH274" s="7">
        <f>10000.0+SUM($AA$2:AA274)</f>
        <v/>
      </c>
      <c r="AI274" s="2" t="n">
        <v>2026</v>
      </c>
      <c r="AJ274" s="2" t="inlineStr">
        <is>
          <t>2026-04</t>
        </is>
      </c>
      <c r="AK274" s="2" t="inlineStr">
        <is>
          <t>&lt;= -150</t>
        </is>
      </c>
      <c r="AL274" s="2" t="inlineStr">
        <is>
          <t>2026 Frozen Test</t>
        </is>
      </c>
      <c r="AM274" s="6" t="n">
        <v>0.1912878375961227</v>
      </c>
    </row>
    <row r="275">
      <c r="A275" s="2" t="inlineStr">
        <is>
          <t>KPROP-00676</t>
        </is>
      </c>
      <c r="B275" s="3" t="n">
        <v>46137.50391203703</v>
      </c>
      <c r="C275" s="3" t="n">
        <v>46137</v>
      </c>
      <c r="D275" s="2" t="inlineStr">
        <is>
          <t>Trevor Rogers</t>
        </is>
      </c>
      <c r="E275" s="2" t="n">
        <v>110</v>
      </c>
      <c r="F275" s="2" t="n">
        <v>111</v>
      </c>
      <c r="G275" s="2" t="inlineStr">
        <is>
          <t>Home</t>
        </is>
      </c>
      <c r="H275" s="2" t="inlineStr">
        <is>
          <t>betmgm</t>
        </is>
      </c>
      <c r="I275" s="4" t="n"/>
      <c r="J275" s="4" t="n"/>
      <c r="K275" s="4" t="n">
        <v>-125</v>
      </c>
      <c r="L275" s="4" t="n">
        <v>-125</v>
      </c>
      <c r="M275" s="5" t="n">
        <v>5.5</v>
      </c>
      <c r="N275" s="5" t="n">
        <v>5.102021118689743</v>
      </c>
      <c r="O275" s="5" t="n">
        <v>5.5</v>
      </c>
      <c r="P275" s="5" t="n">
        <v>0.3979788813102569</v>
      </c>
      <c r="Q275" s="6" t="n">
        <v>0.07651776275210365</v>
      </c>
      <c r="R275" s="6" t="n">
        <v>0.5980654237511687</v>
      </c>
      <c r="S275" s="6" t="n">
        <v>0.5384615384615385</v>
      </c>
      <c r="T275" s="2" t="inlineStr">
        <is>
          <t>Under</t>
        </is>
      </c>
      <c r="U275" s="4" t="n">
        <v>-125</v>
      </c>
      <c r="V275" s="2" t="n">
        <v>1.8</v>
      </c>
      <c r="W275" s="4" t="n">
        <v>-125</v>
      </c>
      <c r="X275" s="2" t="n">
        <v>1</v>
      </c>
      <c r="Y275" s="5" t="n">
        <v>0.8</v>
      </c>
      <c r="Z275" s="7" t="n">
        <v>100</v>
      </c>
      <c r="AA275" s="7">
        <f>Y275*Z275</f>
        <v/>
      </c>
      <c r="AB275" s="6">
        <f>IF(Z275=0,0,AA275/Z275)</f>
        <v/>
      </c>
      <c r="AC275" s="6" t="n"/>
      <c r="AD275" s="2" t="inlineStr">
        <is>
          <t>Win</t>
        </is>
      </c>
      <c r="AE275" s="6">
        <f>IF((COUNTIF($AD$2:AD275,"Win")+COUNTIF($AD$2:AD275,"Loss"))=0,0,COUNTIF($AD$2:AD275,"Win")/(COUNTIF($AD$2:AD275,"Win")+COUNTIF($AD$2:AD275,"Loss")))</f>
        <v/>
      </c>
      <c r="AF275" s="6">
        <f>SUM($Y$2:Y275)/SUM($X$2:X275)</f>
        <v/>
      </c>
      <c r="AG275" s="5">
        <f>SUM($Y$2:Y275)</f>
        <v/>
      </c>
      <c r="AH275" s="7">
        <f>10000.0+SUM($AA$2:AA275)</f>
        <v/>
      </c>
      <c r="AI275" s="2" t="n">
        <v>2026</v>
      </c>
      <c r="AJ275" s="2" t="inlineStr">
        <is>
          <t>2026-04</t>
        </is>
      </c>
      <c r="AK275" s="2" t="inlineStr">
        <is>
          <t>-149 to -120</t>
        </is>
      </c>
      <c r="AL275" s="2" t="inlineStr">
        <is>
          <t>2026 Frozen Test</t>
        </is>
      </c>
      <c r="AM275" s="6" t="n">
        <v>0.09564720344012956</v>
      </c>
    </row>
    <row r="276">
      <c r="A276" s="2" t="inlineStr">
        <is>
          <t>KPROP-00677</t>
        </is>
      </c>
      <c r="B276" s="3" t="n">
        <v>46138.56640046297</v>
      </c>
      <c r="C276" s="3" t="n">
        <v>46138</v>
      </c>
      <c r="D276" s="2" t="inlineStr">
        <is>
          <t>Aaron Nola</t>
        </is>
      </c>
      <c r="E276" s="2" t="n">
        <v>143</v>
      </c>
      <c r="F276" s="2" t="n">
        <v>144</v>
      </c>
      <c r="G276" s="2" t="inlineStr">
        <is>
          <t>Away</t>
        </is>
      </c>
      <c r="H276" s="2" t="inlineStr">
        <is>
          <t>betrivers</t>
        </is>
      </c>
      <c r="I276" s="4" t="n"/>
      <c r="J276" s="4" t="n"/>
      <c r="K276" s="4" t="n">
        <v>125</v>
      </c>
      <c r="L276" s="4" t="n">
        <v>125</v>
      </c>
      <c r="M276" s="5" t="n">
        <v>4.5</v>
      </c>
      <c r="N276" s="5" t="n">
        <v>4.728928264006021</v>
      </c>
      <c r="O276" s="5" t="n">
        <v>4.5</v>
      </c>
      <c r="P276" s="5" t="n">
        <v>-0.2289282640060213</v>
      </c>
      <c r="Q276" s="6" t="n">
        <v>0.1008594409894343</v>
      </c>
      <c r="R276" s="6" t="n">
        <v>0.4892708626619708</v>
      </c>
      <c r="S276" s="6" t="n">
        <v>0.4193548387096774</v>
      </c>
      <c r="T276" s="2" t="inlineStr">
        <is>
          <t>Under</t>
        </is>
      </c>
      <c r="U276" s="4" t="n">
        <v>125</v>
      </c>
      <c r="V276" s="2" t="n">
        <v>2.25</v>
      </c>
      <c r="W276" s="4" t="n">
        <v>125</v>
      </c>
      <c r="X276" s="2" t="n">
        <v>1</v>
      </c>
      <c r="Y276" s="5" t="n">
        <v>-1</v>
      </c>
      <c r="Z276" s="7" t="n">
        <v>100</v>
      </c>
      <c r="AA276" s="7">
        <f>Y276*Z276</f>
        <v/>
      </c>
      <c r="AB276" s="6">
        <f>IF(Z276=0,0,AA276/Z276)</f>
        <v/>
      </c>
      <c r="AC276" s="6" t="n"/>
      <c r="AD276" s="2" t="inlineStr">
        <is>
          <t>Loss</t>
        </is>
      </c>
      <c r="AE276" s="6">
        <f>IF((COUNTIF($AD$2:AD276,"Win")+COUNTIF($AD$2:AD276,"Loss"))=0,0,COUNTIF($AD$2:AD276,"Win")/(COUNTIF($AD$2:AD276,"Win")+COUNTIF($AD$2:AD276,"Loss")))</f>
        <v/>
      </c>
      <c r="AF276" s="6">
        <f>SUM($Y$2:Y276)/SUM($X$2:X276)</f>
        <v/>
      </c>
      <c r="AG276" s="5">
        <f>SUM($Y$2:Y276)</f>
        <v/>
      </c>
      <c r="AH276" s="7">
        <f>10000.0+SUM($AA$2:AA276)</f>
        <v/>
      </c>
      <c r="AI276" s="2" t="n">
        <v>2026</v>
      </c>
      <c r="AJ276" s="2" t="inlineStr">
        <is>
          <t>2026-04</t>
        </is>
      </c>
      <c r="AK276" s="2" t="inlineStr">
        <is>
          <t>+121 to +150</t>
        </is>
      </c>
      <c r="AL276" s="2" t="inlineStr">
        <is>
          <t>2026 Frozen Test</t>
        </is>
      </c>
      <c r="AM276" s="6" t="n">
        <v>0.08068755279154746</v>
      </c>
    </row>
    <row r="277">
      <c r="A277" s="2" t="inlineStr">
        <is>
          <t>KPROP-00678</t>
        </is>
      </c>
      <c r="B277" s="3" t="n">
        <v>46138.59070601852</v>
      </c>
      <c r="C277" s="3" t="n">
        <v>46138</v>
      </c>
      <c r="D277" s="2" t="inlineStr">
        <is>
          <t>Carmen Mlodzinski</t>
        </is>
      </c>
      <c r="E277" s="2" t="n">
        <v>134</v>
      </c>
      <c r="F277" s="2" t="n">
        <v>158</v>
      </c>
      <c r="G277" s="2" t="inlineStr">
        <is>
          <t>Away</t>
        </is>
      </c>
      <c r="H277" s="2" t="inlineStr">
        <is>
          <t>betrivers</t>
        </is>
      </c>
      <c r="I277" s="4" t="n"/>
      <c r="J277" s="4" t="n"/>
      <c r="K277" s="4" t="n">
        <v>108</v>
      </c>
      <c r="L277" s="4" t="n">
        <v>108</v>
      </c>
      <c r="M277" s="5" t="n">
        <v>4.5</v>
      </c>
      <c r="N277" s="5" t="n">
        <v>4.572053871670708</v>
      </c>
      <c r="O277" s="5" t="n">
        <v>4.5</v>
      </c>
      <c r="P277" s="5" t="n">
        <v>-0.07205387167070842</v>
      </c>
      <c r="Q277" s="6" t="n">
        <v>0.07844694442448708</v>
      </c>
      <c r="R277" s="6" t="n">
        <v>0.518484107896388</v>
      </c>
      <c r="S277" s="6" t="n">
        <v>0.4684838160136286</v>
      </c>
      <c r="T277" s="2" t="inlineStr">
        <is>
          <t>Under</t>
        </is>
      </c>
      <c r="U277" s="4" t="n">
        <v>108</v>
      </c>
      <c r="V277" s="2" t="n">
        <v>2.08</v>
      </c>
      <c r="W277" s="4" t="n">
        <v>108</v>
      </c>
      <c r="X277" s="2" t="n">
        <v>1</v>
      </c>
      <c r="Y277" s="5" t="n">
        <v>1.08</v>
      </c>
      <c r="Z277" s="7" t="n">
        <v>100</v>
      </c>
      <c r="AA277" s="7">
        <f>Y277*Z277</f>
        <v/>
      </c>
      <c r="AB277" s="6">
        <f>IF(Z277=0,0,AA277/Z277)</f>
        <v/>
      </c>
      <c r="AC277" s="6" t="n"/>
      <c r="AD277" s="2" t="inlineStr">
        <is>
          <t>Win</t>
        </is>
      </c>
      <c r="AE277" s="6">
        <f>IF((COUNTIF($AD$2:AD277,"Win")+COUNTIF($AD$2:AD277,"Loss"))=0,0,COUNTIF($AD$2:AD277,"Win")/(COUNTIF($AD$2:AD277,"Win")+COUNTIF($AD$2:AD277,"Loss")))</f>
        <v/>
      </c>
      <c r="AF277" s="6">
        <f>SUM($Y$2:Y277)/SUM($X$2:X277)</f>
        <v/>
      </c>
      <c r="AG277" s="5">
        <f>SUM($Y$2:Y277)</f>
        <v/>
      </c>
      <c r="AH277" s="7">
        <f>10000.0+SUM($AA$2:AA277)</f>
        <v/>
      </c>
      <c r="AI277" s="2" t="n">
        <v>2026</v>
      </c>
      <c r="AJ277" s="2" t="inlineStr">
        <is>
          <t>2026-04</t>
        </is>
      </c>
      <c r="AK277" s="2" t="inlineStr">
        <is>
          <t>+100 to +120</t>
        </is>
      </c>
      <c r="AL277" s="2" t="inlineStr">
        <is>
          <t>2026 Frozen Test</t>
        </is>
      </c>
      <c r="AM277" s="6" t="n">
        <v>0.07263605965230284</v>
      </c>
    </row>
    <row r="278">
      <c r="A278" s="2" t="inlineStr">
        <is>
          <t>KPROP-00679</t>
        </is>
      </c>
      <c r="B278" s="3" t="n">
        <v>46138.56640046297</v>
      </c>
      <c r="C278" s="3" t="n">
        <v>46138</v>
      </c>
      <c r="D278" s="2" t="inlineStr">
        <is>
          <t>Chris Sale</t>
        </is>
      </c>
      <c r="E278" s="2" t="n">
        <v>144</v>
      </c>
      <c r="F278" s="2" t="n">
        <v>143</v>
      </c>
      <c r="G278" s="2" t="inlineStr">
        <is>
          <t>Home</t>
        </is>
      </c>
      <c r="H278" s="2" t="inlineStr">
        <is>
          <t>betrivers</t>
        </is>
      </c>
      <c r="I278" s="4" t="n"/>
      <c r="J278" s="4" t="n"/>
      <c r="K278" s="4" t="n">
        <v>112</v>
      </c>
      <c r="L278" s="4" t="n">
        <v>112</v>
      </c>
      <c r="M278" s="5" t="n">
        <v>6.5</v>
      </c>
      <c r="N278" s="5" t="n">
        <v>6.371434766829218</v>
      </c>
      <c r="O278" s="5" t="n">
        <v>6.5</v>
      </c>
      <c r="P278" s="5" t="n">
        <v>0.1285652331707823</v>
      </c>
      <c r="Q278" s="6" t="n">
        <v>0.159349229363806</v>
      </c>
      <c r="R278" s="6" t="n">
        <v>0.5468628440395311</v>
      </c>
      <c r="S278" s="6" t="n">
        <v>0.4508825786646201</v>
      </c>
      <c r="T278" s="2" t="inlineStr">
        <is>
          <t>Under</t>
        </is>
      </c>
      <c r="U278" s="4" t="n">
        <v>112</v>
      </c>
      <c r="V278" s="2" t="n">
        <v>2.12</v>
      </c>
      <c r="W278" s="4" t="n">
        <v>112</v>
      </c>
      <c r="X278" s="2" t="n">
        <v>1</v>
      </c>
      <c r="Y278" s="5" t="n">
        <v>-1</v>
      </c>
      <c r="Z278" s="7" t="n">
        <v>100</v>
      </c>
      <c r="AA278" s="7">
        <f>Y278*Z278</f>
        <v/>
      </c>
      <c r="AB278" s="6">
        <f>IF(Z278=0,0,AA278/Z278)</f>
        <v/>
      </c>
      <c r="AC278" s="6" t="n"/>
      <c r="AD278" s="2" t="inlineStr">
        <is>
          <t>Loss</t>
        </is>
      </c>
      <c r="AE278" s="6">
        <f>IF((COUNTIF($AD$2:AD278,"Win")+COUNTIF($AD$2:AD278,"Loss"))=0,0,COUNTIF($AD$2:AD278,"Win")/(COUNTIF($AD$2:AD278,"Win")+COUNTIF($AD$2:AD278,"Loss")))</f>
        <v/>
      </c>
      <c r="AF278" s="6">
        <f>SUM($Y$2:Y278)/SUM($X$2:X278)</f>
        <v/>
      </c>
      <c r="AG278" s="5">
        <f>SUM($Y$2:Y278)</f>
        <v/>
      </c>
      <c r="AH278" s="7">
        <f>10000.0+SUM($AA$2:AA278)</f>
        <v/>
      </c>
      <c r="AI278" s="2" t="n">
        <v>2026</v>
      </c>
      <c r="AJ278" s="2" t="inlineStr">
        <is>
          <t>2026-04</t>
        </is>
      </c>
      <c r="AK278" s="2" t="inlineStr">
        <is>
          <t>+100 to +120</t>
        </is>
      </c>
      <c r="AL278" s="2" t="inlineStr">
        <is>
          <t>2026 Frozen Test</t>
        </is>
      </c>
      <c r="AM278" s="6" t="n">
        <v>0.1422760976462554</v>
      </c>
    </row>
    <row r="279">
      <c r="A279" s="2" t="inlineStr">
        <is>
          <t>KPROP-00680</t>
        </is>
      </c>
      <c r="B279" s="3" t="n">
        <v>46138.56640046297</v>
      </c>
      <c r="C279" s="3" t="n">
        <v>46138</v>
      </c>
      <c r="D279" s="2" t="inlineStr">
        <is>
          <t>Chris Sale</t>
        </is>
      </c>
      <c r="E279" s="2" t="n">
        <v>144</v>
      </c>
      <c r="F279" s="2" t="n">
        <v>143</v>
      </c>
      <c r="G279" s="2" t="inlineStr">
        <is>
          <t>Home</t>
        </is>
      </c>
      <c r="H279" s="2" t="inlineStr">
        <is>
          <t>betrivers</t>
        </is>
      </c>
      <c r="I279" s="4" t="n"/>
      <c r="J279" s="4" t="n"/>
      <c r="K279" s="4" t="n">
        <v>-182</v>
      </c>
      <c r="L279" s="4" t="n">
        <v>-182</v>
      </c>
      <c r="M279" s="5" t="n">
        <v>7.5</v>
      </c>
      <c r="N279" s="5" t="n">
        <v>6.371434766829218</v>
      </c>
      <c r="O279" s="5" t="n">
        <v>7.5</v>
      </c>
      <c r="P279" s="5" t="n">
        <v>1.128565233170782</v>
      </c>
      <c r="Q279" s="6" t="n">
        <v>0.07137866018305011</v>
      </c>
      <c r="R279" s="6" t="n">
        <v>0.6914571494798408</v>
      </c>
      <c r="S279" s="6" t="n">
        <v>0.6026490066225165</v>
      </c>
      <c r="T279" s="2" t="inlineStr">
        <is>
          <t>Under</t>
        </is>
      </c>
      <c r="U279" s="4" t="n">
        <v>-182</v>
      </c>
      <c r="V279" s="2" t="n">
        <v>1.549450549450549</v>
      </c>
      <c r="W279" s="4" t="n">
        <v>-182</v>
      </c>
      <c r="X279" s="2" t="n">
        <v>1</v>
      </c>
      <c r="Y279" s="5" t="n">
        <v>-1</v>
      </c>
      <c r="Z279" s="7" t="n">
        <v>100</v>
      </c>
      <c r="AA279" s="7">
        <f>Y279*Z279</f>
        <v/>
      </c>
      <c r="AB279" s="6">
        <f>IF(Z279=0,0,AA279/Z279)</f>
        <v/>
      </c>
      <c r="AC279" s="6" t="n"/>
      <c r="AD279" s="2" t="inlineStr">
        <is>
          <t>Loss</t>
        </is>
      </c>
      <c r="AE279" s="6">
        <f>IF((COUNTIF($AD$2:AD279,"Win")+COUNTIF($AD$2:AD279,"Loss"))=0,0,COUNTIF($AD$2:AD279,"Win")/(COUNTIF($AD$2:AD279,"Win")+COUNTIF($AD$2:AD279,"Loss")))</f>
        <v/>
      </c>
      <c r="AF279" s="6">
        <f>SUM($Y$2:Y279)/SUM($X$2:X279)</f>
        <v/>
      </c>
      <c r="AG279" s="5">
        <f>SUM($Y$2:Y279)</f>
        <v/>
      </c>
      <c r="AH279" s="7">
        <f>10000.0+SUM($AA$2:AA279)</f>
        <v/>
      </c>
      <c r="AI279" s="2" t="n">
        <v>2026</v>
      </c>
      <c r="AJ279" s="2" t="inlineStr">
        <is>
          <t>2026-04</t>
        </is>
      </c>
      <c r="AK279" s="2" t="inlineStr">
        <is>
          <t>&lt;= -150</t>
        </is>
      </c>
      <c r="AL279" s="2" t="inlineStr">
        <is>
          <t>2026 Frozen Test</t>
        </is>
      </c>
      <c r="AM279" s="6" t="n">
        <v>0.1299091615331512</v>
      </c>
    </row>
    <row r="280">
      <c r="A280" s="2" t="inlineStr">
        <is>
          <t>KPROP-00681</t>
        </is>
      </c>
      <c r="B280" s="3" t="n">
        <v>46138.71571759259</v>
      </c>
      <c r="C280" s="3" t="n">
        <v>46138</v>
      </c>
      <c r="D280" s="2" t="inlineStr">
        <is>
          <t>Kodai Senga</t>
        </is>
      </c>
      <c r="E280" s="2" t="n">
        <v>121</v>
      </c>
      <c r="F280" s="2" t="n">
        <v>115</v>
      </c>
      <c r="G280" s="2" t="inlineStr">
        <is>
          <t>Home</t>
        </is>
      </c>
      <c r="H280" s="2" t="inlineStr">
        <is>
          <t>bovada</t>
        </is>
      </c>
      <c r="I280" s="4" t="n"/>
      <c r="J280" s="4" t="n"/>
      <c r="K280" s="4" t="n">
        <v>110</v>
      </c>
      <c r="L280" s="4" t="n">
        <v>110</v>
      </c>
      <c r="M280" s="5" t="n">
        <v>5.5</v>
      </c>
      <c r="N280" s="5" t="n">
        <v>5.343346600781352</v>
      </c>
      <c r="O280" s="5" t="n">
        <v>5.5</v>
      </c>
      <c r="P280" s="5" t="n">
        <v>0.1566533992186478</v>
      </c>
      <c r="Q280" s="6" t="n">
        <v>0.1674796438598332</v>
      </c>
      <c r="R280" s="6" t="n">
        <v>0.5559426875523015</v>
      </c>
      <c r="S280" s="6" t="n">
        <v>0.4465592972181552</v>
      </c>
      <c r="T280" s="2" t="inlineStr">
        <is>
          <t>Under</t>
        </is>
      </c>
      <c r="U280" s="4" t="n">
        <v>110</v>
      </c>
      <c r="V280" s="2" t="n">
        <v>2.1</v>
      </c>
      <c r="W280" s="4" t="n">
        <v>110</v>
      </c>
      <c r="X280" s="2" t="n">
        <v>1</v>
      </c>
      <c r="Y280" s="5" t="n">
        <v>1.1</v>
      </c>
      <c r="Z280" s="7" t="n">
        <v>100</v>
      </c>
      <c r="AA280" s="7">
        <f>Y280*Z280</f>
        <v/>
      </c>
      <c r="AB280" s="6">
        <f>IF(Z280=0,0,AA280/Z280)</f>
        <v/>
      </c>
      <c r="AC280" s="6" t="n"/>
      <c r="AD280" s="2" t="inlineStr">
        <is>
          <t>Win</t>
        </is>
      </c>
      <c r="AE280" s="6">
        <f>IF((COUNTIF($AD$2:AD280,"Win")+COUNTIF($AD$2:AD280,"Loss"))=0,0,COUNTIF($AD$2:AD280,"Win")/(COUNTIF($AD$2:AD280,"Win")+COUNTIF($AD$2:AD280,"Loss")))</f>
        <v/>
      </c>
      <c r="AF280" s="6">
        <f>SUM($Y$2:Y280)/SUM($X$2:X280)</f>
        <v/>
      </c>
      <c r="AG280" s="5">
        <f>SUM($Y$2:Y280)</f>
        <v/>
      </c>
      <c r="AH280" s="7">
        <f>10000.0+SUM($AA$2:AA280)</f>
        <v/>
      </c>
      <c r="AI280" s="2" t="n">
        <v>2026</v>
      </c>
      <c r="AJ280" s="2" t="inlineStr">
        <is>
          <t>2026-04</t>
        </is>
      </c>
      <c r="AK280" s="2" t="inlineStr">
        <is>
          <t>+100 to +120</t>
        </is>
      </c>
      <c r="AL280" s="2" t="inlineStr">
        <is>
          <t>2026 Frozen Test</t>
        </is>
      </c>
      <c r="AM280" s="6" t="n">
        <v>0.1522542216907574</v>
      </c>
    </row>
    <row r="281">
      <c r="A281" s="2" t="inlineStr">
        <is>
          <t>KPROP-00682</t>
        </is>
      </c>
      <c r="B281" s="3" t="n">
        <v>46138.60806712963</v>
      </c>
      <c r="C281" s="3" t="n">
        <v>46138</v>
      </c>
      <c r="D281" s="2" t="inlineStr">
        <is>
          <t>Kumar Rocker</t>
        </is>
      </c>
      <c r="E281" s="2" t="n">
        <v>140</v>
      </c>
      <c r="F281" s="2" t="n">
        <v>133</v>
      </c>
      <c r="G281" s="2" t="inlineStr">
        <is>
          <t>Home</t>
        </is>
      </c>
      <c r="H281" s="2" t="inlineStr">
        <is>
          <t>betrivers</t>
        </is>
      </c>
      <c r="I281" s="4" t="n"/>
      <c r="J281" s="4" t="n"/>
      <c r="K281" s="4" t="n">
        <v>-108</v>
      </c>
      <c r="L281" s="4" t="n">
        <v>-108</v>
      </c>
      <c r="M281" s="5" t="n">
        <v>4.5</v>
      </c>
      <c r="N281" s="5" t="n">
        <v>4.311000638859488</v>
      </c>
      <c r="O281" s="5" t="n">
        <v>4.5</v>
      </c>
      <c r="P281" s="5" t="n">
        <v>0.1889993611405121</v>
      </c>
      <c r="Q281" s="6" t="n">
        <v>0.09452813007114781</v>
      </c>
      <c r="R281" s="6" t="n">
        <v>0.5683126829215575</v>
      </c>
      <c r="S281" s="6" t="n">
        <v>0.5034106412005458</v>
      </c>
      <c r="T281" s="2" t="inlineStr">
        <is>
          <t>Under</t>
        </is>
      </c>
      <c r="U281" s="4" t="n">
        <v>-108</v>
      </c>
      <c r="V281" s="2" t="n">
        <v>1.925925925925926</v>
      </c>
      <c r="W281" s="4" t="n">
        <v>-108</v>
      </c>
      <c r="X281" s="2" t="n">
        <v>1</v>
      </c>
      <c r="Y281" s="5" t="n">
        <v>0.925925925925926</v>
      </c>
      <c r="Z281" s="7" t="n">
        <v>100</v>
      </c>
      <c r="AA281" s="7">
        <f>Y281*Z281</f>
        <v/>
      </c>
      <c r="AB281" s="6">
        <f>IF(Z281=0,0,AA281/Z281)</f>
        <v/>
      </c>
      <c r="AC281" s="6" t="n"/>
      <c r="AD281" s="2" t="inlineStr">
        <is>
          <t>Win</t>
        </is>
      </c>
      <c r="AE281" s="6">
        <f>IF((COUNTIF($AD$2:AD281,"Win")+COUNTIF($AD$2:AD281,"Loss"))=0,0,COUNTIF($AD$2:AD281,"Win")/(COUNTIF($AD$2:AD281,"Win")+COUNTIF($AD$2:AD281,"Loss")))</f>
        <v/>
      </c>
      <c r="AF281" s="6">
        <f>SUM($Y$2:Y281)/SUM($X$2:X281)</f>
        <v/>
      </c>
      <c r="AG281" s="5">
        <f>SUM($Y$2:Y281)</f>
        <v/>
      </c>
      <c r="AH281" s="7">
        <f>10000.0+SUM($AA$2:AA281)</f>
        <v/>
      </c>
      <c r="AI281" s="2" t="n">
        <v>2026</v>
      </c>
      <c r="AJ281" s="2" t="inlineStr">
        <is>
          <t>2026-04</t>
        </is>
      </c>
      <c r="AK281" s="2" t="inlineStr">
        <is>
          <t>-119 to -101</t>
        </is>
      </c>
      <c r="AL281" s="2" t="inlineStr">
        <is>
          <t>2026 Frozen Test</t>
        </is>
      </c>
      <c r="AM281" s="6" t="n">
        <v>0.1020903804768396</v>
      </c>
    </row>
    <row r="282">
      <c r="A282" s="2" t="inlineStr">
        <is>
          <t>KPROP-00683</t>
        </is>
      </c>
      <c r="B282" s="3" t="n">
        <v>46138.59070601852</v>
      </c>
      <c r="C282" s="3" t="n">
        <v>46138</v>
      </c>
      <c r="D282" s="2" t="inlineStr">
        <is>
          <t>Kyle Harrison</t>
        </is>
      </c>
      <c r="E282" s="2" t="n">
        <v>158</v>
      </c>
      <c r="F282" s="2" t="n">
        <v>134</v>
      </c>
      <c r="G282" s="2" t="inlineStr">
        <is>
          <t>Home</t>
        </is>
      </c>
      <c r="H282" s="2" t="inlineStr">
        <is>
          <t>fanduel</t>
        </is>
      </c>
      <c r="I282" s="4" t="n"/>
      <c r="J282" s="4" t="n"/>
      <c r="K282" s="4" t="n">
        <v>106</v>
      </c>
      <c r="L282" s="4" t="n">
        <v>106</v>
      </c>
      <c r="M282" s="5" t="n">
        <v>5.5</v>
      </c>
      <c r="N282" s="5" t="n">
        <v>5.028285501619282</v>
      </c>
      <c r="O282" s="5" t="n">
        <v>5.5</v>
      </c>
      <c r="P282" s="5" t="n">
        <v>0.4717144983807184</v>
      </c>
      <c r="Q282" s="6" t="n">
        <v>0.2586550647511423</v>
      </c>
      <c r="R282" s="6" t="n">
        <v>0.6109976042481273</v>
      </c>
      <c r="S282" s="6" t="n">
        <v>0.4690272965435646</v>
      </c>
      <c r="T282" s="2" t="inlineStr">
        <is>
          <t>Under</t>
        </is>
      </c>
      <c r="U282" s="4" t="n">
        <v>106</v>
      </c>
      <c r="V282" s="2" t="n">
        <v>2.06</v>
      </c>
      <c r="W282" s="4" t="n">
        <v>106</v>
      </c>
      <c r="X282" s="2" t="n">
        <v>1</v>
      </c>
      <c r="Y282" s="5" t="n">
        <v>-1</v>
      </c>
      <c r="Z282" s="7" t="n">
        <v>100</v>
      </c>
      <c r="AA282" s="7">
        <f>Y282*Z282</f>
        <v/>
      </c>
      <c r="AB282" s="6">
        <f>IF(Z282=0,0,AA282/Z282)</f>
        <v/>
      </c>
      <c r="AC282" s="6" t="n"/>
      <c r="AD282" s="2" t="inlineStr">
        <is>
          <t>Loss</t>
        </is>
      </c>
      <c r="AE282" s="6">
        <f>IF((COUNTIF($AD$2:AD282,"Win")+COUNTIF($AD$2:AD282,"Loss"))=0,0,COUNTIF($AD$2:AD282,"Win")/(COUNTIF($AD$2:AD282,"Win")+COUNTIF($AD$2:AD282,"Loss")))</f>
        <v/>
      </c>
      <c r="AF282" s="6">
        <f>SUM($Y$2:Y282)/SUM($X$2:X282)</f>
        <v/>
      </c>
      <c r="AG282" s="5">
        <f>SUM($Y$2:Y282)</f>
        <v/>
      </c>
      <c r="AH282" s="7">
        <f>10000.0+SUM($AA$2:AA282)</f>
        <v/>
      </c>
      <c r="AI282" s="2" t="n">
        <v>2026</v>
      </c>
      <c r="AJ282" s="2" t="inlineStr">
        <is>
          <t>2026-04</t>
        </is>
      </c>
      <c r="AK282" s="2" t="inlineStr">
        <is>
          <t>+100 to +120</t>
        </is>
      </c>
      <c r="AL282" s="2" t="inlineStr">
        <is>
          <t>2026 Frozen Test</t>
        </is>
      </c>
      <c r="AM282" s="6" t="n">
        <v>0.2440142120293795</v>
      </c>
    </row>
    <row r="283">
      <c r="A283" s="2" t="inlineStr">
        <is>
          <t>KPROP-00684</t>
        </is>
      </c>
      <c r="B283" s="3" t="n">
        <v>46139.75737268518</v>
      </c>
      <c r="C283" s="3" t="n">
        <v>46139</v>
      </c>
      <c r="D283" s="2" t="inlineStr">
        <is>
          <t>Steven Matz</t>
        </is>
      </c>
      <c r="E283" s="2" t="n">
        <v>139</v>
      </c>
      <c r="F283" s="2" t="n">
        <v>114</v>
      </c>
      <c r="G283" s="2" t="inlineStr">
        <is>
          <t>Away</t>
        </is>
      </c>
      <c r="H283" s="2" t="inlineStr">
        <is>
          <t>betrivers</t>
        </is>
      </c>
      <c r="I283" s="4" t="n"/>
      <c r="J283" s="4" t="n"/>
      <c r="K283" s="4" t="n">
        <v>145</v>
      </c>
      <c r="L283" s="4" t="n">
        <v>145</v>
      </c>
      <c r="M283" s="5" t="n">
        <v>3.5</v>
      </c>
      <c r="N283" s="5" t="n">
        <v>3.751889003765403</v>
      </c>
      <c r="O283" s="5" t="n">
        <v>3.5</v>
      </c>
      <c r="P283" s="5" t="n">
        <v>-0.2518890037654034</v>
      </c>
      <c r="Q283" s="6" t="n">
        <v>0.1842736506822787</v>
      </c>
      <c r="R283" s="6" t="n">
        <v>0.4833770002784811</v>
      </c>
      <c r="S283" s="6" t="n">
        <v>0.4088471849865952</v>
      </c>
      <c r="T283" s="2" t="inlineStr">
        <is>
          <t>Under</t>
        </is>
      </c>
      <c r="U283" s="4" t="n">
        <v>145</v>
      </c>
      <c r="V283" s="2" t="n">
        <v>2.45</v>
      </c>
      <c r="W283" s="4" t="n">
        <v>145</v>
      </c>
      <c r="X283" s="2" t="n">
        <v>1</v>
      </c>
      <c r="Y283" s="5" t="n">
        <v>1.45</v>
      </c>
      <c r="Z283" s="7" t="n">
        <v>100</v>
      </c>
      <c r="AA283" s="7">
        <f>Y283*Z283</f>
        <v/>
      </c>
      <c r="AB283" s="6">
        <f>IF(Z283=0,0,AA283/Z283)</f>
        <v/>
      </c>
      <c r="AC283" s="6" t="n"/>
      <c r="AD283" s="2" t="inlineStr">
        <is>
          <t>Win</t>
        </is>
      </c>
      <c r="AE283" s="6">
        <f>IF((COUNTIF($AD$2:AD283,"Win")+COUNTIF($AD$2:AD283,"Loss"))=0,0,COUNTIF($AD$2:AD283,"Win")/(COUNTIF($AD$2:AD283,"Win")+COUNTIF($AD$2:AD283,"Loss")))</f>
        <v/>
      </c>
      <c r="AF283" s="6">
        <f>SUM($Y$2:Y283)/SUM($X$2:X283)</f>
        <v/>
      </c>
      <c r="AG283" s="5">
        <f>SUM($Y$2:Y283)</f>
        <v/>
      </c>
      <c r="AH283" s="7">
        <f>10000.0+SUM($AA$2:AA283)</f>
        <v/>
      </c>
      <c r="AI283" s="2" t="n">
        <v>2026</v>
      </c>
      <c r="AJ283" s="2" t="inlineStr">
        <is>
          <t>2026-04</t>
        </is>
      </c>
      <c r="AK283" s="2" t="inlineStr">
        <is>
          <t>+121 to +150</t>
        </is>
      </c>
      <c r="AL283" s="2" t="inlineStr">
        <is>
          <t>2026 Frozen Test</t>
        </is>
      </c>
      <c r="AM283" s="6" t="n">
        <v>0.127085276332606</v>
      </c>
    </row>
    <row r="284">
      <c r="A284" s="2" t="inlineStr">
        <is>
          <t>KPROP-00685</t>
        </is>
      </c>
      <c r="B284" s="3" t="n">
        <v>46139.75737268518</v>
      </c>
      <c r="C284" s="3" t="n">
        <v>46139</v>
      </c>
      <c r="D284" s="2" t="inlineStr">
        <is>
          <t>Steven Matz</t>
        </is>
      </c>
      <c r="E284" s="2" t="n">
        <v>139</v>
      </c>
      <c r="F284" s="2" t="n">
        <v>114</v>
      </c>
      <c r="G284" s="2" t="inlineStr">
        <is>
          <t>Away</t>
        </is>
      </c>
      <c r="H284" s="2" t="inlineStr">
        <is>
          <t>betrivers</t>
        </is>
      </c>
      <c r="I284" s="4" t="n"/>
      <c r="J284" s="4" t="n"/>
      <c r="K284" s="4" t="n">
        <v>-150</v>
      </c>
      <c r="L284" s="4" t="n">
        <v>-150</v>
      </c>
      <c r="M284" s="5" t="n">
        <v>4.5</v>
      </c>
      <c r="N284" s="5" t="n">
        <v>3.751889003765403</v>
      </c>
      <c r="O284" s="5" t="n">
        <v>4.5</v>
      </c>
      <c r="P284" s="5" t="n">
        <v>0.7481109962345966</v>
      </c>
      <c r="Q284" s="6" t="n">
        <v>0.1286359358098087</v>
      </c>
      <c r="R284" s="6" t="n">
        <v>0.6771815614858853</v>
      </c>
      <c r="S284" s="6" t="n">
        <v>0.5850622406639003</v>
      </c>
      <c r="T284" s="2" t="inlineStr">
        <is>
          <t>Under</t>
        </is>
      </c>
      <c r="U284" s="4" t="n">
        <v>-150</v>
      </c>
      <c r="V284" s="2" t="n">
        <v>1.666666666666667</v>
      </c>
      <c r="W284" s="4" t="n">
        <v>-150</v>
      </c>
      <c r="X284" s="2" t="n">
        <v>1</v>
      </c>
      <c r="Y284" s="5" t="n">
        <v>0.6666666666666665</v>
      </c>
      <c r="Z284" s="7" t="n">
        <v>100</v>
      </c>
      <c r="AA284" s="7">
        <f>Y284*Z284</f>
        <v/>
      </c>
      <c r="AB284" s="6">
        <f>IF(Z284=0,0,AA284/Z284)</f>
        <v/>
      </c>
      <c r="AC284" s="6" t="n"/>
      <c r="AD284" s="2" t="inlineStr">
        <is>
          <t>Win</t>
        </is>
      </c>
      <c r="AE284" s="6">
        <f>IF((COUNTIF($AD$2:AD284,"Win")+COUNTIF($AD$2:AD284,"Loss"))=0,0,COUNTIF($AD$2:AD284,"Win")/(COUNTIF($AD$2:AD284,"Win")+COUNTIF($AD$2:AD284,"Loss")))</f>
        <v/>
      </c>
      <c r="AF284" s="6">
        <f>SUM($Y$2:Y284)/SUM($X$2:X284)</f>
        <v/>
      </c>
      <c r="AG284" s="5">
        <f>SUM($Y$2:Y284)</f>
        <v/>
      </c>
      <c r="AH284" s="7">
        <f>10000.0+SUM($AA$2:AA284)</f>
        <v/>
      </c>
      <c r="AI284" s="2" t="n">
        <v>2026</v>
      </c>
      <c r="AJ284" s="2" t="inlineStr">
        <is>
          <t>2026-04</t>
        </is>
      </c>
      <c r="AK284" s="2" t="inlineStr">
        <is>
          <t>&lt;= -150</t>
        </is>
      </c>
      <c r="AL284" s="2" t="inlineStr">
        <is>
          <t>2026 Frozen Test</t>
        </is>
      </c>
      <c r="AM284" s="6" t="n">
        <v>0.1929539037147131</v>
      </c>
    </row>
    <row r="285">
      <c r="A285" s="2" t="inlineStr">
        <is>
          <t>KPROP-00686</t>
        </is>
      </c>
      <c r="B285" s="3" t="n">
        <v>46140.77820601852</v>
      </c>
      <c r="C285" s="3" t="n">
        <v>46140</v>
      </c>
      <c r="D285" s="2" t="inlineStr">
        <is>
          <t>Braxton Ashcraft</t>
        </is>
      </c>
      <c r="E285" s="2" t="n">
        <v>134</v>
      </c>
      <c r="F285" s="2" t="n">
        <v>138</v>
      </c>
      <c r="G285" s="2" t="inlineStr">
        <is>
          <t>Home</t>
        </is>
      </c>
      <c r="H285" s="2" t="inlineStr">
        <is>
          <t>draftkings</t>
        </is>
      </c>
      <c r="I285" s="4" t="n"/>
      <c r="J285" s="4" t="n"/>
      <c r="K285" s="4" t="n">
        <v>106</v>
      </c>
      <c r="L285" s="4" t="n">
        <v>106</v>
      </c>
      <c r="M285" s="5" t="n">
        <v>5.5</v>
      </c>
      <c r="N285" s="5" t="n">
        <v>5.546441415081595</v>
      </c>
      <c r="O285" s="5" t="n">
        <v>5.5</v>
      </c>
      <c r="P285" s="5" t="n">
        <v>-0.04644141508159549</v>
      </c>
      <c r="Q285" s="6" t="n">
        <v>0.07321024190312997</v>
      </c>
      <c r="R285" s="6" t="n">
        <v>0.5209758455840436</v>
      </c>
      <c r="S285" s="6" t="n">
        <v>0.4708904109589041</v>
      </c>
      <c r="T285" s="2" t="inlineStr">
        <is>
          <t>Under</t>
        </is>
      </c>
      <c r="U285" s="4" t="n">
        <v>106</v>
      </c>
      <c r="V285" s="2" t="n">
        <v>2.06</v>
      </c>
      <c r="W285" s="4" t="n">
        <v>106</v>
      </c>
      <c r="X285" s="2" t="n">
        <v>1</v>
      </c>
      <c r="Y285" s="5" t="n">
        <v>-1</v>
      </c>
      <c r="Z285" s="7" t="n">
        <v>100</v>
      </c>
      <c r="AA285" s="7">
        <f>Y285*Z285</f>
        <v/>
      </c>
      <c r="AB285" s="6">
        <f>IF(Z285=0,0,AA285/Z285)</f>
        <v/>
      </c>
      <c r="AC285" s="6" t="n"/>
      <c r="AD285" s="2" t="inlineStr">
        <is>
          <t>Loss</t>
        </is>
      </c>
      <c r="AE285" s="6">
        <f>IF((COUNTIF($AD$2:AD285,"Win")+COUNTIF($AD$2:AD285,"Loss"))=0,0,COUNTIF($AD$2:AD285,"Win")/(COUNTIF($AD$2:AD285,"Win")+COUNTIF($AD$2:AD285,"Loss")))</f>
        <v/>
      </c>
      <c r="AF285" s="6">
        <f>SUM($Y$2:Y285)/SUM($X$2:X285)</f>
        <v/>
      </c>
      <c r="AG285" s="5">
        <f>SUM($Y$2:Y285)</f>
        <v/>
      </c>
      <c r="AH285" s="7">
        <f>10000.0+SUM($AA$2:AA285)</f>
        <v/>
      </c>
      <c r="AI285" s="2" t="n">
        <v>2026</v>
      </c>
      <c r="AJ285" s="2" t="inlineStr">
        <is>
          <t>2026-04</t>
        </is>
      </c>
      <c r="AK285" s="2" t="inlineStr">
        <is>
          <t>+100 to +120</t>
        </is>
      </c>
      <c r="AL285" s="2" t="inlineStr">
        <is>
          <t>2026 Frozen Test</t>
        </is>
      </c>
      <c r="AM285" s="6" t="n">
        <v>0.06906626594634903</v>
      </c>
    </row>
    <row r="286">
      <c r="A286" s="2" t="inlineStr">
        <is>
          <t>KPROP-00687</t>
        </is>
      </c>
      <c r="B286" s="3" t="n">
        <v>46140.80252314815</v>
      </c>
      <c r="C286" s="3" t="n">
        <v>46140</v>
      </c>
      <c r="D286" s="2" t="inlineStr">
        <is>
          <t>Casey Mize</t>
        </is>
      </c>
      <c r="E286" s="2" t="n">
        <v>116</v>
      </c>
      <c r="F286" s="2" t="n">
        <v>144</v>
      </c>
      <c r="G286" s="2" t="inlineStr">
        <is>
          <t>Away</t>
        </is>
      </c>
      <c r="H286" s="2" t="inlineStr">
        <is>
          <t>betmgm</t>
        </is>
      </c>
      <c r="I286" s="4" t="n"/>
      <c r="J286" s="4" t="n"/>
      <c r="K286" s="4" t="n">
        <v>100</v>
      </c>
      <c r="L286" s="4" t="n">
        <v>100</v>
      </c>
      <c r="M286" s="5" t="n">
        <v>4.5</v>
      </c>
      <c r="N286" s="5" t="n">
        <v>4.469610947732616</v>
      </c>
      <c r="O286" s="5" t="n">
        <v>4.5</v>
      </c>
      <c r="P286" s="5" t="n">
        <v>0.03038905226738375</v>
      </c>
      <c r="Q286" s="6" t="n">
        <v>0.07576244553955513</v>
      </c>
      <c r="R286" s="6" t="n">
        <v>0.5378812227697776</v>
      </c>
      <c r="S286" s="6" t="n">
        <v>0.4883720930232558</v>
      </c>
      <c r="T286" s="2" t="inlineStr">
        <is>
          <t>Under</t>
        </is>
      </c>
      <c r="U286" s="4" t="n">
        <v>100</v>
      </c>
      <c r="V286" s="2" t="n">
        <v>2</v>
      </c>
      <c r="W286" s="4" t="n">
        <v>100</v>
      </c>
      <c r="X286" s="2" t="n">
        <v>1</v>
      </c>
      <c r="Y286" s="5" t="n">
        <v>1</v>
      </c>
      <c r="Z286" s="7" t="n">
        <v>100</v>
      </c>
      <c r="AA286" s="7">
        <f>Y286*Z286</f>
        <v/>
      </c>
      <c r="AB286" s="6">
        <f>IF(Z286=0,0,AA286/Z286)</f>
        <v/>
      </c>
      <c r="AC286" s="6" t="n"/>
      <c r="AD286" s="2" t="inlineStr">
        <is>
          <t>Win</t>
        </is>
      </c>
      <c r="AE286" s="6">
        <f>IF((COUNTIF($AD$2:AD286,"Win")+COUNTIF($AD$2:AD286,"Loss"))=0,0,COUNTIF($AD$2:AD286,"Win")/(COUNTIF($AD$2:AD286,"Win")+COUNTIF($AD$2:AD286,"Loss")))</f>
        <v/>
      </c>
      <c r="AF286" s="6">
        <f>SUM($Y$2:Y286)/SUM($X$2:X286)</f>
        <v/>
      </c>
      <c r="AG286" s="5">
        <f>SUM($Y$2:Y286)</f>
        <v/>
      </c>
      <c r="AH286" s="7">
        <f>10000.0+SUM($AA$2:AA286)</f>
        <v/>
      </c>
      <c r="AI286" s="2" t="n">
        <v>2026</v>
      </c>
      <c r="AJ286" s="2" t="inlineStr">
        <is>
          <t>2026-04</t>
        </is>
      </c>
      <c r="AK286" s="2" t="inlineStr">
        <is>
          <t>+100 to +120</t>
        </is>
      </c>
      <c r="AL286" s="2" t="inlineStr">
        <is>
          <t>2026 Frozen Test</t>
        </is>
      </c>
      <c r="AM286" s="6" t="n">
        <v>0.07576244553955513</v>
      </c>
    </row>
    <row r="287">
      <c r="A287" s="2" t="inlineStr">
        <is>
          <t>KPROP-00688</t>
        </is>
      </c>
      <c r="B287" s="3" t="n">
        <v>46140.79905092593</v>
      </c>
      <c r="C287" s="3" t="n">
        <v>46140</v>
      </c>
      <c r="D287" s="2" t="inlineStr">
        <is>
          <t>Clay Holmes</t>
        </is>
      </c>
      <c r="E287" s="2" t="n">
        <v>121</v>
      </c>
      <c r="F287" s="2" t="n">
        <v>120</v>
      </c>
      <c r="G287" s="2" t="inlineStr">
        <is>
          <t>Home</t>
        </is>
      </c>
      <c r="H287" s="2" t="inlineStr">
        <is>
          <t>betonlineag</t>
        </is>
      </c>
      <c r="I287" s="4" t="n"/>
      <c r="J287" s="4" t="n"/>
      <c r="K287" s="4" t="n">
        <v>-154</v>
      </c>
      <c r="L287" s="4" t="n">
        <v>-154</v>
      </c>
      <c r="M287" s="5" t="n">
        <v>4.5</v>
      </c>
      <c r="N287" s="5" t="n">
        <v>3.879449762420199</v>
      </c>
      <c r="O287" s="5" t="n">
        <v>4.5</v>
      </c>
      <c r="P287" s="5" t="n">
        <v>0.6205502375798009</v>
      </c>
      <c r="Q287" s="6" t="n">
        <v>0.07599344671150665</v>
      </c>
      <c r="R287" s="6" t="n">
        <v>0.6523739795022521</v>
      </c>
      <c r="S287" s="6" t="n">
        <v>0.5844784714042665</v>
      </c>
      <c r="T287" s="2" t="inlineStr">
        <is>
          <t>Under</t>
        </is>
      </c>
      <c r="U287" s="4" t="n">
        <v>-154</v>
      </c>
      <c r="V287" s="2" t="n">
        <v>1.649350649350649</v>
      </c>
      <c r="W287" s="4" t="n">
        <v>-154</v>
      </c>
      <c r="X287" s="2" t="n">
        <v>1</v>
      </c>
      <c r="Y287" s="5" t="n">
        <v>-1</v>
      </c>
      <c r="Z287" s="7" t="n">
        <v>100</v>
      </c>
      <c r="AA287" s="7">
        <f>Y287*Z287</f>
        <v/>
      </c>
      <c r="AB287" s="6">
        <f>IF(Z287=0,0,AA287/Z287)</f>
        <v/>
      </c>
      <c r="AC287" s="6" t="n"/>
      <c r="AD287" s="2" t="inlineStr">
        <is>
          <t>Loss</t>
        </is>
      </c>
      <c r="AE287" s="6">
        <f>IF((COUNTIF($AD$2:AD287,"Win")+COUNTIF($AD$2:AD287,"Loss"))=0,0,COUNTIF($AD$2:AD287,"Win")/(COUNTIF($AD$2:AD287,"Win")+COUNTIF($AD$2:AD287,"Loss")))</f>
        <v/>
      </c>
      <c r="AF287" s="6">
        <f>SUM($Y$2:Y287)/SUM($X$2:X287)</f>
        <v/>
      </c>
      <c r="AG287" s="5">
        <f>SUM($Y$2:Y287)</f>
        <v/>
      </c>
      <c r="AH287" s="7">
        <f>10000.0+SUM($AA$2:AA287)</f>
        <v/>
      </c>
      <c r="AI287" s="2" t="n">
        <v>2026</v>
      </c>
      <c r="AJ287" s="2" t="inlineStr">
        <is>
          <t>2026-04</t>
        </is>
      </c>
      <c r="AK287" s="2" t="inlineStr">
        <is>
          <t>&lt;= -150</t>
        </is>
      </c>
      <c r="AL287" s="2" t="inlineStr">
        <is>
          <t>2026 Frozen Test</t>
        </is>
      </c>
      <c r="AM287" s="6" t="n">
        <v>0.1170299079357202</v>
      </c>
    </row>
    <row r="288">
      <c r="A288" s="2" t="inlineStr">
        <is>
          <t>KPROP-00689</t>
        </is>
      </c>
      <c r="B288" s="3" t="n">
        <v>46140.77820601852</v>
      </c>
      <c r="C288" s="3" t="n">
        <v>46140</v>
      </c>
      <c r="D288" s="2" t="inlineStr">
        <is>
          <t>Jesús Luzardo</t>
        </is>
      </c>
      <c r="E288" s="2" t="n">
        <v>143</v>
      </c>
      <c r="F288" s="2" t="n">
        <v>137</v>
      </c>
      <c r="G288" s="2" t="inlineStr">
        <is>
          <t>Home</t>
        </is>
      </c>
      <c r="H288" s="2" t="inlineStr">
        <is>
          <t>betmgm</t>
        </is>
      </c>
      <c r="I288" s="4" t="n"/>
      <c r="J288" s="4" t="n"/>
      <c r="K288" s="4" t="n">
        <v>115</v>
      </c>
      <c r="L288" s="4" t="n">
        <v>115</v>
      </c>
      <c r="M288" s="5" t="n">
        <v>6.5</v>
      </c>
      <c r="N288" s="5" t="n">
        <v>6.116106028782781</v>
      </c>
      <c r="O288" s="5" t="n">
        <v>6.5</v>
      </c>
      <c r="P288" s="5" t="n">
        <v>0.3838939712172191</v>
      </c>
      <c r="Q288" s="6" t="n">
        <v>0.2634698207113467</v>
      </c>
      <c r="R288" s="6" t="n">
        <v>0.5876603817262078</v>
      </c>
      <c r="S288" s="6" t="n">
        <v>0.451422963689892</v>
      </c>
      <c r="T288" s="2" t="inlineStr">
        <is>
          <t>Under</t>
        </is>
      </c>
      <c r="U288" s="4" t="n">
        <v>115</v>
      </c>
      <c r="V288" s="2" t="n">
        <v>2.15</v>
      </c>
      <c r="W288" s="4" t="n">
        <v>115</v>
      </c>
      <c r="X288" s="2" t="n">
        <v>1</v>
      </c>
      <c r="Y288" s="5" t="n">
        <v>-1</v>
      </c>
      <c r="Z288" s="7" t="n">
        <v>100</v>
      </c>
      <c r="AA288" s="7">
        <f>Y288*Z288</f>
        <v/>
      </c>
      <c r="AB288" s="6">
        <f>IF(Z288=0,0,AA288/Z288)</f>
        <v/>
      </c>
      <c r="AC288" s="6" t="n"/>
      <c r="AD288" s="2" t="inlineStr">
        <is>
          <t>Loss</t>
        </is>
      </c>
      <c r="AE288" s="6">
        <f>IF((COUNTIF($AD$2:AD288,"Win")+COUNTIF($AD$2:AD288,"Loss"))=0,0,COUNTIF($AD$2:AD288,"Win")/(COUNTIF($AD$2:AD288,"Win")+COUNTIF($AD$2:AD288,"Loss")))</f>
        <v/>
      </c>
      <c r="AF288" s="6">
        <f>SUM($Y$2:Y288)/SUM($X$2:X288)</f>
        <v/>
      </c>
      <c r="AG288" s="5">
        <f>SUM($Y$2:Y288)</f>
        <v/>
      </c>
      <c r="AH288" s="7">
        <f>10000.0+SUM($AA$2:AA288)</f>
        <v/>
      </c>
      <c r="AI288" s="2" t="n">
        <v>2026</v>
      </c>
      <c r="AJ288" s="2" t="inlineStr">
        <is>
          <t>2026-04</t>
        </is>
      </c>
      <c r="AK288" s="2" t="inlineStr">
        <is>
          <t>+100 to +120</t>
        </is>
      </c>
      <c r="AL288" s="2" t="inlineStr">
        <is>
          <t>2026 Frozen Test</t>
        </is>
      </c>
      <c r="AM288" s="6" t="n">
        <v>0.2291041919229102</v>
      </c>
    </row>
    <row r="289">
      <c r="A289" s="2" t="inlineStr">
        <is>
          <t>KPROP-00690</t>
        </is>
      </c>
      <c r="B289" s="3" t="n">
        <v>46140.77820601852</v>
      </c>
      <c r="C289" s="3" t="n">
        <v>46140</v>
      </c>
      <c r="D289" s="2" t="inlineStr">
        <is>
          <t>Kyle Leahy</t>
        </is>
      </c>
      <c r="E289" s="2" t="n">
        <v>138</v>
      </c>
      <c r="F289" s="2" t="n">
        <v>134</v>
      </c>
      <c r="G289" s="2" t="inlineStr">
        <is>
          <t>Away</t>
        </is>
      </c>
      <c r="H289" s="2" t="inlineStr">
        <is>
          <t>bovada</t>
        </is>
      </c>
      <c r="I289" s="4" t="n"/>
      <c r="J289" s="4" t="n"/>
      <c r="K289" s="4" t="n">
        <v>130</v>
      </c>
      <c r="L289" s="4" t="n">
        <v>130</v>
      </c>
      <c r="M289" s="5" t="n">
        <v>3.5</v>
      </c>
      <c r="N289" s="5" t="n">
        <v>3.772853206457573</v>
      </c>
      <c r="O289" s="5" t="n">
        <v>3.5</v>
      </c>
      <c r="P289" s="5" t="n">
        <v>-0.2728532064575728</v>
      </c>
      <c r="Q289" s="6" t="n">
        <v>0.101825382229662</v>
      </c>
      <c r="R289" s="6" t="n">
        <v>0.4790545140128966</v>
      </c>
      <c r="S289" s="6" t="n">
        <v>0.4140127388535032</v>
      </c>
      <c r="T289" s="2" t="inlineStr">
        <is>
          <t>Under</t>
        </is>
      </c>
      <c r="U289" s="4" t="n">
        <v>130</v>
      </c>
      <c r="V289" s="2" t="n">
        <v>2.3</v>
      </c>
      <c r="W289" s="4" t="n">
        <v>130</v>
      </c>
      <c r="X289" s="2" t="n">
        <v>1</v>
      </c>
      <c r="Y289" s="5" t="n">
        <v>-1</v>
      </c>
      <c r="Z289" s="7" t="n">
        <v>100</v>
      </c>
      <c r="AA289" s="7">
        <f>Y289*Z289</f>
        <v/>
      </c>
      <c r="AB289" s="6">
        <f>IF(Z289=0,0,AA289/Z289)</f>
        <v/>
      </c>
      <c r="AC289" s="6" t="n"/>
      <c r="AD289" s="2" t="inlineStr">
        <is>
          <t>Loss</t>
        </is>
      </c>
      <c r="AE289" s="6">
        <f>IF((COUNTIF($AD$2:AD289,"Win")+COUNTIF($AD$2:AD289,"Loss"))=0,0,COUNTIF($AD$2:AD289,"Win")/(COUNTIF($AD$2:AD289,"Win")+COUNTIF($AD$2:AD289,"Loss")))</f>
        <v/>
      </c>
      <c r="AF289" s="6">
        <f>SUM($Y$2:Y289)/SUM($X$2:X289)</f>
        <v/>
      </c>
      <c r="AG289" s="5">
        <f>SUM($Y$2:Y289)</f>
        <v/>
      </c>
      <c r="AH289" s="7">
        <f>10000.0+SUM($AA$2:AA289)</f>
        <v/>
      </c>
      <c r="AI289" s="2" t="n">
        <v>2026</v>
      </c>
      <c r="AJ289" s="2" t="inlineStr">
        <is>
          <t>2026-04</t>
        </is>
      </c>
      <c r="AK289" s="2" t="inlineStr">
        <is>
          <t>+121 to +150</t>
        </is>
      </c>
      <c r="AL289" s="2" t="inlineStr">
        <is>
          <t>2026 Frozen Test</t>
        </is>
      </c>
      <c r="AM289" s="6" t="n">
        <v>0.07832721709974</v>
      </c>
    </row>
    <row r="290">
      <c r="A290" s="2" t="inlineStr">
        <is>
          <t>KPROP-00691</t>
        </is>
      </c>
      <c r="B290" s="3" t="n">
        <v>46140.77820601852</v>
      </c>
      <c r="C290" s="3" t="n">
        <v>46140</v>
      </c>
      <c r="D290" s="2" t="inlineStr">
        <is>
          <t>Kyle Leahy</t>
        </is>
      </c>
      <c r="E290" s="2" t="n">
        <v>138</v>
      </c>
      <c r="F290" s="2" t="n">
        <v>134</v>
      </c>
      <c r="G290" s="2" t="inlineStr">
        <is>
          <t>Away</t>
        </is>
      </c>
      <c r="H290" s="2" t="inlineStr">
        <is>
          <t>betmgm</t>
        </is>
      </c>
      <c r="I290" s="4" t="n"/>
      <c r="J290" s="4" t="n"/>
      <c r="K290" s="4" t="n">
        <v>-165</v>
      </c>
      <c r="L290" s="4" t="n">
        <v>-165</v>
      </c>
      <c r="M290" s="5" t="n">
        <v>4.5</v>
      </c>
      <c r="N290" s="5" t="n">
        <v>3.772853206457573</v>
      </c>
      <c r="O290" s="5" t="n">
        <v>4.5</v>
      </c>
      <c r="P290" s="5" t="n">
        <v>0.7271467935424272</v>
      </c>
      <c r="Q290" s="6" t="n">
        <v>0.08106488235964937</v>
      </c>
      <c r="R290" s="6" t="n">
        <v>0.673115870148461</v>
      </c>
      <c r="S290" s="6" t="n">
        <v>0.5970807358978257</v>
      </c>
      <c r="T290" s="2" t="inlineStr">
        <is>
          <t>Under</t>
        </is>
      </c>
      <c r="U290" s="4" t="n">
        <v>-165</v>
      </c>
      <c r="V290" s="2" t="n">
        <v>1.606060606060606</v>
      </c>
      <c r="W290" s="4" t="n">
        <v>-165</v>
      </c>
      <c r="X290" s="2" t="n">
        <v>1</v>
      </c>
      <c r="Y290" s="5" t="n">
        <v>-1</v>
      </c>
      <c r="Z290" s="7" t="n">
        <v>100</v>
      </c>
      <c r="AA290" s="7">
        <f>Y290*Z290</f>
        <v/>
      </c>
      <c r="AB290" s="6">
        <f>IF(Z290=0,0,AA290/Z290)</f>
        <v/>
      </c>
      <c r="AC290" s="6" t="n"/>
      <c r="AD290" s="2" t="inlineStr">
        <is>
          <t>Loss</t>
        </is>
      </c>
      <c r="AE290" s="6">
        <f>IF((COUNTIF($AD$2:AD290,"Win")+COUNTIF($AD$2:AD290,"Loss"))=0,0,COUNTIF($AD$2:AD290,"Win")/(COUNTIF($AD$2:AD290,"Win")+COUNTIF($AD$2:AD290,"Loss")))</f>
        <v/>
      </c>
      <c r="AF290" s="6">
        <f>SUM($Y$2:Y290)/SUM($X$2:X290)</f>
        <v/>
      </c>
      <c r="AG290" s="5">
        <f>SUM($Y$2:Y290)</f>
        <v/>
      </c>
      <c r="AH290" s="7">
        <f>10000.0+SUM($AA$2:AA290)</f>
        <v/>
      </c>
      <c r="AI290" s="2" t="n">
        <v>2026</v>
      </c>
      <c r="AJ290" s="2" t="inlineStr">
        <is>
          <t>2026-04</t>
        </is>
      </c>
      <c r="AK290" s="2" t="inlineStr">
        <is>
          <t>&lt;= -150</t>
        </is>
      </c>
      <c r="AL290" s="2" t="inlineStr">
        <is>
          <t>2026 Frozen Test</t>
        </is>
      </c>
      <c r="AM290" s="6" t="n">
        <v>0.1337570558934215</v>
      </c>
    </row>
    <row r="291">
      <c r="A291" s="2" t="inlineStr">
        <is>
          <t>KPROP-00692</t>
        </is>
      </c>
      <c r="B291" s="3" t="n">
        <v>46140.81987268518</v>
      </c>
      <c r="C291" s="3" t="n">
        <v>46140</v>
      </c>
      <c r="D291" s="2" t="inlineStr">
        <is>
          <t>Logan Gilbert</t>
        </is>
      </c>
      <c r="E291" s="2" t="n">
        <v>136</v>
      </c>
      <c r="F291" s="2" t="n">
        <v>142</v>
      </c>
      <c r="G291" s="2" t="inlineStr">
        <is>
          <t>Away</t>
        </is>
      </c>
      <c r="H291" s="2" t="inlineStr">
        <is>
          <t>bovada</t>
        </is>
      </c>
      <c r="I291" s="4" t="n"/>
      <c r="J291" s="4" t="n"/>
      <c r="K291" s="4" t="n">
        <v>105</v>
      </c>
      <c r="L291" s="4" t="n">
        <v>105</v>
      </c>
      <c r="M291" s="5" t="n">
        <v>5.5</v>
      </c>
      <c r="N291" s="5" t="n">
        <v>5.529568174283631</v>
      </c>
      <c r="O291" s="5" t="n">
        <v>5.5</v>
      </c>
      <c r="P291" s="5" t="n">
        <v>-0.02956817428363134</v>
      </c>
      <c r="Q291" s="6" t="n">
        <v>0.07390809650933172</v>
      </c>
      <c r="R291" s="6" t="n">
        <v>0.5238576080533326</v>
      </c>
      <c r="S291" s="6" t="n">
        <v>0.4822043628013777</v>
      </c>
      <c r="T291" s="2" t="inlineStr">
        <is>
          <t>Under</t>
        </is>
      </c>
      <c r="U291" s="4" t="n">
        <v>105</v>
      </c>
      <c r="V291" s="2" t="n">
        <v>2.05</v>
      </c>
      <c r="W291" s="4" t="n">
        <v>105</v>
      </c>
      <c r="X291" s="2" t="n">
        <v>1</v>
      </c>
      <c r="Y291" s="5" t="n">
        <v>1.05</v>
      </c>
      <c r="Z291" s="7" t="n">
        <v>100</v>
      </c>
      <c r="AA291" s="7">
        <f>Y291*Z291</f>
        <v/>
      </c>
      <c r="AB291" s="6">
        <f>IF(Z291=0,0,AA291/Z291)</f>
        <v/>
      </c>
      <c r="AC291" s="6" t="n"/>
      <c r="AD291" s="2" t="inlineStr">
        <is>
          <t>Win</t>
        </is>
      </c>
      <c r="AE291" s="6">
        <f>IF((COUNTIF($AD$2:AD291,"Win")+COUNTIF($AD$2:AD291,"Loss"))=0,0,COUNTIF($AD$2:AD291,"Win")/(COUNTIF($AD$2:AD291,"Win")+COUNTIF($AD$2:AD291,"Loss")))</f>
        <v/>
      </c>
      <c r="AF291" s="6">
        <f>SUM($Y$2:Y291)/SUM($X$2:X291)</f>
        <v/>
      </c>
      <c r="AG291" s="5">
        <f>SUM($Y$2:Y291)</f>
        <v/>
      </c>
      <c r="AH291" s="7">
        <f>10000.0+SUM($AA$2:AA291)</f>
        <v/>
      </c>
      <c r="AI291" s="2" t="n">
        <v>2026</v>
      </c>
      <c r="AJ291" s="2" t="inlineStr">
        <is>
          <t>2026-04</t>
        </is>
      </c>
      <c r="AK291" s="2" t="inlineStr">
        <is>
          <t>+100 to +120</t>
        </is>
      </c>
      <c r="AL291" s="2" t="inlineStr">
        <is>
          <t>2026 Frozen Test</t>
        </is>
      </c>
      <c r="AM291" s="6" t="n">
        <v>0.0703886633422207</v>
      </c>
    </row>
    <row r="292">
      <c r="A292" s="2" t="inlineStr">
        <is>
          <t>KPROP-00693</t>
        </is>
      </c>
      <c r="B292" s="3" t="n">
        <v>46140.81987268518</v>
      </c>
      <c r="C292" s="3" t="n">
        <v>46140</v>
      </c>
      <c r="D292" s="2" t="inlineStr">
        <is>
          <t>Merrill Kelly</t>
        </is>
      </c>
      <c r="E292" s="2" t="n">
        <v>109</v>
      </c>
      <c r="F292" s="2" t="n">
        <v>158</v>
      </c>
      <c r="G292" s="2" t="inlineStr">
        <is>
          <t>Away</t>
        </is>
      </c>
      <c r="H292" s="2" t="inlineStr">
        <is>
          <t>draftkings</t>
        </is>
      </c>
      <c r="I292" s="4" t="n"/>
      <c r="J292" s="4" t="n"/>
      <c r="K292" s="4" t="n">
        <v>101</v>
      </c>
      <c r="L292" s="4" t="n">
        <v>101</v>
      </c>
      <c r="M292" s="5" t="n">
        <v>4.5</v>
      </c>
      <c r="N292" s="5" t="n">
        <v>4.406727828727686</v>
      </c>
      <c r="O292" s="5" t="n">
        <v>4.5</v>
      </c>
      <c r="P292" s="5" t="n">
        <v>0.09327217127231435</v>
      </c>
      <c r="Q292" s="6" t="n">
        <v>0.105287417873414</v>
      </c>
      <c r="R292" s="6" t="n">
        <v>0.5498942377479672</v>
      </c>
      <c r="S292" s="6" t="n">
        <v>0.4770164787510842</v>
      </c>
      <c r="T292" s="2" t="inlineStr">
        <is>
          <t>Under</t>
        </is>
      </c>
      <c r="U292" s="4" t="n">
        <v>101</v>
      </c>
      <c r="V292" s="2" t="n">
        <v>2.01</v>
      </c>
      <c r="W292" s="4" t="n">
        <v>101</v>
      </c>
      <c r="X292" s="2" t="n">
        <v>1</v>
      </c>
      <c r="Y292" s="5" t="n">
        <v>1.01</v>
      </c>
      <c r="Z292" s="7" t="n">
        <v>100</v>
      </c>
      <c r="AA292" s="7">
        <f>Y292*Z292</f>
        <v/>
      </c>
      <c r="AB292" s="6">
        <f>IF(Z292=0,0,AA292/Z292)</f>
        <v/>
      </c>
      <c r="AC292" s="6" t="n"/>
      <c r="AD292" s="2" t="inlineStr">
        <is>
          <t>Win</t>
        </is>
      </c>
      <c r="AE292" s="6">
        <f>IF((COUNTIF($AD$2:AD292,"Win")+COUNTIF($AD$2:AD292,"Loss"))=0,0,COUNTIF($AD$2:AD292,"Win")/(COUNTIF($AD$2:AD292,"Win")+COUNTIF($AD$2:AD292,"Loss")))</f>
        <v/>
      </c>
      <c r="AF292" s="6">
        <f>SUM($Y$2:Y292)/SUM($X$2:X292)</f>
        <v/>
      </c>
      <c r="AG292" s="5">
        <f>SUM($Y$2:Y292)</f>
        <v/>
      </c>
      <c r="AH292" s="7">
        <f>10000.0+SUM($AA$2:AA292)</f>
        <v/>
      </c>
      <c r="AI292" s="2" t="n">
        <v>2026</v>
      </c>
      <c r="AJ292" s="2" t="inlineStr">
        <is>
          <t>2026-04</t>
        </is>
      </c>
      <c r="AK292" s="2" t="inlineStr">
        <is>
          <t>+100 to +120</t>
        </is>
      </c>
      <c r="AL292" s="2" t="inlineStr">
        <is>
          <t>2026 Frozen Test</t>
        </is>
      </c>
      <c r="AM292" s="6" t="n">
        <v>0.104244968191499</v>
      </c>
    </row>
    <row r="293">
      <c r="A293" s="2" t="inlineStr">
        <is>
          <t>KPROP-00694</t>
        </is>
      </c>
      <c r="B293" s="3" t="n">
        <v>46140.75737268518</v>
      </c>
      <c r="C293" s="3" t="n">
        <v>46140</v>
      </c>
      <c r="D293" s="2" t="inlineStr">
        <is>
          <t>Tanner Bibee</t>
        </is>
      </c>
      <c r="E293" s="2" t="n">
        <v>114</v>
      </c>
      <c r="F293" s="2" t="n">
        <v>139</v>
      </c>
      <c r="G293" s="2" t="inlineStr">
        <is>
          <t>Home</t>
        </is>
      </c>
      <c r="H293" s="2" t="inlineStr">
        <is>
          <t>bovada</t>
        </is>
      </c>
      <c r="I293" s="4" t="n"/>
      <c r="J293" s="4" t="n"/>
      <c r="K293" s="4" t="n">
        <v>-105</v>
      </c>
      <c r="L293" s="4" t="n">
        <v>-105</v>
      </c>
      <c r="M293" s="5" t="n">
        <v>4.5</v>
      </c>
      <c r="N293" s="5" t="n">
        <v>4.19026141253629</v>
      </c>
      <c r="O293" s="5" t="n">
        <v>4.5</v>
      </c>
      <c r="P293" s="5" t="n">
        <v>0.30973858746371</v>
      </c>
      <c r="Q293" s="6" t="n">
        <v>0.1552645466286919</v>
      </c>
      <c r="R293" s="6" t="n">
        <v>0.5917208653464032</v>
      </c>
      <c r="S293" s="6" t="n">
        <v>0.4891657638136511</v>
      </c>
      <c r="T293" s="2" t="inlineStr">
        <is>
          <t>Under</t>
        </is>
      </c>
      <c r="U293" s="4" t="n">
        <v>-105</v>
      </c>
      <c r="V293" s="2" t="n">
        <v>1.952380952380952</v>
      </c>
      <c r="W293" s="4" t="n">
        <v>-105</v>
      </c>
      <c r="X293" s="2" t="n">
        <v>1</v>
      </c>
      <c r="Y293" s="5" t="n">
        <v>-1</v>
      </c>
      <c r="Z293" s="7" t="n">
        <v>100</v>
      </c>
      <c r="AA293" s="7">
        <f>Y293*Z293</f>
        <v/>
      </c>
      <c r="AB293" s="6">
        <f>IF(Z293=0,0,AA293/Z293)</f>
        <v/>
      </c>
      <c r="AC293" s="6" t="n"/>
      <c r="AD293" s="2" t="inlineStr">
        <is>
          <t>Loss</t>
        </is>
      </c>
      <c r="AE293" s="6">
        <f>IF((COUNTIF($AD$2:AD293,"Win")+COUNTIF($AD$2:AD293,"Loss"))=0,0,COUNTIF($AD$2:AD293,"Win")/(COUNTIF($AD$2:AD293,"Win")+COUNTIF($AD$2:AD293,"Loss")))</f>
        <v/>
      </c>
      <c r="AF293" s="6">
        <f>SUM($Y$2:Y293)/SUM($X$2:X293)</f>
        <v/>
      </c>
      <c r="AG293" s="5">
        <f>SUM($Y$2:Y293)</f>
        <v/>
      </c>
      <c r="AH293" s="7">
        <f>10000.0+SUM($AA$2:AA293)</f>
        <v/>
      </c>
      <c r="AI293" s="2" t="n">
        <v>2026</v>
      </c>
      <c r="AJ293" s="2" t="inlineStr">
        <is>
          <t>2026-04</t>
        </is>
      </c>
      <c r="AK293" s="2" t="inlineStr">
        <is>
          <t>-119 to -101</t>
        </is>
      </c>
      <c r="AL293" s="2" t="inlineStr">
        <is>
          <t>2026 Frozen Test</t>
        </is>
      </c>
      <c r="AM293" s="6" t="n">
        <v>0.1630277739601265</v>
      </c>
    </row>
    <row r="294">
      <c r="A294" s="2" t="inlineStr">
        <is>
          <t>KPROP-00695</t>
        </is>
      </c>
      <c r="B294" s="3" t="n">
        <v>46141.79905092593</v>
      </c>
      <c r="C294" s="3" t="n">
        <v>46141</v>
      </c>
      <c r="D294" s="2" t="inlineStr">
        <is>
          <t>David Peterson</t>
        </is>
      </c>
      <c r="E294" s="2" t="n">
        <v>121</v>
      </c>
      <c r="F294" s="2" t="n">
        <v>120</v>
      </c>
      <c r="G294" s="2" t="inlineStr">
        <is>
          <t>Home</t>
        </is>
      </c>
      <c r="H294" s="2" t="inlineStr">
        <is>
          <t>betrivers</t>
        </is>
      </c>
      <c r="I294" s="4" t="n"/>
      <c r="J294" s="4" t="n"/>
      <c r="K294" s="4" t="n">
        <v>138</v>
      </c>
      <c r="L294" s="4" t="n">
        <v>138</v>
      </c>
      <c r="M294" s="5" t="n">
        <v>4.5</v>
      </c>
      <c r="N294" s="5" t="n">
        <v>4.038170300365664</v>
      </c>
      <c r="O294" s="5" t="n">
        <v>4.5</v>
      </c>
      <c r="P294" s="5" t="n">
        <v>0.4618296996343361</v>
      </c>
      <c r="Q294" s="6" t="n">
        <v>0.4788848181917865</v>
      </c>
      <c r="R294" s="6" t="n">
        <v>0.6213801757108347</v>
      </c>
      <c r="S294" s="6" t="n">
        <v>0.4057428214731585</v>
      </c>
      <c r="T294" s="2" t="inlineStr">
        <is>
          <t>Under</t>
        </is>
      </c>
      <c r="U294" s="4" t="n">
        <v>138</v>
      </c>
      <c r="V294" s="2" t="n">
        <v>2.38</v>
      </c>
      <c r="W294" s="4" t="n">
        <v>138</v>
      </c>
      <c r="X294" s="2" t="n">
        <v>1</v>
      </c>
      <c r="Y294" s="5" t="n">
        <v>-1</v>
      </c>
      <c r="Z294" s="7" t="n">
        <v>100</v>
      </c>
      <c r="AA294" s="7">
        <f>Y294*Z294</f>
        <v/>
      </c>
      <c r="AB294" s="6">
        <f>IF(Z294=0,0,AA294/Z294)</f>
        <v/>
      </c>
      <c r="AC294" s="6" t="n"/>
      <c r="AD294" s="2" t="inlineStr">
        <is>
          <t>Loss</t>
        </is>
      </c>
      <c r="AE294" s="6">
        <f>IF((COUNTIF($AD$2:AD294,"Win")+COUNTIF($AD$2:AD294,"Loss"))=0,0,COUNTIF($AD$2:AD294,"Win")/(COUNTIF($AD$2:AD294,"Win")+COUNTIF($AD$2:AD294,"Loss")))</f>
        <v/>
      </c>
      <c r="AF294" s="6">
        <f>SUM($Y$2:Y294)/SUM($X$2:X294)</f>
        <v/>
      </c>
      <c r="AG294" s="5">
        <f>SUM($Y$2:Y294)</f>
        <v/>
      </c>
      <c r="AH294" s="7">
        <f>10000.0+SUM($AA$2:AA294)</f>
        <v/>
      </c>
      <c r="AI294" s="2" t="n">
        <v>2026</v>
      </c>
      <c r="AJ294" s="2" t="inlineStr">
        <is>
          <t>2026-04</t>
        </is>
      </c>
      <c r="AK294" s="2" t="inlineStr">
        <is>
          <t>+121 to +150</t>
        </is>
      </c>
      <c r="AL294" s="2" t="inlineStr">
        <is>
          <t>2026 Frozen Test</t>
        </is>
      </c>
      <c r="AM294" s="6" t="n">
        <v>0.3470179841969468</v>
      </c>
    </row>
    <row r="295">
      <c r="A295" s="2" t="inlineStr">
        <is>
          <t>KPROP-00696</t>
        </is>
      </c>
      <c r="B295" s="3" t="n">
        <v>46141.79905092593</v>
      </c>
      <c r="C295" s="3" t="n">
        <v>46141</v>
      </c>
      <c r="D295" s="2" t="inlineStr">
        <is>
          <t>David Peterson</t>
        </is>
      </c>
      <c r="E295" s="2" t="n">
        <v>121</v>
      </c>
      <c r="F295" s="2" t="n">
        <v>120</v>
      </c>
      <c r="G295" s="2" t="inlineStr">
        <is>
          <t>Home</t>
        </is>
      </c>
      <c r="H295" s="2" t="inlineStr">
        <is>
          <t>betonlineag</t>
        </is>
      </c>
      <c r="I295" s="4" t="n"/>
      <c r="J295" s="4" t="n"/>
      <c r="K295" s="4" t="n">
        <v>-145</v>
      </c>
      <c r="L295" s="4" t="n">
        <v>-145</v>
      </c>
      <c r="M295" s="5" t="n">
        <v>5.5</v>
      </c>
      <c r="N295" s="5" t="n">
        <v>4.038170300365664</v>
      </c>
      <c r="O295" s="5" t="n">
        <v>5.5</v>
      </c>
      <c r="P295" s="5" t="n">
        <v>1.461829699634336</v>
      </c>
      <c r="Q295" s="6" t="n">
        <v>0.3164720470457544</v>
      </c>
      <c r="R295" s="6" t="n">
        <v>0.779136517639324</v>
      </c>
      <c r="S295" s="6" t="n">
        <v>0.5610892153350053</v>
      </c>
      <c r="T295" s="2" t="inlineStr">
        <is>
          <t>Under</t>
        </is>
      </c>
      <c r="U295" s="4" t="n">
        <v>-145</v>
      </c>
      <c r="V295" s="2" t="n">
        <v>1.689655172413793</v>
      </c>
      <c r="W295" s="4" t="n">
        <v>-145</v>
      </c>
      <c r="X295" s="2" t="n">
        <v>1</v>
      </c>
      <c r="Y295" s="5" t="n">
        <v>0.6896551724137931</v>
      </c>
      <c r="Z295" s="7" t="n">
        <v>100</v>
      </c>
      <c r="AA295" s="7">
        <f>Y295*Z295</f>
        <v/>
      </c>
      <c r="AB295" s="6">
        <f>IF(Z295=0,0,AA295/Z295)</f>
        <v/>
      </c>
      <c r="AC295" s="6" t="n"/>
      <c r="AD295" s="2" t="inlineStr">
        <is>
          <t>Win</t>
        </is>
      </c>
      <c r="AE295" s="6">
        <f>IF((COUNTIF($AD$2:AD295,"Win")+COUNTIF($AD$2:AD295,"Loss"))=0,0,COUNTIF($AD$2:AD295,"Win")/(COUNTIF($AD$2:AD295,"Win")+COUNTIF($AD$2:AD295,"Loss")))</f>
        <v/>
      </c>
      <c r="AF295" s="6">
        <f>SUM($Y$2:Y295)/SUM($X$2:X295)</f>
        <v/>
      </c>
      <c r="AG295" s="5">
        <f>SUM($Y$2:Y295)</f>
        <v/>
      </c>
      <c r="AH295" s="7">
        <f>10000.0+SUM($AA$2:AA295)</f>
        <v/>
      </c>
      <c r="AI295" s="2" t="n">
        <v>2026</v>
      </c>
      <c r="AJ295" s="2" t="inlineStr">
        <is>
          <t>2026-04</t>
        </is>
      </c>
      <c r="AK295" s="2" t="inlineStr">
        <is>
          <t>-149 to -120</t>
        </is>
      </c>
      <c r="AL295" s="2" t="inlineStr">
        <is>
          <t>2026 Frozen Test</t>
        </is>
      </c>
      <c r="AM295" s="6" t="n">
        <v>0.4588844682163438</v>
      </c>
    </row>
    <row r="296">
      <c r="A296" s="2" t="inlineStr">
        <is>
          <t>KPROP-00697</t>
        </is>
      </c>
      <c r="B296" s="3" t="n">
        <v>46141.60806712963</v>
      </c>
      <c r="C296" s="3" t="n">
        <v>46141</v>
      </c>
      <c r="D296" s="2" t="inlineStr">
        <is>
          <t>Nathan Eovaldi</t>
        </is>
      </c>
      <c r="E296" s="2" t="n">
        <v>140</v>
      </c>
      <c r="F296" s="2" t="n">
        <v>147</v>
      </c>
      <c r="G296" s="2" t="inlineStr">
        <is>
          <t>Home</t>
        </is>
      </c>
      <c r="H296" s="2" t="inlineStr">
        <is>
          <t>betmgm</t>
        </is>
      </c>
      <c r="I296" s="4" t="n"/>
      <c r="J296" s="4" t="n"/>
      <c r="K296" s="4" t="n">
        <v>-115</v>
      </c>
      <c r="L296" s="4" t="n">
        <v>-115</v>
      </c>
      <c r="M296" s="5" t="n">
        <v>5.5</v>
      </c>
      <c r="N296" s="5" t="n">
        <v>5.239419297785091</v>
      </c>
      <c r="O296" s="5" t="n">
        <v>5.5</v>
      </c>
      <c r="P296" s="5" t="n">
        <v>0.2605807022149094</v>
      </c>
      <c r="Q296" s="6" t="n">
        <v>0.07318399990784646</v>
      </c>
      <c r="R296" s="6" t="n">
        <v>0.5740286511134993</v>
      </c>
      <c r="S296" s="6" t="n">
        <v>0.5108342361863488</v>
      </c>
      <c r="T296" s="2" t="inlineStr">
        <is>
          <t>Under</t>
        </is>
      </c>
      <c r="U296" s="4" t="n">
        <v>-115</v>
      </c>
      <c r="V296" s="2" t="n">
        <v>1.869565217391304</v>
      </c>
      <c r="W296" s="4" t="n">
        <v>-115</v>
      </c>
      <c r="X296" s="2" t="n">
        <v>1</v>
      </c>
      <c r="Y296" s="5" t="n">
        <v>-1</v>
      </c>
      <c r="Z296" s="7" t="n">
        <v>100</v>
      </c>
      <c r="AA296" s="7">
        <f>Y296*Z296</f>
        <v/>
      </c>
      <c r="AB296" s="6">
        <f>IF(Z296=0,0,AA296/Z296)</f>
        <v/>
      </c>
      <c r="AC296" s="6" t="n"/>
      <c r="AD296" s="2" t="inlineStr">
        <is>
          <t>Loss</t>
        </is>
      </c>
      <c r="AE296" s="6">
        <f>IF((COUNTIF($AD$2:AD296,"Win")+COUNTIF($AD$2:AD296,"Loss"))=0,0,COUNTIF($AD$2:AD296,"Win")/(COUNTIF($AD$2:AD296,"Win")+COUNTIF($AD$2:AD296,"Loss")))</f>
        <v/>
      </c>
      <c r="AF296" s="6">
        <f>SUM($Y$2:Y296)/SUM($X$2:X296)</f>
        <v/>
      </c>
      <c r="AG296" s="5">
        <f>SUM($Y$2:Y296)</f>
        <v/>
      </c>
      <c r="AH296" s="7">
        <f>10000.0+SUM($AA$2:AA296)</f>
        <v/>
      </c>
      <c r="AI296" s="2" t="n">
        <v>2026</v>
      </c>
      <c r="AJ296" s="2" t="inlineStr">
        <is>
          <t>2026-04</t>
        </is>
      </c>
      <c r="AK296" s="2" t="inlineStr">
        <is>
          <t>-119 to -101</t>
        </is>
      </c>
      <c r="AL296" s="2" t="inlineStr">
        <is>
          <t>2026 Frozen Test</t>
        </is>
      </c>
      <c r="AM296" s="6" t="n">
        <v>0.08416159989402344</v>
      </c>
    </row>
    <row r="297">
      <c r="A297" s="2" t="inlineStr">
        <is>
          <t>KPROP-00698</t>
        </is>
      </c>
      <c r="B297" s="3" t="n">
        <v>46141.63237268518</v>
      </c>
      <c r="C297" s="3" t="n">
        <v>46141</v>
      </c>
      <c r="D297" s="2" t="inlineStr">
        <is>
          <t>Tyler Glasnow</t>
        </is>
      </c>
      <c r="E297" s="2" t="n">
        <v>119</v>
      </c>
      <c r="F297" s="2" t="n">
        <v>146</v>
      </c>
      <c r="G297" s="2" t="inlineStr">
        <is>
          <t>Home</t>
        </is>
      </c>
      <c r="H297" s="2" t="inlineStr">
        <is>
          <t>betrivers</t>
        </is>
      </c>
      <c r="I297" s="4" t="n"/>
      <c r="J297" s="4" t="n"/>
      <c r="K297" s="4" t="n">
        <v>128</v>
      </c>
      <c r="L297" s="4" t="n">
        <v>128</v>
      </c>
      <c r="M297" s="5" t="n">
        <v>6.5</v>
      </c>
      <c r="N297" s="5" t="n">
        <v>6.765564230075737</v>
      </c>
      <c r="O297" s="5" t="n">
        <v>6.5</v>
      </c>
      <c r="P297" s="5" t="n">
        <v>-0.2655642300757366</v>
      </c>
      <c r="Q297" s="6" t="n">
        <v>0.1062408210015134</v>
      </c>
      <c r="R297" s="6" t="n">
        <v>0.4851933425445234</v>
      </c>
      <c r="S297" s="6" t="n">
        <v>0.4229514879739095</v>
      </c>
      <c r="T297" s="2" t="inlineStr">
        <is>
          <t>Under</t>
        </is>
      </c>
      <c r="U297" s="4" t="n">
        <v>128</v>
      </c>
      <c r="V297" s="2" t="n">
        <v>2.28</v>
      </c>
      <c r="W297" s="4" t="n">
        <v>128</v>
      </c>
      <c r="X297" s="2" t="n">
        <v>1</v>
      </c>
      <c r="Y297" s="5" t="n">
        <v>-1</v>
      </c>
      <c r="Z297" s="7" t="n">
        <v>100</v>
      </c>
      <c r="AA297" s="7">
        <f>Y297*Z297</f>
        <v/>
      </c>
      <c r="AB297" s="6">
        <f>IF(Z297=0,0,AA297/Z297)</f>
        <v/>
      </c>
      <c r="AC297" s="6" t="n"/>
      <c r="AD297" s="2" t="inlineStr">
        <is>
          <t>Loss</t>
        </is>
      </c>
      <c r="AE297" s="6">
        <f>IF((COUNTIF($AD$2:AD297,"Win")+COUNTIF($AD$2:AD297,"Loss"))=0,0,COUNTIF($AD$2:AD297,"Win")/(COUNTIF($AD$2:AD297,"Win")+COUNTIF($AD$2:AD297,"Loss")))</f>
        <v/>
      </c>
      <c r="AF297" s="6">
        <f>SUM($Y$2:Y297)/SUM($X$2:X297)</f>
        <v/>
      </c>
      <c r="AG297" s="5">
        <f>SUM($Y$2:Y297)</f>
        <v/>
      </c>
      <c r="AH297" s="7">
        <f>10000.0+SUM($AA$2:AA297)</f>
        <v/>
      </c>
      <c r="AI297" s="2" t="n">
        <v>2026</v>
      </c>
      <c r="AJ297" s="2" t="inlineStr">
        <is>
          <t>2026-04</t>
        </is>
      </c>
      <c r="AK297" s="2" t="inlineStr">
        <is>
          <t>+121 to +150</t>
        </is>
      </c>
      <c r="AL297" s="2" t="inlineStr">
        <is>
          <t>2026 Frozen Test</t>
        </is>
      </c>
      <c r="AM297" s="6" t="n">
        <v>0.08300064140743237</v>
      </c>
    </row>
    <row r="298">
      <c r="A298" s="2" t="inlineStr">
        <is>
          <t>KPROP-00699</t>
        </is>
      </c>
      <c r="B298" s="3" t="n">
        <v>46141.63237268518</v>
      </c>
      <c r="C298" s="3" t="n">
        <v>46141</v>
      </c>
      <c r="D298" s="2" t="inlineStr">
        <is>
          <t>Tyler Glasnow</t>
        </is>
      </c>
      <c r="E298" s="2" t="n">
        <v>119</v>
      </c>
      <c r="F298" s="2" t="n">
        <v>146</v>
      </c>
      <c r="G298" s="2" t="inlineStr">
        <is>
          <t>Home</t>
        </is>
      </c>
      <c r="H298" s="2" t="inlineStr">
        <is>
          <t>draftkings</t>
        </is>
      </c>
      <c r="I298" s="4" t="n"/>
      <c r="J298" s="4" t="n"/>
      <c r="K298" s="4" t="n">
        <v>-142</v>
      </c>
      <c r="L298" s="4" t="n">
        <v>-142</v>
      </c>
      <c r="M298" s="5" t="n">
        <v>7.5</v>
      </c>
      <c r="N298" s="5" t="n">
        <v>6.765564230075737</v>
      </c>
      <c r="O298" s="5" t="n">
        <v>7.5</v>
      </c>
      <c r="P298" s="5" t="n">
        <v>0.7344357699242634</v>
      </c>
      <c r="Q298" s="6" t="n">
        <v>0.07979544647927694</v>
      </c>
      <c r="R298" s="6" t="n">
        <v>0.6335989809919724</v>
      </c>
      <c r="S298" s="6" t="n">
        <v>0.5589736113136026</v>
      </c>
      <c r="T298" s="2" t="inlineStr">
        <is>
          <t>Under</t>
        </is>
      </c>
      <c r="U298" s="4" t="n">
        <v>-142</v>
      </c>
      <c r="V298" s="2" t="n">
        <v>1.704225352112676</v>
      </c>
      <c r="W298" s="4" t="n">
        <v>-142</v>
      </c>
      <c r="X298" s="2" t="n">
        <v>1</v>
      </c>
      <c r="Y298" s="5" t="n">
        <v>-1</v>
      </c>
      <c r="Z298" s="7" t="n">
        <v>100</v>
      </c>
      <c r="AA298" s="7">
        <f>Y298*Z298</f>
        <v/>
      </c>
      <c r="AB298" s="6">
        <f>IF(Z298=0,0,AA298/Z298)</f>
        <v/>
      </c>
      <c r="AC298" s="6" t="n"/>
      <c r="AD298" s="2" t="inlineStr">
        <is>
          <t>Loss</t>
        </is>
      </c>
      <c r="AE298" s="6">
        <f>IF((COUNTIF($AD$2:AD298,"Win")+COUNTIF($AD$2:AD298,"Loss"))=0,0,COUNTIF($AD$2:AD298,"Win")/(COUNTIF($AD$2:AD298,"Win")+COUNTIF($AD$2:AD298,"Loss")))</f>
        <v/>
      </c>
      <c r="AF298" s="6">
        <f>SUM($Y$2:Y298)/SUM($X$2:X298)</f>
        <v/>
      </c>
      <c r="AG298" s="5">
        <f>SUM($Y$2:Y298)</f>
        <v/>
      </c>
      <c r="AH298" s="7">
        <f>10000.0+SUM($AA$2:AA298)</f>
        <v/>
      </c>
      <c r="AI298" s="2" t="n">
        <v>2026</v>
      </c>
      <c r="AJ298" s="2" t="inlineStr">
        <is>
          <t>2026-04</t>
        </is>
      </c>
      <c r="AK298" s="2" t="inlineStr">
        <is>
          <t>-149 to -120</t>
        </is>
      </c>
      <c r="AL298" s="2" t="inlineStr">
        <is>
          <t>2026 Frozen Test</t>
        </is>
      </c>
      <c r="AM298" s="6" t="n">
        <v>0.1133095340005733</v>
      </c>
    </row>
    <row r="299">
      <c r="A299" s="2" t="inlineStr">
        <is>
          <t>KPROP-00700</t>
        </is>
      </c>
      <c r="B299" s="3" t="n">
        <v>46141.54905092593</v>
      </c>
      <c r="C299" s="3" t="n">
        <v>46141</v>
      </c>
      <c r="D299" s="2" t="inlineStr">
        <is>
          <t>Yusei Kikuchi</t>
        </is>
      </c>
      <c r="E299" s="2" t="n">
        <v>108</v>
      </c>
      <c r="F299" s="2" t="n">
        <v>145</v>
      </c>
      <c r="G299" s="2" t="inlineStr">
        <is>
          <t>Away</t>
        </is>
      </c>
      <c r="H299" s="2" t="inlineStr">
        <is>
          <t>betmgm</t>
        </is>
      </c>
      <c r="I299" s="4" t="n"/>
      <c r="J299" s="4" t="n"/>
      <c r="K299" s="4" t="n">
        <v>115</v>
      </c>
      <c r="L299" s="4" t="n">
        <v>115</v>
      </c>
      <c r="M299" s="5" t="n">
        <v>5.5</v>
      </c>
      <c r="N299" s="5" t="n">
        <v>4.692069453428673</v>
      </c>
      <c r="O299" s="5" t="n">
        <v>5.5</v>
      </c>
      <c r="P299" s="5" t="n">
        <v>0.8079305465713267</v>
      </c>
      <c r="Q299" s="6" t="n">
        <v>0.4401059000360071</v>
      </c>
      <c r="R299" s="6" t="n">
        <v>0.6698166976911661</v>
      </c>
      <c r="S299" s="6" t="n">
        <v>0.4497867390461419</v>
      </c>
      <c r="T299" s="2" t="inlineStr">
        <is>
          <t>Under</t>
        </is>
      </c>
      <c r="U299" s="4" t="n">
        <v>115</v>
      </c>
      <c r="V299" s="2" t="n">
        <v>2.15</v>
      </c>
      <c r="W299" s="4" t="n">
        <v>115</v>
      </c>
      <c r="X299" s="2" t="n">
        <v>1</v>
      </c>
      <c r="Y299" s="5" t="n">
        <v>1.15</v>
      </c>
      <c r="Z299" s="7" t="n">
        <v>100</v>
      </c>
      <c r="AA299" s="7">
        <f>Y299*Z299</f>
        <v/>
      </c>
      <c r="AB299" s="6">
        <f>IF(Z299=0,0,AA299/Z299)</f>
        <v/>
      </c>
      <c r="AC299" s="6" t="n"/>
      <c r="AD299" s="2" t="inlineStr">
        <is>
          <t>Win</t>
        </is>
      </c>
      <c r="AE299" s="6">
        <f>IF((COUNTIF($AD$2:AD299,"Win")+COUNTIF($AD$2:AD299,"Loss"))=0,0,COUNTIF($AD$2:AD299,"Win")/(COUNTIF($AD$2:AD299,"Win")+COUNTIF($AD$2:AD299,"Loss")))</f>
        <v/>
      </c>
      <c r="AF299" s="6">
        <f>SUM($Y$2:Y299)/SUM($X$2:X299)</f>
        <v/>
      </c>
      <c r="AG299" s="5">
        <f>SUM($Y$2:Y299)</f>
        <v/>
      </c>
      <c r="AH299" s="7">
        <f>10000.0+SUM($AA$2:AA299)</f>
        <v/>
      </c>
      <c r="AI299" s="2" t="n">
        <v>2026</v>
      </c>
      <c r="AJ299" s="2" t="inlineStr">
        <is>
          <t>2026-04</t>
        </is>
      </c>
      <c r="AK299" s="2" t="inlineStr">
        <is>
          <t>+100 to +120</t>
        </is>
      </c>
      <c r="AL299" s="2" t="inlineStr">
        <is>
          <t>2026 Frozen Test</t>
        </is>
      </c>
      <c r="AM299" s="6" t="n">
        <v>0.3827007826400062</v>
      </c>
    </row>
    <row r="300">
      <c r="A300" s="2" t="inlineStr">
        <is>
          <t>KPROP-00701</t>
        </is>
      </c>
      <c r="B300" s="3" t="n">
        <v>46142.52820601852</v>
      </c>
      <c r="C300" s="3" t="n">
        <v>46142</v>
      </c>
      <c r="D300" s="2" t="inlineStr">
        <is>
          <t>Andrew Abbott</t>
        </is>
      </c>
      <c r="E300" s="2" t="n">
        <v>113</v>
      </c>
      <c r="F300" s="2" t="n">
        <v>115</v>
      </c>
      <c r="G300" s="2" t="inlineStr">
        <is>
          <t>Home</t>
        </is>
      </c>
      <c r="H300" s="2" t="inlineStr">
        <is>
          <t>draftkings</t>
        </is>
      </c>
      <c r="I300" s="4" t="n"/>
      <c r="J300" s="4" t="n"/>
      <c r="K300" s="4" t="n">
        <v>125</v>
      </c>
      <c r="L300" s="4" t="n">
        <v>125</v>
      </c>
      <c r="M300" s="5" t="n">
        <v>4.5</v>
      </c>
      <c r="N300" s="5" t="n">
        <v>4.4365200690702</v>
      </c>
      <c r="O300" s="5" t="n">
        <v>4.5</v>
      </c>
      <c r="P300" s="5" t="n">
        <v>0.06347993092979998</v>
      </c>
      <c r="Q300" s="6" t="n">
        <v>0.2244354325338677</v>
      </c>
      <c r="R300" s="6" t="n">
        <v>0.5441935255706079</v>
      </c>
      <c r="S300" s="6" t="n">
        <v>0.4255319148936171</v>
      </c>
      <c r="T300" s="2" t="inlineStr">
        <is>
          <t>Under</t>
        </is>
      </c>
      <c r="U300" s="4" t="n">
        <v>125</v>
      </c>
      <c r="V300" s="2" t="n">
        <v>2.25</v>
      </c>
      <c r="W300" s="4" t="n">
        <v>125</v>
      </c>
      <c r="X300" s="2" t="n">
        <v>1</v>
      </c>
      <c r="Y300" s="5" t="n">
        <v>-1</v>
      </c>
      <c r="Z300" s="7" t="n">
        <v>100</v>
      </c>
      <c r="AA300" s="7">
        <f>Y300*Z300</f>
        <v/>
      </c>
      <c r="AB300" s="6">
        <f>IF(Z300=0,0,AA300/Z300)</f>
        <v/>
      </c>
      <c r="AC300" s="6" t="n"/>
      <c r="AD300" s="2" t="inlineStr">
        <is>
          <t>Loss</t>
        </is>
      </c>
      <c r="AE300" s="6">
        <f>IF((COUNTIF($AD$2:AD300,"Win")+COUNTIF($AD$2:AD300,"Loss"))=0,0,COUNTIF($AD$2:AD300,"Win")/(COUNTIF($AD$2:AD300,"Win")+COUNTIF($AD$2:AD300,"Loss")))</f>
        <v/>
      </c>
      <c r="AF300" s="6">
        <f>SUM($Y$2:Y300)/SUM($X$2:X300)</f>
        <v/>
      </c>
      <c r="AG300" s="5">
        <f>SUM($Y$2:Y300)</f>
        <v/>
      </c>
      <c r="AH300" s="7">
        <f>10000.0+SUM($AA$2:AA300)</f>
        <v/>
      </c>
      <c r="AI300" s="2" t="n">
        <v>2026</v>
      </c>
      <c r="AJ300" s="2" t="inlineStr">
        <is>
          <t>2026-04</t>
        </is>
      </c>
      <c r="AK300" s="2" t="inlineStr">
        <is>
          <t>+121 to +150</t>
        </is>
      </c>
      <c r="AL300" s="2" t="inlineStr">
        <is>
          <t>2026 Frozen Test</t>
        </is>
      </c>
      <c r="AM300" s="6" t="n">
        <v>0.1795483460270941</v>
      </c>
    </row>
    <row r="301">
      <c r="A301" s="2" t="inlineStr">
        <is>
          <t>KPROP-00702</t>
        </is>
      </c>
      <c r="B301" s="3" t="n">
        <v>46142.56988425926</v>
      </c>
      <c r="C301" s="3" t="n">
        <v>46142</v>
      </c>
      <c r="D301" s="2" t="inlineStr">
        <is>
          <t>Brandon Woodruff</t>
        </is>
      </c>
      <c r="E301" s="2" t="n">
        <v>158</v>
      </c>
      <c r="F301" s="2" t="n">
        <v>109</v>
      </c>
      <c r="G301" s="2" t="inlineStr">
        <is>
          <t>Home</t>
        </is>
      </c>
      <c r="H301" s="2" t="inlineStr">
        <is>
          <t>fanduel</t>
        </is>
      </c>
      <c r="I301" s="4" t="n"/>
      <c r="J301" s="4" t="n"/>
      <c r="K301" s="4" t="n">
        <v>130</v>
      </c>
      <c r="L301" s="4" t="n">
        <v>130</v>
      </c>
      <c r="M301" s="5" t="n">
        <v>4.5</v>
      </c>
      <c r="N301" s="5" t="n">
        <v>4.817788501084932</v>
      </c>
      <c r="O301" s="5" t="n">
        <v>4.5</v>
      </c>
      <c r="P301" s="5" t="n">
        <v>-0.317788501084932</v>
      </c>
      <c r="Q301" s="6" t="n">
        <v>0.08795878387317002</v>
      </c>
      <c r="R301" s="6" t="n">
        <v>0.4730255582057261</v>
      </c>
      <c r="S301" s="6" t="n">
        <v>0.4176257809930944</v>
      </c>
      <c r="T301" s="2" t="inlineStr">
        <is>
          <t>Under</t>
        </is>
      </c>
      <c r="U301" s="4" t="n">
        <v>130</v>
      </c>
      <c r="V301" s="2" t="n">
        <v>2.3</v>
      </c>
      <c r="W301" s="4" t="n">
        <v>130</v>
      </c>
      <c r="X301" s="2" t="n">
        <v>1</v>
      </c>
      <c r="Y301" s="5" t="n">
        <v>1.3</v>
      </c>
      <c r="Z301" s="7" t="n">
        <v>100</v>
      </c>
      <c r="AA301" s="7">
        <f>Y301*Z301</f>
        <v/>
      </c>
      <c r="AB301" s="6">
        <f>IF(Z301=0,0,AA301/Z301)</f>
        <v/>
      </c>
      <c r="AC301" s="6" t="n"/>
      <c r="AD301" s="2" t="inlineStr">
        <is>
          <t>Win</t>
        </is>
      </c>
      <c r="AE301" s="6">
        <f>IF((COUNTIF($AD$2:AD301,"Win")+COUNTIF($AD$2:AD301,"Loss"))=0,0,COUNTIF($AD$2:AD301,"Win")/(COUNTIF($AD$2:AD301,"Win")+COUNTIF($AD$2:AD301,"Loss")))</f>
        <v/>
      </c>
      <c r="AF301" s="6">
        <f>SUM($Y$2:Y301)/SUM($X$2:X301)</f>
        <v/>
      </c>
      <c r="AG301" s="5">
        <f>SUM($Y$2:Y301)</f>
        <v/>
      </c>
      <c r="AH301" s="7">
        <f>10000.0+SUM($AA$2:AA301)</f>
        <v/>
      </c>
      <c r="AI301" s="2" t="n">
        <v>2026</v>
      </c>
      <c r="AJ301" s="2" t="inlineStr">
        <is>
          <t>2026-04</t>
        </is>
      </c>
      <c r="AK301" s="2" t="inlineStr">
        <is>
          <t>+121 to +150</t>
        </is>
      </c>
      <c r="AL301" s="2" t="inlineStr">
        <is>
          <t>2026 Frozen Test</t>
        </is>
      </c>
      <c r="AM301" s="6" t="n">
        <v>0.06766060297936156</v>
      </c>
    </row>
    <row r="302">
      <c r="A302" s="2" t="inlineStr">
        <is>
          <t>KPROP-00703</t>
        </is>
      </c>
      <c r="B302" s="3" t="n">
        <v>46142.52475694445</v>
      </c>
      <c r="C302" s="3" t="n">
        <v>46142</v>
      </c>
      <c r="D302" s="2" t="inlineStr">
        <is>
          <t>Cristopher Sánchez</t>
        </is>
      </c>
      <c r="E302" s="2" t="n">
        <v>143</v>
      </c>
      <c r="F302" s="2" t="n">
        <v>137</v>
      </c>
      <c r="G302" s="2" t="inlineStr">
        <is>
          <t>Home</t>
        </is>
      </c>
      <c r="H302" s="2" t="inlineStr">
        <is>
          <t>betonlineag</t>
        </is>
      </c>
      <c r="I302" s="4" t="n"/>
      <c r="J302" s="4" t="n"/>
      <c r="K302" s="4" t="n">
        <v>-133</v>
      </c>
      <c r="L302" s="4" t="n">
        <v>-133</v>
      </c>
      <c r="M302" s="5" t="n">
        <v>6.5</v>
      </c>
      <c r="N302" s="5" t="n">
        <v>5.866508022860266</v>
      </c>
      <c r="O302" s="5" t="n">
        <v>6.5</v>
      </c>
      <c r="P302" s="5" t="n">
        <v>0.6334919771397338</v>
      </c>
      <c r="Q302" s="6" t="n">
        <v>0.09971437133852651</v>
      </c>
      <c r="R302" s="6" t="n">
        <v>0.6277339544550388</v>
      </c>
      <c r="S302" s="6" t="n">
        <v>0.5451883661916846</v>
      </c>
      <c r="T302" s="2" t="inlineStr">
        <is>
          <t>Under</t>
        </is>
      </c>
      <c r="U302" s="4" t="n">
        <v>-133</v>
      </c>
      <c r="V302" s="2" t="n">
        <v>1.75187969924812</v>
      </c>
      <c r="W302" s="4" t="n">
        <v>-133</v>
      </c>
      <c r="X302" s="2" t="n">
        <v>1</v>
      </c>
      <c r="Y302" s="5" t="n">
        <v>-1</v>
      </c>
      <c r="Z302" s="7" t="n">
        <v>100</v>
      </c>
      <c r="AA302" s="7">
        <f>Y302*Z302</f>
        <v/>
      </c>
      <c r="AB302" s="6">
        <f>IF(Z302=0,0,AA302/Z302)</f>
        <v/>
      </c>
      <c r="AC302" s="6" t="n"/>
      <c r="AD302" s="2" t="inlineStr">
        <is>
          <t>Loss</t>
        </is>
      </c>
      <c r="AE302" s="6">
        <f>IF((COUNTIF($AD$2:AD302,"Win")+COUNTIF($AD$2:AD302,"Loss"))=0,0,COUNTIF($AD$2:AD302,"Win")/(COUNTIF($AD$2:AD302,"Win")+COUNTIF($AD$2:AD302,"Loss")))</f>
        <v/>
      </c>
      <c r="AF302" s="6">
        <f>SUM($Y$2:Y302)/SUM($X$2:X302)</f>
        <v/>
      </c>
      <c r="AG302" s="5">
        <f>SUM($Y$2:Y302)</f>
        <v/>
      </c>
      <c r="AH302" s="7">
        <f>10000.0+SUM($AA$2:AA302)</f>
        <v/>
      </c>
      <c r="AI302" s="2" t="n">
        <v>2026</v>
      </c>
      <c r="AJ302" s="2" t="inlineStr">
        <is>
          <t>2026-04</t>
        </is>
      </c>
      <c r="AK302" s="2" t="inlineStr">
        <is>
          <t>-149 to -120</t>
        </is>
      </c>
      <c r="AL302" s="2" t="inlineStr">
        <is>
          <t>2026 Frozen Test</t>
        </is>
      </c>
      <c r="AM302" s="6" t="n">
        <v>0.1326201138802403</v>
      </c>
    </row>
    <row r="303">
      <c r="A303" s="2" t="inlineStr">
        <is>
          <t>KPROP-00704</t>
        </is>
      </c>
      <c r="B303" s="3" t="n">
        <v>46142.54903935185</v>
      </c>
      <c r="C303" s="3" t="n">
        <v>46142</v>
      </c>
      <c r="D303" s="2" t="inlineStr">
        <is>
          <t>Freddy Peralta</t>
        </is>
      </c>
      <c r="E303" s="2" t="n">
        <v>121</v>
      </c>
      <c r="F303" s="2" t="n">
        <v>120</v>
      </c>
      <c r="G303" s="2" t="inlineStr">
        <is>
          <t>Home</t>
        </is>
      </c>
      <c r="H303" s="2" t="inlineStr">
        <is>
          <t>betmgm</t>
        </is>
      </c>
      <c r="I303" s="4" t="n"/>
      <c r="J303" s="4" t="n"/>
      <c r="K303" s="4" t="n">
        <v>115</v>
      </c>
      <c r="L303" s="4" t="n">
        <v>115</v>
      </c>
      <c r="M303" s="5" t="n">
        <v>5.5</v>
      </c>
      <c r="N303" s="5" t="n">
        <v>5.34205941343122</v>
      </c>
      <c r="O303" s="5" t="n">
        <v>5.5</v>
      </c>
      <c r="P303" s="5" t="n">
        <v>0.1579405865687802</v>
      </c>
      <c r="Q303" s="6" t="n">
        <v>0.1957569512005077</v>
      </c>
      <c r="R303" s="6" t="n">
        <v>0.5561660238141897</v>
      </c>
      <c r="S303" s="6" t="n">
        <v>0.4531001589825119</v>
      </c>
      <c r="T303" s="2" t="inlineStr">
        <is>
          <t>Under</t>
        </is>
      </c>
      <c r="U303" s="4" t="n">
        <v>115</v>
      </c>
      <c r="V303" s="2" t="n">
        <v>2.15</v>
      </c>
      <c r="W303" s="4" t="n">
        <v>115</v>
      </c>
      <c r="X303" s="2" t="n">
        <v>1</v>
      </c>
      <c r="Y303" s="5" t="n">
        <v>-1</v>
      </c>
      <c r="Z303" s="7" t="n">
        <v>100</v>
      </c>
      <c r="AA303" s="7">
        <f>Y303*Z303</f>
        <v/>
      </c>
      <c r="AB303" s="6">
        <f>IF(Z303=0,0,AA303/Z303)</f>
        <v/>
      </c>
      <c r="AC303" s="6" t="n"/>
      <c r="AD303" s="2" t="inlineStr">
        <is>
          <t>Loss</t>
        </is>
      </c>
      <c r="AE303" s="6">
        <f>IF((COUNTIF($AD$2:AD303,"Win")+COUNTIF($AD$2:AD303,"Loss"))=0,0,COUNTIF($AD$2:AD303,"Win")/(COUNTIF($AD$2:AD303,"Win")+COUNTIF($AD$2:AD303,"Loss")))</f>
        <v/>
      </c>
      <c r="AF303" s="6">
        <f>SUM($Y$2:Y303)/SUM($X$2:X303)</f>
        <v/>
      </c>
      <c r="AG303" s="5">
        <f>SUM($Y$2:Y303)</f>
        <v/>
      </c>
      <c r="AH303" s="7">
        <f>10000.0+SUM($AA$2:AA303)</f>
        <v/>
      </c>
      <c r="AI303" s="2" t="n">
        <v>2026</v>
      </c>
      <c r="AJ303" s="2" t="inlineStr">
        <is>
          <t>2026-04</t>
        </is>
      </c>
      <c r="AK303" s="2" t="inlineStr">
        <is>
          <t>+100 to +120</t>
        </is>
      </c>
      <c r="AL303" s="2" t="inlineStr">
        <is>
          <t>2026 Frozen Test</t>
        </is>
      </c>
      <c r="AM303" s="6" t="n">
        <v>0.1702234358265285</v>
      </c>
    </row>
    <row r="304">
      <c r="A304" s="2" t="inlineStr">
        <is>
          <t>KPROP-00705</t>
        </is>
      </c>
      <c r="B304" s="3" t="n">
        <v>46142.81988425926</v>
      </c>
      <c r="C304" s="3" t="n">
        <v>46142</v>
      </c>
      <c r="D304" s="2" t="inlineStr">
        <is>
          <t>Kevin Gausman</t>
        </is>
      </c>
      <c r="E304" s="2" t="n">
        <v>141</v>
      </c>
      <c r="F304" s="2" t="n">
        <v>142</v>
      </c>
      <c r="G304" s="2" t="inlineStr">
        <is>
          <t>Away</t>
        </is>
      </c>
      <c r="H304" s="2" t="inlineStr">
        <is>
          <t>betonlineag</t>
        </is>
      </c>
      <c r="I304" s="4" t="n"/>
      <c r="J304" s="4" t="n"/>
      <c r="K304" s="4" t="n">
        <v>110</v>
      </c>
      <c r="L304" s="4" t="n">
        <v>110</v>
      </c>
      <c r="M304" s="5" t="n">
        <v>5.5</v>
      </c>
      <c r="N304" s="5" t="n">
        <v>5.313654906156458</v>
      </c>
      <c r="O304" s="5" t="n">
        <v>5.5</v>
      </c>
      <c r="P304" s="5" t="n">
        <v>0.186345093843542</v>
      </c>
      <c r="Q304" s="6" t="n">
        <v>0.1783078613149118</v>
      </c>
      <c r="R304" s="6" t="n">
        <v>0.5610989815785294</v>
      </c>
      <c r="S304" s="6" t="n">
        <v>0.4761904761904762</v>
      </c>
      <c r="T304" s="2" t="inlineStr">
        <is>
          <t>Under</t>
        </is>
      </c>
      <c r="U304" s="4" t="n">
        <v>110</v>
      </c>
      <c r="V304" s="2" t="n">
        <v>2.1</v>
      </c>
      <c r="W304" s="4" t="n">
        <v>110</v>
      </c>
      <c r="X304" s="2" t="n">
        <v>1</v>
      </c>
      <c r="Y304" s="5" t="n">
        <v>1.1</v>
      </c>
      <c r="Z304" s="7" t="n">
        <v>100</v>
      </c>
      <c r="AA304" s="7">
        <f>Y304*Z304</f>
        <v/>
      </c>
      <c r="AB304" s="6">
        <f>IF(Z304=0,0,AA304/Z304)</f>
        <v/>
      </c>
      <c r="AC304" s="6" t="n"/>
      <c r="AD304" s="2" t="inlineStr">
        <is>
          <t>Win</t>
        </is>
      </c>
      <c r="AE304" s="6">
        <f>IF((COUNTIF($AD$2:AD304,"Win")+COUNTIF($AD$2:AD304,"Loss"))=0,0,COUNTIF($AD$2:AD304,"Win")/(COUNTIF($AD$2:AD304,"Win")+COUNTIF($AD$2:AD304,"Loss")))</f>
        <v/>
      </c>
      <c r="AF304" s="6">
        <f>SUM($Y$2:Y304)/SUM($X$2:X304)</f>
        <v/>
      </c>
      <c r="AG304" s="5">
        <f>SUM($Y$2:Y304)</f>
        <v/>
      </c>
      <c r="AH304" s="7">
        <f>10000.0+SUM($AA$2:AA304)</f>
        <v/>
      </c>
      <c r="AI304" s="2" t="n">
        <v>2026</v>
      </c>
      <c r="AJ304" s="2" t="inlineStr">
        <is>
          <t>2026-04</t>
        </is>
      </c>
      <c r="AK304" s="2" t="inlineStr">
        <is>
          <t>+100 to +120</t>
        </is>
      </c>
      <c r="AL304" s="2" t="inlineStr">
        <is>
          <t>2026 Frozen Test</t>
        </is>
      </c>
      <c r="AM304" s="6" t="n">
        <v>0.1620980557408289</v>
      </c>
    </row>
    <row r="305">
      <c r="A305" s="2" t="inlineStr">
        <is>
          <t>KPROP-00706</t>
        </is>
      </c>
      <c r="B305" s="3" t="n">
        <v>46142.52475694445</v>
      </c>
      <c r="C305" s="3" t="n">
        <v>46142</v>
      </c>
      <c r="D305" s="2" t="inlineStr">
        <is>
          <t>Logan Webb</t>
        </is>
      </c>
      <c r="E305" s="2" t="n">
        <v>137</v>
      </c>
      <c r="F305" s="2" t="n">
        <v>143</v>
      </c>
      <c r="G305" s="2" t="inlineStr">
        <is>
          <t>Away</t>
        </is>
      </c>
      <c r="H305" s="2" t="inlineStr">
        <is>
          <t>betonlineag</t>
        </is>
      </c>
      <c r="I305" s="4" t="n"/>
      <c r="J305" s="4" t="n"/>
      <c r="K305" s="4" t="n">
        <v>-127</v>
      </c>
      <c r="L305" s="4" t="n">
        <v>-127</v>
      </c>
      <c r="M305" s="5" t="n">
        <v>5.5</v>
      </c>
      <c r="N305" s="5" t="n">
        <v>5.062200234285948</v>
      </c>
      <c r="O305" s="5" t="n">
        <v>5.5</v>
      </c>
      <c r="P305" s="5" t="n">
        <v>0.4377997657140522</v>
      </c>
      <c r="Q305" s="6" t="n">
        <v>0.08146364432983833</v>
      </c>
      <c r="R305" s="6" t="n">
        <v>0.6050479419818919</v>
      </c>
      <c r="S305" s="6" t="n">
        <v>0.5329986833443056</v>
      </c>
      <c r="T305" s="2" t="inlineStr">
        <is>
          <t>Under</t>
        </is>
      </c>
      <c r="U305" s="4" t="n">
        <v>-127</v>
      </c>
      <c r="V305" s="2" t="n">
        <v>1.78740157480315</v>
      </c>
      <c r="W305" s="4" t="n">
        <v>-127</v>
      </c>
      <c r="X305" s="2" t="n">
        <v>1</v>
      </c>
      <c r="Y305" s="5" t="n">
        <v>-1</v>
      </c>
      <c r="Z305" s="7" t="n">
        <v>100</v>
      </c>
      <c r="AA305" s="7">
        <f>Y305*Z305</f>
        <v/>
      </c>
      <c r="AB305" s="6">
        <f>IF(Z305=0,0,AA305/Z305)</f>
        <v/>
      </c>
      <c r="AC305" s="6" t="n"/>
      <c r="AD305" s="2" t="inlineStr">
        <is>
          <t>Loss</t>
        </is>
      </c>
      <c r="AE305" s="6">
        <f>IF((COUNTIF($AD$2:AD305,"Win")+COUNTIF($AD$2:AD305,"Loss"))=0,0,COUNTIF($AD$2:AD305,"Win")/(COUNTIF($AD$2:AD305,"Win")+COUNTIF($AD$2:AD305,"Loss")))</f>
        <v/>
      </c>
      <c r="AF305" s="6">
        <f>SUM($Y$2:Y305)/SUM($X$2:X305)</f>
        <v/>
      </c>
      <c r="AG305" s="5">
        <f>SUM($Y$2:Y305)</f>
        <v/>
      </c>
      <c r="AH305" s="7">
        <f>10000.0+SUM($AA$2:AA305)</f>
        <v/>
      </c>
      <c r="AI305" s="2" t="n">
        <v>2026</v>
      </c>
      <c r="AJ305" s="2" t="inlineStr">
        <is>
          <t>2026-04</t>
        </is>
      </c>
      <c r="AK305" s="2" t="inlineStr">
        <is>
          <t>-149 to -120</t>
        </is>
      </c>
      <c r="AL305" s="2" t="inlineStr">
        <is>
          <t>2026 Frozen Test</t>
        </is>
      </c>
      <c r="AM305" s="6" t="n">
        <v>0.1034588282988947</v>
      </c>
    </row>
    <row r="306">
      <c r="A306" s="2" t="inlineStr">
        <is>
          <t>KPROP-00707</t>
        </is>
      </c>
      <c r="B306" s="3" t="n">
        <v>46142.62891203703</v>
      </c>
      <c r="C306" s="3" t="n">
        <v>46142</v>
      </c>
      <c r="D306" s="2" t="inlineStr">
        <is>
          <t>Noah Cameron</t>
        </is>
      </c>
      <c r="E306" s="2" t="n">
        <v>118</v>
      </c>
      <c r="F306" s="2" t="n">
        <v>133</v>
      </c>
      <c r="G306" s="2" t="inlineStr">
        <is>
          <t>Away</t>
        </is>
      </c>
      <c r="H306" s="2" t="inlineStr">
        <is>
          <t>bovada</t>
        </is>
      </c>
      <c r="I306" s="4" t="n"/>
      <c r="J306" s="4" t="n"/>
      <c r="K306" s="4" t="n">
        <v>100</v>
      </c>
      <c r="L306" s="4" t="n">
        <v>100</v>
      </c>
      <c r="M306" s="5" t="n">
        <v>4.5</v>
      </c>
      <c r="N306" s="5" t="n">
        <v>4.451372199500319</v>
      </c>
      <c r="O306" s="5" t="n">
        <v>4.5</v>
      </c>
      <c r="P306" s="5" t="n">
        <v>0.04862780049968052</v>
      </c>
      <c r="Q306" s="6" t="n">
        <v>0.08271551635147878</v>
      </c>
      <c r="R306" s="6" t="n">
        <v>0.5413577581757394</v>
      </c>
      <c r="S306" s="6" t="n">
        <v>0.4831460674157303</v>
      </c>
      <c r="T306" s="2" t="inlineStr">
        <is>
          <t>Under</t>
        </is>
      </c>
      <c r="U306" s="4" t="n">
        <v>100</v>
      </c>
      <c r="V306" s="2" t="n">
        <v>2</v>
      </c>
      <c r="W306" s="4" t="n">
        <v>100</v>
      </c>
      <c r="X306" s="2" t="n">
        <v>1</v>
      </c>
      <c r="Y306" s="5" t="n">
        <v>-1</v>
      </c>
      <c r="Z306" s="7" t="n">
        <v>100</v>
      </c>
      <c r="AA306" s="7">
        <f>Y306*Z306</f>
        <v/>
      </c>
      <c r="AB306" s="6">
        <f>IF(Z306=0,0,AA306/Z306)</f>
        <v/>
      </c>
      <c r="AC306" s="6" t="n"/>
      <c r="AD306" s="2" t="inlineStr">
        <is>
          <t>Loss</t>
        </is>
      </c>
      <c r="AE306" s="6">
        <f>IF((COUNTIF($AD$2:AD306,"Win")+COUNTIF($AD$2:AD306,"Loss"))=0,0,COUNTIF($AD$2:AD306,"Win")/(COUNTIF($AD$2:AD306,"Win")+COUNTIF($AD$2:AD306,"Loss")))</f>
        <v/>
      </c>
      <c r="AF306" s="6">
        <f>SUM($Y$2:Y306)/SUM($X$2:X306)</f>
        <v/>
      </c>
      <c r="AG306" s="5">
        <f>SUM($Y$2:Y306)</f>
        <v/>
      </c>
      <c r="AH306" s="7">
        <f>10000.0+SUM($AA$2:AA306)</f>
        <v/>
      </c>
      <c r="AI306" s="2" t="n">
        <v>2026</v>
      </c>
      <c r="AJ306" s="2" t="inlineStr">
        <is>
          <t>2026-04</t>
        </is>
      </c>
      <c r="AK306" s="2" t="inlineStr">
        <is>
          <t>+100 to +120</t>
        </is>
      </c>
      <c r="AL306" s="2" t="inlineStr">
        <is>
          <t>2026 Frozen Test</t>
        </is>
      </c>
      <c r="AM306" s="6" t="n">
        <v>0.08271551635147878</v>
      </c>
    </row>
    <row r="307">
      <c r="A307" s="2" t="inlineStr">
        <is>
          <t>KPROP-00708</t>
        </is>
      </c>
      <c r="B307" s="3" t="n">
        <v>46143.79905092593</v>
      </c>
      <c r="C307" s="3" t="n">
        <v>46143</v>
      </c>
      <c r="D307" s="2" t="inlineStr">
        <is>
          <t>Robbie Ray</t>
        </is>
      </c>
      <c r="E307" s="2" t="n">
        <v>137</v>
      </c>
      <c r="F307" s="2" t="n">
        <v>139</v>
      </c>
      <c r="G307" s="2" t="inlineStr">
        <is>
          <t>Away</t>
        </is>
      </c>
      <c r="H307" s="2" t="inlineStr">
        <is>
          <t>betrivers</t>
        </is>
      </c>
      <c r="I307" s="4" t="n"/>
      <c r="J307" s="4" t="n"/>
      <c r="K307" s="4" t="n">
        <v>123</v>
      </c>
      <c r="L307" s="4" t="n">
        <v>123</v>
      </c>
      <c r="M307" s="5" t="n">
        <v>4.5</v>
      </c>
      <c r="N307" s="5" t="n">
        <v>4.659404978659147</v>
      </c>
      <c r="O307" s="5" t="n">
        <v>4.5</v>
      </c>
      <c r="P307" s="5" t="n">
        <v>-0.1594049786591469</v>
      </c>
      <c r="Q307" s="6" t="n">
        <v>0.1197681685814768</v>
      </c>
      <c r="R307" s="6" t="n">
        <v>0.502138192189003</v>
      </c>
      <c r="S307" s="6" t="n">
        <v>0.427715996578272</v>
      </c>
      <c r="T307" s="2" t="inlineStr">
        <is>
          <t>Under</t>
        </is>
      </c>
      <c r="U307" s="4" t="n">
        <v>123</v>
      </c>
      <c r="V307" s="2" t="n">
        <v>2.23</v>
      </c>
      <c r="W307" s="4" t="n">
        <v>123</v>
      </c>
      <c r="X307" s="2" t="n">
        <v>1</v>
      </c>
      <c r="Y307" s="5" t="n">
        <v>-1</v>
      </c>
      <c r="Z307" s="7" t="n">
        <v>100</v>
      </c>
      <c r="AA307" s="7">
        <f>Y307*Z307</f>
        <v/>
      </c>
      <c r="AB307" s="6">
        <f>IF(Z307=0,0,AA307/Z307)</f>
        <v/>
      </c>
      <c r="AC307" s="6" t="n"/>
      <c r="AD307" s="2" t="inlineStr">
        <is>
          <t>Loss</t>
        </is>
      </c>
      <c r="AE307" s="6">
        <f>IF((COUNTIF($AD$2:AD307,"Win")+COUNTIF($AD$2:AD307,"Loss"))=0,0,COUNTIF($AD$2:AD307,"Win")/(COUNTIF($AD$2:AD307,"Win")+COUNTIF($AD$2:AD307,"Loss")))</f>
        <v/>
      </c>
      <c r="AF307" s="6">
        <f>SUM($Y$2:Y307)/SUM($X$2:X307)</f>
        <v/>
      </c>
      <c r="AG307" s="5">
        <f>SUM($Y$2:Y307)</f>
        <v/>
      </c>
      <c r="AH307" s="7">
        <f>10000.0+SUM($AA$2:AA307)</f>
        <v/>
      </c>
      <c r="AI307" s="2" t="n">
        <v>2026</v>
      </c>
      <c r="AJ307" s="2" t="inlineStr">
        <is>
          <t>2026-05</t>
        </is>
      </c>
      <c r="AK307" s="2" t="inlineStr">
        <is>
          <t>+121 to +150</t>
        </is>
      </c>
      <c r="AL307" s="2" t="inlineStr">
        <is>
          <t>2026 Frozen Test</t>
        </is>
      </c>
      <c r="AM307" s="6" t="n">
        <v>0.09737249478168843</v>
      </c>
    </row>
    <row r="308">
      <c r="A308" s="2" t="inlineStr">
        <is>
          <t>KPROP-00709</t>
        </is>
      </c>
      <c r="B308" s="3" t="n">
        <v>46143.79905092593</v>
      </c>
      <c r="C308" s="3" t="n">
        <v>46143</v>
      </c>
      <c r="D308" s="2" t="inlineStr">
        <is>
          <t>Robbie Ray</t>
        </is>
      </c>
      <c r="E308" s="2" t="n">
        <v>137</v>
      </c>
      <c r="F308" s="2" t="n">
        <v>139</v>
      </c>
      <c r="G308" s="2" t="inlineStr">
        <is>
          <t>Away</t>
        </is>
      </c>
      <c r="H308" s="2" t="inlineStr">
        <is>
          <t>draftkings</t>
        </is>
      </c>
      <c r="I308" s="4" t="n"/>
      <c r="J308" s="4" t="n"/>
      <c r="K308" s="4" t="n">
        <v>-153</v>
      </c>
      <c r="L308" s="4" t="n">
        <v>-153</v>
      </c>
      <c r="M308" s="5" t="n">
        <v>5.5</v>
      </c>
      <c r="N308" s="5" t="n">
        <v>4.659404978659147</v>
      </c>
      <c r="O308" s="5" t="n">
        <v>5.5</v>
      </c>
      <c r="P308" s="5" t="n">
        <v>0.8405950213408531</v>
      </c>
      <c r="Q308" s="6" t="n">
        <v>0.1169793427057382</v>
      </c>
      <c r="R308" s="6" t="n">
        <v>0.6754855313595967</v>
      </c>
      <c r="S308" s="6" t="n">
        <v>0.5848988498580781</v>
      </c>
      <c r="T308" s="2" t="inlineStr">
        <is>
          <t>Under</t>
        </is>
      </c>
      <c r="U308" s="4" t="n">
        <v>-153</v>
      </c>
      <c r="V308" s="2" t="n">
        <v>1.65359477124183</v>
      </c>
      <c r="W308" s="4" t="n">
        <v>-153</v>
      </c>
      <c r="X308" s="2" t="n">
        <v>1</v>
      </c>
      <c r="Y308" s="5" t="n">
        <v>0.65359477124183</v>
      </c>
      <c r="Z308" s="7" t="n">
        <v>100</v>
      </c>
      <c r="AA308" s="7">
        <f>Y308*Z308</f>
        <v/>
      </c>
      <c r="AB308" s="6">
        <f>IF(Z308=0,0,AA308/Z308)</f>
        <v/>
      </c>
      <c r="AC308" s="6" t="n"/>
      <c r="AD308" s="2" t="inlineStr">
        <is>
          <t>Win</t>
        </is>
      </c>
      <c r="AE308" s="6">
        <f>IF((COUNTIF($AD$2:AD308,"Win")+COUNTIF($AD$2:AD308,"Loss"))=0,0,COUNTIF($AD$2:AD308,"Win")/(COUNTIF($AD$2:AD308,"Win")+COUNTIF($AD$2:AD308,"Loss")))</f>
        <v/>
      </c>
      <c r="AF308" s="6">
        <f>SUM($Y$2:Y308)/SUM($X$2:X308)</f>
        <v/>
      </c>
      <c r="AG308" s="5">
        <f>SUM($Y$2:Y308)</f>
        <v/>
      </c>
      <c r="AH308" s="7">
        <f>10000.0+SUM($AA$2:AA308)</f>
        <v/>
      </c>
      <c r="AI308" s="2" t="n">
        <v>2026</v>
      </c>
      <c r="AJ308" s="2" t="inlineStr">
        <is>
          <t>2026-05</t>
        </is>
      </c>
      <c r="AK308" s="2" t="inlineStr">
        <is>
          <t>&lt;= -150</t>
        </is>
      </c>
      <c r="AL308" s="2" t="inlineStr">
        <is>
          <t>2026 Frozen Test</t>
        </is>
      </c>
      <c r="AM308" s="6" t="n">
        <v>0.1789783943397794</v>
      </c>
    </row>
    <row r="309">
      <c r="A309" s="2" t="inlineStr">
        <is>
          <t>KPROP-00710</t>
        </is>
      </c>
      <c r="B309" s="3" t="n">
        <v>46143.79905092593</v>
      </c>
      <c r="C309" s="3" t="n">
        <v>46143</v>
      </c>
      <c r="D309" s="2" t="inlineStr">
        <is>
          <t>Shane McClanahan</t>
        </is>
      </c>
      <c r="E309" s="2" t="n">
        <v>139</v>
      </c>
      <c r="F309" s="2" t="n">
        <v>137</v>
      </c>
      <c r="G309" s="2" t="inlineStr">
        <is>
          <t>Home</t>
        </is>
      </c>
      <c r="H309" s="2" t="inlineStr">
        <is>
          <t>bovada</t>
        </is>
      </c>
      <c r="I309" s="4" t="n"/>
      <c r="J309" s="4" t="n"/>
      <c r="K309" s="4" t="n">
        <v>-135</v>
      </c>
      <c r="L309" s="4" t="n">
        <v>-135</v>
      </c>
      <c r="M309" s="5" t="n">
        <v>5.5</v>
      </c>
      <c r="N309" s="5" t="n">
        <v>4.925206355800848</v>
      </c>
      <c r="O309" s="5" t="n">
        <v>5.5</v>
      </c>
      <c r="P309" s="5" t="n">
        <v>0.5747936441991524</v>
      </c>
      <c r="Q309" s="6" t="n">
        <v>0.09506872516548343</v>
      </c>
      <c r="R309" s="6" t="n">
        <v>0.6290820336057033</v>
      </c>
      <c r="S309" s="6" t="n">
        <v>0.5548820911071124</v>
      </c>
      <c r="T309" s="2" t="inlineStr">
        <is>
          <t>Under</t>
        </is>
      </c>
      <c r="U309" s="4" t="n">
        <v>-135</v>
      </c>
      <c r="V309" s="2" t="n">
        <v>1.740740740740741</v>
      </c>
      <c r="W309" s="4" t="n">
        <v>-135</v>
      </c>
      <c r="X309" s="2" t="n">
        <v>1</v>
      </c>
      <c r="Y309" s="5" t="n">
        <v>0.7407407407407407</v>
      </c>
      <c r="Z309" s="7" t="n">
        <v>100</v>
      </c>
      <c r="AA309" s="7">
        <f>Y309*Z309</f>
        <v/>
      </c>
      <c r="AB309" s="6">
        <f>IF(Z309=0,0,AA309/Z309)</f>
        <v/>
      </c>
      <c r="AC309" s="6" t="n"/>
      <c r="AD309" s="2" t="inlineStr">
        <is>
          <t>Win</t>
        </is>
      </c>
      <c r="AE309" s="6">
        <f>IF((COUNTIF($AD$2:AD309,"Win")+COUNTIF($AD$2:AD309,"Loss"))=0,0,COUNTIF($AD$2:AD309,"Win")/(COUNTIF($AD$2:AD309,"Win")+COUNTIF($AD$2:AD309,"Loss")))</f>
        <v/>
      </c>
      <c r="AF309" s="6">
        <f>SUM($Y$2:Y309)/SUM($X$2:X309)</f>
        <v/>
      </c>
      <c r="AG309" s="5">
        <f>SUM($Y$2:Y309)</f>
        <v/>
      </c>
      <c r="AH309" s="7">
        <f>10000.0+SUM($AA$2:AA309)</f>
        <v/>
      </c>
      <c r="AI309" s="2" t="n">
        <v>2026</v>
      </c>
      <c r="AJ309" s="2" t="inlineStr">
        <is>
          <t>2026-05</t>
        </is>
      </c>
      <c r="AK309" s="2" t="inlineStr">
        <is>
          <t>-149 to -120</t>
        </is>
      </c>
      <c r="AL309" s="2" t="inlineStr">
        <is>
          <t>2026 Frozen Test</t>
        </is>
      </c>
      <c r="AM309" s="6" t="n">
        <v>0.1283427789734026</v>
      </c>
    </row>
    <row r="310">
      <c r="A310" s="2" t="inlineStr">
        <is>
          <t>KPROP-00711</t>
        </is>
      </c>
      <c r="B310" s="3" t="n">
        <v>46144.67056712963</v>
      </c>
      <c r="C310" s="3" t="n">
        <v>46144</v>
      </c>
      <c r="D310" s="2" t="inlineStr">
        <is>
          <t>Foster Griffin</t>
        </is>
      </c>
      <c r="E310" s="2" t="n">
        <v>120</v>
      </c>
      <c r="F310" s="2" t="n">
        <v>158</v>
      </c>
      <c r="G310" s="2" t="inlineStr">
        <is>
          <t>Home</t>
        </is>
      </c>
      <c r="H310" s="2" t="inlineStr">
        <is>
          <t>fanduel</t>
        </is>
      </c>
      <c r="I310" s="4" t="n"/>
      <c r="J310" s="4" t="n"/>
      <c r="K310" s="4" t="n">
        <v>126</v>
      </c>
      <c r="L310" s="4" t="n">
        <v>126</v>
      </c>
      <c r="M310" s="5" t="n">
        <v>4.5</v>
      </c>
      <c r="N310" s="5" t="n">
        <v>4.694231968534918</v>
      </c>
      <c r="O310" s="5" t="n">
        <v>4.5</v>
      </c>
      <c r="P310" s="5" t="n">
        <v>-0.1942319685349183</v>
      </c>
      <c r="Q310" s="6" t="n">
        <v>0.1202275289135972</v>
      </c>
      <c r="R310" s="6" t="n">
        <v>0.4956758977493794</v>
      </c>
      <c r="S310" s="6" t="n">
        <v>0.4351046102573597</v>
      </c>
      <c r="T310" s="2" t="inlineStr">
        <is>
          <t>Under</t>
        </is>
      </c>
      <c r="U310" s="4" t="n">
        <v>126</v>
      </c>
      <c r="V310" s="2" t="n">
        <v>2.26</v>
      </c>
      <c r="W310" s="4" t="n">
        <v>126</v>
      </c>
      <c r="X310" s="2" t="n">
        <v>1</v>
      </c>
      <c r="Y310" s="5" t="n">
        <v>1.26</v>
      </c>
      <c r="Z310" s="7" t="n">
        <v>100</v>
      </c>
      <c r="AA310" s="7">
        <f>Y310*Z310</f>
        <v/>
      </c>
      <c r="AB310" s="6">
        <f>IF(Z310=0,0,AA310/Z310)</f>
        <v/>
      </c>
      <c r="AC310" s="6" t="n"/>
      <c r="AD310" s="2" t="inlineStr">
        <is>
          <t>Win</t>
        </is>
      </c>
      <c r="AE310" s="6">
        <f>IF((COUNTIF($AD$2:AD310,"Win")+COUNTIF($AD$2:AD310,"Loss"))=0,0,COUNTIF($AD$2:AD310,"Win")/(COUNTIF($AD$2:AD310,"Win")+COUNTIF($AD$2:AD310,"Loss")))</f>
        <v/>
      </c>
      <c r="AF310" s="6">
        <f>SUM($Y$2:Y310)/SUM($X$2:X310)</f>
        <v/>
      </c>
      <c r="AG310" s="5">
        <f>SUM($Y$2:Y310)</f>
        <v/>
      </c>
      <c r="AH310" s="7">
        <f>10000.0+SUM($AA$2:AA310)</f>
        <v/>
      </c>
      <c r="AI310" s="2" t="n">
        <v>2026</v>
      </c>
      <c r="AJ310" s="2" t="inlineStr">
        <is>
          <t>2026-05</t>
        </is>
      </c>
      <c r="AK310" s="2" t="inlineStr">
        <is>
          <t>+121 to +150</t>
        </is>
      </c>
      <c r="AL310" s="2" t="inlineStr">
        <is>
          <t>2026 Frozen Test</t>
        </is>
      </c>
      <c r="AM310" s="6" t="n">
        <v>0.0954186737409502</v>
      </c>
    </row>
    <row r="311">
      <c r="A311" s="2" t="inlineStr">
        <is>
          <t>KPROP-00712</t>
        </is>
      </c>
      <c r="B311" s="3" t="n">
        <v>46144.67056712963</v>
      </c>
      <c r="C311" s="3" t="n">
        <v>46144</v>
      </c>
      <c r="D311" s="2" t="inlineStr">
        <is>
          <t>Jacob Lopez</t>
        </is>
      </c>
      <c r="E311" s="2" t="n">
        <v>133</v>
      </c>
      <c r="F311" s="2" t="n">
        <v>114</v>
      </c>
      <c r="G311" s="2" t="inlineStr">
        <is>
          <t>Home</t>
        </is>
      </c>
      <c r="H311" s="2" t="inlineStr">
        <is>
          <t>betmgm</t>
        </is>
      </c>
      <c r="I311" s="4" t="n"/>
      <c r="J311" s="4" t="n"/>
      <c r="K311" s="4" t="n">
        <v>-125</v>
      </c>
      <c r="L311" s="4" t="n">
        <v>-125</v>
      </c>
      <c r="M311" s="5" t="n">
        <v>4.5</v>
      </c>
      <c r="N311" s="5" t="n">
        <v>3.923658711392009</v>
      </c>
      <c r="O311" s="5" t="n">
        <v>4.5</v>
      </c>
      <c r="P311" s="5" t="n">
        <v>0.5763412886079911</v>
      </c>
      <c r="Q311" s="6" t="n">
        <v>0.1587461006136622</v>
      </c>
      <c r="R311" s="6" t="n">
        <v>0.6437478336742568</v>
      </c>
      <c r="S311" s="6" t="n">
        <v>0.5384615384615385</v>
      </c>
      <c r="T311" s="2" t="inlineStr">
        <is>
          <t>Under</t>
        </is>
      </c>
      <c r="U311" s="4" t="n">
        <v>-125</v>
      </c>
      <c r="V311" s="2" t="n">
        <v>1.8</v>
      </c>
      <c r="W311" s="4" t="n">
        <v>-125</v>
      </c>
      <c r="X311" s="2" t="n">
        <v>1</v>
      </c>
      <c r="Y311" s="5" t="n">
        <v>-1</v>
      </c>
      <c r="Z311" s="7" t="n">
        <v>100</v>
      </c>
      <c r="AA311" s="7">
        <f>Y311*Z311</f>
        <v/>
      </c>
      <c r="AB311" s="6">
        <f>IF(Z311=0,0,AA311/Z311)</f>
        <v/>
      </c>
      <c r="AC311" s="6" t="n"/>
      <c r="AD311" s="2" t="inlineStr">
        <is>
          <t>Loss</t>
        </is>
      </c>
      <c r="AE311" s="6">
        <f>IF((COUNTIF($AD$2:AD311,"Win")+COUNTIF($AD$2:AD311,"Loss"))=0,0,COUNTIF($AD$2:AD311,"Win")/(COUNTIF($AD$2:AD311,"Win")+COUNTIF($AD$2:AD311,"Loss")))</f>
        <v/>
      </c>
      <c r="AF311" s="6">
        <f>SUM($Y$2:Y311)/SUM($X$2:X311)</f>
        <v/>
      </c>
      <c r="AG311" s="5">
        <f>SUM($Y$2:Y311)</f>
        <v/>
      </c>
      <c r="AH311" s="7">
        <f>10000.0+SUM($AA$2:AA311)</f>
        <v/>
      </c>
      <c r="AI311" s="2" t="n">
        <v>2026</v>
      </c>
      <c r="AJ311" s="2" t="inlineStr">
        <is>
          <t>2026-05</t>
        </is>
      </c>
      <c r="AK311" s="2" t="inlineStr">
        <is>
          <t>-149 to -120</t>
        </is>
      </c>
      <c r="AL311" s="2" t="inlineStr">
        <is>
          <t>2026 Frozen Test</t>
        </is>
      </c>
      <c r="AM311" s="6" t="n">
        <v>0.1984326257670778</v>
      </c>
    </row>
    <row r="312">
      <c r="A312" s="2" t="inlineStr">
        <is>
          <t>KPROP-00713</t>
        </is>
      </c>
      <c r="B312" s="3" t="n">
        <v>46144.75737268518</v>
      </c>
      <c r="C312" s="3" t="n">
        <v>46144</v>
      </c>
      <c r="D312" s="2" t="inlineStr">
        <is>
          <t>Landen Roupp</t>
        </is>
      </c>
      <c r="E312" s="2" t="n">
        <v>137</v>
      </c>
      <c r="F312" s="2" t="n">
        <v>139</v>
      </c>
      <c r="G312" s="2" t="inlineStr">
        <is>
          <t>Away</t>
        </is>
      </c>
      <c r="H312" s="2" t="inlineStr">
        <is>
          <t>betonlineag</t>
        </is>
      </c>
      <c r="I312" s="4" t="n"/>
      <c r="J312" s="4" t="n"/>
      <c r="K312" s="4" t="n">
        <v>117</v>
      </c>
      <c r="L312" s="4" t="n">
        <v>117</v>
      </c>
      <c r="M312" s="5" t="n">
        <v>4.5</v>
      </c>
      <c r="N312" s="5" t="n">
        <v>4.577107459343418</v>
      </c>
      <c r="O312" s="5" t="n">
        <v>4.5</v>
      </c>
      <c r="P312" s="5" t="n">
        <v>-0.07710745934341823</v>
      </c>
      <c r="Q312" s="6" t="n">
        <v>0.1230473288299442</v>
      </c>
      <c r="R312" s="6" t="n">
        <v>0.5175333312580388</v>
      </c>
      <c r="S312" s="6" t="n">
        <v>0.4451179088928875</v>
      </c>
      <c r="T312" s="2" t="inlineStr">
        <is>
          <t>Under</t>
        </is>
      </c>
      <c r="U312" s="4" t="n">
        <v>117</v>
      </c>
      <c r="V312" s="2" t="n">
        <v>2.17</v>
      </c>
      <c r="W312" s="4" t="n">
        <v>117</v>
      </c>
      <c r="X312" s="2" t="n">
        <v>1</v>
      </c>
      <c r="Y312" s="5" t="n">
        <v>-1</v>
      </c>
      <c r="Z312" s="7" t="n">
        <v>100</v>
      </c>
      <c r="AA312" s="7">
        <f>Y312*Z312</f>
        <v/>
      </c>
      <c r="AB312" s="6">
        <f>IF(Z312=0,0,AA312/Z312)</f>
        <v/>
      </c>
      <c r="AC312" s="6" t="n"/>
      <c r="AD312" s="2" t="inlineStr">
        <is>
          <t>Loss</t>
        </is>
      </c>
      <c r="AE312" s="6">
        <f>IF((COUNTIF($AD$2:AD312,"Win")+COUNTIF($AD$2:AD312,"Loss"))=0,0,COUNTIF($AD$2:AD312,"Win")/(COUNTIF($AD$2:AD312,"Win")+COUNTIF($AD$2:AD312,"Loss")))</f>
        <v/>
      </c>
      <c r="AF312" s="6">
        <f>SUM($Y$2:Y312)/SUM($X$2:X312)</f>
        <v/>
      </c>
      <c r="AG312" s="5">
        <f>SUM($Y$2:Y312)</f>
        <v/>
      </c>
      <c r="AH312" s="7">
        <f>10000.0+SUM($AA$2:AA312)</f>
        <v/>
      </c>
      <c r="AI312" s="2" t="n">
        <v>2026</v>
      </c>
      <c r="AJ312" s="2" t="inlineStr">
        <is>
          <t>2026-05</t>
        </is>
      </c>
      <c r="AK312" s="2" t="inlineStr">
        <is>
          <t>+100 to +120</t>
        </is>
      </c>
      <c r="AL312" s="2" t="inlineStr">
        <is>
          <t>2026 Frozen Test</t>
        </is>
      </c>
      <c r="AM312" s="6" t="n">
        <v>0.1051686571196104</v>
      </c>
    </row>
    <row r="313">
      <c r="A313" s="2" t="inlineStr">
        <is>
          <t>KPROP-00714</t>
        </is>
      </c>
      <c r="B313" s="3" t="n">
        <v>46144.75737268518</v>
      </c>
      <c r="C313" s="3" t="n">
        <v>46144</v>
      </c>
      <c r="D313" s="2" t="inlineStr">
        <is>
          <t>Landen Roupp</t>
        </is>
      </c>
      <c r="E313" s="2" t="n">
        <v>137</v>
      </c>
      <c r="F313" s="2" t="n">
        <v>139</v>
      </c>
      <c r="G313" s="2" t="inlineStr">
        <is>
          <t>Away</t>
        </is>
      </c>
      <c r="H313" s="2" t="inlineStr">
        <is>
          <t>draftkings</t>
        </is>
      </c>
      <c r="I313" s="4" t="n"/>
      <c r="J313" s="4" t="n"/>
      <c r="K313" s="4" t="n">
        <v>-159</v>
      </c>
      <c r="L313" s="4" t="n">
        <v>-159</v>
      </c>
      <c r="M313" s="5" t="n">
        <v>5.5</v>
      </c>
      <c r="N313" s="5" t="n">
        <v>4.577107459343418</v>
      </c>
      <c r="O313" s="5" t="n">
        <v>5.5</v>
      </c>
      <c r="P313" s="5" t="n">
        <v>0.9228925406565818</v>
      </c>
      <c r="Q313" s="6" t="n">
        <v>0.1234817916171499</v>
      </c>
      <c r="R313" s="6" t="n">
        <v>0.6897050380970149</v>
      </c>
      <c r="S313" s="6" t="n">
        <v>0.6102039280608021</v>
      </c>
      <c r="T313" s="2" t="inlineStr">
        <is>
          <t>Under</t>
        </is>
      </c>
      <c r="U313" s="4" t="n">
        <v>-159</v>
      </c>
      <c r="V313" s="2" t="n">
        <v>1.628930817610063</v>
      </c>
      <c r="W313" s="4" t="n">
        <v>-159</v>
      </c>
      <c r="X313" s="2" t="n">
        <v>1</v>
      </c>
      <c r="Y313" s="5" t="n">
        <v>-1</v>
      </c>
      <c r="Z313" s="7" t="n">
        <v>100</v>
      </c>
      <c r="AA313" s="7">
        <f>Y313*Z313</f>
        <v/>
      </c>
      <c r="AB313" s="6">
        <f>IF(Z313=0,0,AA313/Z313)</f>
        <v/>
      </c>
      <c r="AC313" s="6" t="n"/>
      <c r="AD313" s="2" t="inlineStr">
        <is>
          <t>Loss</t>
        </is>
      </c>
      <c r="AE313" s="6">
        <f>IF((COUNTIF($AD$2:AD313,"Win")+COUNTIF($AD$2:AD313,"Loss"))=0,0,COUNTIF($AD$2:AD313,"Win")/(COUNTIF($AD$2:AD313,"Win")+COUNTIF($AD$2:AD313,"Loss")))</f>
        <v/>
      </c>
      <c r="AF313" s="6">
        <f>SUM($Y$2:Y313)/SUM($X$2:X313)</f>
        <v/>
      </c>
      <c r="AG313" s="5">
        <f>SUM($Y$2:Y313)</f>
        <v/>
      </c>
      <c r="AH313" s="7">
        <f>10000.0+SUM($AA$2:AA313)</f>
        <v/>
      </c>
      <c r="AI313" s="2" t="n">
        <v>2026</v>
      </c>
      <c r="AJ313" s="2" t="inlineStr">
        <is>
          <t>2026-05</t>
        </is>
      </c>
      <c r="AK313" s="2" t="inlineStr">
        <is>
          <t>&lt;= -150</t>
        </is>
      </c>
      <c r="AL313" s="2" t="inlineStr">
        <is>
          <t>2026 Frozen Test</t>
        </is>
      </c>
      <c r="AM313" s="6" t="n">
        <v>0.1963360486712685</v>
      </c>
    </row>
    <row r="314">
      <c r="A314" s="2" t="inlineStr">
        <is>
          <t>KPROP-00715</t>
        </is>
      </c>
      <c r="B314" s="3" t="n">
        <v>46144.56640046297</v>
      </c>
      <c r="C314" s="3" t="n">
        <v>46144</v>
      </c>
      <c r="D314" s="2" t="inlineStr">
        <is>
          <t>Ryan Weathers</t>
        </is>
      </c>
      <c r="E314" s="2" t="n">
        <v>147</v>
      </c>
      <c r="F314" s="2" t="n">
        <v>110</v>
      </c>
      <c r="G314" s="2" t="inlineStr">
        <is>
          <t>Home</t>
        </is>
      </c>
      <c r="H314" s="2" t="inlineStr">
        <is>
          <t>betrivers</t>
        </is>
      </c>
      <c r="I314" s="4" t="n"/>
      <c r="J314" s="4" t="n"/>
      <c r="K314" s="4" t="n">
        <v>140</v>
      </c>
      <c r="L314" s="4" t="n">
        <v>140</v>
      </c>
      <c r="M314" s="5" t="n">
        <v>5.5</v>
      </c>
      <c r="N314" s="5" t="n">
        <v>5.84359306222462</v>
      </c>
      <c r="O314" s="5" t="n">
        <v>5.5</v>
      </c>
      <c r="P314" s="5" t="n">
        <v>-0.3435930622246204</v>
      </c>
      <c r="Q314" s="6" t="n">
        <v>0.1306827972774759</v>
      </c>
      <c r="R314" s="6" t="n">
        <v>0.4711178321989483</v>
      </c>
      <c r="S314" s="6" t="n">
        <v>0.388739946380697</v>
      </c>
      <c r="T314" s="2" t="inlineStr">
        <is>
          <t>Under</t>
        </is>
      </c>
      <c r="U314" s="4" t="n">
        <v>140</v>
      </c>
      <c r="V314" s="2" t="n">
        <v>2.4</v>
      </c>
      <c r="W314" s="4" t="n">
        <v>140</v>
      </c>
      <c r="X314" s="2" t="n">
        <v>1</v>
      </c>
      <c r="Y314" s="5" t="n">
        <v>1.4</v>
      </c>
      <c r="Z314" s="7" t="n">
        <v>100</v>
      </c>
      <c r="AA314" s="7">
        <f>Y314*Z314</f>
        <v/>
      </c>
      <c r="AB314" s="6">
        <f>IF(Z314=0,0,AA314/Z314)</f>
        <v/>
      </c>
      <c r="AC314" s="6" t="n"/>
      <c r="AD314" s="2" t="inlineStr">
        <is>
          <t>Win</t>
        </is>
      </c>
      <c r="AE314" s="6">
        <f>IF((COUNTIF($AD$2:AD314,"Win")+COUNTIF($AD$2:AD314,"Loss"))=0,0,COUNTIF($AD$2:AD314,"Win")/(COUNTIF($AD$2:AD314,"Win")+COUNTIF($AD$2:AD314,"Loss")))</f>
        <v/>
      </c>
      <c r="AF314" s="6">
        <f>SUM($Y$2:Y314)/SUM($X$2:X314)</f>
        <v/>
      </c>
      <c r="AG314" s="5">
        <f>SUM($Y$2:Y314)</f>
        <v/>
      </c>
      <c r="AH314" s="7">
        <f>10000.0+SUM($AA$2:AA314)</f>
        <v/>
      </c>
      <c r="AI314" s="2" t="n">
        <v>2026</v>
      </c>
      <c r="AJ314" s="2" t="inlineStr">
        <is>
          <t>2026-05</t>
        </is>
      </c>
      <c r="AK314" s="2" t="inlineStr">
        <is>
          <t>+121 to +150</t>
        </is>
      </c>
      <c r="AL314" s="2" t="inlineStr">
        <is>
          <t>2026 Frozen Test</t>
        </is>
      </c>
      <c r="AM314" s="6" t="n">
        <v>0.09334485519819707</v>
      </c>
    </row>
    <row r="315">
      <c r="A315" s="2" t="inlineStr">
        <is>
          <t>KPROP-00716</t>
        </is>
      </c>
      <c r="B315" s="3" t="n">
        <v>46144.56640046297</v>
      </c>
      <c r="C315" s="3" t="n">
        <v>46144</v>
      </c>
      <c r="D315" s="2" t="inlineStr">
        <is>
          <t>Ryan Weathers</t>
        </is>
      </c>
      <c r="E315" s="2" t="n">
        <v>147</v>
      </c>
      <c r="F315" s="2" t="n">
        <v>110</v>
      </c>
      <c r="G315" s="2" t="inlineStr">
        <is>
          <t>Home</t>
        </is>
      </c>
      <c r="H315" s="2" t="inlineStr">
        <is>
          <t>betrivers</t>
        </is>
      </c>
      <c r="I315" s="4" t="n"/>
      <c r="J315" s="4" t="n"/>
      <c r="K315" s="4" t="n">
        <v>-143</v>
      </c>
      <c r="L315" s="4" t="n">
        <v>-143</v>
      </c>
      <c r="M315" s="5" t="n">
        <v>6.5</v>
      </c>
      <c r="N315" s="5" t="n">
        <v>5.84359306222462</v>
      </c>
      <c r="O315" s="5" t="n">
        <v>6.5</v>
      </c>
      <c r="P315" s="5" t="n">
        <v>0.6564069377753796</v>
      </c>
      <c r="Q315" s="6" t="n">
        <v>0.07295217346128369</v>
      </c>
      <c r="R315" s="6" t="n">
        <v>0.6314080691562287</v>
      </c>
      <c r="S315" s="6" t="n">
        <v>0.5642037302725968</v>
      </c>
      <c r="T315" s="2" t="inlineStr">
        <is>
          <t>Under</t>
        </is>
      </c>
      <c r="U315" s="4" t="n">
        <v>-143</v>
      </c>
      <c r="V315" s="2" t="n">
        <v>1.699300699300699</v>
      </c>
      <c r="W315" s="4" t="n">
        <v>-143</v>
      </c>
      <c r="X315" s="2" t="n">
        <v>1</v>
      </c>
      <c r="Y315" s="5" t="n">
        <v>0.6993006993006992</v>
      </c>
      <c r="Z315" s="7" t="n">
        <v>100</v>
      </c>
      <c r="AA315" s="7">
        <f>Y315*Z315</f>
        <v/>
      </c>
      <c r="AB315" s="6">
        <f>IF(Z315=0,0,AA315/Z315)</f>
        <v/>
      </c>
      <c r="AC315" s="6" t="n"/>
      <c r="AD315" s="2" t="inlineStr">
        <is>
          <t>Win</t>
        </is>
      </c>
      <c r="AE315" s="6">
        <f>IF((COUNTIF($AD$2:AD315,"Win")+COUNTIF($AD$2:AD315,"Loss"))=0,0,COUNTIF($AD$2:AD315,"Win")/(COUNTIF($AD$2:AD315,"Win")+COUNTIF($AD$2:AD315,"Loss")))</f>
        <v/>
      </c>
      <c r="AF315" s="6">
        <f>SUM($Y$2:Y315)/SUM($X$2:X315)</f>
        <v/>
      </c>
      <c r="AG315" s="5">
        <f>SUM($Y$2:Y315)</f>
        <v/>
      </c>
      <c r="AH315" s="7">
        <f>10000.0+SUM($AA$2:AA315)</f>
        <v/>
      </c>
      <c r="AI315" s="2" t="n">
        <v>2026</v>
      </c>
      <c r="AJ315" s="2" t="inlineStr">
        <is>
          <t>2026-05</t>
        </is>
      </c>
      <c r="AK315" s="2" t="inlineStr">
        <is>
          <t>-149 to -120</t>
        </is>
      </c>
      <c r="AL315" s="2" t="inlineStr">
        <is>
          <t>2026 Frozen Test</t>
        </is>
      </c>
      <c r="AM315" s="6" t="n">
        <v>0.1043216080496357</v>
      </c>
    </row>
    <row r="316">
      <c r="A316" s="2" t="inlineStr">
        <is>
          <t>KPROP-00717</t>
        </is>
      </c>
      <c r="B316" s="3" t="n">
        <v>46144.59765046297</v>
      </c>
      <c r="C316" s="3" t="n">
        <v>46144</v>
      </c>
      <c r="D316" s="2" t="inlineStr">
        <is>
          <t>Shota Imanaga</t>
        </is>
      </c>
      <c r="E316" s="2" t="n">
        <v>112</v>
      </c>
      <c r="F316" s="2" t="n">
        <v>109</v>
      </c>
      <c r="G316" s="2" t="inlineStr">
        <is>
          <t>Home</t>
        </is>
      </c>
      <c r="H316" s="2" t="inlineStr">
        <is>
          <t>draftkings</t>
        </is>
      </c>
      <c r="I316" s="4" t="n"/>
      <c r="J316" s="4" t="n"/>
      <c r="K316" s="4" t="n">
        <v>121</v>
      </c>
      <c r="L316" s="4" t="n">
        <v>121</v>
      </c>
      <c r="M316" s="5" t="n">
        <v>4.5</v>
      </c>
      <c r="N316" s="5" t="n">
        <v>4.377960611868318</v>
      </c>
      <c r="O316" s="5" t="n">
        <v>4.5</v>
      </c>
      <c r="P316" s="5" t="n">
        <v>0.1220393881316824</v>
      </c>
      <c r="Q316" s="6" t="n">
        <v>0.2274643181719356</v>
      </c>
      <c r="R316" s="6" t="n">
        <v>0.5554137186298351</v>
      </c>
      <c r="S316" s="6" t="n">
        <v>0.4390759026992979</v>
      </c>
      <c r="T316" s="2" t="inlineStr">
        <is>
          <t>Under</t>
        </is>
      </c>
      <c r="U316" s="4" t="n">
        <v>121</v>
      </c>
      <c r="V316" s="2" t="n">
        <v>2.21</v>
      </c>
      <c r="W316" s="4" t="n">
        <v>121</v>
      </c>
      <c r="X316" s="2" t="n">
        <v>1</v>
      </c>
      <c r="Y316" s="5" t="n">
        <v>-1</v>
      </c>
      <c r="Z316" s="7" t="n">
        <v>100</v>
      </c>
      <c r="AA316" s="7">
        <f>Y316*Z316</f>
        <v/>
      </c>
      <c r="AB316" s="6">
        <f>IF(Z316=0,0,AA316/Z316)</f>
        <v/>
      </c>
      <c r="AC316" s="6" t="n"/>
      <c r="AD316" s="2" t="inlineStr">
        <is>
          <t>Loss</t>
        </is>
      </c>
      <c r="AE316" s="6">
        <f>IF((COUNTIF($AD$2:AD316,"Win")+COUNTIF($AD$2:AD316,"Loss"))=0,0,COUNTIF($AD$2:AD316,"Win")/(COUNTIF($AD$2:AD316,"Win")+COUNTIF($AD$2:AD316,"Loss")))</f>
        <v/>
      </c>
      <c r="AF316" s="6">
        <f>SUM($Y$2:Y316)/SUM($X$2:X316)</f>
        <v/>
      </c>
      <c r="AG316" s="5">
        <f>SUM($Y$2:Y316)</f>
        <v/>
      </c>
      <c r="AH316" s="7">
        <f>10000.0+SUM($AA$2:AA316)</f>
        <v/>
      </c>
      <c r="AI316" s="2" t="n">
        <v>2026</v>
      </c>
      <c r="AJ316" s="2" t="inlineStr">
        <is>
          <t>2026-05</t>
        </is>
      </c>
      <c r="AK316" s="2" t="inlineStr">
        <is>
          <t>+121 to +150</t>
        </is>
      </c>
      <c r="AL316" s="2" t="inlineStr">
        <is>
          <t>2026 Frozen Test</t>
        </is>
      </c>
      <c r="AM316" s="6" t="n">
        <v>0.187987039811517</v>
      </c>
    </row>
    <row r="317">
      <c r="A317" s="2" t="inlineStr">
        <is>
          <t>KPROP-00718</t>
        </is>
      </c>
      <c r="B317" s="3" t="n">
        <v>46145.53167824074</v>
      </c>
      <c r="C317" s="3" t="n">
        <v>46145</v>
      </c>
      <c r="D317" s="2" t="inlineStr">
        <is>
          <t>Joe Ryan</t>
        </is>
      </c>
      <c r="E317" s="2" t="n">
        <v>142</v>
      </c>
      <c r="F317" s="2" t="n">
        <v>141</v>
      </c>
      <c r="G317" s="2" t="inlineStr">
        <is>
          <t>Home</t>
        </is>
      </c>
      <c r="H317" s="2" t="inlineStr">
        <is>
          <t>bovada</t>
        </is>
      </c>
      <c r="I317" s="4" t="n"/>
      <c r="J317" s="4" t="n"/>
      <c r="K317" s="4" t="n">
        <v>-135</v>
      </c>
      <c r="L317" s="4" t="n">
        <v>-135</v>
      </c>
      <c r="M317" s="5" t="n">
        <v>5.5</v>
      </c>
      <c r="N317" s="5" t="n">
        <v>4.769067413669497</v>
      </c>
      <c r="O317" s="5" t="n">
        <v>5.5</v>
      </c>
      <c r="P317" s="5" t="n">
        <v>0.7309325863305034</v>
      </c>
      <c r="Q317" s="6" t="n">
        <v>0.1426364365834954</v>
      </c>
      <c r="R317" s="6" t="n">
        <v>0.6564081656969016</v>
      </c>
      <c r="S317" s="6" t="n">
        <v>0.551441114716549</v>
      </c>
      <c r="T317" s="2" t="inlineStr">
        <is>
          <t>Under</t>
        </is>
      </c>
      <c r="U317" s="4" t="n">
        <v>-135</v>
      </c>
      <c r="V317" s="2" t="n">
        <v>1.740740740740741</v>
      </c>
      <c r="W317" s="4" t="n">
        <v>-135</v>
      </c>
      <c r="X317" s="2" t="n">
        <v>1</v>
      </c>
      <c r="Y317" s="5" t="n">
        <v>0.7407407407407407</v>
      </c>
      <c r="Z317" s="7" t="n">
        <v>100</v>
      </c>
      <c r="AA317" s="7">
        <f>Y317*Z317</f>
        <v/>
      </c>
      <c r="AB317" s="6">
        <f>IF(Z317=0,0,AA317/Z317)</f>
        <v/>
      </c>
      <c r="AC317" s="6" t="n"/>
      <c r="AD317" s="2" t="inlineStr">
        <is>
          <t>Win</t>
        </is>
      </c>
      <c r="AE317" s="6">
        <f>IF((COUNTIF($AD$2:AD317,"Win")+COUNTIF($AD$2:AD317,"Loss"))=0,0,COUNTIF($AD$2:AD317,"Win")/(COUNTIF($AD$2:AD317,"Win")+COUNTIF($AD$2:AD317,"Loss")))</f>
        <v/>
      </c>
      <c r="AF317" s="6">
        <f>SUM($Y$2:Y317)/SUM($X$2:X317)</f>
        <v/>
      </c>
      <c r="AG317" s="5">
        <f>SUM($Y$2:Y317)</f>
        <v/>
      </c>
      <c r="AH317" s="7">
        <f>10000.0+SUM($AA$2:AA317)</f>
        <v/>
      </c>
      <c r="AI317" s="2" t="n">
        <v>2026</v>
      </c>
      <c r="AJ317" s="2" t="inlineStr">
        <is>
          <t>2026-05</t>
        </is>
      </c>
      <c r="AK317" s="2" t="inlineStr">
        <is>
          <t>-149 to -120</t>
        </is>
      </c>
      <c r="AL317" s="2" t="inlineStr">
        <is>
          <t>2026 Frozen Test</t>
        </is>
      </c>
      <c r="AM317" s="6" t="n">
        <v>0.1925591893877188</v>
      </c>
    </row>
    <row r="318">
      <c r="A318" s="2" t="inlineStr">
        <is>
          <t>KPROP-00719</t>
        </is>
      </c>
      <c r="B318" s="3" t="n">
        <v>46145.67403935185</v>
      </c>
      <c r="C318" s="3" t="n">
        <v>46145</v>
      </c>
      <c r="D318" s="2" t="inlineStr">
        <is>
          <t>Kris Bubic</t>
        </is>
      </c>
      <c r="E318" s="2" t="n">
        <v>118</v>
      </c>
      <c r="F318" s="2" t="n">
        <v>136</v>
      </c>
      <c r="G318" s="2" t="inlineStr">
        <is>
          <t>Away</t>
        </is>
      </c>
      <c r="H318" s="2" t="inlineStr">
        <is>
          <t>draftkings</t>
        </is>
      </c>
      <c r="I318" s="4" t="n"/>
      <c r="J318" s="4" t="n"/>
      <c r="K318" s="4" t="n">
        <v>-111</v>
      </c>
      <c r="L318" s="4" t="n">
        <v>-111</v>
      </c>
      <c r="M318" s="5" t="n">
        <v>5.5</v>
      </c>
      <c r="N318" s="5" t="n">
        <v>5.277223853458078</v>
      </c>
      <c r="O318" s="5" t="n">
        <v>5.5</v>
      </c>
      <c r="P318" s="5" t="n">
        <v>0.2227761465419222</v>
      </c>
      <c r="Q318" s="6" t="n">
        <v>0.07864324323355465</v>
      </c>
      <c r="R318" s="6" t="n">
        <v>0.5674379146868462</v>
      </c>
      <c r="S318" s="6" t="n">
        <v>0.518869000114012</v>
      </c>
      <c r="T318" s="2" t="inlineStr">
        <is>
          <t>Under</t>
        </is>
      </c>
      <c r="U318" s="4" t="n">
        <v>-111</v>
      </c>
      <c r="V318" s="2" t="n">
        <v>1.900900900900901</v>
      </c>
      <c r="W318" s="4" t="n">
        <v>-111</v>
      </c>
      <c r="X318" s="2" t="n">
        <v>1</v>
      </c>
      <c r="Y318" s="5" t="n">
        <v>-1</v>
      </c>
      <c r="Z318" s="7" t="n">
        <v>100</v>
      </c>
      <c r="AA318" s="7">
        <f>Y318*Z318</f>
        <v/>
      </c>
      <c r="AB318" s="6">
        <f>IF(Z318=0,0,AA318/Z318)</f>
        <v/>
      </c>
      <c r="AC318" s="6" t="n"/>
      <c r="AD318" s="2" t="inlineStr">
        <is>
          <t>Loss</t>
        </is>
      </c>
      <c r="AE318" s="6">
        <f>IF((COUNTIF($AD$2:AD318,"Win")+COUNTIF($AD$2:AD318,"Loss"))=0,0,COUNTIF($AD$2:AD318,"Win")/(COUNTIF($AD$2:AD318,"Win")+COUNTIF($AD$2:AD318,"Loss")))</f>
        <v/>
      </c>
      <c r="AF318" s="6">
        <f>SUM($Y$2:Y318)/SUM($X$2:X318)</f>
        <v/>
      </c>
      <c r="AG318" s="5">
        <f>SUM($Y$2:Y318)</f>
        <v/>
      </c>
      <c r="AH318" s="7">
        <f>10000.0+SUM($AA$2:AA318)</f>
        <v/>
      </c>
      <c r="AI318" s="2" t="n">
        <v>2026</v>
      </c>
      <c r="AJ318" s="2" t="inlineStr">
        <is>
          <t>2026-05</t>
        </is>
      </c>
      <c r="AK318" s="2" t="inlineStr">
        <is>
          <t>-119 to -101</t>
        </is>
      </c>
      <c r="AL318" s="2" t="inlineStr">
        <is>
          <t>2026 Frozen Test</t>
        </is>
      </c>
      <c r="AM318" s="6" t="n">
        <v>0.08729399998924565</v>
      </c>
    </row>
    <row r="319">
      <c r="A319" s="2" t="inlineStr">
        <is>
          <t>KPROP-00720</t>
        </is>
      </c>
      <c r="B319" s="3" t="n">
        <v>46145.56640046297</v>
      </c>
      <c r="C319" s="3" t="n">
        <v>46145</v>
      </c>
      <c r="D319" s="2" t="inlineStr">
        <is>
          <t>Ranger Suarez</t>
        </is>
      </c>
      <c r="E319" s="2" t="n">
        <v>111</v>
      </c>
      <c r="F319" s="2" t="n">
        <v>117</v>
      </c>
      <c r="G319" s="2" t="inlineStr">
        <is>
          <t>Home</t>
        </is>
      </c>
      <c r="H319" s="2" t="inlineStr">
        <is>
          <t>betrivers</t>
        </is>
      </c>
      <c r="I319" s="4" t="n"/>
      <c r="J319" s="4" t="n"/>
      <c r="K319" s="4" t="n">
        <v>118</v>
      </c>
      <c r="L319" s="4" t="n">
        <v>118</v>
      </c>
      <c r="M319" s="5" t="n">
        <v>4.5</v>
      </c>
      <c r="N319" s="5" t="n">
        <v>4.621081190670573</v>
      </c>
      <c r="O319" s="5" t="n">
        <v>4.5</v>
      </c>
      <c r="P319" s="5" t="n">
        <v>-0.1210811906705729</v>
      </c>
      <c r="Q319" s="6" t="n">
        <v>0.1102438693497952</v>
      </c>
      <c r="R319" s="6" t="n">
        <v>0.5092861786008236</v>
      </c>
      <c r="S319" s="6" t="n">
        <v>0.456810631229236</v>
      </c>
      <c r="T319" s="2" t="inlineStr">
        <is>
          <t>Under</t>
        </is>
      </c>
      <c r="U319" s="4" t="n">
        <v>118</v>
      </c>
      <c r="V319" s="2" t="n">
        <v>2.18</v>
      </c>
      <c r="W319" s="4" t="n">
        <v>118</v>
      </c>
      <c r="X319" s="2" t="n">
        <v>1</v>
      </c>
      <c r="Y319" s="5" t="n">
        <v>1.18</v>
      </c>
      <c r="Z319" s="7" t="n">
        <v>100</v>
      </c>
      <c r="AA319" s="7">
        <f>Y319*Z319</f>
        <v/>
      </c>
      <c r="AB319" s="6">
        <f>IF(Z319=0,0,AA319/Z319)</f>
        <v/>
      </c>
      <c r="AC319" s="6" t="n"/>
      <c r="AD319" s="2" t="inlineStr">
        <is>
          <t>Win</t>
        </is>
      </c>
      <c r="AE319" s="6">
        <f>IF((COUNTIF($AD$2:AD319,"Win")+COUNTIF($AD$2:AD319,"Loss"))=0,0,COUNTIF($AD$2:AD319,"Win")/(COUNTIF($AD$2:AD319,"Win")+COUNTIF($AD$2:AD319,"Loss")))</f>
        <v/>
      </c>
      <c r="AF319" s="6">
        <f>SUM($Y$2:Y319)/SUM($X$2:X319)</f>
        <v/>
      </c>
      <c r="AG319" s="5">
        <f>SUM($Y$2:Y319)</f>
        <v/>
      </c>
      <c r="AH319" s="7">
        <f>10000.0+SUM($AA$2:AA319)</f>
        <v/>
      </c>
      <c r="AI319" s="2" t="n">
        <v>2026</v>
      </c>
      <c r="AJ319" s="2" t="inlineStr">
        <is>
          <t>2026-05</t>
        </is>
      </c>
      <c r="AK319" s="2" t="inlineStr">
        <is>
          <t>+100 to +120</t>
        </is>
      </c>
      <c r="AL319" s="2" t="inlineStr">
        <is>
          <t>2026 Frozen Test</t>
        </is>
      </c>
      <c r="AM319" s="6" t="n">
        <v>0.09342700792355531</v>
      </c>
    </row>
    <row r="320">
      <c r="A320" s="2" t="inlineStr">
        <is>
          <t>KPROP-00721</t>
        </is>
      </c>
      <c r="B320" s="3" t="n">
        <v>46145.56987268518</v>
      </c>
      <c r="C320" s="3" t="n">
        <v>46145</v>
      </c>
      <c r="D320" s="2" t="inlineStr">
        <is>
          <t>Steven Matz</t>
        </is>
      </c>
      <c r="E320" s="2" t="n">
        <v>139</v>
      </c>
      <c r="F320" s="2" t="n">
        <v>137</v>
      </c>
      <c r="G320" s="2" t="inlineStr">
        <is>
          <t>Home</t>
        </is>
      </c>
      <c r="H320" s="2" t="inlineStr">
        <is>
          <t>betonlineag</t>
        </is>
      </c>
      <c r="I320" s="4" t="n"/>
      <c r="J320" s="4" t="n"/>
      <c r="K320" s="4" t="n">
        <v>-135</v>
      </c>
      <c r="L320" s="4" t="n">
        <v>-135</v>
      </c>
      <c r="M320" s="5" t="n">
        <v>4.5</v>
      </c>
      <c r="N320" s="5" t="n">
        <v>4.035184072470018</v>
      </c>
      <c r="O320" s="5" t="n">
        <v>4.5</v>
      </c>
      <c r="P320" s="5" t="n">
        <v>0.4648159275299824</v>
      </c>
      <c r="Q320" s="6" t="n">
        <v>0.08267718280111763</v>
      </c>
      <c r="R320" s="6" t="n">
        <v>0.6219634879921314</v>
      </c>
      <c r="S320" s="6" t="n">
        <v>0.5467695274831245</v>
      </c>
      <c r="T320" s="2" t="inlineStr">
        <is>
          <t>Under</t>
        </is>
      </c>
      <c r="U320" s="4" t="n">
        <v>-135</v>
      </c>
      <c r="V320" s="2" t="n">
        <v>1.740740740740741</v>
      </c>
      <c r="W320" s="4" t="n">
        <v>-135</v>
      </c>
      <c r="X320" s="2" t="n">
        <v>1</v>
      </c>
      <c r="Y320" s="5" t="n">
        <v>0.7407407407407407</v>
      </c>
      <c r="Z320" s="7" t="n">
        <v>100</v>
      </c>
      <c r="AA320" s="7">
        <f>Y320*Z320</f>
        <v/>
      </c>
      <c r="AB320" s="6">
        <f>IF(Z320=0,0,AA320/Z320)</f>
        <v/>
      </c>
      <c r="AC320" s="6" t="n"/>
      <c r="AD320" s="2" t="inlineStr">
        <is>
          <t>Win</t>
        </is>
      </c>
      <c r="AE320" s="6">
        <f>IF((COUNTIF($AD$2:AD320,"Win")+COUNTIF($AD$2:AD320,"Loss"))=0,0,COUNTIF($AD$2:AD320,"Win")/(COUNTIF($AD$2:AD320,"Win")+COUNTIF($AD$2:AD320,"Loss")))</f>
        <v/>
      </c>
      <c r="AF320" s="6">
        <f>SUM($Y$2:Y320)/SUM($X$2:X320)</f>
        <v/>
      </c>
      <c r="AG320" s="5">
        <f>SUM($Y$2:Y320)</f>
        <v/>
      </c>
      <c r="AH320" s="7">
        <f>10000.0+SUM($AA$2:AA320)</f>
        <v/>
      </c>
      <c r="AI320" s="2" t="n">
        <v>2026</v>
      </c>
      <c r="AJ320" s="2" t="inlineStr">
        <is>
          <t>2026-05</t>
        </is>
      </c>
      <c r="AK320" s="2" t="inlineStr">
        <is>
          <t>-149 to -120</t>
        </is>
      </c>
      <c r="AL320" s="2" t="inlineStr">
        <is>
          <t>2026 Frozen Test</t>
        </is>
      </c>
      <c r="AM320" s="6" t="n">
        <v>0.1116141967815088</v>
      </c>
    </row>
    <row r="321">
      <c r="A321" s="2" t="inlineStr">
        <is>
          <t>KPROP-00722</t>
        </is>
      </c>
      <c r="B321" s="3" t="n">
        <v>46145.53167824074</v>
      </c>
      <c r="C321" s="3" t="n">
        <v>46145</v>
      </c>
      <c r="D321" s="2" t="inlineStr">
        <is>
          <t>Trey Yesavage</t>
        </is>
      </c>
      <c r="E321" s="2" t="n">
        <v>141</v>
      </c>
      <c r="F321" s="2" t="n">
        <v>142</v>
      </c>
      <c r="G321" s="2" t="inlineStr">
        <is>
          <t>Away</t>
        </is>
      </c>
      <c r="H321" s="2" t="inlineStr">
        <is>
          <t>draftkings</t>
        </is>
      </c>
      <c r="I321" s="4" t="n"/>
      <c r="J321" s="4" t="n"/>
      <c r="K321" s="4" t="n">
        <v>128</v>
      </c>
      <c r="L321" s="4" t="n">
        <v>128</v>
      </c>
      <c r="M321" s="5" t="n">
        <v>4.5</v>
      </c>
      <c r="N321" s="5" t="n">
        <v>4.490468429185494</v>
      </c>
      <c r="O321" s="5" t="n">
        <v>4.5</v>
      </c>
      <c r="P321" s="5" t="n">
        <v>0.009531570814505841</v>
      </c>
      <c r="Q321" s="6" t="n">
        <v>0.2173232224983905</v>
      </c>
      <c r="R321" s="6" t="n">
        <v>0.5339136940782414</v>
      </c>
      <c r="S321" s="6" t="n">
        <v>0.415552158960642</v>
      </c>
      <c r="T321" s="2" t="inlineStr">
        <is>
          <t>Under</t>
        </is>
      </c>
      <c r="U321" s="4" t="n">
        <v>128</v>
      </c>
      <c r="V321" s="2" t="n">
        <v>2.28</v>
      </c>
      <c r="W321" s="4" t="n">
        <v>128</v>
      </c>
      <c r="X321" s="2" t="n">
        <v>1</v>
      </c>
      <c r="Y321" s="5" t="n">
        <v>-1</v>
      </c>
      <c r="Z321" s="7" t="n">
        <v>100</v>
      </c>
      <c r="AA321" s="7">
        <f>Y321*Z321</f>
        <v/>
      </c>
      <c r="AB321" s="6">
        <f>IF(Z321=0,0,AA321/Z321)</f>
        <v/>
      </c>
      <c r="AC321" s="6" t="n"/>
      <c r="AD321" s="2" t="inlineStr">
        <is>
          <t>Loss</t>
        </is>
      </c>
      <c r="AE321" s="6">
        <f>IF((COUNTIF($AD$2:AD321,"Win")+COUNTIF($AD$2:AD321,"Loss"))=0,0,COUNTIF($AD$2:AD321,"Win")/(COUNTIF($AD$2:AD321,"Win")+COUNTIF($AD$2:AD321,"Loss")))</f>
        <v/>
      </c>
      <c r="AF321" s="6">
        <f>SUM($Y$2:Y321)/SUM($X$2:X321)</f>
        <v/>
      </c>
      <c r="AG321" s="5">
        <f>SUM($Y$2:Y321)</f>
        <v/>
      </c>
      <c r="AH321" s="7">
        <f>10000.0+SUM($AA$2:AA321)</f>
        <v/>
      </c>
      <c r="AI321" s="2" t="n">
        <v>2026</v>
      </c>
      <c r="AJ321" s="2" t="inlineStr">
        <is>
          <t>2026-05</t>
        </is>
      </c>
      <c r="AK321" s="2" t="inlineStr">
        <is>
          <t>+121 to +150</t>
        </is>
      </c>
      <c r="AL321" s="2" t="inlineStr">
        <is>
          <t>2026 Frozen Test</t>
        </is>
      </c>
      <c r="AM321" s="6" t="n">
        <v>0.1697837675768676</v>
      </c>
    </row>
    <row r="322">
      <c r="A322" s="2" t="inlineStr">
        <is>
          <t>KPROP-00723</t>
        </is>
      </c>
      <c r="B322" s="3" t="n">
        <v>46145.53167824074</v>
      </c>
      <c r="C322" s="3" t="n">
        <v>46145</v>
      </c>
      <c r="D322" s="2" t="inlineStr">
        <is>
          <t>Trey Yesavage</t>
        </is>
      </c>
      <c r="E322" s="2" t="n">
        <v>141</v>
      </c>
      <c r="F322" s="2" t="n">
        <v>142</v>
      </c>
      <c r="G322" s="2" t="inlineStr">
        <is>
          <t>Away</t>
        </is>
      </c>
      <c r="H322" s="2" t="inlineStr">
        <is>
          <t>betrivers</t>
        </is>
      </c>
      <c r="I322" s="4" t="n"/>
      <c r="J322" s="4" t="n"/>
      <c r="K322" s="4" t="n">
        <v>-167</v>
      </c>
      <c r="L322" s="4" t="n">
        <v>-167</v>
      </c>
      <c r="M322" s="5" t="n">
        <v>5.5</v>
      </c>
      <c r="N322" s="5" t="n">
        <v>4.490468429185494</v>
      </c>
      <c r="O322" s="5" t="n">
        <v>5.5</v>
      </c>
      <c r="P322" s="5" t="n">
        <v>1.009531570814506</v>
      </c>
      <c r="Q322" s="6" t="n">
        <v>0.1264487224502927</v>
      </c>
      <c r="R322" s="6" t="n">
        <v>0.7045578151655389</v>
      </c>
      <c r="S322" s="6" t="n">
        <v>0.5951171430737736</v>
      </c>
      <c r="T322" s="2" t="inlineStr">
        <is>
          <t>Under</t>
        </is>
      </c>
      <c r="U322" s="4" t="n">
        <v>-167</v>
      </c>
      <c r="V322" s="2" t="n">
        <v>1.598802395209581</v>
      </c>
      <c r="W322" s="4" t="n">
        <v>-167</v>
      </c>
      <c r="X322" s="2" t="n">
        <v>1</v>
      </c>
      <c r="Y322" s="5" t="n">
        <v>-1</v>
      </c>
      <c r="Z322" s="7" t="n">
        <v>100</v>
      </c>
      <c r="AA322" s="7">
        <f>Y322*Z322</f>
        <v/>
      </c>
      <c r="AB322" s="6">
        <f>IF(Z322=0,0,AA322/Z322)</f>
        <v/>
      </c>
      <c r="AC322" s="6" t="n"/>
      <c r="AD322" s="2" t="inlineStr">
        <is>
          <t>Loss</t>
        </is>
      </c>
      <c r="AE322" s="6">
        <f>IF((COUNTIF($AD$2:AD322,"Win")+COUNTIF($AD$2:AD322,"Loss"))=0,0,COUNTIF($AD$2:AD322,"Win")/(COUNTIF($AD$2:AD322,"Win")+COUNTIF($AD$2:AD322,"Loss")))</f>
        <v/>
      </c>
      <c r="AF322" s="6">
        <f>SUM($Y$2:Y322)/SUM($X$2:X322)</f>
        <v/>
      </c>
      <c r="AG322" s="5">
        <f>SUM($Y$2:Y322)</f>
        <v/>
      </c>
      <c r="AH322" s="7">
        <f>10000.0+SUM($AA$2:AA322)</f>
        <v/>
      </c>
      <c r="AI322" s="2" t="n">
        <v>2026</v>
      </c>
      <c r="AJ322" s="2" t="inlineStr">
        <is>
          <t>2026-05</t>
        </is>
      </c>
      <c r="AK322" s="2" t="inlineStr">
        <is>
          <t>&lt;= -150</t>
        </is>
      </c>
      <c r="AL322" s="2" t="inlineStr">
        <is>
          <t>2026 Frozen Test</t>
        </is>
      </c>
      <c r="AM322" s="6" t="n">
        <v>0.2111693664919889</v>
      </c>
    </row>
    <row r="323">
      <c r="A323" s="2" t="inlineStr">
        <is>
          <t>KPROP-00724</t>
        </is>
      </c>
      <c r="B323" s="3" t="n">
        <v>46147.81641203703</v>
      </c>
      <c r="C323" s="3" t="n">
        <v>46147</v>
      </c>
      <c r="D323" s="2" t="inlineStr">
        <is>
          <t>Jameson Taillon</t>
        </is>
      </c>
      <c r="E323" s="2" t="n">
        <v>112</v>
      </c>
      <c r="F323" s="2" t="n">
        <v>113</v>
      </c>
      <c r="G323" s="2" t="inlineStr">
        <is>
          <t>Home</t>
        </is>
      </c>
      <c r="H323" s="2" t="inlineStr">
        <is>
          <t>bovada</t>
        </is>
      </c>
      <c r="I323" s="4" t="n"/>
      <c r="J323" s="4" t="n"/>
      <c r="K323" s="4" t="n">
        <v>130</v>
      </c>
      <c r="L323" s="4" t="n">
        <v>130</v>
      </c>
      <c r="M323" s="5" t="n">
        <v>4.5</v>
      </c>
      <c r="N323" s="5" t="n">
        <v>4.594566166421724</v>
      </c>
      <c r="O323" s="5" t="n">
        <v>4.5</v>
      </c>
      <c r="P323" s="5" t="n">
        <v>-0.09456616642172389</v>
      </c>
      <c r="Q323" s="6" t="n">
        <v>0.1827827175429211</v>
      </c>
      <c r="R323" s="6" t="n">
        <v>0.514253355453444</v>
      </c>
      <c r="S323" s="6" t="n">
        <v>0.4106205619018215</v>
      </c>
      <c r="T323" s="2" t="inlineStr">
        <is>
          <t>Under</t>
        </is>
      </c>
      <c r="U323" s="4" t="n">
        <v>130</v>
      </c>
      <c r="V323" s="2" t="n">
        <v>2.3</v>
      </c>
      <c r="W323" s="4" t="n">
        <v>130</v>
      </c>
      <c r="X323" s="2" t="n">
        <v>1</v>
      </c>
      <c r="Y323" s="5" t="n">
        <v>-1</v>
      </c>
      <c r="Z323" s="7" t="n">
        <v>100</v>
      </c>
      <c r="AA323" s="7">
        <f>Y323*Z323</f>
        <v/>
      </c>
      <c r="AB323" s="6">
        <f>IF(Z323=0,0,AA323/Z323)</f>
        <v/>
      </c>
      <c r="AC323" s="6" t="n"/>
      <c r="AD323" s="2" t="inlineStr">
        <is>
          <t>Loss</t>
        </is>
      </c>
      <c r="AE323" s="6">
        <f>IF((COUNTIF($AD$2:AD323,"Win")+COUNTIF($AD$2:AD323,"Loss"))=0,0,COUNTIF($AD$2:AD323,"Win")/(COUNTIF($AD$2:AD323,"Win")+COUNTIF($AD$2:AD323,"Loss")))</f>
        <v/>
      </c>
      <c r="AF323" s="6">
        <f>SUM($Y$2:Y323)/SUM($X$2:X323)</f>
        <v/>
      </c>
      <c r="AG323" s="5">
        <f>SUM($Y$2:Y323)</f>
        <v/>
      </c>
      <c r="AH323" s="7">
        <f>10000.0+SUM($AA$2:AA323)</f>
        <v/>
      </c>
      <c r="AI323" s="2" t="n">
        <v>2026</v>
      </c>
      <c r="AJ323" s="2" t="inlineStr">
        <is>
          <t>2026-05</t>
        </is>
      </c>
      <c r="AK323" s="2" t="inlineStr">
        <is>
          <t>+121 to +150</t>
        </is>
      </c>
      <c r="AL323" s="2" t="inlineStr">
        <is>
          <t>2026 Frozen Test</t>
        </is>
      </c>
      <c r="AM323" s="6" t="n">
        <v>0.1406020904176316</v>
      </c>
    </row>
    <row r="324">
      <c r="A324" s="2" t="inlineStr">
        <is>
          <t>KPROP-00725</t>
        </is>
      </c>
      <c r="B324" s="3" t="n">
        <v>46147.81641203703</v>
      </c>
      <c r="C324" s="3" t="n">
        <v>46147</v>
      </c>
      <c r="D324" s="2" t="inlineStr">
        <is>
          <t>Jameson Taillon</t>
        </is>
      </c>
      <c r="E324" s="2" t="n">
        <v>112</v>
      </c>
      <c r="F324" s="2" t="n">
        <v>113</v>
      </c>
      <c r="G324" s="2" t="inlineStr">
        <is>
          <t>Home</t>
        </is>
      </c>
      <c r="H324" s="2" t="inlineStr">
        <is>
          <t>draftkings</t>
        </is>
      </c>
      <c r="I324" s="4" t="n"/>
      <c r="J324" s="4" t="n"/>
      <c r="K324" s="4" t="n">
        <v>-146</v>
      </c>
      <c r="L324" s="4" t="n">
        <v>-146</v>
      </c>
      <c r="M324" s="5" t="n">
        <v>5.5</v>
      </c>
      <c r="N324" s="5" t="n">
        <v>4.594566166421724</v>
      </c>
      <c r="O324" s="5" t="n">
        <v>5.5</v>
      </c>
      <c r="P324" s="5" t="n">
        <v>0.9054338335782761</v>
      </c>
      <c r="Q324" s="6" t="n">
        <v>0.1570369955687329</v>
      </c>
      <c r="R324" s="6" t="n">
        <v>0.6866967534676219</v>
      </c>
      <c r="S324" s="6" t="n">
        <v>0.5771742866964593</v>
      </c>
      <c r="T324" s="2" t="inlineStr">
        <is>
          <t>Under</t>
        </is>
      </c>
      <c r="U324" s="4" t="n">
        <v>-146</v>
      </c>
      <c r="V324" s="2" t="n">
        <v>1.684931506849315</v>
      </c>
      <c r="W324" s="4" t="n">
        <v>-146</v>
      </c>
      <c r="X324" s="2" t="n">
        <v>1</v>
      </c>
      <c r="Y324" s="5" t="n">
        <v>0.6849315068493151</v>
      </c>
      <c r="Z324" s="7" t="n">
        <v>100</v>
      </c>
      <c r="AA324" s="7">
        <f>Y324*Z324</f>
        <v/>
      </c>
      <c r="AB324" s="6">
        <f>IF(Z324=0,0,AA324/Z324)</f>
        <v/>
      </c>
      <c r="AC324" s="6" t="n"/>
      <c r="AD324" s="2" t="inlineStr">
        <is>
          <t>Win</t>
        </is>
      </c>
      <c r="AE324" s="6">
        <f>IF((COUNTIF($AD$2:AD324,"Win")+COUNTIF($AD$2:AD324,"Loss"))=0,0,COUNTIF($AD$2:AD324,"Win")/(COUNTIF($AD$2:AD324,"Win")+COUNTIF($AD$2:AD324,"Loss")))</f>
        <v/>
      </c>
      <c r="AF324" s="6">
        <f>SUM($Y$2:Y324)/SUM($X$2:X324)</f>
        <v/>
      </c>
      <c r="AG324" s="5">
        <f>SUM($Y$2:Y324)</f>
        <v/>
      </c>
      <c r="AH324" s="7">
        <f>10000.0+SUM($AA$2:AA324)</f>
        <v/>
      </c>
      <c r="AI324" s="2" t="n">
        <v>2026</v>
      </c>
      <c r="AJ324" s="2" t="inlineStr">
        <is>
          <t>2026-05</t>
        </is>
      </c>
      <c r="AK324" s="2" t="inlineStr">
        <is>
          <t>-149 to -120</t>
        </is>
      </c>
      <c r="AL324" s="2" t="inlineStr">
        <is>
          <t>2026 Frozen Test</t>
        </is>
      </c>
      <c r="AM324" s="6" t="n">
        <v>0.22927401353035</v>
      </c>
    </row>
    <row r="325">
      <c r="A325" s="2" t="inlineStr">
        <is>
          <t>KPROP-00726</t>
        </is>
      </c>
      <c r="B325" s="3" t="n">
        <v>46147.77820601852</v>
      </c>
      <c r="C325" s="3" t="n">
        <v>46147</v>
      </c>
      <c r="D325" s="2" t="inlineStr">
        <is>
          <t>Kevin Gausman</t>
        </is>
      </c>
      <c r="E325" s="2" t="n">
        <v>141</v>
      </c>
      <c r="F325" s="2" t="n">
        <v>139</v>
      </c>
      <c r="G325" s="2" t="inlineStr">
        <is>
          <t>Away</t>
        </is>
      </c>
      <c r="H325" s="2" t="inlineStr">
        <is>
          <t>betrivers</t>
        </is>
      </c>
      <c r="I325" s="4" t="n"/>
      <c r="J325" s="4" t="n"/>
      <c r="K325" s="4" t="n">
        <v>-141</v>
      </c>
      <c r="L325" s="4" t="n">
        <v>-141</v>
      </c>
      <c r="M325" s="5" t="n">
        <v>5.5</v>
      </c>
      <c r="N325" s="5" t="n">
        <v>4.667930516952246</v>
      </c>
      <c r="O325" s="5" t="n">
        <v>5.5</v>
      </c>
      <c r="P325" s="5" t="n">
        <v>0.8320694830477535</v>
      </c>
      <c r="Q325" s="6" t="n">
        <v>0.1520264830846691</v>
      </c>
      <c r="R325" s="6" t="n">
        <v>0.6740071954976694</v>
      </c>
      <c r="S325" s="6" t="n">
        <v>0.5661019390382226</v>
      </c>
      <c r="T325" s="2" t="inlineStr">
        <is>
          <t>Under</t>
        </is>
      </c>
      <c r="U325" s="4" t="n">
        <v>-141</v>
      </c>
      <c r="V325" s="2" t="n">
        <v>1.709219858156029</v>
      </c>
      <c r="W325" s="4" t="n">
        <v>-141</v>
      </c>
      <c r="X325" s="2" t="n">
        <v>1</v>
      </c>
      <c r="Y325" s="5" t="n">
        <v>0.7092198581560285</v>
      </c>
      <c r="Z325" s="7" t="n">
        <v>100</v>
      </c>
      <c r="AA325" s="7">
        <f>Y325*Z325</f>
        <v/>
      </c>
      <c r="AB325" s="6">
        <f>IF(Z325=0,0,AA325/Z325)</f>
        <v/>
      </c>
      <c r="AC325" s="6" t="n"/>
      <c r="AD325" s="2" t="inlineStr">
        <is>
          <t>Win</t>
        </is>
      </c>
      <c r="AE325" s="6">
        <f>IF((COUNTIF($AD$2:AD325,"Win")+COUNTIF($AD$2:AD325,"Loss"))=0,0,COUNTIF($AD$2:AD325,"Win")/(COUNTIF($AD$2:AD325,"Win")+COUNTIF($AD$2:AD325,"Loss")))</f>
        <v/>
      </c>
      <c r="AF325" s="6">
        <f>SUM($Y$2:Y325)/SUM($X$2:X325)</f>
        <v/>
      </c>
      <c r="AG325" s="5">
        <f>SUM($Y$2:Y325)</f>
        <v/>
      </c>
      <c r="AH325" s="7">
        <f>10000.0+SUM($AA$2:AA325)</f>
        <v/>
      </c>
      <c r="AI325" s="2" t="n">
        <v>2026</v>
      </c>
      <c r="AJ325" s="2" t="inlineStr">
        <is>
          <t>2026-05</t>
        </is>
      </c>
      <c r="AK325" s="2" t="inlineStr">
        <is>
          <t>-149 to -120</t>
        </is>
      </c>
      <c r="AL325" s="2" t="inlineStr">
        <is>
          <t>2026 Frozen Test</t>
        </is>
      </c>
      <c r="AM325" s="6" t="n">
        <v>0.2143573411493834</v>
      </c>
    </row>
    <row r="326">
      <c r="A326" s="2" t="inlineStr">
        <is>
          <t>KPROP-00727</t>
        </is>
      </c>
      <c r="B326" s="3" t="n">
        <v>46148.67056712963</v>
      </c>
      <c r="C326" s="3" t="n">
        <v>46148</v>
      </c>
      <c r="D326" s="2" t="inlineStr">
        <is>
          <t>Bryan Woo</t>
        </is>
      </c>
      <c r="E326" s="2" t="n">
        <v>136</v>
      </c>
      <c r="F326" s="2" t="n">
        <v>144</v>
      </c>
      <c r="G326" s="2" t="inlineStr">
        <is>
          <t>Home</t>
        </is>
      </c>
      <c r="H326" s="2" t="inlineStr">
        <is>
          <t>betrivers</t>
        </is>
      </c>
      <c r="I326" s="4" t="n"/>
      <c r="J326" s="4" t="n"/>
      <c r="K326" s="4" t="n">
        <v>155</v>
      </c>
      <c r="L326" s="4" t="n">
        <v>155</v>
      </c>
      <c r="M326" s="5" t="n">
        <v>4.5</v>
      </c>
      <c r="N326" s="5" t="n">
        <v>4.903011485774969</v>
      </c>
      <c r="O326" s="5" t="n">
        <v>4.5</v>
      </c>
      <c r="P326" s="5" t="n">
        <v>-0.4030114857749689</v>
      </c>
      <c r="Q326" s="6" t="n">
        <v>0.1670670731364728</v>
      </c>
      <c r="R326" s="6" t="n">
        <v>0.4576733620143031</v>
      </c>
      <c r="S326" s="6" t="n">
        <v>0.3892215568862276</v>
      </c>
      <c r="T326" s="2" t="inlineStr">
        <is>
          <t>Under</t>
        </is>
      </c>
      <c r="U326" s="4" t="n">
        <v>155</v>
      </c>
      <c r="V326" s="2" t="n">
        <v>2.55</v>
      </c>
      <c r="W326" s="4" t="n">
        <v>155</v>
      </c>
      <c r="X326" s="2" t="n">
        <v>1</v>
      </c>
      <c r="Y326" s="5" t="n">
        <v>-1</v>
      </c>
      <c r="Z326" s="7" t="n">
        <v>100</v>
      </c>
      <c r="AA326" s="7">
        <f>Y326*Z326</f>
        <v/>
      </c>
      <c r="AB326" s="6">
        <f>IF(Z326=0,0,AA326/Z326)</f>
        <v/>
      </c>
      <c r="AC326" s="6" t="n"/>
      <c r="AD326" s="2" t="inlineStr">
        <is>
          <t>Loss</t>
        </is>
      </c>
      <c r="AE326" s="6">
        <f>IF((COUNTIF($AD$2:AD326,"Win")+COUNTIF($AD$2:AD326,"Loss"))=0,0,COUNTIF($AD$2:AD326,"Win")/(COUNTIF($AD$2:AD326,"Win")+COUNTIF($AD$2:AD326,"Loss")))</f>
        <v/>
      </c>
      <c r="AF326" s="6">
        <f>SUM($Y$2:Y326)/SUM($X$2:X326)</f>
        <v/>
      </c>
      <c r="AG326" s="5">
        <f>SUM($Y$2:Y326)</f>
        <v/>
      </c>
      <c r="AH326" s="7">
        <f>10000.0+SUM($AA$2:AA326)</f>
        <v/>
      </c>
      <c r="AI326" s="2" t="n">
        <v>2026</v>
      </c>
      <c r="AJ326" s="2" t="inlineStr">
        <is>
          <t>2026-05</t>
        </is>
      </c>
      <c r="AK326" s="2" t="inlineStr">
        <is>
          <t>&gt;= +151</t>
        </is>
      </c>
      <c r="AL326" s="2" t="inlineStr">
        <is>
          <t>2026 Frozen Test</t>
        </is>
      </c>
      <c r="AM326" s="6" t="n">
        <v>0.1077852084751438</v>
      </c>
    </row>
    <row r="327">
      <c r="A327" s="2" t="inlineStr">
        <is>
          <t>KPROP-00728</t>
        </is>
      </c>
      <c r="B327" s="3" t="n">
        <v>46148.67056712963</v>
      </c>
      <c r="C327" s="3" t="n">
        <v>46148</v>
      </c>
      <c r="D327" s="2" t="inlineStr">
        <is>
          <t>Bryan Woo</t>
        </is>
      </c>
      <c r="E327" s="2" t="n">
        <v>136</v>
      </c>
      <c r="F327" s="2" t="n">
        <v>144</v>
      </c>
      <c r="G327" s="2" t="inlineStr">
        <is>
          <t>Home</t>
        </is>
      </c>
      <c r="H327" s="2" t="inlineStr">
        <is>
          <t>draftkings</t>
        </is>
      </c>
      <c r="I327" s="4" t="n"/>
      <c r="J327" s="4" t="n"/>
      <c r="K327" s="4" t="n">
        <v>-134</v>
      </c>
      <c r="L327" s="4" t="n">
        <v>-134</v>
      </c>
      <c r="M327" s="5" t="n">
        <v>5.5</v>
      </c>
      <c r="N327" s="5" t="n">
        <v>4.903011485774969</v>
      </c>
      <c r="O327" s="5" t="n">
        <v>5.5</v>
      </c>
      <c r="P327" s="5" t="n">
        <v>0.5969885142250311</v>
      </c>
      <c r="Q327" s="6" t="n">
        <v>0.1053419359377001</v>
      </c>
      <c r="R327" s="6" t="n">
        <v>0.6329735872463753</v>
      </c>
      <c r="S327" s="6" t="n">
        <v>0.5574886535552194</v>
      </c>
      <c r="T327" s="2" t="inlineStr">
        <is>
          <t>Under</t>
        </is>
      </c>
      <c r="U327" s="4" t="n">
        <v>-134</v>
      </c>
      <c r="V327" s="2" t="n">
        <v>1.746268656716418</v>
      </c>
      <c r="W327" s="4" t="n">
        <v>-134</v>
      </c>
      <c r="X327" s="2" t="n">
        <v>1</v>
      </c>
      <c r="Y327" s="5" t="n">
        <v>-1</v>
      </c>
      <c r="Z327" s="7" t="n">
        <v>100</v>
      </c>
      <c r="AA327" s="7">
        <f>Y327*Z327</f>
        <v/>
      </c>
      <c r="AB327" s="6">
        <f>IF(Z327=0,0,AA327/Z327)</f>
        <v/>
      </c>
      <c r="AC327" s="6" t="n"/>
      <c r="AD327" s="2" t="inlineStr">
        <is>
          <t>Loss</t>
        </is>
      </c>
      <c r="AE327" s="6">
        <f>IF((COUNTIF($AD$2:AD327,"Win")+COUNTIF($AD$2:AD327,"Loss"))=0,0,COUNTIF($AD$2:AD327,"Win")/(COUNTIF($AD$2:AD327,"Win")+COUNTIF($AD$2:AD327,"Loss")))</f>
        <v/>
      </c>
      <c r="AF327" s="6">
        <f>SUM($Y$2:Y327)/SUM($X$2:X327)</f>
        <v/>
      </c>
      <c r="AG327" s="5">
        <f>SUM($Y$2:Y327)</f>
        <v/>
      </c>
      <c r="AH327" s="7">
        <f>10000.0+SUM($AA$2:AA327)</f>
        <v/>
      </c>
      <c r="AI327" s="2" t="n">
        <v>2026</v>
      </c>
      <c r="AJ327" s="2" t="inlineStr">
        <is>
          <t>2026-05</t>
        </is>
      </c>
      <c r="AK327" s="2" t="inlineStr">
        <is>
          <t>-149 to -120</t>
        </is>
      </c>
      <c r="AL327" s="2" t="inlineStr">
        <is>
          <t>2026 Frozen Test</t>
        </is>
      </c>
      <c r="AM327" s="6" t="n">
        <v>0.1411581941565182</v>
      </c>
    </row>
    <row r="328">
      <c r="A328" s="2" t="inlineStr">
        <is>
          <t>KPROP-00729</t>
        </is>
      </c>
      <c r="B328" s="3" t="n">
        <v>46148.77821759259</v>
      </c>
      <c r="C328" s="3" t="n">
        <v>46148</v>
      </c>
      <c r="D328" s="2" t="inlineStr">
        <is>
          <t>Jack Flaherty</t>
        </is>
      </c>
      <c r="E328" s="2" t="n">
        <v>116</v>
      </c>
      <c r="F328" s="2" t="n">
        <v>111</v>
      </c>
      <c r="G328" s="2" t="inlineStr">
        <is>
          <t>Home</t>
        </is>
      </c>
      <c r="H328" s="2" t="inlineStr">
        <is>
          <t>betmgm</t>
        </is>
      </c>
      <c r="I328" s="4" t="n"/>
      <c r="J328" s="4" t="n"/>
      <c r="K328" s="4" t="n">
        <v>-125</v>
      </c>
      <c r="L328" s="4" t="n">
        <v>-125</v>
      </c>
      <c r="M328" s="5" t="n">
        <v>5.5</v>
      </c>
      <c r="N328" s="5" t="n">
        <v>4.763581116589688</v>
      </c>
      <c r="O328" s="5" t="n">
        <v>5.5</v>
      </c>
      <c r="P328" s="5" t="n">
        <v>0.7364188834103116</v>
      </c>
      <c r="Q328" s="6" t="n">
        <v>0.1832577569019854</v>
      </c>
      <c r="R328" s="6" t="n">
        <v>0.657365420501103</v>
      </c>
      <c r="S328" s="6" t="n">
        <v>0.5372750642673522</v>
      </c>
      <c r="T328" s="2" t="inlineStr">
        <is>
          <t>Under</t>
        </is>
      </c>
      <c r="U328" s="4" t="n">
        <v>-125</v>
      </c>
      <c r="V328" s="2" t="n">
        <v>1.8</v>
      </c>
      <c r="W328" s="4" t="n">
        <v>-125</v>
      </c>
      <c r="X328" s="2" t="n">
        <v>1</v>
      </c>
      <c r="Y328" s="5" t="n">
        <v>-1</v>
      </c>
      <c r="Z328" s="7" t="n">
        <v>100</v>
      </c>
      <c r="AA328" s="7">
        <f>Y328*Z328</f>
        <v/>
      </c>
      <c r="AB328" s="6">
        <f>IF(Z328=0,0,AA328/Z328)</f>
        <v/>
      </c>
      <c r="AC328" s="6" t="n"/>
      <c r="AD328" s="2" t="inlineStr">
        <is>
          <t>Loss</t>
        </is>
      </c>
      <c r="AE328" s="6">
        <f>IF((COUNTIF($AD$2:AD328,"Win")+COUNTIF($AD$2:AD328,"Loss"))=0,0,COUNTIF($AD$2:AD328,"Win")/(COUNTIF($AD$2:AD328,"Win")+COUNTIF($AD$2:AD328,"Loss")))</f>
        <v/>
      </c>
      <c r="AF328" s="6">
        <f>SUM($Y$2:Y328)/SUM($X$2:X328)</f>
        <v/>
      </c>
      <c r="AG328" s="5">
        <f>SUM($Y$2:Y328)</f>
        <v/>
      </c>
      <c r="AH328" s="7">
        <f>10000.0+SUM($AA$2:AA328)</f>
        <v/>
      </c>
      <c r="AI328" s="2" t="n">
        <v>2026</v>
      </c>
      <c r="AJ328" s="2" t="inlineStr">
        <is>
          <t>2026-05</t>
        </is>
      </c>
      <c r="AK328" s="2" t="inlineStr">
        <is>
          <t>-149 to -120</t>
        </is>
      </c>
      <c r="AL328" s="2" t="inlineStr">
        <is>
          <t>2026 Frozen Test</t>
        </is>
      </c>
      <c r="AM328" s="6" t="n">
        <v>0.2290721961274818</v>
      </c>
    </row>
    <row r="329">
      <c r="A329" s="2" t="inlineStr">
        <is>
          <t>KPROP-00730</t>
        </is>
      </c>
      <c r="B329" s="3" t="n">
        <v>46148.59070601852</v>
      </c>
      <c r="C329" s="3" t="n">
        <v>46148</v>
      </c>
      <c r="D329" s="2" t="inlineStr">
        <is>
          <t>Lance McCullers Jr.</t>
        </is>
      </c>
      <c r="E329" s="2" t="n">
        <v>117</v>
      </c>
      <c r="F329" s="2" t="n">
        <v>119</v>
      </c>
      <c r="G329" s="2" t="inlineStr">
        <is>
          <t>Home</t>
        </is>
      </c>
      <c r="H329" s="2" t="inlineStr">
        <is>
          <t>bovada</t>
        </is>
      </c>
      <c r="I329" s="4" t="n"/>
      <c r="J329" s="4" t="n"/>
      <c r="K329" s="4" t="n">
        <v>125</v>
      </c>
      <c r="L329" s="4" t="n">
        <v>125</v>
      </c>
      <c r="M329" s="5" t="n">
        <v>4.5</v>
      </c>
      <c r="N329" s="5" t="n">
        <v>4.795758720881242</v>
      </c>
      <c r="O329" s="5" t="n">
        <v>4.5</v>
      </c>
      <c r="P329" s="5" t="n">
        <v>-0.295758720881242</v>
      </c>
      <c r="Q329" s="6" t="n">
        <v>0.07331988783868848</v>
      </c>
      <c r="R329" s="6" t="n">
        <v>0.4770310612616393</v>
      </c>
      <c r="S329" s="6" t="n">
        <v>0.4181963288108539</v>
      </c>
      <c r="T329" s="2" t="inlineStr">
        <is>
          <t>Under</t>
        </is>
      </c>
      <c r="U329" s="4" t="n">
        <v>125</v>
      </c>
      <c r="V329" s="2" t="n">
        <v>2.25</v>
      </c>
      <c r="W329" s="4" t="n">
        <v>125</v>
      </c>
      <c r="X329" s="2" t="n">
        <v>1</v>
      </c>
      <c r="Y329" s="5" t="n">
        <v>1.25</v>
      </c>
      <c r="Z329" s="7" t="n">
        <v>100</v>
      </c>
      <c r="AA329" s="7">
        <f>Y329*Z329</f>
        <v/>
      </c>
      <c r="AB329" s="6">
        <f>IF(Z329=0,0,AA329/Z329)</f>
        <v/>
      </c>
      <c r="AC329" s="6" t="n"/>
      <c r="AD329" s="2" t="inlineStr">
        <is>
          <t>Win</t>
        </is>
      </c>
      <c r="AE329" s="6">
        <f>IF((COUNTIF($AD$2:AD329,"Win")+COUNTIF($AD$2:AD329,"Loss"))=0,0,COUNTIF($AD$2:AD329,"Win")/(COUNTIF($AD$2:AD329,"Win")+COUNTIF($AD$2:AD329,"Loss")))</f>
        <v/>
      </c>
      <c r="AF329" s="6">
        <f>SUM($Y$2:Y329)/SUM($X$2:X329)</f>
        <v/>
      </c>
      <c r="AG329" s="5">
        <f>SUM($Y$2:Y329)</f>
        <v/>
      </c>
      <c r="AH329" s="7">
        <f>10000.0+SUM($AA$2:AA329)</f>
        <v/>
      </c>
      <c r="AI329" s="2" t="n">
        <v>2026</v>
      </c>
      <c r="AJ329" s="2" t="inlineStr">
        <is>
          <t>2026-05</t>
        </is>
      </c>
      <c r="AK329" s="2" t="inlineStr">
        <is>
          <t>+121 to +150</t>
        </is>
      </c>
      <c r="AL329" s="2" t="inlineStr">
        <is>
          <t>2026 Frozen Test</t>
        </is>
      </c>
      <c r="AM329" s="6" t="n">
        <v>0.05865591027095078</v>
      </c>
    </row>
    <row r="330">
      <c r="A330" s="2" t="inlineStr">
        <is>
          <t>KPROP-00731</t>
        </is>
      </c>
      <c r="B330" s="3" t="n">
        <v>46148.59070601852</v>
      </c>
      <c r="C330" s="3" t="n">
        <v>46148</v>
      </c>
      <c r="D330" s="2" t="inlineStr">
        <is>
          <t>Lance McCullers Jr.</t>
        </is>
      </c>
      <c r="E330" s="2" t="n">
        <v>117</v>
      </c>
      <c r="F330" s="2" t="n">
        <v>119</v>
      </c>
      <c r="G330" s="2" t="inlineStr">
        <is>
          <t>Home</t>
        </is>
      </c>
      <c r="H330" s="2" t="inlineStr">
        <is>
          <t>draftkings</t>
        </is>
      </c>
      <c r="I330" s="4" t="n"/>
      <c r="J330" s="4" t="n"/>
      <c r="K330" s="4" t="n">
        <v>-139</v>
      </c>
      <c r="L330" s="4" t="n">
        <v>-139</v>
      </c>
      <c r="M330" s="5" t="n">
        <v>5.5</v>
      </c>
      <c r="N330" s="5" t="n">
        <v>4.795758720881242</v>
      </c>
      <c r="O330" s="5" t="n">
        <v>5.5</v>
      </c>
      <c r="P330" s="5" t="n">
        <v>0.704241279118758</v>
      </c>
      <c r="Q330" s="6" t="n">
        <v>0.1206306365182721</v>
      </c>
      <c r="R330" s="6" t="n">
        <v>0.6517475250043507</v>
      </c>
      <c r="S330" s="6" t="n">
        <v>0.5700820261908188</v>
      </c>
      <c r="T330" s="2" t="inlineStr">
        <is>
          <t>Under</t>
        </is>
      </c>
      <c r="U330" s="4" t="n">
        <v>-139</v>
      </c>
      <c r="V330" s="2" t="n">
        <v>1.719424460431655</v>
      </c>
      <c r="W330" s="4" t="n">
        <v>-139</v>
      </c>
      <c r="X330" s="2" t="n">
        <v>1</v>
      </c>
      <c r="Y330" s="5" t="n">
        <v>0.7194244604316546</v>
      </c>
      <c r="Z330" s="7" t="n">
        <v>100</v>
      </c>
      <c r="AA330" s="7">
        <f>Y330*Z330</f>
        <v/>
      </c>
      <c r="AB330" s="6">
        <f>IF(Z330=0,0,AA330/Z330)</f>
        <v/>
      </c>
      <c r="AC330" s="6" t="n"/>
      <c r="AD330" s="2" t="inlineStr">
        <is>
          <t>Win</t>
        </is>
      </c>
      <c r="AE330" s="6">
        <f>IF((COUNTIF($AD$2:AD330,"Win")+COUNTIF($AD$2:AD330,"Loss"))=0,0,COUNTIF($AD$2:AD330,"Win")/(COUNTIF($AD$2:AD330,"Win")+COUNTIF($AD$2:AD330,"Loss")))</f>
        <v/>
      </c>
      <c r="AF330" s="6">
        <f>SUM($Y$2:Y330)/SUM($X$2:X330)</f>
        <v/>
      </c>
      <c r="AG330" s="5">
        <f>SUM($Y$2:Y330)</f>
        <v/>
      </c>
      <c r="AH330" s="7">
        <f>10000.0+SUM($AA$2:AA330)</f>
        <v/>
      </c>
      <c r="AI330" s="2" t="n">
        <v>2026</v>
      </c>
      <c r="AJ330" s="2" t="inlineStr">
        <is>
          <t>2026-05</t>
        </is>
      </c>
      <c r="AK330" s="2" t="inlineStr">
        <is>
          <t>-149 to -120</t>
        </is>
      </c>
      <c r="AL330" s="2" t="inlineStr">
        <is>
          <t>2026 Frozen Test</t>
        </is>
      </c>
      <c r="AM330" s="6" t="n">
        <v>0.1676765847603982</v>
      </c>
    </row>
    <row r="331">
      <c r="A331" s="2" t="inlineStr">
        <is>
          <t>KPROP-00732</t>
        </is>
      </c>
      <c r="B331" s="3" t="n">
        <v>46148.54903935185</v>
      </c>
      <c r="C331" s="3" t="n">
        <v>46148</v>
      </c>
      <c r="D331" s="2" t="inlineStr">
        <is>
          <t>Patrick Corbin</t>
        </is>
      </c>
      <c r="E331" s="2" t="n">
        <v>141</v>
      </c>
      <c r="F331" s="2" t="n">
        <v>139</v>
      </c>
      <c r="G331" s="2" t="inlineStr">
        <is>
          <t>Away</t>
        </is>
      </c>
      <c r="H331" s="2" t="inlineStr">
        <is>
          <t>bovada</t>
        </is>
      </c>
      <c r="I331" s="4" t="n"/>
      <c r="J331" s="4" t="n"/>
      <c r="K331" s="4" t="n">
        <v>105</v>
      </c>
      <c r="L331" s="4" t="n">
        <v>105</v>
      </c>
      <c r="M331" s="5" t="n">
        <v>3.5</v>
      </c>
      <c r="N331" s="5" t="n">
        <v>3.468180266297295</v>
      </c>
      <c r="O331" s="5" t="n">
        <v>3.5</v>
      </c>
      <c r="P331" s="5" t="n">
        <v>0.0318197337027053</v>
      </c>
      <c r="Q331" s="6" t="n">
        <v>0.1142042075031303</v>
      </c>
      <c r="R331" s="6" t="n">
        <v>0.5435142475625027</v>
      </c>
      <c r="S331" s="6" t="n">
        <v>0.4822043628013777</v>
      </c>
      <c r="T331" s="2" t="inlineStr">
        <is>
          <t>Under</t>
        </is>
      </c>
      <c r="U331" s="4" t="n">
        <v>105</v>
      </c>
      <c r="V331" s="2" t="n">
        <v>2.05</v>
      </c>
      <c r="W331" s="4" t="n">
        <v>105</v>
      </c>
      <c r="X331" s="2" t="n">
        <v>1</v>
      </c>
      <c r="Y331" s="5" t="n">
        <v>1.05</v>
      </c>
      <c r="Z331" s="7" t="n">
        <v>100</v>
      </c>
      <c r="AA331" s="7">
        <f>Y331*Z331</f>
        <v/>
      </c>
      <c r="AB331" s="6">
        <f>IF(Z331=0,0,AA331/Z331)</f>
        <v/>
      </c>
      <c r="AC331" s="6" t="n"/>
      <c r="AD331" s="2" t="inlineStr">
        <is>
          <t>Win</t>
        </is>
      </c>
      <c r="AE331" s="6">
        <f>IF((COUNTIF($AD$2:AD331,"Win")+COUNTIF($AD$2:AD331,"Loss"))=0,0,COUNTIF($AD$2:AD331,"Win")/(COUNTIF($AD$2:AD331,"Win")+COUNTIF($AD$2:AD331,"Loss")))</f>
        <v/>
      </c>
      <c r="AF331" s="6">
        <f>SUM($Y$2:Y331)/SUM($X$2:X331)</f>
        <v/>
      </c>
      <c r="AG331" s="5">
        <f>SUM($Y$2:Y331)</f>
        <v/>
      </c>
      <c r="AH331" s="7">
        <f>10000.0+SUM($AA$2:AA331)</f>
        <v/>
      </c>
      <c r="AI331" s="2" t="n">
        <v>2026</v>
      </c>
      <c r="AJ331" s="2" t="inlineStr">
        <is>
          <t>2026-05</t>
        </is>
      </c>
      <c r="AK331" s="2" t="inlineStr">
        <is>
          <t>+100 to +120</t>
        </is>
      </c>
      <c r="AL331" s="2" t="inlineStr">
        <is>
          <t>2026 Frozen Test</t>
        </is>
      </c>
      <c r="AM331" s="6" t="n">
        <v>0.1087659119077432</v>
      </c>
    </row>
    <row r="332">
      <c r="A332" s="2" t="inlineStr">
        <is>
          <t>KPROP-00733</t>
        </is>
      </c>
      <c r="B332" s="3" t="n">
        <v>46148.54903935185</v>
      </c>
      <c r="C332" s="3" t="n">
        <v>46148</v>
      </c>
      <c r="D332" s="2" t="inlineStr">
        <is>
          <t>Shane McClanahan</t>
        </is>
      </c>
      <c r="E332" s="2" t="n">
        <v>139</v>
      </c>
      <c r="F332" s="2" t="n">
        <v>141</v>
      </c>
      <c r="G332" s="2" t="inlineStr">
        <is>
          <t>Home</t>
        </is>
      </c>
      <c r="H332" s="2" t="inlineStr">
        <is>
          <t>betrivers</t>
        </is>
      </c>
      <c r="I332" s="4" t="n"/>
      <c r="J332" s="4" t="n"/>
      <c r="K332" s="4" t="n">
        <v>125</v>
      </c>
      <c r="L332" s="4" t="n">
        <v>125</v>
      </c>
      <c r="M332" s="5" t="n">
        <v>4.5</v>
      </c>
      <c r="N332" s="5" t="n">
        <v>4.587667991103101</v>
      </c>
      <c r="O332" s="5" t="n">
        <v>4.5</v>
      </c>
      <c r="P332" s="5" t="n">
        <v>-0.08766799110310064</v>
      </c>
      <c r="Q332" s="6" t="n">
        <v>0.1599839992214374</v>
      </c>
      <c r="R332" s="6" t="n">
        <v>0.5155484440984166</v>
      </c>
      <c r="S332" s="6" t="n">
        <v>0.4410207029369282</v>
      </c>
      <c r="T332" s="2" t="inlineStr">
        <is>
          <t>Under</t>
        </is>
      </c>
      <c r="U332" s="4" t="n">
        <v>125</v>
      </c>
      <c r="V332" s="2" t="n">
        <v>2.25</v>
      </c>
      <c r="W332" s="4" t="n">
        <v>125</v>
      </c>
      <c r="X332" s="2" t="n">
        <v>1</v>
      </c>
      <c r="Y332" s="5" t="n">
        <v>1.25</v>
      </c>
      <c r="Z332" s="7" t="n">
        <v>100</v>
      </c>
      <c r="AA332" s="7">
        <f>Y332*Z332</f>
        <v/>
      </c>
      <c r="AB332" s="6">
        <f>IF(Z332=0,0,AA332/Z332)</f>
        <v/>
      </c>
      <c r="AC332" s="6" t="n"/>
      <c r="AD332" s="2" t="inlineStr">
        <is>
          <t>Win</t>
        </is>
      </c>
      <c r="AE332" s="6">
        <f>IF((COUNTIF($AD$2:AD332,"Win")+COUNTIF($AD$2:AD332,"Loss"))=0,0,COUNTIF($AD$2:AD332,"Win")/(COUNTIF($AD$2:AD332,"Win")+COUNTIF($AD$2:AD332,"Loss")))</f>
        <v/>
      </c>
      <c r="AF332" s="6">
        <f>SUM($Y$2:Y332)/SUM($X$2:X332)</f>
        <v/>
      </c>
      <c r="AG332" s="5">
        <f>SUM($Y$2:Y332)</f>
        <v/>
      </c>
      <c r="AH332" s="7">
        <f>10000.0+SUM($AA$2:AA332)</f>
        <v/>
      </c>
      <c r="AI332" s="2" t="n">
        <v>2026</v>
      </c>
      <c r="AJ332" s="2" t="inlineStr">
        <is>
          <t>2026-05</t>
        </is>
      </c>
      <c r="AK332" s="2" t="inlineStr">
        <is>
          <t>+121 to +150</t>
        </is>
      </c>
      <c r="AL332" s="2" t="inlineStr">
        <is>
          <t>2026 Frozen Test</t>
        </is>
      </c>
      <c r="AM332" s="6" t="n">
        <v>0.1279871993771499</v>
      </c>
    </row>
    <row r="333">
      <c r="A333" s="2" t="inlineStr">
        <is>
          <t>KPROP-00734</t>
        </is>
      </c>
      <c r="B333" s="3" t="n">
        <v>46148.54903935185</v>
      </c>
      <c r="C333" s="3" t="n">
        <v>46148</v>
      </c>
      <c r="D333" s="2" t="inlineStr">
        <is>
          <t>Shane McClanahan</t>
        </is>
      </c>
      <c r="E333" s="2" t="n">
        <v>139</v>
      </c>
      <c r="F333" s="2" t="n">
        <v>141</v>
      </c>
      <c r="G333" s="2" t="inlineStr">
        <is>
          <t>Home</t>
        </is>
      </c>
      <c r="H333" s="2" t="inlineStr">
        <is>
          <t>betmgm</t>
        </is>
      </c>
      <c r="I333" s="4" t="n"/>
      <c r="J333" s="4" t="n"/>
      <c r="K333" s="4" t="n">
        <v>-160</v>
      </c>
      <c r="L333" s="4" t="n">
        <v>-160</v>
      </c>
      <c r="M333" s="5" t="n">
        <v>5.5</v>
      </c>
      <c r="N333" s="5" t="n">
        <v>4.587667991103101</v>
      </c>
      <c r="O333" s="5" t="n">
        <v>5.5</v>
      </c>
      <c r="P333" s="5" t="n">
        <v>0.9123320088968994</v>
      </c>
      <c r="Q333" s="6" t="n">
        <v>0.1178146428388357</v>
      </c>
      <c r="R333" s="6" t="n">
        <v>0.6878859340546681</v>
      </c>
      <c r="S333" s="6" t="n">
        <v>0.5911949685534592</v>
      </c>
      <c r="T333" s="2" t="inlineStr">
        <is>
          <t>Under</t>
        </is>
      </c>
      <c r="U333" s="4" t="n">
        <v>-160</v>
      </c>
      <c r="V333" s="2" t="n">
        <v>1.625</v>
      </c>
      <c r="W333" s="4" t="n">
        <v>-160</v>
      </c>
      <c r="X333" s="2" t="n">
        <v>1</v>
      </c>
      <c r="Y333" s="5" t="n">
        <v>0.625</v>
      </c>
      <c r="Z333" s="7" t="n">
        <v>100</v>
      </c>
      <c r="AA333" s="7">
        <f>Y333*Z333</f>
        <v/>
      </c>
      <c r="AB333" s="6">
        <f>IF(Z333=0,0,AA333/Z333)</f>
        <v/>
      </c>
      <c r="AC333" s="6" t="n"/>
      <c r="AD333" s="2" t="inlineStr">
        <is>
          <t>Win</t>
        </is>
      </c>
      <c r="AE333" s="6">
        <f>IF((COUNTIF($AD$2:AD333,"Win")+COUNTIF($AD$2:AD333,"Loss"))=0,0,COUNTIF($AD$2:AD333,"Win")/(COUNTIF($AD$2:AD333,"Win")+COUNTIF($AD$2:AD333,"Loss")))</f>
        <v/>
      </c>
      <c r="AF333" s="6">
        <f>SUM($Y$2:Y333)/SUM($X$2:X333)</f>
        <v/>
      </c>
      <c r="AG333" s="5">
        <f>SUM($Y$2:Y333)</f>
        <v/>
      </c>
      <c r="AH333" s="7">
        <f>10000.0+SUM($AA$2:AA333)</f>
        <v/>
      </c>
      <c r="AI333" s="2" t="n">
        <v>2026</v>
      </c>
      <c r="AJ333" s="2" t="inlineStr">
        <is>
          <t>2026-05</t>
        </is>
      </c>
      <c r="AK333" s="2" t="inlineStr">
        <is>
          <t>&lt;= -150</t>
        </is>
      </c>
      <c r="AL333" s="2" t="inlineStr">
        <is>
          <t>2026 Frozen Test</t>
        </is>
      </c>
      <c r="AM333" s="6" t="n">
        <v>0.1885034285421371</v>
      </c>
    </row>
    <row r="334">
      <c r="A334" s="2" t="inlineStr">
        <is>
          <t>KPROP-00735</t>
        </is>
      </c>
      <c r="B334" s="3" t="n">
        <v>46148.79557870371</v>
      </c>
      <c r="C334" s="3" t="n">
        <v>46148</v>
      </c>
      <c r="D334" s="2" t="inlineStr">
        <is>
          <t>Will Warren</t>
        </is>
      </c>
      <c r="E334" s="2" t="n">
        <v>147</v>
      </c>
      <c r="F334" s="2" t="n">
        <v>140</v>
      </c>
      <c r="G334" s="2" t="inlineStr">
        <is>
          <t>Home</t>
        </is>
      </c>
      <c r="H334" s="2" t="inlineStr">
        <is>
          <t>betrivers</t>
        </is>
      </c>
      <c r="I334" s="4" t="n"/>
      <c r="J334" s="4" t="n"/>
      <c r="K334" s="4" t="n">
        <v>135</v>
      </c>
      <c r="L334" s="4" t="n">
        <v>135</v>
      </c>
      <c r="M334" s="5" t="n">
        <v>5.5</v>
      </c>
      <c r="N334" s="5" t="n">
        <v>5.790865759409898</v>
      </c>
      <c r="O334" s="5" t="n">
        <v>5.5</v>
      </c>
      <c r="P334" s="5" t="n">
        <v>-0.2908657594098978</v>
      </c>
      <c r="Q334" s="6" t="n">
        <v>0.1275963500627553</v>
      </c>
      <c r="R334" s="6" t="n">
        <v>0.4798282340692576</v>
      </c>
      <c r="S334" s="6" t="n">
        <v>0.4149377593360996</v>
      </c>
      <c r="T334" s="2" t="inlineStr">
        <is>
          <t>Under</t>
        </is>
      </c>
      <c r="U334" s="4" t="n">
        <v>135</v>
      </c>
      <c r="V334" s="2" t="n">
        <v>2.35</v>
      </c>
      <c r="W334" s="4" t="n">
        <v>135</v>
      </c>
      <c r="X334" s="2" t="n">
        <v>1</v>
      </c>
      <c r="Y334" s="5" t="n">
        <v>-1</v>
      </c>
      <c r="Z334" s="7" t="n">
        <v>100</v>
      </c>
      <c r="AA334" s="7">
        <f>Y334*Z334</f>
        <v/>
      </c>
      <c r="AB334" s="6">
        <f>IF(Z334=0,0,AA334/Z334)</f>
        <v/>
      </c>
      <c r="AC334" s="6" t="n"/>
      <c r="AD334" s="2" t="inlineStr">
        <is>
          <t>Loss</t>
        </is>
      </c>
      <c r="AE334" s="6">
        <f>IF((COUNTIF($AD$2:AD334,"Win")+COUNTIF($AD$2:AD334,"Loss"))=0,0,COUNTIF($AD$2:AD334,"Win")/(COUNTIF($AD$2:AD334,"Win")+COUNTIF($AD$2:AD334,"Loss")))</f>
        <v/>
      </c>
      <c r="AF334" s="6">
        <f>SUM($Y$2:Y334)/SUM($X$2:X334)</f>
        <v/>
      </c>
      <c r="AG334" s="5">
        <f>SUM($Y$2:Y334)</f>
        <v/>
      </c>
      <c r="AH334" s="7">
        <f>10000.0+SUM($AA$2:AA334)</f>
        <v/>
      </c>
      <c r="AI334" s="2" t="n">
        <v>2026</v>
      </c>
      <c r="AJ334" s="2" t="inlineStr">
        <is>
          <t>2026-05</t>
        </is>
      </c>
      <c r="AK334" s="2" t="inlineStr">
        <is>
          <t>+121 to +150</t>
        </is>
      </c>
      <c r="AL334" s="2" t="inlineStr">
        <is>
          <t>2026 Frozen Test</t>
        </is>
      </c>
      <c r="AM334" s="6" t="n">
        <v>0.09451581486130019</v>
      </c>
    </row>
    <row r="335">
      <c r="A335" s="2" t="inlineStr">
        <is>
          <t>KPROP-00736</t>
        </is>
      </c>
      <c r="B335" s="3" t="n">
        <v>46149.77821759259</v>
      </c>
      <c r="C335" s="3" t="n">
        <v>46149</v>
      </c>
      <c r="D335" s="2" t="inlineStr">
        <is>
          <t>Cade Povich</t>
        </is>
      </c>
      <c r="E335" s="2" t="n">
        <v>110</v>
      </c>
      <c r="F335" s="2" t="n">
        <v>146</v>
      </c>
      <c r="G335" s="2" t="inlineStr">
        <is>
          <t>Away</t>
        </is>
      </c>
      <c r="H335" s="2" t="inlineStr">
        <is>
          <t>betonlineag</t>
        </is>
      </c>
      <c r="I335" s="4" t="n"/>
      <c r="J335" s="4" t="n"/>
      <c r="K335" s="4" t="n">
        <v>110</v>
      </c>
      <c r="L335" s="4" t="n">
        <v>110</v>
      </c>
      <c r="M335" s="5" t="n">
        <v>4.5</v>
      </c>
      <c r="N335" s="5" t="n">
        <v>4.604107522351052</v>
      </c>
      <c r="O335" s="5" t="n">
        <v>4.5</v>
      </c>
      <c r="P335" s="5" t="n">
        <v>-0.1041075223510521</v>
      </c>
      <c r="Q335" s="6" t="n">
        <v>0.07617425975843906</v>
      </c>
      <c r="R335" s="6" t="n">
        <v>0.5124639332183043</v>
      </c>
      <c r="S335" s="6" t="n">
        <v>0.4661016949152542</v>
      </c>
      <c r="T335" s="2" t="inlineStr">
        <is>
          <t>Under</t>
        </is>
      </c>
      <c r="U335" s="4" t="n">
        <v>110</v>
      </c>
      <c r="V335" s="2" t="n">
        <v>2.1</v>
      </c>
      <c r="W335" s="4" t="n">
        <v>110</v>
      </c>
      <c r="X335" s="2" t="n">
        <v>1</v>
      </c>
      <c r="Y335" s="5" t="n">
        <v>1.1</v>
      </c>
      <c r="Z335" s="7" t="n">
        <v>100</v>
      </c>
      <c r="AA335" s="7">
        <f>Y335*Z335</f>
        <v/>
      </c>
      <c r="AB335" s="6">
        <f>IF(Z335=0,0,AA335/Z335)</f>
        <v/>
      </c>
      <c r="AC335" s="6" t="n"/>
      <c r="AD335" s="2" t="inlineStr">
        <is>
          <t>Win</t>
        </is>
      </c>
      <c r="AE335" s="6">
        <f>IF((COUNTIF($AD$2:AD335,"Win")+COUNTIF($AD$2:AD335,"Loss"))=0,0,COUNTIF($AD$2:AD335,"Win")/(COUNTIF($AD$2:AD335,"Win")+COUNTIF($AD$2:AD335,"Loss")))</f>
        <v/>
      </c>
      <c r="AF335" s="6">
        <f>SUM($Y$2:Y335)/SUM($X$2:X335)</f>
        <v/>
      </c>
      <c r="AG335" s="5">
        <f>SUM($Y$2:Y335)</f>
        <v/>
      </c>
      <c r="AH335" s="7">
        <f>10000.0+SUM($AA$2:AA335)</f>
        <v/>
      </c>
      <c r="AI335" s="2" t="n">
        <v>2026</v>
      </c>
      <c r="AJ335" s="2" t="inlineStr">
        <is>
          <t>2026-05</t>
        </is>
      </c>
      <c r="AK335" s="2" t="inlineStr">
        <is>
          <t>+100 to +120</t>
        </is>
      </c>
      <c r="AL335" s="2" t="inlineStr">
        <is>
          <t>2026 Frozen Test</t>
        </is>
      </c>
      <c r="AM335" s="6" t="n">
        <v>0.06924932705312641</v>
      </c>
    </row>
    <row r="336">
      <c r="A336" s="2" t="inlineStr">
        <is>
          <t>KPROP-00737</t>
        </is>
      </c>
      <c r="B336" s="3" t="n">
        <v>46149.79905092593</v>
      </c>
      <c r="C336" s="3" t="n">
        <v>46149</v>
      </c>
      <c r="D336" s="2" t="inlineStr">
        <is>
          <t>Griffin Jax</t>
        </is>
      </c>
      <c r="E336" s="2" t="n">
        <v>139</v>
      </c>
      <c r="F336" s="2" t="n">
        <v>111</v>
      </c>
      <c r="G336" s="2" t="inlineStr">
        <is>
          <t>Away</t>
        </is>
      </c>
      <c r="H336" s="2" t="inlineStr">
        <is>
          <t>bovada</t>
        </is>
      </c>
      <c r="I336" s="4" t="n"/>
      <c r="J336" s="4" t="n"/>
      <c r="K336" s="4" t="n">
        <v>-115</v>
      </c>
      <c r="L336" s="4" t="n">
        <v>-115</v>
      </c>
      <c r="M336" s="5" t="n">
        <v>3.5</v>
      </c>
      <c r="N336" s="5" t="n">
        <v>3.306098728610515</v>
      </c>
      <c r="O336" s="5" t="n">
        <v>3.5</v>
      </c>
      <c r="P336" s="5" t="n">
        <v>0.193901271389485</v>
      </c>
      <c r="Q336" s="6" t="n">
        <v>0.08246198162049832</v>
      </c>
      <c r="R336" s="6" t="n">
        <v>0.5789912924946852</v>
      </c>
      <c r="S336" s="6" t="n">
        <v>0.5168539325842696</v>
      </c>
      <c r="T336" s="2" t="inlineStr">
        <is>
          <t>Under</t>
        </is>
      </c>
      <c r="U336" s="4" t="n">
        <v>-115</v>
      </c>
      <c r="V336" s="2" t="n">
        <v>1.869565217391304</v>
      </c>
      <c r="W336" s="4" t="n">
        <v>-115</v>
      </c>
      <c r="X336" s="2" t="n">
        <v>1</v>
      </c>
      <c r="Y336" s="5" t="n">
        <v>0.8695652173913042</v>
      </c>
      <c r="Z336" s="7" t="n">
        <v>100</v>
      </c>
      <c r="AA336" s="7">
        <f>Y336*Z336</f>
        <v/>
      </c>
      <c r="AB336" s="6">
        <f>IF(Z336=0,0,AA336/Z336)</f>
        <v/>
      </c>
      <c r="AC336" s="6" t="n"/>
      <c r="AD336" s="2" t="inlineStr">
        <is>
          <t>Win</t>
        </is>
      </c>
      <c r="AE336" s="6">
        <f>IF((COUNTIF($AD$2:AD336,"Win")+COUNTIF($AD$2:AD336,"Loss"))=0,0,COUNTIF($AD$2:AD336,"Win")/(COUNTIF($AD$2:AD336,"Win")+COUNTIF($AD$2:AD336,"Loss")))</f>
        <v/>
      </c>
      <c r="AF336" s="6">
        <f>SUM($Y$2:Y336)/SUM($X$2:X336)</f>
        <v/>
      </c>
      <c r="AG336" s="5">
        <f>SUM($Y$2:Y336)</f>
        <v/>
      </c>
      <c r="AH336" s="7">
        <f>10000.0+SUM($AA$2:AA336)</f>
        <v/>
      </c>
      <c r="AI336" s="2" t="n">
        <v>2026</v>
      </c>
      <c r="AJ336" s="2" t="inlineStr">
        <is>
          <t>2026-05</t>
        </is>
      </c>
      <c r="AK336" s="2" t="inlineStr">
        <is>
          <t>-119 to -101</t>
        </is>
      </c>
      <c r="AL336" s="2" t="inlineStr">
        <is>
          <t>2026 Frozen Test</t>
        </is>
      </c>
      <c r="AM336" s="6" t="n">
        <v>0.09483127886357311</v>
      </c>
    </row>
    <row r="337">
      <c r="A337" s="2" t="inlineStr">
        <is>
          <t>KPROP-00738</t>
        </is>
      </c>
      <c r="B337" s="3" t="n">
        <v>46149.52474537037</v>
      </c>
      <c r="C337" s="3" t="n">
        <v>46149</v>
      </c>
      <c r="D337" s="2" t="inlineStr">
        <is>
          <t>MacKenzie Gore</t>
        </is>
      </c>
      <c r="E337" s="2" t="n">
        <v>140</v>
      </c>
      <c r="F337" s="2" t="n">
        <v>147</v>
      </c>
      <c r="G337" s="2" t="inlineStr">
        <is>
          <t>Away</t>
        </is>
      </c>
      <c r="H337" s="2" t="inlineStr">
        <is>
          <t>betrivers</t>
        </is>
      </c>
      <c r="I337" s="4" t="n"/>
      <c r="J337" s="4" t="n"/>
      <c r="K337" s="4" t="n">
        <v>120</v>
      </c>
      <c r="L337" s="4" t="n">
        <v>120</v>
      </c>
      <c r="M337" s="5" t="n">
        <v>5.5</v>
      </c>
      <c r="N337" s="5" t="n">
        <v>5.642920014093993</v>
      </c>
      <c r="O337" s="5" t="n">
        <v>5.5</v>
      </c>
      <c r="P337" s="5" t="n">
        <v>-0.1429200140939928</v>
      </c>
      <c r="Q337" s="6" t="n">
        <v>0.1101068430415665</v>
      </c>
      <c r="R337" s="6" t="n">
        <v>0.5045940195643484</v>
      </c>
      <c r="S337" s="6" t="n">
        <v>0.4417293233082706</v>
      </c>
      <c r="T337" s="2" t="inlineStr">
        <is>
          <t>Under</t>
        </is>
      </c>
      <c r="U337" s="4" t="n">
        <v>120</v>
      </c>
      <c r="V337" s="2" t="n">
        <v>2.2</v>
      </c>
      <c r="W337" s="4" t="n">
        <v>120</v>
      </c>
      <c r="X337" s="2" t="n">
        <v>1</v>
      </c>
      <c r="Y337" s="5" t="n">
        <v>1.2</v>
      </c>
      <c r="Z337" s="7" t="n">
        <v>100</v>
      </c>
      <c r="AA337" s="7">
        <f>Y337*Z337</f>
        <v/>
      </c>
      <c r="AB337" s="6">
        <f>IF(Z337=0,0,AA337/Z337)</f>
        <v/>
      </c>
      <c r="AC337" s="6" t="n"/>
      <c r="AD337" s="2" t="inlineStr">
        <is>
          <t>Win</t>
        </is>
      </c>
      <c r="AE337" s="6">
        <f>IF((COUNTIF($AD$2:AD337,"Win")+COUNTIF($AD$2:AD337,"Loss"))=0,0,COUNTIF($AD$2:AD337,"Win")/(COUNTIF($AD$2:AD337,"Win")+COUNTIF($AD$2:AD337,"Loss")))</f>
        <v/>
      </c>
      <c r="AF337" s="6">
        <f>SUM($Y$2:Y337)/SUM($X$2:X337)</f>
        <v/>
      </c>
      <c r="AG337" s="5">
        <f>SUM($Y$2:Y337)</f>
        <v/>
      </c>
      <c r="AH337" s="7">
        <f>10000.0+SUM($AA$2:AA337)</f>
        <v/>
      </c>
      <c r="AI337" s="2" t="n">
        <v>2026</v>
      </c>
      <c r="AJ337" s="2" t="inlineStr">
        <is>
          <t>2026-05</t>
        </is>
      </c>
      <c r="AK337" s="2" t="inlineStr">
        <is>
          <t>+100 to +120</t>
        </is>
      </c>
      <c r="AL337" s="2" t="inlineStr">
        <is>
          <t>2026 Frozen Test</t>
        </is>
      </c>
      <c r="AM337" s="6" t="n">
        <v>0.09175570253463872</v>
      </c>
    </row>
    <row r="338">
      <c r="A338" s="2" t="inlineStr">
        <is>
          <t>KPROP-00739</t>
        </is>
      </c>
      <c r="B338" s="3" t="n">
        <v>46149.52474537037</v>
      </c>
      <c r="C338" s="3" t="n">
        <v>46149</v>
      </c>
      <c r="D338" s="2" t="inlineStr">
        <is>
          <t>MacKenzie Gore</t>
        </is>
      </c>
      <c r="E338" s="2" t="n">
        <v>140</v>
      </c>
      <c r="F338" s="2" t="n">
        <v>147</v>
      </c>
      <c r="G338" s="2" t="inlineStr">
        <is>
          <t>Away</t>
        </is>
      </c>
      <c r="H338" s="2" t="inlineStr">
        <is>
          <t>betmgm</t>
        </is>
      </c>
      <c r="I338" s="4" t="n"/>
      <c r="J338" s="4" t="n"/>
      <c r="K338" s="4" t="n">
        <v>-155</v>
      </c>
      <c r="L338" s="4" t="n">
        <v>-155</v>
      </c>
      <c r="M338" s="5" t="n">
        <v>6.5</v>
      </c>
      <c r="N338" s="5" t="n">
        <v>5.642920014093993</v>
      </c>
      <c r="O338" s="5" t="n">
        <v>6.5</v>
      </c>
      <c r="P338" s="5" t="n">
        <v>0.8570799859060072</v>
      </c>
      <c r="Q338" s="6" t="n">
        <v>0.09148122098111189</v>
      </c>
      <c r="R338" s="6" t="n">
        <v>0.66344936961597</v>
      </c>
      <c r="S338" s="6" t="n">
        <v>0.5754599184217097</v>
      </c>
      <c r="T338" s="2" t="inlineStr">
        <is>
          <t>Under</t>
        </is>
      </c>
      <c r="U338" s="4" t="n">
        <v>-155</v>
      </c>
      <c r="V338" s="2" t="n">
        <v>1.645161290322581</v>
      </c>
      <c r="W338" s="4" t="n">
        <v>-155</v>
      </c>
      <c r="X338" s="2" t="n">
        <v>1</v>
      </c>
      <c r="Y338" s="5" t="n">
        <v>0.6451612903225805</v>
      </c>
      <c r="Z338" s="7" t="n">
        <v>100</v>
      </c>
      <c r="AA338" s="7">
        <f>Y338*Z338</f>
        <v/>
      </c>
      <c r="AB338" s="6">
        <f>IF(Z338=0,0,AA338/Z338)</f>
        <v/>
      </c>
      <c r="AC338" s="6" t="n"/>
      <c r="AD338" s="2" t="inlineStr">
        <is>
          <t>Win</t>
        </is>
      </c>
      <c r="AE338" s="6">
        <f>IF((COUNTIF($AD$2:AD338,"Win")+COUNTIF($AD$2:AD338,"Loss"))=0,0,COUNTIF($AD$2:AD338,"Win")/(COUNTIF($AD$2:AD338,"Win")+COUNTIF($AD$2:AD338,"Loss")))</f>
        <v/>
      </c>
      <c r="AF338" s="6">
        <f>SUM($Y$2:Y338)/SUM($X$2:X338)</f>
        <v/>
      </c>
      <c r="AG338" s="5">
        <f>SUM($Y$2:Y338)</f>
        <v/>
      </c>
      <c r="AH338" s="7">
        <f>10000.0+SUM($AA$2:AA338)</f>
        <v/>
      </c>
      <c r="AI338" s="2" t="n">
        <v>2026</v>
      </c>
      <c r="AJ338" s="2" t="inlineStr">
        <is>
          <t>2026-05</t>
        </is>
      </c>
      <c r="AK338" s="2" t="inlineStr">
        <is>
          <t>&lt;= -150</t>
        </is>
      </c>
      <c r="AL338" s="2" t="inlineStr">
        <is>
          <t>2026 Frozen Test</t>
        </is>
      </c>
      <c r="AM338" s="6" t="n">
        <v>0.1417958925207234</v>
      </c>
    </row>
    <row r="339">
      <c r="A339" s="2" t="inlineStr">
        <is>
          <t>KPROP-00740</t>
        </is>
      </c>
      <c r="B339" s="3" t="n">
        <v>46149.59765046297</v>
      </c>
      <c r="C339" s="3" t="n">
        <v>46149</v>
      </c>
      <c r="D339" s="2" t="inlineStr">
        <is>
          <t>Shota Imanaga</t>
        </is>
      </c>
      <c r="E339" s="2" t="n">
        <v>112</v>
      </c>
      <c r="F339" s="2" t="n">
        <v>113</v>
      </c>
      <c r="G339" s="2" t="inlineStr">
        <is>
          <t>Home</t>
        </is>
      </c>
      <c r="H339" s="2" t="inlineStr">
        <is>
          <t>betrivers</t>
        </is>
      </c>
      <c r="I339" s="4" t="n"/>
      <c r="J339" s="4" t="n"/>
      <c r="K339" s="4" t="n">
        <v>117</v>
      </c>
      <c r="L339" s="4" t="n">
        <v>117</v>
      </c>
      <c r="M339" s="5" t="n">
        <v>5.5</v>
      </c>
      <c r="N339" s="5" t="n">
        <v>5.687285288302492</v>
      </c>
      <c r="O339" s="5" t="n">
        <v>5.5</v>
      </c>
      <c r="P339" s="5" t="n">
        <v>-0.1872852883024922</v>
      </c>
      <c r="Q339" s="6" t="n">
        <v>0.07874970040335416</v>
      </c>
      <c r="R339" s="6" t="n">
        <v>0.4971196776052323</v>
      </c>
      <c r="S339" s="6" t="n">
        <v>0.429988790175509</v>
      </c>
      <c r="T339" s="2" t="inlineStr">
        <is>
          <t>Under</t>
        </is>
      </c>
      <c r="U339" s="4" t="n">
        <v>117</v>
      </c>
      <c r="V339" s="2" t="n">
        <v>2.17</v>
      </c>
      <c r="W339" s="4" t="n">
        <v>117</v>
      </c>
      <c r="X339" s="2" t="n">
        <v>1</v>
      </c>
      <c r="Y339" s="5" t="n">
        <v>-1</v>
      </c>
      <c r="Z339" s="7" t="n">
        <v>100</v>
      </c>
      <c r="AA339" s="7">
        <f>Y339*Z339</f>
        <v/>
      </c>
      <c r="AB339" s="6">
        <f>IF(Z339=0,0,AA339/Z339)</f>
        <v/>
      </c>
      <c r="AC339" s="6" t="n"/>
      <c r="AD339" s="2" t="inlineStr">
        <is>
          <t>Loss</t>
        </is>
      </c>
      <c r="AE339" s="6">
        <f>IF((COUNTIF($AD$2:AD339,"Win")+COUNTIF($AD$2:AD339,"Loss"))=0,0,COUNTIF($AD$2:AD339,"Win")/(COUNTIF($AD$2:AD339,"Win")+COUNTIF($AD$2:AD339,"Loss")))</f>
        <v/>
      </c>
      <c r="AF339" s="6">
        <f>SUM($Y$2:Y339)/SUM($X$2:X339)</f>
        <v/>
      </c>
      <c r="AG339" s="5">
        <f>SUM($Y$2:Y339)</f>
        <v/>
      </c>
      <c r="AH339" s="7">
        <f>10000.0+SUM($AA$2:AA339)</f>
        <v/>
      </c>
      <c r="AI339" s="2" t="n">
        <v>2026</v>
      </c>
      <c r="AJ339" s="2" t="inlineStr">
        <is>
          <t>2026-05</t>
        </is>
      </c>
      <c r="AK339" s="2" t="inlineStr">
        <is>
          <t>+100 to +120</t>
        </is>
      </c>
      <c r="AL339" s="2" t="inlineStr">
        <is>
          <t>2026 Frozen Test</t>
        </is>
      </c>
      <c r="AM339" s="6" t="n">
        <v>0.06730743624218305</v>
      </c>
    </row>
    <row r="340">
      <c r="A340" s="2" t="inlineStr">
        <is>
          <t>KPROP-00741</t>
        </is>
      </c>
      <c r="B340" s="3" t="n">
        <v>46149.59765046297</v>
      </c>
      <c r="C340" s="3" t="n">
        <v>46149</v>
      </c>
      <c r="D340" s="2" t="inlineStr">
        <is>
          <t>Shota Imanaga</t>
        </is>
      </c>
      <c r="E340" s="2" t="n">
        <v>112</v>
      </c>
      <c r="F340" s="2" t="n">
        <v>113</v>
      </c>
      <c r="G340" s="2" t="inlineStr">
        <is>
          <t>Home</t>
        </is>
      </c>
      <c r="H340" s="2" t="inlineStr">
        <is>
          <t>betmgm</t>
        </is>
      </c>
      <c r="I340" s="4" t="n"/>
      <c r="J340" s="4" t="n"/>
      <c r="K340" s="4" t="n">
        <v>-140</v>
      </c>
      <c r="L340" s="4" t="n">
        <v>-140</v>
      </c>
      <c r="M340" s="5" t="n">
        <v>6.5</v>
      </c>
      <c r="N340" s="5" t="n">
        <v>5.687285288302492</v>
      </c>
      <c r="O340" s="5" t="n">
        <v>6.5</v>
      </c>
      <c r="P340" s="5" t="n">
        <v>0.8127147116975078</v>
      </c>
      <c r="Q340" s="6" t="n">
        <v>0.1252438420499835</v>
      </c>
      <c r="R340" s="6" t="n">
        <v>0.6563922411958236</v>
      </c>
      <c r="S340" s="6" t="n">
        <v>0.5597945707997065</v>
      </c>
      <c r="T340" s="2" t="inlineStr">
        <is>
          <t>Under</t>
        </is>
      </c>
      <c r="U340" s="4" t="n">
        <v>-140</v>
      </c>
      <c r="V340" s="2" t="n">
        <v>1.714285714285714</v>
      </c>
      <c r="W340" s="4" t="n">
        <v>-140</v>
      </c>
      <c r="X340" s="2" t="n">
        <v>1</v>
      </c>
      <c r="Y340" s="5" t="n">
        <v>-1</v>
      </c>
      <c r="Z340" s="7" t="n">
        <v>100</v>
      </c>
      <c r="AA340" s="7">
        <f>Y340*Z340</f>
        <v/>
      </c>
      <c r="AB340" s="6">
        <f>IF(Z340=0,0,AA340/Z340)</f>
        <v/>
      </c>
      <c r="AC340" s="6" t="n"/>
      <c r="AD340" s="2" t="inlineStr">
        <is>
          <t>Loss</t>
        </is>
      </c>
      <c r="AE340" s="6">
        <f>IF((COUNTIF($AD$2:AD340,"Win")+COUNTIF($AD$2:AD340,"Loss"))=0,0,COUNTIF($AD$2:AD340,"Win")/(COUNTIF($AD$2:AD340,"Win")+COUNTIF($AD$2:AD340,"Loss")))</f>
        <v/>
      </c>
      <c r="AF340" s="6">
        <f>SUM($Y$2:Y340)/SUM($X$2:X340)</f>
        <v/>
      </c>
      <c r="AG340" s="5">
        <f>SUM($Y$2:Y340)</f>
        <v/>
      </c>
      <c r="AH340" s="7">
        <f>10000.0+SUM($AA$2:AA340)</f>
        <v/>
      </c>
      <c r="AI340" s="2" t="n">
        <v>2026</v>
      </c>
      <c r="AJ340" s="2" t="inlineStr">
        <is>
          <t>2026-05</t>
        </is>
      </c>
      <c r="AK340" s="2" t="inlineStr">
        <is>
          <t>-149 to -120</t>
        </is>
      </c>
      <c r="AL340" s="2" t="inlineStr">
        <is>
          <t>2026 Frozen Test</t>
        </is>
      </c>
      <c r="AM340" s="6" t="n">
        <v>0.1753413788699768</v>
      </c>
    </row>
    <row r="341">
      <c r="A341" s="2" t="inlineStr">
        <is>
          <t>KPROP-00742</t>
        </is>
      </c>
      <c r="B341" s="3" t="n">
        <v>46150.77821759259</v>
      </c>
      <c r="C341" s="3" t="n">
        <v>46150</v>
      </c>
      <c r="D341" s="2" t="inlineStr">
        <is>
          <t>Jesús Luzardo</t>
        </is>
      </c>
      <c r="E341" s="2" t="n">
        <v>143</v>
      </c>
      <c r="F341" s="2" t="n">
        <v>115</v>
      </c>
      <c r="G341" s="2" t="inlineStr">
        <is>
          <t>Home</t>
        </is>
      </c>
      <c r="H341" s="2" t="inlineStr">
        <is>
          <t>fanatics</t>
        </is>
      </c>
      <c r="I341" s="4" t="n"/>
      <c r="J341" s="4" t="n"/>
      <c r="K341" s="4" t="n">
        <v>115</v>
      </c>
      <c r="L341" s="4" t="n">
        <v>115</v>
      </c>
      <c r="M341" s="5" t="n">
        <v>7.5</v>
      </c>
      <c r="N341" s="5" t="n">
        <v>7.109429099960892</v>
      </c>
      <c r="O341" s="5" t="n">
        <v>7.5</v>
      </c>
      <c r="P341" s="5" t="n">
        <v>0.3905709000391084</v>
      </c>
      <c r="Q341" s="6" t="n">
        <v>0.2521883952835646</v>
      </c>
      <c r="R341" s="6" t="n">
        <v>0.5824132071086348</v>
      </c>
      <c r="S341" s="6" t="n">
        <v>0.4481900019153419</v>
      </c>
      <c r="T341" s="2" t="inlineStr">
        <is>
          <t>Under</t>
        </is>
      </c>
      <c r="U341" s="4" t="n">
        <v>115</v>
      </c>
      <c r="V341" s="2" t="n">
        <v>2.15</v>
      </c>
      <c r="W341" s="4" t="n">
        <v>115</v>
      </c>
      <c r="X341" s="2" t="n">
        <v>1</v>
      </c>
      <c r="Y341" s="5" t="n">
        <v>1.15</v>
      </c>
      <c r="Z341" s="7" t="n">
        <v>100</v>
      </c>
      <c r="AA341" s="7">
        <f>Y341*Z341</f>
        <v/>
      </c>
      <c r="AB341" s="6">
        <f>IF(Z341=0,0,AA341/Z341)</f>
        <v/>
      </c>
      <c r="AC341" s="6" t="n"/>
      <c r="AD341" s="2" t="inlineStr">
        <is>
          <t>Win</t>
        </is>
      </c>
      <c r="AE341" s="6">
        <f>IF((COUNTIF($AD$2:AD341,"Win")+COUNTIF($AD$2:AD341,"Loss"))=0,0,COUNTIF($AD$2:AD341,"Win")/(COUNTIF($AD$2:AD341,"Win")+COUNTIF($AD$2:AD341,"Loss")))</f>
        <v/>
      </c>
      <c r="AF341" s="6">
        <f>SUM($Y$2:Y341)/SUM($X$2:X341)</f>
        <v/>
      </c>
      <c r="AG341" s="5">
        <f>SUM($Y$2:Y341)</f>
        <v/>
      </c>
      <c r="AH341" s="7">
        <f>10000.0+SUM($AA$2:AA341)</f>
        <v/>
      </c>
      <c r="AI341" s="2" t="n">
        <v>2026</v>
      </c>
      <c r="AJ341" s="2" t="inlineStr">
        <is>
          <t>2026-05</t>
        </is>
      </c>
      <c r="AK341" s="2" t="inlineStr">
        <is>
          <t>+100 to +120</t>
        </is>
      </c>
      <c r="AL341" s="2" t="inlineStr">
        <is>
          <t>2026 Frozen Test</t>
        </is>
      </c>
      <c r="AM341" s="6" t="n">
        <v>0.2192942567683171</v>
      </c>
    </row>
    <row r="342">
      <c r="A342" s="2" t="inlineStr">
        <is>
          <t>KPROP-00743</t>
        </is>
      </c>
      <c r="B342" s="3" t="n">
        <v>46150.81987268518</v>
      </c>
      <c r="C342" s="3" t="n">
        <v>46150</v>
      </c>
      <c r="D342" s="2" t="inlineStr">
        <is>
          <t>Max Fried</t>
        </is>
      </c>
      <c r="E342" s="2" t="n">
        <v>147</v>
      </c>
      <c r="F342" s="2" t="n">
        <v>158</v>
      </c>
      <c r="G342" s="2" t="inlineStr">
        <is>
          <t>Away</t>
        </is>
      </c>
      <c r="H342" s="2" t="inlineStr">
        <is>
          <t>fanduel</t>
        </is>
      </c>
      <c r="I342" s="4" t="n"/>
      <c r="J342" s="4" t="n"/>
      <c r="K342" s="4" t="n">
        <v>-110</v>
      </c>
      <c r="L342" s="4" t="n">
        <v>-110</v>
      </c>
      <c r="M342" s="5" t="n">
        <v>5.5</v>
      </c>
      <c r="N342" s="5" t="n">
        <v>5.171280258472266</v>
      </c>
      <c r="O342" s="5" t="n">
        <v>5.5</v>
      </c>
      <c r="P342" s="5" t="n">
        <v>0.3287197415277339</v>
      </c>
      <c r="Q342" s="6" t="n">
        <v>0.1186040028123233</v>
      </c>
      <c r="R342" s="6" t="n">
        <v>0.5859354300445503</v>
      </c>
      <c r="S342" s="6" t="n">
        <v>0.5079617834394904</v>
      </c>
      <c r="T342" s="2" t="inlineStr">
        <is>
          <t>Under</t>
        </is>
      </c>
      <c r="U342" s="4" t="n">
        <v>-110</v>
      </c>
      <c r="V342" s="2" t="n">
        <v>1.909090909090909</v>
      </c>
      <c r="W342" s="4" t="n">
        <v>-110</v>
      </c>
      <c r="X342" s="2" t="n">
        <v>1</v>
      </c>
      <c r="Y342" s="5" t="n">
        <v>0.9090909090909092</v>
      </c>
      <c r="Z342" s="7" t="n">
        <v>100</v>
      </c>
      <c r="AA342" s="7">
        <f>Y342*Z342</f>
        <v/>
      </c>
      <c r="AB342" s="6">
        <f>IF(Z342=0,0,AA342/Z342)</f>
        <v/>
      </c>
      <c r="AC342" s="6" t="n"/>
      <c r="AD342" s="2" t="inlineStr">
        <is>
          <t>Win</t>
        </is>
      </c>
      <c r="AE342" s="6">
        <f>IF((COUNTIF($AD$2:AD342,"Win")+COUNTIF($AD$2:AD342,"Loss"))=0,0,COUNTIF($AD$2:AD342,"Win")/(COUNTIF($AD$2:AD342,"Win")+COUNTIF($AD$2:AD342,"Loss")))</f>
        <v/>
      </c>
      <c r="AF342" s="6">
        <f>SUM($Y$2:Y342)/SUM($X$2:X342)</f>
        <v/>
      </c>
      <c r="AG342" s="5">
        <f>SUM($Y$2:Y342)</f>
        <v/>
      </c>
      <c r="AH342" s="7">
        <f>10000.0+SUM($AA$2:AA342)</f>
        <v/>
      </c>
      <c r="AI342" s="2" t="n">
        <v>2026</v>
      </c>
      <c r="AJ342" s="2" t="inlineStr">
        <is>
          <t>2026-05</t>
        </is>
      </c>
      <c r="AK342" s="2" t="inlineStr">
        <is>
          <t>-119 to -101</t>
        </is>
      </c>
      <c r="AL342" s="2" t="inlineStr">
        <is>
          <t>2026 Frozen Test</t>
        </is>
      </c>
      <c r="AM342" s="6" t="n">
        <v>0.1304644030935556</v>
      </c>
    </row>
    <row r="343">
      <c r="A343" s="2" t="inlineStr">
        <is>
          <t>KPROP-00744</t>
        </is>
      </c>
      <c r="B343" s="3" t="n">
        <v>46150.80251157407</v>
      </c>
      <c r="C343" s="3" t="n">
        <v>46150</v>
      </c>
      <c r="D343" s="2" t="inlineStr">
        <is>
          <t>Parker Messick</t>
        </is>
      </c>
      <c r="E343" s="2" t="n">
        <v>114</v>
      </c>
      <c r="F343" s="2" t="n">
        <v>142</v>
      </c>
      <c r="G343" s="2" t="inlineStr">
        <is>
          <t>Home</t>
        </is>
      </c>
      <c r="H343" s="2" t="inlineStr">
        <is>
          <t>betmgm</t>
        </is>
      </c>
      <c r="I343" s="4" t="n"/>
      <c r="J343" s="4" t="n"/>
      <c r="K343" s="4" t="n">
        <v>100</v>
      </c>
      <c r="L343" s="4" t="n">
        <v>100</v>
      </c>
      <c r="M343" s="5" t="n">
        <v>5.5</v>
      </c>
      <c r="N343" s="5" t="n">
        <v>5.36830561665479</v>
      </c>
      <c r="O343" s="5" t="n">
        <v>5.5</v>
      </c>
      <c r="P343" s="5" t="n">
        <v>0.1316943833452102</v>
      </c>
      <c r="Q343" s="6" t="n">
        <v>0.1032316936061801</v>
      </c>
      <c r="R343" s="6" t="n">
        <v>0.5516158468030901</v>
      </c>
      <c r="S343" s="6" t="n">
        <v>0.4782608695652174</v>
      </c>
      <c r="T343" s="2" t="inlineStr">
        <is>
          <t>Under</t>
        </is>
      </c>
      <c r="U343" s="4" t="n">
        <v>100</v>
      </c>
      <c r="V343" s="2" t="n">
        <v>2</v>
      </c>
      <c r="W343" s="4" t="n">
        <v>100</v>
      </c>
      <c r="X343" s="2" t="n">
        <v>1</v>
      </c>
      <c r="Y343" s="5" t="n">
        <v>-1</v>
      </c>
      <c r="Z343" s="7" t="n">
        <v>100</v>
      </c>
      <c r="AA343" s="7">
        <f>Y343*Z343</f>
        <v/>
      </c>
      <c r="AB343" s="6">
        <f>IF(Z343=0,0,AA343/Z343)</f>
        <v/>
      </c>
      <c r="AC343" s="6" t="n"/>
      <c r="AD343" s="2" t="inlineStr">
        <is>
          <t>Loss</t>
        </is>
      </c>
      <c r="AE343" s="6">
        <f>IF((COUNTIF($AD$2:AD343,"Win")+COUNTIF($AD$2:AD343,"Loss"))=0,0,COUNTIF($AD$2:AD343,"Win")/(COUNTIF($AD$2:AD343,"Win")+COUNTIF($AD$2:AD343,"Loss")))</f>
        <v/>
      </c>
      <c r="AF343" s="6">
        <f>SUM($Y$2:Y343)/SUM($X$2:X343)</f>
        <v/>
      </c>
      <c r="AG343" s="5">
        <f>SUM($Y$2:Y343)</f>
        <v/>
      </c>
      <c r="AH343" s="7">
        <f>10000.0+SUM($AA$2:AA343)</f>
        <v/>
      </c>
      <c r="AI343" s="2" t="n">
        <v>2026</v>
      </c>
      <c r="AJ343" s="2" t="inlineStr">
        <is>
          <t>2026-05</t>
        </is>
      </c>
      <c r="AK343" s="2" t="inlineStr">
        <is>
          <t>+100 to +120</t>
        </is>
      </c>
      <c r="AL343" s="2" t="inlineStr">
        <is>
          <t>2026 Frozen Test</t>
        </is>
      </c>
      <c r="AM343" s="6" t="n">
        <v>0.1032316936061801</v>
      </c>
    </row>
    <row r="344">
      <c r="A344" s="2" t="inlineStr">
        <is>
          <t>KPROP-00745</t>
        </is>
      </c>
      <c r="B344" s="3" t="n">
        <v>46151.75390046297</v>
      </c>
      <c r="C344" s="3" t="n">
        <v>46151</v>
      </c>
      <c r="D344" s="2" t="inlineStr">
        <is>
          <t>Aaron Nola</t>
        </is>
      </c>
      <c r="E344" s="2" t="n">
        <v>143</v>
      </c>
      <c r="F344" s="2" t="n">
        <v>115</v>
      </c>
      <c r="G344" s="2" t="inlineStr">
        <is>
          <t>Home</t>
        </is>
      </c>
      <c r="H344" s="2" t="inlineStr">
        <is>
          <t>betrivers</t>
        </is>
      </c>
      <c r="I344" s="4" t="n"/>
      <c r="J344" s="4" t="n"/>
      <c r="K344" s="4" t="n">
        <v>140</v>
      </c>
      <c r="L344" s="4" t="n">
        <v>140</v>
      </c>
      <c r="M344" s="5" t="n">
        <v>5.5</v>
      </c>
      <c r="N344" s="5" t="n">
        <v>5.241014568250296</v>
      </c>
      <c r="O344" s="5" t="n">
        <v>5.5</v>
      </c>
      <c r="P344" s="5" t="n">
        <v>0.2589854317497036</v>
      </c>
      <c r="Q344" s="6" t="n">
        <v>0.377000705940108</v>
      </c>
      <c r="R344" s="6" t="n">
        <v>0.5737502941417116</v>
      </c>
      <c r="S344" s="6" t="n">
        <v>0.3982300884955752</v>
      </c>
      <c r="T344" s="2" t="inlineStr">
        <is>
          <t>Under</t>
        </is>
      </c>
      <c r="U344" s="4" t="n">
        <v>140</v>
      </c>
      <c r="V344" s="2" t="n">
        <v>2.4</v>
      </c>
      <c r="W344" s="4" t="n">
        <v>140</v>
      </c>
      <c r="X344" s="2" t="n">
        <v>1</v>
      </c>
      <c r="Y344" s="5" t="n">
        <v>1.4</v>
      </c>
      <c r="Z344" s="7" t="n">
        <v>100</v>
      </c>
      <c r="AA344" s="7">
        <f>Y344*Z344</f>
        <v/>
      </c>
      <c r="AB344" s="6">
        <f>IF(Z344=0,0,AA344/Z344)</f>
        <v/>
      </c>
      <c r="AC344" s="6" t="n"/>
      <c r="AD344" s="2" t="inlineStr">
        <is>
          <t>Win</t>
        </is>
      </c>
      <c r="AE344" s="6">
        <f>IF((COUNTIF($AD$2:AD344,"Win")+COUNTIF($AD$2:AD344,"Loss"))=0,0,COUNTIF($AD$2:AD344,"Win")/(COUNTIF($AD$2:AD344,"Win")+COUNTIF($AD$2:AD344,"Loss")))</f>
        <v/>
      </c>
      <c r="AF344" s="6">
        <f>SUM($Y$2:Y344)/SUM($X$2:X344)</f>
        <v/>
      </c>
      <c r="AG344" s="5">
        <f>SUM($Y$2:Y344)</f>
        <v/>
      </c>
      <c r="AH344" s="7">
        <f>10000.0+SUM($AA$2:AA344)</f>
        <v/>
      </c>
      <c r="AI344" s="2" t="n">
        <v>2026</v>
      </c>
      <c r="AJ344" s="2" t="inlineStr">
        <is>
          <t>2026-05</t>
        </is>
      </c>
      <c r="AK344" s="2" t="inlineStr">
        <is>
          <t>+121 to +150</t>
        </is>
      </c>
      <c r="AL344" s="2" t="inlineStr">
        <is>
          <t>2026 Frozen Test</t>
        </is>
      </c>
      <c r="AM344" s="6" t="n">
        <v>0.2692862185286485</v>
      </c>
    </row>
    <row r="345">
      <c r="A345" s="2" t="inlineStr">
        <is>
          <t>KPROP-00746</t>
        </is>
      </c>
      <c r="B345" s="3" t="n">
        <v>46151.75390046297</v>
      </c>
      <c r="C345" s="3" t="n">
        <v>46151</v>
      </c>
      <c r="D345" s="2" t="inlineStr">
        <is>
          <t>Aaron Nola</t>
        </is>
      </c>
      <c r="E345" s="2" t="n">
        <v>143</v>
      </c>
      <c r="F345" s="2" t="n">
        <v>115</v>
      </c>
      <c r="G345" s="2" t="inlineStr">
        <is>
          <t>Home</t>
        </is>
      </c>
      <c r="H345" s="2" t="inlineStr">
        <is>
          <t>draftkings</t>
        </is>
      </c>
      <c r="I345" s="4" t="n"/>
      <c r="J345" s="4" t="n"/>
      <c r="K345" s="4" t="n">
        <v>-147</v>
      </c>
      <c r="L345" s="4" t="n">
        <v>-147</v>
      </c>
      <c r="M345" s="5" t="n">
        <v>6.5</v>
      </c>
      <c r="N345" s="5" t="n">
        <v>5.241014568250296</v>
      </c>
      <c r="O345" s="5" t="n">
        <v>6.5</v>
      </c>
      <c r="P345" s="5" t="n">
        <v>1.258985431749704</v>
      </c>
      <c r="Q345" s="6" t="n">
        <v>0.2201483837889247</v>
      </c>
      <c r="R345" s="6" t="n">
        <v>0.7261611838743803</v>
      </c>
      <c r="S345" s="6" t="n">
        <v>0.5778499401811656</v>
      </c>
      <c r="T345" s="2" t="inlineStr">
        <is>
          <t>Under</t>
        </is>
      </c>
      <c r="U345" s="4" t="n">
        <v>-147</v>
      </c>
      <c r="V345" s="2" t="n">
        <v>1.680272108843537</v>
      </c>
      <c r="W345" s="4" t="n">
        <v>-147</v>
      </c>
      <c r="X345" s="2" t="n">
        <v>1</v>
      </c>
      <c r="Y345" s="5" t="n">
        <v>0.6802721088435373</v>
      </c>
      <c r="Z345" s="7" t="n">
        <v>100</v>
      </c>
      <c r="AA345" s="7">
        <f>Y345*Z345</f>
        <v/>
      </c>
      <c r="AB345" s="6">
        <f>IF(Z345=0,0,AA345/Z345)</f>
        <v/>
      </c>
      <c r="AC345" s="6" t="n"/>
      <c r="AD345" s="2" t="inlineStr">
        <is>
          <t>Win</t>
        </is>
      </c>
      <c r="AE345" s="6">
        <f>IF((COUNTIF($AD$2:AD345,"Win")+COUNTIF($AD$2:AD345,"Loss"))=0,0,COUNTIF($AD$2:AD345,"Win")/(COUNTIF($AD$2:AD345,"Win")+COUNTIF($AD$2:AD345,"Loss")))</f>
        <v/>
      </c>
      <c r="AF345" s="6">
        <f>SUM($Y$2:Y345)/SUM($X$2:X345)</f>
        <v/>
      </c>
      <c r="AG345" s="5">
        <f>SUM($Y$2:Y345)</f>
        <v/>
      </c>
      <c r="AH345" s="7">
        <f>10000.0+SUM($AA$2:AA345)</f>
        <v/>
      </c>
      <c r="AI345" s="2" t="n">
        <v>2026</v>
      </c>
      <c r="AJ345" s="2" t="inlineStr">
        <is>
          <t>2026-05</t>
        </is>
      </c>
      <c r="AK345" s="2" t="inlineStr">
        <is>
          <t>-149 to -120</t>
        </is>
      </c>
      <c r="AL345" s="2" t="inlineStr">
        <is>
          <t>2026 Frozen Test</t>
        </is>
      </c>
      <c r="AM345" s="6" t="n">
        <v>0.3236181241697194</v>
      </c>
    </row>
    <row r="346">
      <c r="A346" s="2" t="inlineStr">
        <is>
          <t>KPROP-00747</t>
        </is>
      </c>
      <c r="B346" s="3" t="n">
        <v>46151.67403935185</v>
      </c>
      <c r="C346" s="3" t="n">
        <v>46151</v>
      </c>
      <c r="D346" s="2" t="inlineStr">
        <is>
          <t>Janson Junk</t>
        </is>
      </c>
      <c r="E346" s="2" t="n">
        <v>146</v>
      </c>
      <c r="F346" s="2" t="n">
        <v>120</v>
      </c>
      <c r="G346" s="2" t="inlineStr">
        <is>
          <t>Home</t>
        </is>
      </c>
      <c r="H346" s="2" t="inlineStr">
        <is>
          <t>draftkings</t>
        </is>
      </c>
      <c r="I346" s="4" t="n"/>
      <c r="J346" s="4" t="n"/>
      <c r="K346" s="4" t="n">
        <v>125</v>
      </c>
      <c r="L346" s="4" t="n">
        <v>125</v>
      </c>
      <c r="M346" s="5" t="n">
        <v>3.5</v>
      </c>
      <c r="N346" s="5" t="n">
        <v>3.758937934273612</v>
      </c>
      <c r="O346" s="5" t="n">
        <v>3.5</v>
      </c>
      <c r="P346" s="5" t="n">
        <v>-0.2589379342736118</v>
      </c>
      <c r="Q346" s="6" t="n">
        <v>0.08432354494139549</v>
      </c>
      <c r="R346" s="6" t="n">
        <v>0.4819215755295091</v>
      </c>
      <c r="S346" s="6" t="n">
        <v>0.4361948955916473</v>
      </c>
      <c r="T346" s="2" t="inlineStr">
        <is>
          <t>Under</t>
        </is>
      </c>
      <c r="U346" s="4" t="n">
        <v>125</v>
      </c>
      <c r="V346" s="2" t="n">
        <v>2.25</v>
      </c>
      <c r="W346" s="4" t="n">
        <v>125</v>
      </c>
      <c r="X346" s="2" t="n">
        <v>1</v>
      </c>
      <c r="Y346" s="5" t="n">
        <v>-1</v>
      </c>
      <c r="Z346" s="7" t="n">
        <v>100</v>
      </c>
      <c r="AA346" s="7">
        <f>Y346*Z346</f>
        <v/>
      </c>
      <c r="AB346" s="6">
        <f>IF(Z346=0,0,AA346/Z346)</f>
        <v/>
      </c>
      <c r="AC346" s="6" t="n"/>
      <c r="AD346" s="2" t="inlineStr">
        <is>
          <t>Loss</t>
        </is>
      </c>
      <c r="AE346" s="6">
        <f>IF((COUNTIF($AD$2:AD346,"Win")+COUNTIF($AD$2:AD346,"Loss"))=0,0,COUNTIF($AD$2:AD346,"Win")/(COUNTIF($AD$2:AD346,"Win")+COUNTIF($AD$2:AD346,"Loss")))</f>
        <v/>
      </c>
      <c r="AF346" s="6">
        <f>SUM($Y$2:Y346)/SUM($X$2:X346)</f>
        <v/>
      </c>
      <c r="AG346" s="5">
        <f>SUM($Y$2:Y346)</f>
        <v/>
      </c>
      <c r="AH346" s="7">
        <f>10000.0+SUM($AA$2:AA346)</f>
        <v/>
      </c>
      <c r="AI346" s="2" t="n">
        <v>2026</v>
      </c>
      <c r="AJ346" s="2" t="inlineStr">
        <is>
          <t>2026-05</t>
        </is>
      </c>
      <c r="AK346" s="2" t="inlineStr">
        <is>
          <t>+121 to +150</t>
        </is>
      </c>
      <c r="AL346" s="2" t="inlineStr">
        <is>
          <t>2026 Frozen Test</t>
        </is>
      </c>
      <c r="AM346" s="6" t="n">
        <v>0.06745883595311639</v>
      </c>
    </row>
    <row r="347">
      <c r="A347" s="2" t="inlineStr">
        <is>
          <t>KPROP-00748</t>
        </is>
      </c>
      <c r="B347" s="3" t="n">
        <v>46151.75390046297</v>
      </c>
      <c r="C347" s="3" t="n">
        <v>46151</v>
      </c>
      <c r="D347" s="2" t="inlineStr">
        <is>
          <t>Kyle Freeland</t>
        </is>
      </c>
      <c r="E347" s="2" t="n">
        <v>115</v>
      </c>
      <c r="F347" s="2" t="n">
        <v>143</v>
      </c>
      <c r="G347" s="2" t="inlineStr">
        <is>
          <t>Away</t>
        </is>
      </c>
      <c r="H347" s="2" t="inlineStr">
        <is>
          <t>betonlineag</t>
        </is>
      </c>
      <c r="I347" s="4" t="n"/>
      <c r="J347" s="4" t="n"/>
      <c r="K347" s="4" t="n">
        <v>110</v>
      </c>
      <c r="L347" s="4" t="n">
        <v>110</v>
      </c>
      <c r="M347" s="5" t="n">
        <v>4.5</v>
      </c>
      <c r="N347" s="5" t="n">
        <v>4.141995651198838</v>
      </c>
      <c r="O347" s="5" t="n">
        <v>4.5</v>
      </c>
      <c r="P347" s="5" t="n">
        <v>0.3580043488011624</v>
      </c>
      <c r="Q347" s="6" t="n">
        <v>0.2623490199456341</v>
      </c>
      <c r="R347" s="6" t="n">
        <v>0.6011185809264924</v>
      </c>
      <c r="S347" s="6" t="n">
        <v>0.4689863842662633</v>
      </c>
      <c r="T347" s="2" t="inlineStr">
        <is>
          <t>Under</t>
        </is>
      </c>
      <c r="U347" s="4" t="n">
        <v>110</v>
      </c>
      <c r="V347" s="2" t="n">
        <v>2.1</v>
      </c>
      <c r="W347" s="4" t="n">
        <v>110</v>
      </c>
      <c r="X347" s="2" t="n">
        <v>1</v>
      </c>
      <c r="Y347" s="5" t="n">
        <v>1.1</v>
      </c>
      <c r="Z347" s="7" t="n">
        <v>100</v>
      </c>
      <c r="AA347" s="7">
        <f>Y347*Z347</f>
        <v/>
      </c>
      <c r="AB347" s="6">
        <f>IF(Z347=0,0,AA347/Z347)</f>
        <v/>
      </c>
      <c r="AC347" s="6" t="n"/>
      <c r="AD347" s="2" t="inlineStr">
        <is>
          <t>Win</t>
        </is>
      </c>
      <c r="AE347" s="6">
        <f>IF((COUNTIF($AD$2:AD347,"Win")+COUNTIF($AD$2:AD347,"Loss"))=0,0,COUNTIF($AD$2:AD347,"Win")/(COUNTIF($AD$2:AD347,"Win")+COUNTIF($AD$2:AD347,"Loss")))</f>
        <v/>
      </c>
      <c r="AF347" s="6">
        <f>SUM($Y$2:Y347)/SUM($X$2:X347)</f>
        <v/>
      </c>
      <c r="AG347" s="5">
        <f>SUM($Y$2:Y347)</f>
        <v/>
      </c>
      <c r="AH347" s="7">
        <f>10000.0+SUM($AA$2:AA347)</f>
        <v/>
      </c>
      <c r="AI347" s="2" t="n">
        <v>2026</v>
      </c>
      <c r="AJ347" s="2" t="inlineStr">
        <is>
          <t>2026-05</t>
        </is>
      </c>
      <c r="AK347" s="2" t="inlineStr">
        <is>
          <t>+100 to +120</t>
        </is>
      </c>
      <c r="AL347" s="2" t="inlineStr">
        <is>
          <t>2026 Frozen Test</t>
        </is>
      </c>
      <c r="AM347" s="6" t="n">
        <v>0.2384991090414855</v>
      </c>
    </row>
    <row r="348">
      <c r="A348" s="2" t="inlineStr">
        <is>
          <t>KPROP-00749</t>
        </is>
      </c>
      <c r="B348" s="3" t="n">
        <v>46151.75737268518</v>
      </c>
      <c r="C348" s="3" t="n">
        <v>46151</v>
      </c>
      <c r="D348" s="2" t="inlineStr">
        <is>
          <t>Tanner Bibee</t>
        </is>
      </c>
      <c r="E348" s="2" t="n">
        <v>114</v>
      </c>
      <c r="F348" s="2" t="n">
        <v>142</v>
      </c>
      <c r="G348" s="2" t="inlineStr">
        <is>
          <t>Home</t>
        </is>
      </c>
      <c r="H348" s="2" t="inlineStr">
        <is>
          <t>fanduel</t>
        </is>
      </c>
      <c r="I348" s="4" t="n"/>
      <c r="J348" s="4" t="n"/>
      <c r="K348" s="4" t="n">
        <v>-136</v>
      </c>
      <c r="L348" s="4" t="n">
        <v>-136</v>
      </c>
      <c r="M348" s="5" t="n">
        <v>5.5</v>
      </c>
      <c r="N348" s="5" t="n">
        <v>4.81102602762859</v>
      </c>
      <c r="O348" s="5" t="n">
        <v>5.5</v>
      </c>
      <c r="P348" s="5" t="n">
        <v>0.6889739723714099</v>
      </c>
      <c r="Q348" s="6" t="n">
        <v>0.1263433701960612</v>
      </c>
      <c r="R348" s="6" t="n">
        <v>0.6490792302824759</v>
      </c>
      <c r="S348" s="6" t="n">
        <v>0.5645756457564576</v>
      </c>
      <c r="T348" s="2" t="inlineStr">
        <is>
          <t>Under</t>
        </is>
      </c>
      <c r="U348" s="4" t="n">
        <v>-136</v>
      </c>
      <c r="V348" s="2" t="n">
        <v>1.735294117647059</v>
      </c>
      <c r="W348" s="4" t="n">
        <v>-136</v>
      </c>
      <c r="X348" s="2" t="n">
        <v>1</v>
      </c>
      <c r="Y348" s="5" t="n">
        <v>-1</v>
      </c>
      <c r="Z348" s="7" t="n">
        <v>100</v>
      </c>
      <c r="AA348" s="7">
        <f>Y348*Z348</f>
        <v/>
      </c>
      <c r="AB348" s="6">
        <f>IF(Z348=0,0,AA348/Z348)</f>
        <v/>
      </c>
      <c r="AC348" s="6" t="n"/>
      <c r="AD348" s="2" t="inlineStr">
        <is>
          <t>Loss</t>
        </is>
      </c>
      <c r="AE348" s="6">
        <f>IF((COUNTIF($AD$2:AD348,"Win")+COUNTIF($AD$2:AD348,"Loss"))=0,0,COUNTIF($AD$2:AD348,"Win")/(COUNTIF($AD$2:AD348,"Win")+COUNTIF($AD$2:AD348,"Loss")))</f>
        <v/>
      </c>
      <c r="AF348" s="6">
        <f>SUM($Y$2:Y348)/SUM($X$2:X348)</f>
        <v/>
      </c>
      <c r="AG348" s="5">
        <f>SUM($Y$2:Y348)</f>
        <v/>
      </c>
      <c r="AH348" s="7">
        <f>10000.0+SUM($AA$2:AA348)</f>
        <v/>
      </c>
      <c r="AI348" s="2" t="n">
        <v>2026</v>
      </c>
      <c r="AJ348" s="2" t="inlineStr">
        <is>
          <t>2026-05</t>
        </is>
      </c>
      <c r="AK348" s="2" t="inlineStr">
        <is>
          <t>-149 to -120</t>
        </is>
      </c>
      <c r="AL348" s="2" t="inlineStr">
        <is>
          <t>2026 Frozen Test</t>
        </is>
      </c>
      <c r="AM348" s="6" t="n">
        <v>0.1718269834666433</v>
      </c>
    </row>
    <row r="349">
      <c r="A349" s="2" t="inlineStr">
        <is>
          <t>KPROP-00750</t>
        </is>
      </c>
      <c r="B349" s="3" t="n">
        <v>46152.56988425926</v>
      </c>
      <c r="C349" s="3" t="n">
        <v>46152</v>
      </c>
      <c r="D349" s="2" t="inlineStr">
        <is>
          <t>Gavin Williams</t>
        </is>
      </c>
      <c r="E349" s="2" t="n">
        <v>114</v>
      </c>
      <c r="F349" s="2" t="n">
        <v>142</v>
      </c>
      <c r="G349" s="2" t="inlineStr">
        <is>
          <t>Home</t>
        </is>
      </c>
      <c r="H349" s="2" t="inlineStr">
        <is>
          <t>betrivers</t>
        </is>
      </c>
      <c r="I349" s="4" t="n"/>
      <c r="J349" s="4" t="n"/>
      <c r="K349" s="4" t="n">
        <v>125</v>
      </c>
      <c r="L349" s="4" t="n">
        <v>125</v>
      </c>
      <c r="M349" s="5" t="n">
        <v>6.5</v>
      </c>
      <c r="N349" s="5" t="n">
        <v>6.168341983548054</v>
      </c>
      <c r="O349" s="5" t="n">
        <v>6.5</v>
      </c>
      <c r="P349" s="5" t="n">
        <v>0.3316580164519456</v>
      </c>
      <c r="Q349" s="6" t="n">
        <v>0.3033893181888299</v>
      </c>
      <c r="R349" s="6" t="n">
        <v>0.5792841414172577</v>
      </c>
      <c r="S349" s="6" t="n">
        <v>0.4361948955916473</v>
      </c>
      <c r="T349" s="2" t="inlineStr">
        <is>
          <t>Under</t>
        </is>
      </c>
      <c r="U349" s="4" t="n">
        <v>125</v>
      </c>
      <c r="V349" s="2" t="n">
        <v>2.25</v>
      </c>
      <c r="W349" s="4" t="n">
        <v>125</v>
      </c>
      <c r="X349" s="2" t="n">
        <v>1</v>
      </c>
      <c r="Y349" s="5" t="n">
        <v>1.25</v>
      </c>
      <c r="Z349" s="7" t="n">
        <v>100</v>
      </c>
      <c r="AA349" s="7">
        <f>Y349*Z349</f>
        <v/>
      </c>
      <c r="AB349" s="6">
        <f>IF(Z349=0,0,AA349/Z349)</f>
        <v/>
      </c>
      <c r="AC349" s="6" t="n"/>
      <c r="AD349" s="2" t="inlineStr">
        <is>
          <t>Win</t>
        </is>
      </c>
      <c r="AE349" s="6">
        <f>IF((COUNTIF($AD$2:AD349,"Win")+COUNTIF($AD$2:AD349,"Loss"))=0,0,COUNTIF($AD$2:AD349,"Win")/(COUNTIF($AD$2:AD349,"Win")+COUNTIF($AD$2:AD349,"Loss")))</f>
        <v/>
      </c>
      <c r="AF349" s="6">
        <f>SUM($Y$2:Y349)/SUM($X$2:X349)</f>
        <v/>
      </c>
      <c r="AG349" s="5">
        <f>SUM($Y$2:Y349)</f>
        <v/>
      </c>
      <c r="AH349" s="7">
        <f>10000.0+SUM($AA$2:AA349)</f>
        <v/>
      </c>
      <c r="AI349" s="2" t="n">
        <v>2026</v>
      </c>
      <c r="AJ349" s="2" t="inlineStr">
        <is>
          <t>2026-05</t>
        </is>
      </c>
      <c r="AK349" s="2" t="inlineStr">
        <is>
          <t>+121 to +150</t>
        </is>
      </c>
      <c r="AL349" s="2" t="inlineStr">
        <is>
          <t>2026 Frozen Test</t>
        </is>
      </c>
      <c r="AM349" s="6" t="n">
        <v>0.2427114545510639</v>
      </c>
    </row>
    <row r="350">
      <c r="A350" s="2" t="inlineStr">
        <is>
          <t>KPROP-00751</t>
        </is>
      </c>
      <c r="B350" s="3" t="n">
        <v>46152.56988425926</v>
      </c>
      <c r="C350" s="3" t="n">
        <v>46152</v>
      </c>
      <c r="D350" s="2" t="inlineStr">
        <is>
          <t>Gavin Williams</t>
        </is>
      </c>
      <c r="E350" s="2" t="n">
        <v>114</v>
      </c>
      <c r="F350" s="2" t="n">
        <v>142</v>
      </c>
      <c r="G350" s="2" t="inlineStr">
        <is>
          <t>Home</t>
        </is>
      </c>
      <c r="H350" s="2" t="inlineStr">
        <is>
          <t>betrivers</t>
        </is>
      </c>
      <c r="I350" s="4" t="n"/>
      <c r="J350" s="4" t="n"/>
      <c r="K350" s="4" t="n">
        <v>-159</v>
      </c>
      <c r="L350" s="4" t="n">
        <v>-159</v>
      </c>
      <c r="M350" s="5" t="n">
        <v>7.5</v>
      </c>
      <c r="N350" s="5" t="n">
        <v>6.168341983548054</v>
      </c>
      <c r="O350" s="5" t="n">
        <v>7.5</v>
      </c>
      <c r="P350" s="5" t="n">
        <v>1.331658016451946</v>
      </c>
      <c r="Q350" s="6" t="n">
        <v>0.1736384109970904</v>
      </c>
      <c r="R350" s="6" t="n">
        <v>0.7204961673688702</v>
      </c>
      <c r="S350" s="6" t="n">
        <v>0.5745729303547964</v>
      </c>
      <c r="T350" s="2" t="inlineStr">
        <is>
          <t>Under</t>
        </is>
      </c>
      <c r="U350" s="4" t="n">
        <v>-159</v>
      </c>
      <c r="V350" s="2" t="n">
        <v>1.628930817610063</v>
      </c>
      <c r="W350" s="4" t="n">
        <v>-159</v>
      </c>
      <c r="X350" s="2" t="n">
        <v>1</v>
      </c>
      <c r="Y350" s="5" t="n">
        <v>0.6289308176100628</v>
      </c>
      <c r="Z350" s="7" t="n">
        <v>100</v>
      </c>
      <c r="AA350" s="7">
        <f>Y350*Z350</f>
        <v/>
      </c>
      <c r="AB350" s="6">
        <f>IF(Z350=0,0,AA350/Z350)</f>
        <v/>
      </c>
      <c r="AC350" s="6" t="n"/>
      <c r="AD350" s="2" t="inlineStr">
        <is>
          <t>Win</t>
        </is>
      </c>
      <c r="AE350" s="6">
        <f>IF((COUNTIF($AD$2:AD350,"Win")+COUNTIF($AD$2:AD350,"Loss"))=0,0,COUNTIF($AD$2:AD350,"Win")/(COUNTIF($AD$2:AD350,"Win")+COUNTIF($AD$2:AD350,"Loss")))</f>
        <v/>
      </c>
      <c r="AF350" s="6">
        <f>SUM($Y$2:Y350)/SUM($X$2:X350)</f>
        <v/>
      </c>
      <c r="AG350" s="5">
        <f>SUM($Y$2:Y350)</f>
        <v/>
      </c>
      <c r="AH350" s="7">
        <f>10000.0+SUM($AA$2:AA350)</f>
        <v/>
      </c>
      <c r="AI350" s="2" t="n">
        <v>2026</v>
      </c>
      <c r="AJ350" s="2" t="inlineStr">
        <is>
          <t>2026-05</t>
        </is>
      </c>
      <c r="AK350" s="2" t="inlineStr">
        <is>
          <t>&lt;= -150</t>
        </is>
      </c>
      <c r="AL350" s="2" t="inlineStr">
        <is>
          <t>2026 Frozen Test</t>
        </is>
      </c>
      <c r="AM350" s="6" t="n">
        <v>0.2760850734853739</v>
      </c>
    </row>
    <row r="351">
      <c r="A351" s="2" t="inlineStr">
        <is>
          <t>KPROP-00752</t>
        </is>
      </c>
      <c r="B351" s="3" t="n">
        <v>46152.60806712963</v>
      </c>
      <c r="C351" s="3" t="n">
        <v>46152</v>
      </c>
      <c r="D351" s="2" t="inlineStr">
        <is>
          <t>Jacob deGrom</t>
        </is>
      </c>
      <c r="E351" s="2" t="n">
        <v>140</v>
      </c>
      <c r="F351" s="2" t="n">
        <v>112</v>
      </c>
      <c r="G351" s="2" t="inlineStr">
        <is>
          <t>Home</t>
        </is>
      </c>
      <c r="H351" s="2" t="inlineStr">
        <is>
          <t>mybookieag</t>
        </is>
      </c>
      <c r="I351" s="4" t="n"/>
      <c r="J351" s="4" t="n"/>
      <c r="K351" s="4" t="n">
        <v>-123</v>
      </c>
      <c r="L351" s="4" t="n">
        <v>-123</v>
      </c>
      <c r="M351" s="5" t="n">
        <v>6.5</v>
      </c>
      <c r="N351" s="5" t="n">
        <v>6.034302631851368</v>
      </c>
      <c r="O351" s="5" t="n">
        <v>6.5</v>
      </c>
      <c r="P351" s="5" t="n">
        <v>0.4656973681486321</v>
      </c>
      <c r="Q351" s="6" t="n">
        <v>0.08924289356586801</v>
      </c>
      <c r="R351" s="6" t="n">
        <v>0.600793165509425</v>
      </c>
      <c r="S351" s="6" t="n">
        <v>0.542517181249359</v>
      </c>
      <c r="T351" s="2" t="inlineStr">
        <is>
          <t>Under</t>
        </is>
      </c>
      <c r="U351" s="4" t="n">
        <v>-123</v>
      </c>
      <c r="V351" s="2" t="n">
        <v>1.813008130081301</v>
      </c>
      <c r="W351" s="4" t="n">
        <v>-123</v>
      </c>
      <c r="X351" s="2" t="n">
        <v>1</v>
      </c>
      <c r="Y351" s="5" t="n">
        <v>-1</v>
      </c>
      <c r="Z351" s="7" t="n">
        <v>100</v>
      </c>
      <c r="AA351" s="7">
        <f>Y351*Z351</f>
        <v/>
      </c>
      <c r="AB351" s="6">
        <f>IF(Z351=0,0,AA351/Z351)</f>
        <v/>
      </c>
      <c r="AC351" s="6" t="n"/>
      <c r="AD351" s="2" t="inlineStr">
        <is>
          <t>Loss</t>
        </is>
      </c>
      <c r="AE351" s="6">
        <f>IF((COUNTIF($AD$2:AD351,"Win")+COUNTIF($AD$2:AD351,"Loss"))=0,0,COUNTIF($AD$2:AD351,"Win")/(COUNTIF($AD$2:AD351,"Win")+COUNTIF($AD$2:AD351,"Loss")))</f>
        <v/>
      </c>
      <c r="AF351" s="6">
        <f>SUM($Y$2:Y351)/SUM($X$2:X351)</f>
        <v/>
      </c>
      <c r="AG351" s="5">
        <f>SUM($Y$2:Y351)</f>
        <v/>
      </c>
      <c r="AH351" s="7">
        <f>10000.0+SUM($AA$2:AA351)</f>
        <v/>
      </c>
      <c r="AI351" s="2" t="n">
        <v>2026</v>
      </c>
      <c r="AJ351" s="2" t="inlineStr">
        <is>
          <t>2026-05</t>
        </is>
      </c>
      <c r="AK351" s="2" t="inlineStr">
        <is>
          <t>-149 to -120</t>
        </is>
      </c>
      <c r="AL351" s="2" t="inlineStr">
        <is>
          <t>2026 Frozen Test</t>
        </is>
      </c>
      <c r="AM351" s="6" t="n">
        <v>0.1097687590860177</v>
      </c>
    </row>
    <row r="352">
      <c r="A352" s="2" t="inlineStr">
        <is>
          <t>KPROP-00753</t>
        </is>
      </c>
      <c r="B352" s="3" t="n">
        <v>46152.60806712963</v>
      </c>
      <c r="C352" s="3" t="n">
        <v>46152</v>
      </c>
      <c r="D352" s="2" t="inlineStr">
        <is>
          <t>Jameson Taillon</t>
        </is>
      </c>
      <c r="E352" s="2" t="n">
        <v>112</v>
      </c>
      <c r="F352" s="2" t="n">
        <v>140</v>
      </c>
      <c r="G352" s="2" t="inlineStr">
        <is>
          <t>Away</t>
        </is>
      </c>
      <c r="H352" s="2" t="inlineStr">
        <is>
          <t>draftkings</t>
        </is>
      </c>
      <c r="I352" s="4" t="n"/>
      <c r="J352" s="4" t="n"/>
      <c r="K352" s="4" t="n">
        <v>101</v>
      </c>
      <c r="L352" s="4" t="n">
        <v>101</v>
      </c>
      <c r="M352" s="5" t="n">
        <v>4.5</v>
      </c>
      <c r="N352" s="5" t="n">
        <v>4.48875003729538</v>
      </c>
      <c r="O352" s="5" t="n">
        <v>4.5</v>
      </c>
      <c r="P352" s="5" t="n">
        <v>0.01124996270462031</v>
      </c>
      <c r="Q352" s="6" t="n">
        <v>0.07382286479736144</v>
      </c>
      <c r="R352" s="6" t="n">
        <v>0.5342402312424684</v>
      </c>
      <c r="S352" s="6" t="n">
        <v>0.4871259568545581</v>
      </c>
      <c r="T352" s="2" t="inlineStr">
        <is>
          <t>Under</t>
        </is>
      </c>
      <c r="U352" s="4" t="n">
        <v>101</v>
      </c>
      <c r="V352" s="2" t="n">
        <v>2.01</v>
      </c>
      <c r="W352" s="4" t="n">
        <v>101</v>
      </c>
      <c r="X352" s="2" t="n">
        <v>1</v>
      </c>
      <c r="Y352" s="5" t="n">
        <v>1.01</v>
      </c>
      <c r="Z352" s="7" t="n">
        <v>100</v>
      </c>
      <c r="AA352" s="7">
        <f>Y352*Z352</f>
        <v/>
      </c>
      <c r="AB352" s="6">
        <f>IF(Z352=0,0,AA352/Z352)</f>
        <v/>
      </c>
      <c r="AC352" s="6" t="n"/>
      <c r="AD352" s="2" t="inlineStr">
        <is>
          <t>Win</t>
        </is>
      </c>
      <c r="AE352" s="6">
        <f>IF((COUNTIF($AD$2:AD352,"Win")+COUNTIF($AD$2:AD352,"Loss"))=0,0,COUNTIF($AD$2:AD352,"Win")/(COUNTIF($AD$2:AD352,"Win")+COUNTIF($AD$2:AD352,"Loss")))</f>
        <v/>
      </c>
      <c r="AF352" s="6">
        <f>SUM($Y$2:Y352)/SUM($X$2:X352)</f>
        <v/>
      </c>
      <c r="AG352" s="5">
        <f>SUM($Y$2:Y352)</f>
        <v/>
      </c>
      <c r="AH352" s="7">
        <f>10000.0+SUM($AA$2:AA352)</f>
        <v/>
      </c>
      <c r="AI352" s="2" t="n">
        <v>2026</v>
      </c>
      <c r="AJ352" s="2" t="inlineStr">
        <is>
          <t>2026-05</t>
        </is>
      </c>
      <c r="AK352" s="2" t="inlineStr">
        <is>
          <t>+100 to +120</t>
        </is>
      </c>
      <c r="AL352" s="2" t="inlineStr">
        <is>
          <t>2026 Frozen Test</t>
        </is>
      </c>
      <c r="AM352" s="6" t="n">
        <v>0.07309194534392223</v>
      </c>
    </row>
    <row r="353">
      <c r="A353" s="2" t="inlineStr">
        <is>
          <t>KPROP-00754</t>
        </is>
      </c>
      <c r="B353" s="3" t="n">
        <v>46152.56640046297</v>
      </c>
      <c r="C353" s="3" t="n">
        <v>46152</v>
      </c>
      <c r="D353" s="2" t="inlineStr">
        <is>
          <t>José Soriano</t>
        </is>
      </c>
      <c r="E353" s="2" t="n">
        <v>108</v>
      </c>
      <c r="F353" s="2" t="n">
        <v>141</v>
      </c>
      <c r="G353" s="2" t="inlineStr">
        <is>
          <t>Away</t>
        </is>
      </c>
      <c r="H353" s="2" t="inlineStr">
        <is>
          <t>betrivers</t>
        </is>
      </c>
      <c r="I353" s="4" t="n"/>
      <c r="J353" s="4" t="n"/>
      <c r="K353" s="4" t="n">
        <v>-117</v>
      </c>
      <c r="L353" s="4" t="n">
        <v>-117</v>
      </c>
      <c r="M353" s="5" t="n">
        <v>5.5</v>
      </c>
      <c r="N353" s="5" t="n">
        <v>5.005250541949178</v>
      </c>
      <c r="O353" s="5" t="n">
        <v>5.5</v>
      </c>
      <c r="P353" s="5" t="n">
        <v>0.4947494580508218</v>
      </c>
      <c r="Q353" s="6" t="n">
        <v>0.1407140209051467</v>
      </c>
      <c r="R353" s="6" t="n">
        <v>0.6150393568935584</v>
      </c>
      <c r="S353" s="6" t="n">
        <v>0.5298247134530799</v>
      </c>
      <c r="T353" s="2" t="inlineStr">
        <is>
          <t>Under</t>
        </is>
      </c>
      <c r="U353" s="4" t="n">
        <v>-117</v>
      </c>
      <c r="V353" s="2" t="n">
        <v>1.854700854700855</v>
      </c>
      <c r="W353" s="4" t="n">
        <v>-117</v>
      </c>
      <c r="X353" s="2" t="n">
        <v>1</v>
      </c>
      <c r="Y353" s="5" t="n">
        <v>-1</v>
      </c>
      <c r="Z353" s="7" t="n">
        <v>100</v>
      </c>
      <c r="AA353" s="7">
        <f>Y353*Z353</f>
        <v/>
      </c>
      <c r="AB353" s="6">
        <f>IF(Z353=0,0,AA353/Z353)</f>
        <v/>
      </c>
      <c r="AC353" s="6" t="n"/>
      <c r="AD353" s="2" t="inlineStr">
        <is>
          <t>Loss</t>
        </is>
      </c>
      <c r="AE353" s="6">
        <f>IF((COUNTIF($AD$2:AD353,"Win")+COUNTIF($AD$2:AD353,"Loss"))=0,0,COUNTIF($AD$2:AD353,"Win")/(COUNTIF($AD$2:AD353,"Win")+COUNTIF($AD$2:AD353,"Loss")))</f>
        <v/>
      </c>
      <c r="AF353" s="6">
        <f>SUM($Y$2:Y353)/SUM($X$2:X353)</f>
        <v/>
      </c>
      <c r="AG353" s="5">
        <f>SUM($Y$2:Y353)</f>
        <v/>
      </c>
      <c r="AH353" s="7">
        <f>10000.0+SUM($AA$2:AA353)</f>
        <v/>
      </c>
      <c r="AI353" s="2" t="n">
        <v>2026</v>
      </c>
      <c r="AJ353" s="2" t="inlineStr">
        <is>
          <t>2026-05</t>
        </is>
      </c>
      <c r="AK353" s="2" t="inlineStr">
        <is>
          <t>-119 to -101</t>
        </is>
      </c>
      <c r="AL353" s="2" t="inlineStr">
        <is>
          <t>2026 Frozen Test</t>
        </is>
      </c>
      <c r="AM353" s="6" t="n">
        <v>0.1646354044590217</v>
      </c>
    </row>
    <row r="354">
      <c r="A354" s="2" t="inlineStr">
        <is>
          <t>KPROP-00755</t>
        </is>
      </c>
      <c r="B354" s="3" t="n">
        <v>46152.67403935185</v>
      </c>
      <c r="C354" s="3" t="n">
        <v>46152</v>
      </c>
      <c r="D354" s="2" t="inlineStr">
        <is>
          <t>Kyle Leahy</t>
        </is>
      </c>
      <c r="E354" s="2" t="n">
        <v>138</v>
      </c>
      <c r="F354" s="2" t="n">
        <v>135</v>
      </c>
      <c r="G354" s="2" t="inlineStr">
        <is>
          <t>Away</t>
        </is>
      </c>
      <c r="H354" s="2" t="inlineStr">
        <is>
          <t>bovada</t>
        </is>
      </c>
      <c r="I354" s="4" t="n"/>
      <c r="J354" s="4" t="n"/>
      <c r="K354" s="4" t="n">
        <v>120</v>
      </c>
      <c r="L354" s="4" t="n">
        <v>120</v>
      </c>
      <c r="M354" s="5" t="n">
        <v>3.5</v>
      </c>
      <c r="N354" s="5" t="n">
        <v>3.41702888887464</v>
      </c>
      <c r="O354" s="5" t="n">
        <v>3.5</v>
      </c>
      <c r="P354" s="5" t="n">
        <v>0.08297111112536015</v>
      </c>
      <c r="Q354" s="6" t="n">
        <v>0.2202036461770427</v>
      </c>
      <c r="R354" s="6" t="n">
        <v>0.5546380209895648</v>
      </c>
      <c r="S354" s="6" t="n">
        <v>0.4323570432357043</v>
      </c>
      <c r="T354" s="2" t="inlineStr">
        <is>
          <t>Under</t>
        </is>
      </c>
      <c r="U354" s="4" t="n">
        <v>120</v>
      </c>
      <c r="V354" s="2" t="n">
        <v>2.2</v>
      </c>
      <c r="W354" s="4" t="n">
        <v>120</v>
      </c>
      <c r="X354" s="2" t="n">
        <v>1</v>
      </c>
      <c r="Y354" s="5" t="n">
        <v>-1</v>
      </c>
      <c r="Z354" s="7" t="n">
        <v>100</v>
      </c>
      <c r="AA354" s="7">
        <f>Y354*Z354</f>
        <v/>
      </c>
      <c r="AB354" s="6">
        <f>IF(Z354=0,0,AA354/Z354)</f>
        <v/>
      </c>
      <c r="AC354" s="6" t="n"/>
      <c r="AD354" s="2" t="inlineStr">
        <is>
          <t>Loss</t>
        </is>
      </c>
      <c r="AE354" s="6">
        <f>IF((COUNTIF($AD$2:AD354,"Win")+COUNTIF($AD$2:AD354,"Loss"))=0,0,COUNTIF($AD$2:AD354,"Win")/(COUNTIF($AD$2:AD354,"Win")+COUNTIF($AD$2:AD354,"Loss")))</f>
        <v/>
      </c>
      <c r="AF354" s="6">
        <f>SUM($Y$2:Y354)/SUM($X$2:X354)</f>
        <v/>
      </c>
      <c r="AG354" s="5">
        <f>SUM($Y$2:Y354)</f>
        <v/>
      </c>
      <c r="AH354" s="7">
        <f>10000.0+SUM($AA$2:AA354)</f>
        <v/>
      </c>
      <c r="AI354" s="2" t="n">
        <v>2026</v>
      </c>
      <c r="AJ354" s="2" t="inlineStr">
        <is>
          <t>2026-05</t>
        </is>
      </c>
      <c r="AK354" s="2" t="inlineStr">
        <is>
          <t>+100 to +120</t>
        </is>
      </c>
      <c r="AL354" s="2" t="inlineStr">
        <is>
          <t>2026 Frozen Test</t>
        </is>
      </c>
      <c r="AM354" s="6" t="n">
        <v>0.1835030384808689</v>
      </c>
    </row>
    <row r="355">
      <c r="A355" s="2" t="inlineStr">
        <is>
          <t>KPROP-00756</t>
        </is>
      </c>
      <c r="B355" s="3" t="n">
        <v>46152.59070601852</v>
      </c>
      <c r="C355" s="3" t="n">
        <v>46152</v>
      </c>
      <c r="D355" s="2" t="inlineStr">
        <is>
          <t>Logan Gilbert</t>
        </is>
      </c>
      <c r="E355" s="2" t="n">
        <v>136</v>
      </c>
      <c r="F355" s="2" t="n">
        <v>145</v>
      </c>
      <c r="G355" s="2" t="inlineStr">
        <is>
          <t>Away</t>
        </is>
      </c>
      <c r="H355" s="2" t="inlineStr">
        <is>
          <t>betrivers</t>
        </is>
      </c>
      <c r="I355" s="4" t="n"/>
      <c r="J355" s="4" t="n"/>
      <c r="K355" s="4" t="n">
        <v>133</v>
      </c>
      <c r="L355" s="4" t="n">
        <v>133</v>
      </c>
      <c r="M355" s="5" t="n">
        <v>5.5</v>
      </c>
      <c r="N355" s="5" t="n">
        <v>5.767509580258767</v>
      </c>
      <c r="O355" s="5" t="n">
        <v>5.5</v>
      </c>
      <c r="P355" s="5" t="n">
        <v>-0.2675095802587668</v>
      </c>
      <c r="Q355" s="6" t="n">
        <v>0.1270371092877797</v>
      </c>
      <c r="R355" s="6" t="n">
        <v>0.4837069138574162</v>
      </c>
      <c r="S355" s="6" t="n">
        <v>0.4203482885819679</v>
      </c>
      <c r="T355" s="2" t="inlineStr">
        <is>
          <t>Under</t>
        </is>
      </c>
      <c r="U355" s="4" t="n">
        <v>133</v>
      </c>
      <c r="V355" s="2" t="n">
        <v>2.33</v>
      </c>
      <c r="W355" s="4" t="n">
        <v>133</v>
      </c>
      <c r="X355" s="2" t="n">
        <v>1</v>
      </c>
      <c r="Y355" s="5" t="n">
        <v>-1</v>
      </c>
      <c r="Z355" s="7" t="n">
        <v>100</v>
      </c>
      <c r="AA355" s="7">
        <f>Y355*Z355</f>
        <v/>
      </c>
      <c r="AB355" s="6">
        <f>IF(Z355=0,0,AA355/Z355)</f>
        <v/>
      </c>
      <c r="AC355" s="6" t="n"/>
      <c r="AD355" s="2" t="inlineStr">
        <is>
          <t>Loss</t>
        </is>
      </c>
      <c r="AE355" s="6">
        <f>IF((COUNTIF($AD$2:AD355,"Win")+COUNTIF($AD$2:AD355,"Loss"))=0,0,COUNTIF($AD$2:AD355,"Win")/(COUNTIF($AD$2:AD355,"Win")+COUNTIF($AD$2:AD355,"Loss")))</f>
        <v/>
      </c>
      <c r="AF355" s="6">
        <f>SUM($Y$2:Y355)/SUM($X$2:X355)</f>
        <v/>
      </c>
      <c r="AG355" s="5">
        <f>SUM($Y$2:Y355)</f>
        <v/>
      </c>
      <c r="AH355" s="7">
        <f>10000.0+SUM($AA$2:AA355)</f>
        <v/>
      </c>
      <c r="AI355" s="2" t="n">
        <v>2026</v>
      </c>
      <c r="AJ355" s="2" t="inlineStr">
        <is>
          <t>2026-05</t>
        </is>
      </c>
      <c r="AK355" s="2" t="inlineStr">
        <is>
          <t>+121 to +150</t>
        </is>
      </c>
      <c r="AL355" s="2" t="inlineStr">
        <is>
          <t>2026 Frozen Test</t>
        </is>
      </c>
      <c r="AM355" s="6" t="n">
        <v>0.09551662352464636</v>
      </c>
    </row>
    <row r="356">
      <c r="A356" s="2" t="inlineStr">
        <is>
          <t>KPROP-00757</t>
        </is>
      </c>
      <c r="B356" s="3" t="n">
        <v>46152.59070601852</v>
      </c>
      <c r="C356" s="3" t="n">
        <v>46152</v>
      </c>
      <c r="D356" s="2" t="inlineStr">
        <is>
          <t>Logan Gilbert</t>
        </is>
      </c>
      <c r="E356" s="2" t="n">
        <v>136</v>
      </c>
      <c r="F356" s="2" t="n">
        <v>145</v>
      </c>
      <c r="G356" s="2" t="inlineStr">
        <is>
          <t>Away</t>
        </is>
      </c>
      <c r="H356" s="2" t="inlineStr">
        <is>
          <t>draftkings</t>
        </is>
      </c>
      <c r="I356" s="4" t="n"/>
      <c r="J356" s="4" t="n"/>
      <c r="K356" s="4" t="n">
        <v>-143</v>
      </c>
      <c r="L356" s="4" t="n">
        <v>-143</v>
      </c>
      <c r="M356" s="5" t="n">
        <v>6.5</v>
      </c>
      <c r="N356" s="5" t="n">
        <v>5.767509580258767</v>
      </c>
      <c r="O356" s="5" t="n">
        <v>6.5</v>
      </c>
      <c r="P356" s="5" t="n">
        <v>0.7324904197412332</v>
      </c>
      <c r="Q356" s="6" t="n">
        <v>0.09365127515283078</v>
      </c>
      <c r="R356" s="6" t="n">
        <v>0.6435890220035178</v>
      </c>
      <c r="S356" s="6" t="n">
        <v>0.5550754357697378</v>
      </c>
      <c r="T356" s="2" t="inlineStr">
        <is>
          <t>Under</t>
        </is>
      </c>
      <c r="U356" s="4" t="n">
        <v>-143</v>
      </c>
      <c r="V356" s="2" t="n">
        <v>1.699300699300699</v>
      </c>
      <c r="W356" s="4" t="n">
        <v>-143</v>
      </c>
      <c r="X356" s="2" t="n">
        <v>1</v>
      </c>
      <c r="Y356" s="5" t="n">
        <v>-1</v>
      </c>
      <c r="Z356" s="7" t="n">
        <v>100</v>
      </c>
      <c r="AA356" s="7">
        <f>Y356*Z356</f>
        <v/>
      </c>
      <c r="AB356" s="6">
        <f>IF(Z356=0,0,AA356/Z356)</f>
        <v/>
      </c>
      <c r="AC356" s="6" t="n"/>
      <c r="AD356" s="2" t="inlineStr">
        <is>
          <t>Loss</t>
        </is>
      </c>
      <c r="AE356" s="6">
        <f>IF((COUNTIF($AD$2:AD356,"Win")+COUNTIF($AD$2:AD356,"Loss"))=0,0,COUNTIF($AD$2:AD356,"Win")/(COUNTIF($AD$2:AD356,"Win")+COUNTIF($AD$2:AD356,"Loss")))</f>
        <v/>
      </c>
      <c r="AF356" s="6">
        <f>SUM($Y$2:Y356)/SUM($X$2:X356)</f>
        <v/>
      </c>
      <c r="AG356" s="5">
        <f>SUM($Y$2:Y356)</f>
        <v/>
      </c>
      <c r="AH356" s="7">
        <f>10000.0+SUM($AA$2:AA356)</f>
        <v/>
      </c>
      <c r="AI356" s="2" t="n">
        <v>2026</v>
      </c>
      <c r="AJ356" s="2" t="inlineStr">
        <is>
          <t>2026-05</t>
        </is>
      </c>
      <c r="AK356" s="2" t="inlineStr">
        <is>
          <t>-149 to -120</t>
        </is>
      </c>
      <c r="AL356" s="2" t="inlineStr">
        <is>
          <t>2026 Frozen Test</t>
        </is>
      </c>
      <c r="AM356" s="6" t="n">
        <v>0.133921323468548</v>
      </c>
    </row>
    <row r="357">
      <c r="A357" s="2" t="inlineStr">
        <is>
          <t>KPROP-00758</t>
        </is>
      </c>
      <c r="B357" s="3" t="n">
        <v>46153.79556712963</v>
      </c>
      <c r="C357" s="3" t="n">
        <v>46153</v>
      </c>
      <c r="D357" s="2" t="inlineStr">
        <is>
          <t>Kevin Gausman</t>
        </is>
      </c>
      <c r="E357" s="2" t="n">
        <v>141</v>
      </c>
      <c r="F357" s="2" t="n">
        <v>139</v>
      </c>
      <c r="G357" s="2" t="inlineStr">
        <is>
          <t>Home</t>
        </is>
      </c>
      <c r="H357" s="2" t="inlineStr">
        <is>
          <t>draftkings</t>
        </is>
      </c>
      <c r="I357" s="4" t="n"/>
      <c r="J357" s="4" t="n"/>
      <c r="K357" s="4" t="n">
        <v>128</v>
      </c>
      <c r="L357" s="4" t="n">
        <v>128</v>
      </c>
      <c r="M357" s="5" t="n">
        <v>4.5</v>
      </c>
      <c r="N357" s="5" t="n">
        <v>4.693757684829724</v>
      </c>
      <c r="O357" s="5" t="n">
        <v>4.5</v>
      </c>
      <c r="P357" s="5" t="n">
        <v>-0.1937576848297242</v>
      </c>
      <c r="Q357" s="6" t="n">
        <v>0.1303411971402026</v>
      </c>
      <c r="R357" s="6" t="n">
        <v>0.4957636829562292</v>
      </c>
      <c r="S357" s="6" t="n">
        <v>0.4197514542570068</v>
      </c>
      <c r="T357" s="2" t="inlineStr">
        <is>
          <t>Under</t>
        </is>
      </c>
      <c r="U357" s="4" t="n">
        <v>128</v>
      </c>
      <c r="V357" s="2" t="n">
        <v>2.28</v>
      </c>
      <c r="W357" s="4" t="n">
        <v>128</v>
      </c>
      <c r="X357" s="2" t="n">
        <v>1</v>
      </c>
      <c r="Y357" s="5" t="n">
        <v>-1</v>
      </c>
      <c r="Z357" s="7" t="n">
        <v>100</v>
      </c>
      <c r="AA357" s="7">
        <f>Y357*Z357</f>
        <v/>
      </c>
      <c r="AB357" s="6">
        <f>IF(Z357=0,0,AA357/Z357)</f>
        <v/>
      </c>
      <c r="AC357" s="6" t="n"/>
      <c r="AD357" s="2" t="inlineStr">
        <is>
          <t>Loss</t>
        </is>
      </c>
      <c r="AE357" s="6">
        <f>IF((COUNTIF($AD$2:AD357,"Win")+COUNTIF($AD$2:AD357,"Loss"))=0,0,COUNTIF($AD$2:AD357,"Win")/(COUNTIF($AD$2:AD357,"Win")+COUNTIF($AD$2:AD357,"Loss")))</f>
        <v/>
      </c>
      <c r="AF357" s="6">
        <f>SUM($Y$2:Y357)/SUM($X$2:X357)</f>
        <v/>
      </c>
      <c r="AG357" s="5">
        <f>SUM($Y$2:Y357)</f>
        <v/>
      </c>
      <c r="AH357" s="7">
        <f>10000.0+SUM($AA$2:AA357)</f>
        <v/>
      </c>
      <c r="AI357" s="2" t="n">
        <v>2026</v>
      </c>
      <c r="AJ357" s="2" t="inlineStr">
        <is>
          <t>2026-05</t>
        </is>
      </c>
      <c r="AK357" s="2" t="inlineStr">
        <is>
          <t>+121 to +150</t>
        </is>
      </c>
      <c r="AL357" s="2" t="inlineStr">
        <is>
          <t>2026 Frozen Test</t>
        </is>
      </c>
      <c r="AM357" s="6" t="n">
        <v>0.1018290602657833</v>
      </c>
    </row>
    <row r="358">
      <c r="A358" s="2" t="inlineStr">
        <is>
          <t>KPROP-00759</t>
        </is>
      </c>
      <c r="B358" s="3" t="n">
        <v>46153.79556712963</v>
      </c>
      <c r="C358" s="3" t="n">
        <v>46153</v>
      </c>
      <c r="D358" s="2" t="inlineStr">
        <is>
          <t>Kevin Gausman</t>
        </is>
      </c>
      <c r="E358" s="2" t="n">
        <v>141</v>
      </c>
      <c r="F358" s="2" t="n">
        <v>139</v>
      </c>
      <c r="G358" s="2" t="inlineStr">
        <is>
          <t>Home</t>
        </is>
      </c>
      <c r="H358" s="2" t="inlineStr">
        <is>
          <t>betmgm</t>
        </is>
      </c>
      <c r="I358" s="4" t="n"/>
      <c r="J358" s="4" t="n"/>
      <c r="K358" s="4" t="n">
        <v>-160</v>
      </c>
      <c r="L358" s="4" t="n">
        <v>-160</v>
      </c>
      <c r="M358" s="5" t="n">
        <v>5.5</v>
      </c>
      <c r="N358" s="5" t="n">
        <v>4.693757684829724</v>
      </c>
      <c r="O358" s="5" t="n">
        <v>5.5</v>
      </c>
      <c r="P358" s="5" t="n">
        <v>0.8062423151702758</v>
      </c>
      <c r="Q358" s="6" t="n">
        <v>0.08797547189919358</v>
      </c>
      <c r="R358" s="6" t="n">
        <v>0.6695233673225807</v>
      </c>
      <c r="S358" s="6" t="n">
        <v>0.5942571785268415</v>
      </c>
      <c r="T358" s="2" t="inlineStr">
        <is>
          <t>Under</t>
        </is>
      </c>
      <c r="U358" s="4" t="n">
        <v>-160</v>
      </c>
      <c r="V358" s="2" t="n">
        <v>1.625</v>
      </c>
      <c r="W358" s="4" t="n">
        <v>-160</v>
      </c>
      <c r="X358" s="2" t="n">
        <v>1</v>
      </c>
      <c r="Y358" s="5" t="n">
        <v>0.625</v>
      </c>
      <c r="Z358" s="7" t="n">
        <v>100</v>
      </c>
      <c r="AA358" s="7">
        <f>Y358*Z358</f>
        <v/>
      </c>
      <c r="AB358" s="6">
        <f>IF(Z358=0,0,AA358/Z358)</f>
        <v/>
      </c>
      <c r="AC358" s="6" t="n"/>
      <c r="AD358" s="2" t="inlineStr">
        <is>
          <t>Win</t>
        </is>
      </c>
      <c r="AE358" s="6">
        <f>IF((COUNTIF($AD$2:AD358,"Win")+COUNTIF($AD$2:AD358,"Loss"))=0,0,COUNTIF($AD$2:AD358,"Win")/(COUNTIF($AD$2:AD358,"Win")+COUNTIF($AD$2:AD358,"Loss")))</f>
        <v/>
      </c>
      <c r="AF358" s="6">
        <f>SUM($Y$2:Y358)/SUM($X$2:X358)</f>
        <v/>
      </c>
      <c r="AG358" s="5">
        <f>SUM($Y$2:Y358)</f>
        <v/>
      </c>
      <c r="AH358" s="7">
        <f>10000.0+SUM($AA$2:AA358)</f>
        <v/>
      </c>
      <c r="AI358" s="2" t="n">
        <v>2026</v>
      </c>
      <c r="AJ358" s="2" t="inlineStr">
        <is>
          <t>2026-05</t>
        </is>
      </c>
      <c r="AK358" s="2" t="inlineStr">
        <is>
          <t>&lt;= -150</t>
        </is>
      </c>
      <c r="AL358" s="2" t="inlineStr">
        <is>
          <t>2026 Frozen Test</t>
        </is>
      </c>
      <c r="AM358" s="6" t="n">
        <v>0.1407607550387097</v>
      </c>
    </row>
    <row r="359">
      <c r="A359" s="2" t="inlineStr">
        <is>
          <t>KPROP-00760</t>
        </is>
      </c>
      <c r="B359" s="3" t="n">
        <v>46154.77820601852</v>
      </c>
      <c r="C359" s="3" t="n">
        <v>46154</v>
      </c>
      <c r="D359" s="2" t="inlineStr">
        <is>
          <t>Brady Singer</t>
        </is>
      </c>
      <c r="E359" s="2" t="n">
        <v>113</v>
      </c>
      <c r="F359" s="2" t="n">
        <v>120</v>
      </c>
      <c r="G359" s="2" t="inlineStr">
        <is>
          <t>Home</t>
        </is>
      </c>
      <c r="H359" s="2" t="inlineStr">
        <is>
          <t>betmgm</t>
        </is>
      </c>
      <c r="I359" s="4" t="n"/>
      <c r="J359" s="4" t="n"/>
      <c r="K359" s="4" t="n">
        <v>-105</v>
      </c>
      <c r="L359" s="4" t="n">
        <v>-105</v>
      </c>
      <c r="M359" s="5" t="n">
        <v>4.5</v>
      </c>
      <c r="N359" s="5" t="n">
        <v>3.790507659525404</v>
      </c>
      <c r="O359" s="5" t="n">
        <v>4.5</v>
      </c>
      <c r="P359" s="5" t="n">
        <v>0.7094923404745956</v>
      </c>
      <c r="Q359" s="6" t="n">
        <v>0.3074861959152786</v>
      </c>
      <c r="R359" s="6" t="n">
        <v>0.6696880515663622</v>
      </c>
      <c r="S359" s="6" t="n">
        <v>0.5</v>
      </c>
      <c r="T359" s="2" t="inlineStr">
        <is>
          <t>Under</t>
        </is>
      </c>
      <c r="U359" s="4" t="n">
        <v>-105</v>
      </c>
      <c r="V359" s="2" t="n">
        <v>1.952380952380952</v>
      </c>
      <c r="W359" s="4" t="n">
        <v>-105</v>
      </c>
      <c r="X359" s="2" t="n">
        <v>1</v>
      </c>
      <c r="Y359" s="5" t="n">
        <v>0.9523809523809523</v>
      </c>
      <c r="Z359" s="7" t="n">
        <v>100</v>
      </c>
      <c r="AA359" s="7">
        <f>Y359*Z359</f>
        <v/>
      </c>
      <c r="AB359" s="6">
        <f>IF(Z359=0,0,AA359/Z359)</f>
        <v/>
      </c>
      <c r="AC359" s="6" t="n"/>
      <c r="AD359" s="2" t="inlineStr">
        <is>
          <t>Win</t>
        </is>
      </c>
      <c r="AE359" s="6">
        <f>IF((COUNTIF($AD$2:AD359,"Win")+COUNTIF($AD$2:AD359,"Loss"))=0,0,COUNTIF($AD$2:AD359,"Win")/(COUNTIF($AD$2:AD359,"Win")+COUNTIF($AD$2:AD359,"Loss")))</f>
        <v/>
      </c>
      <c r="AF359" s="6">
        <f>SUM($Y$2:Y359)/SUM($X$2:X359)</f>
        <v/>
      </c>
      <c r="AG359" s="5">
        <f>SUM($Y$2:Y359)</f>
        <v/>
      </c>
      <c r="AH359" s="7">
        <f>10000.0+SUM($AA$2:AA359)</f>
        <v/>
      </c>
      <c r="AI359" s="2" t="n">
        <v>2026</v>
      </c>
      <c r="AJ359" s="2" t="inlineStr">
        <is>
          <t>2026-05</t>
        </is>
      </c>
      <c r="AK359" s="2" t="inlineStr">
        <is>
          <t>-119 to -101</t>
        </is>
      </c>
      <c r="AL359" s="2" t="inlineStr">
        <is>
          <t>2026 Frozen Test</t>
        </is>
      </c>
      <c r="AM359" s="6" t="n">
        <v>0.3228605057110425</v>
      </c>
    </row>
    <row r="360">
      <c r="A360" s="2" t="inlineStr">
        <is>
          <t>KPROP-00761</t>
        </is>
      </c>
      <c r="B360" s="3" t="n">
        <v>46154.79903935185</v>
      </c>
      <c r="C360" s="3" t="n">
        <v>46154</v>
      </c>
      <c r="D360" s="2" t="inlineStr">
        <is>
          <t>Jack Flaherty</t>
        </is>
      </c>
      <c r="E360" s="2" t="n">
        <v>116</v>
      </c>
      <c r="F360" s="2" t="n">
        <v>121</v>
      </c>
      <c r="G360" s="2" t="inlineStr">
        <is>
          <t>Away</t>
        </is>
      </c>
      <c r="H360" s="2" t="inlineStr">
        <is>
          <t>draftkings</t>
        </is>
      </c>
      <c r="I360" s="4" t="n"/>
      <c r="J360" s="4" t="n"/>
      <c r="K360" s="4" t="n">
        <v>-104</v>
      </c>
      <c r="L360" s="4" t="n">
        <v>-104</v>
      </c>
      <c r="M360" s="5" t="n">
        <v>5.5</v>
      </c>
      <c r="N360" s="5" t="n">
        <v>5.116242485859913</v>
      </c>
      <c r="O360" s="5" t="n">
        <v>5.5</v>
      </c>
      <c r="P360" s="5" t="n">
        <v>0.3837575141400871</v>
      </c>
      <c r="Q360" s="6" t="n">
        <v>0.1682392864206408</v>
      </c>
      <c r="R360" s="6" t="n">
        <v>0.5955729695477776</v>
      </c>
      <c r="S360" s="6" t="n">
        <v>0.4879965080750763</v>
      </c>
      <c r="T360" s="2" t="inlineStr">
        <is>
          <t>Under</t>
        </is>
      </c>
      <c r="U360" s="4" t="n">
        <v>-104</v>
      </c>
      <c r="V360" s="2" t="n">
        <v>1.961538461538462</v>
      </c>
      <c r="W360" s="4" t="n">
        <v>-104</v>
      </c>
      <c r="X360" s="2" t="n">
        <v>1</v>
      </c>
      <c r="Y360" s="5" t="n">
        <v>0.9615384615384617</v>
      </c>
      <c r="Z360" s="7" t="n">
        <v>100</v>
      </c>
      <c r="AA360" s="7">
        <f>Y360*Z360</f>
        <v/>
      </c>
      <c r="AB360" s="6">
        <f>IF(Z360=0,0,AA360/Z360)</f>
        <v/>
      </c>
      <c r="AC360" s="6" t="n"/>
      <c r="AD360" s="2" t="inlineStr">
        <is>
          <t>Win</t>
        </is>
      </c>
      <c r="AE360" s="6">
        <f>IF((COUNTIF($AD$2:AD360,"Win")+COUNTIF($AD$2:AD360,"Loss"))=0,0,COUNTIF($AD$2:AD360,"Win")/(COUNTIF($AD$2:AD360,"Win")+COUNTIF($AD$2:AD360,"Loss")))</f>
        <v/>
      </c>
      <c r="AF360" s="6">
        <f>SUM($Y$2:Y360)/SUM($X$2:X360)</f>
        <v/>
      </c>
      <c r="AG360" s="5">
        <f>SUM($Y$2:Y360)</f>
        <v/>
      </c>
      <c r="AH360" s="7">
        <f>10000.0+SUM($AA$2:AA360)</f>
        <v/>
      </c>
      <c r="AI360" s="2" t="n">
        <v>2026</v>
      </c>
      <c r="AJ360" s="2" t="inlineStr">
        <is>
          <t>2026-05</t>
        </is>
      </c>
      <c r="AK360" s="2" t="inlineStr">
        <is>
          <t>-119 to -101</t>
        </is>
      </c>
      <c r="AL360" s="2" t="inlineStr">
        <is>
          <t>2026 Frozen Test</t>
        </is>
      </c>
      <c r="AM360" s="6" t="n">
        <v>0.1749688578774664</v>
      </c>
    </row>
    <row r="361">
      <c r="A361" s="2" t="inlineStr">
        <is>
          <t>KPROP-00762</t>
        </is>
      </c>
      <c r="B361" s="3" t="n">
        <v>46154.77820601852</v>
      </c>
      <c r="C361" s="3" t="n">
        <v>46154</v>
      </c>
      <c r="D361" s="2" t="inlineStr">
        <is>
          <t>Paul Skenes</t>
        </is>
      </c>
      <c r="E361" s="2" t="n">
        <v>134</v>
      </c>
      <c r="F361" s="2" t="n">
        <v>115</v>
      </c>
      <c r="G361" s="2" t="inlineStr">
        <is>
          <t>Home</t>
        </is>
      </c>
      <c r="H361" s="2" t="inlineStr">
        <is>
          <t>draftkings</t>
        </is>
      </c>
      <c r="I361" s="4" t="n"/>
      <c r="J361" s="4" t="n"/>
      <c r="K361" s="4" t="n">
        <v>-107</v>
      </c>
      <c r="L361" s="4" t="n">
        <v>-107</v>
      </c>
      <c r="M361" s="5" t="n">
        <v>7.5</v>
      </c>
      <c r="N361" s="5" t="n">
        <v>6.718306429515853</v>
      </c>
      <c r="O361" s="5" t="n">
        <v>7.5</v>
      </c>
      <c r="P361" s="5" t="n">
        <v>0.7816935704841468</v>
      </c>
      <c r="Q361" s="6" t="n">
        <v>0.2393035169473944</v>
      </c>
      <c r="R361" s="6" t="n">
        <v>0.6406061657650782</v>
      </c>
      <c r="S361" s="6" t="n">
        <v>0.4977741174375641</v>
      </c>
      <c r="T361" s="2" t="inlineStr">
        <is>
          <t>Under</t>
        </is>
      </c>
      <c r="U361" s="4" t="n">
        <v>-107</v>
      </c>
      <c r="V361" s="2" t="n">
        <v>1.934579439252337</v>
      </c>
      <c r="W361" s="4" t="n">
        <v>-107</v>
      </c>
      <c r="X361" s="2" t="n">
        <v>1</v>
      </c>
      <c r="Y361" s="5" t="n">
        <v>-1</v>
      </c>
      <c r="Z361" s="7" t="n">
        <v>100</v>
      </c>
      <c r="AA361" s="7">
        <f>Y361*Z361</f>
        <v/>
      </c>
      <c r="AB361" s="6">
        <f>IF(Z361=0,0,AA361/Z361)</f>
        <v/>
      </c>
      <c r="AC361" s="6" t="n"/>
      <c r="AD361" s="2" t="inlineStr">
        <is>
          <t>Loss</t>
        </is>
      </c>
      <c r="AE361" s="6">
        <f>IF((COUNTIF($AD$2:AD361,"Win")+COUNTIF($AD$2:AD361,"Loss"))=0,0,COUNTIF($AD$2:AD361,"Win")/(COUNTIF($AD$2:AD361,"Win")+COUNTIF($AD$2:AD361,"Loss")))</f>
        <v/>
      </c>
      <c r="AF361" s="6">
        <f>SUM($Y$2:Y361)/SUM($X$2:X361)</f>
        <v/>
      </c>
      <c r="AG361" s="5">
        <f>SUM($Y$2:Y361)</f>
        <v/>
      </c>
      <c r="AH361" s="7">
        <f>10000.0+SUM($AA$2:AA361)</f>
        <v/>
      </c>
      <c r="AI361" s="2" t="n">
        <v>2026</v>
      </c>
      <c r="AJ361" s="2" t="inlineStr">
        <is>
          <t>2026-05</t>
        </is>
      </c>
      <c r="AK361" s="2" t="inlineStr">
        <is>
          <t>-119 to -101</t>
        </is>
      </c>
      <c r="AL361" s="2" t="inlineStr">
        <is>
          <t>2026 Frozen Test</t>
        </is>
      </c>
      <c r="AM361" s="6" t="n">
        <v>0.2560547631337119</v>
      </c>
    </row>
    <row r="362">
      <c r="A362" s="2" t="inlineStr">
        <is>
          <t>KPROP-00763</t>
        </is>
      </c>
      <c r="B362" s="3" t="n">
        <v>46155.79903935185</v>
      </c>
      <c r="C362" s="3" t="n">
        <v>46155</v>
      </c>
      <c r="D362" s="2" t="inlineStr">
        <is>
          <t>Christian Scott</t>
        </is>
      </c>
      <c r="E362" s="2" t="n">
        <v>121</v>
      </c>
      <c r="F362" s="2" t="n">
        <v>116</v>
      </c>
      <c r="G362" s="2" t="inlineStr">
        <is>
          <t>Home</t>
        </is>
      </c>
      <c r="H362" s="2" t="inlineStr">
        <is>
          <t>betrivers</t>
        </is>
      </c>
      <c r="I362" s="4" t="n"/>
      <c r="J362" s="4" t="n"/>
      <c r="K362" s="4" t="n">
        <v>120</v>
      </c>
      <c r="L362" s="4" t="n">
        <v>120</v>
      </c>
      <c r="M362" s="5" t="n">
        <v>4.5</v>
      </c>
      <c r="N362" s="5" t="n">
        <v>4.367256477410446</v>
      </c>
      <c r="O362" s="5" t="n">
        <v>4.5</v>
      </c>
      <c r="P362" s="5" t="n">
        <v>0.1327435225895544</v>
      </c>
      <c r="Q362" s="6" t="n">
        <v>0.2264362920857379</v>
      </c>
      <c r="R362" s="6" t="n">
        <v>0.5574710418571536</v>
      </c>
      <c r="S362" s="6" t="n">
        <v>0.444104134762634</v>
      </c>
      <c r="T362" s="2" t="inlineStr">
        <is>
          <t>Under</t>
        </is>
      </c>
      <c r="U362" s="4" t="n">
        <v>120</v>
      </c>
      <c r="V362" s="2" t="n">
        <v>2.2</v>
      </c>
      <c r="W362" s="4" t="n">
        <v>120</v>
      </c>
      <c r="X362" s="2" t="n">
        <v>1</v>
      </c>
      <c r="Y362" s="5" t="n">
        <v>-1</v>
      </c>
      <c r="Z362" s="7" t="n">
        <v>100</v>
      </c>
      <c r="AA362" s="7">
        <f>Y362*Z362</f>
        <v/>
      </c>
      <c r="AB362" s="6">
        <f>IF(Z362=0,0,AA362/Z362)</f>
        <v/>
      </c>
      <c r="AC362" s="6" t="n"/>
      <c r="AD362" s="2" t="inlineStr">
        <is>
          <t>Loss</t>
        </is>
      </c>
      <c r="AE362" s="6">
        <f>IF((COUNTIF($AD$2:AD362,"Win")+COUNTIF($AD$2:AD362,"Loss"))=0,0,COUNTIF($AD$2:AD362,"Win")/(COUNTIF($AD$2:AD362,"Win")+COUNTIF($AD$2:AD362,"Loss")))</f>
        <v/>
      </c>
      <c r="AF362" s="6">
        <f>SUM($Y$2:Y362)/SUM($X$2:X362)</f>
        <v/>
      </c>
      <c r="AG362" s="5">
        <f>SUM($Y$2:Y362)</f>
        <v/>
      </c>
      <c r="AH362" s="7">
        <f>10000.0+SUM($AA$2:AA362)</f>
        <v/>
      </c>
      <c r="AI362" s="2" t="n">
        <v>2026</v>
      </c>
      <c r="AJ362" s="2" t="inlineStr">
        <is>
          <t>2026-05</t>
        </is>
      </c>
      <c r="AK362" s="2" t="inlineStr">
        <is>
          <t>+100 to +120</t>
        </is>
      </c>
      <c r="AL362" s="2" t="inlineStr">
        <is>
          <t>2026 Frozen Test</t>
        </is>
      </c>
      <c r="AM362" s="6" t="n">
        <v>0.1886969100714482</v>
      </c>
    </row>
    <row r="363">
      <c r="A363" s="2" t="inlineStr">
        <is>
          <t>KPROP-00764</t>
        </is>
      </c>
      <c r="B363" s="3" t="n">
        <v>46155.79903935185</v>
      </c>
      <c r="C363" s="3" t="n">
        <v>46155</v>
      </c>
      <c r="D363" s="2" t="inlineStr">
        <is>
          <t>Christian Scott</t>
        </is>
      </c>
      <c r="E363" s="2" t="n">
        <v>121</v>
      </c>
      <c r="F363" s="2" t="n">
        <v>116</v>
      </c>
      <c r="G363" s="2" t="inlineStr">
        <is>
          <t>Home</t>
        </is>
      </c>
      <c r="H363" s="2" t="inlineStr">
        <is>
          <t>betrivers</t>
        </is>
      </c>
      <c r="I363" s="4" t="n"/>
      <c r="J363" s="4" t="n"/>
      <c r="K363" s="4" t="n">
        <v>-175</v>
      </c>
      <c r="L363" s="4" t="n">
        <v>-175</v>
      </c>
      <c r="M363" s="5" t="n">
        <v>5.5</v>
      </c>
      <c r="N363" s="5" t="n">
        <v>4.367256477410446</v>
      </c>
      <c r="O363" s="5" t="n">
        <v>5.5</v>
      </c>
      <c r="P363" s="5" t="n">
        <v>1.132743522589554</v>
      </c>
      <c r="Q363" s="6" t="n">
        <v>0.1399515110914663</v>
      </c>
      <c r="R363" s="6" t="n">
        <v>0.7254236888763876</v>
      </c>
      <c r="S363" s="6" t="n">
        <v>0.5919881305637983</v>
      </c>
      <c r="T363" s="2" t="inlineStr">
        <is>
          <t>Under</t>
        </is>
      </c>
      <c r="U363" s="4" t="n">
        <v>-175</v>
      </c>
      <c r="V363" s="2" t="n">
        <v>1.571428571428571</v>
      </c>
      <c r="W363" s="4" t="n">
        <v>-175</v>
      </c>
      <c r="X363" s="2" t="n">
        <v>1</v>
      </c>
      <c r="Y363" s="5" t="n">
        <v>0.5714285714285714</v>
      </c>
      <c r="Z363" s="7" t="n">
        <v>100</v>
      </c>
      <c r="AA363" s="7">
        <f>Y363*Z363</f>
        <v/>
      </c>
      <c r="AB363" s="6">
        <f>IF(Z363=0,0,AA363/Z363)</f>
        <v/>
      </c>
      <c r="AC363" s="6" t="n"/>
      <c r="AD363" s="2" t="inlineStr">
        <is>
          <t>Win</t>
        </is>
      </c>
      <c r="AE363" s="6">
        <f>IF((COUNTIF($AD$2:AD363,"Win")+COUNTIF($AD$2:AD363,"Loss"))=0,0,COUNTIF($AD$2:AD363,"Win")/(COUNTIF($AD$2:AD363,"Win")+COUNTIF($AD$2:AD363,"Loss")))</f>
        <v/>
      </c>
      <c r="AF363" s="6">
        <f>SUM($Y$2:Y363)/SUM($X$2:X363)</f>
        <v/>
      </c>
      <c r="AG363" s="5">
        <f>SUM($Y$2:Y363)</f>
        <v/>
      </c>
      <c r="AH363" s="7">
        <f>10000.0+SUM($AA$2:AA363)</f>
        <v/>
      </c>
      <c r="AI363" s="2" t="n">
        <v>2026</v>
      </c>
      <c r="AJ363" s="2" t="inlineStr">
        <is>
          <t>2026-05</t>
        </is>
      </c>
      <c r="AK363" s="2" t="inlineStr">
        <is>
          <t>&lt;= -150</t>
        </is>
      </c>
      <c r="AL363" s="2" t="inlineStr">
        <is>
          <t>2026 Frozen Test</t>
        </is>
      </c>
      <c r="AM363" s="6" t="n">
        <v>0.244915144410066</v>
      </c>
    </row>
    <row r="364">
      <c r="A364" s="2" t="inlineStr">
        <is>
          <t>KPROP-00765</t>
        </is>
      </c>
      <c r="B364" s="3" t="n">
        <v>46155.79903935185</v>
      </c>
      <c r="C364" s="3" t="n">
        <v>46155</v>
      </c>
      <c r="D364" s="2" t="inlineStr">
        <is>
          <t>Framber Valdez</t>
        </is>
      </c>
      <c r="E364" s="2" t="n">
        <v>116</v>
      </c>
      <c r="F364" s="2" t="n">
        <v>121</v>
      </c>
      <c r="G364" s="2" t="inlineStr">
        <is>
          <t>Away</t>
        </is>
      </c>
      <c r="H364" s="2" t="inlineStr">
        <is>
          <t>bovada</t>
        </is>
      </c>
      <c r="I364" s="4" t="n"/>
      <c r="J364" s="4" t="n"/>
      <c r="K364" s="4" t="n">
        <v>120</v>
      </c>
      <c r="L364" s="4" t="n">
        <v>120</v>
      </c>
      <c r="M364" s="5" t="n">
        <v>4.5</v>
      </c>
      <c r="N364" s="5" t="n">
        <v>4.630531839152912</v>
      </c>
      <c r="O364" s="5" t="n">
        <v>4.5</v>
      </c>
      <c r="P364" s="5" t="n">
        <v>-0.130531839152912</v>
      </c>
      <c r="Q364" s="6" t="n">
        <v>0.1165439723802073</v>
      </c>
      <c r="R364" s="6" t="n">
        <v>0.5075199874455487</v>
      </c>
      <c r="S364" s="6" t="n">
        <v>0.4365079365079365</v>
      </c>
      <c r="T364" s="2" t="inlineStr">
        <is>
          <t>Under</t>
        </is>
      </c>
      <c r="U364" s="4" t="n">
        <v>120</v>
      </c>
      <c r="V364" s="2" t="n">
        <v>2.2</v>
      </c>
      <c r="W364" s="4" t="n">
        <v>120</v>
      </c>
      <c r="X364" s="2" t="n">
        <v>1</v>
      </c>
      <c r="Y364" s="5" t="n">
        <v>-1</v>
      </c>
      <c r="Z364" s="7" t="n">
        <v>100</v>
      </c>
      <c r="AA364" s="7">
        <f>Y364*Z364</f>
        <v/>
      </c>
      <c r="AB364" s="6">
        <f>IF(Z364=0,0,AA364/Z364)</f>
        <v/>
      </c>
      <c r="AC364" s="6" t="n"/>
      <c r="AD364" s="2" t="inlineStr">
        <is>
          <t>Loss</t>
        </is>
      </c>
      <c r="AE364" s="6">
        <f>IF((COUNTIF($AD$2:AD364,"Win")+COUNTIF($AD$2:AD364,"Loss"))=0,0,COUNTIF($AD$2:AD364,"Win")/(COUNTIF($AD$2:AD364,"Win")+COUNTIF($AD$2:AD364,"Loss")))</f>
        <v/>
      </c>
      <c r="AF364" s="6">
        <f>SUM($Y$2:Y364)/SUM($X$2:X364)</f>
        <v/>
      </c>
      <c r="AG364" s="5">
        <f>SUM($Y$2:Y364)</f>
        <v/>
      </c>
      <c r="AH364" s="7">
        <f>10000.0+SUM($AA$2:AA364)</f>
        <v/>
      </c>
      <c r="AI364" s="2" t="n">
        <v>2026</v>
      </c>
      <c r="AJ364" s="2" t="inlineStr">
        <is>
          <t>2026-05</t>
        </is>
      </c>
      <c r="AK364" s="2" t="inlineStr">
        <is>
          <t>+100 to +120</t>
        </is>
      </c>
      <c r="AL364" s="2" t="inlineStr">
        <is>
          <t>2026 Frozen Test</t>
        </is>
      </c>
      <c r="AM364" s="6" t="n">
        <v>0.09711997698350608</v>
      </c>
    </row>
    <row r="365">
      <c r="A365" s="2" t="inlineStr">
        <is>
          <t>KPROP-00766</t>
        </is>
      </c>
      <c r="B365" s="3" t="n">
        <v>46155.79903935185</v>
      </c>
      <c r="C365" s="3" t="n">
        <v>46155</v>
      </c>
      <c r="D365" s="2" t="inlineStr">
        <is>
          <t>Framber Valdez</t>
        </is>
      </c>
      <c r="E365" s="2" t="n">
        <v>116</v>
      </c>
      <c r="F365" s="2" t="n">
        <v>121</v>
      </c>
      <c r="G365" s="2" t="inlineStr">
        <is>
          <t>Away</t>
        </is>
      </c>
      <c r="H365" s="2" t="inlineStr">
        <is>
          <t>betmgm</t>
        </is>
      </c>
      <c r="I365" s="4" t="n"/>
      <c r="J365" s="4" t="n"/>
      <c r="K365" s="4" t="n">
        <v>-145</v>
      </c>
      <c r="L365" s="4" t="n">
        <v>-145</v>
      </c>
      <c r="M365" s="5" t="n">
        <v>5.5</v>
      </c>
      <c r="N365" s="5" t="n">
        <v>4.630531839152912</v>
      </c>
      <c r="O365" s="5" t="n">
        <v>5.5</v>
      </c>
      <c r="P365" s="5" t="n">
        <v>0.869468160847088</v>
      </c>
      <c r="Q365" s="6" t="n">
        <v>0.149785295295671</v>
      </c>
      <c r="R365" s="6" t="n">
        <v>0.6804851747668257</v>
      </c>
      <c r="S365" s="6" t="n">
        <v>0.5898551937724953</v>
      </c>
      <c r="T365" s="2" t="inlineStr">
        <is>
          <t>Under</t>
        </is>
      </c>
      <c r="U365" s="4" t="n">
        <v>-145</v>
      </c>
      <c r="V365" s="2" t="n">
        <v>1.689655172413793</v>
      </c>
      <c r="W365" s="4" t="n">
        <v>-145</v>
      </c>
      <c r="X365" s="2" t="n">
        <v>1</v>
      </c>
      <c r="Y365" s="5" t="n">
        <v>-1</v>
      </c>
      <c r="Z365" s="7" t="n">
        <v>100</v>
      </c>
      <c r="AA365" s="7">
        <f>Y365*Z365</f>
        <v/>
      </c>
      <c r="AB365" s="6">
        <f>IF(Z365=0,0,AA365/Z365)</f>
        <v/>
      </c>
      <c r="AC365" s="6" t="n"/>
      <c r="AD365" s="2" t="inlineStr">
        <is>
          <t>Loss</t>
        </is>
      </c>
      <c r="AE365" s="6">
        <f>IF((COUNTIF($AD$2:AD365,"Win")+COUNTIF($AD$2:AD365,"Loss"))=0,0,COUNTIF($AD$2:AD365,"Win")/(COUNTIF($AD$2:AD365,"Win")+COUNTIF($AD$2:AD365,"Loss")))</f>
        <v/>
      </c>
      <c r="AF365" s="6">
        <f>SUM($Y$2:Y365)/SUM($X$2:X365)</f>
        <v/>
      </c>
      <c r="AG365" s="5">
        <f>SUM($Y$2:Y365)</f>
        <v/>
      </c>
      <c r="AH365" s="7">
        <f>10000.0+SUM($AA$2:AA365)</f>
        <v/>
      </c>
      <c r="AI365" s="2" t="n">
        <v>2026</v>
      </c>
      <c r="AJ365" s="2" t="inlineStr">
        <is>
          <t>2026-05</t>
        </is>
      </c>
      <c r="AK365" s="2" t="inlineStr">
        <is>
          <t>-149 to -120</t>
        </is>
      </c>
      <c r="AL365" s="2" t="inlineStr">
        <is>
          <t>2026 Frozen Test</t>
        </is>
      </c>
      <c r="AM365" s="6" t="n">
        <v>0.217188678178723</v>
      </c>
    </row>
    <row r="366">
      <c r="A366" s="2" t="inlineStr">
        <is>
          <t>KPROP-00767</t>
        </is>
      </c>
      <c r="B366" s="3" t="n">
        <v>46155.79557870371</v>
      </c>
      <c r="C366" s="3" t="n">
        <v>46155</v>
      </c>
      <c r="D366" s="2" t="inlineStr">
        <is>
          <t>Griffin Jax</t>
        </is>
      </c>
      <c r="E366" s="2" t="n">
        <v>139</v>
      </c>
      <c r="F366" s="2" t="n">
        <v>141</v>
      </c>
      <c r="G366" s="2" t="inlineStr">
        <is>
          <t>Away</t>
        </is>
      </c>
      <c r="H366" s="2" t="inlineStr">
        <is>
          <t>betmgm</t>
        </is>
      </c>
      <c r="I366" s="4" t="n"/>
      <c r="J366" s="4" t="n"/>
      <c r="K366" s="4" t="n">
        <v>120</v>
      </c>
      <c r="L366" s="4" t="n">
        <v>120</v>
      </c>
      <c r="M366" s="5" t="n">
        <v>3.5</v>
      </c>
      <c r="N366" s="5" t="n">
        <v>3.231904320829097</v>
      </c>
      <c r="O366" s="5" t="n">
        <v>3.5</v>
      </c>
      <c r="P366" s="5" t="n">
        <v>0.2680956791709033</v>
      </c>
      <c r="Q366" s="6" t="n">
        <v>0.3099344276343585</v>
      </c>
      <c r="R366" s="6" t="n">
        <v>0.5954247398337993</v>
      </c>
      <c r="S366" s="6" t="n">
        <v>0.4343971631205674</v>
      </c>
      <c r="T366" s="2" t="inlineStr">
        <is>
          <t>Under</t>
        </is>
      </c>
      <c r="U366" s="4" t="n">
        <v>120</v>
      </c>
      <c r="V366" s="2" t="n">
        <v>2.2</v>
      </c>
      <c r="W366" s="4" t="n">
        <v>120</v>
      </c>
      <c r="X366" s="2" t="n">
        <v>1</v>
      </c>
      <c r="Y366" s="5" t="n">
        <v>1.2</v>
      </c>
      <c r="Z366" s="7" t="n">
        <v>100</v>
      </c>
      <c r="AA366" s="7">
        <f>Y366*Z366</f>
        <v/>
      </c>
      <c r="AB366" s="6">
        <f>IF(Z366=0,0,AA366/Z366)</f>
        <v/>
      </c>
      <c r="AC366" s="6" t="n"/>
      <c r="AD366" s="2" t="inlineStr">
        <is>
          <t>Win</t>
        </is>
      </c>
      <c r="AE366" s="6">
        <f>IF((COUNTIF($AD$2:AD366,"Win")+COUNTIF($AD$2:AD366,"Loss"))=0,0,COUNTIF($AD$2:AD366,"Win")/(COUNTIF($AD$2:AD366,"Win")+COUNTIF($AD$2:AD366,"Loss")))</f>
        <v/>
      </c>
      <c r="AF366" s="6">
        <f>SUM($Y$2:Y366)/SUM($X$2:X366)</f>
        <v/>
      </c>
      <c r="AG366" s="5">
        <f>SUM($Y$2:Y366)</f>
        <v/>
      </c>
      <c r="AH366" s="7">
        <f>10000.0+SUM($AA$2:AA366)</f>
        <v/>
      </c>
      <c r="AI366" s="2" t="n">
        <v>2026</v>
      </c>
      <c r="AJ366" s="2" t="inlineStr">
        <is>
          <t>2026-05</t>
        </is>
      </c>
      <c r="AK366" s="2" t="inlineStr">
        <is>
          <t>+100 to +120</t>
        </is>
      </c>
      <c r="AL366" s="2" t="inlineStr">
        <is>
          <t>2026 Frozen Test</t>
        </is>
      </c>
      <c r="AM366" s="6" t="n">
        <v>0.2582786896952987</v>
      </c>
    </row>
    <row r="367">
      <c r="A367" s="2" t="inlineStr">
        <is>
          <t>KPROP-00768</t>
        </is>
      </c>
      <c r="B367" s="3" t="n">
        <v>46155.77820601852</v>
      </c>
      <c r="C367" s="3" t="n">
        <v>46155</v>
      </c>
      <c r="D367" s="2" t="inlineStr">
        <is>
          <t>Nick Lodolo</t>
        </is>
      </c>
      <c r="E367" s="2" t="n">
        <v>113</v>
      </c>
      <c r="F367" s="2" t="n">
        <v>120</v>
      </c>
      <c r="G367" s="2" t="inlineStr">
        <is>
          <t>Home</t>
        </is>
      </c>
      <c r="H367" s="2" t="inlineStr">
        <is>
          <t>betmgm</t>
        </is>
      </c>
      <c r="I367" s="4" t="n"/>
      <c r="J367" s="4" t="n"/>
      <c r="K367" s="4" t="n">
        <v>-120</v>
      </c>
      <c r="L367" s="4" t="n">
        <v>-120</v>
      </c>
      <c r="M367" s="5" t="n">
        <v>5.5</v>
      </c>
      <c r="N367" s="5" t="n">
        <v>4.99213256548958</v>
      </c>
      <c r="O367" s="5" t="n">
        <v>5.5</v>
      </c>
      <c r="P367" s="5" t="n">
        <v>0.5078674345104197</v>
      </c>
      <c r="Q367" s="6" t="n">
        <v>0.1317920717087664</v>
      </c>
      <c r="R367" s="6" t="n">
        <v>0.6173411300229634</v>
      </c>
      <c r="S367" s="6" t="n">
        <v>0.5242214532871973</v>
      </c>
      <c r="T367" s="2" t="inlineStr">
        <is>
          <t>Under</t>
        </is>
      </c>
      <c r="U367" s="4" t="n">
        <v>-120</v>
      </c>
      <c r="V367" s="2" t="n">
        <v>1.833333333333333</v>
      </c>
      <c r="W367" s="4" t="n">
        <v>-120</v>
      </c>
      <c r="X367" s="2" t="n">
        <v>1</v>
      </c>
      <c r="Y367" s="5" t="n">
        <v>-1</v>
      </c>
      <c r="Z367" s="7" t="n">
        <v>100</v>
      </c>
      <c r="AA367" s="7">
        <f>Y367*Z367</f>
        <v/>
      </c>
      <c r="AB367" s="6">
        <f>IF(Z367=0,0,AA367/Z367)</f>
        <v/>
      </c>
      <c r="AC367" s="6" t="n"/>
      <c r="AD367" s="2" t="inlineStr">
        <is>
          <t>Loss</t>
        </is>
      </c>
      <c r="AE367" s="6">
        <f>IF((COUNTIF($AD$2:AD367,"Win")+COUNTIF($AD$2:AD367,"Loss"))=0,0,COUNTIF($AD$2:AD367,"Win")/(COUNTIF($AD$2:AD367,"Win")+COUNTIF($AD$2:AD367,"Loss")))</f>
        <v/>
      </c>
      <c r="AF367" s="6">
        <f>SUM($Y$2:Y367)/SUM($X$2:X367)</f>
        <v/>
      </c>
      <c r="AG367" s="5">
        <f>SUM($Y$2:Y367)</f>
        <v/>
      </c>
      <c r="AH367" s="7">
        <f>10000.0+SUM($AA$2:AA367)</f>
        <v/>
      </c>
      <c r="AI367" s="2" t="n">
        <v>2026</v>
      </c>
      <c r="AJ367" s="2" t="inlineStr">
        <is>
          <t>2026-05</t>
        </is>
      </c>
      <c r="AK367" s="2" t="inlineStr">
        <is>
          <t>-149 to -120</t>
        </is>
      </c>
      <c r="AL367" s="2" t="inlineStr">
        <is>
          <t>2026 Frozen Test</t>
        </is>
      </c>
      <c r="AM367" s="6" t="n">
        <v>0.1581504860505197</v>
      </c>
    </row>
    <row r="368">
      <c r="A368" s="2" t="inlineStr">
        <is>
          <t>KPROP-00769</t>
        </is>
      </c>
      <c r="B368" s="3" t="n">
        <v>46155.81987268518</v>
      </c>
      <c r="C368" s="3" t="n">
        <v>46155</v>
      </c>
      <c r="D368" s="2" t="inlineStr">
        <is>
          <t>Seth Lugo</t>
        </is>
      </c>
      <c r="E368" s="2" t="n">
        <v>118</v>
      </c>
      <c r="F368" s="2" t="n">
        <v>145</v>
      </c>
      <c r="G368" s="2" t="inlineStr">
        <is>
          <t>Away</t>
        </is>
      </c>
      <c r="H368" s="2" t="inlineStr">
        <is>
          <t>betmgm</t>
        </is>
      </c>
      <c r="I368" s="4" t="n"/>
      <c r="J368" s="4" t="n"/>
      <c r="K368" s="4" t="n">
        <v>-125</v>
      </c>
      <c r="L368" s="4" t="n">
        <v>-125</v>
      </c>
      <c r="M368" s="5" t="n">
        <v>5.5</v>
      </c>
      <c r="N368" s="5" t="n">
        <v>5.067559218449289</v>
      </c>
      <c r="O368" s="5" t="n">
        <v>5.5</v>
      </c>
      <c r="P368" s="5" t="n">
        <v>0.432440781550711</v>
      </c>
      <c r="Q368" s="6" t="n">
        <v>0.08739441384448776</v>
      </c>
      <c r="R368" s="6" t="n">
        <v>0.6041080076913821</v>
      </c>
      <c r="S368" s="6" t="n">
        <v>0.5324675324675325</v>
      </c>
      <c r="T368" s="2" t="inlineStr">
        <is>
          <t>Under</t>
        </is>
      </c>
      <c r="U368" s="4" t="n">
        <v>-125</v>
      </c>
      <c r="V368" s="2" t="n">
        <v>1.8</v>
      </c>
      <c r="W368" s="4" t="n">
        <v>-125</v>
      </c>
      <c r="X368" s="2" t="n">
        <v>1</v>
      </c>
      <c r="Y368" s="5" t="n">
        <v>0.8</v>
      </c>
      <c r="Z368" s="7" t="n">
        <v>100</v>
      </c>
      <c r="AA368" s="7">
        <f>Y368*Z368</f>
        <v/>
      </c>
      <c r="AB368" s="6">
        <f>IF(Z368=0,0,AA368/Z368)</f>
        <v/>
      </c>
      <c r="AC368" s="6" t="n"/>
      <c r="AD368" s="2" t="inlineStr">
        <is>
          <t>Win</t>
        </is>
      </c>
      <c r="AE368" s="6">
        <f>IF((COUNTIF($AD$2:AD368,"Win")+COUNTIF($AD$2:AD368,"Loss"))=0,0,COUNTIF($AD$2:AD368,"Win")/(COUNTIF($AD$2:AD368,"Win")+COUNTIF($AD$2:AD368,"Loss")))</f>
        <v/>
      </c>
      <c r="AF368" s="6">
        <f>SUM($Y$2:Y368)/SUM($X$2:X368)</f>
        <v/>
      </c>
      <c r="AG368" s="5">
        <f>SUM($Y$2:Y368)</f>
        <v/>
      </c>
      <c r="AH368" s="7">
        <f>10000.0+SUM($AA$2:AA368)</f>
        <v/>
      </c>
      <c r="AI368" s="2" t="n">
        <v>2026</v>
      </c>
      <c r="AJ368" s="2" t="inlineStr">
        <is>
          <t>2026-05</t>
        </is>
      </c>
      <c r="AK368" s="2" t="inlineStr">
        <is>
          <t>-149 to -120</t>
        </is>
      </c>
      <c r="AL368" s="2" t="inlineStr">
        <is>
          <t>2026 Frozen Test</t>
        </is>
      </c>
      <c r="AM368" s="6" t="n">
        <v>0.1092430173056097</v>
      </c>
    </row>
    <row r="369">
      <c r="A369" s="2" t="inlineStr">
        <is>
          <t>KPROP-00770</t>
        </is>
      </c>
      <c r="B369" s="3" t="n">
        <v>46155.80251157407</v>
      </c>
      <c r="C369" s="3" t="n">
        <v>46155</v>
      </c>
      <c r="D369" s="2" t="inlineStr">
        <is>
          <t>Shota Imanaga</t>
        </is>
      </c>
      <c r="E369" s="2" t="n">
        <v>112</v>
      </c>
      <c r="F369" s="2" t="n">
        <v>144</v>
      </c>
      <c r="G369" s="2" t="inlineStr">
        <is>
          <t>Away</t>
        </is>
      </c>
      <c r="H369" s="2" t="inlineStr">
        <is>
          <t>mybookieag</t>
        </is>
      </c>
      <c r="I369" s="4" t="n"/>
      <c r="J369" s="4" t="n"/>
      <c r="K369" s="4" t="n">
        <v>-120</v>
      </c>
      <c r="L369" s="4" t="n">
        <v>-120</v>
      </c>
      <c r="M369" s="5" t="n">
        <v>5.5</v>
      </c>
      <c r="N369" s="5" t="n">
        <v>4.961917313969197</v>
      </c>
      <c r="O369" s="5" t="n">
        <v>5.5</v>
      </c>
      <c r="P369" s="5" t="n">
        <v>0.538082686030803</v>
      </c>
      <c r="Q369" s="6" t="n">
        <v>0.1415114320898639</v>
      </c>
      <c r="R369" s="6" t="n">
        <v>0.6226425993217439</v>
      </c>
      <c r="S369" s="6" t="n">
        <v>0.5303159692570453</v>
      </c>
      <c r="T369" s="2" t="inlineStr">
        <is>
          <t>Under</t>
        </is>
      </c>
      <c r="U369" s="4" t="n">
        <v>-120</v>
      </c>
      <c r="V369" s="2" t="n">
        <v>1.833333333333333</v>
      </c>
      <c r="W369" s="4" t="n">
        <v>-120</v>
      </c>
      <c r="X369" s="2" t="n">
        <v>1</v>
      </c>
      <c r="Y369" s="5" t="n">
        <v>-1</v>
      </c>
      <c r="Z369" s="7" t="n">
        <v>100</v>
      </c>
      <c r="AA369" s="7">
        <f>Y369*Z369</f>
        <v/>
      </c>
      <c r="AB369" s="6">
        <f>IF(Z369=0,0,AA369/Z369)</f>
        <v/>
      </c>
      <c r="AC369" s="6" t="n"/>
      <c r="AD369" s="2" t="inlineStr">
        <is>
          <t>Loss</t>
        </is>
      </c>
      <c r="AE369" s="6">
        <f>IF((COUNTIF($AD$2:AD369,"Win")+COUNTIF($AD$2:AD369,"Loss"))=0,0,COUNTIF($AD$2:AD369,"Win")/(COUNTIF($AD$2:AD369,"Win")+COUNTIF($AD$2:AD369,"Loss")))</f>
        <v/>
      </c>
      <c r="AF369" s="6">
        <f>SUM($Y$2:Y369)/SUM($X$2:X369)</f>
        <v/>
      </c>
      <c r="AG369" s="5">
        <f>SUM($Y$2:Y369)</f>
        <v/>
      </c>
      <c r="AH369" s="7">
        <f>10000.0+SUM($AA$2:AA369)</f>
        <v/>
      </c>
      <c r="AI369" s="2" t="n">
        <v>2026</v>
      </c>
      <c r="AJ369" s="2" t="inlineStr">
        <is>
          <t>2026-05</t>
        </is>
      </c>
      <c r="AK369" s="2" t="inlineStr">
        <is>
          <t>-149 to -120</t>
        </is>
      </c>
      <c r="AL369" s="2" t="inlineStr">
        <is>
          <t>2026 Frozen Test</t>
        </is>
      </c>
      <c r="AM369" s="6" t="n">
        <v>0.1698137185078367</v>
      </c>
    </row>
    <row r="370">
      <c r="A370" s="2" t="inlineStr">
        <is>
          <t>KPROP-00771</t>
        </is>
      </c>
      <c r="B370" s="3" t="n">
        <v>46156.52820601852</v>
      </c>
      <c r="C370" s="3" t="n">
        <v>46156</v>
      </c>
      <c r="D370" s="2" t="inlineStr">
        <is>
          <t>Chase Burns</t>
        </is>
      </c>
      <c r="E370" s="2" t="n">
        <v>113</v>
      </c>
      <c r="F370" s="2" t="n">
        <v>120</v>
      </c>
      <c r="G370" s="2" t="inlineStr">
        <is>
          <t>Home</t>
        </is>
      </c>
      <c r="H370" s="2" t="inlineStr">
        <is>
          <t>betmgm</t>
        </is>
      </c>
      <c r="I370" s="4" t="n"/>
      <c r="J370" s="4" t="n"/>
      <c r="K370" s="4" t="n">
        <v>120</v>
      </c>
      <c r="L370" s="4" t="n">
        <v>120</v>
      </c>
      <c r="M370" s="5" t="n">
        <v>6.5</v>
      </c>
      <c r="N370" s="5" t="n">
        <v>6.590826436067869</v>
      </c>
      <c r="O370" s="5" t="n">
        <v>6.5</v>
      </c>
      <c r="P370" s="5" t="n">
        <v>-0.09082643606786878</v>
      </c>
      <c r="Q370" s="6" t="n">
        <v>0.1269997594640518</v>
      </c>
      <c r="R370" s="6" t="n">
        <v>0.5122726179382053</v>
      </c>
      <c r="S370" s="6" t="n">
        <v>0.4474097331240188</v>
      </c>
      <c r="T370" s="2" t="inlineStr">
        <is>
          <t>Under</t>
        </is>
      </c>
      <c r="U370" s="4" t="n">
        <v>120</v>
      </c>
      <c r="V370" s="2" t="n">
        <v>2.2</v>
      </c>
      <c r="W370" s="4" t="n">
        <v>120</v>
      </c>
      <c r="X370" s="2" t="n">
        <v>1</v>
      </c>
      <c r="Y370" s="5" t="n">
        <v>-1</v>
      </c>
      <c r="Z370" s="7" t="n">
        <v>100</v>
      </c>
      <c r="AA370" s="7">
        <f>Y370*Z370</f>
        <v/>
      </c>
      <c r="AB370" s="6">
        <f>IF(Z370=0,0,AA370/Z370)</f>
        <v/>
      </c>
      <c r="AC370" s="6" t="n"/>
      <c r="AD370" s="2" t="inlineStr">
        <is>
          <t>Loss</t>
        </is>
      </c>
      <c r="AE370" s="6">
        <f>IF((COUNTIF($AD$2:AD370,"Win")+COUNTIF($AD$2:AD370,"Loss"))=0,0,COUNTIF($AD$2:AD370,"Win")/(COUNTIF($AD$2:AD370,"Win")+COUNTIF($AD$2:AD370,"Loss")))</f>
        <v/>
      </c>
      <c r="AF370" s="6">
        <f>SUM($Y$2:Y370)/SUM($X$2:X370)</f>
        <v/>
      </c>
      <c r="AG370" s="5">
        <f>SUM($Y$2:Y370)</f>
        <v/>
      </c>
      <c r="AH370" s="7">
        <f>10000.0+SUM($AA$2:AA370)</f>
        <v/>
      </c>
      <c r="AI370" s="2" t="n">
        <v>2026</v>
      </c>
      <c r="AJ370" s="2" t="inlineStr">
        <is>
          <t>2026-05</t>
        </is>
      </c>
      <c r="AK370" s="2" t="inlineStr">
        <is>
          <t>+100 to +120</t>
        </is>
      </c>
      <c r="AL370" s="2" t="inlineStr">
        <is>
          <t>2026 Frozen Test</t>
        </is>
      </c>
      <c r="AM370" s="6" t="n">
        <v>0.1058331328867099</v>
      </c>
    </row>
    <row r="371">
      <c r="A371" s="2" t="inlineStr">
        <is>
          <t>KPROP-00772</t>
        </is>
      </c>
      <c r="B371" s="3" t="n">
        <v>46156.80251157407</v>
      </c>
      <c r="C371" s="3" t="n">
        <v>46156</v>
      </c>
      <c r="D371" s="2" t="inlineStr">
        <is>
          <t>Chris Sale</t>
        </is>
      </c>
      <c r="E371" s="2" t="n">
        <v>144</v>
      </c>
      <c r="F371" s="2" t="n">
        <v>112</v>
      </c>
      <c r="G371" s="2" t="inlineStr">
        <is>
          <t>Home</t>
        </is>
      </c>
      <c r="H371" s="2" t="inlineStr">
        <is>
          <t>fanduel</t>
        </is>
      </c>
      <c r="I371" s="4" t="n"/>
      <c r="J371" s="4" t="n"/>
      <c r="K371" s="4" t="n">
        <v>126</v>
      </c>
      <c r="L371" s="4" t="n">
        <v>126</v>
      </c>
      <c r="M371" s="5" t="n">
        <v>6.5</v>
      </c>
      <c r="N371" s="5" t="n">
        <v>6.390976011000055</v>
      </c>
      <c r="O371" s="5" t="n">
        <v>6.5</v>
      </c>
      <c r="P371" s="5" t="n">
        <v>0.1090239889999447</v>
      </c>
      <c r="Q371" s="6" t="n">
        <v>0.2288983616648533</v>
      </c>
      <c r="R371" s="6" t="n">
        <v>0.5437603370198466</v>
      </c>
      <c r="S371" s="6" t="n">
        <v>0.4231595916174101</v>
      </c>
      <c r="T371" s="2" t="inlineStr">
        <is>
          <t>Under</t>
        </is>
      </c>
      <c r="U371" s="4" t="n">
        <v>126</v>
      </c>
      <c r="V371" s="2" t="n">
        <v>2.26</v>
      </c>
      <c r="W371" s="4" t="n">
        <v>126</v>
      </c>
      <c r="X371" s="2" t="n">
        <v>1</v>
      </c>
      <c r="Y371" s="5" t="n">
        <v>-1</v>
      </c>
      <c r="Z371" s="7" t="n">
        <v>100</v>
      </c>
      <c r="AA371" s="7">
        <f>Y371*Z371</f>
        <v/>
      </c>
      <c r="AB371" s="6">
        <f>IF(Z371=0,0,AA371/Z371)</f>
        <v/>
      </c>
      <c r="AC371" s="6" t="n"/>
      <c r="AD371" s="2" t="inlineStr">
        <is>
          <t>Loss</t>
        </is>
      </c>
      <c r="AE371" s="6">
        <f>IF((COUNTIF($AD$2:AD371,"Win")+COUNTIF($AD$2:AD371,"Loss"))=0,0,COUNTIF($AD$2:AD371,"Win")/(COUNTIF($AD$2:AD371,"Win")+COUNTIF($AD$2:AD371,"Loss")))</f>
        <v/>
      </c>
      <c r="AF371" s="6">
        <f>SUM($Y$2:Y371)/SUM($X$2:X371)</f>
        <v/>
      </c>
      <c r="AG371" s="5">
        <f>SUM($Y$2:Y371)</f>
        <v/>
      </c>
      <c r="AH371" s="7">
        <f>10000.0+SUM($AA$2:AA371)</f>
        <v/>
      </c>
      <c r="AI371" s="2" t="n">
        <v>2026</v>
      </c>
      <c r="AJ371" s="2" t="inlineStr">
        <is>
          <t>2026-05</t>
        </is>
      </c>
      <c r="AK371" s="2" t="inlineStr">
        <is>
          <t>+121 to +150</t>
        </is>
      </c>
      <c r="AL371" s="2" t="inlineStr">
        <is>
          <t>2026 Frozen Test</t>
        </is>
      </c>
      <c r="AM371" s="6" t="n">
        <v>0.1816653664006772</v>
      </c>
    </row>
    <row r="372">
      <c r="A372" s="2" t="inlineStr">
        <is>
          <t>KPROP-00773</t>
        </is>
      </c>
      <c r="B372" s="3" t="n">
        <v>46156.80251157407</v>
      </c>
      <c r="C372" s="3" t="n">
        <v>46156</v>
      </c>
      <c r="D372" s="2" t="inlineStr">
        <is>
          <t>Chris Sale</t>
        </is>
      </c>
      <c r="E372" s="2" t="n">
        <v>144</v>
      </c>
      <c r="F372" s="2" t="n">
        <v>112</v>
      </c>
      <c r="G372" s="2" t="inlineStr">
        <is>
          <t>Home</t>
        </is>
      </c>
      <c r="H372" s="2" t="inlineStr">
        <is>
          <t>betmgm</t>
        </is>
      </c>
      <c r="I372" s="4" t="n"/>
      <c r="J372" s="4" t="n"/>
      <c r="K372" s="4" t="n">
        <v>-155</v>
      </c>
      <c r="L372" s="4" t="n">
        <v>-155</v>
      </c>
      <c r="M372" s="5" t="n">
        <v>7.5</v>
      </c>
      <c r="N372" s="5" t="n">
        <v>6.390976011000055</v>
      </c>
      <c r="O372" s="5" t="n">
        <v>7.5</v>
      </c>
      <c r="P372" s="5" t="n">
        <v>1.109023988999945</v>
      </c>
      <c r="Q372" s="6" t="n">
        <v>0.1329056138475511</v>
      </c>
      <c r="R372" s="6" t="n">
        <v>0.688628902534786</v>
      </c>
      <c r="S372" s="6" t="n">
        <v>0.5850959973966807</v>
      </c>
      <c r="T372" s="2" t="inlineStr">
        <is>
          <t>Under</t>
        </is>
      </c>
      <c r="U372" s="4" t="n">
        <v>-155</v>
      </c>
      <c r="V372" s="2" t="n">
        <v>1.645161290322581</v>
      </c>
      <c r="W372" s="4" t="n">
        <v>-155</v>
      </c>
      <c r="X372" s="2" t="n">
        <v>1</v>
      </c>
      <c r="Y372" s="5" t="n">
        <v>-1</v>
      </c>
      <c r="Z372" s="7" t="n">
        <v>100</v>
      </c>
      <c r="AA372" s="7">
        <f>Y372*Z372</f>
        <v/>
      </c>
      <c r="AB372" s="6">
        <f>IF(Z372=0,0,AA372/Z372)</f>
        <v/>
      </c>
      <c r="AC372" s="6" t="n"/>
      <c r="AD372" s="2" t="inlineStr">
        <is>
          <t>Loss</t>
        </is>
      </c>
      <c r="AE372" s="6">
        <f>IF((COUNTIF($AD$2:AD372,"Win")+COUNTIF($AD$2:AD372,"Loss"))=0,0,COUNTIF($AD$2:AD372,"Win")/(COUNTIF($AD$2:AD372,"Win")+COUNTIF($AD$2:AD372,"Loss")))</f>
        <v/>
      </c>
      <c r="AF372" s="6">
        <f>SUM($Y$2:Y372)/SUM($X$2:X372)</f>
        <v/>
      </c>
      <c r="AG372" s="5">
        <f>SUM($Y$2:Y372)</f>
        <v/>
      </c>
      <c r="AH372" s="7">
        <f>10000.0+SUM($AA$2:AA372)</f>
        <v/>
      </c>
      <c r="AI372" s="2" t="n">
        <v>2026</v>
      </c>
      <c r="AJ372" s="2" t="inlineStr">
        <is>
          <t>2026-05</t>
        </is>
      </c>
      <c r="AK372" s="2" t="inlineStr">
        <is>
          <t>&lt;= -150</t>
        </is>
      </c>
      <c r="AL372" s="2" t="inlineStr">
        <is>
          <t>2026 Frozen Test</t>
        </is>
      </c>
      <c r="AM372" s="6" t="n">
        <v>0.2060037014637043</v>
      </c>
    </row>
    <row r="373">
      <c r="A373" s="2" t="inlineStr">
        <is>
          <t>KPROP-00774</t>
        </is>
      </c>
      <c r="B373" s="3" t="n">
        <v>46156.56987268518</v>
      </c>
      <c r="C373" s="3" t="n">
        <v>46156</v>
      </c>
      <c r="D373" s="2" t="inlineStr">
        <is>
          <t>Griffin Canning</t>
        </is>
      </c>
      <c r="E373" s="2" t="n">
        <v>135</v>
      </c>
      <c r="F373" s="2" t="n">
        <v>158</v>
      </c>
      <c r="G373" s="2" t="inlineStr">
        <is>
          <t>Away</t>
        </is>
      </c>
      <c r="H373" s="2" t="inlineStr">
        <is>
          <t>betmgm</t>
        </is>
      </c>
      <c r="I373" s="4" t="n"/>
      <c r="J373" s="4" t="n"/>
      <c r="K373" s="4" t="n">
        <v>-125</v>
      </c>
      <c r="L373" s="4" t="n">
        <v>-125</v>
      </c>
      <c r="M373" s="5" t="n">
        <v>4.5</v>
      </c>
      <c r="N373" s="5" t="n">
        <v>4.129814804031613</v>
      </c>
      <c r="O373" s="5" t="n">
        <v>4.5</v>
      </c>
      <c r="P373" s="5" t="n">
        <v>0.3701851959683866</v>
      </c>
      <c r="Q373" s="6" t="n">
        <v>0.08628729914289324</v>
      </c>
      <c r="R373" s="6" t="n">
        <v>0.603492943968274</v>
      </c>
      <c r="S373" s="6" t="n">
        <v>0.5372750642673522</v>
      </c>
      <c r="T373" s="2" t="inlineStr">
        <is>
          <t>Under</t>
        </is>
      </c>
      <c r="U373" s="4" t="n">
        <v>-125</v>
      </c>
      <c r="V373" s="2" t="n">
        <v>1.8</v>
      </c>
      <c r="W373" s="4" t="n">
        <v>-125</v>
      </c>
      <c r="X373" s="2" t="n">
        <v>1</v>
      </c>
      <c r="Y373" s="5" t="n">
        <v>0.8</v>
      </c>
      <c r="Z373" s="7" t="n">
        <v>100</v>
      </c>
      <c r="AA373" s="7">
        <f>Y373*Z373</f>
        <v/>
      </c>
      <c r="AB373" s="6">
        <f>IF(Z373=0,0,AA373/Z373)</f>
        <v/>
      </c>
      <c r="AC373" s="6" t="n"/>
      <c r="AD373" s="2" t="inlineStr">
        <is>
          <t>Win</t>
        </is>
      </c>
      <c r="AE373" s="6">
        <f>IF((COUNTIF($AD$2:AD373,"Win")+COUNTIF($AD$2:AD373,"Loss"))=0,0,COUNTIF($AD$2:AD373,"Win")/(COUNTIF($AD$2:AD373,"Win")+COUNTIF($AD$2:AD373,"Loss")))</f>
        <v/>
      </c>
      <c r="AF373" s="6">
        <f>SUM($Y$2:Y373)/SUM($X$2:X373)</f>
        <v/>
      </c>
      <c r="AG373" s="5">
        <f>SUM($Y$2:Y373)</f>
        <v/>
      </c>
      <c r="AH373" s="7">
        <f>10000.0+SUM($AA$2:AA373)</f>
        <v/>
      </c>
      <c r="AI373" s="2" t="n">
        <v>2026</v>
      </c>
      <c r="AJ373" s="2" t="inlineStr">
        <is>
          <t>2026-05</t>
        </is>
      </c>
      <c r="AK373" s="2" t="inlineStr">
        <is>
          <t>-149 to -120</t>
        </is>
      </c>
      <c r="AL373" s="2" t="inlineStr">
        <is>
          <t>2026 Frozen Test</t>
        </is>
      </c>
      <c r="AM373" s="6" t="n">
        <v>0.1078591239286165</v>
      </c>
    </row>
    <row r="374">
      <c r="A374" s="2" t="inlineStr">
        <is>
          <t>KPROP-00775</t>
        </is>
      </c>
      <c r="B374" s="3" t="n">
        <v>46156.62891203703</v>
      </c>
      <c r="C374" s="3" t="n">
        <v>46156</v>
      </c>
      <c r="D374" s="2" t="inlineStr">
        <is>
          <t>Jacob Lopez</t>
        </is>
      </c>
      <c r="E374" s="2" t="n">
        <v>133</v>
      </c>
      <c r="F374" s="2" t="n">
        <v>138</v>
      </c>
      <c r="G374" s="2" t="inlineStr">
        <is>
          <t>Home</t>
        </is>
      </c>
      <c r="H374" s="2" t="inlineStr">
        <is>
          <t>betonlineag</t>
        </is>
      </c>
      <c r="I374" s="4" t="n"/>
      <c r="J374" s="4" t="n"/>
      <c r="K374" s="4" t="n">
        <v>110</v>
      </c>
      <c r="L374" s="4" t="n">
        <v>110</v>
      </c>
      <c r="M374" s="5" t="n">
        <v>4.5</v>
      </c>
      <c r="N374" s="5" t="n">
        <v>4.038143918917768</v>
      </c>
      <c r="O374" s="5" t="n">
        <v>4.5</v>
      </c>
      <c r="P374" s="5" t="n">
        <v>0.4618560810822316</v>
      </c>
      <c r="Q374" s="6" t="n">
        <v>0.3049091905603699</v>
      </c>
      <c r="R374" s="6" t="n">
        <v>0.6213853288382714</v>
      </c>
      <c r="S374" s="6" t="n">
        <v>0.468012022327179</v>
      </c>
      <c r="T374" s="2" t="inlineStr">
        <is>
          <t>Under</t>
        </is>
      </c>
      <c r="U374" s="4" t="n">
        <v>110</v>
      </c>
      <c r="V374" s="2" t="n">
        <v>2.1</v>
      </c>
      <c r="W374" s="4" t="n">
        <v>110</v>
      </c>
      <c r="X374" s="2" t="n">
        <v>1</v>
      </c>
      <c r="Y374" s="5" t="n">
        <v>1.1</v>
      </c>
      <c r="Z374" s="7" t="n">
        <v>100</v>
      </c>
      <c r="AA374" s="7">
        <f>Y374*Z374</f>
        <v/>
      </c>
      <c r="AB374" s="6">
        <f>IF(Z374=0,0,AA374/Z374)</f>
        <v/>
      </c>
      <c r="AC374" s="6" t="n"/>
      <c r="AD374" s="2" t="inlineStr">
        <is>
          <t>Win</t>
        </is>
      </c>
      <c r="AE374" s="6">
        <f>IF((COUNTIF($AD$2:AD374,"Win")+COUNTIF($AD$2:AD374,"Loss"))=0,0,COUNTIF($AD$2:AD374,"Win")/(COUNTIF($AD$2:AD374,"Win")+COUNTIF($AD$2:AD374,"Loss")))</f>
        <v/>
      </c>
      <c r="AF374" s="6">
        <f>SUM($Y$2:Y374)/SUM($X$2:X374)</f>
        <v/>
      </c>
      <c r="AG374" s="5">
        <f>SUM($Y$2:Y374)</f>
        <v/>
      </c>
      <c r="AH374" s="7">
        <f>10000.0+SUM($AA$2:AA374)</f>
        <v/>
      </c>
      <c r="AI374" s="2" t="n">
        <v>2026</v>
      </c>
      <c r="AJ374" s="2" t="inlineStr">
        <is>
          <t>2026-05</t>
        </is>
      </c>
      <c r="AK374" s="2" t="inlineStr">
        <is>
          <t>+100 to +120</t>
        </is>
      </c>
      <c r="AL374" s="2" t="inlineStr">
        <is>
          <t>2026 Frozen Test</t>
        </is>
      </c>
      <c r="AM374" s="6" t="n">
        <v>0.2771901732366999</v>
      </c>
    </row>
    <row r="375">
      <c r="A375" s="2" t="inlineStr">
        <is>
          <t>KPROP-00776</t>
        </is>
      </c>
      <c r="B375" s="3" t="n">
        <v>46156.78168981482</v>
      </c>
      <c r="C375" s="3" t="n">
        <v>46156</v>
      </c>
      <c r="D375" s="2" t="inlineStr">
        <is>
          <t>Jesús Luzardo</t>
        </is>
      </c>
      <c r="E375" s="2" t="n">
        <v>143</v>
      </c>
      <c r="F375" s="2" t="n">
        <v>111</v>
      </c>
      <c r="G375" s="2" t="inlineStr">
        <is>
          <t>Away</t>
        </is>
      </c>
      <c r="H375" s="2" t="inlineStr">
        <is>
          <t>bovada</t>
        </is>
      </c>
      <c r="I375" s="4" t="n"/>
      <c r="J375" s="4" t="n"/>
      <c r="K375" s="4" t="n">
        <v>115</v>
      </c>
      <c r="L375" s="4" t="n">
        <v>115</v>
      </c>
      <c r="M375" s="5" t="n">
        <v>6.5</v>
      </c>
      <c r="N375" s="5" t="n">
        <v>6.623557093516324</v>
      </c>
      <c r="O375" s="5" t="n">
        <v>6.5</v>
      </c>
      <c r="P375" s="5" t="n">
        <v>-0.1235570935163244</v>
      </c>
      <c r="Q375" s="6" t="n">
        <v>0.09040384285061942</v>
      </c>
      <c r="R375" s="6" t="n">
        <v>0.5071645780700555</v>
      </c>
      <c r="S375" s="6" t="n">
        <v>0.447405997144217</v>
      </c>
      <c r="T375" s="2" t="inlineStr">
        <is>
          <t>Under</t>
        </is>
      </c>
      <c r="U375" s="4" t="n">
        <v>115</v>
      </c>
      <c r="V375" s="2" t="n">
        <v>2.15</v>
      </c>
      <c r="W375" s="4" t="n">
        <v>115</v>
      </c>
      <c r="X375" s="2" t="n">
        <v>1</v>
      </c>
      <c r="Y375" s="5" t="n">
        <v>1.15</v>
      </c>
      <c r="Z375" s="7" t="n">
        <v>100</v>
      </c>
      <c r="AA375" s="7">
        <f>Y375*Z375</f>
        <v/>
      </c>
      <c r="AB375" s="6">
        <f>IF(Z375=0,0,AA375/Z375)</f>
        <v/>
      </c>
      <c r="AC375" s="6" t="n"/>
      <c r="AD375" s="2" t="inlineStr">
        <is>
          <t>Win</t>
        </is>
      </c>
      <c r="AE375" s="6">
        <f>IF((COUNTIF($AD$2:AD375,"Win")+COUNTIF($AD$2:AD375,"Loss"))=0,0,COUNTIF($AD$2:AD375,"Win")/(COUNTIF($AD$2:AD375,"Win")+COUNTIF($AD$2:AD375,"Loss")))</f>
        <v/>
      </c>
      <c r="AF375" s="6">
        <f>SUM($Y$2:Y375)/SUM($X$2:X375)</f>
        <v/>
      </c>
      <c r="AG375" s="5">
        <f>SUM($Y$2:Y375)</f>
        <v/>
      </c>
      <c r="AH375" s="7">
        <f>10000.0+SUM($AA$2:AA375)</f>
        <v/>
      </c>
      <c r="AI375" s="2" t="n">
        <v>2026</v>
      </c>
      <c r="AJ375" s="2" t="inlineStr">
        <is>
          <t>2026-05</t>
        </is>
      </c>
      <c r="AK375" s="2" t="inlineStr">
        <is>
          <t>+100 to +120</t>
        </is>
      </c>
      <c r="AL375" s="2" t="inlineStr">
        <is>
          <t>2026 Frozen Test</t>
        </is>
      </c>
      <c r="AM375" s="6" t="n">
        <v>0.0786120372614082</v>
      </c>
    </row>
    <row r="376">
      <c r="A376" s="2" t="inlineStr">
        <is>
          <t>KPROP-00777</t>
        </is>
      </c>
      <c r="B376" s="3" t="n">
        <v>46156.81987268518</v>
      </c>
      <c r="C376" s="3" t="n">
        <v>46156</v>
      </c>
      <c r="D376" s="2" t="inlineStr">
        <is>
          <t>Kris Bubic</t>
        </is>
      </c>
      <c r="E376" s="2" t="n">
        <v>118</v>
      </c>
      <c r="F376" s="2" t="n">
        <v>145</v>
      </c>
      <c r="G376" s="2" t="inlineStr">
        <is>
          <t>Away</t>
        </is>
      </c>
      <c r="H376" s="2" t="inlineStr">
        <is>
          <t>betmgm</t>
        </is>
      </c>
      <c r="I376" s="4" t="n"/>
      <c r="J376" s="4" t="n"/>
      <c r="K376" s="4" t="n">
        <v>-110</v>
      </c>
      <c r="L376" s="4" t="n">
        <v>-110</v>
      </c>
      <c r="M376" s="5" t="n">
        <v>5.5</v>
      </c>
      <c r="N376" s="5" t="n">
        <v>5.011666135358305</v>
      </c>
      <c r="O376" s="5" t="n">
        <v>5.5</v>
      </c>
      <c r="P376" s="5" t="n">
        <v>0.488333864641695</v>
      </c>
      <c r="Q376" s="6" t="n">
        <v>0.1720169453149499</v>
      </c>
      <c r="R376" s="6" t="n">
        <v>0.6139136380221166</v>
      </c>
      <c r="S376" s="6" t="n">
        <v>0.5044523597506678</v>
      </c>
      <c r="T376" s="2" t="inlineStr">
        <is>
          <t>Under</t>
        </is>
      </c>
      <c r="U376" s="4" t="n">
        <v>-110</v>
      </c>
      <c r="V376" s="2" t="n">
        <v>1.909090909090909</v>
      </c>
      <c r="W376" s="4" t="n">
        <v>-110</v>
      </c>
      <c r="X376" s="2" t="n">
        <v>1</v>
      </c>
      <c r="Y376" s="5" t="n">
        <v>0.9090909090909092</v>
      </c>
      <c r="Z376" s="7" t="n">
        <v>100</v>
      </c>
      <c r="AA376" s="7">
        <f>Y376*Z376</f>
        <v/>
      </c>
      <c r="AB376" s="6">
        <f>IF(Z376=0,0,AA376/Z376)</f>
        <v/>
      </c>
      <c r="AC376" s="6" t="n"/>
      <c r="AD376" s="2" t="inlineStr">
        <is>
          <t>Win</t>
        </is>
      </c>
      <c r="AE376" s="6">
        <f>IF((COUNTIF($AD$2:AD376,"Win")+COUNTIF($AD$2:AD376,"Loss"))=0,0,COUNTIF($AD$2:AD376,"Win")/(COUNTIF($AD$2:AD376,"Win")+COUNTIF($AD$2:AD376,"Loss")))</f>
        <v/>
      </c>
      <c r="AF376" s="6">
        <f>SUM($Y$2:Y376)/SUM($X$2:X376)</f>
        <v/>
      </c>
      <c r="AG376" s="5">
        <f>SUM($Y$2:Y376)</f>
        <v/>
      </c>
      <c r="AH376" s="7">
        <f>10000.0+SUM($AA$2:AA376)</f>
        <v/>
      </c>
      <c r="AI376" s="2" t="n">
        <v>2026</v>
      </c>
      <c r="AJ376" s="2" t="inlineStr">
        <is>
          <t>2026-05</t>
        </is>
      </c>
      <c r="AK376" s="2" t="inlineStr">
        <is>
          <t>-119 to -101</t>
        </is>
      </c>
      <c r="AL376" s="2" t="inlineStr">
        <is>
          <t>2026 Frozen Test</t>
        </is>
      </c>
      <c r="AM376" s="6" t="n">
        <v>0.1892186398464449</v>
      </c>
    </row>
    <row r="377">
      <c r="A377" s="2" t="inlineStr">
        <is>
          <t>KPROP-00778</t>
        </is>
      </c>
      <c r="B377" s="3" t="n">
        <v>46156.56987268518</v>
      </c>
      <c r="C377" s="3" t="n">
        <v>46156</v>
      </c>
      <c r="D377" s="2" t="inlineStr">
        <is>
          <t>Kyle Harrison</t>
        </is>
      </c>
      <c r="E377" s="2" t="n">
        <v>158</v>
      </c>
      <c r="F377" s="2" t="n">
        <v>135</v>
      </c>
      <c r="G377" s="2" t="inlineStr">
        <is>
          <t>Home</t>
        </is>
      </c>
      <c r="H377" s="2" t="inlineStr">
        <is>
          <t>fanduel</t>
        </is>
      </c>
      <c r="I377" s="4" t="n"/>
      <c r="J377" s="4" t="n"/>
      <c r="K377" s="4" t="n">
        <v>114</v>
      </c>
      <c r="L377" s="4" t="n">
        <v>114</v>
      </c>
      <c r="M377" s="5" t="n">
        <v>5.5</v>
      </c>
      <c r="N377" s="5" t="n">
        <v>5.250905245931424</v>
      </c>
      <c r="O377" s="5" t="n">
        <v>5.5</v>
      </c>
      <c r="P377" s="5" t="n">
        <v>0.249094754068576</v>
      </c>
      <c r="Q377" s="6" t="n">
        <v>0.2241333747422903</v>
      </c>
      <c r="R377" s="6" t="n">
        <v>0.57202494146836</v>
      </c>
      <c r="S377" s="6" t="n">
        <v>0.4525777253049981</v>
      </c>
      <c r="T377" s="2" t="inlineStr">
        <is>
          <t>Under</t>
        </is>
      </c>
      <c r="U377" s="4" t="n">
        <v>114</v>
      </c>
      <c r="V377" s="2" t="n">
        <v>2.14</v>
      </c>
      <c r="W377" s="4" t="n">
        <v>114</v>
      </c>
      <c r="X377" s="2" t="n">
        <v>1</v>
      </c>
      <c r="Y377" s="5" t="n">
        <v>-1</v>
      </c>
      <c r="Z377" s="7" t="n">
        <v>100</v>
      </c>
      <c r="AA377" s="7">
        <f>Y377*Z377</f>
        <v/>
      </c>
      <c r="AB377" s="6">
        <f>IF(Z377=0,0,AA377/Z377)</f>
        <v/>
      </c>
      <c r="AC377" s="6" t="n"/>
      <c r="AD377" s="2" t="inlineStr">
        <is>
          <t>Loss</t>
        </is>
      </c>
      <c r="AE377" s="6">
        <f>IF((COUNTIF($AD$2:AD377,"Win")+COUNTIF($AD$2:AD377,"Loss"))=0,0,COUNTIF($AD$2:AD377,"Win")/(COUNTIF($AD$2:AD377,"Win")+COUNTIF($AD$2:AD377,"Loss")))</f>
        <v/>
      </c>
      <c r="AF377" s="6">
        <f>SUM($Y$2:Y377)/SUM($X$2:X377)</f>
        <v/>
      </c>
      <c r="AG377" s="5">
        <f>SUM($Y$2:Y377)</f>
        <v/>
      </c>
      <c r="AH377" s="7">
        <f>10000.0+SUM($AA$2:AA377)</f>
        <v/>
      </c>
      <c r="AI377" s="2" t="n">
        <v>2026</v>
      </c>
      <c r="AJ377" s="2" t="inlineStr">
        <is>
          <t>2026-05</t>
        </is>
      </c>
      <c r="AK377" s="2" t="inlineStr">
        <is>
          <t>+100 to +120</t>
        </is>
      </c>
      <c r="AL377" s="2" t="inlineStr">
        <is>
          <t>2026 Frozen Test</t>
        </is>
      </c>
      <c r="AM377" s="6" t="n">
        <v>0.1966082234581494</v>
      </c>
    </row>
    <row r="378">
      <c r="A378" s="2" t="inlineStr">
        <is>
          <t>KPROP-00779</t>
        </is>
      </c>
      <c r="B378" s="3" t="n">
        <v>46156.78168981482</v>
      </c>
      <c r="C378" s="3" t="n">
        <v>46156</v>
      </c>
      <c r="D378" s="2" t="inlineStr">
        <is>
          <t>Ranger Suarez</t>
        </is>
      </c>
      <c r="E378" s="2" t="n">
        <v>111</v>
      </c>
      <c r="F378" s="2" t="n">
        <v>143</v>
      </c>
      <c r="G378" s="2" t="inlineStr">
        <is>
          <t>Home</t>
        </is>
      </c>
      <c r="H378" s="2" t="inlineStr">
        <is>
          <t>draftkings</t>
        </is>
      </c>
      <c r="I378" s="4" t="n"/>
      <c r="J378" s="4" t="n"/>
      <c r="K378" s="4" t="n">
        <v>120</v>
      </c>
      <c r="L378" s="4" t="n">
        <v>120</v>
      </c>
      <c r="M378" s="5" t="n">
        <v>4.5</v>
      </c>
      <c r="N378" s="5" t="n">
        <v>4.702649531422391</v>
      </c>
      <c r="O378" s="5" t="n">
        <v>4.5</v>
      </c>
      <c r="P378" s="5" t="n">
        <v>-0.2026495314223906</v>
      </c>
      <c r="Q378" s="6" t="n">
        <v>0.08706161891549102</v>
      </c>
      <c r="R378" s="6" t="n">
        <v>0.4941189176888595</v>
      </c>
      <c r="S378" s="6" t="n">
        <v>0.4316920943134536</v>
      </c>
      <c r="T378" s="2" t="inlineStr">
        <is>
          <t>Under</t>
        </is>
      </c>
      <c r="U378" s="4" t="n">
        <v>120</v>
      </c>
      <c r="V378" s="2" t="n">
        <v>2.2</v>
      </c>
      <c r="W378" s="4" t="n">
        <v>120</v>
      </c>
      <c r="X378" s="2" t="n">
        <v>1</v>
      </c>
      <c r="Y378" s="5" t="n">
        <v>-1</v>
      </c>
      <c r="Z378" s="7" t="n">
        <v>100</v>
      </c>
      <c r="AA378" s="7">
        <f>Y378*Z378</f>
        <v/>
      </c>
      <c r="AB378" s="6">
        <f>IF(Z378=0,0,AA378/Z378)</f>
        <v/>
      </c>
      <c r="AC378" s="6" t="n"/>
      <c r="AD378" s="2" t="inlineStr">
        <is>
          <t>Loss</t>
        </is>
      </c>
      <c r="AE378" s="6">
        <f>IF((COUNTIF($AD$2:AD378,"Win")+COUNTIF($AD$2:AD378,"Loss"))=0,0,COUNTIF($AD$2:AD378,"Win")/(COUNTIF($AD$2:AD378,"Win")+COUNTIF($AD$2:AD378,"Loss")))</f>
        <v/>
      </c>
      <c r="AF378" s="6">
        <f>SUM($Y$2:Y378)/SUM($X$2:X378)</f>
        <v/>
      </c>
      <c r="AG378" s="5">
        <f>SUM($Y$2:Y378)</f>
        <v/>
      </c>
      <c r="AH378" s="7">
        <f>10000.0+SUM($AA$2:AA378)</f>
        <v/>
      </c>
      <c r="AI378" s="2" t="n">
        <v>2026</v>
      </c>
      <c r="AJ378" s="2" t="inlineStr">
        <is>
          <t>2026-05</t>
        </is>
      </c>
      <c r="AK378" s="2" t="inlineStr">
        <is>
          <t>+100 to +120</t>
        </is>
      </c>
      <c r="AL378" s="2" t="inlineStr">
        <is>
          <t>2026 Frozen Test</t>
        </is>
      </c>
      <c r="AM378" s="6" t="n">
        <v>0.07255134909624252</v>
      </c>
    </row>
    <row r="379">
      <c r="A379" s="2" t="inlineStr">
        <is>
          <t>KPROP-00780</t>
        </is>
      </c>
      <c r="B379" s="3" t="n">
        <v>46156.78168981482</v>
      </c>
      <c r="C379" s="3" t="n">
        <v>46156</v>
      </c>
      <c r="D379" s="2" t="inlineStr">
        <is>
          <t>Ranger Suarez</t>
        </is>
      </c>
      <c r="E379" s="2" t="n">
        <v>111</v>
      </c>
      <c r="F379" s="2" t="n">
        <v>143</v>
      </c>
      <c r="G379" s="2" t="inlineStr">
        <is>
          <t>Home</t>
        </is>
      </c>
      <c r="H379" s="2" t="inlineStr">
        <is>
          <t>fanduel</t>
        </is>
      </c>
      <c r="I379" s="4" t="n"/>
      <c r="J379" s="4" t="n"/>
      <c r="K379" s="4" t="n">
        <v>-164</v>
      </c>
      <c r="L379" s="4" t="n">
        <v>-164</v>
      </c>
      <c r="M379" s="5" t="n">
        <v>5.5</v>
      </c>
      <c r="N379" s="5" t="n">
        <v>4.702649531422391</v>
      </c>
      <c r="O379" s="5" t="n">
        <v>5.5</v>
      </c>
      <c r="P379" s="5" t="n">
        <v>0.7973504685776094</v>
      </c>
      <c r="Q379" s="6" t="n">
        <v>0.07528146411337078</v>
      </c>
      <c r="R379" s="6" t="n">
        <v>0.6679778792219424</v>
      </c>
      <c r="S379" s="6" t="n">
        <v>0.5985401459854015</v>
      </c>
      <c r="T379" s="2" t="inlineStr">
        <is>
          <t>Under</t>
        </is>
      </c>
      <c r="U379" s="4" t="n">
        <v>-164</v>
      </c>
      <c r="V379" s="2" t="n">
        <v>1.609756097560976</v>
      </c>
      <c r="W379" s="4" t="n">
        <v>-164</v>
      </c>
      <c r="X379" s="2" t="n">
        <v>1</v>
      </c>
      <c r="Y379" s="5" t="n">
        <v>-1</v>
      </c>
      <c r="Z379" s="7" t="n">
        <v>100</v>
      </c>
      <c r="AA379" s="7">
        <f>Y379*Z379</f>
        <v/>
      </c>
      <c r="AB379" s="6">
        <f>IF(Z379=0,0,AA379/Z379)</f>
        <v/>
      </c>
      <c r="AC379" s="6" t="n"/>
      <c r="AD379" s="2" t="inlineStr">
        <is>
          <t>Loss</t>
        </is>
      </c>
      <c r="AE379" s="6">
        <f>IF((COUNTIF($AD$2:AD379,"Win")+COUNTIF($AD$2:AD379,"Loss"))=0,0,COUNTIF($AD$2:AD379,"Win")/(COUNTIF($AD$2:AD379,"Win")+COUNTIF($AD$2:AD379,"Loss")))</f>
        <v/>
      </c>
      <c r="AF379" s="6">
        <f>SUM($Y$2:Y379)/SUM($X$2:X379)</f>
        <v/>
      </c>
      <c r="AG379" s="5">
        <f>SUM($Y$2:Y379)</f>
        <v/>
      </c>
      <c r="AH379" s="7">
        <f>10000.0+SUM($AA$2:AA379)</f>
        <v/>
      </c>
      <c r="AI379" s="2" t="n">
        <v>2026</v>
      </c>
      <c r="AJ379" s="2" t="inlineStr">
        <is>
          <t>2026-05</t>
        </is>
      </c>
      <c r="AK379" s="2" t="inlineStr">
        <is>
          <t>&lt;= -150</t>
        </is>
      </c>
      <c r="AL379" s="2" t="inlineStr">
        <is>
          <t>2026 Frozen Test</t>
        </is>
      </c>
      <c r="AM379" s="6" t="n">
        <v>0.1234616011459281</v>
      </c>
    </row>
    <row r="380">
      <c r="A380" s="2" t="inlineStr">
        <is>
          <t>KPROP-00781</t>
        </is>
      </c>
      <c r="B380" s="3" t="n">
        <v>46157.79905092593</v>
      </c>
      <c r="C380" s="3" t="n">
        <v>46157</v>
      </c>
      <c r="D380" s="2" t="inlineStr">
        <is>
          <t>Andrew Abbott</t>
        </is>
      </c>
      <c r="E380" s="2" t="n">
        <v>113</v>
      </c>
      <c r="F380" s="2" t="n">
        <v>114</v>
      </c>
      <c r="G380" s="2" t="inlineStr">
        <is>
          <t>Away</t>
        </is>
      </c>
      <c r="H380" s="2" t="inlineStr">
        <is>
          <t>betrivers</t>
        </is>
      </c>
      <c r="I380" s="4" t="n"/>
      <c r="J380" s="4" t="n"/>
      <c r="K380" s="4" t="n">
        <v>155</v>
      </c>
      <c r="L380" s="4" t="n">
        <v>155</v>
      </c>
      <c r="M380" s="5" t="n">
        <v>3.5</v>
      </c>
      <c r="N380" s="5" t="n">
        <v>3.969003047058259</v>
      </c>
      <c r="O380" s="5" t="n">
        <v>3.5</v>
      </c>
      <c r="P380" s="5" t="n">
        <v>-0.4690030470582593</v>
      </c>
      <c r="Q380" s="6" t="n">
        <v>0.1208505550886476</v>
      </c>
      <c r="R380" s="6" t="n">
        <v>0.4395492372896658</v>
      </c>
      <c r="S380" s="6" t="n">
        <v>0.391557051085959</v>
      </c>
      <c r="T380" s="2" t="inlineStr">
        <is>
          <t>Under</t>
        </is>
      </c>
      <c r="U380" s="4" t="n">
        <v>155</v>
      </c>
      <c r="V380" s="2" t="n">
        <v>2.55</v>
      </c>
      <c r="W380" s="4" t="n">
        <v>155</v>
      </c>
      <c r="X380" s="2" t="n">
        <v>1</v>
      </c>
      <c r="Y380" s="5" t="n">
        <v>1.55</v>
      </c>
      <c r="Z380" s="7" t="n">
        <v>100</v>
      </c>
      <c r="AA380" s="7">
        <f>Y380*Z380</f>
        <v/>
      </c>
      <c r="AB380" s="6">
        <f>IF(Z380=0,0,AA380/Z380)</f>
        <v/>
      </c>
      <c r="AC380" s="6" t="n"/>
      <c r="AD380" s="2" t="inlineStr">
        <is>
          <t>Win</t>
        </is>
      </c>
      <c r="AE380" s="6">
        <f>IF((COUNTIF($AD$2:AD380,"Win")+COUNTIF($AD$2:AD380,"Loss"))=0,0,COUNTIF($AD$2:AD380,"Win")/(COUNTIF($AD$2:AD380,"Win")+COUNTIF($AD$2:AD380,"Loss")))</f>
        <v/>
      </c>
      <c r="AF380" s="6">
        <f>SUM($Y$2:Y380)/SUM($X$2:X380)</f>
        <v/>
      </c>
      <c r="AG380" s="5">
        <f>SUM($Y$2:Y380)</f>
        <v/>
      </c>
      <c r="AH380" s="7">
        <f>10000.0+SUM($AA$2:AA380)</f>
        <v/>
      </c>
      <c r="AI380" s="2" t="n">
        <v>2026</v>
      </c>
      <c r="AJ380" s="2" t="inlineStr">
        <is>
          <t>2026-05</t>
        </is>
      </c>
      <c r="AK380" s="2" t="inlineStr">
        <is>
          <t>&gt;= +151</t>
        </is>
      </c>
      <c r="AL380" s="2" t="inlineStr">
        <is>
          <t>2026 Frozen Test</t>
        </is>
      </c>
      <c r="AM380" s="6" t="n">
        <v>0.07796810005719201</v>
      </c>
    </row>
    <row r="381">
      <c r="A381" s="2" t="inlineStr">
        <is>
          <t>KPROP-00782</t>
        </is>
      </c>
      <c r="B381" s="3" t="n">
        <v>46157.79905092593</v>
      </c>
      <c r="C381" s="3" t="n">
        <v>46157</v>
      </c>
      <c r="D381" s="2" t="inlineStr">
        <is>
          <t>Andrew Abbott</t>
        </is>
      </c>
      <c r="E381" s="2" t="n">
        <v>113</v>
      </c>
      <c r="F381" s="2" t="n">
        <v>114</v>
      </c>
      <c r="G381" s="2" t="inlineStr">
        <is>
          <t>Away</t>
        </is>
      </c>
      <c r="H381" s="2" t="inlineStr">
        <is>
          <t>betrivers</t>
        </is>
      </c>
      <c r="I381" s="4" t="n"/>
      <c r="J381" s="4" t="n"/>
      <c r="K381" s="4" t="n">
        <v>-143</v>
      </c>
      <c r="L381" s="4" t="n">
        <v>-143</v>
      </c>
      <c r="M381" s="5" t="n">
        <v>4.5</v>
      </c>
      <c r="N381" s="5" t="n">
        <v>3.969003047058259</v>
      </c>
      <c r="O381" s="5" t="n">
        <v>4.5</v>
      </c>
      <c r="P381" s="5" t="n">
        <v>0.5309969529417407</v>
      </c>
      <c r="Q381" s="6" t="n">
        <v>0.07887321446977191</v>
      </c>
      <c r="R381" s="6" t="n">
        <v>0.6348924677743926</v>
      </c>
      <c r="S381" s="6" t="n">
        <v>0.5803471202832224</v>
      </c>
      <c r="T381" s="2" t="inlineStr">
        <is>
          <t>Under</t>
        </is>
      </c>
      <c r="U381" s="4" t="n">
        <v>-143</v>
      </c>
      <c r="V381" s="2" t="n">
        <v>1.699300699300699</v>
      </c>
      <c r="W381" s="4" t="n">
        <v>-143</v>
      </c>
      <c r="X381" s="2" t="n">
        <v>1</v>
      </c>
      <c r="Y381" s="5" t="n">
        <v>0.6993006993006992</v>
      </c>
      <c r="Z381" s="7" t="n">
        <v>100</v>
      </c>
      <c r="AA381" s="7">
        <f>Y381*Z381</f>
        <v/>
      </c>
      <c r="AB381" s="6">
        <f>IF(Z381=0,0,AA381/Z381)</f>
        <v/>
      </c>
      <c r="AC381" s="6" t="n"/>
      <c r="AD381" s="2" t="inlineStr">
        <is>
          <t>Win</t>
        </is>
      </c>
      <c r="AE381" s="6">
        <f>IF((COUNTIF($AD$2:AD381,"Win")+COUNTIF($AD$2:AD381,"Loss"))=0,0,COUNTIF($AD$2:AD381,"Win")/(COUNTIF($AD$2:AD381,"Win")+COUNTIF($AD$2:AD381,"Loss")))</f>
        <v/>
      </c>
      <c r="AF381" s="6">
        <f>SUM($Y$2:Y381)/SUM($X$2:X381)</f>
        <v/>
      </c>
      <c r="AG381" s="5">
        <f>SUM($Y$2:Y381)</f>
        <v/>
      </c>
      <c r="AH381" s="7">
        <f>10000.0+SUM($AA$2:AA381)</f>
        <v/>
      </c>
      <c r="AI381" s="2" t="n">
        <v>2026</v>
      </c>
      <c r="AJ381" s="2" t="inlineStr">
        <is>
          <t>2026-05</t>
        </is>
      </c>
      <c r="AK381" s="2" t="inlineStr">
        <is>
          <t>-149 to -120</t>
        </is>
      </c>
      <c r="AL381" s="2" t="inlineStr">
        <is>
          <t>2026 Frozen Test</t>
        </is>
      </c>
      <c r="AM381" s="6" t="n">
        <v>0.1127886966917739</v>
      </c>
    </row>
    <row r="382">
      <c r="A382" s="2" t="inlineStr">
        <is>
          <t>KPROP-00783</t>
        </is>
      </c>
      <c r="B382" s="3" t="n">
        <v>46157.79905092593</v>
      </c>
      <c r="C382" s="3" t="n">
        <v>46157</v>
      </c>
      <c r="D382" s="2" t="inlineStr">
        <is>
          <t>Joe Ryan</t>
        </is>
      </c>
      <c r="E382" s="2" t="n">
        <v>142</v>
      </c>
      <c r="F382" s="2" t="n">
        <v>158</v>
      </c>
      <c r="G382" s="2" t="inlineStr">
        <is>
          <t>Home</t>
        </is>
      </c>
      <c r="H382" s="2" t="inlineStr">
        <is>
          <t>fanduel</t>
        </is>
      </c>
      <c r="I382" s="4" t="n"/>
      <c r="J382" s="4" t="n"/>
      <c r="K382" s="4" t="n">
        <v>-120</v>
      </c>
      <c r="L382" s="4" t="n">
        <v>-120</v>
      </c>
      <c r="M382" s="5" t="n">
        <v>5.5</v>
      </c>
      <c r="N382" s="5" t="n">
        <v>5.172038055904529</v>
      </c>
      <c r="O382" s="5" t="n">
        <v>5.5</v>
      </c>
      <c r="P382" s="5" t="n">
        <v>0.3279619440954713</v>
      </c>
      <c r="Q382" s="6" t="n">
        <v>0.07397188038367863</v>
      </c>
      <c r="R382" s="6" t="n">
        <v>0.5858028438456429</v>
      </c>
      <c r="S382" s="6" t="n">
        <v>0.5315161839863713</v>
      </c>
      <c r="T382" s="2" t="inlineStr">
        <is>
          <t>Under</t>
        </is>
      </c>
      <c r="U382" s="4" t="n">
        <v>-120</v>
      </c>
      <c r="V382" s="2" t="n">
        <v>1.833333333333333</v>
      </c>
      <c r="W382" s="4" t="n">
        <v>-120</v>
      </c>
      <c r="X382" s="2" t="n">
        <v>1</v>
      </c>
      <c r="Y382" s="5" t="n">
        <v>-1</v>
      </c>
      <c r="Z382" s="7" t="n">
        <v>100</v>
      </c>
      <c r="AA382" s="7">
        <f>Y382*Z382</f>
        <v/>
      </c>
      <c r="AB382" s="6">
        <f>IF(Z382=0,0,AA382/Z382)</f>
        <v/>
      </c>
      <c r="AC382" s="6" t="n"/>
      <c r="AD382" s="2" t="inlineStr">
        <is>
          <t>Loss</t>
        </is>
      </c>
      <c r="AE382" s="6">
        <f>IF((COUNTIF($AD$2:AD382,"Win")+COUNTIF($AD$2:AD382,"Loss"))=0,0,COUNTIF($AD$2:AD382,"Win")/(COUNTIF($AD$2:AD382,"Win")+COUNTIF($AD$2:AD382,"Loss")))</f>
        <v/>
      </c>
      <c r="AF382" s="6">
        <f>SUM($Y$2:Y382)/SUM($X$2:X382)</f>
        <v/>
      </c>
      <c r="AG382" s="5">
        <f>SUM($Y$2:Y382)</f>
        <v/>
      </c>
      <c r="AH382" s="7">
        <f>10000.0+SUM($AA$2:AA382)</f>
        <v/>
      </c>
      <c r="AI382" s="2" t="n">
        <v>2026</v>
      </c>
      <c r="AJ382" s="2" t="inlineStr">
        <is>
          <t>2026-05</t>
        </is>
      </c>
      <c r="AK382" s="2" t="inlineStr">
        <is>
          <t>-149 to -120</t>
        </is>
      </c>
      <c r="AL382" s="2" t="inlineStr">
        <is>
          <t>2026 Frozen Test</t>
        </is>
      </c>
      <c r="AM382" s="6" t="n">
        <v>0.08876625646041435</v>
      </c>
    </row>
    <row r="383">
      <c r="A383" s="2" t="inlineStr">
        <is>
          <t>KPROP-00784</t>
        </is>
      </c>
      <c r="B383" s="3" t="n">
        <v>46157.78167824074</v>
      </c>
      <c r="C383" s="3" t="n">
        <v>46157</v>
      </c>
      <c r="D383" s="2" t="inlineStr">
        <is>
          <t>Shane Baz</t>
        </is>
      </c>
      <c r="E383" s="2" t="n">
        <v>110</v>
      </c>
      <c r="F383" s="2" t="n">
        <v>120</v>
      </c>
      <c r="G383" s="2" t="inlineStr">
        <is>
          <t>Away</t>
        </is>
      </c>
      <c r="H383" s="2" t="inlineStr">
        <is>
          <t>betmgm</t>
        </is>
      </c>
      <c r="I383" s="4" t="n"/>
      <c r="J383" s="4" t="n"/>
      <c r="K383" s="4" t="n">
        <v>-155</v>
      </c>
      <c r="L383" s="4" t="n">
        <v>-155</v>
      </c>
      <c r="M383" s="5" t="n">
        <v>5.5</v>
      </c>
      <c r="N383" s="5" t="n">
        <v>4.777399938124153</v>
      </c>
      <c r="O383" s="5" t="n">
        <v>5.5</v>
      </c>
      <c r="P383" s="5" t="n">
        <v>0.7226000618758466</v>
      </c>
      <c r="Q383" s="6" t="n">
        <v>0.07750466135840223</v>
      </c>
      <c r="R383" s="6" t="n">
        <v>0.654953813766872</v>
      </c>
      <c r="S383" s="6" t="n">
        <v>0.5861397386999919</v>
      </c>
      <c r="T383" s="2" t="inlineStr">
        <is>
          <t>Under</t>
        </is>
      </c>
      <c r="U383" s="4" t="n">
        <v>-155</v>
      </c>
      <c r="V383" s="2" t="n">
        <v>1.645161290322581</v>
      </c>
      <c r="W383" s="4" t="n">
        <v>-155</v>
      </c>
      <c r="X383" s="2" t="n">
        <v>1</v>
      </c>
      <c r="Y383" s="5" t="n">
        <v>0.6451612903225805</v>
      </c>
      <c r="Z383" s="7" t="n">
        <v>100</v>
      </c>
      <c r="AA383" s="7">
        <f>Y383*Z383</f>
        <v/>
      </c>
      <c r="AB383" s="6">
        <f>IF(Z383=0,0,AA383/Z383)</f>
        <v/>
      </c>
      <c r="AC383" s="6" t="n"/>
      <c r="AD383" s="2" t="inlineStr">
        <is>
          <t>Win</t>
        </is>
      </c>
      <c r="AE383" s="6">
        <f>IF((COUNTIF($AD$2:AD383,"Win")+COUNTIF($AD$2:AD383,"Loss"))=0,0,COUNTIF($AD$2:AD383,"Win")/(COUNTIF($AD$2:AD383,"Win")+COUNTIF($AD$2:AD383,"Loss")))</f>
        <v/>
      </c>
      <c r="AF383" s="6">
        <f>SUM($Y$2:Y383)/SUM($X$2:X383)</f>
        <v/>
      </c>
      <c r="AG383" s="5">
        <f>SUM($Y$2:Y383)</f>
        <v/>
      </c>
      <c r="AH383" s="7">
        <f>10000.0+SUM($AA$2:AA383)</f>
        <v/>
      </c>
      <c r="AI383" s="2" t="n">
        <v>2026</v>
      </c>
      <c r="AJ383" s="2" t="inlineStr">
        <is>
          <t>2026-05</t>
        </is>
      </c>
      <c r="AK383" s="2" t="inlineStr">
        <is>
          <t>&lt;= -150</t>
        </is>
      </c>
      <c r="AL383" s="2" t="inlineStr">
        <is>
          <t>2026 Frozen Test</t>
        </is>
      </c>
      <c r="AM383" s="6" t="n">
        <v>0.1201322251055235</v>
      </c>
    </row>
    <row r="384">
      <c r="A384" s="2" t="inlineStr">
        <is>
          <t>KPROP-00785</t>
        </is>
      </c>
      <c r="B384" s="3" t="n">
        <v>46157.80252314815</v>
      </c>
      <c r="C384" s="3" t="n">
        <v>46157</v>
      </c>
      <c r="D384" s="2" t="inlineStr">
        <is>
          <t>Spencer Strider</t>
        </is>
      </c>
      <c r="E384" s="2" t="n">
        <v>144</v>
      </c>
      <c r="F384" s="2" t="n">
        <v>111</v>
      </c>
      <c r="G384" s="2" t="inlineStr">
        <is>
          <t>Home</t>
        </is>
      </c>
      <c r="H384" s="2" t="inlineStr">
        <is>
          <t>betmgm</t>
        </is>
      </c>
      <c r="I384" s="4" t="n"/>
      <c r="J384" s="4" t="n"/>
      <c r="K384" s="4" t="n">
        <v>-125</v>
      </c>
      <c r="L384" s="4" t="n">
        <v>-125</v>
      </c>
      <c r="M384" s="5" t="n">
        <v>6.5</v>
      </c>
      <c r="N384" s="5" t="n">
        <v>5.7431067527412</v>
      </c>
      <c r="O384" s="5" t="n">
        <v>6.5</v>
      </c>
      <c r="P384" s="5" t="n">
        <v>0.7568932472587999</v>
      </c>
      <c r="Q384" s="6" t="n">
        <v>0.1654794966225249</v>
      </c>
      <c r="R384" s="6" t="n">
        <v>0.6474886092347361</v>
      </c>
      <c r="S384" s="6" t="n">
        <v>0.5384615384615385</v>
      </c>
      <c r="T384" s="2" t="inlineStr">
        <is>
          <t>Under</t>
        </is>
      </c>
      <c r="U384" s="4" t="n">
        <v>-125</v>
      </c>
      <c r="V384" s="2" t="n">
        <v>1.8</v>
      </c>
      <c r="W384" s="4" t="n">
        <v>-125</v>
      </c>
      <c r="X384" s="2" t="n">
        <v>1</v>
      </c>
      <c r="Y384" s="5" t="n">
        <v>0.8</v>
      </c>
      <c r="Z384" s="7" t="n">
        <v>100</v>
      </c>
      <c r="AA384" s="7">
        <f>Y384*Z384</f>
        <v/>
      </c>
      <c r="AB384" s="6">
        <f>IF(Z384=0,0,AA384/Z384)</f>
        <v/>
      </c>
      <c r="AC384" s="6" t="n"/>
      <c r="AD384" s="2" t="inlineStr">
        <is>
          <t>Win</t>
        </is>
      </c>
      <c r="AE384" s="6">
        <f>IF((COUNTIF($AD$2:AD384,"Win")+COUNTIF($AD$2:AD384,"Loss"))=0,0,COUNTIF($AD$2:AD384,"Win")/(COUNTIF($AD$2:AD384,"Win")+COUNTIF($AD$2:AD384,"Loss")))</f>
        <v/>
      </c>
      <c r="AF384" s="6">
        <f>SUM($Y$2:Y384)/SUM($X$2:X384)</f>
        <v/>
      </c>
      <c r="AG384" s="5">
        <f>SUM($Y$2:Y384)</f>
        <v/>
      </c>
      <c r="AH384" s="7">
        <f>10000.0+SUM($AA$2:AA384)</f>
        <v/>
      </c>
      <c r="AI384" s="2" t="n">
        <v>2026</v>
      </c>
      <c r="AJ384" s="2" t="inlineStr">
        <is>
          <t>2026-05</t>
        </is>
      </c>
      <c r="AK384" s="2" t="inlineStr">
        <is>
          <t>-149 to -120</t>
        </is>
      </c>
      <c r="AL384" s="2" t="inlineStr">
        <is>
          <t>2026 Frozen Test</t>
        </is>
      </c>
      <c r="AM384" s="6" t="n">
        <v>0.2068493707781562</v>
      </c>
    </row>
    <row r="385">
      <c r="A385" s="2" t="inlineStr">
        <is>
          <t>KPROP-00786</t>
        </is>
      </c>
      <c r="B385" s="3" t="n">
        <v>46157.79905092593</v>
      </c>
      <c r="C385" s="3" t="n">
        <v>46157</v>
      </c>
      <c r="D385" s="2" t="inlineStr">
        <is>
          <t>Tanner Bibee</t>
        </is>
      </c>
      <c r="E385" s="2" t="n">
        <v>114</v>
      </c>
      <c r="F385" s="2" t="n">
        <v>113</v>
      </c>
      <c r="G385" s="2" t="inlineStr">
        <is>
          <t>Home</t>
        </is>
      </c>
      <c r="H385" s="2" t="inlineStr">
        <is>
          <t>betrivers</t>
        </is>
      </c>
      <c r="I385" s="4" t="n"/>
      <c r="J385" s="4" t="n"/>
      <c r="K385" s="4" t="n">
        <v>132</v>
      </c>
      <c r="L385" s="4" t="n">
        <v>132</v>
      </c>
      <c r="M385" s="5" t="n">
        <v>5.5</v>
      </c>
      <c r="N385" s="5" t="n">
        <v>5.573061179259208</v>
      </c>
      <c r="O385" s="5" t="n">
        <v>5.5</v>
      </c>
      <c r="P385" s="5" t="n">
        <v>-0.07306117925920841</v>
      </c>
      <c r="Q385" s="6" t="n">
        <v>0.1981390972499222</v>
      </c>
      <c r="R385" s="6" t="n">
        <v>0.5164392660560009</v>
      </c>
      <c r="S385" s="6" t="n">
        <v>0.4155215285957335</v>
      </c>
      <c r="T385" s="2" t="inlineStr">
        <is>
          <t>Under</t>
        </is>
      </c>
      <c r="U385" s="4" t="n">
        <v>132</v>
      </c>
      <c r="V385" s="2" t="n">
        <v>2.32</v>
      </c>
      <c r="W385" s="4" t="n">
        <v>132</v>
      </c>
      <c r="X385" s="2" t="n">
        <v>1</v>
      </c>
      <c r="Y385" s="5" t="n">
        <v>1.32</v>
      </c>
      <c r="Z385" s="7" t="n">
        <v>100</v>
      </c>
      <c r="AA385" s="7">
        <f>Y385*Z385</f>
        <v/>
      </c>
      <c r="AB385" s="6">
        <f>IF(Z385=0,0,AA385/Z385)</f>
        <v/>
      </c>
      <c r="AC385" s="6" t="n"/>
      <c r="AD385" s="2" t="inlineStr">
        <is>
          <t>Win</t>
        </is>
      </c>
      <c r="AE385" s="6">
        <f>IF((COUNTIF($AD$2:AD385,"Win")+COUNTIF($AD$2:AD385,"Loss"))=0,0,COUNTIF($AD$2:AD385,"Win")/(COUNTIF($AD$2:AD385,"Win")+COUNTIF($AD$2:AD385,"Loss")))</f>
        <v/>
      </c>
      <c r="AF385" s="6">
        <f>SUM($Y$2:Y385)/SUM($X$2:X385)</f>
        <v/>
      </c>
      <c r="AG385" s="5">
        <f>SUM($Y$2:Y385)</f>
        <v/>
      </c>
      <c r="AH385" s="7">
        <f>10000.0+SUM($AA$2:AA385)</f>
        <v/>
      </c>
      <c r="AI385" s="2" t="n">
        <v>2026</v>
      </c>
      <c r="AJ385" s="2" t="inlineStr">
        <is>
          <t>2026-05</t>
        </is>
      </c>
      <c r="AK385" s="2" t="inlineStr">
        <is>
          <t>+121 to +150</t>
        </is>
      </c>
      <c r="AL385" s="2" t="inlineStr">
        <is>
          <t>2026 Frozen Test</t>
        </is>
      </c>
      <c r="AM385" s="6" t="n">
        <v>0.1501053767044865</v>
      </c>
    </row>
    <row r="386">
      <c r="A386" s="2" t="inlineStr">
        <is>
          <t>KPROP-00787</t>
        </is>
      </c>
      <c r="B386" s="3" t="n">
        <v>46157.79905092593</v>
      </c>
      <c r="C386" s="3" t="n">
        <v>46157</v>
      </c>
      <c r="D386" s="2" t="inlineStr">
        <is>
          <t>Tanner Bibee</t>
        </is>
      </c>
      <c r="E386" s="2" t="n">
        <v>114</v>
      </c>
      <c r="F386" s="2" t="n">
        <v>113</v>
      </c>
      <c r="G386" s="2" t="inlineStr">
        <is>
          <t>Home</t>
        </is>
      </c>
      <c r="H386" s="2" t="inlineStr">
        <is>
          <t>fanatics</t>
        </is>
      </c>
      <c r="I386" s="4" t="n"/>
      <c r="J386" s="4" t="n"/>
      <c r="K386" s="4" t="n">
        <v>-150</v>
      </c>
      <c r="L386" s="4" t="n">
        <v>-150</v>
      </c>
      <c r="M386" s="5" t="n">
        <v>6.5</v>
      </c>
      <c r="N386" s="5" t="n">
        <v>5.573061179259208</v>
      </c>
      <c r="O386" s="5" t="n">
        <v>6.5</v>
      </c>
      <c r="P386" s="5" t="n">
        <v>0.9269388207407916</v>
      </c>
      <c r="Q386" s="6" t="n">
        <v>0.1242010351148911</v>
      </c>
      <c r="R386" s="6" t="n">
        <v>0.6745206210689347</v>
      </c>
      <c r="S386" s="6" t="n">
        <v>0.5755517826825127</v>
      </c>
      <c r="T386" s="2" t="inlineStr">
        <is>
          <t>Under</t>
        </is>
      </c>
      <c r="U386" s="4" t="n">
        <v>-150</v>
      </c>
      <c r="V386" s="2" t="n">
        <v>1.666666666666667</v>
      </c>
      <c r="W386" s="4" t="n">
        <v>-150</v>
      </c>
      <c r="X386" s="2" t="n">
        <v>1</v>
      </c>
      <c r="Y386" s="5" t="n">
        <v>0.6666666666666665</v>
      </c>
      <c r="Z386" s="7" t="n">
        <v>100</v>
      </c>
      <c r="AA386" s="7">
        <f>Y386*Z386</f>
        <v/>
      </c>
      <c r="AB386" s="6">
        <f>IF(Z386=0,0,AA386/Z386)</f>
        <v/>
      </c>
      <c r="AC386" s="6" t="n"/>
      <c r="AD386" s="2" t="inlineStr">
        <is>
          <t>Win</t>
        </is>
      </c>
      <c r="AE386" s="6">
        <f>IF((COUNTIF($AD$2:AD386,"Win")+COUNTIF($AD$2:AD386,"Loss"))=0,0,COUNTIF($AD$2:AD386,"Win")/(COUNTIF($AD$2:AD386,"Win")+COUNTIF($AD$2:AD386,"Loss")))</f>
        <v/>
      </c>
      <c r="AF386" s="6">
        <f>SUM($Y$2:Y386)/SUM($X$2:X386)</f>
        <v/>
      </c>
      <c r="AG386" s="5">
        <f>SUM($Y$2:Y386)</f>
        <v/>
      </c>
      <c r="AH386" s="7">
        <f>10000.0+SUM($AA$2:AA386)</f>
        <v/>
      </c>
      <c r="AI386" s="2" t="n">
        <v>2026</v>
      </c>
      <c r="AJ386" s="2" t="inlineStr">
        <is>
          <t>2026-05</t>
        </is>
      </c>
      <c r="AK386" s="2" t="inlineStr">
        <is>
          <t>&lt;= -150</t>
        </is>
      </c>
      <c r="AL386" s="2" t="inlineStr">
        <is>
          <t>2026 Frozen Test</t>
        </is>
      </c>
      <c r="AM386" s="6" t="n">
        <v>0.1863015526723367</v>
      </c>
    </row>
    <row r="387">
      <c r="A387" s="2" t="inlineStr">
        <is>
          <t>KPROP-00788</t>
        </is>
      </c>
      <c r="B387" s="3" t="n">
        <v>46157.78167824074</v>
      </c>
      <c r="C387" s="3" t="n">
        <v>46157</v>
      </c>
      <c r="D387" s="2" t="inlineStr">
        <is>
          <t>Trey Yesavage</t>
        </is>
      </c>
      <c r="E387" s="2" t="n">
        <v>141</v>
      </c>
      <c r="F387" s="2" t="n">
        <v>116</v>
      </c>
      <c r="G387" s="2" t="inlineStr">
        <is>
          <t>Away</t>
        </is>
      </c>
      <c r="H387" s="2" t="inlineStr">
        <is>
          <t>draftkings</t>
        </is>
      </c>
      <c r="I387" s="4" t="n"/>
      <c r="J387" s="4" t="n"/>
      <c r="K387" s="4" t="n">
        <v>-104</v>
      </c>
      <c r="L387" s="4" t="n">
        <v>-104</v>
      </c>
      <c r="M387" s="5" t="n">
        <v>5.5</v>
      </c>
      <c r="N387" s="5" t="n">
        <v>5.235168202127111</v>
      </c>
      <c r="O387" s="5" t="n">
        <v>5.5</v>
      </c>
      <c r="P387" s="5" t="n">
        <v>0.2648317978728887</v>
      </c>
      <c r="Q387" s="6" t="n">
        <v>0.1274344792135435</v>
      </c>
      <c r="R387" s="6" t="n">
        <v>0.5747705188147476</v>
      </c>
      <c r="S387" s="6" t="n">
        <v>0.5048543689320388</v>
      </c>
      <c r="T387" s="2" t="inlineStr">
        <is>
          <t>Under</t>
        </is>
      </c>
      <c r="U387" s="4" t="n">
        <v>-104</v>
      </c>
      <c r="V387" s="2" t="n">
        <v>1.961538461538462</v>
      </c>
      <c r="W387" s="4" t="n">
        <v>-104</v>
      </c>
      <c r="X387" s="2" t="n">
        <v>1</v>
      </c>
      <c r="Y387" s="5" t="n">
        <v>-1</v>
      </c>
      <c r="Z387" s="7" t="n">
        <v>100</v>
      </c>
      <c r="AA387" s="7">
        <f>Y387*Z387</f>
        <v/>
      </c>
      <c r="AB387" s="6">
        <f>IF(Z387=0,0,AA387/Z387)</f>
        <v/>
      </c>
      <c r="AC387" s="6" t="n"/>
      <c r="AD387" s="2" t="inlineStr">
        <is>
          <t>Loss</t>
        </is>
      </c>
      <c r="AE387" s="6">
        <f>IF((COUNTIF($AD$2:AD387,"Win")+COUNTIF($AD$2:AD387,"Loss"))=0,0,COUNTIF($AD$2:AD387,"Win")/(COUNTIF($AD$2:AD387,"Win")+COUNTIF($AD$2:AD387,"Loss")))</f>
        <v/>
      </c>
      <c r="AF387" s="6">
        <f>SUM($Y$2:Y387)/SUM($X$2:X387)</f>
        <v/>
      </c>
      <c r="AG387" s="5">
        <f>SUM($Y$2:Y387)</f>
        <v/>
      </c>
      <c r="AH387" s="7">
        <f>10000.0+SUM($AA$2:AA387)</f>
        <v/>
      </c>
      <c r="AI387" s="2" t="n">
        <v>2026</v>
      </c>
      <c r="AJ387" s="2" t="inlineStr">
        <is>
          <t>2026-05</t>
        </is>
      </c>
      <c r="AK387" s="2" t="inlineStr">
        <is>
          <t>-119 to -101</t>
        </is>
      </c>
      <c r="AL387" s="2" t="inlineStr">
        <is>
          <t>2026 Frozen Test</t>
        </is>
      </c>
      <c r="AM387" s="6" t="n">
        <v>0.1325318583820852</v>
      </c>
    </row>
    <row r="388">
      <c r="A388" s="2" t="inlineStr">
        <is>
          <t>KPROP-00789</t>
        </is>
      </c>
      <c r="B388" s="3" t="n">
        <v>46158.80251157407</v>
      </c>
      <c r="C388" s="3" t="n">
        <v>46158</v>
      </c>
      <c r="D388" s="2" t="inlineStr">
        <is>
          <t>Bryce Elder</t>
        </is>
      </c>
      <c r="E388" s="2" t="n">
        <v>144</v>
      </c>
      <c r="F388" s="2" t="n">
        <v>111</v>
      </c>
      <c r="G388" s="2" t="inlineStr">
        <is>
          <t>Home</t>
        </is>
      </c>
      <c r="H388" s="2" t="inlineStr">
        <is>
          <t>betmgm</t>
        </is>
      </c>
      <c r="I388" s="4" t="n"/>
      <c r="J388" s="4" t="n"/>
      <c r="K388" s="4" t="n">
        <v>130</v>
      </c>
      <c r="L388" s="4" t="n">
        <v>130</v>
      </c>
      <c r="M388" s="5" t="n">
        <v>4.5</v>
      </c>
      <c r="N388" s="5" t="n">
        <v>4.545353588940684</v>
      </c>
      <c r="O388" s="5" t="n">
        <v>4.5</v>
      </c>
      <c r="P388" s="5" t="n">
        <v>-0.0453535889406842</v>
      </c>
      <c r="Q388" s="6" t="n">
        <v>0.2040899078536137</v>
      </c>
      <c r="R388" s="6" t="n">
        <v>0.5235173512407016</v>
      </c>
      <c r="S388" s="6" t="n">
        <v>0.4256067534294759</v>
      </c>
      <c r="T388" s="2" t="inlineStr">
        <is>
          <t>Under</t>
        </is>
      </c>
      <c r="U388" s="4" t="n">
        <v>130</v>
      </c>
      <c r="V388" s="2" t="n">
        <v>2.3</v>
      </c>
      <c r="W388" s="4" t="n">
        <v>130</v>
      </c>
      <c r="X388" s="2" t="n">
        <v>1</v>
      </c>
      <c r="Y388" s="5" t="n">
        <v>1.3</v>
      </c>
      <c r="Z388" s="7" t="n">
        <v>100</v>
      </c>
      <c r="AA388" s="7">
        <f>Y388*Z388</f>
        <v/>
      </c>
      <c r="AB388" s="6">
        <f>IF(Z388=0,0,AA388/Z388)</f>
        <v/>
      </c>
      <c r="AC388" s="6" t="n"/>
      <c r="AD388" s="2" t="inlineStr">
        <is>
          <t>Win</t>
        </is>
      </c>
      <c r="AE388" s="6">
        <f>IF((COUNTIF($AD$2:AD388,"Win")+COUNTIF($AD$2:AD388,"Loss"))=0,0,COUNTIF($AD$2:AD388,"Win")/(COUNTIF($AD$2:AD388,"Win")+COUNTIF($AD$2:AD388,"Loss")))</f>
        <v/>
      </c>
      <c r="AF388" s="6">
        <f>SUM($Y$2:Y388)/SUM($X$2:X388)</f>
        <v/>
      </c>
      <c r="AG388" s="5">
        <f>SUM($Y$2:Y388)</f>
        <v/>
      </c>
      <c r="AH388" s="7">
        <f>10000.0+SUM($AA$2:AA388)</f>
        <v/>
      </c>
      <c r="AI388" s="2" t="n">
        <v>2026</v>
      </c>
      <c r="AJ388" s="2" t="inlineStr">
        <is>
          <t>2026-05</t>
        </is>
      </c>
      <c r="AK388" s="2" t="inlineStr">
        <is>
          <t>+121 to +150</t>
        </is>
      </c>
      <c r="AL388" s="2" t="inlineStr">
        <is>
          <t>2026 Frozen Test</t>
        </is>
      </c>
      <c r="AM388" s="6" t="n">
        <v>0.1569922368104721</v>
      </c>
    </row>
    <row r="389">
      <c r="A389" s="2" t="inlineStr">
        <is>
          <t>KPROP-00790</t>
        </is>
      </c>
      <c r="B389" s="3" t="n">
        <v>46158.80251157407</v>
      </c>
      <c r="C389" s="3" t="n">
        <v>46158</v>
      </c>
      <c r="D389" s="2" t="inlineStr">
        <is>
          <t>Bryce Elder</t>
        </is>
      </c>
      <c r="E389" s="2" t="n">
        <v>144</v>
      </c>
      <c r="F389" s="2" t="n">
        <v>111</v>
      </c>
      <c r="G389" s="2" t="inlineStr">
        <is>
          <t>Home</t>
        </is>
      </c>
      <c r="H389" s="2" t="inlineStr">
        <is>
          <t>fanatics</t>
        </is>
      </c>
      <c r="I389" s="4" t="n"/>
      <c r="J389" s="4" t="n"/>
      <c r="K389" s="4" t="n">
        <v>-150</v>
      </c>
      <c r="L389" s="4" t="n">
        <v>-150</v>
      </c>
      <c r="M389" s="5" t="n">
        <v>5.5</v>
      </c>
      <c r="N389" s="5" t="n">
        <v>4.545353588940684</v>
      </c>
      <c r="O389" s="5" t="n">
        <v>5.5</v>
      </c>
      <c r="P389" s="5" t="n">
        <v>0.9546464110593158</v>
      </c>
      <c r="Q389" s="6" t="n">
        <v>0.1586065410735993</v>
      </c>
      <c r="R389" s="6" t="n">
        <v>0.6951639246441597</v>
      </c>
      <c r="S389" s="6" t="n">
        <v>0.5901639344262295</v>
      </c>
      <c r="T389" s="2" t="inlineStr">
        <is>
          <t>Under</t>
        </is>
      </c>
      <c r="U389" s="4" t="n">
        <v>-150</v>
      </c>
      <c r="V389" s="2" t="n">
        <v>1.666666666666667</v>
      </c>
      <c r="W389" s="4" t="n">
        <v>-150</v>
      </c>
      <c r="X389" s="2" t="n">
        <v>1</v>
      </c>
      <c r="Y389" s="5" t="n">
        <v>0.6666666666666665</v>
      </c>
      <c r="Z389" s="7" t="n">
        <v>100</v>
      </c>
      <c r="AA389" s="7">
        <f>Y389*Z389</f>
        <v/>
      </c>
      <c r="AB389" s="6">
        <f>IF(Z389=0,0,AA389/Z389)</f>
        <v/>
      </c>
      <c r="AC389" s="6" t="n"/>
      <c r="AD389" s="2" t="inlineStr">
        <is>
          <t>Win</t>
        </is>
      </c>
      <c r="AE389" s="6">
        <f>IF((COUNTIF($AD$2:AD389,"Win")+COUNTIF($AD$2:AD389,"Loss"))=0,0,COUNTIF($AD$2:AD389,"Win")/(COUNTIF($AD$2:AD389,"Win")+COUNTIF($AD$2:AD389,"Loss")))</f>
        <v/>
      </c>
      <c r="AF389" s="6">
        <f>SUM($Y$2:Y389)/SUM($X$2:X389)</f>
        <v/>
      </c>
      <c r="AG389" s="5">
        <f>SUM($Y$2:Y389)</f>
        <v/>
      </c>
      <c r="AH389" s="7">
        <f>10000.0+SUM($AA$2:AA389)</f>
        <v/>
      </c>
      <c r="AI389" s="2" t="n">
        <v>2026</v>
      </c>
      <c r="AJ389" s="2" t="inlineStr">
        <is>
          <t>2026-05</t>
        </is>
      </c>
      <c r="AK389" s="2" t="inlineStr">
        <is>
          <t>&lt;= -150</t>
        </is>
      </c>
      <c r="AL389" s="2" t="inlineStr">
        <is>
          <t>2026 Frozen Test</t>
        </is>
      </c>
      <c r="AM389" s="6" t="n">
        <v>0.2379098116103991</v>
      </c>
    </row>
    <row r="390">
      <c r="A390" s="2" t="inlineStr">
        <is>
          <t>KPROP-00791</t>
        </is>
      </c>
      <c r="B390" s="3" t="n">
        <v>46158.79903935185</v>
      </c>
      <c r="C390" s="3" t="n">
        <v>46158</v>
      </c>
      <c r="D390" s="2" t="inlineStr">
        <is>
          <t>Connor Prielipp</t>
        </is>
      </c>
      <c r="E390" s="2" t="n">
        <v>142</v>
      </c>
      <c r="F390" s="2" t="n">
        <v>158</v>
      </c>
      <c r="G390" s="2" t="inlineStr">
        <is>
          <t>Home</t>
        </is>
      </c>
      <c r="H390" s="2" t="inlineStr">
        <is>
          <t>betmgm</t>
        </is>
      </c>
      <c r="I390" s="4" t="n"/>
      <c r="J390" s="4" t="n"/>
      <c r="K390" s="4" t="n">
        <v>-105</v>
      </c>
      <c r="L390" s="4" t="n">
        <v>-105</v>
      </c>
      <c r="M390" s="5" t="n">
        <v>4.5</v>
      </c>
      <c r="N390" s="5" t="n">
        <v>4.340716604818487</v>
      </c>
      <c r="O390" s="5" t="n">
        <v>4.5</v>
      </c>
      <c r="P390" s="5" t="n">
        <v>0.1592833951815127</v>
      </c>
      <c r="Q390" s="6" t="n">
        <v>0.09837021533075285</v>
      </c>
      <c r="R390" s="6" t="n">
        <v>0.5625798663889222</v>
      </c>
      <c r="S390" s="6" t="n">
        <v>0.5060240963855421</v>
      </c>
      <c r="T390" s="2" t="inlineStr">
        <is>
          <t>Under</t>
        </is>
      </c>
      <c r="U390" s="4" t="n">
        <v>-105</v>
      </c>
      <c r="V390" s="2" t="n">
        <v>1.952380952380952</v>
      </c>
      <c r="W390" s="4" t="n">
        <v>-105</v>
      </c>
      <c r="X390" s="2" t="n">
        <v>1</v>
      </c>
      <c r="Y390" s="5" t="n">
        <v>-1</v>
      </c>
      <c r="Z390" s="7" t="n">
        <v>100</v>
      </c>
      <c r="AA390" s="7">
        <f>Y390*Z390</f>
        <v/>
      </c>
      <c r="AB390" s="6">
        <f>IF(Z390=0,0,AA390/Z390)</f>
        <v/>
      </c>
      <c r="AC390" s="6" t="n"/>
      <c r="AD390" s="2" t="inlineStr">
        <is>
          <t>Loss</t>
        </is>
      </c>
      <c r="AE390" s="6">
        <f>IF((COUNTIF($AD$2:AD390,"Win")+COUNTIF($AD$2:AD390,"Loss"))=0,0,COUNTIF($AD$2:AD390,"Win")/(COUNTIF($AD$2:AD390,"Win")+COUNTIF($AD$2:AD390,"Loss")))</f>
        <v/>
      </c>
      <c r="AF390" s="6">
        <f>SUM($Y$2:Y390)/SUM($X$2:X390)</f>
        <v/>
      </c>
      <c r="AG390" s="5">
        <f>SUM($Y$2:Y390)</f>
        <v/>
      </c>
      <c r="AH390" s="7">
        <f>10000.0+SUM($AA$2:AA390)</f>
        <v/>
      </c>
      <c r="AI390" s="2" t="n">
        <v>2026</v>
      </c>
      <c r="AJ390" s="2" t="inlineStr">
        <is>
          <t>2026-05</t>
        </is>
      </c>
      <c r="AK390" s="2" t="inlineStr">
        <is>
          <t>-119 to -101</t>
        </is>
      </c>
      <c r="AL390" s="2" t="inlineStr">
        <is>
          <t>2026 Frozen Test</t>
        </is>
      </c>
      <c r="AM390" s="6" t="n">
        <v>0.1032887260972905</v>
      </c>
    </row>
    <row r="391">
      <c r="A391" s="2" t="inlineStr">
        <is>
          <t>KPROP-00792</t>
        </is>
      </c>
      <c r="B391" s="3" t="n">
        <v>46158.63237268518</v>
      </c>
      <c r="C391" s="3" t="n">
        <v>46158</v>
      </c>
      <c r="D391" s="2" t="inlineStr">
        <is>
          <t>Eduardo Rodriguez</t>
        </is>
      </c>
      <c r="E391" s="2" t="n">
        <v>109</v>
      </c>
      <c r="F391" s="2" t="n">
        <v>115</v>
      </c>
      <c r="G391" s="2" t="inlineStr">
        <is>
          <t>Away</t>
        </is>
      </c>
      <c r="H391" s="2" t="inlineStr">
        <is>
          <t>betrivers</t>
        </is>
      </c>
      <c r="I391" s="4" t="n"/>
      <c r="J391" s="4" t="n"/>
      <c r="K391" s="4" t="n">
        <v>138</v>
      </c>
      <c r="L391" s="4" t="n">
        <v>138</v>
      </c>
      <c r="M391" s="5" t="n">
        <v>4.5</v>
      </c>
      <c r="N391" s="5" t="n">
        <v>4.924432550651909</v>
      </c>
      <c r="O391" s="5" t="n">
        <v>4.5</v>
      </c>
      <c r="P391" s="5" t="n">
        <v>-0.4244325506519093</v>
      </c>
      <c r="Q391" s="6" t="n">
        <v>0.08016670195097875</v>
      </c>
      <c r="R391" s="6" t="n">
        <v>0.4538515554415877</v>
      </c>
      <c r="S391" s="6" t="n">
        <v>0.408111210304808</v>
      </c>
      <c r="T391" s="2" t="inlineStr">
        <is>
          <t>Under</t>
        </is>
      </c>
      <c r="U391" s="4" t="n">
        <v>138</v>
      </c>
      <c r="V391" s="2" t="n">
        <v>2.38</v>
      </c>
      <c r="W391" s="4" t="n">
        <v>138</v>
      </c>
      <c r="X391" s="2" t="n">
        <v>1</v>
      </c>
      <c r="Y391" s="5" t="n">
        <v>-1</v>
      </c>
      <c r="Z391" s="7" t="n">
        <v>100</v>
      </c>
      <c r="AA391" s="7">
        <f>Y391*Z391</f>
        <v/>
      </c>
      <c r="AB391" s="6">
        <f>IF(Z391=0,0,AA391/Z391)</f>
        <v/>
      </c>
      <c r="AC391" s="6" t="n"/>
      <c r="AD391" s="2" t="inlineStr">
        <is>
          <t>Loss</t>
        </is>
      </c>
      <c r="AE391" s="6">
        <f>IF((COUNTIF($AD$2:AD391,"Win")+COUNTIF($AD$2:AD391,"Loss"))=0,0,COUNTIF($AD$2:AD391,"Win")/(COUNTIF($AD$2:AD391,"Win")+COUNTIF($AD$2:AD391,"Loss")))</f>
        <v/>
      </c>
      <c r="AF391" s="6">
        <f>SUM($Y$2:Y391)/SUM($X$2:X391)</f>
        <v/>
      </c>
      <c r="AG391" s="5">
        <f>SUM($Y$2:Y391)</f>
        <v/>
      </c>
      <c r="AH391" s="7">
        <f>10000.0+SUM($AA$2:AA391)</f>
        <v/>
      </c>
      <c r="AI391" s="2" t="n">
        <v>2026</v>
      </c>
      <c r="AJ391" s="2" t="inlineStr">
        <is>
          <t>2026-05</t>
        </is>
      </c>
      <c r="AK391" s="2" t="inlineStr">
        <is>
          <t>+121 to +150</t>
        </is>
      </c>
      <c r="AL391" s="2" t="inlineStr">
        <is>
          <t>2026 Frozen Test</t>
        </is>
      </c>
      <c r="AM391" s="6" t="n">
        <v>0.05809181300795562</v>
      </c>
    </row>
    <row r="392">
      <c r="A392" s="2" t="inlineStr">
        <is>
          <t>KPROP-00793</t>
        </is>
      </c>
      <c r="B392" s="3" t="n">
        <v>46158.79903935185</v>
      </c>
      <c r="C392" s="3" t="n">
        <v>46158</v>
      </c>
      <c r="D392" s="2" t="inlineStr">
        <is>
          <t>Jameson Taillon</t>
        </is>
      </c>
      <c r="E392" s="2" t="n">
        <v>112</v>
      </c>
      <c r="F392" s="2" t="n">
        <v>145</v>
      </c>
      <c r="G392" s="2" t="inlineStr">
        <is>
          <t>Away</t>
        </is>
      </c>
      <c r="H392" s="2" t="inlineStr">
        <is>
          <t>betmgm</t>
        </is>
      </c>
      <c r="I392" s="4" t="n"/>
      <c r="J392" s="4" t="n"/>
      <c r="K392" s="4" t="n">
        <v>120</v>
      </c>
      <c r="L392" s="4" t="n">
        <v>120</v>
      </c>
      <c r="M392" s="5" t="n">
        <v>4.5</v>
      </c>
      <c r="N392" s="5" t="n">
        <v>4.735276676572291</v>
      </c>
      <c r="O392" s="5" t="n">
        <v>4.5</v>
      </c>
      <c r="P392" s="5" t="n">
        <v>-0.2352766765722913</v>
      </c>
      <c r="Q392" s="6" t="n">
        <v>0.07382569714261678</v>
      </c>
      <c r="R392" s="6" t="n">
        <v>0.4881025896102803</v>
      </c>
      <c r="S392" s="6" t="n">
        <v>0.4337094499294781</v>
      </c>
      <c r="T392" s="2" t="inlineStr">
        <is>
          <t>Under</t>
        </is>
      </c>
      <c r="U392" s="4" t="n">
        <v>120</v>
      </c>
      <c r="V392" s="2" t="n">
        <v>2.2</v>
      </c>
      <c r="W392" s="4" t="n">
        <v>120</v>
      </c>
      <c r="X392" s="2" t="n">
        <v>1</v>
      </c>
      <c r="Y392" s="5" t="n">
        <v>1.2</v>
      </c>
      <c r="Z392" s="7" t="n">
        <v>100</v>
      </c>
      <c r="AA392" s="7">
        <f>Y392*Z392</f>
        <v/>
      </c>
      <c r="AB392" s="6">
        <f>IF(Z392=0,0,AA392/Z392)</f>
        <v/>
      </c>
      <c r="AC392" s="6" t="n"/>
      <c r="AD392" s="2" t="inlineStr">
        <is>
          <t>Win</t>
        </is>
      </c>
      <c r="AE392" s="6">
        <f>IF((COUNTIF($AD$2:AD392,"Win")+COUNTIF($AD$2:AD392,"Loss"))=0,0,COUNTIF($AD$2:AD392,"Win")/(COUNTIF($AD$2:AD392,"Win")+COUNTIF($AD$2:AD392,"Loss")))</f>
        <v/>
      </c>
      <c r="AF392" s="6">
        <f>SUM($Y$2:Y392)/SUM($X$2:X392)</f>
        <v/>
      </c>
      <c r="AG392" s="5">
        <f>SUM($Y$2:Y392)</f>
        <v/>
      </c>
      <c r="AH392" s="7">
        <f>10000.0+SUM($AA$2:AA392)</f>
        <v/>
      </c>
      <c r="AI392" s="2" t="n">
        <v>2026</v>
      </c>
      <c r="AJ392" s="2" t="inlineStr">
        <is>
          <t>2026-05</t>
        </is>
      </c>
      <c r="AK392" s="2" t="inlineStr">
        <is>
          <t>+100 to +120</t>
        </is>
      </c>
      <c r="AL392" s="2" t="inlineStr">
        <is>
          <t>2026 Frozen Test</t>
        </is>
      </c>
      <c r="AM392" s="6" t="n">
        <v>0.06152141428551397</v>
      </c>
    </row>
    <row r="393">
      <c r="A393" s="2" t="inlineStr">
        <is>
          <t>KPROP-00794</t>
        </is>
      </c>
      <c r="B393" s="3" t="n">
        <v>46158.80251157407</v>
      </c>
      <c r="C393" s="3" t="n">
        <v>46158</v>
      </c>
      <c r="D393" s="2" t="inlineStr">
        <is>
          <t>Logan Gilbert</t>
        </is>
      </c>
      <c r="E393" s="2" t="n">
        <v>136</v>
      </c>
      <c r="F393" s="2" t="n">
        <v>135</v>
      </c>
      <c r="G393" s="2" t="inlineStr">
        <is>
          <t>Home</t>
        </is>
      </c>
      <c r="H393" s="2" t="inlineStr">
        <is>
          <t>betrivers</t>
        </is>
      </c>
      <c r="I393" s="4" t="n"/>
      <c r="J393" s="4" t="n"/>
      <c r="K393" s="4" t="n">
        <v>138</v>
      </c>
      <c r="L393" s="4" t="n">
        <v>138</v>
      </c>
      <c r="M393" s="5" t="n">
        <v>5.5</v>
      </c>
      <c r="N393" s="5" t="n">
        <v>5.391261907081878</v>
      </c>
      <c r="O393" s="5" t="n">
        <v>5.5</v>
      </c>
      <c r="P393" s="5" t="n">
        <v>0.1087380929181219</v>
      </c>
      <c r="Q393" s="6" t="n">
        <v>0.3033896706452722</v>
      </c>
      <c r="R393" s="6" t="n">
        <v>0.5476427187585178</v>
      </c>
      <c r="S393" s="6" t="n">
        <v>0.3924905308228578</v>
      </c>
      <c r="T393" s="2" t="inlineStr">
        <is>
          <t>Under</t>
        </is>
      </c>
      <c r="U393" s="4" t="n">
        <v>138</v>
      </c>
      <c r="V393" s="2" t="n">
        <v>2.38</v>
      </c>
      <c r="W393" s="4" t="n">
        <v>138</v>
      </c>
      <c r="X393" s="2" t="n">
        <v>1</v>
      </c>
      <c r="Y393" s="5" t="n">
        <v>1.38</v>
      </c>
      <c r="Z393" s="7" t="n">
        <v>100</v>
      </c>
      <c r="AA393" s="7">
        <f>Y393*Z393</f>
        <v/>
      </c>
      <c r="AB393" s="6">
        <f>IF(Z393=0,0,AA393/Z393)</f>
        <v/>
      </c>
      <c r="AC393" s="6" t="n"/>
      <c r="AD393" s="2" t="inlineStr">
        <is>
          <t>Win</t>
        </is>
      </c>
      <c r="AE393" s="6">
        <f>IF((COUNTIF($AD$2:AD393,"Win")+COUNTIF($AD$2:AD393,"Loss"))=0,0,COUNTIF($AD$2:AD393,"Win")/(COUNTIF($AD$2:AD393,"Win")+COUNTIF($AD$2:AD393,"Loss")))</f>
        <v/>
      </c>
      <c r="AF393" s="6">
        <f>SUM($Y$2:Y393)/SUM($X$2:X393)</f>
        <v/>
      </c>
      <c r="AG393" s="5">
        <f>SUM($Y$2:Y393)</f>
        <v/>
      </c>
      <c r="AH393" s="7">
        <f>10000.0+SUM($AA$2:AA393)</f>
        <v/>
      </c>
      <c r="AI393" s="2" t="n">
        <v>2026</v>
      </c>
      <c r="AJ393" s="2" t="inlineStr">
        <is>
          <t>2026-05</t>
        </is>
      </c>
      <c r="AK393" s="2" t="inlineStr">
        <is>
          <t>+121 to +150</t>
        </is>
      </c>
      <c r="AL393" s="2" t="inlineStr">
        <is>
          <t>2026 Frozen Test</t>
        </is>
      </c>
      <c r="AM393" s="6" t="n">
        <v>0.2198475874241103</v>
      </c>
    </row>
    <row r="394">
      <c r="A394" s="2" t="inlineStr">
        <is>
          <t>KPROP-00795</t>
        </is>
      </c>
      <c r="B394" s="3" t="n">
        <v>46158.80251157407</v>
      </c>
      <c r="C394" s="3" t="n">
        <v>46158</v>
      </c>
      <c r="D394" s="2" t="inlineStr">
        <is>
          <t>Logan Gilbert</t>
        </is>
      </c>
      <c r="E394" s="2" t="n">
        <v>136</v>
      </c>
      <c r="F394" s="2" t="n">
        <v>135</v>
      </c>
      <c r="G394" s="2" t="inlineStr">
        <is>
          <t>Home</t>
        </is>
      </c>
      <c r="H394" s="2" t="inlineStr">
        <is>
          <t>bovada</t>
        </is>
      </c>
      <c r="I394" s="4" t="n"/>
      <c r="J394" s="4" t="n"/>
      <c r="K394" s="4" t="n">
        <v>-120</v>
      </c>
      <c r="L394" s="4" t="n">
        <v>-120</v>
      </c>
      <c r="M394" s="5" t="n">
        <v>6.5</v>
      </c>
      <c r="N394" s="5" t="n">
        <v>5.391261907081878</v>
      </c>
      <c r="O394" s="5" t="n">
        <v>6.5</v>
      </c>
      <c r="P394" s="5" t="n">
        <v>1.108738092918122</v>
      </c>
      <c r="Q394" s="6" t="n">
        <v>0.2888878877943292</v>
      </c>
      <c r="R394" s="6" t="n">
        <v>0.7030297569787249</v>
      </c>
      <c r="S394" s="6" t="n">
        <v>0.5338983050847457</v>
      </c>
      <c r="T394" s="2" t="inlineStr">
        <is>
          <t>Under</t>
        </is>
      </c>
      <c r="U394" s="4" t="n">
        <v>-120</v>
      </c>
      <c r="V394" s="2" t="n">
        <v>1.833333333333333</v>
      </c>
      <c r="W394" s="4" t="n">
        <v>-120</v>
      </c>
      <c r="X394" s="2" t="n">
        <v>1</v>
      </c>
      <c r="Y394" s="5" t="n">
        <v>0.8333333333333335</v>
      </c>
      <c r="Z394" s="7" t="n">
        <v>100</v>
      </c>
      <c r="AA394" s="7">
        <f>Y394*Z394</f>
        <v/>
      </c>
      <c r="AB394" s="6">
        <f>IF(Z394=0,0,AA394/Z394)</f>
        <v/>
      </c>
      <c r="AC394" s="6" t="n"/>
      <c r="AD394" s="2" t="inlineStr">
        <is>
          <t>Win</t>
        </is>
      </c>
      <c r="AE394" s="6">
        <f>IF((COUNTIF($AD$2:AD394,"Win")+COUNTIF($AD$2:AD394,"Loss"))=0,0,COUNTIF($AD$2:AD394,"Win")/(COUNTIF($AD$2:AD394,"Win")+COUNTIF($AD$2:AD394,"Loss")))</f>
        <v/>
      </c>
      <c r="AF394" s="6">
        <f>SUM($Y$2:Y394)/SUM($X$2:X394)</f>
        <v/>
      </c>
      <c r="AG394" s="5">
        <f>SUM($Y$2:Y394)</f>
        <v/>
      </c>
      <c r="AH394" s="7">
        <f>10000.0+SUM($AA$2:AA394)</f>
        <v/>
      </c>
      <c r="AI394" s="2" t="n">
        <v>2026</v>
      </c>
      <c r="AJ394" s="2" t="inlineStr">
        <is>
          <t>2026-05</t>
        </is>
      </c>
      <c r="AK394" s="2" t="inlineStr">
        <is>
          <t>-149 to -120</t>
        </is>
      </c>
      <c r="AL394" s="2" t="inlineStr">
        <is>
          <t>2026 Frozen Test</t>
        </is>
      </c>
      <c r="AM394" s="6" t="n">
        <v>0.3466654653531949</v>
      </c>
    </row>
    <row r="395">
      <c r="A395" s="2" t="inlineStr">
        <is>
          <t>KPROP-00796</t>
        </is>
      </c>
      <c r="B395" s="3" t="n">
        <v>46159.56987268518</v>
      </c>
      <c r="C395" s="3" t="n">
        <v>46159</v>
      </c>
      <c r="D395" s="2" t="inlineStr">
        <is>
          <t>Brady Singer</t>
        </is>
      </c>
      <c r="E395" s="2" t="n">
        <v>113</v>
      </c>
      <c r="F395" s="2" t="n">
        <v>114</v>
      </c>
      <c r="G395" s="2" t="inlineStr">
        <is>
          <t>Away</t>
        </is>
      </c>
      <c r="H395" s="2" t="inlineStr">
        <is>
          <t>betmgm</t>
        </is>
      </c>
      <c r="I395" s="4" t="n"/>
      <c r="J395" s="4" t="n"/>
      <c r="K395" s="4" t="n">
        <v>115</v>
      </c>
      <c r="L395" s="4" t="n">
        <v>115</v>
      </c>
      <c r="M395" s="5" t="n">
        <v>3.5</v>
      </c>
      <c r="N395" s="5" t="n">
        <v>3.537525422695188</v>
      </c>
      <c r="O395" s="5" t="n">
        <v>3.5</v>
      </c>
      <c r="P395" s="5" t="n">
        <v>-0.03752542269518777</v>
      </c>
      <c r="Q395" s="6" t="n">
        <v>0.1363983101485557</v>
      </c>
      <c r="R395" s="6" t="n">
        <v>0.5285573535574678</v>
      </c>
      <c r="S395" s="6" t="n">
        <v>0.4556962025316456</v>
      </c>
      <c r="T395" s="2" t="inlineStr">
        <is>
          <t>Under</t>
        </is>
      </c>
      <c r="U395" s="4" t="n">
        <v>115</v>
      </c>
      <c r="V395" s="2" t="n">
        <v>2.15</v>
      </c>
      <c r="W395" s="4" t="n">
        <v>115</v>
      </c>
      <c r="X395" s="2" t="n">
        <v>1</v>
      </c>
      <c r="Y395" s="5" t="n">
        <v>-1</v>
      </c>
      <c r="Z395" s="7" t="n">
        <v>100</v>
      </c>
      <c r="AA395" s="7">
        <f>Y395*Z395</f>
        <v/>
      </c>
      <c r="AB395" s="6">
        <f>IF(Z395=0,0,AA395/Z395)</f>
        <v/>
      </c>
      <c r="AC395" s="6" t="n"/>
      <c r="AD395" s="2" t="inlineStr">
        <is>
          <t>Loss</t>
        </is>
      </c>
      <c r="AE395" s="6">
        <f>IF((COUNTIF($AD$2:AD395,"Win")+COUNTIF($AD$2:AD395,"Loss"))=0,0,COUNTIF($AD$2:AD395,"Win")/(COUNTIF($AD$2:AD395,"Win")+COUNTIF($AD$2:AD395,"Loss")))</f>
        <v/>
      </c>
      <c r="AF395" s="6">
        <f>SUM($Y$2:Y395)/SUM($X$2:X395)</f>
        <v/>
      </c>
      <c r="AG395" s="5">
        <f>SUM($Y$2:Y395)</f>
        <v/>
      </c>
      <c r="AH395" s="7">
        <f>10000.0+SUM($AA$2:AA395)</f>
        <v/>
      </c>
      <c r="AI395" s="2" t="n">
        <v>2026</v>
      </c>
      <c r="AJ395" s="2" t="inlineStr">
        <is>
          <t>2026-05</t>
        </is>
      </c>
      <c r="AK395" s="2" t="inlineStr">
        <is>
          <t>+100 to +120</t>
        </is>
      </c>
      <c r="AL395" s="2" t="inlineStr">
        <is>
          <t>2026 Frozen Test</t>
        </is>
      </c>
      <c r="AM395" s="6" t="n">
        <v>0.1186072262161354</v>
      </c>
    </row>
    <row r="396">
      <c r="A396" s="2" t="inlineStr">
        <is>
          <t>KPROP-00797</t>
        </is>
      </c>
      <c r="B396" s="3" t="n">
        <v>46159.51085648148</v>
      </c>
      <c r="C396" s="3" t="n">
        <v>46159</v>
      </c>
      <c r="D396" s="2" t="inlineStr">
        <is>
          <t>Drew Rasmussen</t>
        </is>
      </c>
      <c r="E396" s="2" t="n">
        <v>139</v>
      </c>
      <c r="F396" s="2" t="n">
        <v>146</v>
      </c>
      <c r="G396" s="2" t="inlineStr">
        <is>
          <t>Home</t>
        </is>
      </c>
      <c r="H396" s="2" t="inlineStr">
        <is>
          <t>draftkings</t>
        </is>
      </c>
      <c r="I396" s="4" t="n"/>
      <c r="J396" s="4" t="n"/>
      <c r="K396" s="4" t="n">
        <v>-132</v>
      </c>
      <c r="L396" s="4" t="n">
        <v>-132</v>
      </c>
      <c r="M396" s="5" t="n">
        <v>5.5</v>
      </c>
      <c r="N396" s="5" t="n">
        <v>4.933067306663674</v>
      </c>
      <c r="O396" s="5" t="n">
        <v>5.5</v>
      </c>
      <c r="P396" s="5" t="n">
        <v>0.5669326933363257</v>
      </c>
      <c r="Q396" s="6" t="n">
        <v>0.103236266571441</v>
      </c>
      <c r="R396" s="6" t="n">
        <v>0.6277033930492681</v>
      </c>
      <c r="S396" s="6" t="n">
        <v>0.555895865237366</v>
      </c>
      <c r="T396" s="2" t="inlineStr">
        <is>
          <t>Under</t>
        </is>
      </c>
      <c r="U396" s="4" t="n">
        <v>-132</v>
      </c>
      <c r="V396" s="2" t="n">
        <v>1.757575757575758</v>
      </c>
      <c r="W396" s="4" t="n">
        <v>-132</v>
      </c>
      <c r="X396" s="2" t="n">
        <v>1</v>
      </c>
      <c r="Y396" s="5" t="n">
        <v>0.7575757575757576</v>
      </c>
      <c r="Z396" s="7" t="n">
        <v>100</v>
      </c>
      <c r="AA396" s="7">
        <f>Y396*Z396</f>
        <v/>
      </c>
      <c r="AB396" s="6">
        <f>IF(Z396=0,0,AA396/Z396)</f>
        <v/>
      </c>
      <c r="AC396" s="6" t="n"/>
      <c r="AD396" s="2" t="inlineStr">
        <is>
          <t>Win</t>
        </is>
      </c>
      <c r="AE396" s="6">
        <f>IF((COUNTIF($AD$2:AD396,"Win")+COUNTIF($AD$2:AD396,"Loss"))=0,0,COUNTIF($AD$2:AD396,"Win")/(COUNTIF($AD$2:AD396,"Win")+COUNTIF($AD$2:AD396,"Loss")))</f>
        <v/>
      </c>
      <c r="AF396" s="6">
        <f>SUM($Y$2:Y396)/SUM($X$2:X396)</f>
        <v/>
      </c>
      <c r="AG396" s="5">
        <f>SUM($Y$2:Y396)</f>
        <v/>
      </c>
      <c r="AH396" s="7">
        <f>10000.0+SUM($AA$2:AA396)</f>
        <v/>
      </c>
      <c r="AI396" s="2" t="n">
        <v>2026</v>
      </c>
      <c r="AJ396" s="2" t="inlineStr">
        <is>
          <t>2026-05</t>
        </is>
      </c>
      <c r="AK396" s="2" t="inlineStr">
        <is>
          <t>-149 to -120</t>
        </is>
      </c>
      <c r="AL396" s="2" t="inlineStr">
        <is>
          <t>2026 Frozen Test</t>
        </is>
      </c>
      <c r="AM396" s="6" t="n">
        <v>0.1362718718743021</v>
      </c>
    </row>
    <row r="397">
      <c r="A397" s="2" t="inlineStr">
        <is>
          <t>KPROP-00798</t>
        </is>
      </c>
      <c r="B397" s="3" t="n">
        <v>46159.80598379629</v>
      </c>
      <c r="C397" s="3" t="n">
        <v>46159</v>
      </c>
      <c r="D397" s="2" t="inlineStr">
        <is>
          <t>George Kirby</t>
        </is>
      </c>
      <c r="E397" s="2" t="n">
        <v>136</v>
      </c>
      <c r="F397" s="2" t="n">
        <v>135</v>
      </c>
      <c r="G397" s="2" t="inlineStr">
        <is>
          <t>Home</t>
        </is>
      </c>
      <c r="H397" s="2" t="inlineStr">
        <is>
          <t>fanduel</t>
        </is>
      </c>
      <c r="I397" s="4" t="n"/>
      <c r="J397" s="4" t="n"/>
      <c r="K397" s="4" t="n">
        <v>-122</v>
      </c>
      <c r="L397" s="4" t="n">
        <v>-122</v>
      </c>
      <c r="M397" s="5" t="n">
        <v>5.5</v>
      </c>
      <c r="N397" s="5" t="n">
        <v>4.996090581794658</v>
      </c>
      <c r="O397" s="5" t="n">
        <v>5.5</v>
      </c>
      <c r="P397" s="5" t="n">
        <v>0.5039094182053416</v>
      </c>
      <c r="Q397" s="6" t="n">
        <v>0.1220946870372602</v>
      </c>
      <c r="R397" s="6" t="n">
        <v>0.6166466298132691</v>
      </c>
      <c r="S397" s="6" t="n">
        <v>0.5357590966122961</v>
      </c>
      <c r="T397" s="2" t="inlineStr">
        <is>
          <t>Under</t>
        </is>
      </c>
      <c r="U397" s="4" t="n">
        <v>-122</v>
      </c>
      <c r="V397" s="2" t="n">
        <v>1.819672131147541</v>
      </c>
      <c r="W397" s="4" t="n">
        <v>-122</v>
      </c>
      <c r="X397" s="2" t="n">
        <v>1</v>
      </c>
      <c r="Y397" s="5" t="n">
        <v>-1</v>
      </c>
      <c r="Z397" s="7" t="n">
        <v>100</v>
      </c>
      <c r="AA397" s="7">
        <f>Y397*Z397</f>
        <v/>
      </c>
      <c r="AB397" s="6">
        <f>IF(Z397=0,0,AA397/Z397)</f>
        <v/>
      </c>
      <c r="AC397" s="6" t="n"/>
      <c r="AD397" s="2" t="inlineStr">
        <is>
          <t>Loss</t>
        </is>
      </c>
      <c r="AE397" s="6">
        <f>IF((COUNTIF($AD$2:AD397,"Win")+COUNTIF($AD$2:AD397,"Loss"))=0,0,COUNTIF($AD$2:AD397,"Win")/(COUNTIF($AD$2:AD397,"Win")+COUNTIF($AD$2:AD397,"Loss")))</f>
        <v/>
      </c>
      <c r="AF397" s="6">
        <f>SUM($Y$2:Y397)/SUM($X$2:X397)</f>
        <v/>
      </c>
      <c r="AG397" s="5">
        <f>SUM($Y$2:Y397)</f>
        <v/>
      </c>
      <c r="AH397" s="7">
        <f>10000.0+SUM($AA$2:AA397)</f>
        <v/>
      </c>
      <c r="AI397" s="2" t="n">
        <v>2026</v>
      </c>
      <c r="AJ397" s="2" t="inlineStr">
        <is>
          <t>2026-05</t>
        </is>
      </c>
      <c r="AK397" s="2" t="inlineStr">
        <is>
          <t>-149 to -120</t>
        </is>
      </c>
      <c r="AL397" s="2" t="inlineStr">
        <is>
          <t>2026 Frozen Test</t>
        </is>
      </c>
      <c r="AM397" s="6" t="n">
        <v>0.1489555181854575</v>
      </c>
    </row>
    <row r="398">
      <c r="A398" s="2" t="inlineStr">
        <is>
          <t>KPROP-00799</t>
        </is>
      </c>
      <c r="B398" s="3" t="n">
        <v>46159.56987268518</v>
      </c>
      <c r="C398" s="3" t="n">
        <v>46159</v>
      </c>
      <c r="D398" s="2" t="inlineStr">
        <is>
          <t>Jack Flaherty</t>
        </is>
      </c>
      <c r="E398" s="2" t="n">
        <v>116</v>
      </c>
      <c r="F398" s="2" t="n">
        <v>141</v>
      </c>
      <c r="G398" s="2" t="inlineStr">
        <is>
          <t>Home</t>
        </is>
      </c>
      <c r="H398" s="2" t="inlineStr">
        <is>
          <t>draftkings</t>
        </is>
      </c>
      <c r="I398" s="4" t="n"/>
      <c r="J398" s="4" t="n"/>
      <c r="K398" s="4" t="n">
        <v>117</v>
      </c>
      <c r="L398" s="4" t="n">
        <v>117</v>
      </c>
      <c r="M398" s="5" t="n">
        <v>4.5</v>
      </c>
      <c r="N398" s="5" t="n">
        <v>4.463247081439115</v>
      </c>
      <c r="O398" s="5" t="n">
        <v>4.5</v>
      </c>
      <c r="P398" s="5" t="n">
        <v>0.03675291856088503</v>
      </c>
      <c r="Q398" s="6" t="n">
        <v>0.1698329191519962</v>
      </c>
      <c r="R398" s="6" t="n">
        <v>0.5390935111299522</v>
      </c>
      <c r="S398" s="6" t="n">
        <v>0.450806706738374</v>
      </c>
      <c r="T398" s="2" t="inlineStr">
        <is>
          <t>Under</t>
        </is>
      </c>
      <c r="U398" s="4" t="n">
        <v>117</v>
      </c>
      <c r="V398" s="2" t="n">
        <v>2.17</v>
      </c>
      <c r="W398" s="4" t="n">
        <v>117</v>
      </c>
      <c r="X398" s="2" t="n">
        <v>1</v>
      </c>
      <c r="Y398" s="5" t="n">
        <v>1.17</v>
      </c>
      <c r="Z398" s="7" t="n">
        <v>100</v>
      </c>
      <c r="AA398" s="7">
        <f>Y398*Z398</f>
        <v/>
      </c>
      <c r="AB398" s="6">
        <f>IF(Z398=0,0,AA398/Z398)</f>
        <v/>
      </c>
      <c r="AC398" s="6" t="n"/>
      <c r="AD398" s="2" t="inlineStr">
        <is>
          <t>Win</t>
        </is>
      </c>
      <c r="AE398" s="6">
        <f>IF((COUNTIF($AD$2:AD398,"Win")+COUNTIF($AD$2:AD398,"Loss"))=0,0,COUNTIF($AD$2:AD398,"Win")/(COUNTIF($AD$2:AD398,"Win")+COUNTIF($AD$2:AD398,"Loss")))</f>
        <v/>
      </c>
      <c r="AF398" s="6">
        <f>SUM($Y$2:Y398)/SUM($X$2:X398)</f>
        <v/>
      </c>
      <c r="AG398" s="5">
        <f>SUM($Y$2:Y398)</f>
        <v/>
      </c>
      <c r="AH398" s="7">
        <f>10000.0+SUM($AA$2:AA398)</f>
        <v/>
      </c>
      <c r="AI398" s="2" t="n">
        <v>2026</v>
      </c>
      <c r="AJ398" s="2" t="inlineStr">
        <is>
          <t>2026-05</t>
        </is>
      </c>
      <c r="AK398" s="2" t="inlineStr">
        <is>
          <t>+100 to +120</t>
        </is>
      </c>
      <c r="AL398" s="2" t="inlineStr">
        <is>
          <t>2026 Frozen Test</t>
        </is>
      </c>
      <c r="AM398" s="6" t="n">
        <v>0.1451563411555523</v>
      </c>
    </row>
    <row r="399">
      <c r="A399" s="2" t="inlineStr">
        <is>
          <t>KPROP-00800</t>
        </is>
      </c>
      <c r="B399" s="3" t="n">
        <v>46159.67056712963</v>
      </c>
      <c r="C399" s="3" t="n">
        <v>46159</v>
      </c>
      <c r="D399" s="2" t="inlineStr">
        <is>
          <t>Jeffrey Springs</t>
        </is>
      </c>
      <c r="E399" s="2" t="n">
        <v>133</v>
      </c>
      <c r="F399" s="2" t="n">
        <v>137</v>
      </c>
      <c r="G399" s="2" t="inlineStr">
        <is>
          <t>Home</t>
        </is>
      </c>
      <c r="H399" s="2" t="inlineStr">
        <is>
          <t>draftkings</t>
        </is>
      </c>
      <c r="I399" s="4" t="n"/>
      <c r="J399" s="4" t="n"/>
      <c r="K399" s="4" t="n">
        <v>104</v>
      </c>
      <c r="L399" s="4" t="n">
        <v>104</v>
      </c>
      <c r="M399" s="5" t="n">
        <v>4.5</v>
      </c>
      <c r="N399" s="5" t="n">
        <v>4.093467296794532</v>
      </c>
      <c r="O399" s="5" t="n">
        <v>4.5</v>
      </c>
      <c r="P399" s="5" t="n">
        <v>0.4065327032054675</v>
      </c>
      <c r="Q399" s="6" t="n">
        <v>0.2455895144112976</v>
      </c>
      <c r="R399" s="6" t="n">
        <v>0.6105830952996557</v>
      </c>
      <c r="S399" s="6" t="n">
        <v>0.478202846975089</v>
      </c>
      <c r="T399" s="2" t="inlineStr">
        <is>
          <t>Under</t>
        </is>
      </c>
      <c r="U399" s="4" t="n">
        <v>104</v>
      </c>
      <c r="V399" s="2" t="n">
        <v>2.04</v>
      </c>
      <c r="W399" s="4" t="n">
        <v>104</v>
      </c>
      <c r="X399" s="2" t="n">
        <v>1</v>
      </c>
      <c r="Y399" s="5" t="n">
        <v>1.04</v>
      </c>
      <c r="Z399" s="7" t="n">
        <v>100</v>
      </c>
      <c r="AA399" s="7">
        <f>Y399*Z399</f>
        <v/>
      </c>
      <c r="AB399" s="6">
        <f>IF(Z399=0,0,AA399/Z399)</f>
        <v/>
      </c>
      <c r="AC399" s="6" t="n"/>
      <c r="AD399" s="2" t="inlineStr">
        <is>
          <t>Win</t>
        </is>
      </c>
      <c r="AE399" s="6">
        <f>IF((COUNTIF($AD$2:AD399,"Win")+COUNTIF($AD$2:AD399,"Loss"))=0,0,COUNTIF($AD$2:AD399,"Win")/(COUNTIF($AD$2:AD399,"Win")+COUNTIF($AD$2:AD399,"Loss")))</f>
        <v/>
      </c>
      <c r="AF399" s="6">
        <f>SUM($Y$2:Y399)/SUM($X$2:X399)</f>
        <v/>
      </c>
      <c r="AG399" s="5">
        <f>SUM($Y$2:Y399)</f>
        <v/>
      </c>
      <c r="AH399" s="7">
        <f>10000.0+SUM($AA$2:AA399)</f>
        <v/>
      </c>
      <c r="AI399" s="2" t="n">
        <v>2026</v>
      </c>
      <c r="AJ399" s="2" t="inlineStr">
        <is>
          <t>2026-05</t>
        </is>
      </c>
      <c r="AK399" s="2" t="inlineStr">
        <is>
          <t>+100 to +120</t>
        </is>
      </c>
      <c r="AL399" s="2" t="inlineStr">
        <is>
          <t>2026 Frozen Test</t>
        </is>
      </c>
      <c r="AM399" s="6" t="n">
        <v>0.2361437638570169</v>
      </c>
    </row>
    <row r="400">
      <c r="A400" s="2" t="inlineStr">
        <is>
          <t>KPROP-00801</t>
        </is>
      </c>
      <c r="B400" s="3" t="n">
        <v>46159.56987268518</v>
      </c>
      <c r="C400" s="3" t="n">
        <v>46159</v>
      </c>
      <c r="D400" s="2" t="inlineStr">
        <is>
          <t>Kevin Gausman</t>
        </is>
      </c>
      <c r="E400" s="2" t="n">
        <v>141</v>
      </c>
      <c r="F400" s="2" t="n">
        <v>116</v>
      </c>
      <c r="G400" s="2" t="inlineStr">
        <is>
          <t>Away</t>
        </is>
      </c>
      <c r="H400" s="2" t="inlineStr">
        <is>
          <t>draftkings</t>
        </is>
      </c>
      <c r="I400" s="4" t="n"/>
      <c r="J400" s="4" t="n"/>
      <c r="K400" s="4" t="n">
        <v>-103</v>
      </c>
      <c r="L400" s="4" t="n">
        <v>-103</v>
      </c>
      <c r="M400" s="5" t="n">
        <v>5.5</v>
      </c>
      <c r="N400" s="5" t="n">
        <v>5.35443649247038</v>
      </c>
      <c r="O400" s="5" t="n">
        <v>5.5</v>
      </c>
      <c r="P400" s="5" t="n">
        <v>0.1455635075296202</v>
      </c>
      <c r="Q400" s="6" t="n">
        <v>0.091902082745563</v>
      </c>
      <c r="R400" s="6" t="n">
        <v>0.5540192833635122</v>
      </c>
      <c r="S400" s="6" t="n">
        <v>0.4976431769974075</v>
      </c>
      <c r="T400" s="2" t="inlineStr">
        <is>
          <t>Under</t>
        </is>
      </c>
      <c r="U400" s="4" t="n">
        <v>-103</v>
      </c>
      <c r="V400" s="2" t="n">
        <v>1.970873786407767</v>
      </c>
      <c r="W400" s="4" t="n">
        <v>-103</v>
      </c>
      <c r="X400" s="2" t="n">
        <v>1</v>
      </c>
      <c r="Y400" s="5" t="n">
        <v>0.970873786407767</v>
      </c>
      <c r="Z400" s="7" t="n">
        <v>100</v>
      </c>
      <c r="AA400" s="7">
        <f>Y400*Z400</f>
        <v/>
      </c>
      <c r="AB400" s="6">
        <f>IF(Z400=0,0,AA400/Z400)</f>
        <v/>
      </c>
      <c r="AC400" s="6" t="n"/>
      <c r="AD400" s="2" t="inlineStr">
        <is>
          <t>Win</t>
        </is>
      </c>
      <c r="AE400" s="6">
        <f>IF((COUNTIF($AD$2:AD400,"Win")+COUNTIF($AD$2:AD400,"Loss"))=0,0,COUNTIF($AD$2:AD400,"Win")/(COUNTIF($AD$2:AD400,"Win")+COUNTIF($AD$2:AD400,"Loss")))</f>
        <v/>
      </c>
      <c r="AF400" s="6">
        <f>SUM($Y$2:Y400)/SUM($X$2:X400)</f>
        <v/>
      </c>
      <c r="AG400" s="5">
        <f>SUM($Y$2:Y400)</f>
        <v/>
      </c>
      <c r="AH400" s="7">
        <f>10000.0+SUM($AA$2:AA400)</f>
        <v/>
      </c>
      <c r="AI400" s="2" t="n">
        <v>2026</v>
      </c>
      <c r="AJ400" s="2" t="inlineStr">
        <is>
          <t>2026-05</t>
        </is>
      </c>
      <c r="AK400" s="2" t="inlineStr">
        <is>
          <t>-119 to -101</t>
        </is>
      </c>
      <c r="AL400" s="2" t="inlineStr">
        <is>
          <t>2026 Frozen Test</t>
        </is>
      </c>
      <c r="AM400" s="6" t="n">
        <v>0.09465914522792988</v>
      </c>
    </row>
    <row r="401">
      <c r="A401" s="2" t="inlineStr">
        <is>
          <t>KPROP-00802</t>
        </is>
      </c>
      <c r="B401" s="3" t="n">
        <v>46159.56640046297</v>
      </c>
      <c r="C401" s="3" t="n">
        <v>46159</v>
      </c>
      <c r="D401" s="2" t="inlineStr">
        <is>
          <t>Paul Skenes</t>
        </is>
      </c>
      <c r="E401" s="2" t="n">
        <v>134</v>
      </c>
      <c r="F401" s="2" t="n">
        <v>143</v>
      </c>
      <c r="G401" s="2" t="inlineStr">
        <is>
          <t>Home</t>
        </is>
      </c>
      <c r="H401" s="2" t="inlineStr">
        <is>
          <t>betonlineag</t>
        </is>
      </c>
      <c r="I401" s="4" t="n"/>
      <c r="J401" s="4" t="n"/>
      <c r="K401" s="4" t="n">
        <v>120</v>
      </c>
      <c r="L401" s="4" t="n">
        <v>120</v>
      </c>
      <c r="M401" s="5" t="n">
        <v>6.5</v>
      </c>
      <c r="N401" s="5" t="n">
        <v>6.363995202694983</v>
      </c>
      <c r="O401" s="5" t="n">
        <v>6.5</v>
      </c>
      <c r="P401" s="5" t="n">
        <v>0.1360047973050174</v>
      </c>
      <c r="Q401" s="6" t="n">
        <v>0.2056988700100352</v>
      </c>
      <c r="R401" s="6" t="n">
        <v>0.5480449409136523</v>
      </c>
      <c r="S401" s="6" t="n">
        <v>0.4379562043795621</v>
      </c>
      <c r="T401" s="2" t="inlineStr">
        <is>
          <t>Under</t>
        </is>
      </c>
      <c r="U401" s="4" t="n">
        <v>120</v>
      </c>
      <c r="V401" s="2" t="n">
        <v>2.2</v>
      </c>
      <c r="W401" s="4" t="n">
        <v>120</v>
      </c>
      <c r="X401" s="2" t="n">
        <v>1</v>
      </c>
      <c r="Y401" s="5" t="n">
        <v>-1</v>
      </c>
      <c r="Z401" s="7" t="n">
        <v>100</v>
      </c>
      <c r="AA401" s="7">
        <f>Y401*Z401</f>
        <v/>
      </c>
      <c r="AB401" s="6">
        <f>IF(Z401=0,0,AA401/Z401)</f>
        <v/>
      </c>
      <c r="AC401" s="6" t="n"/>
      <c r="AD401" s="2" t="inlineStr">
        <is>
          <t>Loss</t>
        </is>
      </c>
      <c r="AE401" s="6">
        <f>IF((COUNTIF($AD$2:AD401,"Win")+COUNTIF($AD$2:AD401,"Loss"))=0,0,COUNTIF($AD$2:AD401,"Win")/(COUNTIF($AD$2:AD401,"Win")+COUNTIF($AD$2:AD401,"Loss")))</f>
        <v/>
      </c>
      <c r="AF401" s="6">
        <f>SUM($Y$2:Y401)/SUM($X$2:X401)</f>
        <v/>
      </c>
      <c r="AG401" s="5">
        <f>SUM($Y$2:Y401)</f>
        <v/>
      </c>
      <c r="AH401" s="7">
        <f>10000.0+SUM($AA$2:AA401)</f>
        <v/>
      </c>
      <c r="AI401" s="2" t="n">
        <v>2026</v>
      </c>
      <c r="AJ401" s="2" t="inlineStr">
        <is>
          <t>2026-05</t>
        </is>
      </c>
      <c r="AK401" s="2" t="inlineStr">
        <is>
          <t>+100 to +120</t>
        </is>
      </c>
      <c r="AL401" s="2" t="inlineStr">
        <is>
          <t>2026 Frozen Test</t>
        </is>
      </c>
      <c r="AM401" s="6" t="n">
        <v>0.1714157250083626</v>
      </c>
    </row>
    <row r="402">
      <c r="A402" s="2" t="inlineStr">
        <is>
          <t>KPROP-00803</t>
        </is>
      </c>
      <c r="B402" s="3" t="n">
        <v>46160.77821759259</v>
      </c>
      <c r="C402" s="3" t="n">
        <v>46160</v>
      </c>
      <c r="D402" s="2" t="inlineStr">
        <is>
          <t>Max Meyer</t>
        </is>
      </c>
      <c r="E402" s="2" t="n">
        <v>146</v>
      </c>
      <c r="F402" s="2" t="n">
        <v>144</v>
      </c>
      <c r="G402" s="2" t="inlineStr">
        <is>
          <t>Home</t>
        </is>
      </c>
      <c r="H402" s="2" t="inlineStr">
        <is>
          <t>betmgm</t>
        </is>
      </c>
      <c r="I402" s="4" t="n"/>
      <c r="J402" s="4" t="n"/>
      <c r="K402" s="4" t="n">
        <v>-135</v>
      </c>
      <c r="L402" s="4" t="n">
        <v>-135</v>
      </c>
      <c r="M402" s="5" t="n">
        <v>5.5</v>
      </c>
      <c r="N402" s="5" t="n">
        <v>4.990965950914164</v>
      </c>
      <c r="O402" s="5" t="n">
        <v>5.5</v>
      </c>
      <c r="P402" s="5" t="n">
        <v>0.5090340490858365</v>
      </c>
      <c r="Q402" s="6" t="n">
        <v>0.07498718790239645</v>
      </c>
      <c r="R402" s="6" t="n">
        <v>0.6175458313481852</v>
      </c>
      <c r="S402" s="6" t="n">
        <v>0.54911742133538</v>
      </c>
      <c r="T402" s="2" t="inlineStr">
        <is>
          <t>Under</t>
        </is>
      </c>
      <c r="U402" s="4" t="n">
        <v>-135</v>
      </c>
      <c r="V402" s="2" t="n">
        <v>1.740740740740741</v>
      </c>
      <c r="W402" s="4" t="n">
        <v>-135</v>
      </c>
      <c r="X402" s="2" t="n">
        <v>1</v>
      </c>
      <c r="Y402" s="5" t="n">
        <v>-1</v>
      </c>
      <c r="Z402" s="7" t="n">
        <v>100</v>
      </c>
      <c r="AA402" s="7">
        <f>Y402*Z402</f>
        <v/>
      </c>
      <c r="AB402" s="6">
        <f>IF(Z402=0,0,AA402/Z402)</f>
        <v/>
      </c>
      <c r="AC402" s="6" t="n"/>
      <c r="AD402" s="2" t="inlineStr">
        <is>
          <t>Loss</t>
        </is>
      </c>
      <c r="AE402" s="6">
        <f>IF((COUNTIF($AD$2:AD402,"Win")+COUNTIF($AD$2:AD402,"Loss"))=0,0,COUNTIF($AD$2:AD402,"Win")/(COUNTIF($AD$2:AD402,"Win")+COUNTIF($AD$2:AD402,"Loss")))</f>
        <v/>
      </c>
      <c r="AF402" s="6">
        <f>SUM($Y$2:Y402)/SUM($X$2:X402)</f>
        <v/>
      </c>
      <c r="AG402" s="5">
        <f>SUM($Y$2:Y402)</f>
        <v/>
      </c>
      <c r="AH402" s="7">
        <f>10000.0+SUM($AA$2:AA402)</f>
        <v/>
      </c>
      <c r="AI402" s="2" t="n">
        <v>2026</v>
      </c>
      <c r="AJ402" s="2" t="inlineStr">
        <is>
          <t>2026-05</t>
        </is>
      </c>
      <c r="AK402" s="2" t="inlineStr">
        <is>
          <t>-149 to -120</t>
        </is>
      </c>
      <c r="AL402" s="2" t="inlineStr">
        <is>
          <t>2026 Frozen Test</t>
        </is>
      </c>
      <c r="AM402" s="6" t="n">
        <v>0.1012327036682352</v>
      </c>
    </row>
    <row r="403">
      <c r="A403" s="2" t="inlineStr">
        <is>
          <t>KPROP-00804</t>
        </is>
      </c>
      <c r="B403" s="3" t="n">
        <v>46160.77821759259</v>
      </c>
      <c r="C403" s="3" t="n">
        <v>46160</v>
      </c>
      <c r="D403" s="2" t="inlineStr">
        <is>
          <t>Nick Lodolo</t>
        </is>
      </c>
      <c r="E403" s="2" t="n">
        <v>113</v>
      </c>
      <c r="F403" s="2" t="n">
        <v>143</v>
      </c>
      <c r="G403" s="2" t="inlineStr">
        <is>
          <t>Away</t>
        </is>
      </c>
      <c r="H403" s="2" t="inlineStr">
        <is>
          <t>fanduel</t>
        </is>
      </c>
      <c r="I403" s="4" t="n"/>
      <c r="J403" s="4" t="n"/>
      <c r="K403" s="4" t="n">
        <v>-114</v>
      </c>
      <c r="L403" s="4" t="n">
        <v>-114</v>
      </c>
      <c r="M403" s="5" t="n">
        <v>5.5</v>
      </c>
      <c r="N403" s="5" t="n">
        <v>5.151020804321039</v>
      </c>
      <c r="O403" s="5" t="n">
        <v>5.5</v>
      </c>
      <c r="P403" s="5" t="n">
        <v>0.348979195678961</v>
      </c>
      <c r="Q403" s="6" t="n">
        <v>0.1065700943143879</v>
      </c>
      <c r="R403" s="6" t="n">
        <v>0.589481265195515</v>
      </c>
      <c r="S403" s="6" t="n">
        <v>0.529194350332204</v>
      </c>
      <c r="T403" s="2" t="inlineStr">
        <is>
          <t>Under</t>
        </is>
      </c>
      <c r="U403" s="4" t="n">
        <v>-114</v>
      </c>
      <c r="V403" s="2" t="n">
        <v>1.87719298245614</v>
      </c>
      <c r="W403" s="4" t="n">
        <v>-114</v>
      </c>
      <c r="X403" s="2" t="n">
        <v>1</v>
      </c>
      <c r="Y403" s="5" t="n">
        <v>0.8771929824561404</v>
      </c>
      <c r="Z403" s="7" t="n">
        <v>100</v>
      </c>
      <c r="AA403" s="7">
        <f>Y403*Z403</f>
        <v/>
      </c>
      <c r="AB403" s="6">
        <f>IF(Z403=0,0,AA403/Z403)</f>
        <v/>
      </c>
      <c r="AC403" s="6" t="n"/>
      <c r="AD403" s="2" t="inlineStr">
        <is>
          <t>Win</t>
        </is>
      </c>
      <c r="AE403" s="6">
        <f>IF((COUNTIF($AD$2:AD403,"Win")+COUNTIF($AD$2:AD403,"Loss"))=0,0,COUNTIF($AD$2:AD403,"Win")/(COUNTIF($AD$2:AD403,"Win")+COUNTIF($AD$2:AD403,"Loss")))</f>
        <v/>
      </c>
      <c r="AF403" s="6">
        <f>SUM($Y$2:Y403)/SUM($X$2:X403)</f>
        <v/>
      </c>
      <c r="AG403" s="5">
        <f>SUM($Y$2:Y403)</f>
        <v/>
      </c>
      <c r="AH403" s="7">
        <f>10000.0+SUM($AA$2:AA403)</f>
        <v/>
      </c>
      <c r="AI403" s="2" t="n">
        <v>2026</v>
      </c>
      <c r="AJ403" s="2" t="inlineStr">
        <is>
          <t>2026-05</t>
        </is>
      </c>
      <c r="AK403" s="2" t="inlineStr">
        <is>
          <t>-119 to -101</t>
        </is>
      </c>
      <c r="AL403" s="2" t="inlineStr">
        <is>
          <t>2026 Frozen Test</t>
        </is>
      </c>
      <c r="AM403" s="6" t="n">
        <v>0.1214899075184022</v>
      </c>
    </row>
    <row r="404">
      <c r="A404" s="2" t="inlineStr">
        <is>
          <t>KPROP-00805</t>
        </is>
      </c>
      <c r="B404" s="3" t="n">
        <v>46160.79556712963</v>
      </c>
      <c r="C404" s="3" t="n">
        <v>46160</v>
      </c>
      <c r="D404" s="2" t="inlineStr">
        <is>
          <t>Patrick Corbin</t>
        </is>
      </c>
      <c r="E404" s="2" t="n">
        <v>141</v>
      </c>
      <c r="F404" s="2" t="n">
        <v>147</v>
      </c>
      <c r="G404" s="2" t="inlineStr">
        <is>
          <t>Away</t>
        </is>
      </c>
      <c r="H404" s="2" t="inlineStr">
        <is>
          <t>draftkings</t>
        </is>
      </c>
      <c r="I404" s="4" t="n"/>
      <c r="J404" s="4" t="n"/>
      <c r="K404" s="4" t="n">
        <v>124</v>
      </c>
      <c r="L404" s="4" t="n">
        <v>124</v>
      </c>
      <c r="M404" s="5" t="n">
        <v>3.5</v>
      </c>
      <c r="N404" s="5" t="n">
        <v>3.588827445991503</v>
      </c>
      <c r="O404" s="5" t="n">
        <v>3.5</v>
      </c>
      <c r="P404" s="5" t="n">
        <v>-0.08882744599150261</v>
      </c>
      <c r="Q404" s="6" t="n">
        <v>0.1594063820859204</v>
      </c>
      <c r="R404" s="6" t="n">
        <v>0.5175921348597858</v>
      </c>
      <c r="S404" s="6" t="n">
        <v>0.4266211604095563</v>
      </c>
      <c r="T404" s="2" t="inlineStr">
        <is>
          <t>Under</t>
        </is>
      </c>
      <c r="U404" s="4" t="n">
        <v>124</v>
      </c>
      <c r="V404" s="2" t="n">
        <v>2.24</v>
      </c>
      <c r="W404" s="4" t="n">
        <v>124</v>
      </c>
      <c r="X404" s="2" t="n">
        <v>1</v>
      </c>
      <c r="Y404" s="5" t="n">
        <v>1.24</v>
      </c>
      <c r="Z404" s="7" t="n">
        <v>100</v>
      </c>
      <c r="AA404" s="7">
        <f>Y404*Z404</f>
        <v/>
      </c>
      <c r="AB404" s="6">
        <f>IF(Z404=0,0,AA404/Z404)</f>
        <v/>
      </c>
      <c r="AC404" s="6" t="n"/>
      <c r="AD404" s="2" t="inlineStr">
        <is>
          <t>Win</t>
        </is>
      </c>
      <c r="AE404" s="6">
        <f>IF((COUNTIF($AD$2:AD404,"Win")+COUNTIF($AD$2:AD404,"Loss"))=0,0,COUNTIF($AD$2:AD404,"Win")/(COUNTIF($AD$2:AD404,"Win")+COUNTIF($AD$2:AD404,"Loss")))</f>
        <v/>
      </c>
      <c r="AF404" s="6">
        <f>SUM($Y$2:Y404)/SUM($X$2:X404)</f>
        <v/>
      </c>
      <c r="AG404" s="5">
        <f>SUM($Y$2:Y404)</f>
        <v/>
      </c>
      <c r="AH404" s="7">
        <f>10000.0+SUM($AA$2:AA404)</f>
        <v/>
      </c>
      <c r="AI404" s="2" t="n">
        <v>2026</v>
      </c>
      <c r="AJ404" s="2" t="inlineStr">
        <is>
          <t>2026-05</t>
        </is>
      </c>
      <c r="AK404" s="2" t="inlineStr">
        <is>
          <t>+121 to +150</t>
        </is>
      </c>
      <c r="AL404" s="2" t="inlineStr">
        <is>
          <t>2026 Frozen Test</t>
        </is>
      </c>
      <c r="AM404" s="6" t="n">
        <v>0.1285535339402584</v>
      </c>
    </row>
    <row r="405">
      <c r="A405" s="2" t="inlineStr">
        <is>
          <t>KPROP-00806</t>
        </is>
      </c>
      <c r="B405" s="3" t="n">
        <v>46160.77821759259</v>
      </c>
      <c r="C405" s="3" t="n">
        <v>46160</v>
      </c>
      <c r="D405" s="2" t="inlineStr">
        <is>
          <t>Shane McClanahan</t>
        </is>
      </c>
      <c r="E405" s="2" t="n">
        <v>139</v>
      </c>
      <c r="F405" s="2" t="n">
        <v>110</v>
      </c>
      <c r="G405" s="2" t="inlineStr">
        <is>
          <t>Home</t>
        </is>
      </c>
      <c r="H405" s="2" t="inlineStr">
        <is>
          <t>draftkings</t>
        </is>
      </c>
      <c r="I405" s="4" t="n"/>
      <c r="J405" s="4" t="n"/>
      <c r="K405" s="4" t="n">
        <v>120</v>
      </c>
      <c r="L405" s="4" t="n">
        <v>120</v>
      </c>
      <c r="M405" s="5" t="n">
        <v>5.5</v>
      </c>
      <c r="N405" s="5" t="n">
        <v>5.689556575634784</v>
      </c>
      <c r="O405" s="5" t="n">
        <v>5.5</v>
      </c>
      <c r="P405" s="5" t="n">
        <v>-0.1895565756347839</v>
      </c>
      <c r="Q405" s="6" t="n">
        <v>0.09282378762378961</v>
      </c>
      <c r="R405" s="6" t="n">
        <v>0.4967380852835407</v>
      </c>
      <c r="S405" s="6" t="n">
        <v>0.4425113464447806</v>
      </c>
      <c r="T405" s="2" t="inlineStr">
        <is>
          <t>Under</t>
        </is>
      </c>
      <c r="U405" s="4" t="n">
        <v>120</v>
      </c>
      <c r="V405" s="2" t="n">
        <v>2.2</v>
      </c>
      <c r="W405" s="4" t="n">
        <v>120</v>
      </c>
      <c r="X405" s="2" t="n">
        <v>1</v>
      </c>
      <c r="Y405" s="5" t="n">
        <v>-1</v>
      </c>
      <c r="Z405" s="7" t="n">
        <v>100</v>
      </c>
      <c r="AA405" s="7">
        <f>Y405*Z405</f>
        <v/>
      </c>
      <c r="AB405" s="6">
        <f>IF(Z405=0,0,AA405/Z405)</f>
        <v/>
      </c>
      <c r="AC405" s="6" t="n"/>
      <c r="AD405" s="2" t="inlineStr">
        <is>
          <t>Loss</t>
        </is>
      </c>
      <c r="AE405" s="6">
        <f>IF((COUNTIF($AD$2:AD405,"Win")+COUNTIF($AD$2:AD405,"Loss"))=0,0,COUNTIF($AD$2:AD405,"Win")/(COUNTIF($AD$2:AD405,"Win")+COUNTIF($AD$2:AD405,"Loss")))</f>
        <v/>
      </c>
      <c r="AF405" s="6">
        <f>SUM($Y$2:Y405)/SUM($X$2:X405)</f>
        <v/>
      </c>
      <c r="AG405" s="5">
        <f>SUM($Y$2:Y405)</f>
        <v/>
      </c>
      <c r="AH405" s="7">
        <f>10000.0+SUM($AA$2:AA405)</f>
        <v/>
      </c>
      <c r="AI405" s="2" t="n">
        <v>2026</v>
      </c>
      <c r="AJ405" s="2" t="inlineStr">
        <is>
          <t>2026-05</t>
        </is>
      </c>
      <c r="AK405" s="2" t="inlineStr">
        <is>
          <t>+100 to +120</t>
        </is>
      </c>
      <c r="AL405" s="2" t="inlineStr">
        <is>
          <t>2026 Frozen Test</t>
        </is>
      </c>
      <c r="AM405" s="6" t="n">
        <v>0.07735315635315801</v>
      </c>
    </row>
    <row r="406">
      <c r="A406" s="2" t="inlineStr">
        <is>
          <t>KPROP-00807</t>
        </is>
      </c>
      <c r="B406" s="3" t="n">
        <v>46161.67403935185</v>
      </c>
      <c r="C406" s="3" t="n">
        <v>46161</v>
      </c>
      <c r="D406" s="2" t="inlineStr">
        <is>
          <t>Braxton Garrett</t>
        </is>
      </c>
      <c r="E406" s="2" t="n">
        <v>146</v>
      </c>
      <c r="F406" s="2" t="n">
        <v>144</v>
      </c>
      <c r="G406" s="2" t="inlineStr">
        <is>
          <t>Home</t>
        </is>
      </c>
      <c r="H406" s="2" t="inlineStr">
        <is>
          <t>fanduel</t>
        </is>
      </c>
      <c r="I406" s="4" t="n"/>
      <c r="J406" s="4" t="n"/>
      <c r="K406" s="4" t="n">
        <v>-144</v>
      </c>
      <c r="L406" s="4" t="n">
        <v>-144</v>
      </c>
      <c r="M406" s="5" t="n">
        <v>4.5</v>
      </c>
      <c r="N406" s="5" t="n">
        <v>3.843488882387502</v>
      </c>
      <c r="O406" s="5" t="n">
        <v>4.5</v>
      </c>
      <c r="P406" s="5" t="n">
        <v>0.6565111176124985</v>
      </c>
      <c r="Q406" s="6" t="n">
        <v>0.1172865220040568</v>
      </c>
      <c r="R406" s="6" t="n">
        <v>0.6593822097073122</v>
      </c>
      <c r="S406" s="6" t="n">
        <v>0.5757997218358832</v>
      </c>
      <c r="T406" s="2" t="inlineStr">
        <is>
          <t>Under</t>
        </is>
      </c>
      <c r="U406" s="4" t="n">
        <v>-144</v>
      </c>
      <c r="V406" s="2" t="n">
        <v>1.694444444444444</v>
      </c>
      <c r="W406" s="4" t="n">
        <v>-144</v>
      </c>
      <c r="X406" s="2" t="n">
        <v>1</v>
      </c>
      <c r="Y406" s="5" t="n">
        <v>0.6944444444444444</v>
      </c>
      <c r="Z406" s="7" t="n">
        <v>100</v>
      </c>
      <c r="AA406" s="7">
        <f>Y406*Z406</f>
        <v/>
      </c>
      <c r="AB406" s="6">
        <f>IF(Z406=0,0,AA406/Z406)</f>
        <v/>
      </c>
      <c r="AC406" s="6" t="n"/>
      <c r="AD406" s="2" t="inlineStr">
        <is>
          <t>Win</t>
        </is>
      </c>
      <c r="AE406" s="6">
        <f>IF((COUNTIF($AD$2:AD406,"Win")+COUNTIF($AD$2:AD406,"Loss"))=0,0,COUNTIF($AD$2:AD406,"Win")/(COUNTIF($AD$2:AD406,"Win")+COUNTIF($AD$2:AD406,"Loss")))</f>
        <v/>
      </c>
      <c r="AF406" s="6">
        <f>SUM($Y$2:Y406)/SUM($X$2:X406)</f>
        <v/>
      </c>
      <c r="AG406" s="5">
        <f>SUM($Y$2:Y406)</f>
        <v/>
      </c>
      <c r="AH406" s="7">
        <f>10000.0+SUM($AA$2:AA406)</f>
        <v/>
      </c>
      <c r="AI406" s="2" t="n">
        <v>2026</v>
      </c>
      <c r="AJ406" s="2" t="inlineStr">
        <is>
          <t>2026-05</t>
        </is>
      </c>
      <c r="AK406" s="2" t="inlineStr">
        <is>
          <t>-149 to -120</t>
        </is>
      </c>
      <c r="AL406" s="2" t="inlineStr">
        <is>
          <t>2026 Frozen Test</t>
        </is>
      </c>
      <c r="AM406" s="6" t="n">
        <v>0.1688925916858417</v>
      </c>
    </row>
    <row r="407">
      <c r="A407" s="2" t="inlineStr">
        <is>
          <t>KPROP-00808</t>
        </is>
      </c>
      <c r="B407" s="3" t="n">
        <v>46161.78167824074</v>
      </c>
      <c r="C407" s="3" t="n">
        <v>46161</v>
      </c>
      <c r="D407" s="2" t="inlineStr">
        <is>
          <t>Foster Griffin</t>
        </is>
      </c>
      <c r="E407" s="2" t="n">
        <v>120</v>
      </c>
      <c r="F407" s="2" t="n">
        <v>121</v>
      </c>
      <c r="G407" s="2" t="inlineStr">
        <is>
          <t>Home</t>
        </is>
      </c>
      <c r="H407" s="2" t="inlineStr">
        <is>
          <t>betrivers</t>
        </is>
      </c>
      <c r="I407" s="4" t="n"/>
      <c r="J407" s="4" t="n"/>
      <c r="K407" s="4" t="n">
        <v>135</v>
      </c>
      <c r="L407" s="4" t="n">
        <v>135</v>
      </c>
      <c r="M407" s="5" t="n">
        <v>4.5</v>
      </c>
      <c r="N407" s="5" t="n">
        <v>4.839649244680333</v>
      </c>
      <c r="O407" s="5" t="n">
        <v>4.5</v>
      </c>
      <c r="P407" s="5" t="n">
        <v>-0.3396492446803334</v>
      </c>
      <c r="Q407" s="6" t="n">
        <v>0.1023040832287826</v>
      </c>
      <c r="R407" s="6" t="n">
        <v>0.4690655673313968</v>
      </c>
      <c r="S407" s="6" t="n">
        <v>0.3973509933774834</v>
      </c>
      <c r="T407" s="2" t="inlineStr">
        <is>
          <t>Under</t>
        </is>
      </c>
      <c r="U407" s="4" t="n">
        <v>135</v>
      </c>
      <c r="V407" s="2" t="n">
        <v>2.35</v>
      </c>
      <c r="W407" s="4" t="n">
        <v>135</v>
      </c>
      <c r="X407" s="2" t="n">
        <v>1</v>
      </c>
      <c r="Y407" s="5" t="n">
        <v>-1</v>
      </c>
      <c r="Z407" s="7" t="n">
        <v>100</v>
      </c>
      <c r="AA407" s="7">
        <f>Y407*Z407</f>
        <v/>
      </c>
      <c r="AB407" s="6">
        <f>IF(Z407=0,0,AA407/Z407)</f>
        <v/>
      </c>
      <c r="AC407" s="6" t="n"/>
      <c r="AD407" s="2" t="inlineStr">
        <is>
          <t>Loss</t>
        </is>
      </c>
      <c r="AE407" s="6">
        <f>IF((COUNTIF($AD$2:AD407,"Win")+COUNTIF($AD$2:AD407,"Loss"))=0,0,COUNTIF($AD$2:AD407,"Win")/(COUNTIF($AD$2:AD407,"Win")+COUNTIF($AD$2:AD407,"Loss")))</f>
        <v/>
      </c>
      <c r="AF407" s="6">
        <f>SUM($Y$2:Y407)/SUM($X$2:X407)</f>
        <v/>
      </c>
      <c r="AG407" s="5">
        <f>SUM($Y$2:Y407)</f>
        <v/>
      </c>
      <c r="AH407" s="7">
        <f>10000.0+SUM($AA$2:AA407)</f>
        <v/>
      </c>
      <c r="AI407" s="2" t="n">
        <v>2026</v>
      </c>
      <c r="AJ407" s="2" t="inlineStr">
        <is>
          <t>2026-05</t>
        </is>
      </c>
      <c r="AK407" s="2" t="inlineStr">
        <is>
          <t>+121 to +150</t>
        </is>
      </c>
      <c r="AL407" s="2" t="inlineStr">
        <is>
          <t>2026 Frozen Test</t>
        </is>
      </c>
      <c r="AM407" s="6" t="n">
        <v>0.0757808023916908</v>
      </c>
    </row>
    <row r="408">
      <c r="A408" s="2" t="inlineStr">
        <is>
          <t>KPROP-00809</t>
        </is>
      </c>
      <c r="B408" s="3" t="n">
        <v>46162.77820601852</v>
      </c>
      <c r="C408" s="3" t="n">
        <v>46162</v>
      </c>
      <c r="D408" s="2" t="inlineStr">
        <is>
          <t>Chris Sale</t>
        </is>
      </c>
      <c r="E408" s="2" t="n">
        <v>144</v>
      </c>
      <c r="F408" s="2" t="n">
        <v>146</v>
      </c>
      <c r="G408" s="2" t="inlineStr">
        <is>
          <t>Away</t>
        </is>
      </c>
      <c r="H408" s="2" t="inlineStr">
        <is>
          <t>betmgm</t>
        </is>
      </c>
      <c r="I408" s="4" t="n"/>
      <c r="J408" s="4" t="n"/>
      <c r="K408" s="4" t="n">
        <v>100</v>
      </c>
      <c r="L408" s="4" t="n">
        <v>100</v>
      </c>
      <c r="M408" s="5" t="n">
        <v>7.5</v>
      </c>
      <c r="N408" s="5" t="n">
        <v>6.542481569555322</v>
      </c>
      <c r="O408" s="5" t="n">
        <v>7.5</v>
      </c>
      <c r="P408" s="5" t="n">
        <v>0.9575184304446775</v>
      </c>
      <c r="Q408" s="6" t="n">
        <v>0.3330713431892383</v>
      </c>
      <c r="R408" s="6" t="n">
        <v>0.6665356715946191</v>
      </c>
      <c r="S408" s="6" t="n">
        <v>0.5024875621890548</v>
      </c>
      <c r="T408" s="2" t="inlineStr">
        <is>
          <t>Under</t>
        </is>
      </c>
      <c r="U408" s="4" t="n">
        <v>100</v>
      </c>
      <c r="V408" s="2" t="n">
        <v>2</v>
      </c>
      <c r="W408" s="4" t="n">
        <v>100</v>
      </c>
      <c r="X408" s="2" t="n">
        <v>1</v>
      </c>
      <c r="Y408" s="5" t="n">
        <v>-1</v>
      </c>
      <c r="Z408" s="7" t="n">
        <v>100</v>
      </c>
      <c r="AA408" s="7">
        <f>Y408*Z408</f>
        <v/>
      </c>
      <c r="AB408" s="6">
        <f>IF(Z408=0,0,AA408/Z408)</f>
        <v/>
      </c>
      <c r="AC408" s="6" t="n"/>
      <c r="AD408" s="2" t="inlineStr">
        <is>
          <t>Loss</t>
        </is>
      </c>
      <c r="AE408" s="6">
        <f>IF((COUNTIF($AD$2:AD408,"Win")+COUNTIF($AD$2:AD408,"Loss"))=0,0,COUNTIF($AD$2:AD408,"Win")/(COUNTIF($AD$2:AD408,"Win")+COUNTIF($AD$2:AD408,"Loss")))</f>
        <v/>
      </c>
      <c r="AF408" s="6">
        <f>SUM($Y$2:Y408)/SUM($X$2:X408)</f>
        <v/>
      </c>
      <c r="AG408" s="5">
        <f>SUM($Y$2:Y408)</f>
        <v/>
      </c>
      <c r="AH408" s="7">
        <f>10000.0+SUM($AA$2:AA408)</f>
        <v/>
      </c>
      <c r="AI408" s="2" t="n">
        <v>2026</v>
      </c>
      <c r="AJ408" s="2" t="inlineStr">
        <is>
          <t>2026-05</t>
        </is>
      </c>
      <c r="AK408" s="2" t="inlineStr">
        <is>
          <t>+100 to +120</t>
        </is>
      </c>
      <c r="AL408" s="2" t="inlineStr">
        <is>
          <t>2026 Frozen Test</t>
        </is>
      </c>
      <c r="AM408" s="6" t="n">
        <v>0.3330713431892383</v>
      </c>
    </row>
    <row r="409">
      <c r="A409" s="2" t="inlineStr">
        <is>
          <t>KPROP-00810</t>
        </is>
      </c>
      <c r="B409" s="3" t="n">
        <v>46162.67403935185</v>
      </c>
      <c r="C409" s="3" t="n">
        <v>46162</v>
      </c>
      <c r="D409" s="2" t="inlineStr">
        <is>
          <t>Emerson Hancock</t>
        </is>
      </c>
      <c r="E409" s="2" t="n">
        <v>136</v>
      </c>
      <c r="F409" s="2" t="n">
        <v>145</v>
      </c>
      <c r="G409" s="2" t="inlineStr">
        <is>
          <t>Home</t>
        </is>
      </c>
      <c r="H409" s="2" t="inlineStr">
        <is>
          <t>betrivers</t>
        </is>
      </c>
      <c r="I409" s="4" t="n"/>
      <c r="J409" s="4" t="n"/>
      <c r="K409" s="4" t="n">
        <v>102</v>
      </c>
      <c r="L409" s="4" t="n">
        <v>102</v>
      </c>
      <c r="M409" s="5" t="n">
        <v>5.5</v>
      </c>
      <c r="N409" s="5" t="n">
        <v>5.018158271150233</v>
      </c>
      <c r="O409" s="5" t="n">
        <v>5.5</v>
      </c>
      <c r="P409" s="5" t="n">
        <v>0.4818417288497674</v>
      </c>
      <c r="Q409" s="6" t="n">
        <v>0.2378045015333752</v>
      </c>
      <c r="R409" s="6" t="n">
        <v>0.6127745057095917</v>
      </c>
      <c r="S409" s="6" t="n">
        <v>0.4806617482673821</v>
      </c>
      <c r="T409" s="2" t="inlineStr">
        <is>
          <t>Under</t>
        </is>
      </c>
      <c r="U409" s="4" t="n">
        <v>102</v>
      </c>
      <c r="V409" s="2" t="n">
        <v>2.02</v>
      </c>
      <c r="W409" s="4" t="n">
        <v>102</v>
      </c>
      <c r="X409" s="2" t="n">
        <v>1</v>
      </c>
      <c r="Y409" s="5" t="n">
        <v>1.02</v>
      </c>
      <c r="Z409" s="7" t="n">
        <v>100</v>
      </c>
      <c r="AA409" s="7">
        <f>Y409*Z409</f>
        <v/>
      </c>
      <c r="AB409" s="6">
        <f>IF(Z409=0,0,AA409/Z409)</f>
        <v/>
      </c>
      <c r="AC409" s="6" t="n"/>
      <c r="AD409" s="2" t="inlineStr">
        <is>
          <t>Win</t>
        </is>
      </c>
      <c r="AE409" s="6">
        <f>IF((COUNTIF($AD$2:AD409,"Win")+COUNTIF($AD$2:AD409,"Loss"))=0,0,COUNTIF($AD$2:AD409,"Win")/(COUNTIF($AD$2:AD409,"Win")+COUNTIF($AD$2:AD409,"Loss")))</f>
        <v/>
      </c>
      <c r="AF409" s="6">
        <f>SUM($Y$2:Y409)/SUM($X$2:X409)</f>
        <v/>
      </c>
      <c r="AG409" s="5">
        <f>SUM($Y$2:Y409)</f>
        <v/>
      </c>
      <c r="AH409" s="7">
        <f>10000.0+SUM($AA$2:AA409)</f>
        <v/>
      </c>
      <c r="AI409" s="2" t="n">
        <v>2026</v>
      </c>
      <c r="AJ409" s="2" t="inlineStr">
        <is>
          <t>2026-05</t>
        </is>
      </c>
      <c r="AK409" s="2" t="inlineStr">
        <is>
          <t>+100 to +120</t>
        </is>
      </c>
      <c r="AL409" s="2" t="inlineStr">
        <is>
          <t>2026 Frozen Test</t>
        </is>
      </c>
      <c r="AM409" s="6" t="n">
        <v>0.2331416681699757</v>
      </c>
    </row>
    <row r="410">
      <c r="A410" s="2" t="inlineStr">
        <is>
          <t>KPROP-00811</t>
        </is>
      </c>
      <c r="B410" s="3" t="n">
        <v>46162.56987268518</v>
      </c>
      <c r="C410" s="3" t="n">
        <v>46162</v>
      </c>
      <c r="D410" s="2" t="inlineStr">
        <is>
          <t>Joe Ryan</t>
        </is>
      </c>
      <c r="E410" s="2" t="n">
        <v>142</v>
      </c>
      <c r="F410" s="2" t="n">
        <v>117</v>
      </c>
      <c r="G410" s="2" t="inlineStr">
        <is>
          <t>Home</t>
        </is>
      </c>
      <c r="H410" s="2" t="inlineStr">
        <is>
          <t>betrivers</t>
        </is>
      </c>
      <c r="I410" s="4" t="n"/>
      <c r="J410" s="4" t="n"/>
      <c r="K410" s="4" t="n">
        <v>135</v>
      </c>
      <c r="L410" s="4" t="n">
        <v>135</v>
      </c>
      <c r="M410" s="5" t="n">
        <v>5.5</v>
      </c>
      <c r="N410" s="5" t="n">
        <v>5.685295720016922</v>
      </c>
      <c r="O410" s="5" t="n">
        <v>5.5</v>
      </c>
      <c r="P410" s="5" t="n">
        <v>-0.1852957200169216</v>
      </c>
      <c r="Q410" s="6" t="n">
        <v>0.1690169592535976</v>
      </c>
      <c r="R410" s="6" t="n">
        <v>0.4974540252142968</v>
      </c>
      <c r="S410" s="6" t="n">
        <v>0.3973509933774834</v>
      </c>
      <c r="T410" s="2" t="inlineStr">
        <is>
          <t>Under</t>
        </is>
      </c>
      <c r="U410" s="4" t="n">
        <v>135</v>
      </c>
      <c r="V410" s="2" t="n">
        <v>2.35</v>
      </c>
      <c r="W410" s="4" t="n">
        <v>135</v>
      </c>
      <c r="X410" s="2" t="n">
        <v>1</v>
      </c>
      <c r="Y410" s="5" t="n">
        <v>-1</v>
      </c>
      <c r="Z410" s="7" t="n">
        <v>100</v>
      </c>
      <c r="AA410" s="7">
        <f>Y410*Z410</f>
        <v/>
      </c>
      <c r="AB410" s="6">
        <f>IF(Z410=0,0,AA410/Z410)</f>
        <v/>
      </c>
      <c r="AC410" s="6" t="n"/>
      <c r="AD410" s="2" t="inlineStr">
        <is>
          <t>Loss</t>
        </is>
      </c>
      <c r="AE410" s="6">
        <f>IF((COUNTIF($AD$2:AD410,"Win")+COUNTIF($AD$2:AD410,"Loss"))=0,0,COUNTIF($AD$2:AD410,"Win")/(COUNTIF($AD$2:AD410,"Win")+COUNTIF($AD$2:AD410,"Loss")))</f>
        <v/>
      </c>
      <c r="AF410" s="6">
        <f>SUM($Y$2:Y410)/SUM($X$2:X410)</f>
        <v/>
      </c>
      <c r="AG410" s="5">
        <f>SUM($Y$2:Y410)</f>
        <v/>
      </c>
      <c r="AH410" s="7">
        <f>10000.0+SUM($AA$2:AA410)</f>
        <v/>
      </c>
      <c r="AI410" s="2" t="n">
        <v>2026</v>
      </c>
      <c r="AJ410" s="2" t="inlineStr">
        <is>
          <t>2026-05</t>
        </is>
      </c>
      <c r="AK410" s="2" t="inlineStr">
        <is>
          <t>+121 to +150</t>
        </is>
      </c>
      <c r="AL410" s="2" t="inlineStr">
        <is>
          <t>2026 Frozen Test</t>
        </is>
      </c>
      <c r="AM410" s="6" t="n">
        <v>0.1251977475952575</v>
      </c>
    </row>
    <row r="411">
      <c r="A411" s="2" t="inlineStr">
        <is>
          <t>KPROP-00812</t>
        </is>
      </c>
      <c r="B411" s="3" t="n">
        <v>46162.56987268518</v>
      </c>
      <c r="C411" s="3" t="n">
        <v>46162</v>
      </c>
      <c r="D411" s="2" t="inlineStr">
        <is>
          <t>Joe Ryan</t>
        </is>
      </c>
      <c r="E411" s="2" t="n">
        <v>142</v>
      </c>
      <c r="F411" s="2" t="n">
        <v>117</v>
      </c>
      <c r="G411" s="2" t="inlineStr">
        <is>
          <t>Home</t>
        </is>
      </c>
      <c r="H411" s="2" t="inlineStr">
        <is>
          <t>betmgm</t>
        </is>
      </c>
      <c r="I411" s="4" t="n"/>
      <c r="J411" s="4" t="n"/>
      <c r="K411" s="4" t="n">
        <v>-135</v>
      </c>
      <c r="L411" s="4" t="n">
        <v>-135</v>
      </c>
      <c r="M411" s="5" t="n">
        <v>6.5</v>
      </c>
      <c r="N411" s="5" t="n">
        <v>5.685295720016922</v>
      </c>
      <c r="O411" s="5" t="n">
        <v>6.5</v>
      </c>
      <c r="P411" s="5" t="n">
        <v>0.8147042799830784</v>
      </c>
      <c r="Q411" s="6" t="n">
        <v>0.143160298181597</v>
      </c>
      <c r="R411" s="6" t="n">
        <v>0.6567091074660238</v>
      </c>
      <c r="S411" s="6" t="n">
        <v>0.54911742133538</v>
      </c>
      <c r="T411" s="2" t="inlineStr">
        <is>
          <t>Under</t>
        </is>
      </c>
      <c r="U411" s="4" t="n">
        <v>-135</v>
      </c>
      <c r="V411" s="2" t="n">
        <v>1.740740740740741</v>
      </c>
      <c r="W411" s="4" t="n">
        <v>-135</v>
      </c>
      <c r="X411" s="2" t="n">
        <v>1</v>
      </c>
      <c r="Y411" s="5" t="n">
        <v>-1</v>
      </c>
      <c r="Z411" s="7" t="n">
        <v>100</v>
      </c>
      <c r="AA411" s="7">
        <f>Y411*Z411</f>
        <v/>
      </c>
      <c r="AB411" s="6">
        <f>IF(Z411=0,0,AA411/Z411)</f>
        <v/>
      </c>
      <c r="AC411" s="6" t="n"/>
      <c r="AD411" s="2" t="inlineStr">
        <is>
          <t>Loss</t>
        </is>
      </c>
      <c r="AE411" s="6">
        <f>IF((COUNTIF($AD$2:AD411,"Win")+COUNTIF($AD$2:AD411,"Loss"))=0,0,COUNTIF($AD$2:AD411,"Win")/(COUNTIF($AD$2:AD411,"Win")+COUNTIF($AD$2:AD411,"Loss")))</f>
        <v/>
      </c>
      <c r="AF411" s="6">
        <f>SUM($Y$2:Y411)/SUM($X$2:X411)</f>
        <v/>
      </c>
      <c r="AG411" s="5">
        <f>SUM($Y$2:Y411)</f>
        <v/>
      </c>
      <c r="AH411" s="7">
        <f>10000.0+SUM($AA$2:AA411)</f>
        <v/>
      </c>
      <c r="AI411" s="2" t="n">
        <v>2026</v>
      </c>
      <c r="AJ411" s="2" t="inlineStr">
        <is>
          <t>2026-05</t>
        </is>
      </c>
      <c r="AK411" s="2" t="inlineStr">
        <is>
          <t>-149 to -120</t>
        </is>
      </c>
      <c r="AL411" s="2" t="inlineStr">
        <is>
          <t>2026 Frozen Test</t>
        </is>
      </c>
      <c r="AM411" s="6" t="n">
        <v>0.193266402545156</v>
      </c>
    </row>
    <row r="412">
      <c r="A412" s="2" t="inlineStr">
        <is>
          <t>KPROP-00813</t>
        </is>
      </c>
      <c r="B412" s="3" t="n">
        <v>46162.79556712963</v>
      </c>
      <c r="C412" s="3" t="n">
        <v>46162</v>
      </c>
      <c r="D412" s="2" t="inlineStr">
        <is>
          <t>Trey Yesavage</t>
        </is>
      </c>
      <c r="E412" s="2" t="n">
        <v>141</v>
      </c>
      <c r="F412" s="2" t="n">
        <v>147</v>
      </c>
      <c r="G412" s="2" t="inlineStr">
        <is>
          <t>Away</t>
        </is>
      </c>
      <c r="H412" s="2" t="inlineStr">
        <is>
          <t>betonlineag</t>
        </is>
      </c>
      <c r="I412" s="4" t="n"/>
      <c r="J412" s="4" t="n"/>
      <c r="K412" s="4" t="n">
        <v>128</v>
      </c>
      <c r="L412" s="4" t="n">
        <v>128</v>
      </c>
      <c r="M412" s="5" t="n">
        <v>5.5</v>
      </c>
      <c r="N412" s="5" t="n">
        <v>5.694298407458681</v>
      </c>
      <c r="O412" s="5" t="n">
        <v>5.5</v>
      </c>
      <c r="P412" s="5" t="n">
        <v>-0.1942984074586809</v>
      </c>
      <c r="Q412" s="6" t="n">
        <v>0.1307472193487628</v>
      </c>
      <c r="R412" s="6" t="n">
        <v>0.4959417628722643</v>
      </c>
      <c r="S412" s="6" t="n">
        <v>0.4321711104600058</v>
      </c>
      <c r="T412" s="2" t="inlineStr">
        <is>
          <t>Under</t>
        </is>
      </c>
      <c r="U412" s="4" t="n">
        <v>128</v>
      </c>
      <c r="V412" s="2" t="n">
        <v>2.28</v>
      </c>
      <c r="W412" s="4" t="n">
        <v>128</v>
      </c>
      <c r="X412" s="2" t="n">
        <v>1</v>
      </c>
      <c r="Y412" s="5" t="n">
        <v>-1</v>
      </c>
      <c r="Z412" s="7" t="n">
        <v>100</v>
      </c>
      <c r="AA412" s="7">
        <f>Y412*Z412</f>
        <v/>
      </c>
      <c r="AB412" s="6">
        <f>IF(Z412=0,0,AA412/Z412)</f>
        <v/>
      </c>
      <c r="AC412" s="6" t="n"/>
      <c r="AD412" s="2" t="inlineStr">
        <is>
          <t>Loss</t>
        </is>
      </c>
      <c r="AE412" s="6">
        <f>IF((COUNTIF($AD$2:AD412,"Win")+COUNTIF($AD$2:AD412,"Loss"))=0,0,COUNTIF($AD$2:AD412,"Win")/(COUNTIF($AD$2:AD412,"Win")+COUNTIF($AD$2:AD412,"Loss")))</f>
        <v/>
      </c>
      <c r="AF412" s="6">
        <f>SUM($Y$2:Y412)/SUM($X$2:X412)</f>
        <v/>
      </c>
      <c r="AG412" s="5">
        <f>SUM($Y$2:Y412)</f>
        <v/>
      </c>
      <c r="AH412" s="7">
        <f>10000.0+SUM($AA$2:AA412)</f>
        <v/>
      </c>
      <c r="AI412" s="2" t="n">
        <v>2026</v>
      </c>
      <c r="AJ412" s="2" t="inlineStr">
        <is>
          <t>2026-05</t>
        </is>
      </c>
      <c r="AK412" s="2" t="inlineStr">
        <is>
          <t>+121 to +150</t>
        </is>
      </c>
      <c r="AL412" s="2" t="inlineStr">
        <is>
          <t>2026 Frozen Test</t>
        </is>
      </c>
      <c r="AM412" s="6" t="n">
        <v>0.1021462651162209</v>
      </c>
    </row>
    <row r="413">
      <c r="A413" s="2" t="inlineStr">
        <is>
          <t>KPROP-00814</t>
        </is>
      </c>
      <c r="B413" s="3" t="n">
        <v>46163.79556712963</v>
      </c>
      <c r="C413" s="3" t="n">
        <v>46163</v>
      </c>
      <c r="D413" s="2" t="inlineStr">
        <is>
          <t>Carlos Rodón</t>
        </is>
      </c>
      <c r="E413" s="2" t="n">
        <v>147</v>
      </c>
      <c r="F413" s="2" t="n">
        <v>141</v>
      </c>
      <c r="G413" s="2" t="inlineStr">
        <is>
          <t>Home</t>
        </is>
      </c>
      <c r="H413" s="2" t="inlineStr">
        <is>
          <t>betrivers</t>
        </is>
      </c>
      <c r="I413" s="4" t="n"/>
      <c r="J413" s="4" t="n"/>
      <c r="K413" s="4" t="n">
        <v>138</v>
      </c>
      <c r="L413" s="4" t="n">
        <v>138</v>
      </c>
      <c r="M413" s="5" t="n">
        <v>4.5</v>
      </c>
      <c r="N413" s="5" t="n">
        <v>4.790685438460798</v>
      </c>
      <c r="O413" s="5" t="n">
        <v>4.5</v>
      </c>
      <c r="P413" s="5" t="n">
        <v>-0.2906854384607982</v>
      </c>
      <c r="Q413" s="6" t="n">
        <v>0.1375342921362175</v>
      </c>
      <c r="R413" s="6" t="n">
        <v>0.4779555849311838</v>
      </c>
      <c r="S413" s="6" t="n">
        <v>0.3924905308228578</v>
      </c>
      <c r="T413" s="2" t="inlineStr">
        <is>
          <t>Under</t>
        </is>
      </c>
      <c r="U413" s="4" t="n">
        <v>138</v>
      </c>
      <c r="V413" s="2" t="n">
        <v>2.38</v>
      </c>
      <c r="W413" s="4" t="n">
        <v>138</v>
      </c>
      <c r="X413" s="2" t="n">
        <v>1</v>
      </c>
      <c r="Y413" s="5" t="n">
        <v>-1</v>
      </c>
      <c r="Z413" s="7" t="n">
        <v>100</v>
      </c>
      <c r="AA413" s="7">
        <f>Y413*Z413</f>
        <v/>
      </c>
      <c r="AB413" s="6">
        <f>IF(Z413=0,0,AA413/Z413)</f>
        <v/>
      </c>
      <c r="AC413" s="6" t="n"/>
      <c r="AD413" s="2" t="inlineStr">
        <is>
          <t>Loss</t>
        </is>
      </c>
      <c r="AE413" s="6">
        <f>IF((COUNTIF($AD$2:AD413,"Win")+COUNTIF($AD$2:AD413,"Loss"))=0,0,COUNTIF($AD$2:AD413,"Win")/(COUNTIF($AD$2:AD413,"Win")+COUNTIF($AD$2:AD413,"Loss")))</f>
        <v/>
      </c>
      <c r="AF413" s="6">
        <f>SUM($Y$2:Y413)/SUM($X$2:X413)</f>
        <v/>
      </c>
      <c r="AG413" s="5">
        <f>SUM($Y$2:Y413)</f>
        <v/>
      </c>
      <c r="AH413" s="7">
        <f>10000.0+SUM($AA$2:AA413)</f>
        <v/>
      </c>
      <c r="AI413" s="2" t="n">
        <v>2026</v>
      </c>
      <c r="AJ413" s="2" t="inlineStr">
        <is>
          <t>2026-05</t>
        </is>
      </c>
      <c r="AK413" s="2" t="inlineStr">
        <is>
          <t>+121 to +150</t>
        </is>
      </c>
      <c r="AL413" s="2" t="inlineStr">
        <is>
          <t>2026 Frozen Test</t>
        </is>
      </c>
      <c r="AM413" s="6" t="n">
        <v>0.09966253053349095</v>
      </c>
    </row>
    <row r="414">
      <c r="A414" s="2" t="inlineStr">
        <is>
          <t>KPROP-00815</t>
        </is>
      </c>
      <c r="B414" s="3" t="n">
        <v>46163.79556712963</v>
      </c>
      <c r="C414" s="3" t="n">
        <v>46163</v>
      </c>
      <c r="D414" s="2" t="inlineStr">
        <is>
          <t>Carlos Rodón</t>
        </is>
      </c>
      <c r="E414" s="2" t="n">
        <v>147</v>
      </c>
      <c r="F414" s="2" t="n">
        <v>141</v>
      </c>
      <c r="G414" s="2" t="inlineStr">
        <is>
          <t>Home</t>
        </is>
      </c>
      <c r="H414" s="2" t="inlineStr">
        <is>
          <t>fanatics</t>
        </is>
      </c>
      <c r="I414" s="4" t="n"/>
      <c r="J414" s="4" t="n"/>
      <c r="K414" s="4" t="n">
        <v>-140</v>
      </c>
      <c r="L414" s="4" t="n">
        <v>-140</v>
      </c>
      <c r="M414" s="5" t="n">
        <v>5.5</v>
      </c>
      <c r="N414" s="5" t="n">
        <v>4.790685438460798</v>
      </c>
      <c r="O414" s="5" t="n">
        <v>5.5</v>
      </c>
      <c r="P414" s="5" t="n">
        <v>0.7093145615392018</v>
      </c>
      <c r="Q414" s="6" t="n">
        <v>0.1188008246718754</v>
      </c>
      <c r="R414" s="6" t="n">
        <v>0.6526338143919272</v>
      </c>
      <c r="S414" s="6" t="n">
        <v>0.5586612725266643</v>
      </c>
      <c r="T414" s="2" t="inlineStr">
        <is>
          <t>Under</t>
        </is>
      </c>
      <c r="U414" s="4" t="n">
        <v>-140</v>
      </c>
      <c r="V414" s="2" t="n">
        <v>1.714285714285714</v>
      </c>
      <c r="W414" s="4" t="n">
        <v>-140</v>
      </c>
      <c r="X414" s="2" t="n">
        <v>1</v>
      </c>
      <c r="Y414" s="5" t="n">
        <v>-1</v>
      </c>
      <c r="Z414" s="7" t="n">
        <v>100</v>
      </c>
      <c r="AA414" s="7">
        <f>Y414*Z414</f>
        <v/>
      </c>
      <c r="AB414" s="6">
        <f>IF(Z414=0,0,AA414/Z414)</f>
        <v/>
      </c>
      <c r="AC414" s="6" t="n"/>
      <c r="AD414" s="2" t="inlineStr">
        <is>
          <t>Loss</t>
        </is>
      </c>
      <c r="AE414" s="6">
        <f>IF((COUNTIF($AD$2:AD414,"Win")+COUNTIF($AD$2:AD414,"Loss"))=0,0,COUNTIF($AD$2:AD414,"Win")/(COUNTIF($AD$2:AD414,"Win")+COUNTIF($AD$2:AD414,"Loss")))</f>
        <v/>
      </c>
      <c r="AF414" s="6">
        <f>SUM($Y$2:Y414)/SUM($X$2:X414)</f>
        <v/>
      </c>
      <c r="AG414" s="5">
        <f>SUM($Y$2:Y414)</f>
        <v/>
      </c>
      <c r="AH414" s="7">
        <f>10000.0+SUM($AA$2:AA414)</f>
        <v/>
      </c>
      <c r="AI414" s="2" t="n">
        <v>2026</v>
      </c>
      <c r="AJ414" s="2" t="inlineStr">
        <is>
          <t>2026-05</t>
        </is>
      </c>
      <c r="AK414" s="2" t="inlineStr">
        <is>
          <t>-149 to -120</t>
        </is>
      </c>
      <c r="AL414" s="2" t="inlineStr">
        <is>
          <t>2026 Frozen Test</t>
        </is>
      </c>
      <c r="AM414" s="6" t="n">
        <v>0.1663211545406255</v>
      </c>
    </row>
    <row r="415">
      <c r="A415" s="2" t="inlineStr">
        <is>
          <t>KPROP-00816</t>
        </is>
      </c>
      <c r="B415" s="3" t="n">
        <v>46163.54903935185</v>
      </c>
      <c r="C415" s="3" t="n">
        <v>46163</v>
      </c>
      <c r="D415" s="2" t="inlineStr">
        <is>
          <t>Casey Mize</t>
        </is>
      </c>
      <c r="E415" s="2" t="n">
        <v>116</v>
      </c>
      <c r="F415" s="2" t="n">
        <v>114</v>
      </c>
      <c r="G415" s="2" t="inlineStr">
        <is>
          <t>Home</t>
        </is>
      </c>
      <c r="H415" s="2" t="inlineStr">
        <is>
          <t>fanduel</t>
        </is>
      </c>
      <c r="I415" s="4" t="n"/>
      <c r="J415" s="4" t="n"/>
      <c r="K415" s="4" t="n">
        <v>-115</v>
      </c>
      <c r="L415" s="4" t="n">
        <v>-115</v>
      </c>
      <c r="M415" s="5" t="n">
        <v>4.5</v>
      </c>
      <c r="N415" s="5" t="n">
        <v>4.280409298888909</v>
      </c>
      <c r="O415" s="5" t="n">
        <v>4.5</v>
      </c>
      <c r="P415" s="5" t="n">
        <v>0.2195907011110911</v>
      </c>
      <c r="Q415" s="6" t="n">
        <v>0.07355523052273616</v>
      </c>
      <c r="R415" s="6" t="n">
        <v>0.5742272163261147</v>
      </c>
      <c r="S415" s="6" t="n">
        <v>0.5108342361863488</v>
      </c>
      <c r="T415" s="2" t="inlineStr">
        <is>
          <t>Under</t>
        </is>
      </c>
      <c r="U415" s="4" t="n">
        <v>-115</v>
      </c>
      <c r="V415" s="2" t="n">
        <v>1.869565217391304</v>
      </c>
      <c r="W415" s="4" t="n">
        <v>-115</v>
      </c>
      <c r="X415" s="2" t="n">
        <v>1</v>
      </c>
      <c r="Y415" s="5" t="n">
        <v>0.8695652173913042</v>
      </c>
      <c r="Z415" s="7" t="n">
        <v>100</v>
      </c>
      <c r="AA415" s="7">
        <f>Y415*Z415</f>
        <v/>
      </c>
      <c r="AB415" s="6">
        <f>IF(Z415=0,0,AA415/Z415)</f>
        <v/>
      </c>
      <c r="AC415" s="6" t="n"/>
      <c r="AD415" s="2" t="inlineStr">
        <is>
          <t>Win</t>
        </is>
      </c>
      <c r="AE415" s="6">
        <f>IF((COUNTIF($AD$2:AD415,"Win")+COUNTIF($AD$2:AD415,"Loss"))=0,0,COUNTIF($AD$2:AD415,"Win")/(COUNTIF($AD$2:AD415,"Win")+COUNTIF($AD$2:AD415,"Loss")))</f>
        <v/>
      </c>
      <c r="AF415" s="6">
        <f>SUM($Y$2:Y415)/SUM($X$2:X415)</f>
        <v/>
      </c>
      <c r="AG415" s="5">
        <f>SUM($Y$2:Y415)</f>
        <v/>
      </c>
      <c r="AH415" s="7">
        <f>10000.0+SUM($AA$2:AA415)</f>
        <v/>
      </c>
      <c r="AI415" s="2" t="n">
        <v>2026</v>
      </c>
      <c r="AJ415" s="2" t="inlineStr">
        <is>
          <t>2026-05</t>
        </is>
      </c>
      <c r="AK415" s="2" t="inlineStr">
        <is>
          <t>-119 to -101</t>
        </is>
      </c>
      <c r="AL415" s="2" t="inlineStr">
        <is>
          <t>2026 Frozen Test</t>
        </is>
      </c>
      <c r="AM415" s="6" t="n">
        <v>0.08458851510114659</v>
      </c>
    </row>
    <row r="416">
      <c r="A416" s="2" t="inlineStr">
        <is>
          <t>KPROP-00817</t>
        </is>
      </c>
      <c r="B416" s="3" t="n">
        <v>46163.67057870371</v>
      </c>
      <c r="C416" s="3" t="n">
        <v>46163</v>
      </c>
      <c r="D416" s="2" t="inlineStr">
        <is>
          <t>David Peterson</t>
        </is>
      </c>
      <c r="E416" s="2" t="n">
        <v>121</v>
      </c>
      <c r="F416" s="2" t="n">
        <v>120</v>
      </c>
      <c r="G416" s="2" t="inlineStr">
        <is>
          <t>Away</t>
        </is>
      </c>
      <c r="H416" s="2" t="inlineStr">
        <is>
          <t>betrivers</t>
        </is>
      </c>
      <c r="I416" s="4" t="n"/>
      <c r="J416" s="4" t="n"/>
      <c r="K416" s="4" t="n">
        <v>-113</v>
      </c>
      <c r="L416" s="4" t="n">
        <v>-113</v>
      </c>
      <c r="M416" s="5" t="n">
        <v>4.5</v>
      </c>
      <c r="N416" s="5" t="n">
        <v>4.157251210792202</v>
      </c>
      <c r="O416" s="5" t="n">
        <v>4.5</v>
      </c>
      <c r="P416" s="5" t="n">
        <v>0.3427487892077981</v>
      </c>
      <c r="Q416" s="6" t="n">
        <v>0.1274792796351585</v>
      </c>
      <c r="R416" s="6" t="n">
        <v>0.5981462845012813</v>
      </c>
      <c r="S416" s="6" t="n">
        <v>0.5087854162090929</v>
      </c>
      <c r="T416" s="2" t="inlineStr">
        <is>
          <t>Under</t>
        </is>
      </c>
      <c r="U416" s="4" t="n">
        <v>-113</v>
      </c>
      <c r="V416" s="2" t="n">
        <v>1.884955752212389</v>
      </c>
      <c r="W416" s="4" t="n">
        <v>-113</v>
      </c>
      <c r="X416" s="2" t="n">
        <v>1</v>
      </c>
      <c r="Y416" s="5" t="n">
        <v>0.8849557522123894</v>
      </c>
      <c r="Z416" s="7" t="n">
        <v>100</v>
      </c>
      <c r="AA416" s="7">
        <f>Y416*Z416</f>
        <v/>
      </c>
      <c r="AB416" s="6">
        <f>IF(Z416=0,0,AA416/Z416)</f>
        <v/>
      </c>
      <c r="AC416" s="6" t="n"/>
      <c r="AD416" s="2" t="inlineStr">
        <is>
          <t>Win</t>
        </is>
      </c>
      <c r="AE416" s="6">
        <f>IF((COUNTIF($AD$2:AD416,"Win")+COUNTIF($AD$2:AD416,"Loss"))=0,0,COUNTIF($AD$2:AD416,"Win")/(COUNTIF($AD$2:AD416,"Win")+COUNTIF($AD$2:AD416,"Loss")))</f>
        <v/>
      </c>
      <c r="AF416" s="6">
        <f>SUM($Y$2:Y416)/SUM($X$2:X416)</f>
        <v/>
      </c>
      <c r="AG416" s="5">
        <f>SUM($Y$2:Y416)</f>
        <v/>
      </c>
      <c r="AH416" s="7">
        <f>10000.0+SUM($AA$2:AA416)</f>
        <v/>
      </c>
      <c r="AI416" s="2" t="n">
        <v>2026</v>
      </c>
      <c r="AJ416" s="2" t="inlineStr">
        <is>
          <t>2026-05</t>
        </is>
      </c>
      <c r="AK416" s="2" t="inlineStr">
        <is>
          <t>-119 to -101</t>
        </is>
      </c>
      <c r="AL416" s="2" t="inlineStr">
        <is>
          <t>2026 Frozen Test</t>
        </is>
      </c>
      <c r="AM416" s="6" t="n">
        <v>0.1440515859877291</v>
      </c>
    </row>
    <row r="417">
      <c r="A417" s="2" t="inlineStr">
        <is>
          <t>KPROP-00818</t>
        </is>
      </c>
      <c r="B417" s="3" t="n">
        <v>46164.77820601852</v>
      </c>
      <c r="C417" s="3" t="n">
        <v>46164</v>
      </c>
      <c r="D417" s="2" t="inlineStr">
        <is>
          <t>Cristopher Sánchez</t>
        </is>
      </c>
      <c r="E417" s="2" t="n">
        <v>143</v>
      </c>
      <c r="F417" s="2" t="n">
        <v>114</v>
      </c>
      <c r="G417" s="2" t="inlineStr">
        <is>
          <t>Home</t>
        </is>
      </c>
      <c r="H417" s="2" t="inlineStr">
        <is>
          <t>betrivers</t>
        </is>
      </c>
      <c r="I417" s="4" t="n"/>
      <c r="J417" s="4" t="n"/>
      <c r="K417" s="4" t="n">
        <v>114</v>
      </c>
      <c r="L417" s="4" t="n">
        <v>114</v>
      </c>
      <c r="M417" s="5" t="n">
        <v>6.5</v>
      </c>
      <c r="N417" s="5" t="n">
        <v>6.029809180076317</v>
      </c>
      <c r="O417" s="5" t="n">
        <v>6.5</v>
      </c>
      <c r="P417" s="5" t="n">
        <v>0.4701908199236833</v>
      </c>
      <c r="Q417" s="6" t="n">
        <v>0.2872417921921162</v>
      </c>
      <c r="R417" s="6" t="n">
        <v>0.6015148561645404</v>
      </c>
      <c r="S417" s="6" t="n">
        <v>0.4623569649115399</v>
      </c>
      <c r="T417" s="2" t="inlineStr">
        <is>
          <t>Under</t>
        </is>
      </c>
      <c r="U417" s="4" t="n">
        <v>114</v>
      </c>
      <c r="V417" s="2" t="n">
        <v>2.14</v>
      </c>
      <c r="W417" s="4" t="n">
        <v>114</v>
      </c>
      <c r="X417" s="2" t="n">
        <v>1</v>
      </c>
      <c r="Y417" s="5" t="n">
        <v>1.14</v>
      </c>
      <c r="Z417" s="7" t="n">
        <v>100</v>
      </c>
      <c r="AA417" s="7">
        <f>Y417*Z417</f>
        <v/>
      </c>
      <c r="AB417" s="6">
        <f>IF(Z417=0,0,AA417/Z417)</f>
        <v/>
      </c>
      <c r="AC417" s="6" t="n"/>
      <c r="AD417" s="2" t="inlineStr">
        <is>
          <t>Win</t>
        </is>
      </c>
      <c r="AE417" s="6">
        <f>IF((COUNTIF($AD$2:AD417,"Win")+COUNTIF($AD$2:AD417,"Loss"))=0,0,COUNTIF($AD$2:AD417,"Win")/(COUNTIF($AD$2:AD417,"Win")+COUNTIF($AD$2:AD417,"Loss")))</f>
        <v/>
      </c>
      <c r="AF417" s="6">
        <f>SUM($Y$2:Y417)/SUM($X$2:X417)</f>
        <v/>
      </c>
      <c r="AG417" s="5">
        <f>SUM($Y$2:Y417)</f>
        <v/>
      </c>
      <c r="AH417" s="7">
        <f>10000.0+SUM($AA$2:AA417)</f>
        <v/>
      </c>
      <c r="AI417" s="2" t="n">
        <v>2026</v>
      </c>
      <c r="AJ417" s="2" t="inlineStr">
        <is>
          <t>2026-05</t>
        </is>
      </c>
      <c r="AK417" s="2" t="inlineStr">
        <is>
          <t>+100 to +120</t>
        </is>
      </c>
      <c r="AL417" s="2" t="inlineStr">
        <is>
          <t>2026 Frozen Test</t>
        </is>
      </c>
      <c r="AM417" s="6" t="n">
        <v>0.2519664843790494</v>
      </c>
    </row>
    <row r="418">
      <c r="A418" s="2" t="inlineStr">
        <is>
          <t>KPROP-00819</t>
        </is>
      </c>
      <c r="B418" s="3" t="n">
        <v>46164.77820601852</v>
      </c>
      <c r="C418" s="3" t="n">
        <v>46164</v>
      </c>
      <c r="D418" s="2" t="inlineStr">
        <is>
          <t>Cristopher Sánchez</t>
        </is>
      </c>
      <c r="E418" s="2" t="n">
        <v>143</v>
      </c>
      <c r="F418" s="2" t="n">
        <v>114</v>
      </c>
      <c r="G418" s="2" t="inlineStr">
        <is>
          <t>Home</t>
        </is>
      </c>
      <c r="H418" s="2" t="inlineStr">
        <is>
          <t>betrivers</t>
        </is>
      </c>
      <c r="I418" s="4" t="n"/>
      <c r="J418" s="4" t="n"/>
      <c r="K418" s="4" t="n">
        <v>-180</v>
      </c>
      <c r="L418" s="4" t="n">
        <v>-180</v>
      </c>
      <c r="M418" s="5" t="n">
        <v>7.5</v>
      </c>
      <c r="N418" s="5" t="n">
        <v>6.029809180076317</v>
      </c>
      <c r="O418" s="5" t="n">
        <v>7.5</v>
      </c>
      <c r="P418" s="5" t="n">
        <v>1.470190819923683</v>
      </c>
      <c r="Q418" s="6" t="n">
        <v>0.1509020898862104</v>
      </c>
      <c r="R418" s="6" t="n">
        <v>0.7398656292125638</v>
      </c>
      <c r="S418" s="6" t="n">
        <v>0.6017069701280228</v>
      </c>
      <c r="T418" s="2" t="inlineStr">
        <is>
          <t>Under</t>
        </is>
      </c>
      <c r="U418" s="4" t="n">
        <v>-180</v>
      </c>
      <c r="V418" s="2" t="n">
        <v>1.555555555555556</v>
      </c>
      <c r="W418" s="4" t="n">
        <v>-180</v>
      </c>
      <c r="X418" s="2" t="n">
        <v>1</v>
      </c>
      <c r="Y418" s="5" t="n">
        <v>0.5555555555555556</v>
      </c>
      <c r="Z418" s="7" t="n">
        <v>100</v>
      </c>
      <c r="AA418" s="7">
        <f>Y418*Z418</f>
        <v/>
      </c>
      <c r="AB418" s="6">
        <f>IF(Z418=0,0,AA418/Z418)</f>
        <v/>
      </c>
      <c r="AC418" s="6" t="n"/>
      <c r="AD418" s="2" t="inlineStr">
        <is>
          <t>Win</t>
        </is>
      </c>
      <c r="AE418" s="6">
        <f>IF((COUNTIF($AD$2:AD418,"Win")+COUNTIF($AD$2:AD418,"Loss"))=0,0,COUNTIF($AD$2:AD418,"Win")/(COUNTIF($AD$2:AD418,"Win")+COUNTIF($AD$2:AD418,"Loss")))</f>
        <v/>
      </c>
      <c r="AF418" s="6">
        <f>SUM($Y$2:Y418)/SUM($X$2:X418)</f>
        <v/>
      </c>
      <c r="AG418" s="5">
        <f>SUM($Y$2:Y418)</f>
        <v/>
      </c>
      <c r="AH418" s="7">
        <f>10000.0+SUM($AA$2:AA418)</f>
        <v/>
      </c>
      <c r="AI418" s="2" t="n">
        <v>2026</v>
      </c>
      <c r="AJ418" s="2" t="inlineStr">
        <is>
          <t>2026-05</t>
        </is>
      </c>
      <c r="AK418" s="2" t="inlineStr">
        <is>
          <t>&lt;= -150</t>
        </is>
      </c>
      <c r="AL418" s="2" t="inlineStr">
        <is>
          <t>2026 Frozen Test</t>
        </is>
      </c>
      <c r="AM418" s="6" t="n">
        <v>0.2716237617951787</v>
      </c>
    </row>
    <row r="419">
      <c r="A419" s="2" t="inlineStr">
        <is>
          <t>KPROP-00820</t>
        </is>
      </c>
      <c r="B419" s="3" t="n">
        <v>46164.79556712963</v>
      </c>
      <c r="C419" s="3" t="n">
        <v>46164</v>
      </c>
      <c r="D419" s="2" t="inlineStr">
        <is>
          <t>Gerrit Cole</t>
        </is>
      </c>
      <c r="E419" s="2" t="n">
        <v>147</v>
      </c>
      <c r="F419" s="2" t="n">
        <v>139</v>
      </c>
      <c r="G419" s="2" t="inlineStr">
        <is>
          <t>Home</t>
        </is>
      </c>
      <c r="H419" s="2" t="inlineStr">
        <is>
          <t>fanduel</t>
        </is>
      </c>
      <c r="I419" s="4" t="n"/>
      <c r="J419" s="4" t="n"/>
      <c r="K419" s="4" t="n">
        <v>120</v>
      </c>
      <c r="L419" s="4" t="n">
        <v>120</v>
      </c>
      <c r="M419" s="5" t="n">
        <v>4.5</v>
      </c>
      <c r="N419" s="5" t="n">
        <v>4.688894904322559</v>
      </c>
      <c r="O419" s="5" t="n">
        <v>4.5</v>
      </c>
      <c r="P419" s="5" t="n">
        <v>-0.1888949043225594</v>
      </c>
      <c r="Q419" s="6" t="n">
        <v>0.09266099759902124</v>
      </c>
      <c r="R419" s="6" t="n">
        <v>0.4966640898177369</v>
      </c>
      <c r="S419" s="6" t="n">
        <v>0.4343971631205674</v>
      </c>
      <c r="T419" s="2" t="inlineStr">
        <is>
          <t>Under</t>
        </is>
      </c>
      <c r="U419" s="4" t="n">
        <v>120</v>
      </c>
      <c r="V419" s="2" t="n">
        <v>2.2</v>
      </c>
      <c r="W419" s="4" t="n">
        <v>120</v>
      </c>
      <c r="X419" s="2" t="n">
        <v>1</v>
      </c>
      <c r="Y419" s="5" t="n">
        <v>1.2</v>
      </c>
      <c r="Z419" s="7" t="n">
        <v>100</v>
      </c>
      <c r="AA419" s="7">
        <f>Y419*Z419</f>
        <v/>
      </c>
      <c r="AB419" s="6">
        <f>IF(Z419=0,0,AA419/Z419)</f>
        <v/>
      </c>
      <c r="AC419" s="6" t="n"/>
      <c r="AD419" s="2" t="inlineStr">
        <is>
          <t>Win</t>
        </is>
      </c>
      <c r="AE419" s="6">
        <f>IF((COUNTIF($AD$2:AD419,"Win")+COUNTIF($AD$2:AD419,"Loss"))=0,0,COUNTIF($AD$2:AD419,"Win")/(COUNTIF($AD$2:AD419,"Win")+COUNTIF($AD$2:AD419,"Loss")))</f>
        <v/>
      </c>
      <c r="AF419" s="6">
        <f>SUM($Y$2:Y419)/SUM($X$2:X419)</f>
        <v/>
      </c>
      <c r="AG419" s="5">
        <f>SUM($Y$2:Y419)</f>
        <v/>
      </c>
      <c r="AH419" s="7">
        <f>10000.0+SUM($AA$2:AA419)</f>
        <v/>
      </c>
      <c r="AI419" s="2" t="n">
        <v>2026</v>
      </c>
      <c r="AJ419" s="2" t="inlineStr">
        <is>
          <t>2026-05</t>
        </is>
      </c>
      <c r="AK419" s="2" t="inlineStr">
        <is>
          <t>+100 to +120</t>
        </is>
      </c>
      <c r="AL419" s="2" t="inlineStr">
        <is>
          <t>2026 Frozen Test</t>
        </is>
      </c>
      <c r="AM419" s="6" t="n">
        <v>0.07721749799918436</v>
      </c>
    </row>
    <row r="420">
      <c r="A420" s="2" t="inlineStr">
        <is>
          <t>KPROP-00821</t>
        </is>
      </c>
      <c r="B420" s="3" t="n">
        <v>46164.79556712963</v>
      </c>
      <c r="C420" s="3" t="n">
        <v>46164</v>
      </c>
      <c r="D420" s="2" t="inlineStr">
        <is>
          <t>Kevin Gausman</t>
        </is>
      </c>
      <c r="E420" s="2" t="n">
        <v>141</v>
      </c>
      <c r="F420" s="2" t="n">
        <v>134</v>
      </c>
      <c r="G420" s="2" t="inlineStr">
        <is>
          <t>Home</t>
        </is>
      </c>
      <c r="H420" s="2" t="inlineStr">
        <is>
          <t>fanduel</t>
        </is>
      </c>
      <c r="I420" s="4" t="n"/>
      <c r="J420" s="4" t="n"/>
      <c r="K420" s="4" t="n">
        <v>130</v>
      </c>
      <c r="L420" s="4" t="n">
        <v>130</v>
      </c>
      <c r="M420" s="5" t="n">
        <v>5.5</v>
      </c>
      <c r="N420" s="5" t="n">
        <v>5.616089996795292</v>
      </c>
      <c r="O420" s="5" t="n">
        <v>5.5</v>
      </c>
      <c r="P420" s="5" t="n">
        <v>-0.1160899967952922</v>
      </c>
      <c r="Q420" s="6" t="n">
        <v>0.171005120997779</v>
      </c>
      <c r="R420" s="6" t="n">
        <v>0.5091326613033822</v>
      </c>
      <c r="S420" s="6" t="n">
        <v>0.4128584935392373</v>
      </c>
      <c r="T420" s="2" t="inlineStr">
        <is>
          <t>Under</t>
        </is>
      </c>
      <c r="U420" s="4" t="n">
        <v>130</v>
      </c>
      <c r="V420" s="2" t="n">
        <v>2.3</v>
      </c>
      <c r="W420" s="4" t="n">
        <v>130</v>
      </c>
      <c r="X420" s="2" t="n">
        <v>1</v>
      </c>
      <c r="Y420" s="5" t="n">
        <v>-1</v>
      </c>
      <c r="Z420" s="7" t="n">
        <v>100</v>
      </c>
      <c r="AA420" s="7">
        <f>Y420*Z420</f>
        <v/>
      </c>
      <c r="AB420" s="6">
        <f>IF(Z420=0,0,AA420/Z420)</f>
        <v/>
      </c>
      <c r="AC420" s="6" t="n"/>
      <c r="AD420" s="2" t="inlineStr">
        <is>
          <t>Loss</t>
        </is>
      </c>
      <c r="AE420" s="6">
        <f>IF((COUNTIF($AD$2:AD420,"Win")+COUNTIF($AD$2:AD420,"Loss"))=0,0,COUNTIF($AD$2:AD420,"Win")/(COUNTIF($AD$2:AD420,"Win")+COUNTIF($AD$2:AD420,"Loss")))</f>
        <v/>
      </c>
      <c r="AF420" s="6">
        <f>SUM($Y$2:Y420)/SUM($X$2:X420)</f>
        <v/>
      </c>
      <c r="AG420" s="5">
        <f>SUM($Y$2:Y420)</f>
        <v/>
      </c>
      <c r="AH420" s="7">
        <f>10000.0+SUM($AA$2:AA420)</f>
        <v/>
      </c>
      <c r="AI420" s="2" t="n">
        <v>2026</v>
      </c>
      <c r="AJ420" s="2" t="inlineStr">
        <is>
          <t>2026-05</t>
        </is>
      </c>
      <c r="AK420" s="2" t="inlineStr">
        <is>
          <t>+121 to +150</t>
        </is>
      </c>
      <c r="AL420" s="2" t="inlineStr">
        <is>
          <t>2026 Frozen Test</t>
        </is>
      </c>
      <c r="AM420" s="6" t="n">
        <v>0.1315424007675223</v>
      </c>
    </row>
    <row r="421">
      <c r="A421" s="2" t="inlineStr">
        <is>
          <t>KPROP-00822</t>
        </is>
      </c>
      <c r="B421" s="3" t="n">
        <v>46164.79556712963</v>
      </c>
      <c r="C421" s="3" t="n">
        <v>46164</v>
      </c>
      <c r="D421" s="2" t="inlineStr">
        <is>
          <t>Kevin Gausman</t>
        </is>
      </c>
      <c r="E421" s="2" t="n">
        <v>141</v>
      </c>
      <c r="F421" s="2" t="n">
        <v>134</v>
      </c>
      <c r="G421" s="2" t="inlineStr">
        <is>
          <t>Home</t>
        </is>
      </c>
      <c r="H421" s="2" t="inlineStr">
        <is>
          <t>draftkings</t>
        </is>
      </c>
      <c r="I421" s="4" t="n"/>
      <c r="J421" s="4" t="n"/>
      <c r="K421" s="4" t="n">
        <v>-151</v>
      </c>
      <c r="L421" s="4" t="n">
        <v>-151</v>
      </c>
      <c r="M421" s="5" t="n">
        <v>6.5</v>
      </c>
      <c r="N421" s="5" t="n">
        <v>5.616089996795292</v>
      </c>
      <c r="O421" s="5" t="n">
        <v>6.5</v>
      </c>
      <c r="P421" s="5" t="n">
        <v>0.8839100032047078</v>
      </c>
      <c r="Q421" s="6" t="n">
        <v>0.1098983111516586</v>
      </c>
      <c r="R421" s="6" t="n">
        <v>0.6677077489398424</v>
      </c>
      <c r="S421" s="6" t="n">
        <v>0.5804780210596691</v>
      </c>
      <c r="T421" s="2" t="inlineStr">
        <is>
          <t>Under</t>
        </is>
      </c>
      <c r="U421" s="4" t="n">
        <v>-151</v>
      </c>
      <c r="V421" s="2" t="n">
        <v>1.662251655629139</v>
      </c>
      <c r="W421" s="4" t="n">
        <v>-151</v>
      </c>
      <c r="X421" s="2" t="n">
        <v>1</v>
      </c>
      <c r="Y421" s="5" t="n">
        <v>-1</v>
      </c>
      <c r="Z421" s="7" t="n">
        <v>100</v>
      </c>
      <c r="AA421" s="7">
        <f>Y421*Z421</f>
        <v/>
      </c>
      <c r="AB421" s="6">
        <f>IF(Z421=0,0,AA421/Z421)</f>
        <v/>
      </c>
      <c r="AC421" s="6" t="n"/>
      <c r="AD421" s="2" t="inlineStr">
        <is>
          <t>Loss</t>
        </is>
      </c>
      <c r="AE421" s="6">
        <f>IF((COUNTIF($AD$2:AD421,"Win")+COUNTIF($AD$2:AD421,"Loss"))=0,0,COUNTIF($AD$2:AD421,"Win")/(COUNTIF($AD$2:AD421,"Win")+COUNTIF($AD$2:AD421,"Loss")))</f>
        <v/>
      </c>
      <c r="AF421" s="6">
        <f>SUM($Y$2:Y421)/SUM($X$2:X421)</f>
        <v/>
      </c>
      <c r="AG421" s="5">
        <f>SUM($Y$2:Y421)</f>
        <v/>
      </c>
      <c r="AH421" s="7">
        <f>10000.0+SUM($AA$2:AA421)</f>
        <v/>
      </c>
      <c r="AI421" s="2" t="n">
        <v>2026</v>
      </c>
      <c r="AJ421" s="2" t="inlineStr">
        <is>
          <t>2026-05</t>
        </is>
      </c>
      <c r="AK421" s="2" t="inlineStr">
        <is>
          <t>&lt;= -150</t>
        </is>
      </c>
      <c r="AL421" s="2" t="inlineStr">
        <is>
          <t>2026 Frozen Test</t>
        </is>
      </c>
      <c r="AM421" s="6" t="n">
        <v>0.1659464498390045</v>
      </c>
    </row>
    <row r="422">
      <c r="A422" s="2" t="inlineStr">
        <is>
          <t>KPROP-00823</t>
        </is>
      </c>
      <c r="B422" s="3" t="n">
        <v>46164.81987268518</v>
      </c>
      <c r="C422" s="3" t="n">
        <v>46164</v>
      </c>
      <c r="D422" s="2" t="inlineStr">
        <is>
          <t>Logan Gilbert</t>
        </is>
      </c>
      <c r="E422" s="2" t="n">
        <v>136</v>
      </c>
      <c r="F422" s="2" t="n">
        <v>118</v>
      </c>
      <c r="G422" s="2" t="inlineStr">
        <is>
          <t>Away</t>
        </is>
      </c>
      <c r="H422" s="2" t="inlineStr">
        <is>
          <t>betonlineag</t>
        </is>
      </c>
      <c r="I422" s="4" t="n"/>
      <c r="J422" s="4" t="n"/>
      <c r="K422" s="4" t="n">
        <v>-110</v>
      </c>
      <c r="L422" s="4" t="n">
        <v>-110</v>
      </c>
      <c r="M422" s="5" t="n">
        <v>5.5</v>
      </c>
      <c r="N422" s="5" t="n">
        <v>5.116145527423479</v>
      </c>
      <c r="O422" s="5" t="n">
        <v>5.5</v>
      </c>
      <c r="P422" s="5" t="n">
        <v>0.3838544725765205</v>
      </c>
      <c r="Q422" s="6" t="n">
        <v>0.1370353781531841</v>
      </c>
      <c r="R422" s="6" t="n">
        <v>0.5955899599850012</v>
      </c>
      <c r="S422" s="6" t="n">
        <v>0.5296752519596865</v>
      </c>
      <c r="T422" s="2" t="inlineStr">
        <is>
          <t>Under</t>
        </is>
      </c>
      <c r="U422" s="4" t="n">
        <v>-110</v>
      </c>
      <c r="V422" s="2" t="n">
        <v>1.909090909090909</v>
      </c>
      <c r="W422" s="4" t="n">
        <v>-110</v>
      </c>
      <c r="X422" s="2" t="n">
        <v>1</v>
      </c>
      <c r="Y422" s="5" t="n">
        <v>-1</v>
      </c>
      <c r="Z422" s="7" t="n">
        <v>100</v>
      </c>
      <c r="AA422" s="7">
        <f>Y422*Z422</f>
        <v/>
      </c>
      <c r="AB422" s="6">
        <f>IF(Z422=0,0,AA422/Z422)</f>
        <v/>
      </c>
      <c r="AC422" s="6" t="n"/>
      <c r="AD422" s="2" t="inlineStr">
        <is>
          <t>Loss</t>
        </is>
      </c>
      <c r="AE422" s="6">
        <f>IF((COUNTIF($AD$2:AD422,"Win")+COUNTIF($AD$2:AD422,"Loss"))=0,0,COUNTIF($AD$2:AD422,"Win")/(COUNTIF($AD$2:AD422,"Win")+COUNTIF($AD$2:AD422,"Loss")))</f>
        <v/>
      </c>
      <c r="AF422" s="6">
        <f>SUM($Y$2:Y422)/SUM($X$2:X422)</f>
        <v/>
      </c>
      <c r="AG422" s="5">
        <f>SUM($Y$2:Y422)</f>
        <v/>
      </c>
      <c r="AH422" s="7">
        <f>10000.0+SUM($AA$2:AA422)</f>
        <v/>
      </c>
      <c r="AI422" s="2" t="n">
        <v>2026</v>
      </c>
      <c r="AJ422" s="2" t="inlineStr">
        <is>
          <t>2026-05</t>
        </is>
      </c>
      <c r="AK422" s="2" t="inlineStr">
        <is>
          <t>-119 to -101</t>
        </is>
      </c>
      <c r="AL422" s="2" t="inlineStr">
        <is>
          <t>2026 Frozen Test</t>
        </is>
      </c>
      <c r="AM422" s="6" t="n">
        <v>0.1507389159685025</v>
      </c>
    </row>
    <row r="423">
      <c r="A423" s="2" t="inlineStr">
        <is>
          <t>KPROP-00824</t>
        </is>
      </c>
      <c r="B423" s="3" t="n">
        <v>46164.81987268518</v>
      </c>
      <c r="C423" s="3" t="n">
        <v>46164</v>
      </c>
      <c r="D423" s="2" t="inlineStr">
        <is>
          <t>Logan Henderson</t>
        </is>
      </c>
      <c r="E423" s="2" t="n">
        <v>158</v>
      </c>
      <c r="F423" s="2" t="n">
        <v>119</v>
      </c>
      <c r="G423" s="2" t="inlineStr">
        <is>
          <t>Home</t>
        </is>
      </c>
      <c r="H423" s="2" t="inlineStr">
        <is>
          <t>draftkings</t>
        </is>
      </c>
      <c r="I423" s="4" t="n"/>
      <c r="J423" s="4" t="n"/>
      <c r="K423" s="4" t="n">
        <v>-110</v>
      </c>
      <c r="L423" s="4" t="n">
        <v>-110</v>
      </c>
      <c r="M423" s="5" t="n">
        <v>5.5</v>
      </c>
      <c r="N423" s="5" t="n">
        <v>5.058001047861299</v>
      </c>
      <c r="O423" s="5" t="n">
        <v>5.5</v>
      </c>
      <c r="P423" s="5" t="n">
        <v>0.4419989521387011</v>
      </c>
      <c r="Q423" s="6" t="n">
        <v>0.1564976781689853</v>
      </c>
      <c r="R423" s="6" t="n">
        <v>0.6057844980885161</v>
      </c>
      <c r="S423" s="6" t="n">
        <v>0.5116279069767442</v>
      </c>
      <c r="T423" s="2" t="inlineStr">
        <is>
          <t>Under</t>
        </is>
      </c>
      <c r="U423" s="4" t="n">
        <v>-110</v>
      </c>
      <c r="V423" s="2" t="n">
        <v>1.909090909090909</v>
      </c>
      <c r="W423" s="4" t="n">
        <v>-110</v>
      </c>
      <c r="X423" s="2" t="n">
        <v>1</v>
      </c>
      <c r="Y423" s="5" t="n">
        <v>-1</v>
      </c>
      <c r="Z423" s="7" t="n">
        <v>100</v>
      </c>
      <c r="AA423" s="7">
        <f>Y423*Z423</f>
        <v/>
      </c>
      <c r="AB423" s="6">
        <f>IF(Z423=0,0,AA423/Z423)</f>
        <v/>
      </c>
      <c r="AC423" s="6" t="n"/>
      <c r="AD423" s="2" t="inlineStr">
        <is>
          <t>Loss</t>
        </is>
      </c>
      <c r="AE423" s="6">
        <f>IF((COUNTIF($AD$2:AD423,"Win")+COUNTIF($AD$2:AD423,"Loss"))=0,0,COUNTIF($AD$2:AD423,"Win")/(COUNTIF($AD$2:AD423,"Win")+COUNTIF($AD$2:AD423,"Loss")))</f>
        <v/>
      </c>
      <c r="AF423" s="6">
        <f>SUM($Y$2:Y423)/SUM($X$2:X423)</f>
        <v/>
      </c>
      <c r="AG423" s="5">
        <f>SUM($Y$2:Y423)</f>
        <v/>
      </c>
      <c r="AH423" s="7">
        <f>10000.0+SUM($AA$2:AA423)</f>
        <v/>
      </c>
      <c r="AI423" s="2" t="n">
        <v>2026</v>
      </c>
      <c r="AJ423" s="2" t="inlineStr">
        <is>
          <t>2026-05</t>
        </is>
      </c>
      <c r="AK423" s="2" t="inlineStr">
        <is>
          <t>-119 to -101</t>
        </is>
      </c>
      <c r="AL423" s="2" t="inlineStr">
        <is>
          <t>2026 Frozen Test</t>
        </is>
      </c>
      <c r="AM423" s="6" t="n">
        <v>0.1721474459858838</v>
      </c>
    </row>
    <row r="424">
      <c r="A424" s="2" t="inlineStr">
        <is>
          <t>KPROP-00825</t>
        </is>
      </c>
      <c r="B424" s="3" t="n">
        <v>46164.59765046297</v>
      </c>
      <c r="C424" s="3" t="n">
        <v>46164</v>
      </c>
      <c r="D424" s="2" t="inlineStr">
        <is>
          <t>Spencer Arrighetti</t>
        </is>
      </c>
      <c r="E424" s="2" t="n">
        <v>117</v>
      </c>
      <c r="F424" s="2" t="n">
        <v>112</v>
      </c>
      <c r="G424" s="2" t="inlineStr">
        <is>
          <t>Away</t>
        </is>
      </c>
      <c r="H424" s="2" t="inlineStr">
        <is>
          <t>draftkings</t>
        </is>
      </c>
      <c r="I424" s="4" t="n"/>
      <c r="J424" s="4" t="n"/>
      <c r="K424" s="4" t="n">
        <v>-152</v>
      </c>
      <c r="L424" s="4" t="n">
        <v>-152</v>
      </c>
      <c r="M424" s="5" t="n">
        <v>5.5</v>
      </c>
      <c r="N424" s="5" t="n">
        <v>4.785607403858958</v>
      </c>
      <c r="O424" s="5" t="n">
        <v>5.5</v>
      </c>
      <c r="P424" s="5" t="n">
        <v>0.7143925961410424</v>
      </c>
      <c r="Q424" s="6" t="n">
        <v>0.08346859072091883</v>
      </c>
      <c r="R424" s="6" t="n">
        <v>0.6535207372602367</v>
      </c>
      <c r="S424" s="6" t="n">
        <v>0.584268180018477</v>
      </c>
      <c r="T424" s="2" t="inlineStr">
        <is>
          <t>Under</t>
        </is>
      </c>
      <c r="U424" s="4" t="n">
        <v>-152</v>
      </c>
      <c r="V424" s="2" t="n">
        <v>1.657894736842105</v>
      </c>
      <c r="W424" s="4" t="n">
        <v>-152</v>
      </c>
      <c r="X424" s="2" t="n">
        <v>1</v>
      </c>
      <c r="Y424" s="5" t="n">
        <v>0.6578947368421053</v>
      </c>
      <c r="Z424" s="7" t="n">
        <v>100</v>
      </c>
      <c r="AA424" s="7">
        <f>Y424*Z424</f>
        <v/>
      </c>
      <c r="AB424" s="6">
        <f>IF(Z424=0,0,AA424/Z424)</f>
        <v/>
      </c>
      <c r="AC424" s="6" t="n"/>
      <c r="AD424" s="2" t="inlineStr">
        <is>
          <t>Win</t>
        </is>
      </c>
      <c r="AE424" s="6">
        <f>IF((COUNTIF($AD$2:AD424,"Win")+COUNTIF($AD$2:AD424,"Loss"))=0,0,COUNTIF($AD$2:AD424,"Win")/(COUNTIF($AD$2:AD424,"Win")+COUNTIF($AD$2:AD424,"Loss")))</f>
        <v/>
      </c>
      <c r="AF424" s="6">
        <f>SUM($Y$2:Y424)/SUM($X$2:X424)</f>
        <v/>
      </c>
      <c r="AG424" s="5">
        <f>SUM($Y$2:Y424)</f>
        <v/>
      </c>
      <c r="AH424" s="7">
        <f>10000.0+SUM($AA$2:AA424)</f>
        <v/>
      </c>
      <c r="AI424" s="2" t="n">
        <v>2026</v>
      </c>
      <c r="AJ424" s="2" t="inlineStr">
        <is>
          <t>2026-05</t>
        </is>
      </c>
      <c r="AK424" s="2" t="inlineStr">
        <is>
          <t>&lt;= -150</t>
        </is>
      </c>
      <c r="AL424" s="2" t="inlineStr">
        <is>
          <t>2026 Frozen Test</t>
        </is>
      </c>
      <c r="AM424" s="6" t="n">
        <v>0.1268722578957966</v>
      </c>
    </row>
    <row r="425">
      <c r="A425" s="2" t="inlineStr">
        <is>
          <t>KPROP-00826</t>
        </is>
      </c>
      <c r="B425" s="3" t="n">
        <v>46165.67403935185</v>
      </c>
      <c r="C425" s="3" t="n">
        <v>46165</v>
      </c>
      <c r="D425" s="2" t="inlineStr">
        <is>
          <t>Max Meyer</t>
        </is>
      </c>
      <c r="E425" s="2" t="n">
        <v>146</v>
      </c>
      <c r="F425" s="2" t="n">
        <v>121</v>
      </c>
      <c r="G425" s="2" t="inlineStr">
        <is>
          <t>Home</t>
        </is>
      </c>
      <c r="H425" s="2" t="inlineStr">
        <is>
          <t>draftkings</t>
        </is>
      </c>
      <c r="I425" s="4" t="n"/>
      <c r="J425" s="4" t="n"/>
      <c r="K425" s="4" t="n">
        <v>104</v>
      </c>
      <c r="L425" s="4" t="n">
        <v>104</v>
      </c>
      <c r="M425" s="5" t="n">
        <v>5.5</v>
      </c>
      <c r="N425" s="5" t="n">
        <v>5.470573370154741</v>
      </c>
      <c r="O425" s="5" t="n">
        <v>5.5</v>
      </c>
      <c r="P425" s="5" t="n">
        <v>0.02942662984525857</v>
      </c>
      <c r="Q425" s="6" t="n">
        <v>0.08929688756943911</v>
      </c>
      <c r="R425" s="6" t="n">
        <v>0.5339690625340388</v>
      </c>
      <c r="S425" s="6" t="n">
        <v>0.469641060046964</v>
      </c>
      <c r="T425" s="2" t="inlineStr">
        <is>
          <t>Under</t>
        </is>
      </c>
      <c r="U425" s="4" t="n">
        <v>104</v>
      </c>
      <c r="V425" s="2" t="n">
        <v>2.04</v>
      </c>
      <c r="W425" s="4" t="n">
        <v>104</v>
      </c>
      <c r="X425" s="2" t="n">
        <v>1</v>
      </c>
      <c r="Y425" s="5" t="n">
        <v>-1</v>
      </c>
      <c r="Z425" s="7" t="n">
        <v>100</v>
      </c>
      <c r="AA425" s="7">
        <f>Y425*Z425</f>
        <v/>
      </c>
      <c r="AB425" s="6">
        <f>IF(Z425=0,0,AA425/Z425)</f>
        <v/>
      </c>
      <c r="AC425" s="6" t="n"/>
      <c r="AD425" s="2" t="inlineStr">
        <is>
          <t>Loss</t>
        </is>
      </c>
      <c r="AE425" s="6">
        <f>IF((COUNTIF($AD$2:AD425,"Win")+COUNTIF($AD$2:AD425,"Loss"))=0,0,COUNTIF($AD$2:AD425,"Win")/(COUNTIF($AD$2:AD425,"Win")+COUNTIF($AD$2:AD425,"Loss")))</f>
        <v/>
      </c>
      <c r="AF425" s="6">
        <f>SUM($Y$2:Y425)/SUM($X$2:X425)</f>
        <v/>
      </c>
      <c r="AG425" s="5">
        <f>SUM($Y$2:Y425)</f>
        <v/>
      </c>
      <c r="AH425" s="7">
        <f>10000.0+SUM($AA$2:AA425)</f>
        <v/>
      </c>
      <c r="AI425" s="2" t="n">
        <v>2026</v>
      </c>
      <c r="AJ425" s="2" t="inlineStr">
        <is>
          <t>2026-05</t>
        </is>
      </c>
      <c r="AK425" s="2" t="inlineStr">
        <is>
          <t>+100 to +120</t>
        </is>
      </c>
      <c r="AL425" s="2" t="inlineStr">
        <is>
          <t>2026 Frozen Test</t>
        </is>
      </c>
      <c r="AM425" s="6" t="n">
        <v>0.08586239189369144</v>
      </c>
    </row>
    <row r="426">
      <c r="A426" s="2" t="inlineStr">
        <is>
          <t>KPROP-00827</t>
        </is>
      </c>
      <c r="B426" s="3" t="n">
        <v>46165.62890046297</v>
      </c>
      <c r="C426" s="3" t="n">
        <v>46165</v>
      </c>
      <c r="D426" s="2" t="inlineStr">
        <is>
          <t>Paul Skenes</t>
        </is>
      </c>
      <c r="E426" s="2" t="n">
        <v>134</v>
      </c>
      <c r="F426" s="2" t="n">
        <v>141</v>
      </c>
      <c r="G426" s="2" t="inlineStr">
        <is>
          <t>Away</t>
        </is>
      </c>
      <c r="H426" s="2" t="inlineStr">
        <is>
          <t>draftkings</t>
        </is>
      </c>
      <c r="I426" s="4" t="n"/>
      <c r="J426" s="4" t="n"/>
      <c r="K426" s="4" t="n">
        <v>113</v>
      </c>
      <c r="L426" s="4" t="n">
        <v>113</v>
      </c>
      <c r="M426" s="5" t="n">
        <v>6.5</v>
      </c>
      <c r="N426" s="5" t="n">
        <v>5.691256702582276</v>
      </c>
      <c r="O426" s="5" t="n">
        <v>6.5</v>
      </c>
      <c r="P426" s="5" t="n">
        <v>0.808743297417724</v>
      </c>
      <c r="Q426" s="6" t="n">
        <v>0.396768022769132</v>
      </c>
      <c r="R426" s="6" t="n">
        <v>0.6557596351028789</v>
      </c>
      <c r="S426" s="6" t="n">
        <v>0.4674421132731819</v>
      </c>
      <c r="T426" s="2" t="inlineStr">
        <is>
          <t>Under</t>
        </is>
      </c>
      <c r="U426" s="4" t="n">
        <v>113</v>
      </c>
      <c r="V426" s="2" t="n">
        <v>2.13</v>
      </c>
      <c r="W426" s="4" t="n">
        <v>113</v>
      </c>
      <c r="X426" s="2" t="n">
        <v>1</v>
      </c>
      <c r="Y426" s="5" t="n">
        <v>1.13</v>
      </c>
      <c r="Z426" s="7" t="n">
        <v>100</v>
      </c>
      <c r="AA426" s="7">
        <f>Y426*Z426</f>
        <v/>
      </c>
      <c r="AB426" s="6">
        <f>IF(Z426=0,0,AA426/Z426)</f>
        <v/>
      </c>
      <c r="AC426" s="6" t="n"/>
      <c r="AD426" s="2" t="inlineStr">
        <is>
          <t>Win</t>
        </is>
      </c>
      <c r="AE426" s="6">
        <f>IF((COUNTIF($AD$2:AD426,"Win")+COUNTIF($AD$2:AD426,"Loss"))=0,0,COUNTIF($AD$2:AD426,"Win")/(COUNTIF($AD$2:AD426,"Win")+COUNTIF($AD$2:AD426,"Loss")))</f>
        <v/>
      </c>
      <c r="AF426" s="6">
        <f>SUM($Y$2:Y426)/SUM($X$2:X426)</f>
        <v/>
      </c>
      <c r="AG426" s="5">
        <f>SUM($Y$2:Y426)</f>
        <v/>
      </c>
      <c r="AH426" s="7">
        <f>10000.0+SUM($AA$2:AA426)</f>
        <v/>
      </c>
      <c r="AI426" s="2" t="n">
        <v>2026</v>
      </c>
      <c r="AJ426" s="2" t="inlineStr">
        <is>
          <t>2026-05</t>
        </is>
      </c>
      <c r="AK426" s="2" t="inlineStr">
        <is>
          <t>+100 to +120</t>
        </is>
      </c>
      <c r="AL426" s="2" t="inlineStr">
        <is>
          <t>2026 Frozen Test</t>
        </is>
      </c>
      <c r="AM426" s="6" t="n">
        <v>0.3511221440434797</v>
      </c>
    </row>
    <row r="427">
      <c r="A427" s="2" t="inlineStr">
        <is>
          <t>KPROP-00828</t>
        </is>
      </c>
      <c r="B427" s="3" t="n">
        <v>46165.80251157407</v>
      </c>
      <c r="C427" s="3" t="n">
        <v>46165</v>
      </c>
      <c r="D427" s="2" t="inlineStr">
        <is>
          <t>Robert Gasser</t>
        </is>
      </c>
      <c r="E427" s="2" t="n">
        <v>158</v>
      </c>
      <c r="F427" s="2" t="n">
        <v>119</v>
      </c>
      <c r="G427" s="2" t="inlineStr">
        <is>
          <t>Home</t>
        </is>
      </c>
      <c r="H427" s="2" t="inlineStr">
        <is>
          <t>draftkings</t>
        </is>
      </c>
      <c r="I427" s="4" t="n"/>
      <c r="J427" s="4" t="n"/>
      <c r="K427" s="4" t="n">
        <v>121</v>
      </c>
      <c r="L427" s="4" t="n">
        <v>121</v>
      </c>
      <c r="M427" s="5" t="n">
        <v>3.5</v>
      </c>
      <c r="N427" s="5" t="n">
        <v>3.177363756671498</v>
      </c>
      <c r="O427" s="5" t="n">
        <v>3.5</v>
      </c>
      <c r="P427" s="5" t="n">
        <v>0.3226362433285019</v>
      </c>
      <c r="Q427" s="6" t="n">
        <v>0.3427128015273228</v>
      </c>
      <c r="R427" s="6" t="n">
        <v>0.6075623536322727</v>
      </c>
      <c r="S427" s="6" t="n">
        <v>0.4406112308990344</v>
      </c>
      <c r="T427" s="2" t="inlineStr">
        <is>
          <t>Under</t>
        </is>
      </c>
      <c r="U427" s="4" t="n">
        <v>121</v>
      </c>
      <c r="V427" s="2" t="n">
        <v>2.21</v>
      </c>
      <c r="W427" s="4" t="n">
        <v>121</v>
      </c>
      <c r="X427" s="2" t="n">
        <v>1</v>
      </c>
      <c r="Y427" s="5" t="n">
        <v>-1</v>
      </c>
      <c r="Z427" s="7" t="n">
        <v>100</v>
      </c>
      <c r="AA427" s="7">
        <f>Y427*Z427</f>
        <v/>
      </c>
      <c r="AB427" s="6">
        <f>IF(Z427=0,0,AA427/Z427)</f>
        <v/>
      </c>
      <c r="AC427" s="6" t="n"/>
      <c r="AD427" s="2" t="inlineStr">
        <is>
          <t>Loss</t>
        </is>
      </c>
      <c r="AE427" s="6">
        <f>IF((COUNTIF($AD$2:AD427,"Win")+COUNTIF($AD$2:AD427,"Loss"))=0,0,COUNTIF($AD$2:AD427,"Win")/(COUNTIF($AD$2:AD427,"Win")+COUNTIF($AD$2:AD427,"Loss")))</f>
        <v/>
      </c>
      <c r="AF427" s="6">
        <f>SUM($Y$2:Y427)/SUM($X$2:X427)</f>
        <v/>
      </c>
      <c r="AG427" s="5">
        <f>SUM($Y$2:Y427)</f>
        <v/>
      </c>
      <c r="AH427" s="7">
        <f>10000.0+SUM($AA$2:AA427)</f>
        <v/>
      </c>
      <c r="AI427" s="2" t="n">
        <v>2026</v>
      </c>
      <c r="AJ427" s="2" t="inlineStr">
        <is>
          <t>2026-05</t>
        </is>
      </c>
      <c r="AK427" s="2" t="inlineStr">
        <is>
          <t>+121 to +150</t>
        </is>
      </c>
      <c r="AL427" s="2" t="inlineStr">
        <is>
          <t>2026 Frozen Test</t>
        </is>
      </c>
      <c r="AM427" s="6" t="n">
        <v>0.2832337202705147</v>
      </c>
    </row>
    <row r="428">
      <c r="A428" s="2" t="inlineStr">
        <is>
          <t>KPROP-00829</t>
        </is>
      </c>
      <c r="B428" s="3" t="n">
        <v>46166.56640046297</v>
      </c>
      <c r="C428" s="3" t="n">
        <v>46166</v>
      </c>
      <c r="D428" s="2" t="inlineStr">
        <is>
          <t>Bailey Ober</t>
        </is>
      </c>
      <c r="E428" s="2" t="n">
        <v>142</v>
      </c>
      <c r="F428" s="2" t="n">
        <v>111</v>
      </c>
      <c r="G428" s="2" t="inlineStr">
        <is>
          <t>Away</t>
        </is>
      </c>
      <c r="H428" s="2" t="inlineStr">
        <is>
          <t>betmgm</t>
        </is>
      </c>
      <c r="I428" s="4" t="n"/>
      <c r="J428" s="4" t="n"/>
      <c r="K428" s="4" t="n">
        <v>-125</v>
      </c>
      <c r="L428" s="4" t="n">
        <v>-125</v>
      </c>
      <c r="M428" s="5" t="n">
        <v>4.5</v>
      </c>
      <c r="N428" s="5" t="n">
        <v>3.927337379482104</v>
      </c>
      <c r="O428" s="5" t="n">
        <v>4.5</v>
      </c>
      <c r="P428" s="5" t="n">
        <v>0.5726626205178964</v>
      </c>
      <c r="Q428" s="6" t="n">
        <v>0.1574533679360666</v>
      </c>
      <c r="R428" s="6" t="n">
        <v>0.6430296488533703</v>
      </c>
      <c r="S428" s="6" t="n">
        <v>0.5408163265306123</v>
      </c>
      <c r="T428" s="2" t="inlineStr">
        <is>
          <t>Under</t>
        </is>
      </c>
      <c r="U428" s="4" t="n">
        <v>-125</v>
      </c>
      <c r="V428" s="2" t="n">
        <v>1.8</v>
      </c>
      <c r="W428" s="4" t="n">
        <v>-125</v>
      </c>
      <c r="X428" s="2" t="n">
        <v>1</v>
      </c>
      <c r="Y428" s="5" t="n">
        <v>0.8</v>
      </c>
      <c r="Z428" s="7" t="n">
        <v>100</v>
      </c>
      <c r="AA428" s="7">
        <f>Y428*Z428</f>
        <v/>
      </c>
      <c r="AB428" s="6">
        <f>IF(Z428=0,0,AA428/Z428)</f>
        <v/>
      </c>
      <c r="AC428" s="6" t="n"/>
      <c r="AD428" s="2" t="inlineStr">
        <is>
          <t>Win</t>
        </is>
      </c>
      <c r="AE428" s="6">
        <f>IF((COUNTIF($AD$2:AD428,"Win")+COUNTIF($AD$2:AD428,"Loss"))=0,0,COUNTIF($AD$2:AD428,"Win")/(COUNTIF($AD$2:AD428,"Win")+COUNTIF($AD$2:AD428,"Loss")))</f>
        <v/>
      </c>
      <c r="AF428" s="6">
        <f>SUM($Y$2:Y428)/SUM($X$2:X428)</f>
        <v/>
      </c>
      <c r="AG428" s="5">
        <f>SUM($Y$2:Y428)</f>
        <v/>
      </c>
      <c r="AH428" s="7">
        <f>10000.0+SUM($AA$2:AA428)</f>
        <v/>
      </c>
      <c r="AI428" s="2" t="n">
        <v>2026</v>
      </c>
      <c r="AJ428" s="2" t="inlineStr">
        <is>
          <t>2026-05</t>
        </is>
      </c>
      <c r="AK428" s="2" t="inlineStr">
        <is>
          <t>-149 to -120</t>
        </is>
      </c>
      <c r="AL428" s="2" t="inlineStr">
        <is>
          <t>2026 Frozen Test</t>
        </is>
      </c>
      <c r="AM428" s="6" t="n">
        <v>0.1968167099200832</v>
      </c>
    </row>
    <row r="429">
      <c r="A429" s="2" t="inlineStr">
        <is>
          <t>KPROP-00830</t>
        </is>
      </c>
      <c r="B429" s="3" t="n">
        <v>46166.56987268518</v>
      </c>
      <c r="C429" s="3" t="n">
        <v>46166</v>
      </c>
      <c r="D429" s="2" t="inlineStr">
        <is>
          <t>Christian Scott</t>
        </is>
      </c>
      <c r="E429" s="2" t="n">
        <v>121</v>
      </c>
      <c r="F429" s="2" t="n">
        <v>146</v>
      </c>
      <c r="G429" s="2" t="inlineStr">
        <is>
          <t>Away</t>
        </is>
      </c>
      <c r="H429" s="2" t="inlineStr">
        <is>
          <t>draftkings</t>
        </is>
      </c>
      <c r="I429" s="4" t="n"/>
      <c r="J429" s="4" t="n"/>
      <c r="K429" s="4" t="n">
        <v>102</v>
      </c>
      <c r="L429" s="4" t="n">
        <v>102</v>
      </c>
      <c r="M429" s="5" t="n">
        <v>4.5</v>
      </c>
      <c r="N429" s="5" t="n">
        <v>4.462347558065543</v>
      </c>
      <c r="O429" s="5" t="n">
        <v>4.5</v>
      </c>
      <c r="P429" s="5" t="n">
        <v>0.03765244193445749</v>
      </c>
      <c r="Q429" s="6" t="n">
        <v>0.08931516097973201</v>
      </c>
      <c r="R429" s="6" t="n">
        <v>0.5392649311780852</v>
      </c>
      <c r="S429" s="6" t="n">
        <v>0.4858861638130496</v>
      </c>
      <c r="T429" s="2" t="inlineStr">
        <is>
          <t>Under</t>
        </is>
      </c>
      <c r="U429" s="4" t="n">
        <v>102</v>
      </c>
      <c r="V429" s="2" t="n">
        <v>2.02</v>
      </c>
      <c r="W429" s="4" t="n">
        <v>102</v>
      </c>
      <c r="X429" s="2" t="n">
        <v>1</v>
      </c>
      <c r="Y429" s="5" t="n">
        <v>-1</v>
      </c>
      <c r="Z429" s="7" t="n">
        <v>100</v>
      </c>
      <c r="AA429" s="7">
        <f>Y429*Z429</f>
        <v/>
      </c>
      <c r="AB429" s="6">
        <f>IF(Z429=0,0,AA429/Z429)</f>
        <v/>
      </c>
      <c r="AC429" s="6" t="n"/>
      <c r="AD429" s="2" t="inlineStr">
        <is>
          <t>Loss</t>
        </is>
      </c>
      <c r="AE429" s="6">
        <f>IF((COUNTIF($AD$2:AD429,"Win")+COUNTIF($AD$2:AD429,"Loss"))=0,0,COUNTIF($AD$2:AD429,"Win")/(COUNTIF($AD$2:AD429,"Win")+COUNTIF($AD$2:AD429,"Loss")))</f>
        <v/>
      </c>
      <c r="AF429" s="6">
        <f>SUM($Y$2:Y429)/SUM($X$2:X429)</f>
        <v/>
      </c>
      <c r="AG429" s="5">
        <f>SUM($Y$2:Y429)</f>
        <v/>
      </c>
      <c r="AH429" s="7">
        <f>10000.0+SUM($AA$2:AA429)</f>
        <v/>
      </c>
      <c r="AI429" s="2" t="n">
        <v>2026</v>
      </c>
      <c r="AJ429" s="2" t="inlineStr">
        <is>
          <t>2026-05</t>
        </is>
      </c>
      <c r="AK429" s="2" t="inlineStr">
        <is>
          <t>+100 to +120</t>
        </is>
      </c>
      <c r="AL429" s="2" t="inlineStr">
        <is>
          <t>2026 Frozen Test</t>
        </is>
      </c>
      <c r="AM429" s="6" t="n">
        <v>0.08756388331346276</v>
      </c>
    </row>
    <row r="430">
      <c r="A430" s="2" t="inlineStr">
        <is>
          <t>KPROP-00831</t>
        </is>
      </c>
      <c r="B430" s="3" t="n">
        <v>46166.67403935185</v>
      </c>
      <c r="C430" s="3" t="n">
        <v>46166</v>
      </c>
      <c r="D430" s="2" t="inlineStr">
        <is>
          <t>Martín Pérez</t>
        </is>
      </c>
      <c r="E430" s="2" t="n">
        <v>144</v>
      </c>
      <c r="F430" s="2" t="n">
        <v>120</v>
      </c>
      <c r="G430" s="2" t="inlineStr">
        <is>
          <t>Home</t>
        </is>
      </c>
      <c r="H430" s="2" t="inlineStr">
        <is>
          <t>draftkings</t>
        </is>
      </c>
      <c r="I430" s="4" t="n"/>
      <c r="J430" s="4" t="n"/>
      <c r="K430" s="4" t="n">
        <v>129</v>
      </c>
      <c r="L430" s="4" t="n">
        <v>129</v>
      </c>
      <c r="M430" s="5" t="n">
        <v>3.5</v>
      </c>
      <c r="N430" s="5" t="n">
        <v>3.734659271305253</v>
      </c>
      <c r="O430" s="5" t="n">
        <v>3.5</v>
      </c>
      <c r="P430" s="5" t="n">
        <v>-0.2346592713052531</v>
      </c>
      <c r="Q430" s="6" t="n">
        <v>0.1150997828756403</v>
      </c>
      <c r="R430" s="6" t="n">
        <v>0.4869431366269171</v>
      </c>
      <c r="S430" s="6" t="n">
        <v>0.412226802520028</v>
      </c>
      <c r="T430" s="2" t="inlineStr">
        <is>
          <t>Under</t>
        </is>
      </c>
      <c r="U430" s="4" t="n">
        <v>129</v>
      </c>
      <c r="V430" s="2" t="n">
        <v>2.29</v>
      </c>
      <c r="W430" s="4" t="n">
        <v>129</v>
      </c>
      <c r="X430" s="2" t="n">
        <v>1</v>
      </c>
      <c r="Y430" s="5" t="n">
        <v>1.29</v>
      </c>
      <c r="Z430" s="7" t="n">
        <v>100</v>
      </c>
      <c r="AA430" s="7">
        <f>Y430*Z430</f>
        <v/>
      </c>
      <c r="AB430" s="6">
        <f>IF(Z430=0,0,AA430/Z430)</f>
        <v/>
      </c>
      <c r="AC430" s="6" t="n"/>
      <c r="AD430" s="2" t="inlineStr">
        <is>
          <t>Win</t>
        </is>
      </c>
      <c r="AE430" s="6">
        <f>IF((COUNTIF($AD$2:AD430,"Win")+COUNTIF($AD$2:AD430,"Loss"))=0,0,COUNTIF($AD$2:AD430,"Win")/(COUNTIF($AD$2:AD430,"Win")+COUNTIF($AD$2:AD430,"Loss")))</f>
        <v/>
      </c>
      <c r="AF430" s="6">
        <f>SUM($Y$2:Y430)/SUM($X$2:X430)</f>
        <v/>
      </c>
      <c r="AG430" s="5">
        <f>SUM($Y$2:Y430)</f>
        <v/>
      </c>
      <c r="AH430" s="7">
        <f>10000.0+SUM($AA$2:AA430)</f>
        <v/>
      </c>
      <c r="AI430" s="2" t="n">
        <v>2026</v>
      </c>
      <c r="AJ430" s="2" t="inlineStr">
        <is>
          <t>2026-05</t>
        </is>
      </c>
      <c r="AK430" s="2" t="inlineStr">
        <is>
          <t>+121 to +150</t>
        </is>
      </c>
      <c r="AL430" s="2" t="inlineStr">
        <is>
          <t>2026 Frozen Test</t>
        </is>
      </c>
      <c r="AM430" s="6" t="n">
        <v>0.08922463788809323</v>
      </c>
    </row>
    <row r="431">
      <c r="A431" s="2" t="inlineStr">
        <is>
          <t>KPROP-00832</t>
        </is>
      </c>
      <c r="B431" s="3" t="n">
        <v>46166.67403935185</v>
      </c>
      <c r="C431" s="3" t="n">
        <v>46166</v>
      </c>
      <c r="D431" s="2" t="inlineStr">
        <is>
          <t>Martín Pérez</t>
        </is>
      </c>
      <c r="E431" s="2" t="n">
        <v>144</v>
      </c>
      <c r="F431" s="2" t="n">
        <v>120</v>
      </c>
      <c r="G431" s="2" t="inlineStr">
        <is>
          <t>Home</t>
        </is>
      </c>
      <c r="H431" s="2" t="inlineStr">
        <is>
          <t>fanduel</t>
        </is>
      </c>
      <c r="I431" s="4" t="n"/>
      <c r="J431" s="4" t="n"/>
      <c r="K431" s="4" t="n">
        <v>-150</v>
      </c>
      <c r="L431" s="4" t="n">
        <v>-150</v>
      </c>
      <c r="M431" s="5" t="n">
        <v>4.5</v>
      </c>
      <c r="N431" s="5" t="n">
        <v>3.734659271305253</v>
      </c>
      <c r="O431" s="5" t="n">
        <v>4.5</v>
      </c>
      <c r="P431" s="5" t="n">
        <v>0.7653407286947469</v>
      </c>
      <c r="Q431" s="6" t="n">
        <v>0.1341980226625918</v>
      </c>
      <c r="R431" s="6" t="n">
        <v>0.6805188135975552</v>
      </c>
      <c r="S431" s="6" t="n">
        <v>0.5901639344262295</v>
      </c>
      <c r="T431" s="2" t="inlineStr">
        <is>
          <t>Under</t>
        </is>
      </c>
      <c r="U431" s="4" t="n">
        <v>-150</v>
      </c>
      <c r="V431" s="2" t="n">
        <v>1.666666666666667</v>
      </c>
      <c r="W431" s="4" t="n">
        <v>-150</v>
      </c>
      <c r="X431" s="2" t="n">
        <v>1</v>
      </c>
      <c r="Y431" s="5" t="n">
        <v>0.6666666666666665</v>
      </c>
      <c r="Z431" s="7" t="n">
        <v>100</v>
      </c>
      <c r="AA431" s="7">
        <f>Y431*Z431</f>
        <v/>
      </c>
      <c r="AB431" s="6">
        <f>IF(Z431=0,0,AA431/Z431)</f>
        <v/>
      </c>
      <c r="AC431" s="6" t="n"/>
      <c r="AD431" s="2" t="inlineStr">
        <is>
          <t>Win</t>
        </is>
      </c>
      <c r="AE431" s="6">
        <f>IF((COUNTIF($AD$2:AD431,"Win")+COUNTIF($AD$2:AD431,"Loss"))=0,0,COUNTIF($AD$2:AD431,"Win")/(COUNTIF($AD$2:AD431,"Win")+COUNTIF($AD$2:AD431,"Loss")))</f>
        <v/>
      </c>
      <c r="AF431" s="6">
        <f>SUM($Y$2:Y431)/SUM($X$2:X431)</f>
        <v/>
      </c>
      <c r="AG431" s="5">
        <f>SUM($Y$2:Y431)</f>
        <v/>
      </c>
      <c r="AH431" s="7">
        <f>10000.0+SUM($AA$2:AA431)</f>
        <v/>
      </c>
      <c r="AI431" s="2" t="n">
        <v>2026</v>
      </c>
      <c r="AJ431" s="2" t="inlineStr">
        <is>
          <t>2026-05</t>
        </is>
      </c>
      <c r="AK431" s="2" t="inlineStr">
        <is>
          <t>&lt;= -150</t>
        </is>
      </c>
      <c r="AL431" s="2" t="inlineStr">
        <is>
          <t>2026 Frozen Test</t>
        </is>
      </c>
      <c r="AM431" s="6" t="n">
        <v>0.2012970339938878</v>
      </c>
    </row>
    <row r="432">
      <c r="A432" s="2" t="inlineStr">
        <is>
          <t>KPROP-00833</t>
        </is>
      </c>
      <c r="B432" s="3" t="n">
        <v>46166.56640046297</v>
      </c>
      <c r="C432" s="3" t="n">
        <v>46166</v>
      </c>
      <c r="D432" s="2" t="inlineStr">
        <is>
          <t>Parker Messick</t>
        </is>
      </c>
      <c r="E432" s="2" t="n">
        <v>114</v>
      </c>
      <c r="F432" s="2" t="n">
        <v>143</v>
      </c>
      <c r="G432" s="2" t="inlineStr">
        <is>
          <t>Away</t>
        </is>
      </c>
      <c r="H432" s="2" t="inlineStr">
        <is>
          <t>bovada</t>
        </is>
      </c>
      <c r="I432" s="4" t="n"/>
      <c r="J432" s="4" t="n"/>
      <c r="K432" s="4" t="n">
        <v>120</v>
      </c>
      <c r="L432" s="4" t="n">
        <v>120</v>
      </c>
      <c r="M432" s="5" t="n">
        <v>5.5</v>
      </c>
      <c r="N432" s="5" t="n">
        <v>5.381185003787785</v>
      </c>
      <c r="O432" s="5" t="n">
        <v>5.5</v>
      </c>
      <c r="P432" s="5" t="n">
        <v>0.1188149962122154</v>
      </c>
      <c r="Q432" s="6" t="n">
        <v>0.2086491363250551</v>
      </c>
      <c r="R432" s="6" t="n">
        <v>0.5493859710568432</v>
      </c>
      <c r="S432" s="6" t="n">
        <v>0.4379562043795621</v>
      </c>
      <c r="T432" s="2" t="inlineStr">
        <is>
          <t>Under</t>
        </is>
      </c>
      <c r="U432" s="4" t="n">
        <v>120</v>
      </c>
      <c r="V432" s="2" t="n">
        <v>2.2</v>
      </c>
      <c r="W432" s="4" t="n">
        <v>120</v>
      </c>
      <c r="X432" s="2" t="n">
        <v>1</v>
      </c>
      <c r="Y432" s="5" t="n">
        <v>-1</v>
      </c>
      <c r="Z432" s="7" t="n">
        <v>100</v>
      </c>
      <c r="AA432" s="7">
        <f>Y432*Z432</f>
        <v/>
      </c>
      <c r="AB432" s="6">
        <f>IF(Z432=0,0,AA432/Z432)</f>
        <v/>
      </c>
      <c r="AC432" s="6" t="n"/>
      <c r="AD432" s="2" t="inlineStr">
        <is>
          <t>Loss</t>
        </is>
      </c>
      <c r="AE432" s="6">
        <f>IF((COUNTIF($AD$2:AD432,"Win")+COUNTIF($AD$2:AD432,"Loss"))=0,0,COUNTIF($AD$2:AD432,"Win")/(COUNTIF($AD$2:AD432,"Win")+COUNTIF($AD$2:AD432,"Loss")))</f>
        <v/>
      </c>
      <c r="AF432" s="6">
        <f>SUM($Y$2:Y432)/SUM($X$2:X432)</f>
        <v/>
      </c>
      <c r="AG432" s="5">
        <f>SUM($Y$2:Y432)</f>
        <v/>
      </c>
      <c r="AH432" s="7">
        <f>10000.0+SUM($AA$2:AA432)</f>
        <v/>
      </c>
      <c r="AI432" s="2" t="n">
        <v>2026</v>
      </c>
      <c r="AJ432" s="2" t="inlineStr">
        <is>
          <t>2026-05</t>
        </is>
      </c>
      <c r="AK432" s="2" t="inlineStr">
        <is>
          <t>+100 to +120</t>
        </is>
      </c>
      <c r="AL432" s="2" t="inlineStr">
        <is>
          <t>2026 Frozen Test</t>
        </is>
      </c>
      <c r="AM432" s="6" t="n">
        <v>0.1738742802708792</v>
      </c>
    </row>
    <row r="433">
      <c r="A433" s="2" t="inlineStr">
        <is>
          <t>KPROP-00834</t>
        </is>
      </c>
      <c r="B433" s="3" t="n">
        <v>46166.56640046297</v>
      </c>
      <c r="C433" s="3" t="n">
        <v>46166</v>
      </c>
      <c r="D433" s="2" t="inlineStr">
        <is>
          <t>Parker Messick</t>
        </is>
      </c>
      <c r="E433" s="2" t="n">
        <v>114</v>
      </c>
      <c r="F433" s="2" t="n">
        <v>143</v>
      </c>
      <c r="G433" s="2" t="inlineStr">
        <is>
          <t>Away</t>
        </is>
      </c>
      <c r="H433" s="2" t="inlineStr">
        <is>
          <t>betrivers</t>
        </is>
      </c>
      <c r="I433" s="4" t="n"/>
      <c r="J433" s="4" t="n"/>
      <c r="K433" s="4" t="n">
        <v>-190</v>
      </c>
      <c r="L433" s="4" t="n">
        <v>-190</v>
      </c>
      <c r="M433" s="5" t="n">
        <v>6.5</v>
      </c>
      <c r="N433" s="5" t="n">
        <v>5.381185003787785</v>
      </c>
      <c r="O433" s="5" t="n">
        <v>6.5</v>
      </c>
      <c r="P433" s="5" t="n">
        <v>1.118814996212215</v>
      </c>
      <c r="Q433" s="6" t="n">
        <v>0.07543398710302313</v>
      </c>
      <c r="R433" s="6" t="n">
        <v>0.704594681205429</v>
      </c>
      <c r="S433" s="6" t="n">
        <v>0.6112600536193029</v>
      </c>
      <c r="T433" s="2" t="inlineStr">
        <is>
          <t>Under</t>
        </is>
      </c>
      <c r="U433" s="4" t="n">
        <v>-190</v>
      </c>
      <c r="V433" s="2" t="n">
        <v>1.526315789473684</v>
      </c>
      <c r="W433" s="4" t="n">
        <v>-190</v>
      </c>
      <c r="X433" s="2" t="n">
        <v>1</v>
      </c>
      <c r="Y433" s="5" t="n">
        <v>0.5263157894736841</v>
      </c>
      <c r="Z433" s="7" t="n">
        <v>100</v>
      </c>
      <c r="AA433" s="7">
        <f>Y433*Z433</f>
        <v/>
      </c>
      <c r="AB433" s="6">
        <f>IF(Z433=0,0,AA433/Z433)</f>
        <v/>
      </c>
      <c r="AC433" s="6" t="n"/>
      <c r="AD433" s="2" t="inlineStr">
        <is>
          <t>Win</t>
        </is>
      </c>
      <c r="AE433" s="6">
        <f>IF((COUNTIF($AD$2:AD433,"Win")+COUNTIF($AD$2:AD433,"Loss"))=0,0,COUNTIF($AD$2:AD433,"Win")/(COUNTIF($AD$2:AD433,"Win")+COUNTIF($AD$2:AD433,"Loss")))</f>
        <v/>
      </c>
      <c r="AF433" s="6">
        <f>SUM($Y$2:Y433)/SUM($X$2:X433)</f>
        <v/>
      </c>
      <c r="AG433" s="5">
        <f>SUM($Y$2:Y433)</f>
        <v/>
      </c>
      <c r="AH433" s="7">
        <f>10000.0+SUM($AA$2:AA433)</f>
        <v/>
      </c>
      <c r="AI433" s="2" t="n">
        <v>2026</v>
      </c>
      <c r="AJ433" s="2" t="inlineStr">
        <is>
          <t>2026-05</t>
        </is>
      </c>
      <c r="AK433" s="2" t="inlineStr">
        <is>
          <t>&lt;= -150</t>
        </is>
      </c>
      <c r="AL433" s="2" t="inlineStr">
        <is>
          <t>2026 Frozen Test</t>
        </is>
      </c>
      <c r="AM433" s="6" t="n">
        <v>0.143324575495744</v>
      </c>
    </row>
    <row r="434">
      <c r="A434" s="2" t="inlineStr">
        <is>
          <t>KPROP-00835</t>
        </is>
      </c>
      <c r="B434" s="3" t="n">
        <v>46166.59765046297</v>
      </c>
      <c r="C434" s="3" t="n">
        <v>46166</v>
      </c>
      <c r="D434" s="2" t="inlineStr">
        <is>
          <t>Peter Lambert</t>
        </is>
      </c>
      <c r="E434" s="2" t="n">
        <v>117</v>
      </c>
      <c r="F434" s="2" t="n">
        <v>112</v>
      </c>
      <c r="G434" s="2" t="inlineStr">
        <is>
          <t>Away</t>
        </is>
      </c>
      <c r="H434" s="2" t="inlineStr">
        <is>
          <t>bovada</t>
        </is>
      </c>
      <c r="I434" s="4" t="n"/>
      <c r="J434" s="4" t="n"/>
      <c r="K434" s="4" t="n">
        <v>105</v>
      </c>
      <c r="L434" s="4" t="n">
        <v>105</v>
      </c>
      <c r="M434" s="5" t="n">
        <v>4.5</v>
      </c>
      <c r="N434" s="5" t="n">
        <v>3.899636110379078</v>
      </c>
      <c r="O434" s="5" t="n">
        <v>4.5</v>
      </c>
      <c r="P434" s="5" t="n">
        <v>0.6003638896209225</v>
      </c>
      <c r="Q434" s="6" t="n">
        <v>0.3292945739109481</v>
      </c>
      <c r="R434" s="6" t="n">
        <v>0.6484363775175357</v>
      </c>
      <c r="S434" s="6" t="n">
        <v>0.4790284493421793</v>
      </c>
      <c r="T434" s="2" t="inlineStr">
        <is>
          <t>Under</t>
        </is>
      </c>
      <c r="U434" s="4" t="n">
        <v>105</v>
      </c>
      <c r="V434" s="2" t="n">
        <v>2.05</v>
      </c>
      <c r="W434" s="4" t="n">
        <v>105</v>
      </c>
      <c r="X434" s="2" t="n">
        <v>1</v>
      </c>
      <c r="Y434" s="5" t="n">
        <v>-1</v>
      </c>
      <c r="Z434" s="7" t="n">
        <v>100</v>
      </c>
      <c r="AA434" s="7">
        <f>Y434*Z434</f>
        <v/>
      </c>
      <c r="AB434" s="6">
        <f>IF(Z434=0,0,AA434/Z434)</f>
        <v/>
      </c>
      <c r="AC434" s="6" t="n"/>
      <c r="AD434" s="2" t="inlineStr">
        <is>
          <t>Loss</t>
        </is>
      </c>
      <c r="AE434" s="6">
        <f>IF((COUNTIF($AD$2:AD434,"Win")+COUNTIF($AD$2:AD434,"Loss"))=0,0,COUNTIF($AD$2:AD434,"Win")/(COUNTIF($AD$2:AD434,"Win")+COUNTIF($AD$2:AD434,"Loss")))</f>
        <v/>
      </c>
      <c r="AF434" s="6">
        <f>SUM($Y$2:Y434)/SUM($X$2:X434)</f>
        <v/>
      </c>
      <c r="AG434" s="5">
        <f>SUM($Y$2:Y434)</f>
        <v/>
      </c>
      <c r="AH434" s="7">
        <f>10000.0+SUM($AA$2:AA434)</f>
        <v/>
      </c>
      <c r="AI434" s="2" t="n">
        <v>2026</v>
      </c>
      <c r="AJ434" s="2" t="inlineStr">
        <is>
          <t>2026-05</t>
        </is>
      </c>
      <c r="AK434" s="2" t="inlineStr">
        <is>
          <t>+100 to +120</t>
        </is>
      </c>
      <c r="AL434" s="2" t="inlineStr">
        <is>
          <t>2026 Frozen Test</t>
        </is>
      </c>
      <c r="AM434" s="6" t="n">
        <v>0.3136138799151887</v>
      </c>
    </row>
    <row r="435">
      <c r="A435" s="2" t="inlineStr">
        <is>
          <t>KPROP-00836</t>
        </is>
      </c>
      <c r="B435" s="3" t="n">
        <v>46166.80598379629</v>
      </c>
      <c r="C435" s="3" t="n">
        <v>46166</v>
      </c>
      <c r="D435" s="2" t="inlineStr">
        <is>
          <t>Reid Detmers</t>
        </is>
      </c>
      <c r="E435" s="2" t="n">
        <v>108</v>
      </c>
      <c r="F435" s="2" t="n">
        <v>140</v>
      </c>
      <c r="G435" s="2" t="inlineStr">
        <is>
          <t>Home</t>
        </is>
      </c>
      <c r="H435" s="2" t="inlineStr">
        <is>
          <t>draftkings</t>
        </is>
      </c>
      <c r="I435" s="4" t="n"/>
      <c r="J435" s="4" t="n"/>
      <c r="K435" s="4" t="n">
        <v>-104</v>
      </c>
      <c r="L435" s="4" t="n">
        <v>-104</v>
      </c>
      <c r="M435" s="5" t="n">
        <v>6.5</v>
      </c>
      <c r="N435" s="5" t="n">
        <v>5.744489553811678</v>
      </c>
      <c r="O435" s="5" t="n">
        <v>6.5</v>
      </c>
      <c r="P435" s="5" t="n">
        <v>0.755510446188322</v>
      </c>
      <c r="Q435" s="6" t="n">
        <v>0.2696405797389709</v>
      </c>
      <c r="R435" s="6" t="n">
        <v>0.647267746533593</v>
      </c>
      <c r="S435" s="6" t="n">
        <v>0.4932249322493225</v>
      </c>
      <c r="T435" s="2" t="inlineStr">
        <is>
          <t>Under</t>
        </is>
      </c>
      <c r="U435" s="4" t="n">
        <v>-104</v>
      </c>
      <c r="V435" s="2" t="n">
        <v>1.961538461538462</v>
      </c>
      <c r="W435" s="4" t="n">
        <v>-104</v>
      </c>
      <c r="X435" s="2" t="n">
        <v>1</v>
      </c>
      <c r="Y435" s="5" t="n">
        <v>-1</v>
      </c>
      <c r="Z435" s="7" t="n">
        <v>100</v>
      </c>
      <c r="AA435" s="7">
        <f>Y435*Z435</f>
        <v/>
      </c>
      <c r="AB435" s="6">
        <f>IF(Z435=0,0,AA435/Z435)</f>
        <v/>
      </c>
      <c r="AC435" s="6" t="n"/>
      <c r="AD435" s="2" t="inlineStr">
        <is>
          <t>Loss</t>
        </is>
      </c>
      <c r="AE435" s="6">
        <f>IF((COUNTIF($AD$2:AD435,"Win")+COUNTIF($AD$2:AD435,"Loss"))=0,0,COUNTIF($AD$2:AD435,"Win")/(COUNTIF($AD$2:AD435,"Win")+COUNTIF($AD$2:AD435,"Loss")))</f>
        <v/>
      </c>
      <c r="AF435" s="6">
        <f>SUM($Y$2:Y435)/SUM($X$2:X435)</f>
        <v/>
      </c>
      <c r="AG435" s="5">
        <f>SUM($Y$2:Y435)</f>
        <v/>
      </c>
      <c r="AH435" s="7">
        <f>10000.0+SUM($AA$2:AA435)</f>
        <v/>
      </c>
      <c r="AI435" s="2" t="n">
        <v>2026</v>
      </c>
      <c r="AJ435" s="2" t="inlineStr">
        <is>
          <t>2026-05</t>
        </is>
      </c>
      <c r="AK435" s="2" t="inlineStr">
        <is>
          <t>-119 to -101</t>
        </is>
      </c>
      <c r="AL435" s="2" t="inlineStr">
        <is>
          <t>2026 Frozen Test</t>
        </is>
      </c>
      <c r="AM435" s="6" t="n">
        <v>0.2804262029285297</v>
      </c>
    </row>
    <row r="436">
      <c r="A436" s="2" t="inlineStr">
        <is>
          <t>KPROP-00837</t>
        </is>
      </c>
      <c r="B436" s="3" t="n">
        <v>46166.67056712963</v>
      </c>
      <c r="C436" s="3" t="n">
        <v>46166</v>
      </c>
      <c r="D436" s="2" t="inlineStr">
        <is>
          <t>Robbie Ray</t>
        </is>
      </c>
      <c r="E436" s="2" t="n">
        <v>137</v>
      </c>
      <c r="F436" s="2" t="n">
        <v>145</v>
      </c>
      <c r="G436" s="2" t="inlineStr">
        <is>
          <t>Home</t>
        </is>
      </c>
      <c r="H436" s="2" t="inlineStr">
        <is>
          <t>betrivers</t>
        </is>
      </c>
      <c r="I436" s="4" t="n"/>
      <c r="J436" s="4" t="n"/>
      <c r="K436" s="4" t="n">
        <v>125</v>
      </c>
      <c r="L436" s="4" t="n">
        <v>125</v>
      </c>
      <c r="M436" s="5" t="n">
        <v>5.5</v>
      </c>
      <c r="N436" s="5" t="n">
        <v>5.188907991435448</v>
      </c>
      <c r="O436" s="5" t="n">
        <v>5.5</v>
      </c>
      <c r="P436" s="5" t="n">
        <v>0.3110920085645521</v>
      </c>
      <c r="Q436" s="6" t="n">
        <v>0.3114172869356301</v>
      </c>
      <c r="R436" s="6" t="n">
        <v>0.5828521275269467</v>
      </c>
      <c r="S436" s="6" t="n">
        <v>0.4268502581755593</v>
      </c>
      <c r="T436" s="2" t="inlineStr">
        <is>
          <t>Under</t>
        </is>
      </c>
      <c r="U436" s="4" t="n">
        <v>125</v>
      </c>
      <c r="V436" s="2" t="n">
        <v>2.25</v>
      </c>
      <c r="W436" s="4" t="n">
        <v>125</v>
      </c>
      <c r="X436" s="2" t="n">
        <v>1</v>
      </c>
      <c r="Y436" s="5" t="n">
        <v>1.25</v>
      </c>
      <c r="Z436" s="7" t="n">
        <v>100</v>
      </c>
      <c r="AA436" s="7">
        <f>Y436*Z436</f>
        <v/>
      </c>
      <c r="AB436" s="6">
        <f>IF(Z436=0,0,AA436/Z436)</f>
        <v/>
      </c>
      <c r="AC436" s="6" t="n"/>
      <c r="AD436" s="2" t="inlineStr">
        <is>
          <t>Win</t>
        </is>
      </c>
      <c r="AE436" s="6">
        <f>IF((COUNTIF($AD$2:AD436,"Win")+COUNTIF($AD$2:AD436,"Loss"))=0,0,COUNTIF($AD$2:AD436,"Win")/(COUNTIF($AD$2:AD436,"Win")+COUNTIF($AD$2:AD436,"Loss")))</f>
        <v/>
      </c>
      <c r="AF436" s="6">
        <f>SUM($Y$2:Y436)/SUM($X$2:X436)</f>
        <v/>
      </c>
      <c r="AG436" s="5">
        <f>SUM($Y$2:Y436)</f>
        <v/>
      </c>
      <c r="AH436" s="7">
        <f>10000.0+SUM($AA$2:AA436)</f>
        <v/>
      </c>
      <c r="AI436" s="2" t="n">
        <v>2026</v>
      </c>
      <c r="AJ436" s="2" t="inlineStr">
        <is>
          <t>2026-05</t>
        </is>
      </c>
      <c r="AK436" s="2" t="inlineStr">
        <is>
          <t>+121 to +150</t>
        </is>
      </c>
      <c r="AL436" s="2" t="inlineStr">
        <is>
          <t>2026 Frozen Test</t>
        </is>
      </c>
      <c r="AM436" s="6" t="n">
        <v>0.2491338295485041</v>
      </c>
    </row>
    <row r="437">
      <c r="A437" s="2" t="inlineStr">
        <is>
          <t>KPROP-00838</t>
        </is>
      </c>
      <c r="B437" s="3" t="n">
        <v>46166.67056712963</v>
      </c>
      <c r="C437" s="3" t="n">
        <v>46166</v>
      </c>
      <c r="D437" s="2" t="inlineStr">
        <is>
          <t>Robbie Ray</t>
        </is>
      </c>
      <c r="E437" s="2" t="n">
        <v>137</v>
      </c>
      <c r="F437" s="2" t="n">
        <v>145</v>
      </c>
      <c r="G437" s="2" t="inlineStr">
        <is>
          <t>Home</t>
        </is>
      </c>
      <c r="H437" s="2" t="inlineStr">
        <is>
          <t>draftkings</t>
        </is>
      </c>
      <c r="I437" s="4" t="n"/>
      <c r="J437" s="4" t="n"/>
      <c r="K437" s="4" t="n">
        <v>-150</v>
      </c>
      <c r="L437" s="4" t="n">
        <v>-150</v>
      </c>
      <c r="M437" s="5" t="n">
        <v>6.5</v>
      </c>
      <c r="N437" s="5" t="n">
        <v>5.188907991435448</v>
      </c>
      <c r="O437" s="5" t="n">
        <v>6.5</v>
      </c>
      <c r="P437" s="5" t="n">
        <v>1.311092008564552</v>
      </c>
      <c r="Q437" s="6" t="n">
        <v>0.2234535352916678</v>
      </c>
      <c r="R437" s="6" t="n">
        <v>0.7340721211750008</v>
      </c>
      <c r="S437" s="6" t="n">
        <v>0.5798319327731092</v>
      </c>
      <c r="T437" s="2" t="inlineStr">
        <is>
          <t>Under</t>
        </is>
      </c>
      <c r="U437" s="4" t="n">
        <v>-150</v>
      </c>
      <c r="V437" s="2" t="n">
        <v>1.666666666666667</v>
      </c>
      <c r="W437" s="4" t="n">
        <v>-150</v>
      </c>
      <c r="X437" s="2" t="n">
        <v>1</v>
      </c>
      <c r="Y437" s="5" t="n">
        <v>0.6666666666666665</v>
      </c>
      <c r="Z437" s="7" t="n">
        <v>100</v>
      </c>
      <c r="AA437" s="7">
        <f>Y437*Z437</f>
        <v/>
      </c>
      <c r="AB437" s="6">
        <f>IF(Z437=0,0,AA437/Z437)</f>
        <v/>
      </c>
      <c r="AC437" s="6" t="n"/>
      <c r="AD437" s="2" t="inlineStr">
        <is>
          <t>Win</t>
        </is>
      </c>
      <c r="AE437" s="6">
        <f>IF((COUNTIF($AD$2:AD437,"Win")+COUNTIF($AD$2:AD437,"Loss"))=0,0,COUNTIF($AD$2:AD437,"Win")/(COUNTIF($AD$2:AD437,"Win")+COUNTIF($AD$2:AD437,"Loss")))</f>
        <v/>
      </c>
      <c r="AF437" s="6">
        <f>SUM($Y$2:Y437)/SUM($X$2:X437)</f>
        <v/>
      </c>
      <c r="AG437" s="5">
        <f>SUM($Y$2:Y437)</f>
        <v/>
      </c>
      <c r="AH437" s="7">
        <f>10000.0+SUM($AA$2:AA437)</f>
        <v/>
      </c>
      <c r="AI437" s="2" t="n">
        <v>2026</v>
      </c>
      <c r="AJ437" s="2" t="inlineStr">
        <is>
          <t>2026-05</t>
        </is>
      </c>
      <c r="AK437" s="2" t="inlineStr">
        <is>
          <t>&lt;= -150</t>
        </is>
      </c>
      <c r="AL437" s="2" t="inlineStr">
        <is>
          <t>2026 Frozen Test</t>
        </is>
      </c>
      <c r="AM437" s="6" t="n">
        <v>0.3351803029375018</v>
      </c>
    </row>
    <row r="438">
      <c r="A438" s="2" t="inlineStr">
        <is>
          <t>KPROP-00839</t>
        </is>
      </c>
      <c r="B438" s="3" t="n">
        <v>46166.56640046297</v>
      </c>
      <c r="C438" s="3" t="n">
        <v>46166</v>
      </c>
      <c r="D438" s="2" t="inlineStr">
        <is>
          <t>Ryan Weathers</t>
        </is>
      </c>
      <c r="E438" s="2" t="n">
        <v>147</v>
      </c>
      <c r="F438" s="2" t="n">
        <v>139</v>
      </c>
      <c r="G438" s="2" t="inlineStr">
        <is>
          <t>Home</t>
        </is>
      </c>
      <c r="H438" s="2" t="inlineStr">
        <is>
          <t>draftkings</t>
        </is>
      </c>
      <c r="I438" s="4" t="n"/>
      <c r="J438" s="4" t="n"/>
      <c r="K438" s="4" t="n">
        <v>-103</v>
      </c>
      <c r="L438" s="4" t="n">
        <v>-103</v>
      </c>
      <c r="M438" s="5" t="n">
        <v>5.5</v>
      </c>
      <c r="N438" s="5" t="n">
        <v>5.081413766971731</v>
      </c>
      <c r="O438" s="5" t="n">
        <v>5.5</v>
      </c>
      <c r="P438" s="5" t="n">
        <v>0.418586233028269</v>
      </c>
      <c r="Q438" s="6" t="n">
        <v>0.1858320394707177</v>
      </c>
      <c r="R438" s="6" t="n">
        <v>0.6016783254457336</v>
      </c>
      <c r="S438" s="6" t="n">
        <v>0.4878275495750709</v>
      </c>
      <c r="T438" s="2" t="inlineStr">
        <is>
          <t>Under</t>
        </is>
      </c>
      <c r="U438" s="4" t="n">
        <v>-103</v>
      </c>
      <c r="V438" s="2" t="n">
        <v>1.970873786407767</v>
      </c>
      <c r="W438" s="4" t="n">
        <v>-103</v>
      </c>
      <c r="X438" s="2" t="n">
        <v>1</v>
      </c>
      <c r="Y438" s="5" t="n">
        <v>0.970873786407767</v>
      </c>
      <c r="Z438" s="7" t="n">
        <v>100</v>
      </c>
      <c r="AA438" s="7">
        <f>Y438*Z438</f>
        <v/>
      </c>
      <c r="AB438" s="6">
        <f>IF(Z438=0,0,AA438/Z438)</f>
        <v/>
      </c>
      <c r="AC438" s="6" t="n"/>
      <c r="AD438" s="2" t="inlineStr">
        <is>
          <t>Win</t>
        </is>
      </c>
      <c r="AE438" s="6">
        <f>IF((COUNTIF($AD$2:AD438,"Win")+COUNTIF($AD$2:AD438,"Loss"))=0,0,COUNTIF($AD$2:AD438,"Win")/(COUNTIF($AD$2:AD438,"Win")+COUNTIF($AD$2:AD438,"Loss")))</f>
        <v/>
      </c>
      <c r="AF438" s="6">
        <f>SUM($Y$2:Y438)/SUM($X$2:X438)</f>
        <v/>
      </c>
      <c r="AG438" s="5">
        <f>SUM($Y$2:Y438)</f>
        <v/>
      </c>
      <c r="AH438" s="7">
        <f>10000.0+SUM($AA$2:AA438)</f>
        <v/>
      </c>
      <c r="AI438" s="2" t="n">
        <v>2026</v>
      </c>
      <c r="AJ438" s="2" t="inlineStr">
        <is>
          <t>2026-05</t>
        </is>
      </c>
      <c r="AK438" s="2" t="inlineStr">
        <is>
          <t>-119 to -101</t>
        </is>
      </c>
      <c r="AL438" s="2" t="inlineStr">
        <is>
          <t>2026 Frozen Test</t>
        </is>
      </c>
      <c r="AM438" s="6" t="n">
        <v>0.1914070006548392</v>
      </c>
    </row>
    <row r="439">
      <c r="A439" s="2" t="inlineStr">
        <is>
          <t>KPROP-00840</t>
        </is>
      </c>
      <c r="B439" s="3" t="n">
        <v>46166.59070601852</v>
      </c>
      <c r="C439" s="3" t="n">
        <v>46166</v>
      </c>
      <c r="D439" s="2" t="inlineStr">
        <is>
          <t>Seth Lugo</t>
        </is>
      </c>
      <c r="E439" s="2" t="n">
        <v>118</v>
      </c>
      <c r="F439" s="2" t="n">
        <v>136</v>
      </c>
      <c r="G439" s="2" t="inlineStr">
        <is>
          <t>Home</t>
        </is>
      </c>
      <c r="H439" s="2" t="inlineStr">
        <is>
          <t>fanduel</t>
        </is>
      </c>
      <c r="I439" s="4" t="n"/>
      <c r="J439" s="4" t="n"/>
      <c r="K439" s="4" t="n">
        <v>130</v>
      </c>
      <c r="L439" s="4" t="n">
        <v>130</v>
      </c>
      <c r="M439" s="5" t="n">
        <v>4.5</v>
      </c>
      <c r="N439" s="5" t="n">
        <v>4.716438046067721</v>
      </c>
      <c r="O439" s="5" t="n">
        <v>4.5</v>
      </c>
      <c r="P439" s="5" t="n">
        <v>-0.2164380460677213</v>
      </c>
      <c r="Q439" s="6" t="n">
        <v>0.1306172552126045</v>
      </c>
      <c r="R439" s="6" t="n">
        <v>0.4915727196576541</v>
      </c>
      <c r="S439" s="6" t="n">
        <v>0.4214819850441876</v>
      </c>
      <c r="T439" s="2" t="inlineStr">
        <is>
          <t>Under</t>
        </is>
      </c>
      <c r="U439" s="4" t="n">
        <v>130</v>
      </c>
      <c r="V439" s="2" t="n">
        <v>2.3</v>
      </c>
      <c r="W439" s="4" t="n">
        <v>130</v>
      </c>
      <c r="X439" s="2" t="n">
        <v>1</v>
      </c>
      <c r="Y439" s="5" t="n">
        <v>1.3</v>
      </c>
      <c r="Z439" s="7" t="n">
        <v>100</v>
      </c>
      <c r="AA439" s="7">
        <f>Y439*Z439</f>
        <v/>
      </c>
      <c r="AB439" s="6">
        <f>IF(Z439=0,0,AA439/Z439)</f>
        <v/>
      </c>
      <c r="AC439" s="6" t="n"/>
      <c r="AD439" s="2" t="inlineStr">
        <is>
          <t>Win</t>
        </is>
      </c>
      <c r="AE439" s="6">
        <f>IF((COUNTIF($AD$2:AD439,"Win")+COUNTIF($AD$2:AD439,"Loss"))=0,0,COUNTIF($AD$2:AD439,"Win")/(COUNTIF($AD$2:AD439,"Win")+COUNTIF($AD$2:AD439,"Loss")))</f>
        <v/>
      </c>
      <c r="AF439" s="6">
        <f>SUM($Y$2:Y439)/SUM($X$2:X439)</f>
        <v/>
      </c>
      <c r="AG439" s="5">
        <f>SUM($Y$2:Y439)</f>
        <v/>
      </c>
      <c r="AH439" s="7">
        <f>10000.0+SUM($AA$2:AA439)</f>
        <v/>
      </c>
      <c r="AI439" s="2" t="n">
        <v>2026</v>
      </c>
      <c r="AJ439" s="2" t="inlineStr">
        <is>
          <t>2026-05</t>
        </is>
      </c>
      <c r="AK439" s="2" t="inlineStr">
        <is>
          <t>+121 to +150</t>
        </is>
      </c>
      <c r="AL439" s="2" t="inlineStr">
        <is>
          <t>2026 Frozen Test</t>
        </is>
      </c>
      <c r="AM439" s="6" t="n">
        <v>0.1004748117020035</v>
      </c>
    </row>
    <row r="440">
      <c r="A440" s="2" t="inlineStr">
        <is>
          <t>KPROP-00841</t>
        </is>
      </c>
      <c r="B440" s="3" t="n">
        <v>46166.56640046297</v>
      </c>
      <c r="C440" s="3" t="n">
        <v>46166</v>
      </c>
      <c r="D440" s="2" t="inlineStr">
        <is>
          <t>Sonny Gray</t>
        </is>
      </c>
      <c r="E440" s="2" t="n">
        <v>111</v>
      </c>
      <c r="F440" s="2" t="n">
        <v>142</v>
      </c>
      <c r="G440" s="2" t="inlineStr">
        <is>
          <t>Home</t>
        </is>
      </c>
      <c r="H440" s="2" t="inlineStr">
        <is>
          <t>draftkings</t>
        </is>
      </c>
      <c r="I440" s="4" t="n"/>
      <c r="J440" s="4" t="n"/>
      <c r="K440" s="4" t="n">
        <v>-117</v>
      </c>
      <c r="L440" s="4" t="n">
        <v>-117</v>
      </c>
      <c r="M440" s="5" t="n">
        <v>5.5</v>
      </c>
      <c r="N440" s="5" t="n">
        <v>4.861697560456833</v>
      </c>
      <c r="O440" s="5" t="n">
        <v>5.5</v>
      </c>
      <c r="P440" s="5" t="n">
        <v>0.6383024395431667</v>
      </c>
      <c r="Q440" s="6" t="n">
        <v>0.1874027433296765</v>
      </c>
      <c r="R440" s="6" t="n">
        <v>0.6402125390302864</v>
      </c>
      <c r="S440" s="6" t="n">
        <v>0.5286297680076462</v>
      </c>
      <c r="T440" s="2" t="inlineStr">
        <is>
          <t>Under</t>
        </is>
      </c>
      <c r="U440" s="4" t="n">
        <v>-117</v>
      </c>
      <c r="V440" s="2" t="n">
        <v>1.854700854700855</v>
      </c>
      <c r="W440" s="4" t="n">
        <v>-117</v>
      </c>
      <c r="X440" s="2" t="n">
        <v>1</v>
      </c>
      <c r="Y440" s="5" t="n">
        <v>0.8547008547008548</v>
      </c>
      <c r="Z440" s="7" t="n">
        <v>100</v>
      </c>
      <c r="AA440" s="7">
        <f>Y440*Z440</f>
        <v/>
      </c>
      <c r="AB440" s="6">
        <f>IF(Z440=0,0,AA440/Z440)</f>
        <v/>
      </c>
      <c r="AC440" s="6" t="n"/>
      <c r="AD440" s="2" t="inlineStr">
        <is>
          <t>Win</t>
        </is>
      </c>
      <c r="AE440" s="6">
        <f>IF((COUNTIF($AD$2:AD440,"Win")+COUNTIF($AD$2:AD440,"Loss"))=0,0,COUNTIF($AD$2:AD440,"Win")/(COUNTIF($AD$2:AD440,"Win")+COUNTIF($AD$2:AD440,"Loss")))</f>
        <v/>
      </c>
      <c r="AF440" s="6">
        <f>SUM($Y$2:Y440)/SUM($X$2:X440)</f>
        <v/>
      </c>
      <c r="AG440" s="5">
        <f>SUM($Y$2:Y440)</f>
        <v/>
      </c>
      <c r="AH440" s="7">
        <f>10000.0+SUM($AA$2:AA440)</f>
        <v/>
      </c>
      <c r="AI440" s="2" t="n">
        <v>2026</v>
      </c>
      <c r="AJ440" s="2" t="inlineStr">
        <is>
          <t>2026-05</t>
        </is>
      </c>
      <c r="AK440" s="2" t="inlineStr">
        <is>
          <t>-119 to -101</t>
        </is>
      </c>
      <c r="AL440" s="2" t="inlineStr">
        <is>
          <t>2026 Frozen Test</t>
        </is>
      </c>
      <c r="AM440" s="6" t="n">
        <v>0.2192612096957215</v>
      </c>
    </row>
    <row r="441">
      <c r="A441" s="2" t="inlineStr">
        <is>
          <t>KPROP-00842</t>
        </is>
      </c>
      <c r="B441" s="3" t="n">
        <v>46166.59070601852</v>
      </c>
      <c r="C441" s="3" t="n">
        <v>46166</v>
      </c>
      <c r="D441" s="2" t="inlineStr">
        <is>
          <t>Yoshinobu Yamamoto</t>
        </is>
      </c>
      <c r="E441" s="2" t="n">
        <v>119</v>
      </c>
      <c r="F441" s="2" t="n">
        <v>158</v>
      </c>
      <c r="G441" s="2" t="inlineStr">
        <is>
          <t>Away</t>
        </is>
      </c>
      <c r="H441" s="2" t="inlineStr">
        <is>
          <t>betmgm</t>
        </is>
      </c>
      <c r="I441" s="4" t="n"/>
      <c r="J441" s="4" t="n"/>
      <c r="K441" s="4" t="n">
        <v>-125</v>
      </c>
      <c r="L441" s="4" t="n">
        <v>-125</v>
      </c>
      <c r="M441" s="5" t="n">
        <v>6.5</v>
      </c>
      <c r="N441" s="5" t="n">
        <v>6.009689052610117</v>
      </c>
      <c r="O441" s="5" t="n">
        <v>6.5</v>
      </c>
      <c r="P441" s="5" t="n">
        <v>0.490310947389883</v>
      </c>
      <c r="Q441" s="6" t="n">
        <v>0.08854370072655637</v>
      </c>
      <c r="R441" s="6" t="n">
        <v>0.6047465004036424</v>
      </c>
      <c r="S441" s="6" t="n">
        <v>0.5275590551181103</v>
      </c>
      <c r="T441" s="2" t="inlineStr">
        <is>
          <t>Under</t>
        </is>
      </c>
      <c r="U441" s="4" t="n">
        <v>-125</v>
      </c>
      <c r="V441" s="2" t="n">
        <v>1.8</v>
      </c>
      <c r="W441" s="4" t="n">
        <v>-125</v>
      </c>
      <c r="X441" s="2" t="n">
        <v>1</v>
      </c>
      <c r="Y441" s="5" t="n">
        <v>0.8</v>
      </c>
      <c r="Z441" s="7" t="n">
        <v>100</v>
      </c>
      <c r="AA441" s="7">
        <f>Y441*Z441</f>
        <v/>
      </c>
      <c r="AB441" s="6">
        <f>IF(Z441=0,0,AA441/Z441)</f>
        <v/>
      </c>
      <c r="AC441" s="6" t="n"/>
      <c r="AD441" s="2" t="inlineStr">
        <is>
          <t>Win</t>
        </is>
      </c>
      <c r="AE441" s="6">
        <f>IF((COUNTIF($AD$2:AD441,"Win")+COUNTIF($AD$2:AD441,"Loss"))=0,0,COUNTIF($AD$2:AD441,"Win")/(COUNTIF($AD$2:AD441,"Win")+COUNTIF($AD$2:AD441,"Loss")))</f>
        <v/>
      </c>
      <c r="AF441" s="6">
        <f>SUM($Y$2:Y441)/SUM($X$2:X441)</f>
        <v/>
      </c>
      <c r="AG441" s="5">
        <f>SUM($Y$2:Y441)</f>
        <v/>
      </c>
      <c r="AH441" s="7">
        <f>10000.0+SUM($AA$2:AA441)</f>
        <v/>
      </c>
      <c r="AI441" s="2" t="n">
        <v>2026</v>
      </c>
      <c r="AJ441" s="2" t="inlineStr">
        <is>
          <t>2026-05</t>
        </is>
      </c>
      <c r="AK441" s="2" t="inlineStr">
        <is>
          <t>-149 to -120</t>
        </is>
      </c>
      <c r="AL441" s="2" t="inlineStr">
        <is>
          <t>2026 Frozen Test</t>
        </is>
      </c>
      <c r="AM441" s="6" t="n">
        <v>0.1106796259081955</v>
      </c>
    </row>
    <row r="442">
      <c r="A442" s="2" t="inlineStr">
        <is>
          <t>KPROP-00843</t>
        </is>
      </c>
      <c r="B442" s="3" t="n">
        <v>46167.56640046297</v>
      </c>
      <c r="C442" s="3" t="n">
        <v>46167</v>
      </c>
      <c r="D442" s="2" t="inlineStr">
        <is>
          <t>Kyle Bradish</t>
        </is>
      </c>
      <c r="E442" s="2" t="n">
        <v>110</v>
      </c>
      <c r="F442" s="2" t="n">
        <v>139</v>
      </c>
      <c r="G442" s="2" t="inlineStr">
        <is>
          <t>Home</t>
        </is>
      </c>
      <c r="H442" s="2" t="inlineStr">
        <is>
          <t>fanduel</t>
        </is>
      </c>
      <c r="I442" s="4" t="n"/>
      <c r="J442" s="4" t="n"/>
      <c r="K442" s="4" t="n">
        <v>100</v>
      </c>
      <c r="L442" s="4" t="n">
        <v>100</v>
      </c>
      <c r="M442" s="5" t="n">
        <v>5.5</v>
      </c>
      <c r="N442" s="5" t="n">
        <v>5.028564624573591</v>
      </c>
      <c r="O442" s="5" t="n">
        <v>5.5</v>
      </c>
      <c r="P442" s="5" t="n">
        <v>0.4714353754264087</v>
      </c>
      <c r="Q442" s="6" t="n">
        <v>0.2218972624393856</v>
      </c>
      <c r="R442" s="6" t="n">
        <v>0.6109486312196928</v>
      </c>
      <c r="S442" s="6" t="n">
        <v>0.4801762114537445</v>
      </c>
      <c r="T442" s="2" t="inlineStr">
        <is>
          <t>Under</t>
        </is>
      </c>
      <c r="U442" s="4" t="n">
        <v>100</v>
      </c>
      <c r="V442" s="2" t="n">
        <v>2</v>
      </c>
      <c r="W442" s="4" t="n">
        <v>100</v>
      </c>
      <c r="X442" s="2" t="n">
        <v>1</v>
      </c>
      <c r="Y442" s="5" t="n">
        <v>1</v>
      </c>
      <c r="Z442" s="7" t="n">
        <v>100</v>
      </c>
      <c r="AA442" s="7">
        <f>Y442*Z442</f>
        <v/>
      </c>
      <c r="AB442" s="6">
        <f>IF(Z442=0,0,AA442/Z442)</f>
        <v/>
      </c>
      <c r="AC442" s="6" t="n"/>
      <c r="AD442" s="2" t="inlineStr">
        <is>
          <t>Win</t>
        </is>
      </c>
      <c r="AE442" s="6">
        <f>IF((COUNTIF($AD$2:AD442,"Win")+COUNTIF($AD$2:AD442,"Loss"))=0,0,COUNTIF($AD$2:AD442,"Win")/(COUNTIF($AD$2:AD442,"Win")+COUNTIF($AD$2:AD442,"Loss")))</f>
        <v/>
      </c>
      <c r="AF442" s="6">
        <f>SUM($Y$2:Y442)/SUM($X$2:X442)</f>
        <v/>
      </c>
      <c r="AG442" s="5">
        <f>SUM($Y$2:Y442)</f>
        <v/>
      </c>
      <c r="AH442" s="7">
        <f>10000.0+SUM($AA$2:AA442)</f>
        <v/>
      </c>
      <c r="AI442" s="2" t="n">
        <v>2026</v>
      </c>
      <c r="AJ442" s="2" t="inlineStr">
        <is>
          <t>2026-05</t>
        </is>
      </c>
      <c r="AK442" s="2" t="inlineStr">
        <is>
          <t>+100 to +120</t>
        </is>
      </c>
      <c r="AL442" s="2" t="inlineStr">
        <is>
          <t>2026 Frozen Test</t>
        </is>
      </c>
      <c r="AM442" s="6" t="n">
        <v>0.2218972624393856</v>
      </c>
    </row>
    <row r="443">
      <c r="A443" s="2" t="inlineStr">
        <is>
          <t>KPROP-00844</t>
        </is>
      </c>
      <c r="B443" s="3" t="n">
        <v>46167.71223379629</v>
      </c>
      <c r="C443" s="3" t="n">
        <v>46167</v>
      </c>
      <c r="D443" s="2" t="inlineStr">
        <is>
          <t>Landen Roupp</t>
        </is>
      </c>
      <c r="E443" s="2" t="n">
        <v>137</v>
      </c>
      <c r="F443" s="2" t="n">
        <v>109</v>
      </c>
      <c r="G443" s="2" t="inlineStr">
        <is>
          <t>Home</t>
        </is>
      </c>
      <c r="H443" s="2" t="inlineStr">
        <is>
          <t>betrivers</t>
        </is>
      </c>
      <c r="I443" s="4" t="n"/>
      <c r="J443" s="4" t="n"/>
      <c r="K443" s="4" t="n">
        <v>125</v>
      </c>
      <c r="L443" s="4" t="n">
        <v>125</v>
      </c>
      <c r="M443" s="5" t="n">
        <v>4.5</v>
      </c>
      <c r="N443" s="5" t="n">
        <v>4.536613696193284</v>
      </c>
      <c r="O443" s="5" t="n">
        <v>4.5</v>
      </c>
      <c r="P443" s="5" t="n">
        <v>-0.03661369619328436</v>
      </c>
      <c r="Q443" s="6" t="n">
        <v>0.1816289883221188</v>
      </c>
      <c r="R443" s="6" t="n">
        <v>0.525168439254275</v>
      </c>
      <c r="S443" s="6" t="n">
        <v>0.4154025670945157</v>
      </c>
      <c r="T443" s="2" t="inlineStr">
        <is>
          <t>Under</t>
        </is>
      </c>
      <c r="U443" s="4" t="n">
        <v>125</v>
      </c>
      <c r="V443" s="2" t="n">
        <v>2.25</v>
      </c>
      <c r="W443" s="4" t="n">
        <v>125</v>
      </c>
      <c r="X443" s="2" t="n">
        <v>1</v>
      </c>
      <c r="Y443" s="5" t="n">
        <v>-1</v>
      </c>
      <c r="Z443" s="7" t="n">
        <v>100</v>
      </c>
      <c r="AA443" s="7">
        <f>Y443*Z443</f>
        <v/>
      </c>
      <c r="AB443" s="6">
        <f>IF(Z443=0,0,AA443/Z443)</f>
        <v/>
      </c>
      <c r="AC443" s="6" t="n"/>
      <c r="AD443" s="2" t="inlineStr">
        <is>
          <t>Loss</t>
        </is>
      </c>
      <c r="AE443" s="6">
        <f>IF((COUNTIF($AD$2:AD443,"Win")+COUNTIF($AD$2:AD443,"Loss"))=0,0,COUNTIF($AD$2:AD443,"Win")/(COUNTIF($AD$2:AD443,"Win")+COUNTIF($AD$2:AD443,"Loss")))</f>
        <v/>
      </c>
      <c r="AF443" s="6">
        <f>SUM($Y$2:Y443)/SUM($X$2:X443)</f>
        <v/>
      </c>
      <c r="AG443" s="5">
        <f>SUM($Y$2:Y443)</f>
        <v/>
      </c>
      <c r="AH443" s="7">
        <f>10000.0+SUM($AA$2:AA443)</f>
        <v/>
      </c>
      <c r="AI443" s="2" t="n">
        <v>2026</v>
      </c>
      <c r="AJ443" s="2" t="inlineStr">
        <is>
          <t>2026-05</t>
        </is>
      </c>
      <c r="AK443" s="2" t="inlineStr">
        <is>
          <t>+121 to +150</t>
        </is>
      </c>
      <c r="AL443" s="2" t="inlineStr">
        <is>
          <t>2026 Frozen Test</t>
        </is>
      </c>
      <c r="AM443" s="6" t="n">
        <v>0.1453031906576951</v>
      </c>
    </row>
    <row r="444">
      <c r="A444" s="2" t="inlineStr">
        <is>
          <t>KPROP-00845</t>
        </is>
      </c>
      <c r="B444" s="3" t="n">
        <v>46167.71223379629</v>
      </c>
      <c r="C444" s="3" t="n">
        <v>46167</v>
      </c>
      <c r="D444" s="2" t="inlineStr">
        <is>
          <t>Landen Roupp</t>
        </is>
      </c>
      <c r="E444" s="2" t="n">
        <v>137</v>
      </c>
      <c r="F444" s="2" t="n">
        <v>109</v>
      </c>
      <c r="G444" s="2" t="inlineStr">
        <is>
          <t>Home</t>
        </is>
      </c>
      <c r="H444" s="2" t="inlineStr">
        <is>
          <t>fanduel</t>
        </is>
      </c>
      <c r="I444" s="4" t="n"/>
      <c r="J444" s="4" t="n"/>
      <c r="K444" s="4" t="n">
        <v>-160</v>
      </c>
      <c r="L444" s="4" t="n">
        <v>-160</v>
      </c>
      <c r="M444" s="5" t="n">
        <v>5.5</v>
      </c>
      <c r="N444" s="5" t="n">
        <v>4.536613696193284</v>
      </c>
      <c r="O444" s="5" t="n">
        <v>5.5</v>
      </c>
      <c r="P444" s="5" t="n">
        <v>0.9633863038067156</v>
      </c>
      <c r="Q444" s="6" t="n">
        <v>0.1320780853300056</v>
      </c>
      <c r="R444" s="6" t="n">
        <v>0.6966634371261573</v>
      </c>
      <c r="S444" s="6" t="n">
        <v>0.5859872611464969</v>
      </c>
      <c r="T444" s="2" t="inlineStr">
        <is>
          <t>Under</t>
        </is>
      </c>
      <c r="U444" s="4" t="n">
        <v>-160</v>
      </c>
      <c r="V444" s="2" t="n">
        <v>1.625</v>
      </c>
      <c r="W444" s="4" t="n">
        <v>-160</v>
      </c>
      <c r="X444" s="2" t="n">
        <v>1</v>
      </c>
      <c r="Y444" s="5" t="n">
        <v>-1</v>
      </c>
      <c r="Z444" s="7" t="n">
        <v>100</v>
      </c>
      <c r="AA444" s="7">
        <f>Y444*Z444</f>
        <v/>
      </c>
      <c r="AB444" s="6">
        <f>IF(Z444=0,0,AA444/Z444)</f>
        <v/>
      </c>
      <c r="AC444" s="6" t="n"/>
      <c r="AD444" s="2" t="inlineStr">
        <is>
          <t>Loss</t>
        </is>
      </c>
      <c r="AE444" s="6">
        <f>IF((COUNTIF($AD$2:AD444,"Win")+COUNTIF($AD$2:AD444,"Loss"))=0,0,COUNTIF($AD$2:AD444,"Win")/(COUNTIF($AD$2:AD444,"Win")+COUNTIF($AD$2:AD444,"Loss")))</f>
        <v/>
      </c>
      <c r="AF444" s="6">
        <f>SUM($Y$2:Y444)/SUM($X$2:X444)</f>
        <v/>
      </c>
      <c r="AG444" s="5">
        <f>SUM($Y$2:Y444)</f>
        <v/>
      </c>
      <c r="AH444" s="7">
        <f>10000.0+SUM($AA$2:AA444)</f>
        <v/>
      </c>
      <c r="AI444" s="2" t="n">
        <v>2026</v>
      </c>
      <c r="AJ444" s="2" t="inlineStr">
        <is>
          <t>2026-05</t>
        </is>
      </c>
      <c r="AK444" s="2" t="inlineStr">
        <is>
          <t>&lt;= -150</t>
        </is>
      </c>
      <c r="AL444" s="2" t="inlineStr">
        <is>
          <t>2026 Frozen Test</t>
        </is>
      </c>
      <c r="AM444" s="6" t="n">
        <v>0.211324936528009</v>
      </c>
    </row>
    <row r="445">
      <c r="A445" s="2" t="inlineStr">
        <is>
          <t>KPROP-00846</t>
        </is>
      </c>
      <c r="B445" s="3" t="n">
        <v>46167.67403935185</v>
      </c>
      <c r="C445" s="3" t="n">
        <v>46167</v>
      </c>
      <c r="D445" s="2" t="inlineStr">
        <is>
          <t>Nolan McLean</t>
        </is>
      </c>
      <c r="E445" s="2" t="n">
        <v>121</v>
      </c>
      <c r="F445" s="2" t="n">
        <v>113</v>
      </c>
      <c r="G445" s="2" t="inlineStr">
        <is>
          <t>Home</t>
        </is>
      </c>
      <c r="H445" s="2" t="inlineStr">
        <is>
          <t>betrivers</t>
        </is>
      </c>
      <c r="I445" s="4" t="n"/>
      <c r="J445" s="4" t="n"/>
      <c r="K445" s="4" t="n">
        <v>135</v>
      </c>
      <c r="L445" s="4" t="n">
        <v>135</v>
      </c>
      <c r="M445" s="5" t="n">
        <v>6.5</v>
      </c>
      <c r="N445" s="5" t="n">
        <v>6.631112599243822</v>
      </c>
      <c r="O445" s="5" t="n">
        <v>6.5</v>
      </c>
      <c r="P445" s="5" t="n">
        <v>-0.1311125992438225</v>
      </c>
      <c r="Q445" s="6" t="n">
        <v>0.189070980558905</v>
      </c>
      <c r="R445" s="6" t="n">
        <v>0.5059876513016617</v>
      </c>
      <c r="S445" s="6" t="n">
        <v>0.4088050314465409</v>
      </c>
      <c r="T445" s="2" t="inlineStr">
        <is>
          <t>Under</t>
        </is>
      </c>
      <c r="U445" s="4" t="n">
        <v>135</v>
      </c>
      <c r="V445" s="2" t="n">
        <v>2.35</v>
      </c>
      <c r="W445" s="4" t="n">
        <v>135</v>
      </c>
      <c r="X445" s="2" t="n">
        <v>1</v>
      </c>
      <c r="Y445" s="5" t="n">
        <v>1.35</v>
      </c>
      <c r="Z445" s="7" t="n">
        <v>100</v>
      </c>
      <c r="AA445" s="7">
        <f>Y445*Z445</f>
        <v/>
      </c>
      <c r="AB445" s="6">
        <f>IF(Z445=0,0,AA445/Z445)</f>
        <v/>
      </c>
      <c r="AC445" s="6" t="n"/>
      <c r="AD445" s="2" t="inlineStr">
        <is>
          <t>Win</t>
        </is>
      </c>
      <c r="AE445" s="6">
        <f>IF((COUNTIF($AD$2:AD445,"Win")+COUNTIF($AD$2:AD445,"Loss"))=0,0,COUNTIF($AD$2:AD445,"Win")/(COUNTIF($AD$2:AD445,"Win")+COUNTIF($AD$2:AD445,"Loss")))</f>
        <v/>
      </c>
      <c r="AF445" s="6">
        <f>SUM($Y$2:Y445)/SUM($X$2:X445)</f>
        <v/>
      </c>
      <c r="AG445" s="5">
        <f>SUM($Y$2:Y445)</f>
        <v/>
      </c>
      <c r="AH445" s="7">
        <f>10000.0+SUM($AA$2:AA445)</f>
        <v/>
      </c>
      <c r="AI445" s="2" t="n">
        <v>2026</v>
      </c>
      <c r="AJ445" s="2" t="inlineStr">
        <is>
          <t>2026-05</t>
        </is>
      </c>
      <c r="AK445" s="2" t="inlineStr">
        <is>
          <t>+121 to +150</t>
        </is>
      </c>
      <c r="AL445" s="2" t="inlineStr">
        <is>
          <t>2026 Frozen Test</t>
        </is>
      </c>
      <c r="AM445" s="6" t="n">
        <v>0.1400525781917815</v>
      </c>
    </row>
    <row r="446">
      <c r="A446" s="2" t="inlineStr">
        <is>
          <t>KPROP-00847</t>
        </is>
      </c>
      <c r="B446" s="3" t="n">
        <v>46167.67403935185</v>
      </c>
      <c r="C446" s="3" t="n">
        <v>46167</v>
      </c>
      <c r="D446" s="2" t="inlineStr">
        <is>
          <t>Nolan McLean</t>
        </is>
      </c>
      <c r="E446" s="2" t="n">
        <v>121</v>
      </c>
      <c r="F446" s="2" t="n">
        <v>113</v>
      </c>
      <c r="G446" s="2" t="inlineStr">
        <is>
          <t>Home</t>
        </is>
      </c>
      <c r="H446" s="2" t="inlineStr">
        <is>
          <t>fanatics</t>
        </is>
      </c>
      <c r="I446" s="4" t="n"/>
      <c r="J446" s="4" t="n"/>
      <c r="K446" s="4" t="n">
        <v>-140</v>
      </c>
      <c r="L446" s="4" t="n">
        <v>-140</v>
      </c>
      <c r="M446" s="5" t="n">
        <v>7.5</v>
      </c>
      <c r="N446" s="5" t="n">
        <v>6.631112599243822</v>
      </c>
      <c r="O446" s="5" t="n">
        <v>7.5</v>
      </c>
      <c r="P446" s="5" t="n">
        <v>0.8688874007561775</v>
      </c>
      <c r="Q446" s="6" t="n">
        <v>0.1202800618209267</v>
      </c>
      <c r="R446" s="6" t="n">
        <v>0.6534967027288738</v>
      </c>
      <c r="S446" s="6" t="n">
        <v>0.5597945707997065</v>
      </c>
      <c r="T446" s="2" t="inlineStr">
        <is>
          <t>Under</t>
        </is>
      </c>
      <c r="U446" s="4" t="n">
        <v>-140</v>
      </c>
      <c r="V446" s="2" t="n">
        <v>1.714285714285714</v>
      </c>
      <c r="W446" s="4" t="n">
        <v>-140</v>
      </c>
      <c r="X446" s="2" t="n">
        <v>1</v>
      </c>
      <c r="Y446" s="5" t="n">
        <v>0.7142857142857144</v>
      </c>
      <c r="Z446" s="7" t="n">
        <v>100</v>
      </c>
      <c r="AA446" s="7">
        <f>Y446*Z446</f>
        <v/>
      </c>
      <c r="AB446" s="6">
        <f>IF(Z446=0,0,AA446/Z446)</f>
        <v/>
      </c>
      <c r="AC446" s="6" t="n"/>
      <c r="AD446" s="2" t="inlineStr">
        <is>
          <t>Win</t>
        </is>
      </c>
      <c r="AE446" s="6">
        <f>IF((COUNTIF($AD$2:AD446,"Win")+COUNTIF($AD$2:AD446,"Loss"))=0,0,COUNTIF($AD$2:AD446,"Win")/(COUNTIF($AD$2:AD446,"Win")+COUNTIF($AD$2:AD446,"Loss")))</f>
        <v/>
      </c>
      <c r="AF446" s="6">
        <f>SUM($Y$2:Y446)/SUM($X$2:X446)</f>
        <v/>
      </c>
      <c r="AG446" s="5">
        <f>SUM($Y$2:Y446)</f>
        <v/>
      </c>
      <c r="AH446" s="7">
        <f>10000.0+SUM($AA$2:AA446)</f>
        <v/>
      </c>
      <c r="AI446" s="2" t="n">
        <v>2026</v>
      </c>
      <c r="AJ446" s="2" t="inlineStr">
        <is>
          <t>2026-05</t>
        </is>
      </c>
      <c r="AK446" s="2" t="inlineStr">
        <is>
          <t>-149 to -120</t>
        </is>
      </c>
      <c r="AL446" s="2" t="inlineStr">
        <is>
          <t>2026 Frozen Test</t>
        </is>
      </c>
      <c r="AM446" s="6" t="n">
        <v>0.1683920865492973</v>
      </c>
    </row>
    <row r="447">
      <c r="A447" s="2" t="inlineStr">
        <is>
          <t>KPROP-00848</t>
        </is>
      </c>
      <c r="B447" s="3" t="n">
        <v>46167.79556712963</v>
      </c>
      <c r="C447" s="3" t="n">
        <v>46167</v>
      </c>
      <c r="D447" s="2" t="inlineStr">
        <is>
          <t>Trey Yesavage</t>
        </is>
      </c>
      <c r="E447" s="2" t="n">
        <v>141</v>
      </c>
      <c r="F447" s="2" t="n">
        <v>146</v>
      </c>
      <c r="G447" s="2" t="inlineStr">
        <is>
          <t>Home</t>
        </is>
      </c>
      <c r="H447" s="2" t="inlineStr">
        <is>
          <t>betrivers</t>
        </is>
      </c>
      <c r="I447" s="4" t="n"/>
      <c r="J447" s="4" t="n"/>
      <c r="K447" s="4" t="n">
        <v>120</v>
      </c>
      <c r="L447" s="4" t="n">
        <v>120</v>
      </c>
      <c r="M447" s="5" t="n">
        <v>5.5</v>
      </c>
      <c r="N447" s="5" t="n">
        <v>5.145447629785482</v>
      </c>
      <c r="O447" s="5" t="n">
        <v>5.5</v>
      </c>
      <c r="P447" s="5" t="n">
        <v>0.3545523702145177</v>
      </c>
      <c r="Q447" s="6" t="n">
        <v>0.2990055545544299</v>
      </c>
      <c r="R447" s="6" t="n">
        <v>0.5904570702520135</v>
      </c>
      <c r="S447" s="6" t="n">
        <v>0.4379562043795621</v>
      </c>
      <c r="T447" s="2" t="inlineStr">
        <is>
          <t>Under</t>
        </is>
      </c>
      <c r="U447" s="4" t="n">
        <v>120</v>
      </c>
      <c r="V447" s="2" t="n">
        <v>2.2</v>
      </c>
      <c r="W447" s="4" t="n">
        <v>120</v>
      </c>
      <c r="X447" s="2" t="n">
        <v>1</v>
      </c>
      <c r="Y447" s="5" t="n">
        <v>-1</v>
      </c>
      <c r="Z447" s="7" t="n">
        <v>100</v>
      </c>
      <c r="AA447" s="7">
        <f>Y447*Z447</f>
        <v/>
      </c>
      <c r="AB447" s="6">
        <f>IF(Z447=0,0,AA447/Z447)</f>
        <v/>
      </c>
      <c r="AC447" s="6" t="n"/>
      <c r="AD447" s="2" t="inlineStr">
        <is>
          <t>Loss</t>
        </is>
      </c>
      <c r="AE447" s="6">
        <f>IF((COUNTIF($AD$2:AD447,"Win")+COUNTIF($AD$2:AD447,"Loss"))=0,0,COUNTIF($AD$2:AD447,"Win")/(COUNTIF($AD$2:AD447,"Win")+COUNTIF($AD$2:AD447,"Loss")))</f>
        <v/>
      </c>
      <c r="AF447" s="6">
        <f>SUM($Y$2:Y447)/SUM($X$2:X447)</f>
        <v/>
      </c>
      <c r="AG447" s="5">
        <f>SUM($Y$2:Y447)</f>
        <v/>
      </c>
      <c r="AH447" s="7">
        <f>10000.0+SUM($AA$2:AA447)</f>
        <v/>
      </c>
      <c r="AI447" s="2" t="n">
        <v>2026</v>
      </c>
      <c r="AJ447" s="2" t="inlineStr">
        <is>
          <t>2026-05</t>
        </is>
      </c>
      <c r="AK447" s="2" t="inlineStr">
        <is>
          <t>+100 to +120</t>
        </is>
      </c>
      <c r="AL447" s="2" t="inlineStr">
        <is>
          <t>2026 Frozen Test</t>
        </is>
      </c>
      <c r="AM447" s="6" t="n">
        <v>0.2491712954620249</v>
      </c>
    </row>
    <row r="448">
      <c r="A448" s="2" t="inlineStr">
        <is>
          <t>KPROP-00849</t>
        </is>
      </c>
      <c r="B448" s="3" t="n">
        <v>46167.79556712963</v>
      </c>
      <c r="C448" s="3" t="n">
        <v>46167</v>
      </c>
      <c r="D448" s="2" t="inlineStr">
        <is>
          <t>Trey Yesavage</t>
        </is>
      </c>
      <c r="E448" s="2" t="n">
        <v>141</v>
      </c>
      <c r="F448" s="2" t="n">
        <v>146</v>
      </c>
      <c r="G448" s="2" t="inlineStr">
        <is>
          <t>Home</t>
        </is>
      </c>
      <c r="H448" s="2" t="inlineStr">
        <is>
          <t>draftkings</t>
        </is>
      </c>
      <c r="I448" s="4" t="n"/>
      <c r="J448" s="4" t="n"/>
      <c r="K448" s="4" t="n">
        <v>-145</v>
      </c>
      <c r="L448" s="4" t="n">
        <v>-145</v>
      </c>
      <c r="M448" s="5" t="n">
        <v>6.5</v>
      </c>
      <c r="N448" s="5" t="n">
        <v>5.145447629785482</v>
      </c>
      <c r="O448" s="5" t="n">
        <v>6.5</v>
      </c>
      <c r="P448" s="5" t="n">
        <v>1.354552370214518</v>
      </c>
      <c r="Q448" s="6" t="n">
        <v>0.2513948862166167</v>
      </c>
      <c r="R448" s="6" t="n">
        <v>0.7406214632710588</v>
      </c>
      <c r="S448" s="6" t="n">
        <v>0.574357192494788</v>
      </c>
      <c r="T448" s="2" t="inlineStr">
        <is>
          <t>Under</t>
        </is>
      </c>
      <c r="U448" s="4" t="n">
        <v>-145</v>
      </c>
      <c r="V448" s="2" t="n">
        <v>1.689655172413793</v>
      </c>
      <c r="W448" s="4" t="n">
        <v>-145</v>
      </c>
      <c r="X448" s="2" t="n">
        <v>1</v>
      </c>
      <c r="Y448" s="5" t="n">
        <v>0.6896551724137931</v>
      </c>
      <c r="Z448" s="7" t="n">
        <v>100</v>
      </c>
      <c r="AA448" s="7">
        <f>Y448*Z448</f>
        <v/>
      </c>
      <c r="AB448" s="6">
        <f>IF(Z448=0,0,AA448/Z448)</f>
        <v/>
      </c>
      <c r="AC448" s="6" t="n"/>
      <c r="AD448" s="2" t="inlineStr">
        <is>
          <t>Win</t>
        </is>
      </c>
      <c r="AE448" s="6">
        <f>IF((COUNTIF($AD$2:AD448,"Win")+COUNTIF($AD$2:AD448,"Loss"))=0,0,COUNTIF($AD$2:AD448,"Win")/(COUNTIF($AD$2:AD448,"Win")+COUNTIF($AD$2:AD448,"Loss")))</f>
        <v/>
      </c>
      <c r="AF448" s="6">
        <f>SUM($Y$2:Y448)/SUM($X$2:X448)</f>
        <v/>
      </c>
      <c r="AG448" s="5">
        <f>SUM($Y$2:Y448)</f>
        <v/>
      </c>
      <c r="AH448" s="7">
        <f>10000.0+SUM($AA$2:AA448)</f>
        <v/>
      </c>
      <c r="AI448" s="2" t="n">
        <v>2026</v>
      </c>
      <c r="AJ448" s="2" t="inlineStr">
        <is>
          <t>2026-05</t>
        </is>
      </c>
      <c r="AK448" s="2" t="inlineStr">
        <is>
          <t>-149 to -120</t>
        </is>
      </c>
      <c r="AL448" s="2" t="inlineStr">
        <is>
          <t>2026 Frozen Test</t>
        </is>
      </c>
      <c r="AM448" s="6" t="n">
        <v>0.3645225850140941</v>
      </c>
    </row>
    <row r="449">
      <c r="A449" s="2" t="inlineStr">
        <is>
          <t>KPROP-00850</t>
        </is>
      </c>
      <c r="B449" s="3" t="n">
        <v>46168.77820601852</v>
      </c>
      <c r="C449" s="3" t="n">
        <v>46168</v>
      </c>
      <c r="D449" s="2" t="inlineStr">
        <is>
          <t>Braxton Ashcraft</t>
        </is>
      </c>
      <c r="E449" s="2" t="n">
        <v>134</v>
      </c>
      <c r="F449" s="2" t="n">
        <v>112</v>
      </c>
      <c r="G449" s="2" t="inlineStr">
        <is>
          <t>Home</t>
        </is>
      </c>
      <c r="H449" s="2" t="inlineStr">
        <is>
          <t>draftkings</t>
        </is>
      </c>
      <c r="I449" s="4" t="n"/>
      <c r="J449" s="4" t="n"/>
      <c r="K449" s="4" t="n">
        <v>110</v>
      </c>
      <c r="L449" s="4" t="n">
        <v>110</v>
      </c>
      <c r="M449" s="5" t="n">
        <v>5.5</v>
      </c>
      <c r="N449" s="5" t="n">
        <v>5.521672086674675</v>
      </c>
      <c r="O449" s="5" t="n">
        <v>5.5</v>
      </c>
      <c r="P449" s="5" t="n">
        <v>-0.02167208667467513</v>
      </c>
      <c r="Q449" s="6" t="n">
        <v>0.1029363396433488</v>
      </c>
      <c r="R449" s="6" t="n">
        <v>0.525207780782547</v>
      </c>
      <c r="S449" s="6" t="n">
        <v>0.4661016949152542</v>
      </c>
      <c r="T449" s="2" t="inlineStr">
        <is>
          <t>Under</t>
        </is>
      </c>
      <c r="U449" s="4" t="n">
        <v>110</v>
      </c>
      <c r="V449" s="2" t="n">
        <v>2.1</v>
      </c>
      <c r="W449" s="4" t="n">
        <v>110</v>
      </c>
      <c r="X449" s="2" t="n">
        <v>1</v>
      </c>
      <c r="Y449" s="5" t="n">
        <v>1.1</v>
      </c>
      <c r="Z449" s="7" t="n">
        <v>100</v>
      </c>
      <c r="AA449" s="7">
        <f>Y449*Z449</f>
        <v/>
      </c>
      <c r="AB449" s="6">
        <f>IF(Z449=0,0,AA449/Z449)</f>
        <v/>
      </c>
      <c r="AC449" s="6" t="n"/>
      <c r="AD449" s="2" t="inlineStr">
        <is>
          <t>Win</t>
        </is>
      </c>
      <c r="AE449" s="6">
        <f>IF((COUNTIF($AD$2:AD449,"Win")+COUNTIF($AD$2:AD449,"Loss"))=0,0,COUNTIF($AD$2:AD449,"Win")/(COUNTIF($AD$2:AD449,"Win")+COUNTIF($AD$2:AD449,"Loss")))</f>
        <v/>
      </c>
      <c r="AF449" s="6">
        <f>SUM($Y$2:Y449)/SUM($X$2:X449)</f>
        <v/>
      </c>
      <c r="AG449" s="5">
        <f>SUM($Y$2:Y449)</f>
        <v/>
      </c>
      <c r="AH449" s="7">
        <f>10000.0+SUM($AA$2:AA449)</f>
        <v/>
      </c>
      <c r="AI449" s="2" t="n">
        <v>2026</v>
      </c>
      <c r="AJ449" s="2" t="inlineStr">
        <is>
          <t>2026-05</t>
        </is>
      </c>
      <c r="AK449" s="2" t="inlineStr">
        <is>
          <t>+100 to +120</t>
        </is>
      </c>
      <c r="AL449" s="2" t="inlineStr">
        <is>
          <t>2026 Frozen Test</t>
        </is>
      </c>
      <c r="AM449" s="6" t="n">
        <v>0.09357849058486255</v>
      </c>
    </row>
    <row r="450">
      <c r="A450" s="2" t="inlineStr">
        <is>
          <t>KPROP-00851</t>
        </is>
      </c>
      <c r="B450" s="3" t="n">
        <v>46168.77473379629</v>
      </c>
      <c r="C450" s="3" t="n">
        <v>46168</v>
      </c>
      <c r="D450" s="2" t="inlineStr">
        <is>
          <t>Griffin Jax</t>
        </is>
      </c>
      <c r="E450" s="2" t="n">
        <v>139</v>
      </c>
      <c r="F450" s="2" t="n">
        <v>110</v>
      </c>
      <c r="G450" s="2" t="inlineStr">
        <is>
          <t>Away</t>
        </is>
      </c>
      <c r="H450" s="2" t="inlineStr">
        <is>
          <t>betrivers</t>
        </is>
      </c>
      <c r="I450" s="4" t="n"/>
      <c r="J450" s="4" t="n"/>
      <c r="K450" s="4" t="n">
        <v>132</v>
      </c>
      <c r="L450" s="4" t="n">
        <v>132</v>
      </c>
      <c r="M450" s="5" t="n">
        <v>4.5</v>
      </c>
      <c r="N450" s="5" t="n">
        <v>4.50524259950095</v>
      </c>
      <c r="O450" s="5" t="n">
        <v>4.5</v>
      </c>
      <c r="P450" s="5" t="n">
        <v>-0.005242599500950185</v>
      </c>
      <c r="Q450" s="6" t="n">
        <v>0.2321723735563409</v>
      </c>
      <c r="R450" s="6" t="n">
        <v>0.5311087817053193</v>
      </c>
      <c r="S450" s="6" t="n">
        <v>0.4249291784702549</v>
      </c>
      <c r="T450" s="2" t="inlineStr">
        <is>
          <t>Under</t>
        </is>
      </c>
      <c r="U450" s="4" t="n">
        <v>132</v>
      </c>
      <c r="V450" s="2" t="n">
        <v>2.32</v>
      </c>
      <c r="W450" s="4" t="n">
        <v>132</v>
      </c>
      <c r="X450" s="2" t="n">
        <v>1</v>
      </c>
      <c r="Y450" s="5" t="n">
        <v>1.32</v>
      </c>
      <c r="Z450" s="7" t="n">
        <v>100</v>
      </c>
      <c r="AA450" s="7">
        <f>Y450*Z450</f>
        <v/>
      </c>
      <c r="AB450" s="6">
        <f>IF(Z450=0,0,AA450/Z450)</f>
        <v/>
      </c>
      <c r="AC450" s="6" t="n"/>
      <c r="AD450" s="2" t="inlineStr">
        <is>
          <t>Win</t>
        </is>
      </c>
      <c r="AE450" s="6">
        <f>IF((COUNTIF($AD$2:AD450,"Win")+COUNTIF($AD$2:AD450,"Loss"))=0,0,COUNTIF($AD$2:AD450,"Win")/(COUNTIF($AD$2:AD450,"Win")+COUNTIF($AD$2:AD450,"Loss")))</f>
        <v/>
      </c>
      <c r="AF450" s="6">
        <f>SUM($Y$2:Y450)/SUM($X$2:X450)</f>
        <v/>
      </c>
      <c r="AG450" s="5">
        <f>SUM($Y$2:Y450)</f>
        <v/>
      </c>
      <c r="AH450" s="7">
        <f>10000.0+SUM($AA$2:AA450)</f>
        <v/>
      </c>
      <c r="AI450" s="2" t="n">
        <v>2026</v>
      </c>
      <c r="AJ450" s="2" t="inlineStr">
        <is>
          <t>2026-05</t>
        </is>
      </c>
      <c r="AK450" s="2" t="inlineStr">
        <is>
          <t>+121 to +150</t>
        </is>
      </c>
      <c r="AL450" s="2" t="inlineStr">
        <is>
          <t>2026 Frozen Test</t>
        </is>
      </c>
      <c r="AM450" s="6" t="n">
        <v>0.1758881617851067</v>
      </c>
    </row>
    <row r="451">
      <c r="A451" s="2" t="inlineStr">
        <is>
          <t>KPROP-00852</t>
        </is>
      </c>
      <c r="B451" s="3" t="n">
        <v>46168.77473379629</v>
      </c>
      <c r="C451" s="3" t="n">
        <v>46168</v>
      </c>
      <c r="D451" s="2" t="inlineStr">
        <is>
          <t>Griffin Jax</t>
        </is>
      </c>
      <c r="E451" s="2" t="n">
        <v>139</v>
      </c>
      <c r="F451" s="2" t="n">
        <v>110</v>
      </c>
      <c r="G451" s="2" t="inlineStr">
        <is>
          <t>Away</t>
        </is>
      </c>
      <c r="H451" s="2" t="inlineStr">
        <is>
          <t>betrivers</t>
        </is>
      </c>
      <c r="I451" s="4" t="n"/>
      <c r="J451" s="4" t="n"/>
      <c r="K451" s="4" t="n">
        <v>-155</v>
      </c>
      <c r="L451" s="4" t="n">
        <v>-155</v>
      </c>
      <c r="M451" s="5" t="n">
        <v>5.5</v>
      </c>
      <c r="N451" s="5" t="n">
        <v>4.50524259950095</v>
      </c>
      <c r="O451" s="5" t="n">
        <v>5.5</v>
      </c>
      <c r="P451" s="5" t="n">
        <v>0.9947574004990498</v>
      </c>
      <c r="Q451" s="6" t="n">
        <v>0.1549601453900009</v>
      </c>
      <c r="R451" s="6" t="n">
        <v>0.7020345981782359</v>
      </c>
      <c r="S451" s="6" t="n">
        <v>0.5776397515527951</v>
      </c>
      <c r="T451" s="2" t="inlineStr">
        <is>
          <t>Under</t>
        </is>
      </c>
      <c r="U451" s="4" t="n">
        <v>-155</v>
      </c>
      <c r="V451" s="2" t="n">
        <v>1.645161290322581</v>
      </c>
      <c r="W451" s="4" t="n">
        <v>-155</v>
      </c>
      <c r="X451" s="2" t="n">
        <v>1</v>
      </c>
      <c r="Y451" s="5" t="n">
        <v>0.6451612903225805</v>
      </c>
      <c r="Z451" s="7" t="n">
        <v>100</v>
      </c>
      <c r="AA451" s="7">
        <f>Y451*Z451</f>
        <v/>
      </c>
      <c r="AB451" s="6">
        <f>IF(Z451=0,0,AA451/Z451)</f>
        <v/>
      </c>
      <c r="AC451" s="6" t="n"/>
      <c r="AD451" s="2" t="inlineStr">
        <is>
          <t>Win</t>
        </is>
      </c>
      <c r="AE451" s="6">
        <f>IF((COUNTIF($AD$2:AD451,"Win")+COUNTIF($AD$2:AD451,"Loss"))=0,0,COUNTIF($AD$2:AD451,"Win")/(COUNTIF($AD$2:AD451,"Win")+COUNTIF($AD$2:AD451,"Loss")))</f>
        <v/>
      </c>
      <c r="AF451" s="6">
        <f>SUM($Y$2:Y451)/SUM($X$2:X451)</f>
        <v/>
      </c>
      <c r="AG451" s="5">
        <f>SUM($Y$2:Y451)</f>
        <v/>
      </c>
      <c r="AH451" s="7">
        <f>10000.0+SUM($AA$2:AA451)</f>
        <v/>
      </c>
      <c r="AI451" s="2" t="n">
        <v>2026</v>
      </c>
      <c r="AJ451" s="2" t="inlineStr">
        <is>
          <t>2026-05</t>
        </is>
      </c>
      <c r="AK451" s="2" t="inlineStr">
        <is>
          <t>&lt;= -150</t>
        </is>
      </c>
      <c r="AL451" s="2" t="inlineStr">
        <is>
          <t>2026 Frozen Test</t>
        </is>
      </c>
      <c r="AM451" s="6" t="n">
        <v>0.2401882253545014</v>
      </c>
    </row>
    <row r="452">
      <c r="A452" s="2" t="inlineStr">
        <is>
          <t>KPROP-00853</t>
        </is>
      </c>
      <c r="B452" s="3" t="n">
        <v>46168.75737268518</v>
      </c>
      <c r="C452" s="3" t="n">
        <v>46168</v>
      </c>
      <c r="D452" s="2" t="inlineStr">
        <is>
          <t>Joey Cantillo</t>
        </is>
      </c>
      <c r="E452" s="2" t="n">
        <v>114</v>
      </c>
      <c r="F452" s="2" t="n">
        <v>120</v>
      </c>
      <c r="G452" s="2" t="inlineStr">
        <is>
          <t>Home</t>
        </is>
      </c>
      <c r="H452" s="2" t="inlineStr">
        <is>
          <t>fanduel</t>
        </is>
      </c>
      <c r="I452" s="4" t="n"/>
      <c r="J452" s="4" t="n"/>
      <c r="K452" s="4" t="n">
        <v>132</v>
      </c>
      <c r="L452" s="4" t="n">
        <v>132</v>
      </c>
      <c r="M452" s="5" t="n">
        <v>4.5</v>
      </c>
      <c r="N452" s="5" t="n">
        <v>4.500485502993574</v>
      </c>
      <c r="O452" s="5" t="n">
        <v>4.5</v>
      </c>
      <c r="P452" s="5" t="n">
        <v>-0.0004855029935741939</v>
      </c>
      <c r="Q452" s="6" t="n">
        <v>0.2342665099277005</v>
      </c>
      <c r="R452" s="6" t="n">
        <v>0.5320114266929743</v>
      </c>
      <c r="S452" s="6" t="n">
        <v>0.4107613194531544</v>
      </c>
      <c r="T452" s="2" t="inlineStr">
        <is>
          <t>Under</t>
        </is>
      </c>
      <c r="U452" s="4" t="n">
        <v>132</v>
      </c>
      <c r="V452" s="2" t="n">
        <v>2.32</v>
      </c>
      <c r="W452" s="4" t="n">
        <v>132</v>
      </c>
      <c r="X452" s="2" t="n">
        <v>1</v>
      </c>
      <c r="Y452" s="5" t="n">
        <v>1.32</v>
      </c>
      <c r="Z452" s="7" t="n">
        <v>100</v>
      </c>
      <c r="AA452" s="7">
        <f>Y452*Z452</f>
        <v/>
      </c>
      <c r="AB452" s="6">
        <f>IF(Z452=0,0,AA452/Z452)</f>
        <v/>
      </c>
      <c r="AC452" s="6" t="n"/>
      <c r="AD452" s="2" t="inlineStr">
        <is>
          <t>Win</t>
        </is>
      </c>
      <c r="AE452" s="6">
        <f>IF((COUNTIF($AD$2:AD452,"Win")+COUNTIF($AD$2:AD452,"Loss"))=0,0,COUNTIF($AD$2:AD452,"Win")/(COUNTIF($AD$2:AD452,"Win")+COUNTIF($AD$2:AD452,"Loss")))</f>
        <v/>
      </c>
      <c r="AF452" s="6">
        <f>SUM($Y$2:Y452)/SUM($X$2:X452)</f>
        <v/>
      </c>
      <c r="AG452" s="5">
        <f>SUM($Y$2:Y452)</f>
        <v/>
      </c>
      <c r="AH452" s="7">
        <f>10000.0+SUM($AA$2:AA452)</f>
        <v/>
      </c>
      <c r="AI452" s="2" t="n">
        <v>2026</v>
      </c>
      <c r="AJ452" s="2" t="inlineStr">
        <is>
          <t>2026-05</t>
        </is>
      </c>
      <c r="AK452" s="2" t="inlineStr">
        <is>
          <t>+121 to +150</t>
        </is>
      </c>
      <c r="AL452" s="2" t="inlineStr">
        <is>
          <t>2026 Frozen Test</t>
        </is>
      </c>
      <c r="AM452" s="6" t="n">
        <v>0.1774746287331064</v>
      </c>
    </row>
    <row r="453">
      <c r="A453" s="2" t="inlineStr">
        <is>
          <t>KPROP-00854</t>
        </is>
      </c>
      <c r="B453" s="3" t="n">
        <v>46168.75737268518</v>
      </c>
      <c r="C453" s="3" t="n">
        <v>46168</v>
      </c>
      <c r="D453" s="2" t="inlineStr">
        <is>
          <t>Joey Cantillo</t>
        </is>
      </c>
      <c r="E453" s="2" t="n">
        <v>114</v>
      </c>
      <c r="F453" s="2" t="n">
        <v>120</v>
      </c>
      <c r="G453" s="2" t="inlineStr">
        <is>
          <t>Home</t>
        </is>
      </c>
      <c r="H453" s="2" t="inlineStr">
        <is>
          <t>betmgm</t>
        </is>
      </c>
      <c r="I453" s="4" t="n"/>
      <c r="J453" s="4" t="n"/>
      <c r="K453" s="4" t="n">
        <v>-140</v>
      </c>
      <c r="L453" s="4" t="n">
        <v>-140</v>
      </c>
      <c r="M453" s="5" t="n">
        <v>5.5</v>
      </c>
      <c r="N453" s="5" t="n">
        <v>4.500485502993574</v>
      </c>
      <c r="O453" s="5" t="n">
        <v>5.5</v>
      </c>
      <c r="P453" s="5" t="n">
        <v>0.9995144970064258</v>
      </c>
      <c r="Q453" s="6" t="n">
        <v>0.2048814211544109</v>
      </c>
      <c r="R453" s="6" t="n">
        <v>0.7028474956734063</v>
      </c>
      <c r="S453" s="6" t="n">
        <v>0.5708154506437769</v>
      </c>
      <c r="T453" s="2" t="inlineStr">
        <is>
          <t>Under</t>
        </is>
      </c>
      <c r="U453" s="4" t="n">
        <v>-140</v>
      </c>
      <c r="V453" s="2" t="n">
        <v>1.714285714285714</v>
      </c>
      <c r="W453" s="4" t="n">
        <v>-140</v>
      </c>
      <c r="X453" s="2" t="n">
        <v>1</v>
      </c>
      <c r="Y453" s="5" t="n">
        <v>0.7142857142857144</v>
      </c>
      <c r="Z453" s="7" t="n">
        <v>100</v>
      </c>
      <c r="AA453" s="7">
        <f>Y453*Z453</f>
        <v/>
      </c>
      <c r="AB453" s="6">
        <f>IF(Z453=0,0,AA453/Z453)</f>
        <v/>
      </c>
      <c r="AC453" s="6" t="n"/>
      <c r="AD453" s="2" t="inlineStr">
        <is>
          <t>Win</t>
        </is>
      </c>
      <c r="AE453" s="6">
        <f>IF((COUNTIF($AD$2:AD453,"Win")+COUNTIF($AD$2:AD453,"Loss"))=0,0,COUNTIF($AD$2:AD453,"Win")/(COUNTIF($AD$2:AD453,"Win")+COUNTIF($AD$2:AD453,"Loss")))</f>
        <v/>
      </c>
      <c r="AF453" s="6">
        <f>SUM($Y$2:Y453)/SUM($X$2:X453)</f>
        <v/>
      </c>
      <c r="AG453" s="5">
        <f>SUM($Y$2:Y453)</f>
        <v/>
      </c>
      <c r="AH453" s="7">
        <f>10000.0+SUM($AA$2:AA453)</f>
        <v/>
      </c>
      <c r="AI453" s="2" t="n">
        <v>2026</v>
      </c>
      <c r="AJ453" s="2" t="inlineStr">
        <is>
          <t>2026-05</t>
        </is>
      </c>
      <c r="AK453" s="2" t="inlineStr">
        <is>
          <t>-149 to -120</t>
        </is>
      </c>
      <c r="AL453" s="2" t="inlineStr">
        <is>
          <t>2026 Frozen Test</t>
        </is>
      </c>
      <c r="AM453" s="6" t="n">
        <v>0.2868339896161752</v>
      </c>
    </row>
    <row r="454">
      <c r="A454" s="2" t="inlineStr">
        <is>
          <t>KPROP-00855</t>
        </is>
      </c>
      <c r="B454" s="3" t="n">
        <v>46168.81987268518</v>
      </c>
      <c r="C454" s="3" t="n">
        <v>46168</v>
      </c>
      <c r="D454" s="2" t="inlineStr">
        <is>
          <t>Kyle Harrison</t>
        </is>
      </c>
      <c r="E454" s="2" t="n">
        <v>158</v>
      </c>
      <c r="F454" s="2" t="n">
        <v>138</v>
      </c>
      <c r="G454" s="2" t="inlineStr">
        <is>
          <t>Home</t>
        </is>
      </c>
      <c r="H454" s="2" t="inlineStr">
        <is>
          <t>fanduel</t>
        </is>
      </c>
      <c r="I454" s="4" t="n"/>
      <c r="J454" s="4" t="n"/>
      <c r="K454" s="4" t="n">
        <v>-115</v>
      </c>
      <c r="L454" s="4" t="n">
        <v>-115</v>
      </c>
      <c r="M454" s="5" t="n">
        <v>6.5</v>
      </c>
      <c r="N454" s="5" t="n">
        <v>5.516683037032738</v>
      </c>
      <c r="O454" s="5" t="n">
        <v>6.5</v>
      </c>
      <c r="P454" s="5" t="n">
        <v>0.9833169629672618</v>
      </c>
      <c r="Q454" s="6" t="n">
        <v>0.2776848412264481</v>
      </c>
      <c r="R454" s="6" t="n">
        <v>0.683412822051356</v>
      </c>
      <c r="S454" s="6" t="n">
        <v>0.521797153024911</v>
      </c>
      <c r="T454" s="2" t="inlineStr">
        <is>
          <t>Under</t>
        </is>
      </c>
      <c r="U454" s="4" t="n">
        <v>-115</v>
      </c>
      <c r="V454" s="2" t="n">
        <v>1.869565217391304</v>
      </c>
      <c r="W454" s="4" t="n">
        <v>-115</v>
      </c>
      <c r="X454" s="2" t="n">
        <v>1</v>
      </c>
      <c r="Y454" s="5" t="n">
        <v>0.8695652173913042</v>
      </c>
      <c r="Z454" s="7" t="n">
        <v>100</v>
      </c>
      <c r="AA454" s="7">
        <f>Y454*Z454</f>
        <v/>
      </c>
      <c r="AB454" s="6">
        <f>IF(Z454=0,0,AA454/Z454)</f>
        <v/>
      </c>
      <c r="AC454" s="6" t="n"/>
      <c r="AD454" s="2" t="inlineStr">
        <is>
          <t>Win</t>
        </is>
      </c>
      <c r="AE454" s="6">
        <f>IF((COUNTIF($AD$2:AD454,"Win")+COUNTIF($AD$2:AD454,"Loss"))=0,0,COUNTIF($AD$2:AD454,"Win")/(COUNTIF($AD$2:AD454,"Win")+COUNTIF($AD$2:AD454,"Loss")))</f>
        <v/>
      </c>
      <c r="AF454" s="6">
        <f>SUM($Y$2:Y454)/SUM($X$2:X454)</f>
        <v/>
      </c>
      <c r="AG454" s="5">
        <f>SUM($Y$2:Y454)</f>
        <v/>
      </c>
      <c r="AH454" s="7">
        <f>10000.0+SUM($AA$2:AA454)</f>
        <v/>
      </c>
      <c r="AI454" s="2" t="n">
        <v>2026</v>
      </c>
      <c r="AJ454" s="2" t="inlineStr">
        <is>
          <t>2026-05</t>
        </is>
      </c>
      <c r="AK454" s="2" t="inlineStr">
        <is>
          <t>-119 to -101</t>
        </is>
      </c>
      <c r="AL454" s="2" t="inlineStr">
        <is>
          <t>2026 Frozen Test</t>
        </is>
      </c>
      <c r="AM454" s="6" t="n">
        <v>0.3193375674104154</v>
      </c>
    </row>
    <row r="455">
      <c r="A455" s="2" t="inlineStr">
        <is>
          <t>KPROP-00856</t>
        </is>
      </c>
      <c r="B455" s="3" t="n">
        <v>46168.78167824074</v>
      </c>
      <c r="C455" s="3" t="n">
        <v>46168</v>
      </c>
      <c r="D455" s="2" t="inlineStr">
        <is>
          <t>Ranger Suarez</t>
        </is>
      </c>
      <c r="E455" s="2" t="n">
        <v>111</v>
      </c>
      <c r="F455" s="2" t="n">
        <v>144</v>
      </c>
      <c r="G455" s="2" t="inlineStr">
        <is>
          <t>Home</t>
        </is>
      </c>
      <c r="H455" s="2" t="inlineStr">
        <is>
          <t>draftkings</t>
        </is>
      </c>
      <c r="I455" s="4" t="n"/>
      <c r="J455" s="4" t="n"/>
      <c r="K455" s="4" t="n">
        <v>-112</v>
      </c>
      <c r="L455" s="4" t="n">
        <v>-112</v>
      </c>
      <c r="M455" s="5" t="n">
        <v>4.5</v>
      </c>
      <c r="N455" s="5" t="n">
        <v>4.246953934541807</v>
      </c>
      <c r="O455" s="5" t="n">
        <v>4.5</v>
      </c>
      <c r="P455" s="5" t="n">
        <v>0.253046065458193</v>
      </c>
      <c r="Q455" s="6" t="n">
        <v>0.09919921472996274</v>
      </c>
      <c r="R455" s="6" t="n">
        <v>0.5807090191026218</v>
      </c>
      <c r="S455" s="6" t="n">
        <v>0.5077399380804954</v>
      </c>
      <c r="T455" s="2" t="inlineStr">
        <is>
          <t>Under</t>
        </is>
      </c>
      <c r="U455" s="4" t="n">
        <v>-112</v>
      </c>
      <c r="V455" s="2" t="n">
        <v>1.892857142857143</v>
      </c>
      <c r="W455" s="4" t="n">
        <v>-112</v>
      </c>
      <c r="X455" s="2" t="n">
        <v>1</v>
      </c>
      <c r="Y455" s="5" t="n">
        <v>0.8928571428571428</v>
      </c>
      <c r="Z455" s="7" t="n">
        <v>100</v>
      </c>
      <c r="AA455" s="7">
        <f>Y455*Z455</f>
        <v/>
      </c>
      <c r="AB455" s="6">
        <f>IF(Z455=0,0,AA455/Z455)</f>
        <v/>
      </c>
      <c r="AC455" s="6" t="n"/>
      <c r="AD455" s="2" t="inlineStr">
        <is>
          <t>Win</t>
        </is>
      </c>
      <c r="AE455" s="6">
        <f>IF((COUNTIF($AD$2:AD455,"Win")+COUNTIF($AD$2:AD455,"Loss"))=0,0,COUNTIF($AD$2:AD455,"Win")/(COUNTIF($AD$2:AD455,"Win")+COUNTIF($AD$2:AD455,"Loss")))</f>
        <v/>
      </c>
      <c r="AF455" s="6">
        <f>SUM($Y$2:Y455)/SUM($X$2:X455)</f>
        <v/>
      </c>
      <c r="AG455" s="5">
        <f>SUM($Y$2:Y455)</f>
        <v/>
      </c>
      <c r="AH455" s="7">
        <f>10000.0+SUM($AA$2:AA455)</f>
        <v/>
      </c>
      <c r="AI455" s="2" t="n">
        <v>2026</v>
      </c>
      <c r="AJ455" s="2" t="inlineStr">
        <is>
          <t>2026-05</t>
        </is>
      </c>
      <c r="AK455" s="2" t="inlineStr">
        <is>
          <t>-119 to -101</t>
        </is>
      </c>
      <c r="AL455" s="2" t="inlineStr">
        <is>
          <t>2026 Frozen Test</t>
        </is>
      </c>
      <c r="AM455" s="6" t="n">
        <v>0.1111031204975583</v>
      </c>
    </row>
    <row r="456">
      <c r="A456" s="2" t="inlineStr">
        <is>
          <t>KPROP-00857</t>
        </is>
      </c>
      <c r="B456" s="3" t="n">
        <v>46169.81987268518</v>
      </c>
      <c r="C456" s="3" t="n">
        <v>46169</v>
      </c>
      <c r="D456" s="2" t="inlineStr">
        <is>
          <t>Connor Prielipp</t>
        </is>
      </c>
      <c r="E456" s="2" t="n">
        <v>142</v>
      </c>
      <c r="F456" s="2" t="n">
        <v>145</v>
      </c>
      <c r="G456" s="2" t="inlineStr">
        <is>
          <t>Away</t>
        </is>
      </c>
      <c r="H456" s="2" t="inlineStr">
        <is>
          <t>betrivers</t>
        </is>
      </c>
      <c r="I456" s="4" t="n"/>
      <c r="J456" s="4" t="n"/>
      <c r="K456" s="4" t="n">
        <v>120</v>
      </c>
      <c r="L456" s="4" t="n">
        <v>120</v>
      </c>
      <c r="M456" s="5" t="n">
        <v>4.5</v>
      </c>
      <c r="N456" s="5" t="n">
        <v>4.601633552751782</v>
      </c>
      <c r="O456" s="5" t="n">
        <v>4.5</v>
      </c>
      <c r="P456" s="5" t="n">
        <v>-0.1016335527517818</v>
      </c>
      <c r="Q456" s="6" t="n">
        <v>0.128440933478339</v>
      </c>
      <c r="R456" s="6" t="n">
        <v>0.5129276970356086</v>
      </c>
      <c r="S456" s="6" t="n">
        <v>0.4316920943134536</v>
      </c>
      <c r="T456" s="2" t="inlineStr">
        <is>
          <t>Under</t>
        </is>
      </c>
      <c r="U456" s="4" t="n">
        <v>120</v>
      </c>
      <c r="V456" s="2" t="n">
        <v>2.2</v>
      </c>
      <c r="W456" s="4" t="n">
        <v>120</v>
      </c>
      <c r="X456" s="2" t="n">
        <v>1</v>
      </c>
      <c r="Y456" s="5" t="n">
        <v>-1</v>
      </c>
      <c r="Z456" s="7" t="n">
        <v>100</v>
      </c>
      <c r="AA456" s="7">
        <f>Y456*Z456</f>
        <v/>
      </c>
      <c r="AB456" s="6">
        <f>IF(Z456=0,0,AA456/Z456)</f>
        <v/>
      </c>
      <c r="AC456" s="6" t="n"/>
      <c r="AD456" s="2" t="inlineStr">
        <is>
          <t>Loss</t>
        </is>
      </c>
      <c r="AE456" s="6">
        <f>IF((COUNTIF($AD$2:AD456,"Win")+COUNTIF($AD$2:AD456,"Loss"))=0,0,COUNTIF($AD$2:AD456,"Win")/(COUNTIF($AD$2:AD456,"Win")+COUNTIF($AD$2:AD456,"Loss")))</f>
        <v/>
      </c>
      <c r="AF456" s="6">
        <f>SUM($Y$2:Y456)/SUM($X$2:X456)</f>
        <v/>
      </c>
      <c r="AG456" s="5">
        <f>SUM($Y$2:Y456)</f>
        <v/>
      </c>
      <c r="AH456" s="7">
        <f>10000.0+SUM($AA$2:AA456)</f>
        <v/>
      </c>
      <c r="AI456" s="2" t="n">
        <v>2026</v>
      </c>
      <c r="AJ456" s="2" t="inlineStr">
        <is>
          <t>2026-05</t>
        </is>
      </c>
      <c r="AK456" s="2" t="inlineStr">
        <is>
          <t>+100 to +120</t>
        </is>
      </c>
      <c r="AL456" s="2" t="inlineStr">
        <is>
          <t>2026 Frozen Test</t>
        </is>
      </c>
      <c r="AM456" s="6" t="n">
        <v>0.1070341112319491</v>
      </c>
    </row>
    <row r="457">
      <c r="A457" s="2" t="inlineStr">
        <is>
          <t>KPROP-00858</t>
        </is>
      </c>
      <c r="B457" s="3" t="n">
        <v>46169.81987268518</v>
      </c>
      <c r="C457" s="3" t="n">
        <v>46169</v>
      </c>
      <c r="D457" s="2" t="inlineStr">
        <is>
          <t>Connor Prielipp</t>
        </is>
      </c>
      <c r="E457" s="2" t="n">
        <v>142</v>
      </c>
      <c r="F457" s="2" t="n">
        <v>145</v>
      </c>
      <c r="G457" s="2" t="inlineStr">
        <is>
          <t>Away</t>
        </is>
      </c>
      <c r="H457" s="2" t="inlineStr">
        <is>
          <t>betrivers</t>
        </is>
      </c>
      <c r="I457" s="4" t="n"/>
      <c r="J457" s="4" t="n"/>
      <c r="K457" s="4" t="n">
        <v>-167</v>
      </c>
      <c r="L457" s="4" t="n">
        <v>-167</v>
      </c>
      <c r="M457" s="5" t="n">
        <v>5.5</v>
      </c>
      <c r="N457" s="5" t="n">
        <v>4.601633552751782</v>
      </c>
      <c r="O457" s="5" t="n">
        <v>5.5</v>
      </c>
      <c r="P457" s="5" t="n">
        <v>0.8983664472482182</v>
      </c>
      <c r="Q457" s="6" t="n">
        <v>0.09594331132735234</v>
      </c>
      <c r="R457" s="6" t="n">
        <v>0.6854776516541867</v>
      </c>
      <c r="S457" s="6" t="n">
        <v>0.5951171430737736</v>
      </c>
      <c r="T457" s="2" t="inlineStr">
        <is>
          <t>Under</t>
        </is>
      </c>
      <c r="U457" s="4" t="n">
        <v>-167</v>
      </c>
      <c r="V457" s="2" t="n">
        <v>1.598802395209581</v>
      </c>
      <c r="W457" s="4" t="n">
        <v>-167</v>
      </c>
      <c r="X457" s="2" t="n">
        <v>1</v>
      </c>
      <c r="Y457" s="5" t="n">
        <v>0.5988023952095807</v>
      </c>
      <c r="Z457" s="7" t="n">
        <v>100</v>
      </c>
      <c r="AA457" s="7">
        <f>Y457*Z457</f>
        <v/>
      </c>
      <c r="AB457" s="6">
        <f>IF(Z457=0,0,AA457/Z457)</f>
        <v/>
      </c>
      <c r="AC457" s="6" t="n"/>
      <c r="AD457" s="2" t="inlineStr">
        <is>
          <t>Win</t>
        </is>
      </c>
      <c r="AE457" s="6">
        <f>IF((COUNTIF($AD$2:AD457,"Win")+COUNTIF($AD$2:AD457,"Loss"))=0,0,COUNTIF($AD$2:AD457,"Win")/(COUNTIF($AD$2:AD457,"Win")+COUNTIF($AD$2:AD457,"Loss")))</f>
        <v/>
      </c>
      <c r="AF457" s="6">
        <f>SUM($Y$2:Y457)/SUM($X$2:X457)</f>
        <v/>
      </c>
      <c r="AG457" s="5">
        <f>SUM($Y$2:Y457)</f>
        <v/>
      </c>
      <c r="AH457" s="7">
        <f>10000.0+SUM($AA$2:AA457)</f>
        <v/>
      </c>
      <c r="AI457" s="2" t="n">
        <v>2026</v>
      </c>
      <c r="AJ457" s="2" t="inlineStr">
        <is>
          <t>2026-05</t>
        </is>
      </c>
      <c r="AK457" s="2" t="inlineStr">
        <is>
          <t>&lt;= -150</t>
        </is>
      </c>
      <c r="AL457" s="2" t="inlineStr">
        <is>
          <t>2026 Frozen Test</t>
        </is>
      </c>
      <c r="AM457" s="6" t="n">
        <v>0.1602253299166785</v>
      </c>
    </row>
    <row r="458">
      <c r="A458" s="2" t="inlineStr">
        <is>
          <t>KPROP-00859</t>
        </is>
      </c>
      <c r="B458" s="3" t="n">
        <v>46169.67403935185</v>
      </c>
      <c r="C458" s="3" t="n">
        <v>46169</v>
      </c>
      <c r="D458" s="2" t="inlineStr">
        <is>
          <t>Cristopher Sánchez</t>
        </is>
      </c>
      <c r="E458" s="2" t="n">
        <v>143</v>
      </c>
      <c r="F458" s="2" t="n">
        <v>135</v>
      </c>
      <c r="G458" s="2" t="inlineStr">
        <is>
          <t>Away</t>
        </is>
      </c>
      <c r="H458" s="2" t="inlineStr">
        <is>
          <t>fanatics</t>
        </is>
      </c>
      <c r="I458" s="4" t="n"/>
      <c r="J458" s="4" t="n"/>
      <c r="K458" s="4" t="n">
        <v>105</v>
      </c>
      <c r="L458" s="4" t="n">
        <v>105</v>
      </c>
      <c r="M458" s="5" t="n">
        <v>6.5</v>
      </c>
      <c r="N458" s="5" t="n">
        <v>6.406116004430877</v>
      </c>
      <c r="O458" s="5" t="n">
        <v>6.5</v>
      </c>
      <c r="P458" s="5" t="n">
        <v>0.09388399556912308</v>
      </c>
      <c r="Q458" s="6" t="n">
        <v>0.1097862442358059</v>
      </c>
      <c r="R458" s="6" t="n">
        <v>0.5413591435296614</v>
      </c>
      <c r="S458" s="6" t="n">
        <v>0.4740160904544466</v>
      </c>
      <c r="T458" s="2" t="inlineStr">
        <is>
          <t>Under</t>
        </is>
      </c>
      <c r="U458" s="4" t="n">
        <v>105</v>
      </c>
      <c r="V458" s="2" t="n">
        <v>2.05</v>
      </c>
      <c r="W458" s="4" t="n">
        <v>105</v>
      </c>
      <c r="X458" s="2" t="n">
        <v>1</v>
      </c>
      <c r="Y458" s="5" t="n">
        <v>-1</v>
      </c>
      <c r="Z458" s="7" t="n">
        <v>100</v>
      </c>
      <c r="AA458" s="7">
        <f>Y458*Z458</f>
        <v/>
      </c>
      <c r="AB458" s="6">
        <f>IF(Z458=0,0,AA458/Z458)</f>
        <v/>
      </c>
      <c r="AC458" s="6" t="n"/>
      <c r="AD458" s="2" t="inlineStr">
        <is>
          <t>Loss</t>
        </is>
      </c>
      <c r="AE458" s="6">
        <f>IF((COUNTIF($AD$2:AD458,"Win")+COUNTIF($AD$2:AD458,"Loss"))=0,0,COUNTIF($AD$2:AD458,"Win")/(COUNTIF($AD$2:AD458,"Win")+COUNTIF($AD$2:AD458,"Loss")))</f>
        <v/>
      </c>
      <c r="AF458" s="6">
        <f>SUM($Y$2:Y458)/SUM($X$2:X458)</f>
        <v/>
      </c>
      <c r="AG458" s="5">
        <f>SUM($Y$2:Y458)</f>
        <v/>
      </c>
      <c r="AH458" s="7">
        <f>10000.0+SUM($AA$2:AA458)</f>
        <v/>
      </c>
      <c r="AI458" s="2" t="n">
        <v>2026</v>
      </c>
      <c r="AJ458" s="2" t="inlineStr">
        <is>
          <t>2026-05</t>
        </is>
      </c>
      <c r="AK458" s="2" t="inlineStr">
        <is>
          <t>+100 to +120</t>
        </is>
      </c>
      <c r="AL458" s="2" t="inlineStr">
        <is>
          <t>2026 Frozen Test</t>
        </is>
      </c>
      <c r="AM458" s="6" t="n">
        <v>0.1045583278436246</v>
      </c>
    </row>
    <row r="459">
      <c r="A459" s="2" t="inlineStr">
        <is>
          <t>KPROP-00860</t>
        </is>
      </c>
      <c r="B459" s="3" t="n">
        <v>46169.54556712963</v>
      </c>
      <c r="C459" s="3" t="n">
        <v>46169</v>
      </c>
      <c r="D459" s="2" t="inlineStr">
        <is>
          <t>Kevin Gausman</t>
        </is>
      </c>
      <c r="E459" s="2" t="n">
        <v>141</v>
      </c>
      <c r="F459" s="2" t="n">
        <v>146</v>
      </c>
      <c r="G459" s="2" t="inlineStr">
        <is>
          <t>Home</t>
        </is>
      </c>
      <c r="H459" s="2" t="inlineStr">
        <is>
          <t>betmgm</t>
        </is>
      </c>
      <c r="I459" s="4" t="n"/>
      <c r="J459" s="4" t="n"/>
      <c r="K459" s="4" t="n">
        <v>-105</v>
      </c>
      <c r="L459" s="4" t="n">
        <v>-105</v>
      </c>
      <c r="M459" s="5" t="n">
        <v>5.5</v>
      </c>
      <c r="N459" s="5" t="n">
        <v>5.286059737265489</v>
      </c>
      <c r="O459" s="5" t="n">
        <v>5.5</v>
      </c>
      <c r="P459" s="5" t="n">
        <v>0.2139402627345106</v>
      </c>
      <c r="Q459" s="6" t="n">
        <v>0.1048510456968092</v>
      </c>
      <c r="R459" s="6" t="n">
        <v>0.5658993160886097</v>
      </c>
      <c r="S459" s="6" t="n">
        <v>0.4965893587994543</v>
      </c>
      <c r="T459" s="2" t="inlineStr">
        <is>
          <t>Under</t>
        </is>
      </c>
      <c r="U459" s="4" t="n">
        <v>-105</v>
      </c>
      <c r="V459" s="2" t="n">
        <v>1.952380952380952</v>
      </c>
      <c r="W459" s="4" t="n">
        <v>-105</v>
      </c>
      <c r="X459" s="2" t="n">
        <v>1</v>
      </c>
      <c r="Y459" s="5" t="n">
        <v>0.9523809523809523</v>
      </c>
      <c r="Z459" s="7" t="n">
        <v>100</v>
      </c>
      <c r="AA459" s="7">
        <f>Y459*Z459</f>
        <v/>
      </c>
      <c r="AB459" s="6">
        <f>IF(Z459=0,0,AA459/Z459)</f>
        <v/>
      </c>
      <c r="AC459" s="6" t="n"/>
      <c r="AD459" s="2" t="inlineStr">
        <is>
          <t>Win</t>
        </is>
      </c>
      <c r="AE459" s="6">
        <f>IF((COUNTIF($AD$2:AD459,"Win")+COUNTIF($AD$2:AD459,"Loss"))=0,0,COUNTIF($AD$2:AD459,"Win")/(COUNTIF($AD$2:AD459,"Win")+COUNTIF($AD$2:AD459,"Loss")))</f>
        <v/>
      </c>
      <c r="AF459" s="6">
        <f>SUM($Y$2:Y459)/SUM($X$2:X459)</f>
        <v/>
      </c>
      <c r="AG459" s="5">
        <f>SUM($Y$2:Y459)</f>
        <v/>
      </c>
      <c r="AH459" s="7">
        <f>10000.0+SUM($AA$2:AA459)</f>
        <v/>
      </c>
      <c r="AI459" s="2" t="n">
        <v>2026</v>
      </c>
      <c r="AJ459" s="2" t="inlineStr">
        <is>
          <t>2026-05</t>
        </is>
      </c>
      <c r="AK459" s="2" t="inlineStr">
        <is>
          <t>-119 to -101</t>
        </is>
      </c>
      <c r="AL459" s="2" t="inlineStr">
        <is>
          <t>2026 Frozen Test</t>
        </is>
      </c>
      <c r="AM459" s="6" t="n">
        <v>0.1100935979816497</v>
      </c>
    </row>
    <row r="460">
      <c r="A460" s="2" t="inlineStr">
        <is>
          <t>KPROP-00861</t>
        </is>
      </c>
      <c r="B460" s="3" t="n">
        <v>46169.62890046297</v>
      </c>
      <c r="C460" s="3" t="n">
        <v>46169</v>
      </c>
      <c r="D460" s="2" t="inlineStr">
        <is>
          <t>Logan Gilbert</t>
        </is>
      </c>
      <c r="E460" s="2" t="n">
        <v>136</v>
      </c>
      <c r="F460" s="2" t="n">
        <v>133</v>
      </c>
      <c r="G460" s="2" t="inlineStr">
        <is>
          <t>Away</t>
        </is>
      </c>
      <c r="H460" s="2" t="inlineStr">
        <is>
          <t>draftkings</t>
        </is>
      </c>
      <c r="I460" s="4" t="n"/>
      <c r="J460" s="4" t="n"/>
      <c r="K460" s="4" t="n">
        <v>115</v>
      </c>
      <c r="L460" s="4" t="n">
        <v>115</v>
      </c>
      <c r="M460" s="5" t="n">
        <v>5.5</v>
      </c>
      <c r="N460" s="5" t="n">
        <v>5.493529646220701</v>
      </c>
      <c r="O460" s="5" t="n">
        <v>5.5</v>
      </c>
      <c r="P460" s="5" t="n">
        <v>0.006470353779299387</v>
      </c>
      <c r="Q460" s="6" t="n">
        <v>0.1395602742717794</v>
      </c>
      <c r="R460" s="6" t="n">
        <v>0.5300280345450137</v>
      </c>
      <c r="S460" s="6" t="n">
        <v>0.44362292051756</v>
      </c>
      <c r="T460" s="2" t="inlineStr">
        <is>
          <t>Under</t>
        </is>
      </c>
      <c r="U460" s="4" t="n">
        <v>115</v>
      </c>
      <c r="V460" s="2" t="n">
        <v>2.15</v>
      </c>
      <c r="W460" s="4" t="n">
        <v>115</v>
      </c>
      <c r="X460" s="2" t="n">
        <v>1</v>
      </c>
      <c r="Y460" s="5" t="n">
        <v>-1</v>
      </c>
      <c r="Z460" s="7" t="n">
        <v>100</v>
      </c>
      <c r="AA460" s="7">
        <f>Y460*Z460</f>
        <v/>
      </c>
      <c r="AB460" s="6">
        <f>IF(Z460=0,0,AA460/Z460)</f>
        <v/>
      </c>
      <c r="AC460" s="6" t="n"/>
      <c r="AD460" s="2" t="inlineStr">
        <is>
          <t>Loss</t>
        </is>
      </c>
      <c r="AE460" s="6">
        <f>IF((COUNTIF($AD$2:AD460,"Win")+COUNTIF($AD$2:AD460,"Loss"))=0,0,COUNTIF($AD$2:AD460,"Win")/(COUNTIF($AD$2:AD460,"Win")+COUNTIF($AD$2:AD460,"Loss")))</f>
        <v/>
      </c>
      <c r="AF460" s="6">
        <f>SUM($Y$2:Y460)/SUM($X$2:X460)</f>
        <v/>
      </c>
      <c r="AG460" s="5">
        <f>SUM($Y$2:Y460)</f>
        <v/>
      </c>
      <c r="AH460" s="7">
        <f>10000.0+SUM($AA$2:AA460)</f>
        <v/>
      </c>
      <c r="AI460" s="2" t="n">
        <v>2026</v>
      </c>
      <c r="AJ460" s="2" t="inlineStr">
        <is>
          <t>2026-05</t>
        </is>
      </c>
      <c r="AK460" s="2" t="inlineStr">
        <is>
          <t>+100 to +120</t>
        </is>
      </c>
      <c r="AL460" s="2" t="inlineStr">
        <is>
          <t>2026 Frozen Test</t>
        </is>
      </c>
      <c r="AM460" s="6" t="n">
        <v>0.1213567602363299</v>
      </c>
    </row>
    <row r="461">
      <c r="A461" s="2" t="inlineStr">
        <is>
          <t>KPROP-00862</t>
        </is>
      </c>
      <c r="B461" s="3" t="n">
        <v>46169.65667824074</v>
      </c>
      <c r="C461" s="3" t="n">
        <v>46169</v>
      </c>
      <c r="D461" s="2" t="inlineStr">
        <is>
          <t>Michael Soroka</t>
        </is>
      </c>
      <c r="E461" s="2" t="n">
        <v>109</v>
      </c>
      <c r="F461" s="2" t="n">
        <v>137</v>
      </c>
      <c r="G461" s="2" t="inlineStr">
        <is>
          <t>Away</t>
        </is>
      </c>
      <c r="H461" s="2" t="inlineStr">
        <is>
          <t>fanatics</t>
        </is>
      </c>
      <c r="I461" s="4" t="n"/>
      <c r="J461" s="4" t="n"/>
      <c r="K461" s="4" t="n">
        <v>-150</v>
      </c>
      <c r="L461" s="4" t="n">
        <v>-150</v>
      </c>
      <c r="M461" s="5" t="n">
        <v>5.5</v>
      </c>
      <c r="N461" s="5" t="n">
        <v>4.685540345664135</v>
      </c>
      <c r="O461" s="5" t="n">
        <v>5.5</v>
      </c>
      <c r="P461" s="5" t="n">
        <v>0.8144596543358649</v>
      </c>
      <c r="Q461" s="6" t="n">
        <v>0.1182513720710466</v>
      </c>
      <c r="R461" s="6" t="n">
        <v>0.670950823242628</v>
      </c>
      <c r="S461" s="6" t="n">
        <v>0.5733788395904437</v>
      </c>
      <c r="T461" s="2" t="inlineStr">
        <is>
          <t>Under</t>
        </is>
      </c>
      <c r="U461" s="4" t="n">
        <v>-150</v>
      </c>
      <c r="V461" s="2" t="n">
        <v>1.666666666666667</v>
      </c>
      <c r="W461" s="4" t="n">
        <v>-150</v>
      </c>
      <c r="X461" s="2" t="n">
        <v>1</v>
      </c>
      <c r="Y461" s="5" t="n">
        <v>0.6666666666666665</v>
      </c>
      <c r="Z461" s="7" t="n">
        <v>100</v>
      </c>
      <c r="AA461" s="7">
        <f>Y461*Z461</f>
        <v/>
      </c>
      <c r="AB461" s="6">
        <f>IF(Z461=0,0,AA461/Z461)</f>
        <v/>
      </c>
      <c r="AC461" s="6" t="n"/>
      <c r="AD461" s="2" t="inlineStr">
        <is>
          <t>Win</t>
        </is>
      </c>
      <c r="AE461" s="6">
        <f>IF((COUNTIF($AD$2:AD461,"Win")+COUNTIF($AD$2:AD461,"Loss"))=0,0,COUNTIF($AD$2:AD461,"Win")/(COUNTIF($AD$2:AD461,"Win")+COUNTIF($AD$2:AD461,"Loss")))</f>
        <v/>
      </c>
      <c r="AF461" s="6">
        <f>SUM($Y$2:Y461)/SUM($X$2:X461)</f>
        <v/>
      </c>
      <c r="AG461" s="5">
        <f>SUM($Y$2:Y461)</f>
        <v/>
      </c>
      <c r="AH461" s="7">
        <f>10000.0+SUM($AA$2:AA461)</f>
        <v/>
      </c>
      <c r="AI461" s="2" t="n">
        <v>2026</v>
      </c>
      <c r="AJ461" s="2" t="inlineStr">
        <is>
          <t>2026-05</t>
        </is>
      </c>
      <c r="AK461" s="2" t="inlineStr">
        <is>
          <t>&lt;= -150</t>
        </is>
      </c>
      <c r="AL461" s="2" t="inlineStr">
        <is>
          <t>2026 Frozen Test</t>
        </is>
      </c>
      <c r="AM461" s="6" t="n">
        <v>0.1773770581065699</v>
      </c>
    </row>
    <row r="462">
      <c r="A462" s="2" t="inlineStr">
        <is>
          <t>KPROP-00863</t>
        </is>
      </c>
      <c r="B462" s="3" t="n">
        <v>46170.77473379629</v>
      </c>
      <c r="C462" s="3" t="n">
        <v>46170</v>
      </c>
      <c r="D462" s="2" t="inlineStr">
        <is>
          <t>Chris Bassitt</t>
        </is>
      </c>
      <c r="E462" s="2" t="n">
        <v>110</v>
      </c>
      <c r="F462" s="2" t="n">
        <v>141</v>
      </c>
      <c r="G462" s="2" t="inlineStr">
        <is>
          <t>Home</t>
        </is>
      </c>
      <c r="H462" s="2" t="inlineStr">
        <is>
          <t>fanduel</t>
        </is>
      </c>
      <c r="I462" s="4" t="n"/>
      <c r="J462" s="4" t="n"/>
      <c r="K462" s="4" t="n">
        <v>138</v>
      </c>
      <c r="L462" s="4" t="n">
        <v>138</v>
      </c>
      <c r="M462" s="5" t="n">
        <v>3.5</v>
      </c>
      <c r="N462" s="5" t="n">
        <v>3.795996394878728</v>
      </c>
      <c r="O462" s="5" t="n">
        <v>3.5</v>
      </c>
      <c r="P462" s="5" t="n">
        <v>-0.2959963948787281</v>
      </c>
      <c r="Q462" s="6" t="n">
        <v>0.1288441824012115</v>
      </c>
      <c r="R462" s="6" t="n">
        <v>0.4743042783198368</v>
      </c>
      <c r="S462" s="6" t="n">
        <v>0.4007627901433211</v>
      </c>
      <c r="T462" s="2" t="inlineStr">
        <is>
          <t>Under</t>
        </is>
      </c>
      <c r="U462" s="4" t="n">
        <v>138</v>
      </c>
      <c r="V462" s="2" t="n">
        <v>2.38</v>
      </c>
      <c r="W462" s="4" t="n">
        <v>138</v>
      </c>
      <c r="X462" s="2" t="n">
        <v>1</v>
      </c>
      <c r="Y462" s="5" t="n">
        <v>1.38</v>
      </c>
      <c r="Z462" s="7" t="n">
        <v>100</v>
      </c>
      <c r="AA462" s="7">
        <f>Y462*Z462</f>
        <v/>
      </c>
      <c r="AB462" s="6">
        <f>IF(Z462=0,0,AA462/Z462)</f>
        <v/>
      </c>
      <c r="AC462" s="6" t="n"/>
      <c r="AD462" s="2" t="inlineStr">
        <is>
          <t>Win</t>
        </is>
      </c>
      <c r="AE462" s="6">
        <f>IF((COUNTIF($AD$2:AD462,"Win")+COUNTIF($AD$2:AD462,"Loss"))=0,0,COUNTIF($AD$2:AD462,"Win")/(COUNTIF($AD$2:AD462,"Win")+COUNTIF($AD$2:AD462,"Loss")))</f>
        <v/>
      </c>
      <c r="AF462" s="6">
        <f>SUM($Y$2:Y462)/SUM($X$2:X462)</f>
        <v/>
      </c>
      <c r="AG462" s="5">
        <f>SUM($Y$2:Y462)</f>
        <v/>
      </c>
      <c r="AH462" s="7">
        <f>10000.0+SUM($AA$2:AA462)</f>
        <v/>
      </c>
      <c r="AI462" s="2" t="n">
        <v>2026</v>
      </c>
      <c r="AJ462" s="2" t="inlineStr">
        <is>
          <t>2026-05</t>
        </is>
      </c>
      <c r="AK462" s="2" t="inlineStr">
        <is>
          <t>+121 to +150</t>
        </is>
      </c>
      <c r="AL462" s="2" t="inlineStr">
        <is>
          <t>2026 Frozen Test</t>
        </is>
      </c>
      <c r="AM462" s="6" t="n">
        <v>0.09336534956609532</v>
      </c>
    </row>
    <row r="463">
      <c r="A463" s="2" t="inlineStr">
        <is>
          <t>KPROP-00864</t>
        </is>
      </c>
      <c r="B463" s="3" t="n">
        <v>46170.67056712963</v>
      </c>
      <c r="C463" s="3" t="n">
        <v>46170</v>
      </c>
      <c r="D463" s="2" t="inlineStr">
        <is>
          <t>Chris Sale</t>
        </is>
      </c>
      <c r="E463" s="2" t="n">
        <v>144</v>
      </c>
      <c r="F463" s="2" t="n">
        <v>111</v>
      </c>
      <c r="G463" s="2" t="inlineStr">
        <is>
          <t>Away</t>
        </is>
      </c>
      <c r="H463" s="2" t="inlineStr">
        <is>
          <t>draftkings</t>
        </is>
      </c>
      <c r="I463" s="4" t="n"/>
      <c r="J463" s="4" t="n"/>
      <c r="K463" s="4" t="n">
        <v>-110</v>
      </c>
      <c r="L463" s="4" t="n">
        <v>-110</v>
      </c>
      <c r="M463" s="5" t="n">
        <v>7.5</v>
      </c>
      <c r="N463" s="5" t="n">
        <v>6.690431411779348</v>
      </c>
      <c r="O463" s="5" t="n">
        <v>7.5</v>
      </c>
      <c r="P463" s="5" t="n">
        <v>0.8095685882206523</v>
      </c>
      <c r="Q463" s="6" t="n">
        <v>0.2308539150985152</v>
      </c>
      <c r="R463" s="6" t="n">
        <v>0.6447330031468412</v>
      </c>
      <c r="S463" s="6" t="n">
        <v>0.5116279069767442</v>
      </c>
      <c r="T463" s="2" t="inlineStr">
        <is>
          <t>Under</t>
        </is>
      </c>
      <c r="U463" s="4" t="n">
        <v>-110</v>
      </c>
      <c r="V463" s="2" t="n">
        <v>1.909090909090909</v>
      </c>
      <c r="W463" s="4" t="n">
        <v>-110</v>
      </c>
      <c r="X463" s="2" t="n">
        <v>1</v>
      </c>
      <c r="Y463" s="5" t="n">
        <v>-1</v>
      </c>
      <c r="Z463" s="7" t="n">
        <v>100</v>
      </c>
      <c r="AA463" s="7">
        <f>Y463*Z463</f>
        <v/>
      </c>
      <c r="AB463" s="6">
        <f>IF(Z463=0,0,AA463/Z463)</f>
        <v/>
      </c>
      <c r="AC463" s="6" t="n"/>
      <c r="AD463" s="2" t="inlineStr">
        <is>
          <t>Loss</t>
        </is>
      </c>
      <c r="AE463" s="6">
        <f>IF((COUNTIF($AD$2:AD463,"Win")+COUNTIF($AD$2:AD463,"Loss"))=0,0,COUNTIF($AD$2:AD463,"Win")/(COUNTIF($AD$2:AD463,"Win")+COUNTIF($AD$2:AD463,"Loss")))</f>
        <v/>
      </c>
      <c r="AF463" s="6">
        <f>SUM($Y$2:Y463)/SUM($X$2:X463)</f>
        <v/>
      </c>
      <c r="AG463" s="5">
        <f>SUM($Y$2:Y463)</f>
        <v/>
      </c>
      <c r="AH463" s="7">
        <f>10000.0+SUM($AA$2:AA463)</f>
        <v/>
      </c>
      <c r="AI463" s="2" t="n">
        <v>2026</v>
      </c>
      <c r="AJ463" s="2" t="inlineStr">
        <is>
          <t>2026-05</t>
        </is>
      </c>
      <c r="AK463" s="2" t="inlineStr">
        <is>
          <t>-119 to -101</t>
        </is>
      </c>
      <c r="AL463" s="2" t="inlineStr">
        <is>
          <t>2026 Frozen Test</t>
        </is>
      </c>
      <c r="AM463" s="6" t="n">
        <v>0.2539393066083667</v>
      </c>
    </row>
    <row r="464">
      <c r="A464" s="2" t="inlineStr">
        <is>
          <t>KPROP-00865</t>
        </is>
      </c>
      <c r="B464" s="3" t="n">
        <v>46170.54903935185</v>
      </c>
      <c r="C464" s="3" t="n">
        <v>46170</v>
      </c>
      <c r="D464" s="2" t="inlineStr">
        <is>
          <t>Jack Flaherty</t>
        </is>
      </c>
      <c r="E464" s="2" t="n">
        <v>116</v>
      </c>
      <c r="F464" s="2" t="n">
        <v>108</v>
      </c>
      <c r="G464" s="2" t="inlineStr">
        <is>
          <t>Home</t>
        </is>
      </c>
      <c r="H464" s="2" t="inlineStr">
        <is>
          <t>betrivers</t>
        </is>
      </c>
      <c r="I464" s="4" t="n"/>
      <c r="J464" s="4" t="n"/>
      <c r="K464" s="4" t="n">
        <v>133</v>
      </c>
      <c r="L464" s="4" t="n">
        <v>133</v>
      </c>
      <c r="M464" s="5" t="n">
        <v>5.5</v>
      </c>
      <c r="N464" s="5" t="n">
        <v>5.849365111080847</v>
      </c>
      <c r="O464" s="5" t="n">
        <v>5.5</v>
      </c>
      <c r="P464" s="5" t="n">
        <v>-0.3493651110808473</v>
      </c>
      <c r="Q464" s="6" t="n">
        <v>0.09549205047470777</v>
      </c>
      <c r="R464" s="6" t="n">
        <v>0.4701682620063123</v>
      </c>
      <c r="S464" s="6" t="n">
        <v>0.4003431512725192</v>
      </c>
      <c r="T464" s="2" t="inlineStr">
        <is>
          <t>Under</t>
        </is>
      </c>
      <c r="U464" s="4" t="n">
        <v>133</v>
      </c>
      <c r="V464" s="2" t="n">
        <v>2.33</v>
      </c>
      <c r="W464" s="4" t="n">
        <v>133</v>
      </c>
      <c r="X464" s="2" t="n">
        <v>1</v>
      </c>
      <c r="Y464" s="5" t="n">
        <v>-1</v>
      </c>
      <c r="Z464" s="7" t="n">
        <v>100</v>
      </c>
      <c r="AA464" s="7">
        <f>Y464*Z464</f>
        <v/>
      </c>
      <c r="AB464" s="6">
        <f>IF(Z464=0,0,AA464/Z464)</f>
        <v/>
      </c>
      <c r="AC464" s="6" t="n"/>
      <c r="AD464" s="2" t="inlineStr">
        <is>
          <t>Loss</t>
        </is>
      </c>
      <c r="AE464" s="6">
        <f>IF((COUNTIF($AD$2:AD464,"Win")+COUNTIF($AD$2:AD464,"Loss"))=0,0,COUNTIF($AD$2:AD464,"Win")/(COUNTIF($AD$2:AD464,"Win")+COUNTIF($AD$2:AD464,"Loss")))</f>
        <v/>
      </c>
      <c r="AF464" s="6">
        <f>SUM($Y$2:Y464)/SUM($X$2:X464)</f>
        <v/>
      </c>
      <c r="AG464" s="5">
        <f>SUM($Y$2:Y464)</f>
        <v/>
      </c>
      <c r="AH464" s="7">
        <f>10000.0+SUM($AA$2:AA464)</f>
        <v/>
      </c>
      <c r="AI464" s="2" t="n">
        <v>2026</v>
      </c>
      <c r="AJ464" s="2" t="inlineStr">
        <is>
          <t>2026-05</t>
        </is>
      </c>
      <c r="AK464" s="2" t="inlineStr">
        <is>
          <t>+121 to +150</t>
        </is>
      </c>
      <c r="AL464" s="2" t="inlineStr">
        <is>
          <t>2026 Frozen Test</t>
        </is>
      </c>
      <c r="AM464" s="6" t="n">
        <v>0.0717985341915096</v>
      </c>
    </row>
    <row r="465">
      <c r="A465" s="2" t="inlineStr">
        <is>
          <t>KPROP-00866</t>
        </is>
      </c>
      <c r="B465" s="3" t="n">
        <v>46170.54903935185</v>
      </c>
      <c r="C465" s="3" t="n">
        <v>46170</v>
      </c>
      <c r="D465" s="2" t="inlineStr">
        <is>
          <t>Jack Flaherty</t>
        </is>
      </c>
      <c r="E465" s="2" t="n">
        <v>116</v>
      </c>
      <c r="F465" s="2" t="n">
        <v>108</v>
      </c>
      <c r="G465" s="2" t="inlineStr">
        <is>
          <t>Home</t>
        </is>
      </c>
      <c r="H465" s="2" t="inlineStr">
        <is>
          <t>draftkings</t>
        </is>
      </c>
      <c r="I465" s="4" t="n"/>
      <c r="J465" s="4" t="n"/>
      <c r="K465" s="4" t="n">
        <v>-126</v>
      </c>
      <c r="L465" s="4" t="n">
        <v>-126</v>
      </c>
      <c r="M465" s="5" t="n">
        <v>6.5</v>
      </c>
      <c r="N465" s="5" t="n">
        <v>5.849365111080847</v>
      </c>
      <c r="O465" s="5" t="n">
        <v>6.5</v>
      </c>
      <c r="P465" s="5" t="n">
        <v>0.6506348889191527</v>
      </c>
      <c r="Q465" s="6" t="n">
        <v>0.1308659665456533</v>
      </c>
      <c r="R465" s="6" t="n">
        <v>0.6304827955077537</v>
      </c>
      <c r="S465" s="6" t="n">
        <v>0.5508744038155803</v>
      </c>
      <c r="T465" s="2" t="inlineStr">
        <is>
          <t>Under</t>
        </is>
      </c>
      <c r="U465" s="4" t="n">
        <v>-126</v>
      </c>
      <c r="V465" s="2" t="n">
        <v>1.793650793650793</v>
      </c>
      <c r="W465" s="4" t="n">
        <v>-126</v>
      </c>
      <c r="X465" s="2" t="n">
        <v>1</v>
      </c>
      <c r="Y465" s="5" t="n">
        <v>-1</v>
      </c>
      <c r="Z465" s="7" t="n">
        <v>100</v>
      </c>
      <c r="AA465" s="7">
        <f>Y465*Z465</f>
        <v/>
      </c>
      <c r="AB465" s="6">
        <f>IF(Z465=0,0,AA465/Z465)</f>
        <v/>
      </c>
      <c r="AC465" s="6" t="n"/>
      <c r="AD465" s="2" t="inlineStr">
        <is>
          <t>Loss</t>
        </is>
      </c>
      <c r="AE465" s="6">
        <f>IF((COUNTIF($AD$2:AD465,"Win")+COUNTIF($AD$2:AD465,"Loss"))=0,0,COUNTIF($AD$2:AD465,"Win")/(COUNTIF($AD$2:AD465,"Win")+COUNTIF($AD$2:AD465,"Loss")))</f>
        <v/>
      </c>
      <c r="AF465" s="6">
        <f>SUM($Y$2:Y465)/SUM($X$2:X465)</f>
        <v/>
      </c>
      <c r="AG465" s="5">
        <f>SUM($Y$2:Y465)</f>
        <v/>
      </c>
      <c r="AH465" s="7">
        <f>10000.0+SUM($AA$2:AA465)</f>
        <v/>
      </c>
      <c r="AI465" s="2" t="n">
        <v>2026</v>
      </c>
      <c r="AJ465" s="2" t="inlineStr">
        <is>
          <t>2026-05</t>
        </is>
      </c>
      <c r="AK465" s="2" t="inlineStr">
        <is>
          <t>-149 to -120</t>
        </is>
      </c>
      <c r="AL465" s="2" t="inlineStr">
        <is>
          <t>2026 Frozen Test</t>
        </is>
      </c>
      <c r="AM465" s="6" t="n">
        <v>0.1648911178475232</v>
      </c>
    </row>
    <row r="466">
      <c r="A466" s="2" t="inlineStr">
        <is>
          <t>KPROP-00867</t>
        </is>
      </c>
      <c r="B466" s="3" t="n">
        <v>46170.77820601852</v>
      </c>
      <c r="C466" s="3" t="n">
        <v>46170</v>
      </c>
      <c r="D466" s="2" t="inlineStr">
        <is>
          <t>Paul Skenes</t>
        </is>
      </c>
      <c r="E466" s="2" t="n">
        <v>134</v>
      </c>
      <c r="F466" s="2" t="n">
        <v>112</v>
      </c>
      <c r="G466" s="2" t="inlineStr">
        <is>
          <t>Home</t>
        </is>
      </c>
      <c r="H466" s="2" t="inlineStr">
        <is>
          <t>draftkings</t>
        </is>
      </c>
      <c r="I466" s="4" t="n"/>
      <c r="J466" s="4" t="n"/>
      <c r="K466" s="4" t="n">
        <v>-114</v>
      </c>
      <c r="L466" s="4" t="n">
        <v>-114</v>
      </c>
      <c r="M466" s="5" t="n">
        <v>6.5</v>
      </c>
      <c r="N466" s="5" t="n">
        <v>6.005741131962868</v>
      </c>
      <c r="O466" s="5" t="n">
        <v>6.5</v>
      </c>
      <c r="P466" s="5" t="n">
        <v>0.4942588680371323</v>
      </c>
      <c r="Q466" s="6" t="n">
        <v>0.1364162602280069</v>
      </c>
      <c r="R466" s="6" t="n">
        <v>0.6053806246074429</v>
      </c>
      <c r="S466" s="6" t="n">
        <v>0.5207810820494446</v>
      </c>
      <c r="T466" s="2" t="inlineStr">
        <is>
          <t>Under</t>
        </is>
      </c>
      <c r="U466" s="4" t="n">
        <v>-114</v>
      </c>
      <c r="V466" s="2" t="n">
        <v>1.87719298245614</v>
      </c>
      <c r="W466" s="4" t="n">
        <v>-114</v>
      </c>
      <c r="X466" s="2" t="n">
        <v>1</v>
      </c>
      <c r="Y466" s="5" t="n">
        <v>-1</v>
      </c>
      <c r="Z466" s="7" t="n">
        <v>100</v>
      </c>
      <c r="AA466" s="7">
        <f>Y466*Z466</f>
        <v/>
      </c>
      <c r="AB466" s="6">
        <f>IF(Z466=0,0,AA466/Z466)</f>
        <v/>
      </c>
      <c r="AC466" s="6" t="n"/>
      <c r="AD466" s="2" t="inlineStr">
        <is>
          <t>Loss</t>
        </is>
      </c>
      <c r="AE466" s="6">
        <f>IF((COUNTIF($AD$2:AD466,"Win")+COUNTIF($AD$2:AD466,"Loss"))=0,0,COUNTIF($AD$2:AD466,"Win")/(COUNTIF($AD$2:AD466,"Win")+COUNTIF($AD$2:AD466,"Loss")))</f>
        <v/>
      </c>
      <c r="AF466" s="6">
        <f>SUM($Y$2:Y466)/SUM($X$2:X466)</f>
        <v/>
      </c>
      <c r="AG466" s="5">
        <f>SUM($Y$2:Y466)</f>
        <v/>
      </c>
      <c r="AH466" s="7">
        <f>10000.0+SUM($AA$2:AA466)</f>
        <v/>
      </c>
      <c r="AI466" s="2" t="n">
        <v>2026</v>
      </c>
      <c r="AJ466" s="2" t="inlineStr">
        <is>
          <t>2026-05</t>
        </is>
      </c>
      <c r="AK466" s="2" t="inlineStr">
        <is>
          <t>-119 to -101</t>
        </is>
      </c>
      <c r="AL466" s="2" t="inlineStr">
        <is>
          <t>2026 Frozen Test</t>
        </is>
      </c>
      <c r="AM466" s="6" t="n">
        <v>0.1555145366599279</v>
      </c>
    </row>
    <row r="467">
      <c r="A467" s="2" t="inlineStr">
        <is>
          <t>KPROP-00868</t>
        </is>
      </c>
      <c r="B467" s="3" t="n">
        <v>46171.79556712963</v>
      </c>
      <c r="C467" s="3" t="n">
        <v>46171</v>
      </c>
      <c r="D467" s="2" t="inlineStr">
        <is>
          <t>Trevor Rogers</t>
        </is>
      </c>
      <c r="E467" s="2" t="n">
        <v>110</v>
      </c>
      <c r="F467" s="2" t="n">
        <v>141</v>
      </c>
      <c r="G467" s="2" t="inlineStr">
        <is>
          <t>Home</t>
        </is>
      </c>
      <c r="H467" s="2" t="inlineStr">
        <is>
          <t>fanduel</t>
        </is>
      </c>
      <c r="I467" s="4" t="n"/>
      <c r="J467" s="4" t="n"/>
      <c r="K467" s="4" t="n">
        <v>-134</v>
      </c>
      <c r="L467" s="4" t="n">
        <v>-134</v>
      </c>
      <c r="M467" s="5" t="n">
        <v>4.5</v>
      </c>
      <c r="N467" s="5" t="n">
        <v>4.058763233780672</v>
      </c>
      <c r="O467" s="5" t="n">
        <v>4.5</v>
      </c>
      <c r="P467" s="5" t="n">
        <v>0.4412367662193279</v>
      </c>
      <c r="Q467" s="6" t="n">
        <v>0.07807325529073506</v>
      </c>
      <c r="R467" s="6" t="n">
        <v>0.6173581889271731</v>
      </c>
      <c r="S467" s="6" t="n">
        <v>0.5529573590096286</v>
      </c>
      <c r="T467" s="2" t="inlineStr">
        <is>
          <t>Under</t>
        </is>
      </c>
      <c r="U467" s="4" t="n">
        <v>-134</v>
      </c>
      <c r="V467" s="2" t="n">
        <v>1.746268656716418</v>
      </c>
      <c r="W467" s="4" t="n">
        <v>-134</v>
      </c>
      <c r="X467" s="2" t="n">
        <v>1</v>
      </c>
      <c r="Y467" s="5" t="n">
        <v>0.7462686567164178</v>
      </c>
      <c r="Z467" s="7" t="n">
        <v>100</v>
      </c>
      <c r="AA467" s="7">
        <f>Y467*Z467</f>
        <v/>
      </c>
      <c r="AB467" s="6">
        <f>IF(Z467=0,0,AA467/Z467)</f>
        <v/>
      </c>
      <c r="AC467" s="6" t="n"/>
      <c r="AD467" s="2" t="inlineStr">
        <is>
          <t>Win</t>
        </is>
      </c>
      <c r="AE467" s="6">
        <f>IF((COUNTIF($AD$2:AD467,"Win")+COUNTIF($AD$2:AD467,"Loss"))=0,0,COUNTIF($AD$2:AD467,"Win")/(COUNTIF($AD$2:AD467,"Win")+COUNTIF($AD$2:AD467,"Loss")))</f>
        <v/>
      </c>
      <c r="AF467" s="6">
        <f>SUM($Y$2:Y467)/SUM($X$2:X467)</f>
        <v/>
      </c>
      <c r="AG467" s="5">
        <f>SUM($Y$2:Y467)</f>
        <v/>
      </c>
      <c r="AH467" s="7">
        <f>10000.0+SUM($AA$2:AA467)</f>
        <v/>
      </c>
      <c r="AI467" s="2" t="n">
        <v>2026</v>
      </c>
      <c r="AJ467" s="2" t="inlineStr">
        <is>
          <t>2026-05</t>
        </is>
      </c>
      <c r="AK467" s="2" t="inlineStr">
        <is>
          <t>-149 to -120</t>
        </is>
      </c>
      <c r="AL467" s="2" t="inlineStr">
        <is>
          <t>2026 Frozen Test</t>
        </is>
      </c>
      <c r="AM467" s="6" t="n">
        <v>0.104618162089585</v>
      </c>
    </row>
    <row r="468">
      <c r="A468" s="2" t="inlineStr">
        <is>
          <t>KPROP-00869</t>
        </is>
      </c>
      <c r="B468" s="3" t="n">
        <v>46172.8025</v>
      </c>
      <c r="C468" s="3" t="n">
        <v>46172</v>
      </c>
      <c r="D468" s="2" t="inlineStr">
        <is>
          <t>Brady Singer</t>
        </is>
      </c>
      <c r="E468" s="2" t="n">
        <v>113</v>
      </c>
      <c r="F468" s="2" t="n">
        <v>144</v>
      </c>
      <c r="G468" s="2" t="inlineStr">
        <is>
          <t>Home</t>
        </is>
      </c>
      <c r="H468" s="2" t="inlineStr">
        <is>
          <t>draftkings</t>
        </is>
      </c>
      <c r="I468" s="4" t="n"/>
      <c r="J468" s="4" t="n"/>
      <c r="K468" s="4" t="n">
        <v>-130</v>
      </c>
      <c r="L468" s="4" t="n">
        <v>-130</v>
      </c>
      <c r="M468" s="5" t="n">
        <v>4.5</v>
      </c>
      <c r="N468" s="5" t="n">
        <v>3.915504888666836</v>
      </c>
      <c r="O468" s="5" t="n">
        <v>4.5</v>
      </c>
      <c r="P468" s="5" t="n">
        <v>0.5844951113331636</v>
      </c>
      <c r="Q468" s="6" t="n">
        <v>0.1417545250614858</v>
      </c>
      <c r="R468" s="6" t="n">
        <v>0.6453395141651876</v>
      </c>
      <c r="S468" s="6" t="n">
        <v>0.5485770363101079</v>
      </c>
      <c r="T468" s="2" t="inlineStr">
        <is>
          <t>Under</t>
        </is>
      </c>
      <c r="U468" s="4" t="n">
        <v>-130</v>
      </c>
      <c r="V468" s="2" t="n">
        <v>1.769230769230769</v>
      </c>
      <c r="W468" s="4" t="n">
        <v>-130</v>
      </c>
      <c r="X468" s="2" t="n">
        <v>1</v>
      </c>
      <c r="Y468" s="5" t="n">
        <v>0.7692307692307692</v>
      </c>
      <c r="Z468" s="7" t="n">
        <v>100</v>
      </c>
      <c r="AA468" s="7">
        <f>Y468*Z468</f>
        <v/>
      </c>
      <c r="AB468" s="6">
        <f>IF(Z468=0,0,AA468/Z468)</f>
        <v/>
      </c>
      <c r="AC468" s="6" t="n"/>
      <c r="AD468" s="2" t="inlineStr">
        <is>
          <t>Win</t>
        </is>
      </c>
      <c r="AE468" s="6">
        <f>IF((COUNTIF($AD$2:AD468,"Win")+COUNTIF($AD$2:AD468,"Loss"))=0,0,COUNTIF($AD$2:AD468,"Win")/(COUNTIF($AD$2:AD468,"Win")+COUNTIF($AD$2:AD468,"Loss")))</f>
        <v/>
      </c>
      <c r="AF468" s="6">
        <f>SUM($Y$2:Y468)/SUM($X$2:X468)</f>
        <v/>
      </c>
      <c r="AG468" s="5">
        <f>SUM($Y$2:Y468)</f>
        <v/>
      </c>
      <c r="AH468" s="7">
        <f>10000.0+SUM($AA$2:AA468)</f>
        <v/>
      </c>
      <c r="AI468" s="2" t="n">
        <v>2026</v>
      </c>
      <c r="AJ468" s="2" t="inlineStr">
        <is>
          <t>2026-05</t>
        </is>
      </c>
      <c r="AK468" s="2" t="inlineStr">
        <is>
          <t>-149 to -120</t>
        </is>
      </c>
      <c r="AL468" s="2" t="inlineStr">
        <is>
          <t>2026 Frozen Test</t>
        </is>
      </c>
      <c r="AM468" s="6" t="n">
        <v>0.1842808825799315</v>
      </c>
    </row>
    <row r="469">
      <c r="A469" s="2" t="inlineStr">
        <is>
          <t>KPROP-00870</t>
        </is>
      </c>
      <c r="B469" s="3" t="n">
        <v>46172.67402777778</v>
      </c>
      <c r="C469" s="3" t="n">
        <v>46172</v>
      </c>
      <c r="D469" s="2" t="inlineStr">
        <is>
          <t>Christian Scott</t>
        </is>
      </c>
      <c r="E469" s="2" t="n">
        <v>121</v>
      </c>
      <c r="F469" s="2" t="n">
        <v>146</v>
      </c>
      <c r="G469" s="2" t="inlineStr">
        <is>
          <t>Home</t>
        </is>
      </c>
      <c r="H469" s="2" t="inlineStr">
        <is>
          <t>fanduel</t>
        </is>
      </c>
      <c r="I469" s="4" t="n"/>
      <c r="J469" s="4" t="n"/>
      <c r="K469" s="4" t="n">
        <v>-144</v>
      </c>
      <c r="L469" s="4" t="n">
        <v>-144</v>
      </c>
      <c r="M469" s="5" t="n">
        <v>5.5</v>
      </c>
      <c r="N469" s="5" t="n">
        <v>4.687615263886488</v>
      </c>
      <c r="O469" s="5" t="n">
        <v>5.5</v>
      </c>
      <c r="P469" s="5" t="n">
        <v>0.8123847361135121</v>
      </c>
      <c r="Q469" s="6" t="n">
        <v>0.1362782745056812</v>
      </c>
      <c r="R469" s="6" t="n">
        <v>0.6705904570853201</v>
      </c>
      <c r="S469" s="6" t="n">
        <v>0.562661313449957</v>
      </c>
      <c r="T469" s="2" t="inlineStr">
        <is>
          <t>Under</t>
        </is>
      </c>
      <c r="U469" s="4" t="n">
        <v>-144</v>
      </c>
      <c r="V469" s="2" t="n">
        <v>1.694444444444444</v>
      </c>
      <c r="W469" s="4" t="n">
        <v>-144</v>
      </c>
      <c r="X469" s="2" t="n">
        <v>1</v>
      </c>
      <c r="Y469" s="5" t="n">
        <v>-1</v>
      </c>
      <c r="Z469" s="7" t="n">
        <v>100</v>
      </c>
      <c r="AA469" s="7">
        <f>Y469*Z469</f>
        <v/>
      </c>
      <c r="AB469" s="6">
        <f>IF(Z469=0,0,AA469/Z469)</f>
        <v/>
      </c>
      <c r="AC469" s="6" t="n"/>
      <c r="AD469" s="2" t="inlineStr">
        <is>
          <t>Loss</t>
        </is>
      </c>
      <c r="AE469" s="6">
        <f>IF((COUNTIF($AD$2:AD469,"Win")+COUNTIF($AD$2:AD469,"Loss"))=0,0,COUNTIF($AD$2:AD469,"Win")/(COUNTIF($AD$2:AD469,"Win")+COUNTIF($AD$2:AD469,"Loss")))</f>
        <v/>
      </c>
      <c r="AF469" s="6">
        <f>SUM($Y$2:Y469)/SUM($X$2:X469)</f>
        <v/>
      </c>
      <c r="AG469" s="5">
        <f>SUM($Y$2:Y469)</f>
        <v/>
      </c>
      <c r="AH469" s="7">
        <f>10000.0+SUM($AA$2:AA469)</f>
        <v/>
      </c>
      <c r="AI469" s="2" t="n">
        <v>2026</v>
      </c>
      <c r="AJ469" s="2" t="inlineStr">
        <is>
          <t>2026-05</t>
        </is>
      </c>
      <c r="AK469" s="2" t="inlineStr">
        <is>
          <t>-149 to -120</t>
        </is>
      </c>
      <c r="AL469" s="2" t="inlineStr">
        <is>
          <t>2026 Frozen Test</t>
        </is>
      </c>
      <c r="AM469" s="6" t="n">
        <v>0.1962407152881809</v>
      </c>
    </row>
    <row r="470">
      <c r="A470" s="2" t="inlineStr">
        <is>
          <t>KPROP-00871</t>
        </is>
      </c>
      <c r="B470" s="3" t="n">
        <v>46172.67055555555</v>
      </c>
      <c r="C470" s="3" t="n">
        <v>46172</v>
      </c>
      <c r="D470" s="2" t="inlineStr">
        <is>
          <t>Foster Griffin</t>
        </is>
      </c>
      <c r="E470" s="2" t="n">
        <v>120</v>
      </c>
      <c r="F470" s="2" t="n">
        <v>135</v>
      </c>
      <c r="G470" s="2" t="inlineStr">
        <is>
          <t>Home</t>
        </is>
      </c>
      <c r="H470" s="2" t="inlineStr">
        <is>
          <t>betrivers</t>
        </is>
      </c>
      <c r="I470" s="4" t="n"/>
      <c r="J470" s="4" t="n"/>
      <c r="K470" s="4" t="n">
        <v>114</v>
      </c>
      <c r="L470" s="4" t="n">
        <v>114</v>
      </c>
      <c r="M470" s="5" t="n">
        <v>4.5</v>
      </c>
      <c r="N470" s="5" t="n">
        <v>4.491520186556167</v>
      </c>
      <c r="O470" s="5" t="n">
        <v>4.5</v>
      </c>
      <c r="P470" s="5" t="n">
        <v>0.00847981344383264</v>
      </c>
      <c r="Q470" s="6" t="n">
        <v>0.1421476695186539</v>
      </c>
      <c r="R470" s="6" t="n">
        <v>0.5337138642610533</v>
      </c>
      <c r="S470" s="6" t="n">
        <v>0.436529933481153</v>
      </c>
      <c r="T470" s="2" t="inlineStr">
        <is>
          <t>Under</t>
        </is>
      </c>
      <c r="U470" s="4" t="n">
        <v>114</v>
      </c>
      <c r="V470" s="2" t="n">
        <v>2.14</v>
      </c>
      <c r="W470" s="4" t="n">
        <v>114</v>
      </c>
      <c r="X470" s="2" t="n">
        <v>1</v>
      </c>
      <c r="Y470" s="5" t="n">
        <v>-1</v>
      </c>
      <c r="Z470" s="7" t="n">
        <v>100</v>
      </c>
      <c r="AA470" s="7">
        <f>Y470*Z470</f>
        <v/>
      </c>
      <c r="AB470" s="6">
        <f>IF(Z470=0,0,AA470/Z470)</f>
        <v/>
      </c>
      <c r="AC470" s="6" t="n"/>
      <c r="AD470" s="2" t="inlineStr">
        <is>
          <t>Loss</t>
        </is>
      </c>
      <c r="AE470" s="6">
        <f>IF((COUNTIF($AD$2:AD470,"Win")+COUNTIF($AD$2:AD470,"Loss"))=0,0,COUNTIF($AD$2:AD470,"Win")/(COUNTIF($AD$2:AD470,"Win")+COUNTIF($AD$2:AD470,"Loss")))</f>
        <v/>
      </c>
      <c r="AF470" s="6">
        <f>SUM($Y$2:Y470)/SUM($X$2:X470)</f>
        <v/>
      </c>
      <c r="AG470" s="5">
        <f>SUM($Y$2:Y470)</f>
        <v/>
      </c>
      <c r="AH470" s="7">
        <f>10000.0+SUM($AA$2:AA470)</f>
        <v/>
      </c>
      <c r="AI470" s="2" t="n">
        <v>2026</v>
      </c>
      <c r="AJ470" s="2" t="inlineStr">
        <is>
          <t>2026-05</t>
        </is>
      </c>
      <c r="AK470" s="2" t="inlineStr">
        <is>
          <t>+100 to +120</t>
        </is>
      </c>
      <c r="AL470" s="2" t="inlineStr">
        <is>
          <t>2026 Frozen Test</t>
        </is>
      </c>
      <c r="AM470" s="6" t="n">
        <v>0.1246909381742578</v>
      </c>
    </row>
    <row r="471">
      <c r="A471" s="2" t="inlineStr">
        <is>
          <t>KPROP-00872</t>
        </is>
      </c>
      <c r="B471" s="3" t="n">
        <v>46172.67055555555</v>
      </c>
      <c r="C471" s="3" t="n">
        <v>46172</v>
      </c>
      <c r="D471" s="2" t="inlineStr">
        <is>
          <t>Foster Griffin</t>
        </is>
      </c>
      <c r="E471" s="2" t="n">
        <v>120</v>
      </c>
      <c r="F471" s="2" t="n">
        <v>135</v>
      </c>
      <c r="G471" s="2" t="inlineStr">
        <is>
          <t>Home</t>
        </is>
      </c>
      <c r="H471" s="2" t="inlineStr">
        <is>
          <t>betmgm</t>
        </is>
      </c>
      <c r="I471" s="4" t="n"/>
      <c r="J471" s="4" t="n"/>
      <c r="K471" s="4" t="n">
        <v>-155</v>
      </c>
      <c r="L471" s="4" t="n">
        <v>-155</v>
      </c>
      <c r="M471" s="5" t="n">
        <v>5.5</v>
      </c>
      <c r="N471" s="5" t="n">
        <v>4.491520186556167</v>
      </c>
      <c r="O471" s="5" t="n">
        <v>5.5</v>
      </c>
      <c r="P471" s="5" t="n">
        <v>1.008479813443833</v>
      </c>
      <c r="Q471" s="6" t="n">
        <v>0.1588159593817219</v>
      </c>
      <c r="R471" s="6" t="n">
        <v>0.7043783282516349</v>
      </c>
      <c r="S471" s="6" t="n">
        <v>0.5962954167656138</v>
      </c>
      <c r="T471" s="2" t="inlineStr">
        <is>
          <t>Under</t>
        </is>
      </c>
      <c r="U471" s="4" t="n">
        <v>-155</v>
      </c>
      <c r="V471" s="2" t="n">
        <v>1.645161290322581</v>
      </c>
      <c r="W471" s="4" t="n">
        <v>-155</v>
      </c>
      <c r="X471" s="2" t="n">
        <v>1</v>
      </c>
      <c r="Y471" s="5" t="n">
        <v>0.6451612903225805</v>
      </c>
      <c r="Z471" s="7" t="n">
        <v>100</v>
      </c>
      <c r="AA471" s="7">
        <f>Y471*Z471</f>
        <v/>
      </c>
      <c r="AB471" s="6">
        <f>IF(Z471=0,0,AA471/Z471)</f>
        <v/>
      </c>
      <c r="AC471" s="6" t="n"/>
      <c r="AD471" s="2" t="inlineStr">
        <is>
          <t>Win</t>
        </is>
      </c>
      <c r="AE471" s="6">
        <f>IF((COUNTIF($AD$2:AD471,"Win")+COUNTIF($AD$2:AD471,"Loss"))=0,0,COUNTIF($AD$2:AD471,"Win")/(COUNTIF($AD$2:AD471,"Win")+COUNTIF($AD$2:AD471,"Loss")))</f>
        <v/>
      </c>
      <c r="AF471" s="6">
        <f>SUM($Y$2:Y471)/SUM($X$2:X471)</f>
        <v/>
      </c>
      <c r="AG471" s="5">
        <f>SUM($Y$2:Y471)</f>
        <v/>
      </c>
      <c r="AH471" s="7">
        <f>10000.0+SUM($AA$2:AA471)</f>
        <v/>
      </c>
      <c r="AI471" s="2" t="n">
        <v>2026</v>
      </c>
      <c r="AJ471" s="2" t="inlineStr">
        <is>
          <t>2026-05</t>
        </is>
      </c>
      <c r="AK471" s="2" t="inlineStr">
        <is>
          <t>&lt;= -150</t>
        </is>
      </c>
      <c r="AL471" s="2" t="inlineStr">
        <is>
          <t>2026 Frozen Test</t>
        </is>
      </c>
      <c r="AM471" s="6" t="n">
        <v>0.246164737041669</v>
      </c>
    </row>
    <row r="472">
      <c r="A472" s="2" t="inlineStr">
        <is>
          <t>KPROP-00873</t>
        </is>
      </c>
      <c r="B472" s="3" t="n">
        <v>46172.59069444444</v>
      </c>
      <c r="C472" s="3" t="n">
        <v>46172</v>
      </c>
      <c r="D472" s="2" t="inlineStr">
        <is>
          <t>Framber Valdez</t>
        </is>
      </c>
      <c r="E472" s="2" t="n">
        <v>116</v>
      </c>
      <c r="F472" s="2" t="n">
        <v>145</v>
      </c>
      <c r="G472" s="2" t="inlineStr">
        <is>
          <t>Away</t>
        </is>
      </c>
      <c r="H472" s="2" t="inlineStr">
        <is>
          <t>betrivers</t>
        </is>
      </c>
      <c r="I472" s="4" t="n"/>
      <c r="J472" s="4" t="n"/>
      <c r="K472" s="4" t="n">
        <v>-129</v>
      </c>
      <c r="L472" s="4" t="n">
        <v>-129</v>
      </c>
      <c r="M472" s="5" t="n">
        <v>5.5</v>
      </c>
      <c r="N472" s="5" t="n">
        <v>4.249911831439516</v>
      </c>
      <c r="O472" s="5" t="n">
        <v>5.5</v>
      </c>
      <c r="P472" s="5" t="n">
        <v>1.250088168560484</v>
      </c>
      <c r="Q472" s="6" t="n">
        <v>0.3224369829326704</v>
      </c>
      <c r="R472" s="6" t="n">
        <v>0.7449535842721157</v>
      </c>
      <c r="S472" s="6" t="n">
        <v>0.548892916239855</v>
      </c>
      <c r="T472" s="2" t="inlineStr">
        <is>
          <t>Under</t>
        </is>
      </c>
      <c r="U472" s="4" t="n">
        <v>-129</v>
      </c>
      <c r="V472" s="2" t="n">
        <v>1.775193798449612</v>
      </c>
      <c r="W472" s="4" t="n">
        <v>-129</v>
      </c>
      <c r="X472" s="2" t="n">
        <v>1</v>
      </c>
      <c r="Y472" s="5" t="n">
        <v>0.7751937984496124</v>
      </c>
      <c r="Z472" s="7" t="n">
        <v>100</v>
      </c>
      <c r="AA472" s="7">
        <f>Y472*Z472</f>
        <v/>
      </c>
      <c r="AB472" s="6">
        <f>IF(Z472=0,0,AA472/Z472)</f>
        <v/>
      </c>
      <c r="AC472" s="6" t="n"/>
      <c r="AD472" s="2" t="inlineStr">
        <is>
          <t>Win</t>
        </is>
      </c>
      <c r="AE472" s="6">
        <f>IF((COUNTIF($AD$2:AD472,"Win")+COUNTIF($AD$2:AD472,"Loss"))=0,0,COUNTIF($AD$2:AD472,"Win")/(COUNTIF($AD$2:AD472,"Win")+COUNTIF($AD$2:AD472,"Loss")))</f>
        <v/>
      </c>
      <c r="AF472" s="6">
        <f>SUM($Y$2:Y472)/SUM($X$2:X472)</f>
        <v/>
      </c>
      <c r="AG472" s="5">
        <f>SUM($Y$2:Y472)</f>
        <v/>
      </c>
      <c r="AH472" s="7">
        <f>10000.0+SUM($AA$2:AA472)</f>
        <v/>
      </c>
      <c r="AI472" s="2" t="n">
        <v>2026</v>
      </c>
      <c r="AJ472" s="2" t="inlineStr">
        <is>
          <t>2026-05</t>
        </is>
      </c>
      <c r="AK472" s="2" t="inlineStr">
        <is>
          <t>-149 to -120</t>
        </is>
      </c>
      <c r="AL472" s="2" t="inlineStr">
        <is>
          <t>2026 Frozen Test</t>
        </is>
      </c>
      <c r="AM472" s="6" t="n">
        <v>0.4159437079831448</v>
      </c>
    </row>
    <row r="473">
      <c r="A473" s="2" t="inlineStr">
        <is>
          <t>KPROP-00874</t>
        </is>
      </c>
      <c r="B473" s="3" t="n">
        <v>46172.67402777778</v>
      </c>
      <c r="C473" s="3" t="n">
        <v>46172</v>
      </c>
      <c r="D473" s="2" t="inlineStr">
        <is>
          <t>Parker Messick</t>
        </is>
      </c>
      <c r="E473" s="2" t="n">
        <v>114</v>
      </c>
      <c r="F473" s="2" t="n">
        <v>111</v>
      </c>
      <c r="G473" s="2" t="inlineStr">
        <is>
          <t>Home</t>
        </is>
      </c>
      <c r="H473" s="2" t="inlineStr">
        <is>
          <t>betrivers</t>
        </is>
      </c>
      <c r="I473" s="4" t="n"/>
      <c r="J473" s="4" t="n"/>
      <c r="K473" s="4" t="n">
        <v>138</v>
      </c>
      <c r="L473" s="4" t="n">
        <v>138</v>
      </c>
      <c r="M473" s="5" t="n">
        <v>5.5</v>
      </c>
      <c r="N473" s="5" t="n">
        <v>5.072948614186608</v>
      </c>
      <c r="O473" s="5" t="n">
        <v>5.5</v>
      </c>
      <c r="P473" s="5" t="n">
        <v>0.4270513858133915</v>
      </c>
      <c r="Q473" s="6" t="n">
        <v>0.4355274809506502</v>
      </c>
      <c r="R473" s="6" t="n">
        <v>0.603162807122122</v>
      </c>
      <c r="S473" s="6" t="n">
        <v>0.4131680661068906</v>
      </c>
      <c r="T473" s="2" t="inlineStr">
        <is>
          <t>Under</t>
        </is>
      </c>
      <c r="U473" s="4" t="n">
        <v>138</v>
      </c>
      <c r="V473" s="2" t="n">
        <v>2.38</v>
      </c>
      <c r="W473" s="4" t="n">
        <v>138</v>
      </c>
      <c r="X473" s="2" t="n">
        <v>1</v>
      </c>
      <c r="Y473" s="5" t="n">
        <v>1.38</v>
      </c>
      <c r="Z473" s="7" t="n">
        <v>100</v>
      </c>
      <c r="AA473" s="7">
        <f>Y473*Z473</f>
        <v/>
      </c>
      <c r="AB473" s="6">
        <f>IF(Z473=0,0,AA473/Z473)</f>
        <v/>
      </c>
      <c r="AC473" s="6" t="n"/>
      <c r="AD473" s="2" t="inlineStr">
        <is>
          <t>Win</t>
        </is>
      </c>
      <c r="AE473" s="6">
        <f>IF((COUNTIF($AD$2:AD473,"Win")+COUNTIF($AD$2:AD473,"Loss"))=0,0,COUNTIF($AD$2:AD473,"Win")/(COUNTIF($AD$2:AD473,"Win")+COUNTIF($AD$2:AD473,"Loss")))</f>
        <v/>
      </c>
      <c r="AF473" s="6">
        <f>SUM($Y$2:Y473)/SUM($X$2:X473)</f>
        <v/>
      </c>
      <c r="AG473" s="5">
        <f>SUM($Y$2:Y473)</f>
        <v/>
      </c>
      <c r="AH473" s="7">
        <f>10000.0+SUM($AA$2:AA473)</f>
        <v/>
      </c>
      <c r="AI473" s="2" t="n">
        <v>2026</v>
      </c>
      <c r="AJ473" s="2" t="inlineStr">
        <is>
          <t>2026-05</t>
        </is>
      </c>
      <c r="AK473" s="2" t="inlineStr">
        <is>
          <t>+121 to +150</t>
        </is>
      </c>
      <c r="AL473" s="2" t="inlineStr">
        <is>
          <t>2026 Frozen Test</t>
        </is>
      </c>
      <c r="AM473" s="6" t="n">
        <v>0.3155996238772829</v>
      </c>
    </row>
    <row r="474">
      <c r="A474" s="2" t="inlineStr">
        <is>
          <t>KPROP-00875</t>
        </is>
      </c>
      <c r="B474" s="3" t="n">
        <v>46172.67402777778</v>
      </c>
      <c r="C474" s="3" t="n">
        <v>46172</v>
      </c>
      <c r="D474" s="2" t="inlineStr">
        <is>
          <t>Parker Messick</t>
        </is>
      </c>
      <c r="E474" s="2" t="n">
        <v>114</v>
      </c>
      <c r="F474" s="2" t="n">
        <v>111</v>
      </c>
      <c r="G474" s="2" t="inlineStr">
        <is>
          <t>Home</t>
        </is>
      </c>
      <c r="H474" s="2" t="inlineStr">
        <is>
          <t>betrivers</t>
        </is>
      </c>
      <c r="I474" s="4" t="n"/>
      <c r="J474" s="4" t="n"/>
      <c r="K474" s="4" t="n">
        <v>-148</v>
      </c>
      <c r="L474" s="4" t="n">
        <v>-148</v>
      </c>
      <c r="M474" s="5" t="n">
        <v>6.5</v>
      </c>
      <c r="N474" s="5" t="n">
        <v>5.072948614186608</v>
      </c>
      <c r="O474" s="5" t="n">
        <v>6.5</v>
      </c>
      <c r="P474" s="5" t="n">
        <v>1.427051385813392</v>
      </c>
      <c r="Q474" s="6" t="n">
        <v>0.2591710668339186</v>
      </c>
      <c r="R474" s="6" t="n">
        <v>0.751440797949274</v>
      </c>
      <c r="S474" s="6" t="n">
        <v>0.5561918396564066</v>
      </c>
      <c r="T474" s="2" t="inlineStr">
        <is>
          <t>Under</t>
        </is>
      </c>
      <c r="U474" s="4" t="n">
        <v>-148</v>
      </c>
      <c r="V474" s="2" t="n">
        <v>1.675675675675676</v>
      </c>
      <c r="W474" s="4" t="n">
        <v>-148</v>
      </c>
      <c r="X474" s="2" t="n">
        <v>1</v>
      </c>
      <c r="Y474" s="5" t="n">
        <v>0.6756756756756757</v>
      </c>
      <c r="Z474" s="7" t="n">
        <v>100</v>
      </c>
      <c r="AA474" s="7">
        <f>Y474*Z474</f>
        <v/>
      </c>
      <c r="AB474" s="6">
        <f>IF(Z474=0,0,AA474/Z474)</f>
        <v/>
      </c>
      <c r="AC474" s="6" t="n"/>
      <c r="AD474" s="2" t="inlineStr">
        <is>
          <t>Win</t>
        </is>
      </c>
      <c r="AE474" s="6">
        <f>IF((COUNTIF($AD$2:AD474,"Win")+COUNTIF($AD$2:AD474,"Loss"))=0,0,COUNTIF($AD$2:AD474,"Win")/(COUNTIF($AD$2:AD474,"Win")+COUNTIF($AD$2:AD474,"Loss")))</f>
        <v/>
      </c>
      <c r="AF474" s="6">
        <f>SUM($Y$2:Y474)/SUM($X$2:X474)</f>
        <v/>
      </c>
      <c r="AG474" s="5">
        <f>SUM($Y$2:Y474)</f>
        <v/>
      </c>
      <c r="AH474" s="7">
        <f>10000.0+SUM($AA$2:AA474)</f>
        <v/>
      </c>
      <c r="AI474" s="2" t="n">
        <v>2026</v>
      </c>
      <c r="AJ474" s="2" t="inlineStr">
        <is>
          <t>2026-05</t>
        </is>
      </c>
      <c r="AK474" s="2" t="inlineStr">
        <is>
          <t>-149 to -120</t>
        </is>
      </c>
      <c r="AL474" s="2" t="inlineStr">
        <is>
          <t>2026 Frozen Test</t>
        </is>
      </c>
      <c r="AM474" s="6" t="n">
        <v>0.3835731789141995</v>
      </c>
    </row>
    <row r="475">
      <c r="A475" s="2" t="inlineStr">
        <is>
          <t>KPROP-00876</t>
        </is>
      </c>
      <c r="B475" s="3" t="n">
        <v>46172.67402777778</v>
      </c>
      <c r="C475" s="3" t="n">
        <v>46172</v>
      </c>
      <c r="D475" s="2" t="inlineStr">
        <is>
          <t>Peter Lambert</t>
        </is>
      </c>
      <c r="E475" s="2" t="n">
        <v>117</v>
      </c>
      <c r="F475" s="2" t="n">
        <v>158</v>
      </c>
      <c r="G475" s="2" t="inlineStr">
        <is>
          <t>Home</t>
        </is>
      </c>
      <c r="H475" s="2" t="inlineStr">
        <is>
          <t>betrivers</t>
        </is>
      </c>
      <c r="I475" s="4" t="n"/>
      <c r="J475" s="4" t="n"/>
      <c r="K475" s="4" t="n">
        <v>-143</v>
      </c>
      <c r="L475" s="4" t="n">
        <v>-143</v>
      </c>
      <c r="M475" s="5" t="n">
        <v>5.5</v>
      </c>
      <c r="N475" s="5" t="n">
        <v>4.54452336838036</v>
      </c>
      <c r="O475" s="5" t="n">
        <v>5.5</v>
      </c>
      <c r="P475" s="5" t="n">
        <v>0.9554766316196401</v>
      </c>
      <c r="Q475" s="6" t="n">
        <v>0.1815346912361865</v>
      </c>
      <c r="R475" s="6" t="n">
        <v>0.6953064232377559</v>
      </c>
      <c r="S475" s="6" t="n">
        <v>0.5686288432862315</v>
      </c>
      <c r="T475" s="2" t="inlineStr">
        <is>
          <t>Under</t>
        </is>
      </c>
      <c r="U475" s="4" t="n">
        <v>-143</v>
      </c>
      <c r="V475" s="2" t="n">
        <v>1.699300699300699</v>
      </c>
      <c r="W475" s="4" t="n">
        <v>-143</v>
      </c>
      <c r="X475" s="2" t="n">
        <v>1</v>
      </c>
      <c r="Y475" s="5" t="n">
        <v>0.6993006993006992</v>
      </c>
      <c r="Z475" s="7" t="n">
        <v>100</v>
      </c>
      <c r="AA475" s="7">
        <f>Y475*Z475</f>
        <v/>
      </c>
      <c r="AB475" s="6">
        <f>IF(Z475=0,0,AA475/Z475)</f>
        <v/>
      </c>
      <c r="AC475" s="6" t="n"/>
      <c r="AD475" s="2" t="inlineStr">
        <is>
          <t>Win</t>
        </is>
      </c>
      <c r="AE475" s="6">
        <f>IF((COUNTIF($AD$2:AD475,"Win")+COUNTIF($AD$2:AD475,"Loss"))=0,0,COUNTIF($AD$2:AD475,"Win")/(COUNTIF($AD$2:AD475,"Win")+COUNTIF($AD$2:AD475,"Loss")))</f>
        <v/>
      </c>
      <c r="AF475" s="6">
        <f>SUM($Y$2:Y475)/SUM($X$2:X475)</f>
        <v/>
      </c>
      <c r="AG475" s="5">
        <f>SUM($Y$2:Y475)</f>
        <v/>
      </c>
      <c r="AH475" s="7">
        <f>10000.0+SUM($AA$2:AA475)</f>
        <v/>
      </c>
      <c r="AI475" s="2" t="n">
        <v>2026</v>
      </c>
      <c r="AJ475" s="2" t="inlineStr">
        <is>
          <t>2026-05</t>
        </is>
      </c>
      <c r="AK475" s="2" t="inlineStr">
        <is>
          <t>-149 to -120</t>
        </is>
      </c>
      <c r="AL475" s="2" t="inlineStr">
        <is>
          <t>2026 Frozen Test</t>
        </is>
      </c>
      <c r="AM475" s="6" t="n">
        <v>0.2595946084677468</v>
      </c>
    </row>
    <row r="476">
      <c r="A476" s="2" t="inlineStr">
        <is>
          <t>KPROP-00877</t>
        </is>
      </c>
      <c r="B476" s="3" t="n">
        <v>46172.67055555555</v>
      </c>
      <c r="C476" s="3" t="n">
        <v>46172</v>
      </c>
      <c r="D476" s="2" t="inlineStr">
        <is>
          <t>Seth Lugo</t>
        </is>
      </c>
      <c r="E476" s="2" t="n">
        <v>118</v>
      </c>
      <c r="F476" s="2" t="n">
        <v>140</v>
      </c>
      <c r="G476" s="2" t="inlineStr">
        <is>
          <t>Away</t>
        </is>
      </c>
      <c r="H476" s="2" t="inlineStr">
        <is>
          <t>betrivers</t>
        </is>
      </c>
      <c r="I476" s="4" t="n"/>
      <c r="J476" s="4" t="n"/>
      <c r="K476" s="4" t="n">
        <v>117</v>
      </c>
      <c r="L476" s="4" t="n">
        <v>117</v>
      </c>
      <c r="M476" s="5" t="n">
        <v>4.5</v>
      </c>
      <c r="N476" s="5" t="n">
        <v>4.34965551064519</v>
      </c>
      <c r="O476" s="5" t="n">
        <v>4.5</v>
      </c>
      <c r="P476" s="5" t="n">
        <v>0.1503444893548105</v>
      </c>
      <c r="Q476" s="6" t="n">
        <v>0.2170617175569843</v>
      </c>
      <c r="R476" s="6" t="n">
        <v>0.5608579343580573</v>
      </c>
      <c r="S476" s="6" t="n">
        <v>0.4451179088928875</v>
      </c>
      <c r="T476" s="2" t="inlineStr">
        <is>
          <t>Under</t>
        </is>
      </c>
      <c r="U476" s="4" t="n">
        <v>117</v>
      </c>
      <c r="V476" s="2" t="n">
        <v>2.17</v>
      </c>
      <c r="W476" s="4" t="n">
        <v>117</v>
      </c>
      <c r="X476" s="2" t="n">
        <v>1</v>
      </c>
      <c r="Y476" s="5" t="n">
        <v>-1</v>
      </c>
      <c r="Z476" s="7" t="n">
        <v>100</v>
      </c>
      <c r="AA476" s="7">
        <f>Y476*Z476</f>
        <v/>
      </c>
      <c r="AB476" s="6">
        <f>IF(Z476=0,0,AA476/Z476)</f>
        <v/>
      </c>
      <c r="AC476" s="6" t="n"/>
      <c r="AD476" s="2" t="inlineStr">
        <is>
          <t>Loss</t>
        </is>
      </c>
      <c r="AE476" s="6">
        <f>IF((COUNTIF($AD$2:AD476,"Win")+COUNTIF($AD$2:AD476,"Loss"))=0,0,COUNTIF($AD$2:AD476,"Win")/(COUNTIF($AD$2:AD476,"Win")+COUNTIF($AD$2:AD476,"Loss")))</f>
        <v/>
      </c>
      <c r="AF476" s="6">
        <f>SUM($Y$2:Y476)/SUM($X$2:X476)</f>
        <v/>
      </c>
      <c r="AG476" s="5">
        <f>SUM($Y$2:Y476)</f>
        <v/>
      </c>
      <c r="AH476" s="7">
        <f>10000.0+SUM($AA$2:AA476)</f>
        <v/>
      </c>
      <c r="AI476" s="2" t="n">
        <v>2026</v>
      </c>
      <c r="AJ476" s="2" t="inlineStr">
        <is>
          <t>2026-05</t>
        </is>
      </c>
      <c r="AK476" s="2" t="inlineStr">
        <is>
          <t>+100 to +120</t>
        </is>
      </c>
      <c r="AL476" s="2" t="inlineStr">
        <is>
          <t>2026 Frozen Test</t>
        </is>
      </c>
      <c r="AM476" s="6" t="n">
        <v>0.18552283551879</v>
      </c>
    </row>
    <row r="477">
      <c r="A477" s="2" t="inlineStr">
        <is>
          <t>KPROP-00878</t>
        </is>
      </c>
      <c r="B477" s="3" t="n">
        <v>46172.67055555555</v>
      </c>
      <c r="C477" s="3" t="n">
        <v>46172</v>
      </c>
      <c r="D477" s="2" t="inlineStr">
        <is>
          <t>Seth Lugo</t>
        </is>
      </c>
      <c r="E477" s="2" t="n">
        <v>118</v>
      </c>
      <c r="F477" s="2" t="n">
        <v>140</v>
      </c>
      <c r="G477" s="2" t="inlineStr">
        <is>
          <t>Away</t>
        </is>
      </c>
      <c r="H477" s="2" t="inlineStr">
        <is>
          <t>betrivers</t>
        </is>
      </c>
      <c r="I477" s="4" t="n"/>
      <c r="J477" s="4" t="n"/>
      <c r="K477" s="4" t="n">
        <v>-190</v>
      </c>
      <c r="L477" s="4" t="n">
        <v>-190</v>
      </c>
      <c r="M477" s="5" t="n">
        <v>5.5</v>
      </c>
      <c r="N477" s="5" t="n">
        <v>4.34965551064519</v>
      </c>
      <c r="O477" s="5" t="n">
        <v>5.5</v>
      </c>
      <c r="P477" s="5" t="n">
        <v>1.15034448935481</v>
      </c>
      <c r="Q477" s="6" t="n">
        <v>0.1117318075185817</v>
      </c>
      <c r="R477" s="6" t="n">
        <v>0.7283760118225191</v>
      </c>
      <c r="S477" s="6" t="n">
        <v>0.6112600536193029</v>
      </c>
      <c r="T477" s="2" t="inlineStr">
        <is>
          <t>Under</t>
        </is>
      </c>
      <c r="U477" s="4" t="n">
        <v>-190</v>
      </c>
      <c r="V477" s="2" t="n">
        <v>1.526315789473684</v>
      </c>
      <c r="W477" s="4" t="n">
        <v>-190</v>
      </c>
      <c r="X477" s="2" t="n">
        <v>1</v>
      </c>
      <c r="Y477" s="5" t="n">
        <v>-1</v>
      </c>
      <c r="Z477" s="7" t="n">
        <v>100</v>
      </c>
      <c r="AA477" s="7">
        <f>Y477*Z477</f>
        <v/>
      </c>
      <c r="AB477" s="6">
        <f>IF(Z477=0,0,AA477/Z477)</f>
        <v/>
      </c>
      <c r="AC477" s="6" t="n"/>
      <c r="AD477" s="2" t="inlineStr">
        <is>
          <t>Loss</t>
        </is>
      </c>
      <c r="AE477" s="6">
        <f>IF((COUNTIF($AD$2:AD477,"Win")+COUNTIF($AD$2:AD477,"Loss"))=0,0,COUNTIF($AD$2:AD477,"Win")/(COUNTIF($AD$2:AD477,"Win")+COUNTIF($AD$2:AD477,"Loss")))</f>
        <v/>
      </c>
      <c r="AF477" s="6">
        <f>SUM($Y$2:Y477)/SUM($X$2:X477)</f>
        <v/>
      </c>
      <c r="AG477" s="5">
        <f>SUM($Y$2:Y477)</f>
        <v/>
      </c>
      <c r="AH477" s="7">
        <f>10000.0+SUM($AA$2:AA477)</f>
        <v/>
      </c>
      <c r="AI477" s="2" t="n">
        <v>2026</v>
      </c>
      <c r="AJ477" s="2" t="inlineStr">
        <is>
          <t>2026-05</t>
        </is>
      </c>
      <c r="AK477" s="2" t="inlineStr">
        <is>
          <t>&lt;= -150</t>
        </is>
      </c>
      <c r="AL477" s="2" t="inlineStr">
        <is>
          <t>2026 Frozen Test</t>
        </is>
      </c>
      <c r="AM477" s="6" t="n">
        <v>0.2122904342853053</v>
      </c>
    </row>
    <row r="478">
      <c r="A478" s="2" t="inlineStr">
        <is>
          <t>KPROP-00879</t>
        </is>
      </c>
      <c r="B478" s="3" t="n">
        <v>46172.67402777778</v>
      </c>
      <c r="C478" s="3" t="n">
        <v>46172</v>
      </c>
      <c r="D478" s="2" t="inlineStr">
        <is>
          <t>Sonny Gray</t>
        </is>
      </c>
      <c r="E478" s="2" t="n">
        <v>111</v>
      </c>
      <c r="F478" s="2" t="n">
        <v>114</v>
      </c>
      <c r="G478" s="2" t="inlineStr">
        <is>
          <t>Away</t>
        </is>
      </c>
      <c r="H478" s="2" t="inlineStr">
        <is>
          <t>draftkings</t>
        </is>
      </c>
      <c r="I478" s="4" t="n"/>
      <c r="J478" s="4" t="n"/>
      <c r="K478" s="4" t="n">
        <v>120</v>
      </c>
      <c r="L478" s="4" t="n">
        <v>120</v>
      </c>
      <c r="M478" s="5" t="n">
        <v>4.5</v>
      </c>
      <c r="N478" s="5" t="n">
        <v>4.42907213756542</v>
      </c>
      <c r="O478" s="5" t="n">
        <v>4.5</v>
      </c>
      <c r="P478" s="5" t="n">
        <v>0.07092786243457994</v>
      </c>
      <c r="Q478" s="6" t="n">
        <v>0.2003577367794558</v>
      </c>
      <c r="R478" s="6" t="n">
        <v>0.5456171530815708</v>
      </c>
      <c r="S478" s="6" t="n">
        <v>0.4310344827586207</v>
      </c>
      <c r="T478" s="2" t="inlineStr">
        <is>
          <t>Under</t>
        </is>
      </c>
      <c r="U478" s="4" t="n">
        <v>120</v>
      </c>
      <c r="V478" s="2" t="n">
        <v>2.2</v>
      </c>
      <c r="W478" s="4" t="n">
        <v>120</v>
      </c>
      <c r="X478" s="2" t="n">
        <v>1</v>
      </c>
      <c r="Y478" s="5" t="n">
        <v>-1</v>
      </c>
      <c r="Z478" s="7" t="n">
        <v>100</v>
      </c>
      <c r="AA478" s="7">
        <f>Y478*Z478</f>
        <v/>
      </c>
      <c r="AB478" s="6">
        <f>IF(Z478=0,0,AA478/Z478)</f>
        <v/>
      </c>
      <c r="AC478" s="6" t="n"/>
      <c r="AD478" s="2" t="inlineStr">
        <is>
          <t>Loss</t>
        </is>
      </c>
      <c r="AE478" s="6">
        <f>IF((COUNTIF($AD$2:AD478,"Win")+COUNTIF($AD$2:AD478,"Loss"))=0,0,COUNTIF($AD$2:AD478,"Win")/(COUNTIF($AD$2:AD478,"Win")+COUNTIF($AD$2:AD478,"Loss")))</f>
        <v/>
      </c>
      <c r="AF478" s="6">
        <f>SUM($Y$2:Y478)/SUM($X$2:X478)</f>
        <v/>
      </c>
      <c r="AG478" s="5">
        <f>SUM($Y$2:Y478)</f>
        <v/>
      </c>
      <c r="AH478" s="7">
        <f>10000.0+SUM($AA$2:AA478)</f>
        <v/>
      </c>
      <c r="AI478" s="2" t="n">
        <v>2026</v>
      </c>
      <c r="AJ478" s="2" t="inlineStr">
        <is>
          <t>2026-05</t>
        </is>
      </c>
      <c r="AK478" s="2" t="inlineStr">
        <is>
          <t>+100 to +120</t>
        </is>
      </c>
      <c r="AL478" s="2" t="inlineStr">
        <is>
          <t>2026 Frozen Test</t>
        </is>
      </c>
      <c r="AM478" s="6" t="n">
        <v>0.1669647806495465</v>
      </c>
    </row>
    <row r="479">
      <c r="A479" s="2" t="inlineStr">
        <is>
          <t>KPROP-00880</t>
        </is>
      </c>
      <c r="B479" s="3" t="n">
        <v>46172.67402777778</v>
      </c>
      <c r="C479" s="3" t="n">
        <v>46172</v>
      </c>
      <c r="D479" s="2" t="inlineStr">
        <is>
          <t>Sonny Gray</t>
        </is>
      </c>
      <c r="E479" s="2" t="n">
        <v>111</v>
      </c>
      <c r="F479" s="2" t="n">
        <v>114</v>
      </c>
      <c r="G479" s="2" t="inlineStr">
        <is>
          <t>Away</t>
        </is>
      </c>
      <c r="H479" s="2" t="inlineStr">
        <is>
          <t>betmgm</t>
        </is>
      </c>
      <c r="I479" s="4" t="n"/>
      <c r="J479" s="4" t="n"/>
      <c r="K479" s="4" t="n">
        <v>-175</v>
      </c>
      <c r="L479" s="4" t="n">
        <v>-175</v>
      </c>
      <c r="M479" s="5" t="n">
        <v>5.5</v>
      </c>
      <c r="N479" s="5" t="n">
        <v>4.42907213756542</v>
      </c>
      <c r="O479" s="5" t="n">
        <v>5.5</v>
      </c>
      <c r="P479" s="5" t="n">
        <v>1.07092786243458</v>
      </c>
      <c r="Q479" s="6" t="n">
        <v>0.1235662225979323</v>
      </c>
      <c r="R479" s="6" t="n">
        <v>0.7149966871077751</v>
      </c>
      <c r="S479" s="6" t="n">
        <v>0.6043165467625899</v>
      </c>
      <c r="T479" s="2" t="inlineStr">
        <is>
          <t>Under</t>
        </is>
      </c>
      <c r="U479" s="4" t="n">
        <v>-175</v>
      </c>
      <c r="V479" s="2" t="n">
        <v>1.571428571428571</v>
      </c>
      <c r="W479" s="4" t="n">
        <v>-175</v>
      </c>
      <c r="X479" s="2" t="n">
        <v>1</v>
      </c>
      <c r="Y479" s="5" t="n">
        <v>-1</v>
      </c>
      <c r="Z479" s="7" t="n">
        <v>100</v>
      </c>
      <c r="AA479" s="7">
        <f>Y479*Z479</f>
        <v/>
      </c>
      <c r="AB479" s="6">
        <f>IF(Z479=0,0,AA479/Z479)</f>
        <v/>
      </c>
      <c r="AC479" s="6" t="n"/>
      <c r="AD479" s="2" t="inlineStr">
        <is>
          <t>Loss</t>
        </is>
      </c>
      <c r="AE479" s="6">
        <f>IF((COUNTIF($AD$2:AD479,"Win")+COUNTIF($AD$2:AD479,"Loss"))=0,0,COUNTIF($AD$2:AD479,"Win")/(COUNTIF($AD$2:AD479,"Win")+COUNTIF($AD$2:AD479,"Loss")))</f>
        <v/>
      </c>
      <c r="AF479" s="6">
        <f>SUM($Y$2:Y479)/SUM($X$2:X479)</f>
        <v/>
      </c>
      <c r="AG479" s="5">
        <f>SUM($Y$2:Y479)</f>
        <v/>
      </c>
      <c r="AH479" s="7">
        <f>10000.0+SUM($AA$2:AA479)</f>
        <v/>
      </c>
      <c r="AI479" s="2" t="n">
        <v>2026</v>
      </c>
      <c r="AJ479" s="2" t="inlineStr">
        <is>
          <t>2026-05</t>
        </is>
      </c>
      <c r="AK479" s="2" t="inlineStr">
        <is>
          <t>&lt;= -150</t>
        </is>
      </c>
      <c r="AL479" s="2" t="inlineStr">
        <is>
          <t>2026 Frozen Test</t>
        </is>
      </c>
      <c r="AM479" s="6" t="n">
        <v>0.2162408895463815</v>
      </c>
    </row>
    <row r="480">
      <c r="A480" s="2" t="inlineStr">
        <is>
          <t>KPROP-00881</t>
        </is>
      </c>
      <c r="B480" s="3" t="n">
        <v>46173.60805555555</v>
      </c>
      <c r="C480" s="3" t="n">
        <v>46173</v>
      </c>
      <c r="D480" s="2" t="inlineStr">
        <is>
          <t>Jack Leiter</t>
        </is>
      </c>
      <c r="E480" s="2" t="n">
        <v>140</v>
      </c>
      <c r="F480" s="2" t="n">
        <v>118</v>
      </c>
      <c r="G480" s="2" t="inlineStr">
        <is>
          <t>Home</t>
        </is>
      </c>
      <c r="H480" s="2" t="inlineStr">
        <is>
          <t>betmgm</t>
        </is>
      </c>
      <c r="I480" s="4" t="n"/>
      <c r="J480" s="4" t="n"/>
      <c r="K480" s="4" t="n">
        <v>-125</v>
      </c>
      <c r="L480" s="4" t="n">
        <v>-125</v>
      </c>
      <c r="M480" s="5" t="n">
        <v>5.5</v>
      </c>
      <c r="N480" s="5" t="n">
        <v>5.08719490244203</v>
      </c>
      <c r="O480" s="5" t="n">
        <v>5.5</v>
      </c>
      <c r="P480" s="5" t="n">
        <v>0.4128050975579702</v>
      </c>
      <c r="Q480" s="6" t="n">
        <v>0.08119634801612113</v>
      </c>
      <c r="R480" s="6" t="n">
        <v>0.600664637786734</v>
      </c>
      <c r="S480" s="6" t="n">
        <v>0.5477386934673366</v>
      </c>
      <c r="T480" s="2" t="inlineStr">
        <is>
          <t>Under</t>
        </is>
      </c>
      <c r="U480" s="4" t="n">
        <v>-125</v>
      </c>
      <c r="V480" s="2" t="n">
        <v>1.8</v>
      </c>
      <c r="W480" s="4" t="n">
        <v>-125</v>
      </c>
      <c r="X480" s="2" t="n">
        <v>1</v>
      </c>
      <c r="Y480" s="5" t="n">
        <v>-1</v>
      </c>
      <c r="Z480" s="7" t="n">
        <v>100</v>
      </c>
      <c r="AA480" s="7">
        <f>Y480*Z480</f>
        <v/>
      </c>
      <c r="AB480" s="6">
        <f>IF(Z480=0,0,AA480/Z480)</f>
        <v/>
      </c>
      <c r="AC480" s="6" t="n"/>
      <c r="AD480" s="2" t="inlineStr">
        <is>
          <t>Loss</t>
        </is>
      </c>
      <c r="AE480" s="6">
        <f>IF((COUNTIF($AD$2:AD480,"Win")+COUNTIF($AD$2:AD480,"Loss"))=0,0,COUNTIF($AD$2:AD480,"Win")/(COUNTIF($AD$2:AD480,"Win")+COUNTIF($AD$2:AD480,"Loss")))</f>
        <v/>
      </c>
      <c r="AF480" s="6">
        <f>SUM($Y$2:Y480)/SUM($X$2:X480)</f>
        <v/>
      </c>
      <c r="AG480" s="5">
        <f>SUM($Y$2:Y480)</f>
        <v/>
      </c>
      <c r="AH480" s="7">
        <f>10000.0+SUM($AA$2:AA480)</f>
        <v/>
      </c>
      <c r="AI480" s="2" t="n">
        <v>2026</v>
      </c>
      <c r="AJ480" s="2" t="inlineStr">
        <is>
          <t>2026-05</t>
        </is>
      </c>
      <c r="AK480" s="2" t="inlineStr">
        <is>
          <t>-149 to -120</t>
        </is>
      </c>
      <c r="AL480" s="2" t="inlineStr">
        <is>
          <t>2026 Frozen Test</t>
        </is>
      </c>
      <c r="AM480" s="6" t="n">
        <v>0.1014954350201514</v>
      </c>
    </row>
    <row r="481">
      <c r="A481" s="2" t="inlineStr">
        <is>
          <t>KPROP-00882</t>
        </is>
      </c>
      <c r="B481" s="3" t="n">
        <v>46173.67405092593</v>
      </c>
      <c r="C481" s="3" t="n">
        <v>46173</v>
      </c>
      <c r="D481" s="2" t="inlineStr">
        <is>
          <t>Merrill Kelly</t>
        </is>
      </c>
      <c r="E481" s="2" t="n">
        <v>109</v>
      </c>
      <c r="F481" s="2" t="n">
        <v>136</v>
      </c>
      <c r="G481" s="2" t="inlineStr">
        <is>
          <t>Away</t>
        </is>
      </c>
      <c r="H481" s="2" t="inlineStr">
        <is>
          <t>fanduel</t>
        </is>
      </c>
      <c r="I481" s="4" t="n"/>
      <c r="J481" s="4" t="n"/>
      <c r="K481" s="4" t="n">
        <v>128</v>
      </c>
      <c r="L481" s="4" t="n">
        <v>128</v>
      </c>
      <c r="M481" s="5" t="n">
        <v>4.5</v>
      </c>
      <c r="N481" s="5" t="n">
        <v>4.832363118566191</v>
      </c>
      <c r="O481" s="5" t="n">
        <v>4.5</v>
      </c>
      <c r="P481" s="5" t="n">
        <v>-0.3323631185661906</v>
      </c>
      <c r="Q481" s="6" t="n">
        <v>0.07247499359621679</v>
      </c>
      <c r="R481" s="6" t="n">
        <v>0.4703837691211477</v>
      </c>
      <c r="S481" s="6" t="n">
        <v>0.4329403095062638</v>
      </c>
      <c r="T481" s="2" t="inlineStr">
        <is>
          <t>Under</t>
        </is>
      </c>
      <c r="U481" s="4" t="n">
        <v>128</v>
      </c>
      <c r="V481" s="2" t="n">
        <v>2.28</v>
      </c>
      <c r="W481" s="4" t="n">
        <v>128</v>
      </c>
      <c r="X481" s="2" t="n">
        <v>1</v>
      </c>
      <c r="Y481" s="5" t="n">
        <v>1.28</v>
      </c>
      <c r="Z481" s="7" t="n">
        <v>100</v>
      </c>
      <c r="AA481" s="7">
        <f>Y481*Z481</f>
        <v/>
      </c>
      <c r="AB481" s="6">
        <f>IF(Z481=0,0,AA481/Z481)</f>
        <v/>
      </c>
      <c r="AC481" s="6" t="n"/>
      <c r="AD481" s="2" t="inlineStr">
        <is>
          <t>Win</t>
        </is>
      </c>
      <c r="AE481" s="6">
        <f>IF((COUNTIF($AD$2:AD481,"Win")+COUNTIF($AD$2:AD481,"Loss"))=0,0,COUNTIF($AD$2:AD481,"Win")/(COUNTIF($AD$2:AD481,"Win")+COUNTIF($AD$2:AD481,"Loss")))</f>
        <v/>
      </c>
      <c r="AF481" s="6">
        <f>SUM($Y$2:Y481)/SUM($X$2:X481)</f>
        <v/>
      </c>
      <c r="AG481" s="5">
        <f>SUM($Y$2:Y481)</f>
        <v/>
      </c>
      <c r="AH481" s="7">
        <f>10000.0+SUM($AA$2:AA481)</f>
        <v/>
      </c>
      <c r="AI481" s="2" t="n">
        <v>2026</v>
      </c>
      <c r="AJ481" s="2" t="inlineStr">
        <is>
          <t>2026-05</t>
        </is>
      </c>
      <c r="AK481" s="2" t="inlineStr">
        <is>
          <t>+121 to +150</t>
        </is>
      </c>
      <c r="AL481" s="2" t="inlineStr">
        <is>
          <t>2026 Frozen Test</t>
        </is>
      </c>
      <c r="AM481" s="6" t="n">
        <v>0.05662108874704435</v>
      </c>
    </row>
    <row r="482">
      <c r="A482" s="2" t="inlineStr">
        <is>
          <t>KPROP-00883</t>
        </is>
      </c>
      <c r="B482" s="3" t="n">
        <v>46173.60805555555</v>
      </c>
      <c r="C482" s="3" t="n">
        <v>46173</v>
      </c>
      <c r="D482" s="2" t="inlineStr">
        <is>
          <t>Michael Wacha</t>
        </is>
      </c>
      <c r="E482" s="2" t="n">
        <v>118</v>
      </c>
      <c r="F482" s="2" t="n">
        <v>140</v>
      </c>
      <c r="G482" s="2" t="inlineStr">
        <is>
          <t>Away</t>
        </is>
      </c>
      <c r="H482" s="2" t="inlineStr">
        <is>
          <t>fanduel</t>
        </is>
      </c>
      <c r="I482" s="4" t="n"/>
      <c r="J482" s="4" t="n"/>
      <c r="K482" s="4" t="n">
        <v>122</v>
      </c>
      <c r="L482" s="4" t="n">
        <v>122</v>
      </c>
      <c r="M482" s="5" t="n">
        <v>4.5</v>
      </c>
      <c r="N482" s="5" t="n">
        <v>4.740449485797361</v>
      </c>
      <c r="O482" s="5" t="n">
        <v>4.5</v>
      </c>
      <c r="P482" s="5" t="n">
        <v>-0.2404494857973614</v>
      </c>
      <c r="Q482" s="6" t="n">
        <v>0.08147634973986918</v>
      </c>
      <c r="R482" s="6" t="n">
        <v>0.487151508891833</v>
      </c>
      <c r="S482" s="6" t="n">
        <v>0.4394987843650645</v>
      </c>
      <c r="T482" s="2" t="inlineStr">
        <is>
          <t>Under</t>
        </is>
      </c>
      <c r="U482" s="4" t="n">
        <v>122</v>
      </c>
      <c r="V482" s="2" t="n">
        <v>2.22</v>
      </c>
      <c r="W482" s="4" t="n">
        <v>122</v>
      </c>
      <c r="X482" s="2" t="n">
        <v>1</v>
      </c>
      <c r="Y482" s="5" t="n">
        <v>-1</v>
      </c>
      <c r="Z482" s="7" t="n">
        <v>100</v>
      </c>
      <c r="AA482" s="7">
        <f>Y482*Z482</f>
        <v/>
      </c>
      <c r="AB482" s="6">
        <f>IF(Z482=0,0,AA482/Z482)</f>
        <v/>
      </c>
      <c r="AC482" s="6" t="n"/>
      <c r="AD482" s="2" t="inlineStr">
        <is>
          <t>Loss</t>
        </is>
      </c>
      <c r="AE482" s="6">
        <f>IF((COUNTIF($AD$2:AD482,"Win")+COUNTIF($AD$2:AD482,"Loss"))=0,0,COUNTIF($AD$2:AD482,"Win")/(COUNTIF($AD$2:AD482,"Win")+COUNTIF($AD$2:AD482,"Loss")))</f>
        <v/>
      </c>
      <c r="AF482" s="6">
        <f>SUM($Y$2:Y482)/SUM($X$2:X482)</f>
        <v/>
      </c>
      <c r="AG482" s="5">
        <f>SUM($Y$2:Y482)</f>
        <v/>
      </c>
      <c r="AH482" s="7">
        <f>10000.0+SUM($AA$2:AA482)</f>
        <v/>
      </c>
      <c r="AI482" s="2" t="n">
        <v>2026</v>
      </c>
      <c r="AJ482" s="2" t="inlineStr">
        <is>
          <t>2026-05</t>
        </is>
      </c>
      <c r="AK482" s="2" t="inlineStr">
        <is>
          <t>+121 to +150</t>
        </is>
      </c>
      <c r="AL482" s="2" t="inlineStr">
        <is>
          <t>2026 Frozen Test</t>
        </is>
      </c>
      <c r="AM482" s="6" t="n">
        <v>0.06678389322940097</v>
      </c>
    </row>
    <row r="483">
      <c r="A483" s="2" t="inlineStr">
        <is>
          <t>KPROP-00884</t>
        </is>
      </c>
      <c r="B483" s="3" t="n">
        <v>46173.56987268518</v>
      </c>
      <c r="C483" s="3" t="n">
        <v>46173</v>
      </c>
      <c r="D483" s="2" t="inlineStr">
        <is>
          <t>Nick Lodolo</t>
        </is>
      </c>
      <c r="E483" s="2" t="n">
        <v>113</v>
      </c>
      <c r="F483" s="2" t="n">
        <v>144</v>
      </c>
      <c r="G483" s="2" t="inlineStr">
        <is>
          <t>Home</t>
        </is>
      </c>
      <c r="H483" s="2" t="inlineStr">
        <is>
          <t>bovada</t>
        </is>
      </c>
      <c r="I483" s="4" t="n"/>
      <c r="J483" s="4" t="n"/>
      <c r="K483" s="4" t="n">
        <v>105</v>
      </c>
      <c r="L483" s="4" t="n">
        <v>105</v>
      </c>
      <c r="M483" s="5" t="n">
        <v>5.5</v>
      </c>
      <c r="N483" s="5" t="n">
        <v>4.873210966359155</v>
      </c>
      <c r="O483" s="5" t="n">
        <v>5.5</v>
      </c>
      <c r="P483" s="5" t="n">
        <v>0.6267890336408453</v>
      </c>
      <c r="Q483" s="6" t="n">
        <v>0.3083016448176039</v>
      </c>
      <c r="R483" s="6" t="n">
        <v>0.6381959243012703</v>
      </c>
      <c r="S483" s="6" t="n">
        <v>0.4769828064337215</v>
      </c>
      <c r="T483" s="2" t="inlineStr">
        <is>
          <t>Under</t>
        </is>
      </c>
      <c r="U483" s="4" t="n">
        <v>105</v>
      </c>
      <c r="V483" s="2" t="n">
        <v>2.05</v>
      </c>
      <c r="W483" s="4" t="n">
        <v>105</v>
      </c>
      <c r="X483" s="2" t="n">
        <v>1</v>
      </c>
      <c r="Y483" s="5" t="n">
        <v>1.05</v>
      </c>
      <c r="Z483" s="7" t="n">
        <v>100</v>
      </c>
      <c r="AA483" s="7">
        <f>Y483*Z483</f>
        <v/>
      </c>
      <c r="AB483" s="6">
        <f>IF(Z483=0,0,AA483/Z483)</f>
        <v/>
      </c>
      <c r="AC483" s="6" t="n"/>
      <c r="AD483" s="2" t="inlineStr">
        <is>
          <t>Win</t>
        </is>
      </c>
      <c r="AE483" s="6">
        <f>IF((COUNTIF($AD$2:AD483,"Win")+COUNTIF($AD$2:AD483,"Loss"))=0,0,COUNTIF($AD$2:AD483,"Win")/(COUNTIF($AD$2:AD483,"Win")+COUNTIF($AD$2:AD483,"Loss")))</f>
        <v/>
      </c>
      <c r="AF483" s="6">
        <f>SUM($Y$2:Y483)/SUM($X$2:X483)</f>
        <v/>
      </c>
      <c r="AG483" s="5">
        <f>SUM($Y$2:Y483)</f>
        <v/>
      </c>
      <c r="AH483" s="7">
        <f>10000.0+SUM($AA$2:AA483)</f>
        <v/>
      </c>
      <c r="AI483" s="2" t="n">
        <v>2026</v>
      </c>
      <c r="AJ483" s="2" t="inlineStr">
        <is>
          <t>2026-05</t>
        </is>
      </c>
      <c r="AK483" s="2" t="inlineStr">
        <is>
          <t>+100 to +120</t>
        </is>
      </c>
      <c r="AL483" s="2" t="inlineStr">
        <is>
          <t>2026 Frozen Test</t>
        </is>
      </c>
      <c r="AM483" s="6" t="n">
        <v>0.2936206141120038</v>
      </c>
    </row>
    <row r="484">
      <c r="A484" s="2" t="inlineStr">
        <is>
          <t>KPROP-00885</t>
        </is>
      </c>
      <c r="B484" s="3" t="n">
        <v>46173.56987268518</v>
      </c>
      <c r="C484" s="3" t="n">
        <v>46173</v>
      </c>
      <c r="D484" s="2" t="inlineStr">
        <is>
          <t>Nolan McLean</t>
        </is>
      </c>
      <c r="E484" s="2" t="n">
        <v>121</v>
      </c>
      <c r="F484" s="2" t="n">
        <v>146</v>
      </c>
      <c r="G484" s="2" t="inlineStr">
        <is>
          <t>Home</t>
        </is>
      </c>
      <c r="H484" s="2" t="inlineStr">
        <is>
          <t>betrivers</t>
        </is>
      </c>
      <c r="I484" s="4" t="n"/>
      <c r="J484" s="4" t="n"/>
      <c r="K484" s="4" t="n">
        <v>135</v>
      </c>
      <c r="L484" s="4" t="n">
        <v>135</v>
      </c>
      <c r="M484" s="5" t="n">
        <v>5.5</v>
      </c>
      <c r="N484" s="5" t="n">
        <v>5.535411686021162</v>
      </c>
      <c r="O484" s="5" t="n">
        <v>5.5</v>
      </c>
      <c r="P484" s="5" t="n">
        <v>-0.03541168602116151</v>
      </c>
      <c r="Q484" s="6" t="n">
        <v>0.2287188076262056</v>
      </c>
      <c r="R484" s="6" t="n">
        <v>0.5228590670749811</v>
      </c>
      <c r="S484" s="6" t="n">
        <v>0.4088050314465409</v>
      </c>
      <c r="T484" s="2" t="inlineStr">
        <is>
          <t>Under</t>
        </is>
      </c>
      <c r="U484" s="4" t="n">
        <v>135</v>
      </c>
      <c r="V484" s="2" t="n">
        <v>2.35</v>
      </c>
      <c r="W484" s="4" t="n">
        <v>135</v>
      </c>
      <c r="X484" s="2" t="n">
        <v>1</v>
      </c>
      <c r="Y484" s="5" t="n">
        <v>1.35</v>
      </c>
      <c r="Z484" s="7" t="n">
        <v>100</v>
      </c>
      <c r="AA484" s="7">
        <f>Y484*Z484</f>
        <v/>
      </c>
      <c r="AB484" s="6">
        <f>IF(Z484=0,0,AA484/Z484)</f>
        <v/>
      </c>
      <c r="AC484" s="6" t="n"/>
      <c r="AD484" s="2" t="inlineStr">
        <is>
          <t>Win</t>
        </is>
      </c>
      <c r="AE484" s="6">
        <f>IF((COUNTIF($AD$2:AD484,"Win")+COUNTIF($AD$2:AD484,"Loss"))=0,0,COUNTIF($AD$2:AD484,"Win")/(COUNTIF($AD$2:AD484,"Win")+COUNTIF($AD$2:AD484,"Loss")))</f>
        <v/>
      </c>
      <c r="AF484" s="6">
        <f>SUM($Y$2:Y484)/SUM($X$2:X484)</f>
        <v/>
      </c>
      <c r="AG484" s="5">
        <f>SUM($Y$2:Y484)</f>
        <v/>
      </c>
      <c r="AH484" s="7">
        <f>10000.0+SUM($AA$2:AA484)</f>
        <v/>
      </c>
      <c r="AI484" s="2" t="n">
        <v>2026</v>
      </c>
      <c r="AJ484" s="2" t="inlineStr">
        <is>
          <t>2026-05</t>
        </is>
      </c>
      <c r="AK484" s="2" t="inlineStr">
        <is>
          <t>+121 to +150</t>
        </is>
      </c>
      <c r="AL484" s="2" t="inlineStr">
        <is>
          <t>2026 Frozen Test</t>
        </is>
      </c>
      <c r="AM484" s="6" t="n">
        <v>0.1694213389823745</v>
      </c>
    </row>
    <row r="485">
      <c r="A485" s="2" t="inlineStr">
        <is>
          <t>KPROP-00886</t>
        </is>
      </c>
      <c r="B485" s="3" t="n">
        <v>46173.56987268518</v>
      </c>
      <c r="C485" s="3" t="n">
        <v>46173</v>
      </c>
      <c r="D485" s="2" t="inlineStr">
        <is>
          <t>Nolan McLean</t>
        </is>
      </c>
      <c r="E485" s="2" t="n">
        <v>121</v>
      </c>
      <c r="F485" s="2" t="n">
        <v>146</v>
      </c>
      <c r="G485" s="2" t="inlineStr">
        <is>
          <t>Home</t>
        </is>
      </c>
      <c r="H485" s="2" t="inlineStr">
        <is>
          <t>draftkings</t>
        </is>
      </c>
      <c r="I485" s="4" t="n"/>
      <c r="J485" s="4" t="n"/>
      <c r="K485" s="4" t="n">
        <v>-144</v>
      </c>
      <c r="L485" s="4" t="n">
        <v>-144</v>
      </c>
      <c r="M485" s="5" t="n">
        <v>6.5</v>
      </c>
      <c r="N485" s="5" t="n">
        <v>5.535411686021162</v>
      </c>
      <c r="O485" s="5" t="n">
        <v>6.5</v>
      </c>
      <c r="P485" s="5" t="n">
        <v>0.9645883139788385</v>
      </c>
      <c r="Q485" s="6" t="n">
        <v>0.1530075247719362</v>
      </c>
      <c r="R485" s="6" t="n">
        <v>0.6804634572424542</v>
      </c>
      <c r="S485" s="6" t="n">
        <v>0.5671302866874822</v>
      </c>
      <c r="T485" s="2" t="inlineStr">
        <is>
          <t>Under</t>
        </is>
      </c>
      <c r="U485" s="4" t="n">
        <v>-144</v>
      </c>
      <c r="V485" s="2" t="n">
        <v>1.694444444444444</v>
      </c>
      <c r="W485" s="4" t="n">
        <v>-144</v>
      </c>
      <c r="X485" s="2" t="n">
        <v>1</v>
      </c>
      <c r="Y485" s="5" t="n">
        <v>0.6944444444444444</v>
      </c>
      <c r="Z485" s="7" t="n">
        <v>100</v>
      </c>
      <c r="AA485" s="7">
        <f>Y485*Z485</f>
        <v/>
      </c>
      <c r="AB485" s="6">
        <f>IF(Z485=0,0,AA485/Z485)</f>
        <v/>
      </c>
      <c r="AC485" s="6" t="n"/>
      <c r="AD485" s="2" t="inlineStr">
        <is>
          <t>Win</t>
        </is>
      </c>
      <c r="AE485" s="6">
        <f>IF((COUNTIF($AD$2:AD485,"Win")+COUNTIF($AD$2:AD485,"Loss"))=0,0,COUNTIF($AD$2:AD485,"Win")/(COUNTIF($AD$2:AD485,"Win")+COUNTIF($AD$2:AD485,"Loss")))</f>
        <v/>
      </c>
      <c r="AF485" s="6">
        <f>SUM($Y$2:Y485)/SUM($X$2:X485)</f>
        <v/>
      </c>
      <c r="AG485" s="5">
        <f>SUM($Y$2:Y485)</f>
        <v/>
      </c>
      <c r="AH485" s="7">
        <f>10000.0+SUM($AA$2:AA485)</f>
        <v/>
      </c>
      <c r="AI485" s="2" t="n">
        <v>2026</v>
      </c>
      <c r="AJ485" s="2" t="inlineStr">
        <is>
          <t>2026-05</t>
        </is>
      </c>
      <c r="AK485" s="2" t="inlineStr">
        <is>
          <t>-149 to -120</t>
        </is>
      </c>
      <c r="AL485" s="2" t="inlineStr">
        <is>
          <t>2026 Frozen Test</t>
        </is>
      </c>
      <c r="AM485" s="6" t="n">
        <v>0.2203308356715881</v>
      </c>
    </row>
    <row r="486">
      <c r="A486" s="2" t="inlineStr">
        <is>
          <t>KPROP-00887</t>
        </is>
      </c>
      <c r="B486" s="3" t="n">
        <v>46173.56987268518</v>
      </c>
      <c r="C486" s="3" t="n">
        <v>46173</v>
      </c>
      <c r="D486" s="2" t="inlineStr">
        <is>
          <t>Ranger Suarez</t>
        </is>
      </c>
      <c r="E486" s="2" t="n">
        <v>111</v>
      </c>
      <c r="F486" s="2" t="n">
        <v>114</v>
      </c>
      <c r="G486" s="2" t="inlineStr">
        <is>
          <t>Away</t>
        </is>
      </c>
      <c r="H486" s="2" t="inlineStr">
        <is>
          <t>draftkings</t>
        </is>
      </c>
      <c r="I486" s="4" t="n"/>
      <c r="J486" s="4" t="n"/>
      <c r="K486" s="4" t="n">
        <v>123</v>
      </c>
      <c r="L486" s="4" t="n">
        <v>123</v>
      </c>
      <c r="M486" s="5" t="n">
        <v>4.5</v>
      </c>
      <c r="N486" s="5" t="n">
        <v>4.385106865197399</v>
      </c>
      <c r="O486" s="5" t="n">
        <v>4.5</v>
      </c>
      <c r="P486" s="5" t="n">
        <v>0.1148931348026014</v>
      </c>
      <c r="Q486" s="6" t="n">
        <v>0.2355120349320976</v>
      </c>
      <c r="R486" s="6" t="n">
        <v>0.5540412712699989</v>
      </c>
      <c r="S486" s="6" t="n">
        <v>0.4346251358203549</v>
      </c>
      <c r="T486" s="2" t="inlineStr">
        <is>
          <t>Under</t>
        </is>
      </c>
      <c r="U486" s="4" t="n">
        <v>123</v>
      </c>
      <c r="V486" s="2" t="n">
        <v>2.23</v>
      </c>
      <c r="W486" s="4" t="n">
        <v>123</v>
      </c>
      <c r="X486" s="2" t="n">
        <v>1</v>
      </c>
      <c r="Y486" s="5" t="n">
        <v>-1</v>
      </c>
      <c r="Z486" s="7" t="n">
        <v>100</v>
      </c>
      <c r="AA486" s="7">
        <f>Y486*Z486</f>
        <v/>
      </c>
      <c r="AB486" s="6">
        <f>IF(Z486=0,0,AA486/Z486)</f>
        <v/>
      </c>
      <c r="AC486" s="6" t="n"/>
      <c r="AD486" s="2" t="inlineStr">
        <is>
          <t>Loss</t>
        </is>
      </c>
      <c r="AE486" s="6">
        <f>IF((COUNTIF($AD$2:AD486,"Win")+COUNTIF($AD$2:AD486,"Loss"))=0,0,COUNTIF($AD$2:AD486,"Win")/(COUNTIF($AD$2:AD486,"Win")+COUNTIF($AD$2:AD486,"Loss")))</f>
        <v/>
      </c>
      <c r="AF486" s="6">
        <f>SUM($Y$2:Y486)/SUM($X$2:X486)</f>
        <v/>
      </c>
      <c r="AG486" s="5">
        <f>SUM($Y$2:Y486)</f>
        <v/>
      </c>
      <c r="AH486" s="7">
        <f>10000.0+SUM($AA$2:AA486)</f>
        <v/>
      </c>
      <c r="AI486" s="2" t="n">
        <v>2026</v>
      </c>
      <c r="AJ486" s="2" t="inlineStr">
        <is>
          <t>2026-05</t>
        </is>
      </c>
      <c r="AK486" s="2" t="inlineStr">
        <is>
          <t>+121 to +150</t>
        </is>
      </c>
      <c r="AL486" s="2" t="inlineStr">
        <is>
          <t>2026 Frozen Test</t>
        </is>
      </c>
      <c r="AM486" s="6" t="n">
        <v>0.1914731991317867</v>
      </c>
    </row>
    <row r="487">
      <c r="A487" s="2" t="inlineStr">
        <is>
          <t>KPROP-00888</t>
        </is>
      </c>
      <c r="B487" s="3" t="n">
        <v>46173.56987268518</v>
      </c>
      <c r="C487" s="3" t="n">
        <v>46173</v>
      </c>
      <c r="D487" s="2" t="inlineStr">
        <is>
          <t>Ranger Suarez</t>
        </is>
      </c>
      <c r="E487" s="2" t="n">
        <v>111</v>
      </c>
      <c r="F487" s="2" t="n">
        <v>114</v>
      </c>
      <c r="G487" s="2" t="inlineStr">
        <is>
          <t>Away</t>
        </is>
      </c>
      <c r="H487" s="2" t="inlineStr">
        <is>
          <t>betrivers</t>
        </is>
      </c>
      <c r="I487" s="4" t="n"/>
      <c r="J487" s="4" t="n"/>
      <c r="K487" s="4" t="n">
        <v>-182</v>
      </c>
      <c r="L487" s="4" t="n">
        <v>-182</v>
      </c>
      <c r="M487" s="5" t="n">
        <v>5.5</v>
      </c>
      <c r="N487" s="5" t="n">
        <v>4.385106865197399</v>
      </c>
      <c r="O487" s="5" t="n">
        <v>5.5</v>
      </c>
      <c r="P487" s="5" t="n">
        <v>1.114893134802601</v>
      </c>
      <c r="Q487" s="6" t="n">
        <v>0.1193569023675756</v>
      </c>
      <c r="R487" s="6" t="n">
        <v>0.7224218306060239</v>
      </c>
      <c r="S487" s="6" t="n">
        <v>0.6026490066225165</v>
      </c>
      <c r="T487" s="2" t="inlineStr">
        <is>
          <t>Under</t>
        </is>
      </c>
      <c r="U487" s="4" t="n">
        <v>-182</v>
      </c>
      <c r="V487" s="2" t="n">
        <v>1.549450549450549</v>
      </c>
      <c r="W487" s="4" t="n">
        <v>-182</v>
      </c>
      <c r="X487" s="2" t="n">
        <v>1</v>
      </c>
      <c r="Y487" s="5" t="n">
        <v>-1</v>
      </c>
      <c r="Z487" s="7" t="n">
        <v>100</v>
      </c>
      <c r="AA487" s="7">
        <f>Y487*Z487</f>
        <v/>
      </c>
      <c r="AB487" s="6">
        <f>IF(Z487=0,0,AA487/Z487)</f>
        <v/>
      </c>
      <c r="AC487" s="6" t="n"/>
      <c r="AD487" s="2" t="inlineStr">
        <is>
          <t>Loss</t>
        </is>
      </c>
      <c r="AE487" s="6">
        <f>IF((COUNTIF($AD$2:AD487,"Win")+COUNTIF($AD$2:AD487,"Loss"))=0,0,COUNTIF($AD$2:AD487,"Win")/(COUNTIF($AD$2:AD487,"Win")+COUNTIF($AD$2:AD487,"Loss")))</f>
        <v/>
      </c>
      <c r="AF487" s="6">
        <f>SUM($Y$2:Y487)/SUM($X$2:X487)</f>
        <v/>
      </c>
      <c r="AG487" s="5">
        <f>SUM($Y$2:Y487)</f>
        <v/>
      </c>
      <c r="AH487" s="7">
        <f>10000.0+SUM($AA$2:AA487)</f>
        <v/>
      </c>
      <c r="AI487" s="2" t="n">
        <v>2026</v>
      </c>
      <c r="AJ487" s="2" t="inlineStr">
        <is>
          <t>2026-05</t>
        </is>
      </c>
      <c r="AK487" s="2" t="inlineStr">
        <is>
          <t>&lt;= -150</t>
        </is>
      </c>
      <c r="AL487" s="2" t="inlineStr">
        <is>
          <t>2026 Frozen Test</t>
        </is>
      </c>
      <c r="AM487" s="6" t="n">
        <v>0.2172295623089875</v>
      </c>
    </row>
    <row r="488">
      <c r="A488" s="2" t="inlineStr">
        <is>
          <t>KPROP-00889</t>
        </is>
      </c>
      <c r="B488" s="3" t="n">
        <v>46173.56987268518</v>
      </c>
      <c r="C488" s="3" t="n">
        <v>46173</v>
      </c>
      <c r="D488" s="2" t="inlineStr">
        <is>
          <t>Shane McClanahan</t>
        </is>
      </c>
      <c r="E488" s="2" t="n">
        <v>139</v>
      </c>
      <c r="F488" s="2" t="n">
        <v>108</v>
      </c>
      <c r="G488" s="2" t="inlineStr">
        <is>
          <t>Home</t>
        </is>
      </c>
      <c r="H488" s="2" t="inlineStr">
        <is>
          <t>betrivers</t>
        </is>
      </c>
      <c r="I488" s="4" t="n"/>
      <c r="J488" s="4" t="n"/>
      <c r="K488" s="4" t="n">
        <v>125</v>
      </c>
      <c r="L488" s="4" t="n">
        <v>125</v>
      </c>
      <c r="M488" s="5" t="n">
        <v>5.5</v>
      </c>
      <c r="N488" s="5" t="n">
        <v>5.691158481906089</v>
      </c>
      <c r="O488" s="5" t="n">
        <v>5.5</v>
      </c>
      <c r="P488" s="5" t="n">
        <v>-0.191158481906089</v>
      </c>
      <c r="Q488" s="6" t="n">
        <v>0.1170552879192621</v>
      </c>
      <c r="R488" s="6" t="n">
        <v>0.4964690168530054</v>
      </c>
      <c r="S488" s="6" t="n">
        <v>0.4154025670945157</v>
      </c>
      <c r="T488" s="2" t="inlineStr">
        <is>
          <t>Under</t>
        </is>
      </c>
      <c r="U488" s="4" t="n">
        <v>125</v>
      </c>
      <c r="V488" s="2" t="n">
        <v>2.25</v>
      </c>
      <c r="W488" s="4" t="n">
        <v>125</v>
      </c>
      <c r="X488" s="2" t="n">
        <v>1</v>
      </c>
      <c r="Y488" s="5" t="n">
        <v>1.25</v>
      </c>
      <c r="Z488" s="7" t="n">
        <v>100</v>
      </c>
      <c r="AA488" s="7">
        <f>Y488*Z488</f>
        <v/>
      </c>
      <c r="AB488" s="6">
        <f>IF(Z488=0,0,AA488/Z488)</f>
        <v/>
      </c>
      <c r="AC488" s="6" t="n"/>
      <c r="AD488" s="2" t="inlineStr">
        <is>
          <t>Win</t>
        </is>
      </c>
      <c r="AE488" s="6">
        <f>IF((COUNTIF($AD$2:AD488,"Win")+COUNTIF($AD$2:AD488,"Loss"))=0,0,COUNTIF($AD$2:AD488,"Win")/(COUNTIF($AD$2:AD488,"Win")+COUNTIF($AD$2:AD488,"Loss")))</f>
        <v/>
      </c>
      <c r="AF488" s="6">
        <f>SUM($Y$2:Y488)/SUM($X$2:X488)</f>
        <v/>
      </c>
      <c r="AG488" s="5">
        <f>SUM($Y$2:Y488)</f>
        <v/>
      </c>
      <c r="AH488" s="7">
        <f>10000.0+SUM($AA$2:AA488)</f>
        <v/>
      </c>
      <c r="AI488" s="2" t="n">
        <v>2026</v>
      </c>
      <c r="AJ488" s="2" t="inlineStr">
        <is>
          <t>2026-05</t>
        </is>
      </c>
      <c r="AK488" s="2" t="inlineStr">
        <is>
          <t>+121 to +150</t>
        </is>
      </c>
      <c r="AL488" s="2" t="inlineStr">
        <is>
          <t>2026 Frozen Test</t>
        </is>
      </c>
      <c r="AM488" s="6" t="n">
        <v>0.09364423033540969</v>
      </c>
    </row>
    <row r="489">
      <c r="A489" s="2" t="inlineStr">
        <is>
          <t>KPROP-00890</t>
        </is>
      </c>
      <c r="B489" s="3" t="n">
        <v>46173.56987268518</v>
      </c>
      <c r="C489" s="3" t="n">
        <v>46173</v>
      </c>
      <c r="D489" s="2" t="inlineStr">
        <is>
          <t>Shane McClanahan</t>
        </is>
      </c>
      <c r="E489" s="2" t="n">
        <v>139</v>
      </c>
      <c r="F489" s="2" t="n">
        <v>108</v>
      </c>
      <c r="G489" s="2" t="inlineStr">
        <is>
          <t>Home</t>
        </is>
      </c>
      <c r="H489" s="2" t="inlineStr">
        <is>
          <t>draftkings</t>
        </is>
      </c>
      <c r="I489" s="4" t="n"/>
      <c r="J489" s="4" t="n"/>
      <c r="K489" s="4" t="n">
        <v>-143</v>
      </c>
      <c r="L489" s="4" t="n">
        <v>-143</v>
      </c>
      <c r="M489" s="5" t="n">
        <v>6.5</v>
      </c>
      <c r="N489" s="5" t="n">
        <v>5.691158481906089</v>
      </c>
      <c r="O489" s="5" t="n">
        <v>6.5</v>
      </c>
      <c r="P489" s="5" t="n">
        <v>0.808841518093911</v>
      </c>
      <c r="Q489" s="6" t="n">
        <v>0.1143593958197655</v>
      </c>
      <c r="R489" s="6" t="n">
        <v>0.6557752823136892</v>
      </c>
      <c r="S489" s="6" t="n">
        <v>0.5642037302725968</v>
      </c>
      <c r="T489" s="2" t="inlineStr">
        <is>
          <t>Under</t>
        </is>
      </c>
      <c r="U489" s="4" t="n">
        <v>-143</v>
      </c>
      <c r="V489" s="2" t="n">
        <v>1.699300699300699</v>
      </c>
      <c r="W489" s="4" t="n">
        <v>-143</v>
      </c>
      <c r="X489" s="2" t="n">
        <v>1</v>
      </c>
      <c r="Y489" s="5" t="n">
        <v>0.6993006993006992</v>
      </c>
      <c r="Z489" s="7" t="n">
        <v>100</v>
      </c>
      <c r="AA489" s="7">
        <f>Y489*Z489</f>
        <v/>
      </c>
      <c r="AB489" s="6">
        <f>IF(Z489=0,0,AA489/Z489)</f>
        <v/>
      </c>
      <c r="AC489" s="6" t="n"/>
      <c r="AD489" s="2" t="inlineStr">
        <is>
          <t>Win</t>
        </is>
      </c>
      <c r="AE489" s="6">
        <f>IF((COUNTIF($AD$2:AD489,"Win")+COUNTIF($AD$2:AD489,"Loss"))=0,0,COUNTIF($AD$2:AD489,"Win")/(COUNTIF($AD$2:AD489,"Win")+COUNTIF($AD$2:AD489,"Loss")))</f>
        <v/>
      </c>
      <c r="AF489" s="6">
        <f>SUM($Y$2:Y489)/SUM($X$2:X489)</f>
        <v/>
      </c>
      <c r="AG489" s="5">
        <f>SUM($Y$2:Y489)</f>
        <v/>
      </c>
      <c r="AH489" s="7">
        <f>10000.0+SUM($AA$2:AA489)</f>
        <v/>
      </c>
      <c r="AI489" s="2" t="n">
        <v>2026</v>
      </c>
      <c r="AJ489" s="2" t="inlineStr">
        <is>
          <t>2026-05</t>
        </is>
      </c>
      <c r="AK489" s="2" t="inlineStr">
        <is>
          <t>-149 to -120</t>
        </is>
      </c>
      <c r="AL489" s="2" t="inlineStr">
        <is>
          <t>2026 Frozen Test</t>
        </is>
      </c>
      <c r="AM489" s="6" t="n">
        <v>0.1635339360222646</v>
      </c>
    </row>
    <row r="490">
      <c r="A490" s="2" t="inlineStr">
        <is>
          <t>KPROP-00891</t>
        </is>
      </c>
      <c r="B490" s="3" t="n">
        <v>46173.67405092593</v>
      </c>
      <c r="C490" s="3" t="n">
        <v>46173</v>
      </c>
      <c r="D490" s="2" t="inlineStr">
        <is>
          <t>Yoshinobu Yamamoto</t>
        </is>
      </c>
      <c r="E490" s="2" t="n">
        <v>119</v>
      </c>
      <c r="F490" s="2" t="n">
        <v>143</v>
      </c>
      <c r="G490" s="2" t="inlineStr">
        <is>
          <t>Home</t>
        </is>
      </c>
      <c r="H490" s="2" t="inlineStr">
        <is>
          <t>draftkings</t>
        </is>
      </c>
      <c r="I490" s="4" t="n"/>
      <c r="J490" s="4" t="n"/>
      <c r="K490" s="4" t="n">
        <v>-130</v>
      </c>
      <c r="L490" s="4" t="n">
        <v>-130</v>
      </c>
      <c r="M490" s="5" t="n">
        <v>6.5</v>
      </c>
      <c r="N490" s="5" t="n">
        <v>5.994432875990847</v>
      </c>
      <c r="O490" s="5" t="n">
        <v>6.5</v>
      </c>
      <c r="P490" s="5" t="n">
        <v>0.5055671240091533</v>
      </c>
      <c r="Q490" s="6" t="n">
        <v>0.07427159873146905</v>
      </c>
      <c r="R490" s="6" t="n">
        <v>0.6071969905873521</v>
      </c>
      <c r="S490" s="6" t="n">
        <v>0.5542635658914729</v>
      </c>
      <c r="T490" s="2" t="inlineStr">
        <is>
          <t>Under</t>
        </is>
      </c>
      <c r="U490" s="4" t="n">
        <v>-130</v>
      </c>
      <c r="V490" s="2" t="n">
        <v>1.769230769230769</v>
      </c>
      <c r="W490" s="4" t="n">
        <v>-130</v>
      </c>
      <c r="X490" s="2" t="n">
        <v>1</v>
      </c>
      <c r="Y490" s="5" t="n">
        <v>-1</v>
      </c>
      <c r="Z490" s="7" t="n">
        <v>100</v>
      </c>
      <c r="AA490" s="7">
        <f>Y490*Z490</f>
        <v/>
      </c>
      <c r="AB490" s="6">
        <f>IF(Z490=0,0,AA490/Z490)</f>
        <v/>
      </c>
      <c r="AC490" s="6" t="n"/>
      <c r="AD490" s="2" t="inlineStr">
        <is>
          <t>Loss</t>
        </is>
      </c>
      <c r="AE490" s="6">
        <f>IF((COUNTIF($AD$2:AD490,"Win")+COUNTIF($AD$2:AD490,"Loss"))=0,0,COUNTIF($AD$2:AD490,"Win")/(COUNTIF($AD$2:AD490,"Win")+COUNTIF($AD$2:AD490,"Loss")))</f>
        <v/>
      </c>
      <c r="AF490" s="6">
        <f>SUM($Y$2:Y490)/SUM($X$2:X490)</f>
        <v/>
      </c>
      <c r="AG490" s="5">
        <f>SUM($Y$2:Y490)</f>
        <v/>
      </c>
      <c r="AH490" s="7">
        <f>10000.0+SUM($AA$2:AA490)</f>
        <v/>
      </c>
      <c r="AI490" s="2" t="n">
        <v>2026</v>
      </c>
      <c r="AJ490" s="2" t="inlineStr">
        <is>
          <t>2026-05</t>
        </is>
      </c>
      <c r="AK490" s="2" t="inlineStr">
        <is>
          <t>-149 to -120</t>
        </is>
      </c>
      <c r="AL490" s="2" t="inlineStr">
        <is>
          <t>2026 Frozen Test</t>
        </is>
      </c>
      <c r="AM490" s="6" t="n">
        <v>0.09655307835090977</v>
      </c>
    </row>
    <row r="491">
      <c r="A491" s="2" t="inlineStr">
        <is>
          <t>KPROP-00892</t>
        </is>
      </c>
      <c r="B491" s="3" t="n">
        <v>46173.56638888889</v>
      </c>
      <c r="C491" s="3" t="n">
        <v>46173</v>
      </c>
      <c r="D491" s="2" t="inlineStr">
        <is>
          <t>Zack Littell</t>
        </is>
      </c>
      <c r="E491" s="2" t="n">
        <v>120</v>
      </c>
      <c r="F491" s="2" t="n">
        <v>135</v>
      </c>
      <c r="G491" s="2" t="inlineStr">
        <is>
          <t>Home</t>
        </is>
      </c>
      <c r="H491" s="2" t="inlineStr">
        <is>
          <t>fanduel</t>
        </is>
      </c>
      <c r="I491" s="4" t="n"/>
      <c r="J491" s="4" t="n"/>
      <c r="K491" s="4" t="n">
        <v>-130</v>
      </c>
      <c r="L491" s="4" t="n">
        <v>-130</v>
      </c>
      <c r="M491" s="5" t="n">
        <v>3.5</v>
      </c>
      <c r="N491" s="5" t="n">
        <v>3.152371724214342</v>
      </c>
      <c r="O491" s="5" t="n">
        <v>3.5</v>
      </c>
      <c r="P491" s="5" t="n">
        <v>0.3476282757856581</v>
      </c>
      <c r="Q491" s="6" t="n">
        <v>0.08478111299319513</v>
      </c>
      <c r="R491" s="6" t="n">
        <v>0.6131371508222407</v>
      </c>
      <c r="S491" s="6" t="n">
        <v>0.5485770363101079</v>
      </c>
      <c r="T491" s="2" t="inlineStr">
        <is>
          <t>Under</t>
        </is>
      </c>
      <c r="U491" s="4" t="n">
        <v>-130</v>
      </c>
      <c r="V491" s="2" t="n">
        <v>1.769230769230769</v>
      </c>
      <c r="W491" s="4" t="n">
        <v>-130</v>
      </c>
      <c r="X491" s="2" t="n">
        <v>1</v>
      </c>
      <c r="Y491" s="5" t="n">
        <v>-1</v>
      </c>
      <c r="Z491" s="7" t="n">
        <v>100</v>
      </c>
      <c r="AA491" s="7">
        <f>Y491*Z491</f>
        <v/>
      </c>
      <c r="AB491" s="6">
        <f>IF(Z491=0,0,AA491/Z491)</f>
        <v/>
      </c>
      <c r="AC491" s="6" t="n"/>
      <c r="AD491" s="2" t="inlineStr">
        <is>
          <t>Loss</t>
        </is>
      </c>
      <c r="AE491" s="6">
        <f>IF((COUNTIF($AD$2:AD491,"Win")+COUNTIF($AD$2:AD491,"Loss"))=0,0,COUNTIF($AD$2:AD491,"Win")/(COUNTIF($AD$2:AD491,"Win")+COUNTIF($AD$2:AD491,"Loss")))</f>
        <v/>
      </c>
      <c r="AF491" s="6">
        <f>SUM($Y$2:Y491)/SUM($X$2:X491)</f>
        <v/>
      </c>
      <c r="AG491" s="5">
        <f>SUM($Y$2:Y491)</f>
        <v/>
      </c>
      <c r="AH491" s="7">
        <f>10000.0+SUM($AA$2:AA491)</f>
        <v/>
      </c>
      <c r="AI491" s="2" t="n">
        <v>2026</v>
      </c>
      <c r="AJ491" s="2" t="inlineStr">
        <is>
          <t>2026-05</t>
        </is>
      </c>
      <c r="AK491" s="2" t="inlineStr">
        <is>
          <t>-149 to -120</t>
        </is>
      </c>
      <c r="AL491" s="2" t="inlineStr">
        <is>
          <t>2026 Frozen Test</t>
        </is>
      </c>
      <c r="AM491" s="6" t="n">
        <v>0.1102154468911537</v>
      </c>
    </row>
  </sheetData>
  <conditionalFormatting sqref="AD2:AD491">
    <cfRule type="cellIs" priority="1" operator="equal" dxfId="0">
      <formula>"Win"</formula>
    </cfRule>
    <cfRule type="cellIs" priority="2" operator="equal" dxfId="1">
      <formula>"Loss"</formula>
    </cfRule>
    <cfRule type="cellIs" priority="3" operator="equal" dxfId="2">
      <formula>"Push"</formula>
    </cfRule>
  </conditionalFormatting>
  <conditionalFormatting sqref="AB2:AB491">
    <cfRule type="colorScale" priority="4">
      <colorScale>
        <cfvo type="min"/>
        <cfvo type="num" val="0"/>
        <cfvo type="max"/>
        <color rgb="00FFC7CE"/>
        <color rgb="00FFFFFF"/>
        <color rgb="00C6EFCE"/>
      </colorScale>
    </cfRule>
  </conditionalFormatting>
  <conditionalFormatting sqref="AC2:AC49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A2:AA491">
    <cfRule type="expression" priority="7" dxfId="0">
      <formula>AA2&gt;=LARGE($AA$2:$AA$491,10)</formula>
    </cfRule>
    <cfRule type="expression" priority="8" dxfId="1">
      <formula>AA2&lt;=SMALL($AA$2:$AA$491,10)</formula>
    </cfRule>
  </conditionalFormatting>
  <conditionalFormatting sqref="AH2:AH491">
    <cfRule type="colorScale" priority="9">
      <colorScale>
        <cfvo type="min"/>
        <cfvo type="percentile" val="50"/>
        <cfvo type="max"/>
        <color rgb="00F4B183"/>
        <color rgb="00FFFFFF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0" customWidth="1" min="4" max="4"/>
    <col width="10" customWidth="1" min="5" max="5"/>
    <col width="10" customWidth="1" min="6" max="6"/>
    <col width="11" customWidth="1" min="7" max="7"/>
    <col width="12" customWidth="1" min="8" max="8"/>
    <col width="14" customWidth="1" min="9" max="9"/>
    <col width="14" customWidth="1" min="10" max="10"/>
    <col width="15" customWidth="1" min="11" max="11"/>
    <col width="24" customWidth="1" min="12" max="12"/>
    <col width="16" customWidth="1" min="13" max="13"/>
    <col width="20" customWidth="1" min="14" max="14"/>
    <col width="19" customWidth="1" min="15" max="15"/>
    <col width="23" customWidth="1" min="16" max="16"/>
    <col width="21" customWidth="1" min="17" max="17"/>
    <col width="21" customWidth="1" min="18" max="18"/>
    <col width="28" customWidth="1" min="19" max="19"/>
    <col width="10" customWidth="1" min="20" max="20"/>
    <col width="10" customWidth="1" min="21" max="21"/>
    <col width="20" customWidth="1" min="22" max="22"/>
    <col width="15" customWidth="1" min="23" max="23"/>
    <col width="14" customWidth="1" min="24" max="24"/>
    <col width="20" customWidth="1" min="25" max="25"/>
    <col width="11" customWidth="1" min="26" max="26"/>
    <col width="20" customWidth="1" min="27" max="27"/>
    <col width="20" customWidth="1" min="28" max="28"/>
    <col width="10" customWidth="1" min="29" max="29"/>
    <col width="10" customWidth="1" min="30" max="30"/>
    <col width="20" customWidth="1" min="31" max="31"/>
    <col width="21" customWidth="1" min="32" max="32"/>
    <col width="20" customWidth="1" min="33" max="33"/>
    <col width="20" customWidth="1" min="34" max="34"/>
    <col width="10" customWidth="1" min="35" max="35"/>
    <col width="10" customWidth="1" min="36" max="36"/>
    <col width="14" customWidth="1" min="37" max="37"/>
    <col width="18" customWidth="1" min="38" max="38"/>
    <col width="22" customWidth="1" min="39" max="39"/>
  </cols>
  <sheetData>
    <row r="1">
      <c r="A1" s="1" t="inlineStr">
        <is>
          <t>Bet ID</t>
        </is>
      </c>
      <c r="B1" s="1" t="inlineStr">
        <is>
          <t>Date</t>
        </is>
      </c>
      <c r="C1" s="1" t="inlineStr">
        <is>
          <t>Game Date</t>
        </is>
      </c>
      <c r="D1" s="1" t="inlineStr">
        <is>
          <t>Pitcher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Home/Away</t>
        </is>
      </c>
      <c r="H1" s="1" t="inlineStr">
        <is>
          <t>Sportsbook</t>
        </is>
      </c>
      <c r="I1" s="1" t="inlineStr">
        <is>
          <t>Opening Odds</t>
        </is>
      </c>
      <c r="J1" s="1" t="inlineStr">
        <is>
          <t>Closing Odds</t>
        </is>
      </c>
      <c r="K1" s="1" t="inlineStr">
        <is>
          <t>Executed Odds</t>
        </is>
      </c>
      <c r="L1" s="1" t="inlineStr">
        <is>
          <t>Exchange-adjusted Odds</t>
        </is>
      </c>
      <c r="M1" s="1" t="inlineStr">
        <is>
          <t>Strikeout Line</t>
        </is>
      </c>
      <c r="N1" s="1" t="inlineStr">
        <is>
          <t>Model Projection</t>
        </is>
      </c>
      <c r="O1" s="1" t="inlineStr">
        <is>
          <t>Market Projection</t>
        </is>
      </c>
      <c r="P1" s="1" t="inlineStr">
        <is>
          <t>Margin</t>
        </is>
      </c>
      <c r="Q1" s="1" t="inlineStr">
        <is>
          <t>Devig Edge</t>
        </is>
      </c>
      <c r="R1" s="1" t="inlineStr">
        <is>
          <t>Model Probability</t>
        </is>
      </c>
      <c r="S1" s="1" t="inlineStr">
        <is>
          <t>Market Implied Probability</t>
        </is>
      </c>
      <c r="T1" s="1" t="inlineStr">
        <is>
          <t>Bet Side</t>
        </is>
      </c>
      <c r="U1" s="1" t="inlineStr">
        <is>
          <t>Odds</t>
        </is>
      </c>
      <c r="V1" s="1" t="inlineStr">
        <is>
          <t>Decimal Odds</t>
        </is>
      </c>
      <c r="W1" s="1" t="inlineStr">
        <is>
          <t>American Odds</t>
        </is>
      </c>
      <c r="X1" s="1" t="inlineStr">
        <is>
          <t>Units Risked</t>
        </is>
      </c>
      <c r="Y1" s="1" t="inlineStr">
        <is>
          <t>Units Won/Lost</t>
        </is>
      </c>
      <c r="Z1" s="1" t="inlineStr">
        <is>
          <t>Stake ($)</t>
        </is>
      </c>
      <c r="AA1" s="1" t="inlineStr">
        <is>
          <t>Profit/Loss ($)</t>
        </is>
      </c>
      <c r="AB1" s="1" t="inlineStr">
        <is>
          <t>ROI for Bet</t>
        </is>
      </c>
      <c r="AC1" s="1" t="inlineStr">
        <is>
          <t>CLV</t>
        </is>
      </c>
      <c r="AD1" s="1" t="inlineStr">
        <is>
          <t>Result</t>
        </is>
      </c>
      <c r="AE1" s="1" t="inlineStr">
        <is>
          <t>Running Win %</t>
        </is>
      </c>
      <c r="AF1" s="1" t="inlineStr">
        <is>
          <t>Running ROI</t>
        </is>
      </c>
      <c r="AG1" s="1" t="inlineStr">
        <is>
          <t>Running Units</t>
        </is>
      </c>
      <c r="AH1" s="1" t="inlineStr">
        <is>
          <t>Running Bankroll</t>
        </is>
      </c>
      <c r="AI1" s="1" t="inlineStr">
        <is>
          <t>Year</t>
        </is>
      </c>
      <c r="AJ1" s="1" t="inlineStr">
        <is>
          <t>Month</t>
        </is>
      </c>
      <c r="AK1" s="1" t="inlineStr">
        <is>
          <t>Odds Bucket</t>
        </is>
      </c>
      <c r="AL1" s="1" t="inlineStr">
        <is>
          <t>Model Sample</t>
        </is>
      </c>
      <c r="AM1" s="1" t="inlineStr">
        <is>
          <t>Kelly Fraction</t>
        </is>
      </c>
    </row>
    <row r="2">
      <c r="A2" s="2" t="inlineStr">
        <is>
          <t>KPROP-00893</t>
        </is>
      </c>
      <c r="B2" s="3" t="n">
        <v>46174.77819444444</v>
      </c>
      <c r="C2" s="3" t="n">
        <v>46174</v>
      </c>
      <c r="D2" s="2" t="inlineStr">
        <is>
          <t>Griffin Jax</t>
        </is>
      </c>
      <c r="E2" s="2" t="n">
        <v>139</v>
      </c>
      <c r="F2" s="2" t="n">
        <v>116</v>
      </c>
      <c r="G2" s="2" t="inlineStr">
        <is>
          <t>Home</t>
        </is>
      </c>
      <c r="H2" s="2" t="inlineStr">
        <is>
          <t>draftkings</t>
        </is>
      </c>
      <c r="I2" s="4" t="n"/>
      <c r="J2" s="4" t="n"/>
      <c r="K2" s="4" t="n">
        <v>117</v>
      </c>
      <c r="L2" s="4" t="n">
        <v>117</v>
      </c>
      <c r="M2" s="5" t="n">
        <v>4.5</v>
      </c>
      <c r="N2" s="5" t="n">
        <v>4.14390217944092</v>
      </c>
      <c r="O2" s="5" t="n">
        <v>4.5</v>
      </c>
      <c r="P2" s="5" t="n">
        <v>0.3560978205590803</v>
      </c>
      <c r="Q2" s="6" t="n">
        <v>0.3036210697703262</v>
      </c>
      <c r="R2" s="6" t="n">
        <v>0.600747036760519</v>
      </c>
      <c r="S2" s="6" t="n">
        <v>0.4413387274733358</v>
      </c>
      <c r="T2" s="2" t="inlineStr">
        <is>
          <t>Under</t>
        </is>
      </c>
      <c r="U2" s="4" t="n">
        <v>117</v>
      </c>
      <c r="V2" s="2" t="n">
        <v>2.17</v>
      </c>
      <c r="W2" s="4" t="n">
        <v>117</v>
      </c>
      <c r="X2" s="2" t="n">
        <v>1</v>
      </c>
      <c r="Y2" s="5" t="n">
        <v>-1</v>
      </c>
      <c r="Z2" s="7" t="n">
        <v>100</v>
      </c>
      <c r="AA2" s="7">
        <f>Y2*Z2</f>
        <v/>
      </c>
      <c r="AB2" s="6">
        <f>IF(Z2=0,0,AA2/Z2)</f>
        <v/>
      </c>
      <c r="AC2" s="6" t="n"/>
      <c r="AD2" s="2" t="inlineStr">
        <is>
          <t>Loss</t>
        </is>
      </c>
      <c r="AE2" s="6">
        <f>IF((COUNTIF($AD$2:AD2,"Win")+COUNTIF($AD$2:AD2,"Loss"))=0,0,COUNTIF($AD$2:AD2,"Win")/(COUNTIF($AD$2:AD2,"Win")+COUNTIF($AD$2:AD2,"Loss")))</f>
        <v/>
      </c>
      <c r="AF2" s="6">
        <f>SUM($Y$2:Y2)/SUM($X$2:X2)</f>
        <v/>
      </c>
      <c r="AG2" s="5">
        <f>SUM($Y$2:Y2)</f>
        <v/>
      </c>
      <c r="AH2" s="7">
        <f>10000.0+SUM($AA$2:AA2)</f>
        <v/>
      </c>
      <c r="AI2" s="2" t="n">
        <v>2026</v>
      </c>
      <c r="AJ2" s="2" t="inlineStr">
        <is>
          <t>2026-06</t>
        </is>
      </c>
      <c r="AK2" s="2" t="inlineStr">
        <is>
          <t>+100 to +120</t>
        </is>
      </c>
      <c r="AL2" s="2" t="inlineStr">
        <is>
          <t>2026 Frozen Test</t>
        </is>
      </c>
      <c r="AM2" s="6" t="n">
        <v>0.2595051878378857</v>
      </c>
    </row>
    <row r="3">
      <c r="A3" s="2" t="inlineStr">
        <is>
          <t>KPROP-00894</t>
        </is>
      </c>
      <c r="B3" s="3" t="n">
        <v>46174.77819444444</v>
      </c>
      <c r="C3" s="3" t="n">
        <v>46174</v>
      </c>
      <c r="D3" s="2" t="inlineStr">
        <is>
          <t>Griffin Jax</t>
        </is>
      </c>
      <c r="E3" s="2" t="n">
        <v>139</v>
      </c>
      <c r="F3" s="2" t="n">
        <v>116</v>
      </c>
      <c r="G3" s="2" t="inlineStr">
        <is>
          <t>Home</t>
        </is>
      </c>
      <c r="H3" s="2" t="inlineStr">
        <is>
          <t>betrivers</t>
        </is>
      </c>
      <c r="I3" s="4" t="n"/>
      <c r="J3" s="4" t="n"/>
      <c r="K3" s="4" t="n">
        <v>-162</v>
      </c>
      <c r="L3" s="4" t="n">
        <v>-162</v>
      </c>
      <c r="M3" s="5" t="n">
        <v>5.5</v>
      </c>
      <c r="N3" s="5" t="n">
        <v>4.14390217944092</v>
      </c>
      <c r="O3" s="5" t="n">
        <v>5.5</v>
      </c>
      <c r="P3" s="5" t="n">
        <v>1.35609782055908</v>
      </c>
      <c r="Q3" s="6" t="n">
        <v>0.2327818384848962</v>
      </c>
      <c r="R3" s="6" t="n">
        <v>0.7622544192158518</v>
      </c>
      <c r="S3" s="6" t="n">
        <v>0.5763260025873221</v>
      </c>
      <c r="T3" s="2" t="inlineStr">
        <is>
          <t>Under</t>
        </is>
      </c>
      <c r="U3" s="4" t="n">
        <v>-162</v>
      </c>
      <c r="V3" s="2" t="n">
        <v>1.617283950617284</v>
      </c>
      <c r="W3" s="4" t="n">
        <v>-162</v>
      </c>
      <c r="X3" s="2" t="n">
        <v>1</v>
      </c>
      <c r="Y3" s="5" t="n">
        <v>0.617283950617284</v>
      </c>
      <c r="Z3" s="7" t="n">
        <v>100</v>
      </c>
      <c r="AA3" s="7">
        <f>Y3*Z3</f>
        <v/>
      </c>
      <c r="AB3" s="6">
        <f>IF(Z3=0,0,AA3/Z3)</f>
        <v/>
      </c>
      <c r="AC3" s="6" t="n"/>
      <c r="AD3" s="2" t="inlineStr">
        <is>
          <t>Win</t>
        </is>
      </c>
      <c r="AE3" s="6">
        <f>IF((COUNTIF($AD$2:AD3,"Win")+COUNTIF($AD$2:AD3,"Loss"))=0,0,COUNTIF($AD$2:AD3,"Win")/(COUNTIF($AD$2:AD3,"Win")+COUNTIF($AD$2:AD3,"Loss")))</f>
        <v/>
      </c>
      <c r="AF3" s="6">
        <f>SUM($Y$2:Y3)/SUM($X$2:X3)</f>
        <v/>
      </c>
      <c r="AG3" s="5">
        <f>SUM($Y$2:Y3)</f>
        <v/>
      </c>
      <c r="AH3" s="7">
        <f>10000.0+SUM($AA$2:AA3)</f>
        <v/>
      </c>
      <c r="AI3" s="2" t="n">
        <v>2026</v>
      </c>
      <c r="AJ3" s="2" t="inlineStr">
        <is>
          <t>2026-06</t>
        </is>
      </c>
      <c r="AK3" s="2" t="inlineStr">
        <is>
          <t>&lt;= -150</t>
        </is>
      </c>
      <c r="AL3" s="2" t="inlineStr">
        <is>
          <t>2026 Frozen Test</t>
        </is>
      </c>
      <c r="AM3" s="6" t="n">
        <v>0.3771065783455318</v>
      </c>
    </row>
    <row r="4">
      <c r="A4" s="2" t="inlineStr">
        <is>
          <t>KPROP-00895</t>
        </is>
      </c>
      <c r="B4" s="3" t="n">
        <v>46174.82333333333</v>
      </c>
      <c r="C4" s="3" t="n">
        <v>46174</v>
      </c>
      <c r="D4" s="2" t="inlineStr">
        <is>
          <t>Jacob deGrom</t>
        </is>
      </c>
      <c r="E4" s="2" t="n">
        <v>140</v>
      </c>
      <c r="F4" s="2" t="n">
        <v>138</v>
      </c>
      <c r="G4" s="2" t="inlineStr">
        <is>
          <t>Away</t>
        </is>
      </c>
      <c r="H4" s="2" t="inlineStr">
        <is>
          <t>fanduel</t>
        </is>
      </c>
      <c r="I4" s="4" t="n"/>
      <c r="J4" s="4" t="n"/>
      <c r="K4" s="4" t="n">
        <v>-140</v>
      </c>
      <c r="L4" s="4" t="n">
        <v>-140</v>
      </c>
      <c r="M4" s="5" t="n">
        <v>6.5</v>
      </c>
      <c r="N4" s="5" t="n">
        <v>5.458405533493997</v>
      </c>
      <c r="O4" s="5" t="n">
        <v>6.5</v>
      </c>
      <c r="P4" s="5" t="n">
        <v>1.041594466506003</v>
      </c>
      <c r="Q4" s="6" t="n">
        <v>0.187243101545061</v>
      </c>
      <c r="R4" s="6" t="n">
        <v>0.6925584759012855</v>
      </c>
      <c r="S4" s="6" t="n">
        <v>0.5631598107025846</v>
      </c>
      <c r="T4" s="2" t="inlineStr">
        <is>
          <t>Under</t>
        </is>
      </c>
      <c r="U4" s="4" t="n">
        <v>-140</v>
      </c>
      <c r="V4" s="2" t="n">
        <v>1.714285714285714</v>
      </c>
      <c r="W4" s="4" t="n">
        <v>-140</v>
      </c>
      <c r="X4" s="2" t="n">
        <v>1</v>
      </c>
      <c r="Y4" s="5" t="n">
        <v>-1</v>
      </c>
      <c r="Z4" s="7" t="n">
        <v>100</v>
      </c>
      <c r="AA4" s="7">
        <f>Y4*Z4</f>
        <v/>
      </c>
      <c r="AB4" s="6">
        <f>IF(Z4=0,0,AA4/Z4)</f>
        <v/>
      </c>
      <c r="AC4" s="6" t="n"/>
      <c r="AD4" s="2" t="inlineStr">
        <is>
          <t>Loss</t>
        </is>
      </c>
      <c r="AE4" s="6">
        <f>IF((COUNTIF($AD$2:AD4,"Win")+COUNTIF($AD$2:AD4,"Loss"))=0,0,COUNTIF($AD$2:AD4,"Win")/(COUNTIF($AD$2:AD4,"Win")+COUNTIF($AD$2:AD4,"Loss")))</f>
        <v/>
      </c>
      <c r="AF4" s="6">
        <f>SUM($Y$2:Y4)/SUM($X$2:X4)</f>
        <v/>
      </c>
      <c r="AG4" s="5">
        <f>SUM($Y$2:Y4)</f>
        <v/>
      </c>
      <c r="AH4" s="7">
        <f>10000.0+SUM($AA$2:AA4)</f>
        <v/>
      </c>
      <c r="AI4" s="2" t="n">
        <v>2026</v>
      </c>
      <c r="AJ4" s="2" t="inlineStr">
        <is>
          <t>2026-06</t>
        </is>
      </c>
      <c r="AK4" s="2" t="inlineStr">
        <is>
          <t>-149 to -120</t>
        </is>
      </c>
      <c r="AL4" s="2" t="inlineStr">
        <is>
          <t>2026 Frozen Test</t>
        </is>
      </c>
      <c r="AM4" s="6" t="n">
        <v>0.2621403421630853</v>
      </c>
    </row>
    <row r="5">
      <c r="A5" s="2" t="inlineStr">
        <is>
          <t>KPROP-00896</t>
        </is>
      </c>
      <c r="B5" s="3" t="n">
        <v>46174.81986111111</v>
      </c>
      <c r="C5" s="3" t="n">
        <v>46174</v>
      </c>
      <c r="D5" s="2" t="inlineStr">
        <is>
          <t>Joe Ryan</t>
        </is>
      </c>
      <c r="E5" s="2" t="n">
        <v>142</v>
      </c>
      <c r="F5" s="2" t="n">
        <v>145</v>
      </c>
      <c r="G5" s="2" t="inlineStr">
        <is>
          <t>Home</t>
        </is>
      </c>
      <c r="H5" s="2" t="inlineStr">
        <is>
          <t>betmgm</t>
        </is>
      </c>
      <c r="I5" s="4" t="n"/>
      <c r="J5" s="4" t="n"/>
      <c r="K5" s="4" t="n">
        <v>130</v>
      </c>
      <c r="L5" s="4" t="n">
        <v>130</v>
      </c>
      <c r="M5" s="5" t="n">
        <v>5.5</v>
      </c>
      <c r="N5" s="5" t="n">
        <v>4.758174840775406</v>
      </c>
      <c r="O5" s="5" t="n">
        <v>5.5</v>
      </c>
      <c r="P5" s="5" t="n">
        <v>0.7418251592245939</v>
      </c>
      <c r="Q5" s="6" t="n">
        <v>0.5141094538638145</v>
      </c>
      <c r="R5" s="6" t="n">
        <v>0.6583084582016585</v>
      </c>
      <c r="S5" s="6" t="n">
        <v>0.4151915030576119</v>
      </c>
      <c r="T5" s="2" t="inlineStr">
        <is>
          <t>Under</t>
        </is>
      </c>
      <c r="U5" s="4" t="n">
        <v>130</v>
      </c>
      <c r="V5" s="2" t="n">
        <v>2.3</v>
      </c>
      <c r="W5" s="4" t="n">
        <v>130</v>
      </c>
      <c r="X5" s="2" t="n">
        <v>1</v>
      </c>
      <c r="Y5" s="5" t="n">
        <v>-1</v>
      </c>
      <c r="Z5" s="7" t="n">
        <v>100</v>
      </c>
      <c r="AA5" s="7">
        <f>Y5*Z5</f>
        <v/>
      </c>
      <c r="AB5" s="6">
        <f>IF(Z5=0,0,AA5/Z5)</f>
        <v/>
      </c>
      <c r="AC5" s="6" t="n"/>
      <c r="AD5" s="2" t="inlineStr">
        <is>
          <t>Loss</t>
        </is>
      </c>
      <c r="AE5" s="6">
        <f>IF((COUNTIF($AD$2:AD5,"Win")+COUNTIF($AD$2:AD5,"Loss"))=0,0,COUNTIF($AD$2:AD5,"Win")/(COUNTIF($AD$2:AD5,"Win")+COUNTIF($AD$2:AD5,"Loss")))</f>
        <v/>
      </c>
      <c r="AF5" s="6">
        <f>SUM($Y$2:Y5)/SUM($X$2:X5)</f>
        <v/>
      </c>
      <c r="AG5" s="5">
        <f>SUM($Y$2:Y5)</f>
        <v/>
      </c>
      <c r="AH5" s="7">
        <f>10000.0+SUM($AA$2:AA5)</f>
        <v/>
      </c>
      <c r="AI5" s="2" t="n">
        <v>2026</v>
      </c>
      <c r="AJ5" s="2" t="inlineStr">
        <is>
          <t>2026-06</t>
        </is>
      </c>
      <c r="AK5" s="2" t="inlineStr">
        <is>
          <t>+121 to +150</t>
        </is>
      </c>
      <c r="AL5" s="2" t="inlineStr">
        <is>
          <t>2026 Frozen Test</t>
        </is>
      </c>
      <c r="AM5" s="6" t="n">
        <v>0.3954688106644727</v>
      </c>
    </row>
    <row r="6">
      <c r="A6" s="2" t="inlineStr">
        <is>
          <t>KPROP-00897</t>
        </is>
      </c>
      <c r="B6" s="3" t="n">
        <v>46174.81986111111</v>
      </c>
      <c r="C6" s="3" t="n">
        <v>46174</v>
      </c>
      <c r="D6" s="2" t="inlineStr">
        <is>
          <t>Joe Ryan</t>
        </is>
      </c>
      <c r="E6" s="2" t="n">
        <v>142</v>
      </c>
      <c r="F6" s="2" t="n">
        <v>145</v>
      </c>
      <c r="G6" s="2" t="inlineStr">
        <is>
          <t>Home</t>
        </is>
      </c>
      <c r="H6" s="2" t="inlineStr">
        <is>
          <t>fanatics</t>
        </is>
      </c>
      <c r="I6" s="4" t="n"/>
      <c r="J6" s="4" t="n"/>
      <c r="K6" s="4" t="n">
        <v>-150</v>
      </c>
      <c r="L6" s="4" t="n">
        <v>-150</v>
      </c>
      <c r="M6" s="5" t="n">
        <v>6.5</v>
      </c>
      <c r="N6" s="5" t="n">
        <v>4.758174840775406</v>
      </c>
      <c r="O6" s="5" t="n">
        <v>6.5</v>
      </c>
      <c r="P6" s="5" t="n">
        <v>1.741825159224594</v>
      </c>
      <c r="Q6" s="6" t="n">
        <v>0.3277012640824769</v>
      </c>
      <c r="R6" s="6" t="n">
        <v>0.7966207584494862</v>
      </c>
      <c r="S6" s="6" t="n">
        <v>0.5633187772925764</v>
      </c>
      <c r="T6" s="2" t="inlineStr">
        <is>
          <t>Under</t>
        </is>
      </c>
      <c r="U6" s="4" t="n">
        <v>-150</v>
      </c>
      <c r="V6" s="2" t="n">
        <v>1.666666666666667</v>
      </c>
      <c r="W6" s="4" t="n">
        <v>-150</v>
      </c>
      <c r="X6" s="2" t="n">
        <v>1</v>
      </c>
      <c r="Y6" s="5" t="n">
        <v>-1</v>
      </c>
      <c r="Z6" s="7" t="n">
        <v>100</v>
      </c>
      <c r="AA6" s="7">
        <f>Y6*Z6</f>
        <v/>
      </c>
      <c r="AB6" s="6">
        <f>IF(Z6=0,0,AA6/Z6)</f>
        <v/>
      </c>
      <c r="AC6" s="6" t="n"/>
      <c r="AD6" s="2" t="inlineStr">
        <is>
          <t>Loss</t>
        </is>
      </c>
      <c r="AE6" s="6">
        <f>IF((COUNTIF($AD$2:AD6,"Win")+COUNTIF($AD$2:AD6,"Loss"))=0,0,COUNTIF($AD$2:AD6,"Win")/(COUNTIF($AD$2:AD6,"Win")+COUNTIF($AD$2:AD6,"Loss")))</f>
        <v/>
      </c>
      <c r="AF6" s="6">
        <f>SUM($Y$2:Y6)/SUM($X$2:X6)</f>
        <v/>
      </c>
      <c r="AG6" s="5">
        <f>SUM($Y$2:Y6)</f>
        <v/>
      </c>
      <c r="AH6" s="7">
        <f>10000.0+SUM($AA$2:AA6)</f>
        <v/>
      </c>
      <c r="AI6" s="2" t="n">
        <v>2026</v>
      </c>
      <c r="AJ6" s="2" t="inlineStr">
        <is>
          <t>2026-06</t>
        </is>
      </c>
      <c r="AK6" s="2" t="inlineStr">
        <is>
          <t>&lt;= -150</t>
        </is>
      </c>
      <c r="AL6" s="2" t="inlineStr">
        <is>
          <t>2026 Frozen Test</t>
        </is>
      </c>
      <c r="AM6" s="6" t="n">
        <v>0.4915518961237155</v>
      </c>
    </row>
    <row r="7">
      <c r="A7" s="2" t="inlineStr">
        <is>
          <t>KPROP-00898</t>
        </is>
      </c>
      <c r="B7" s="3" t="n">
        <v>46174.81986111111</v>
      </c>
      <c r="C7" s="3" t="n">
        <v>46174</v>
      </c>
      <c r="D7" s="2" t="inlineStr">
        <is>
          <t>Landen Roupp</t>
        </is>
      </c>
      <c r="E7" s="2" t="n">
        <v>137</v>
      </c>
      <c r="F7" s="2" t="n">
        <v>158</v>
      </c>
      <c r="G7" s="2" t="inlineStr">
        <is>
          <t>Away</t>
        </is>
      </c>
      <c r="H7" s="2" t="inlineStr">
        <is>
          <t>fanatics</t>
        </is>
      </c>
      <c r="I7" s="4" t="n"/>
      <c r="J7" s="4" t="n"/>
      <c r="K7" s="4" t="n">
        <v>100</v>
      </c>
      <c r="L7" s="4" t="n">
        <v>100</v>
      </c>
      <c r="M7" s="5" t="n">
        <v>5.5</v>
      </c>
      <c r="N7" s="5" t="n">
        <v>4.891956855104903</v>
      </c>
      <c r="O7" s="5" t="n">
        <v>5.5</v>
      </c>
      <c r="P7" s="5" t="n">
        <v>0.6080431448950971</v>
      </c>
      <c r="Q7" s="6" t="n">
        <v>0.2698224928136455</v>
      </c>
      <c r="R7" s="6" t="n">
        <v>0.6349112464068227</v>
      </c>
      <c r="S7" s="6" t="n">
        <v>0.4831460674157303</v>
      </c>
      <c r="T7" s="2" t="inlineStr">
        <is>
          <t>Under</t>
        </is>
      </c>
      <c r="U7" s="4" t="n">
        <v>100</v>
      </c>
      <c r="V7" s="2" t="n">
        <v>2</v>
      </c>
      <c r="W7" s="4" t="n">
        <v>100</v>
      </c>
      <c r="X7" s="2" t="n">
        <v>1</v>
      </c>
      <c r="Y7" s="5" t="n">
        <v>1</v>
      </c>
      <c r="Z7" s="7" t="n">
        <v>100</v>
      </c>
      <c r="AA7" s="7">
        <f>Y7*Z7</f>
        <v/>
      </c>
      <c r="AB7" s="6">
        <f>IF(Z7=0,0,AA7/Z7)</f>
        <v/>
      </c>
      <c r="AC7" s="6" t="n"/>
      <c r="AD7" s="2" t="inlineStr">
        <is>
          <t>Win</t>
        </is>
      </c>
      <c r="AE7" s="6">
        <f>IF((COUNTIF($AD$2:AD7,"Win")+COUNTIF($AD$2:AD7,"Loss"))=0,0,COUNTIF($AD$2:AD7,"Win")/(COUNTIF($AD$2:AD7,"Win")+COUNTIF($AD$2:AD7,"Loss")))</f>
        <v/>
      </c>
      <c r="AF7" s="6">
        <f>SUM($Y$2:Y7)/SUM($X$2:X7)</f>
        <v/>
      </c>
      <c r="AG7" s="5">
        <f>SUM($Y$2:Y7)</f>
        <v/>
      </c>
      <c r="AH7" s="7">
        <f>10000.0+SUM($AA$2:AA7)</f>
        <v/>
      </c>
      <c r="AI7" s="2" t="n">
        <v>2026</v>
      </c>
      <c r="AJ7" s="2" t="inlineStr">
        <is>
          <t>2026-06</t>
        </is>
      </c>
      <c r="AK7" s="2" t="inlineStr">
        <is>
          <t>+100 to +120</t>
        </is>
      </c>
      <c r="AL7" s="2" t="inlineStr">
        <is>
          <t>2026 Frozen Test</t>
        </is>
      </c>
      <c r="AM7" s="6" t="n">
        <v>0.2698224928136455</v>
      </c>
    </row>
    <row r="8">
      <c r="A8" s="2" t="inlineStr">
        <is>
          <t>KPROP-00899</t>
        </is>
      </c>
      <c r="B8" s="3" t="n">
        <v>46175.77472222222</v>
      </c>
      <c r="C8" s="3" t="n">
        <v>46175</v>
      </c>
      <c r="D8" s="2" t="inlineStr">
        <is>
          <t>Aaron Nola</t>
        </is>
      </c>
      <c r="E8" s="2" t="n">
        <v>143</v>
      </c>
      <c r="F8" s="2" t="n">
        <v>135</v>
      </c>
      <c r="G8" s="2" t="inlineStr">
        <is>
          <t>Home</t>
        </is>
      </c>
      <c r="H8" s="2" t="inlineStr">
        <is>
          <t>draftkings</t>
        </is>
      </c>
      <c r="I8" s="4" t="n"/>
      <c r="J8" s="4" t="n"/>
      <c r="K8" s="4" t="n">
        <v>-144</v>
      </c>
      <c r="L8" s="4" t="n">
        <v>-144</v>
      </c>
      <c r="M8" s="5" t="n">
        <v>5.5</v>
      </c>
      <c r="N8" s="5" t="n">
        <v>4.445355385866636</v>
      </c>
      <c r="O8" s="5" t="n">
        <v>5.5</v>
      </c>
      <c r="P8" s="5" t="n">
        <v>1.054644614133364</v>
      </c>
      <c r="Q8" s="6" t="n">
        <v>0.2068439479755681</v>
      </c>
      <c r="R8" s="6" t="n">
        <v>0.7122357725757451</v>
      </c>
      <c r="S8" s="6" t="n">
        <v>0.5671302866874822</v>
      </c>
      <c r="T8" s="2" t="inlineStr">
        <is>
          <t>Under</t>
        </is>
      </c>
      <c r="U8" s="4" t="n">
        <v>-144</v>
      </c>
      <c r="V8" s="2" t="n">
        <v>1.694444444444444</v>
      </c>
      <c r="W8" s="4" t="n">
        <v>-144</v>
      </c>
      <c r="X8" s="2" t="n">
        <v>1</v>
      </c>
      <c r="Y8" s="5" t="n">
        <v>-1</v>
      </c>
      <c r="Z8" s="7" t="n">
        <v>100</v>
      </c>
      <c r="AA8" s="7">
        <f>Y8*Z8</f>
        <v/>
      </c>
      <c r="AB8" s="6">
        <f>IF(Z8=0,0,AA8/Z8)</f>
        <v/>
      </c>
      <c r="AC8" s="6" t="n"/>
      <c r="AD8" s="2" t="inlineStr">
        <is>
          <t>Loss</t>
        </is>
      </c>
      <c r="AE8" s="6">
        <f>IF((COUNTIF($AD$2:AD8,"Win")+COUNTIF($AD$2:AD8,"Loss"))=0,0,COUNTIF($AD$2:AD8,"Win")/(COUNTIF($AD$2:AD8,"Win")+COUNTIF($AD$2:AD8,"Loss")))</f>
        <v/>
      </c>
      <c r="AF8" s="6">
        <f>SUM($Y$2:Y8)/SUM($X$2:X8)</f>
        <v/>
      </c>
      <c r="AG8" s="5">
        <f>SUM($Y$2:Y8)</f>
        <v/>
      </c>
      <c r="AH8" s="7">
        <f>10000.0+SUM($AA$2:AA8)</f>
        <v/>
      </c>
      <c r="AI8" s="2" t="n">
        <v>2026</v>
      </c>
      <c r="AJ8" s="2" t="inlineStr">
        <is>
          <t>2026-06</t>
        </is>
      </c>
      <c r="AK8" s="2" t="inlineStr">
        <is>
          <t>-149 to -120</t>
        </is>
      </c>
      <c r="AL8" s="2" t="inlineStr">
        <is>
          <t>2026 Frozen Test</t>
        </is>
      </c>
      <c r="AM8" s="6" t="n">
        <v>0.2978552850848181</v>
      </c>
    </row>
    <row r="9">
      <c r="A9" s="2" t="inlineStr">
        <is>
          <t>KPROP-00900</t>
        </is>
      </c>
      <c r="B9" s="3" t="n">
        <v>46175.79208333333</v>
      </c>
      <c r="C9" s="3" t="n">
        <v>46175</v>
      </c>
      <c r="D9" s="2" t="inlineStr">
        <is>
          <t>Cam Schlittler</t>
        </is>
      </c>
      <c r="E9" s="2" t="n">
        <v>147</v>
      </c>
      <c r="F9" s="2" t="n">
        <v>114</v>
      </c>
      <c r="G9" s="2" t="inlineStr">
        <is>
          <t>Home</t>
        </is>
      </c>
      <c r="H9" s="2" t="inlineStr">
        <is>
          <t>draftkings</t>
        </is>
      </c>
      <c r="I9" s="4" t="n"/>
      <c r="J9" s="4" t="n"/>
      <c r="K9" s="4" t="n">
        <v>-114</v>
      </c>
      <c r="L9" s="4" t="n">
        <v>-114</v>
      </c>
      <c r="M9" s="5" t="n">
        <v>6.5</v>
      </c>
      <c r="N9" s="5" t="n">
        <v>5.188362929403635</v>
      </c>
      <c r="O9" s="5" t="n">
        <v>6.5</v>
      </c>
      <c r="P9" s="5" t="n">
        <v>1.311637070596365</v>
      </c>
      <c r="Q9" s="6" t="n">
        <v>0.3781497541678855</v>
      </c>
      <c r="R9" s="6" t="n">
        <v>0.7341545419399016</v>
      </c>
      <c r="S9" s="6" t="n">
        <v>0.5158371040723981</v>
      </c>
      <c r="T9" s="2" t="inlineStr">
        <is>
          <t>Under</t>
        </is>
      </c>
      <c r="U9" s="4" t="n">
        <v>-114</v>
      </c>
      <c r="V9" s="2" t="n">
        <v>1.87719298245614</v>
      </c>
      <c r="W9" s="4" t="n">
        <v>-114</v>
      </c>
      <c r="X9" s="2" t="n">
        <v>1</v>
      </c>
      <c r="Y9" s="5" t="n">
        <v>0.8771929824561404</v>
      </c>
      <c r="Z9" s="7" t="n">
        <v>100</v>
      </c>
      <c r="AA9" s="7">
        <f>Y9*Z9</f>
        <v/>
      </c>
      <c r="AB9" s="6">
        <f>IF(Z9=0,0,AA9/Z9)</f>
        <v/>
      </c>
      <c r="AC9" s="6" t="n"/>
      <c r="AD9" s="2" t="inlineStr">
        <is>
          <t>Win</t>
        </is>
      </c>
      <c r="AE9" s="6">
        <f>IF((COUNTIF($AD$2:AD9,"Win")+COUNTIF($AD$2:AD9,"Loss"))=0,0,COUNTIF($AD$2:AD9,"Win")/(COUNTIF($AD$2:AD9,"Win")+COUNTIF($AD$2:AD9,"Loss")))</f>
        <v/>
      </c>
      <c r="AF9" s="6">
        <f>SUM($Y$2:Y9)/SUM($X$2:X9)</f>
        <v/>
      </c>
      <c r="AG9" s="5">
        <f>SUM($Y$2:Y9)</f>
        <v/>
      </c>
      <c r="AH9" s="7">
        <f>10000.0+SUM($AA$2:AA9)</f>
        <v/>
      </c>
      <c r="AI9" s="2" t="n">
        <v>2026</v>
      </c>
      <c r="AJ9" s="2" t="inlineStr">
        <is>
          <t>2026-06</t>
        </is>
      </c>
      <c r="AK9" s="2" t="inlineStr">
        <is>
          <t>-119 to -101</t>
        </is>
      </c>
      <c r="AL9" s="2" t="inlineStr">
        <is>
          <t>2026 Frozen Test</t>
        </is>
      </c>
      <c r="AM9" s="6" t="n">
        <v>0.4310907197513895</v>
      </c>
    </row>
    <row r="10">
      <c r="A10" s="2" t="inlineStr">
        <is>
          <t>KPROP-00901</t>
        </is>
      </c>
      <c r="B10" s="3" t="n">
        <v>46175.81638888889</v>
      </c>
      <c r="C10" s="3" t="n">
        <v>46175</v>
      </c>
      <c r="D10" s="2" t="inlineStr">
        <is>
          <t>Connor Prielipp</t>
        </is>
      </c>
      <c r="E10" s="2" t="n">
        <v>142</v>
      </c>
      <c r="F10" s="2" t="n">
        <v>145</v>
      </c>
      <c r="G10" s="2" t="inlineStr">
        <is>
          <t>Home</t>
        </is>
      </c>
      <c r="H10" s="2" t="inlineStr">
        <is>
          <t>fanduel</t>
        </is>
      </c>
      <c r="I10" s="4" t="n"/>
      <c r="J10" s="4" t="n"/>
      <c r="K10" s="4" t="n">
        <v>114</v>
      </c>
      <c r="L10" s="4" t="n">
        <v>114</v>
      </c>
      <c r="M10" s="5" t="n">
        <v>4.5</v>
      </c>
      <c r="N10" s="5" t="n">
        <v>4.663929371356623</v>
      </c>
      <c r="O10" s="5" t="n">
        <v>4.5</v>
      </c>
      <c r="P10" s="5" t="n">
        <v>-0.1639293713566232</v>
      </c>
      <c r="Q10" s="6" t="n">
        <v>0.07277523808038167</v>
      </c>
      <c r="R10" s="6" t="n">
        <v>0.5012968402244775</v>
      </c>
      <c r="S10" s="6" t="n">
        <v>0.4447739065974796</v>
      </c>
      <c r="T10" s="2" t="inlineStr">
        <is>
          <t>Under</t>
        </is>
      </c>
      <c r="U10" s="4" t="n">
        <v>114</v>
      </c>
      <c r="V10" s="2" t="n">
        <v>2.14</v>
      </c>
      <c r="W10" s="4" t="n">
        <v>114</v>
      </c>
      <c r="X10" s="2" t="n">
        <v>1</v>
      </c>
      <c r="Y10" s="5" t="n">
        <v>-1</v>
      </c>
      <c r="Z10" s="7" t="n">
        <v>100</v>
      </c>
      <c r="AA10" s="7">
        <f>Y10*Z10</f>
        <v/>
      </c>
      <c r="AB10" s="6">
        <f>IF(Z10=0,0,AA10/Z10)</f>
        <v/>
      </c>
      <c r="AC10" s="6" t="n"/>
      <c r="AD10" s="2" t="inlineStr">
        <is>
          <t>Loss</t>
        </is>
      </c>
      <c r="AE10" s="6">
        <f>IF((COUNTIF($AD$2:AD10,"Win")+COUNTIF($AD$2:AD10,"Loss"))=0,0,COUNTIF($AD$2:AD10,"Win")/(COUNTIF($AD$2:AD10,"Win")+COUNTIF($AD$2:AD10,"Loss")))</f>
        <v/>
      </c>
      <c r="AF10" s="6">
        <f>SUM($Y$2:Y10)/SUM($X$2:X10)</f>
        <v/>
      </c>
      <c r="AG10" s="5">
        <f>SUM($Y$2:Y10)</f>
        <v/>
      </c>
      <c r="AH10" s="7">
        <f>10000.0+SUM($AA$2:AA10)</f>
        <v/>
      </c>
      <c r="AI10" s="2" t="n">
        <v>2026</v>
      </c>
      <c r="AJ10" s="2" t="inlineStr">
        <is>
          <t>2026-06</t>
        </is>
      </c>
      <c r="AK10" s="2" t="inlineStr">
        <is>
          <t>+100 to +120</t>
        </is>
      </c>
      <c r="AL10" s="2" t="inlineStr">
        <is>
          <t>2026 Frozen Test</t>
        </is>
      </c>
      <c r="AM10" s="6" t="n">
        <v>0.06383792814068569</v>
      </c>
    </row>
    <row r="11">
      <c r="A11" s="2" t="inlineStr">
        <is>
          <t>KPROP-00902</t>
        </is>
      </c>
      <c r="B11" s="3" t="n">
        <v>46175.77472222222</v>
      </c>
      <c r="C11" s="3" t="n">
        <v>46175</v>
      </c>
      <c r="D11" s="2" t="inlineStr">
        <is>
          <t>Jack Flaherty</t>
        </is>
      </c>
      <c r="E11" s="2" t="n">
        <v>116</v>
      </c>
      <c r="F11" s="2" t="n">
        <v>139</v>
      </c>
      <c r="G11" s="2" t="inlineStr">
        <is>
          <t>Away</t>
        </is>
      </c>
      <c r="H11" s="2" t="inlineStr">
        <is>
          <t>bovada</t>
        </is>
      </c>
      <c r="I11" s="4" t="n"/>
      <c r="J11" s="4" t="n"/>
      <c r="K11" s="4" t="n">
        <v>130</v>
      </c>
      <c r="L11" s="4" t="n">
        <v>130</v>
      </c>
      <c r="M11" s="5" t="n">
        <v>4.5</v>
      </c>
      <c r="N11" s="5" t="n">
        <v>4.554185068864427</v>
      </c>
      <c r="O11" s="5" t="n">
        <v>4.5</v>
      </c>
      <c r="P11" s="5" t="n">
        <v>-0.05418506886442742</v>
      </c>
      <c r="Q11" s="6" t="n">
        <v>0.2002566535714065</v>
      </c>
      <c r="R11" s="6" t="n">
        <v>0.5218507189440899</v>
      </c>
      <c r="S11" s="6" t="n">
        <v>0.4145990075236113</v>
      </c>
      <c r="T11" s="2" t="inlineStr">
        <is>
          <t>Under</t>
        </is>
      </c>
      <c r="U11" s="4" t="n">
        <v>130</v>
      </c>
      <c r="V11" s="2" t="n">
        <v>2.3</v>
      </c>
      <c r="W11" s="4" t="n">
        <v>130</v>
      </c>
      <c r="X11" s="2" t="n">
        <v>1</v>
      </c>
      <c r="Y11" s="5" t="n">
        <v>-1</v>
      </c>
      <c r="Z11" s="7" t="n">
        <v>100</v>
      </c>
      <c r="AA11" s="7">
        <f>Y11*Z11</f>
        <v/>
      </c>
      <c r="AB11" s="6">
        <f>IF(Z11=0,0,AA11/Z11)</f>
        <v/>
      </c>
      <c r="AC11" s="6" t="n"/>
      <c r="AD11" s="2" t="inlineStr">
        <is>
          <t>Loss</t>
        </is>
      </c>
      <c r="AE11" s="6">
        <f>IF((COUNTIF($AD$2:AD11,"Win")+COUNTIF($AD$2:AD11,"Loss"))=0,0,COUNTIF($AD$2:AD11,"Win")/(COUNTIF($AD$2:AD11,"Win")+COUNTIF($AD$2:AD11,"Loss")))</f>
        <v/>
      </c>
      <c r="AF11" s="6">
        <f>SUM($Y$2:Y11)/SUM($X$2:X11)</f>
        <v/>
      </c>
      <c r="AG11" s="5">
        <f>SUM($Y$2:Y11)</f>
        <v/>
      </c>
      <c r="AH11" s="7">
        <f>10000.0+SUM($AA$2:AA11)</f>
        <v/>
      </c>
      <c r="AI11" s="2" t="n">
        <v>2026</v>
      </c>
      <c r="AJ11" s="2" t="inlineStr">
        <is>
          <t>2026-06</t>
        </is>
      </c>
      <c r="AK11" s="2" t="inlineStr">
        <is>
          <t>+121 to +150</t>
        </is>
      </c>
      <c r="AL11" s="2" t="inlineStr">
        <is>
          <t>2026 Frozen Test</t>
        </is>
      </c>
      <c r="AM11" s="6" t="n">
        <v>0.1540435796703127</v>
      </c>
    </row>
    <row r="12">
      <c r="A12" s="2" t="inlineStr">
        <is>
          <t>KPROP-00903</t>
        </is>
      </c>
      <c r="B12" s="3" t="n">
        <v>46175.81638888889</v>
      </c>
      <c r="C12" s="3" t="n">
        <v>46175</v>
      </c>
      <c r="D12" s="2" t="inlineStr">
        <is>
          <t>Kyle Harrison</t>
        </is>
      </c>
      <c r="E12" s="2" t="n">
        <v>158</v>
      </c>
      <c r="F12" s="2" t="n">
        <v>137</v>
      </c>
      <c r="G12" s="2" t="inlineStr">
        <is>
          <t>Home</t>
        </is>
      </c>
      <c r="H12" s="2" t="inlineStr">
        <is>
          <t>draftkings</t>
        </is>
      </c>
      <c r="I12" s="4" t="n"/>
      <c r="J12" s="4" t="n"/>
      <c r="K12" s="4" t="n">
        <v>-105</v>
      </c>
      <c r="L12" s="4" t="n">
        <v>-105</v>
      </c>
      <c r="M12" s="5" t="n">
        <v>6.5</v>
      </c>
      <c r="N12" s="5" t="n">
        <v>5.860164159748264</v>
      </c>
      <c r="O12" s="5" t="n">
        <v>6.5</v>
      </c>
      <c r="P12" s="5" t="n">
        <v>0.6398358402517363</v>
      </c>
      <c r="Q12" s="6" t="n">
        <v>0.2275620935379326</v>
      </c>
      <c r="R12" s="6" t="n">
        <v>0.6287513162023557</v>
      </c>
      <c r="S12" s="6" t="n">
        <v>0.4965893587994543</v>
      </c>
      <c r="T12" s="2" t="inlineStr">
        <is>
          <t>Under</t>
        </is>
      </c>
      <c r="U12" s="4" t="n">
        <v>-105</v>
      </c>
      <c r="V12" s="2" t="n">
        <v>1.952380952380952</v>
      </c>
      <c r="W12" s="4" t="n">
        <v>-105</v>
      </c>
      <c r="X12" s="2" t="n">
        <v>1</v>
      </c>
      <c r="Y12" s="5" t="n">
        <v>-1</v>
      </c>
      <c r="Z12" s="7" t="n">
        <v>100</v>
      </c>
      <c r="AA12" s="7">
        <f>Y12*Z12</f>
        <v/>
      </c>
      <c r="AB12" s="6">
        <f>IF(Z12=0,0,AA12/Z12)</f>
        <v/>
      </c>
      <c r="AC12" s="6" t="n"/>
      <c r="AD12" s="2" t="inlineStr">
        <is>
          <t>Loss</t>
        </is>
      </c>
      <c r="AE12" s="6">
        <f>IF((COUNTIF($AD$2:AD12,"Win")+COUNTIF($AD$2:AD12,"Loss"))=0,0,COUNTIF($AD$2:AD12,"Win")/(COUNTIF($AD$2:AD12,"Win")+COUNTIF($AD$2:AD12,"Loss")))</f>
        <v/>
      </c>
      <c r="AF12" s="6">
        <f>SUM($Y$2:Y12)/SUM($X$2:X12)</f>
        <v/>
      </c>
      <c r="AG12" s="5">
        <f>SUM($Y$2:Y12)</f>
        <v/>
      </c>
      <c r="AH12" s="7">
        <f>10000.0+SUM($AA$2:AA12)</f>
        <v/>
      </c>
      <c r="AI12" s="2" t="n">
        <v>2026</v>
      </c>
      <c r="AJ12" s="2" t="inlineStr">
        <is>
          <t>2026-06</t>
        </is>
      </c>
      <c r="AK12" s="2" t="inlineStr">
        <is>
          <t>-119 to -101</t>
        </is>
      </c>
      <c r="AL12" s="2" t="inlineStr">
        <is>
          <t>2026 Frozen Test</t>
        </is>
      </c>
      <c r="AM12" s="6" t="n">
        <v>0.2389401982148292</v>
      </c>
    </row>
    <row r="13">
      <c r="A13" s="2" t="inlineStr">
        <is>
          <t>KPROP-00904</t>
        </is>
      </c>
      <c r="B13" s="3" t="n">
        <v>46175.81987268518</v>
      </c>
      <c r="C13" s="3" t="n">
        <v>46175</v>
      </c>
      <c r="D13" s="2" t="inlineStr">
        <is>
          <t>Nathan Eovaldi</t>
        </is>
      </c>
      <c r="E13" s="2" t="n">
        <v>140</v>
      </c>
      <c r="F13" s="2" t="n">
        <v>138</v>
      </c>
      <c r="G13" s="2" t="inlineStr">
        <is>
          <t>Away</t>
        </is>
      </c>
      <c r="H13" s="2" t="inlineStr">
        <is>
          <t>bovada</t>
        </is>
      </c>
      <c r="I13" s="4" t="n"/>
      <c r="J13" s="4" t="n"/>
      <c r="K13" s="4" t="n">
        <v>105</v>
      </c>
      <c r="L13" s="4" t="n">
        <v>105</v>
      </c>
      <c r="M13" s="5" t="n">
        <v>5.5</v>
      </c>
      <c r="N13" s="5" t="n">
        <v>5.452515521943168</v>
      </c>
      <c r="O13" s="5" t="n">
        <v>5.5</v>
      </c>
      <c r="P13" s="5" t="n">
        <v>0.0474844780568322</v>
      </c>
      <c r="Q13" s="6" t="n">
        <v>0.1010030147002682</v>
      </c>
      <c r="R13" s="6" t="n">
        <v>0.5370746413172041</v>
      </c>
      <c r="S13" s="6" t="n">
        <v>0.4649265905383361</v>
      </c>
      <c r="T13" s="2" t="inlineStr">
        <is>
          <t>Under</t>
        </is>
      </c>
      <c r="U13" s="4" t="n">
        <v>105</v>
      </c>
      <c r="V13" s="2" t="n">
        <v>2.05</v>
      </c>
      <c r="W13" s="4" t="n">
        <v>105</v>
      </c>
      <c r="X13" s="2" t="n">
        <v>1</v>
      </c>
      <c r="Y13" s="5" t="n">
        <v>-1</v>
      </c>
      <c r="Z13" s="7" t="n">
        <v>100</v>
      </c>
      <c r="AA13" s="7">
        <f>Y13*Z13</f>
        <v/>
      </c>
      <c r="AB13" s="6">
        <f>IF(Z13=0,0,AA13/Z13)</f>
        <v/>
      </c>
      <c r="AC13" s="6" t="n"/>
      <c r="AD13" s="2" t="inlineStr">
        <is>
          <t>Loss</t>
        </is>
      </c>
      <c r="AE13" s="6">
        <f>IF((COUNTIF($AD$2:AD13,"Win")+COUNTIF($AD$2:AD13,"Loss"))=0,0,COUNTIF($AD$2:AD13,"Win")/(COUNTIF($AD$2:AD13,"Win")+COUNTIF($AD$2:AD13,"Loss")))</f>
        <v/>
      </c>
      <c r="AF13" s="6">
        <f>SUM($Y$2:Y13)/SUM($X$2:X13)</f>
        <v/>
      </c>
      <c r="AG13" s="5">
        <f>SUM($Y$2:Y13)</f>
        <v/>
      </c>
      <c r="AH13" s="7">
        <f>10000.0+SUM($AA$2:AA13)</f>
        <v/>
      </c>
      <c r="AI13" s="2" t="n">
        <v>2026</v>
      </c>
      <c r="AJ13" s="2" t="inlineStr">
        <is>
          <t>2026-06</t>
        </is>
      </c>
      <c r="AK13" s="2" t="inlineStr">
        <is>
          <t>+100 to +120</t>
        </is>
      </c>
      <c r="AL13" s="2" t="inlineStr">
        <is>
          <t>2026 Frozen Test</t>
        </is>
      </c>
      <c r="AM13" s="6" t="n">
        <v>0.09619334733358875</v>
      </c>
    </row>
    <row r="14">
      <c r="A14" s="2" t="inlineStr">
        <is>
          <t>KPROP-00905</t>
        </is>
      </c>
      <c r="B14" s="3" t="n">
        <v>46176.79555555555</v>
      </c>
      <c r="C14" s="3" t="n">
        <v>46176</v>
      </c>
      <c r="D14" s="2" t="inlineStr">
        <is>
          <t>Chase Burns</t>
        </is>
      </c>
      <c r="E14" s="2" t="n">
        <v>113</v>
      </c>
      <c r="F14" s="2" t="n">
        <v>118</v>
      </c>
      <c r="G14" s="2" t="inlineStr">
        <is>
          <t>Home</t>
        </is>
      </c>
      <c r="H14" s="2" t="inlineStr">
        <is>
          <t>betmgm</t>
        </is>
      </c>
      <c r="I14" s="4" t="n"/>
      <c r="J14" s="4" t="n"/>
      <c r="K14" s="4" t="n">
        <v>105</v>
      </c>
      <c r="L14" s="4" t="n">
        <v>105</v>
      </c>
      <c r="M14" s="5" t="n">
        <v>6.5</v>
      </c>
      <c r="N14" s="5" t="n">
        <v>5.418867501503399</v>
      </c>
      <c r="O14" s="5" t="n">
        <v>6.5</v>
      </c>
      <c r="P14" s="5" t="n">
        <v>1.081132498496601</v>
      </c>
      <c r="Q14" s="6" t="n">
        <v>0.4324039325624366</v>
      </c>
      <c r="R14" s="6" t="n">
        <v>0.698733625640213</v>
      </c>
      <c r="S14" s="6" t="n">
        <v>0.4649265905383361</v>
      </c>
      <c r="T14" s="2" t="inlineStr">
        <is>
          <t>Under</t>
        </is>
      </c>
      <c r="U14" s="4" t="n">
        <v>105</v>
      </c>
      <c r="V14" s="2" t="n">
        <v>2.05</v>
      </c>
      <c r="W14" s="4" t="n">
        <v>105</v>
      </c>
      <c r="X14" s="2" t="n">
        <v>1</v>
      </c>
      <c r="Y14" s="5" t="n">
        <v>-1</v>
      </c>
      <c r="Z14" s="7" t="n">
        <v>100</v>
      </c>
      <c r="AA14" s="7">
        <f>Y14*Z14</f>
        <v/>
      </c>
      <c r="AB14" s="6">
        <f>IF(Z14=0,0,AA14/Z14)</f>
        <v/>
      </c>
      <c r="AC14" s="6" t="n"/>
      <c r="AD14" s="2" t="inlineStr">
        <is>
          <t>Loss</t>
        </is>
      </c>
      <c r="AE14" s="6">
        <f>IF((COUNTIF($AD$2:AD14,"Win")+COUNTIF($AD$2:AD14,"Loss"))=0,0,COUNTIF($AD$2:AD14,"Win")/(COUNTIF($AD$2:AD14,"Win")+COUNTIF($AD$2:AD14,"Loss")))</f>
        <v/>
      </c>
      <c r="AF14" s="6">
        <f>SUM($Y$2:Y14)/SUM($X$2:X14)</f>
        <v/>
      </c>
      <c r="AG14" s="5">
        <f>SUM($Y$2:Y14)</f>
        <v/>
      </c>
      <c r="AH14" s="7">
        <f>10000.0+SUM($AA$2:AA14)</f>
        <v/>
      </c>
      <c r="AI14" s="2" t="n">
        <v>2026</v>
      </c>
      <c r="AJ14" s="2" t="inlineStr">
        <is>
          <t>2026-06</t>
        </is>
      </c>
      <c r="AK14" s="2" t="inlineStr">
        <is>
          <t>+100 to +120</t>
        </is>
      </c>
      <c r="AL14" s="2" t="inlineStr">
        <is>
          <t>2026 Frozen Test</t>
        </is>
      </c>
      <c r="AM14" s="6" t="n">
        <v>0.4118132691070825</v>
      </c>
    </row>
    <row r="15">
      <c r="A15" s="2" t="inlineStr">
        <is>
          <t>KPROP-00906</t>
        </is>
      </c>
      <c r="B15" s="3" t="n">
        <v>46176.65319444444</v>
      </c>
      <c r="C15" s="3" t="n">
        <v>46176</v>
      </c>
      <c r="D15" s="2" t="inlineStr">
        <is>
          <t>Freddy Peralta</t>
        </is>
      </c>
      <c r="E15" s="2" t="n">
        <v>121</v>
      </c>
      <c r="F15" s="2" t="n">
        <v>136</v>
      </c>
      <c r="G15" s="2" t="inlineStr">
        <is>
          <t>Away</t>
        </is>
      </c>
      <c r="H15" s="2" t="inlineStr">
        <is>
          <t>bovada</t>
        </is>
      </c>
      <c r="I15" s="4" t="n"/>
      <c r="J15" s="4" t="n"/>
      <c r="K15" s="4" t="n">
        <v>120</v>
      </c>
      <c r="L15" s="4" t="n">
        <v>120</v>
      </c>
      <c r="M15" s="5" t="n">
        <v>5.5</v>
      </c>
      <c r="N15" s="5" t="n">
        <v>5.427166241934311</v>
      </c>
      <c r="O15" s="5" t="n">
        <v>5.5</v>
      </c>
      <c r="P15" s="5" t="n">
        <v>0.07283375806568859</v>
      </c>
      <c r="Q15" s="6" t="n">
        <v>0.1911724384521172</v>
      </c>
      <c r="R15" s="6" t="n">
        <v>0.5414420174782351</v>
      </c>
      <c r="S15" s="6" t="n">
        <v>0.4350927246790299</v>
      </c>
      <c r="T15" s="2" t="inlineStr">
        <is>
          <t>Under</t>
        </is>
      </c>
      <c r="U15" s="4" t="n">
        <v>120</v>
      </c>
      <c r="V15" s="2" t="n">
        <v>2.2</v>
      </c>
      <c r="W15" s="4" t="n">
        <v>120</v>
      </c>
      <c r="X15" s="2" t="n">
        <v>1</v>
      </c>
      <c r="Y15" s="5" t="n">
        <v>-1</v>
      </c>
      <c r="Z15" s="7" t="n">
        <v>100</v>
      </c>
      <c r="AA15" s="7">
        <f>Y15*Z15</f>
        <v/>
      </c>
      <c r="AB15" s="6">
        <f>IF(Z15=0,0,AA15/Z15)</f>
        <v/>
      </c>
      <c r="AC15" s="6" t="n"/>
      <c r="AD15" s="2" t="inlineStr">
        <is>
          <t>Loss</t>
        </is>
      </c>
      <c r="AE15" s="6">
        <f>IF((COUNTIF($AD$2:AD15,"Win")+COUNTIF($AD$2:AD15,"Loss"))=0,0,COUNTIF($AD$2:AD15,"Win")/(COUNTIF($AD$2:AD15,"Win")+COUNTIF($AD$2:AD15,"Loss")))</f>
        <v/>
      </c>
      <c r="AF15" s="6">
        <f>SUM($Y$2:Y15)/SUM($X$2:X15)</f>
        <v/>
      </c>
      <c r="AG15" s="5">
        <f>SUM($Y$2:Y15)</f>
        <v/>
      </c>
      <c r="AH15" s="7">
        <f>10000.0+SUM($AA$2:AA15)</f>
        <v/>
      </c>
      <c r="AI15" s="2" t="n">
        <v>2026</v>
      </c>
      <c r="AJ15" s="2" t="inlineStr">
        <is>
          <t>2026-06</t>
        </is>
      </c>
      <c r="AK15" s="2" t="inlineStr">
        <is>
          <t>+100 to +120</t>
        </is>
      </c>
      <c r="AL15" s="2" t="inlineStr">
        <is>
          <t>2026 Frozen Test</t>
        </is>
      </c>
      <c r="AM15" s="6" t="n">
        <v>0.1593103653767643</v>
      </c>
    </row>
    <row r="16">
      <c r="A16" s="2" t="inlineStr">
        <is>
          <t>KPROP-00907</t>
        </is>
      </c>
      <c r="B16" s="3" t="n">
        <v>46176.65319444444</v>
      </c>
      <c r="C16" s="3" t="n">
        <v>46176</v>
      </c>
      <c r="D16" s="2" t="inlineStr">
        <is>
          <t>Freddy Peralta</t>
        </is>
      </c>
      <c r="E16" s="2" t="n">
        <v>121</v>
      </c>
      <c r="F16" s="2" t="n">
        <v>136</v>
      </c>
      <c r="G16" s="2" t="inlineStr">
        <is>
          <t>Away</t>
        </is>
      </c>
      <c r="H16" s="2" t="inlineStr">
        <is>
          <t>betrivers</t>
        </is>
      </c>
      <c r="I16" s="4" t="n"/>
      <c r="J16" s="4" t="n"/>
      <c r="K16" s="4" t="n">
        <v>-159</v>
      </c>
      <c r="L16" s="4" t="n">
        <v>-159</v>
      </c>
      <c r="M16" s="5" t="n">
        <v>6.5</v>
      </c>
      <c r="N16" s="5" t="n">
        <v>5.427166241934311</v>
      </c>
      <c r="O16" s="5" t="n">
        <v>6.5</v>
      </c>
      <c r="P16" s="5" t="n">
        <v>1.072833758065689</v>
      </c>
      <c r="Q16" s="6" t="n">
        <v>0.1360808773073864</v>
      </c>
      <c r="R16" s="6" t="n">
        <v>0.6974396119377392</v>
      </c>
      <c r="S16" s="6" t="n">
        <v>0.5745729303547964</v>
      </c>
      <c r="T16" s="2" t="inlineStr">
        <is>
          <t>Under</t>
        </is>
      </c>
      <c r="U16" s="4" t="n">
        <v>-159</v>
      </c>
      <c r="V16" s="2" t="n">
        <v>1.628930817610063</v>
      </c>
      <c r="W16" s="4" t="n">
        <v>-159</v>
      </c>
      <c r="X16" s="2" t="n">
        <v>1</v>
      </c>
      <c r="Y16" s="5" t="n">
        <v>0.6289308176100628</v>
      </c>
      <c r="Z16" s="7" t="n">
        <v>100</v>
      </c>
      <c r="AA16" s="7">
        <f>Y16*Z16</f>
        <v/>
      </c>
      <c r="AB16" s="6">
        <f>IF(Z16=0,0,AA16/Z16)</f>
        <v/>
      </c>
      <c r="AC16" s="6" t="n"/>
      <c r="AD16" s="2" t="inlineStr">
        <is>
          <t>Win</t>
        </is>
      </c>
      <c r="AE16" s="6">
        <f>IF((COUNTIF($AD$2:AD16,"Win")+COUNTIF($AD$2:AD16,"Loss"))=0,0,COUNTIF($AD$2:AD16,"Win")/(COUNTIF($AD$2:AD16,"Win")+COUNTIF($AD$2:AD16,"Loss")))</f>
        <v/>
      </c>
      <c r="AF16" s="6">
        <f>SUM($Y$2:Y16)/SUM($X$2:X16)</f>
        <v/>
      </c>
      <c r="AG16" s="5">
        <f>SUM($Y$2:Y16)</f>
        <v/>
      </c>
      <c r="AH16" s="7">
        <f>10000.0+SUM($AA$2:AA16)</f>
        <v/>
      </c>
      <c r="AI16" s="2" t="n">
        <v>2026</v>
      </c>
      <c r="AJ16" s="2" t="inlineStr">
        <is>
          <t>2026-06</t>
        </is>
      </c>
      <c r="AK16" s="2" t="inlineStr">
        <is>
          <t>&lt;= -150</t>
        </is>
      </c>
      <c r="AL16" s="2" t="inlineStr">
        <is>
          <t>2026 Frozen Test</t>
        </is>
      </c>
      <c r="AM16" s="6" t="n">
        <v>0.2163685949187444</v>
      </c>
    </row>
    <row r="17">
      <c r="A17" s="2" t="inlineStr">
        <is>
          <t>KPROP-00908</t>
        </is>
      </c>
      <c r="B17" s="3" t="n">
        <v>46176.79555555555</v>
      </c>
      <c r="C17" s="3" t="n">
        <v>46176</v>
      </c>
      <c r="D17" s="2" t="inlineStr">
        <is>
          <t>Gavin Williams</t>
        </is>
      </c>
      <c r="E17" s="2" t="n">
        <v>114</v>
      </c>
      <c r="F17" s="2" t="n">
        <v>147</v>
      </c>
      <c r="G17" s="2" t="inlineStr">
        <is>
          <t>Away</t>
        </is>
      </c>
      <c r="H17" s="2" t="inlineStr">
        <is>
          <t>fanduel</t>
        </is>
      </c>
      <c r="I17" s="4" t="n"/>
      <c r="J17" s="4" t="n"/>
      <c r="K17" s="4" t="n">
        <v>-108</v>
      </c>
      <c r="L17" s="4" t="n">
        <v>-108</v>
      </c>
      <c r="M17" s="5" t="n">
        <v>6.5</v>
      </c>
      <c r="N17" s="5" t="n">
        <v>6.162079371112521</v>
      </c>
      <c r="O17" s="5" t="n">
        <v>6.5</v>
      </c>
      <c r="P17" s="5" t="n">
        <v>0.3379206288874794</v>
      </c>
      <c r="Q17" s="6" t="n">
        <v>0.1175913518093219</v>
      </c>
      <c r="R17" s="6" t="n">
        <v>0.5802878172856094</v>
      </c>
      <c r="S17" s="6" t="n">
        <v>0.4925753075943997</v>
      </c>
      <c r="T17" s="2" t="inlineStr">
        <is>
          <t>Under</t>
        </is>
      </c>
      <c r="U17" s="4" t="n">
        <v>-108</v>
      </c>
      <c r="V17" s="2" t="n">
        <v>1.925925925925926</v>
      </c>
      <c r="W17" s="4" t="n">
        <v>-108</v>
      </c>
      <c r="X17" s="2" t="n">
        <v>1</v>
      </c>
      <c r="Y17" s="5" t="n">
        <v>0.925925925925926</v>
      </c>
      <c r="Z17" s="7" t="n">
        <v>100</v>
      </c>
      <c r="AA17" s="7">
        <f>Y17*Z17</f>
        <v/>
      </c>
      <c r="AB17" s="6">
        <f>IF(Z17=0,0,AA17/Z17)</f>
        <v/>
      </c>
      <c r="AC17" s="6" t="n"/>
      <c r="AD17" s="2" t="inlineStr">
        <is>
          <t>Win</t>
        </is>
      </c>
      <c r="AE17" s="6">
        <f>IF((COUNTIF($AD$2:AD17,"Win")+COUNTIF($AD$2:AD17,"Loss"))=0,0,COUNTIF($AD$2:AD17,"Win")/(COUNTIF($AD$2:AD17,"Win")+COUNTIF($AD$2:AD17,"Loss")))</f>
        <v/>
      </c>
      <c r="AF17" s="6">
        <f>SUM($Y$2:Y17)/SUM($X$2:X17)</f>
        <v/>
      </c>
      <c r="AG17" s="5">
        <f>SUM($Y$2:Y17)</f>
        <v/>
      </c>
      <c r="AH17" s="7">
        <f>10000.0+SUM($AA$2:AA17)</f>
        <v/>
      </c>
      <c r="AI17" s="2" t="n">
        <v>2026</v>
      </c>
      <c r="AJ17" s="2" t="inlineStr">
        <is>
          <t>2026-06</t>
        </is>
      </c>
      <c r="AK17" s="2" t="inlineStr">
        <is>
          <t>-119 to -101</t>
        </is>
      </c>
      <c r="AL17" s="2" t="inlineStr">
        <is>
          <t>2026 Frozen Test</t>
        </is>
      </c>
      <c r="AM17" s="6" t="n">
        <v>0.1269986599540676</v>
      </c>
    </row>
    <row r="18">
      <c r="A18" s="2" t="inlineStr">
        <is>
          <t>KPROP-00909</t>
        </is>
      </c>
      <c r="B18" s="3" t="n">
        <v>46176.65319444444</v>
      </c>
      <c r="C18" s="3" t="n">
        <v>46176</v>
      </c>
      <c r="D18" s="2" t="inlineStr">
        <is>
          <t>George Kirby</t>
        </is>
      </c>
      <c r="E18" s="2" t="n">
        <v>136</v>
      </c>
      <c r="F18" s="2" t="n">
        <v>121</v>
      </c>
      <c r="G18" s="2" t="inlineStr">
        <is>
          <t>Home</t>
        </is>
      </c>
      <c r="H18" s="2" t="inlineStr">
        <is>
          <t>betmgm</t>
        </is>
      </c>
      <c r="I18" s="4" t="n"/>
      <c r="J18" s="4" t="n"/>
      <c r="K18" s="4" t="n">
        <v>-105</v>
      </c>
      <c r="L18" s="4" t="n">
        <v>-105</v>
      </c>
      <c r="M18" s="5" t="n">
        <v>5.5</v>
      </c>
      <c r="N18" s="5" t="n">
        <v>5.244096118470957</v>
      </c>
      <c r="O18" s="5" t="n">
        <v>5.5</v>
      </c>
      <c r="P18" s="5" t="n">
        <v>0.2559038815290426</v>
      </c>
      <c r="Q18" s="6" t="n">
        <v>0.1191294708416242</v>
      </c>
      <c r="R18" s="6" t="n">
        <v>0.5732126557969295</v>
      </c>
      <c r="S18" s="6" t="n">
        <v>0.4943946188340808</v>
      </c>
      <c r="T18" s="2" t="inlineStr">
        <is>
          <t>Under</t>
        </is>
      </c>
      <c r="U18" s="4" t="n">
        <v>-105</v>
      </c>
      <c r="V18" s="2" t="n">
        <v>1.952380952380952</v>
      </c>
      <c r="W18" s="4" t="n">
        <v>-105</v>
      </c>
      <c r="X18" s="2" t="n">
        <v>1</v>
      </c>
      <c r="Y18" s="5" t="n">
        <v>0.9523809523809523</v>
      </c>
      <c r="Z18" s="7" t="n">
        <v>100</v>
      </c>
      <c r="AA18" s="7">
        <f>Y18*Z18</f>
        <v/>
      </c>
      <c r="AB18" s="6">
        <f>IF(Z18=0,0,AA18/Z18)</f>
        <v/>
      </c>
      <c r="AC18" s="6" t="n"/>
      <c r="AD18" s="2" t="inlineStr">
        <is>
          <t>Win</t>
        </is>
      </c>
      <c r="AE18" s="6">
        <f>IF((COUNTIF($AD$2:AD18,"Win")+COUNTIF($AD$2:AD18,"Loss"))=0,0,COUNTIF($AD$2:AD18,"Win")/(COUNTIF($AD$2:AD18,"Win")+COUNTIF($AD$2:AD18,"Loss")))</f>
        <v/>
      </c>
      <c r="AF18" s="6">
        <f>SUM($Y$2:Y18)/SUM($X$2:X18)</f>
        <v/>
      </c>
      <c r="AG18" s="5">
        <f>SUM($Y$2:Y18)</f>
        <v/>
      </c>
      <c r="AH18" s="7">
        <f>10000.0+SUM($AA$2:AA18)</f>
        <v/>
      </c>
      <c r="AI18" s="2" t="n">
        <v>2026</v>
      </c>
      <c r="AJ18" s="2" t="inlineStr">
        <is>
          <t>2026-06</t>
        </is>
      </c>
      <c r="AK18" s="2" t="inlineStr">
        <is>
          <t>-119 to -101</t>
        </is>
      </c>
      <c r="AL18" s="2" t="inlineStr">
        <is>
          <t>2026 Frozen Test</t>
        </is>
      </c>
      <c r="AM18" s="6" t="n">
        <v>0.1250859443837054</v>
      </c>
    </row>
    <row r="19">
      <c r="A19" s="2" t="inlineStr">
        <is>
          <t>KPROP-00910</t>
        </is>
      </c>
      <c r="B19" s="3" t="n">
        <v>46176.79555555555</v>
      </c>
      <c r="C19" s="3" t="n">
        <v>46176</v>
      </c>
      <c r="D19" s="2" t="inlineStr">
        <is>
          <t>Gerrit Cole</t>
        </is>
      </c>
      <c r="E19" s="2" t="n">
        <v>147</v>
      </c>
      <c r="F19" s="2" t="n">
        <v>114</v>
      </c>
      <c r="G19" s="2" t="inlineStr">
        <is>
          <t>Home</t>
        </is>
      </c>
      <c r="H19" s="2" t="inlineStr">
        <is>
          <t>fanduel</t>
        </is>
      </c>
      <c r="I19" s="4" t="n"/>
      <c r="J19" s="4" t="n"/>
      <c r="K19" s="4" t="n">
        <v>-115</v>
      </c>
      <c r="L19" s="4" t="n">
        <v>-115</v>
      </c>
      <c r="M19" s="5" t="n">
        <v>5.5</v>
      </c>
      <c r="N19" s="5" t="n">
        <v>4.78875481468994</v>
      </c>
      <c r="O19" s="5" t="n">
        <v>5.5</v>
      </c>
      <c r="P19" s="5" t="n">
        <v>0.7112451853100596</v>
      </c>
      <c r="Q19" s="6" t="n">
        <v>0.2207719407306811</v>
      </c>
      <c r="R19" s="6" t="n">
        <v>0.652971038065248</v>
      </c>
      <c r="S19" s="6" t="n">
        <v>0.5108342361863488</v>
      </c>
      <c r="T19" s="2" t="inlineStr">
        <is>
          <t>Under</t>
        </is>
      </c>
      <c r="U19" s="4" t="n">
        <v>-115</v>
      </c>
      <c r="V19" s="2" t="n">
        <v>1.869565217391304</v>
      </c>
      <c r="W19" s="4" t="n">
        <v>-115</v>
      </c>
      <c r="X19" s="2" t="n">
        <v>1</v>
      </c>
      <c r="Y19" s="5" t="n">
        <v>0.8695652173913042</v>
      </c>
      <c r="Z19" s="7" t="n">
        <v>100</v>
      </c>
      <c r="AA19" s="7">
        <f>Y19*Z19</f>
        <v/>
      </c>
      <c r="AB19" s="6">
        <f>IF(Z19=0,0,AA19/Z19)</f>
        <v/>
      </c>
      <c r="AC19" s="6" t="n"/>
      <c r="AD19" s="2" t="inlineStr">
        <is>
          <t>Win</t>
        </is>
      </c>
      <c r="AE19" s="6">
        <f>IF((COUNTIF($AD$2:AD19,"Win")+COUNTIF($AD$2:AD19,"Loss"))=0,0,COUNTIF($AD$2:AD19,"Win")/(COUNTIF($AD$2:AD19,"Win")+COUNTIF($AD$2:AD19,"Loss")))</f>
        <v/>
      </c>
      <c r="AF19" s="6">
        <f>SUM($Y$2:Y19)/SUM($X$2:X19)</f>
        <v/>
      </c>
      <c r="AG19" s="5">
        <f>SUM($Y$2:Y19)</f>
        <v/>
      </c>
      <c r="AH19" s="7">
        <f>10000.0+SUM($AA$2:AA19)</f>
        <v/>
      </c>
      <c r="AI19" s="2" t="n">
        <v>2026</v>
      </c>
      <c r="AJ19" s="2" t="inlineStr">
        <is>
          <t>2026-06</t>
        </is>
      </c>
      <c r="AK19" s="2" t="inlineStr">
        <is>
          <t>-119 to -101</t>
        </is>
      </c>
      <c r="AL19" s="2" t="inlineStr">
        <is>
          <t>2026 Frozen Test</t>
        </is>
      </c>
      <c r="AM19" s="6" t="n">
        <v>0.2538877318402833</v>
      </c>
    </row>
    <row r="20">
      <c r="A20" s="2" t="inlineStr">
        <is>
          <t>KPROP-00911</t>
        </is>
      </c>
      <c r="B20" s="3" t="n">
        <v>46176.81638888889</v>
      </c>
      <c r="C20" s="3" t="n">
        <v>46176</v>
      </c>
      <c r="D20" s="2" t="inlineStr">
        <is>
          <t>Logan Webb</t>
        </is>
      </c>
      <c r="E20" s="2" t="n">
        <v>137</v>
      </c>
      <c r="F20" s="2" t="n">
        <v>158</v>
      </c>
      <c r="G20" s="2" t="inlineStr">
        <is>
          <t>Away</t>
        </is>
      </c>
      <c r="H20" s="2" t="inlineStr">
        <is>
          <t>fanatics</t>
        </is>
      </c>
      <c r="I20" s="4" t="n"/>
      <c r="J20" s="4" t="n"/>
      <c r="K20" s="4" t="n">
        <v>-125</v>
      </c>
      <c r="L20" s="4" t="n">
        <v>-125</v>
      </c>
      <c r="M20" s="5" t="n">
        <v>5.5</v>
      </c>
      <c r="N20" s="5" t="n">
        <v>5.108172164633564</v>
      </c>
      <c r="O20" s="5" t="n">
        <v>5.5</v>
      </c>
      <c r="P20" s="5" t="n">
        <v>0.3918278353664357</v>
      </c>
      <c r="Q20" s="6" t="n">
        <v>0.07457712427794738</v>
      </c>
      <c r="R20" s="6" t="n">
        <v>0.5969872912655263</v>
      </c>
      <c r="S20" s="6" t="n">
        <v>0.5454545454545454</v>
      </c>
      <c r="T20" s="2" t="inlineStr">
        <is>
          <t>Under</t>
        </is>
      </c>
      <c r="U20" s="4" t="n">
        <v>-125</v>
      </c>
      <c r="V20" s="2" t="n">
        <v>1.8</v>
      </c>
      <c r="W20" s="4" t="n">
        <v>-125</v>
      </c>
      <c r="X20" s="2" t="n">
        <v>1</v>
      </c>
      <c r="Y20" s="5" t="n">
        <v>0.8</v>
      </c>
      <c r="Z20" s="7" t="n">
        <v>100</v>
      </c>
      <c r="AA20" s="7">
        <f>Y20*Z20</f>
        <v/>
      </c>
      <c r="AB20" s="6">
        <f>IF(Z20=0,0,AA20/Z20)</f>
        <v/>
      </c>
      <c r="AC20" s="6" t="n"/>
      <c r="AD20" s="2" t="inlineStr">
        <is>
          <t>Win</t>
        </is>
      </c>
      <c r="AE20" s="6">
        <f>IF((COUNTIF($AD$2:AD20,"Win")+COUNTIF($AD$2:AD20,"Loss"))=0,0,COUNTIF($AD$2:AD20,"Win")/(COUNTIF($AD$2:AD20,"Win")+COUNTIF($AD$2:AD20,"Loss")))</f>
        <v/>
      </c>
      <c r="AF20" s="6">
        <f>SUM($Y$2:Y20)/SUM($X$2:X20)</f>
        <v/>
      </c>
      <c r="AG20" s="5">
        <f>SUM($Y$2:Y20)</f>
        <v/>
      </c>
      <c r="AH20" s="7">
        <f>10000.0+SUM($AA$2:AA20)</f>
        <v/>
      </c>
      <c r="AI20" s="2" t="n">
        <v>2026</v>
      </c>
      <c r="AJ20" s="2" t="inlineStr">
        <is>
          <t>2026-06</t>
        </is>
      </c>
      <c r="AK20" s="2" t="inlineStr">
        <is>
          <t>-149 to -120</t>
        </is>
      </c>
      <c r="AL20" s="2" t="inlineStr">
        <is>
          <t>2026 Frozen Test</t>
        </is>
      </c>
      <c r="AM20" s="6" t="n">
        <v>0.09322140534743423</v>
      </c>
    </row>
    <row r="21">
      <c r="A21" s="2" t="inlineStr">
        <is>
          <t>KPROP-00912</t>
        </is>
      </c>
      <c r="B21" s="3" t="n">
        <v>46176.56986111111</v>
      </c>
      <c r="C21" s="3" t="n">
        <v>46176</v>
      </c>
      <c r="D21" s="2" t="inlineStr">
        <is>
          <t>Taj Bradley</t>
        </is>
      </c>
      <c r="E21" s="2" t="n">
        <v>142</v>
      </c>
      <c r="F21" s="2" t="n">
        <v>145</v>
      </c>
      <c r="G21" s="2" t="inlineStr">
        <is>
          <t>Home</t>
        </is>
      </c>
      <c r="H21" s="2" t="inlineStr">
        <is>
          <t>fanduel</t>
        </is>
      </c>
      <c r="I21" s="4" t="n"/>
      <c r="J21" s="4" t="n"/>
      <c r="K21" s="4" t="n">
        <v>130</v>
      </c>
      <c r="L21" s="4" t="n">
        <v>130</v>
      </c>
      <c r="M21" s="5" t="n">
        <v>5.5</v>
      </c>
      <c r="N21" s="5" t="n">
        <v>5.361632288886923</v>
      </c>
      <c r="O21" s="5" t="n">
        <v>5.5</v>
      </c>
      <c r="P21" s="5" t="n">
        <v>0.1383677111130766</v>
      </c>
      <c r="Q21" s="6" t="n">
        <v>0.2713756327145187</v>
      </c>
      <c r="R21" s="6" t="n">
        <v>0.5527720142237038</v>
      </c>
      <c r="S21" s="6" t="n">
        <v>0.4201680672268908</v>
      </c>
      <c r="T21" s="2" t="inlineStr">
        <is>
          <t>Under</t>
        </is>
      </c>
      <c r="U21" s="4" t="n">
        <v>130</v>
      </c>
      <c r="V21" s="2" t="n">
        <v>2.3</v>
      </c>
      <c r="W21" s="4" t="n">
        <v>130</v>
      </c>
      <c r="X21" s="2" t="n">
        <v>1</v>
      </c>
      <c r="Y21" s="5" t="n">
        <v>1.3</v>
      </c>
      <c r="Z21" s="7" t="n">
        <v>100</v>
      </c>
      <c r="AA21" s="7">
        <f>Y21*Z21</f>
        <v/>
      </c>
      <c r="AB21" s="6">
        <f>IF(Z21=0,0,AA21/Z21)</f>
        <v/>
      </c>
      <c r="AC21" s="6" t="n"/>
      <c r="AD21" s="2" t="inlineStr">
        <is>
          <t>Win</t>
        </is>
      </c>
      <c r="AE21" s="6">
        <f>IF((COUNTIF($AD$2:AD21,"Win")+COUNTIF($AD$2:AD21,"Loss"))=0,0,COUNTIF($AD$2:AD21,"Win")/(COUNTIF($AD$2:AD21,"Win")+COUNTIF($AD$2:AD21,"Loss")))</f>
        <v/>
      </c>
      <c r="AF21" s="6">
        <f>SUM($Y$2:Y21)/SUM($X$2:X21)</f>
        <v/>
      </c>
      <c r="AG21" s="5">
        <f>SUM($Y$2:Y21)</f>
        <v/>
      </c>
      <c r="AH21" s="7">
        <f>10000.0+SUM($AA$2:AA21)</f>
        <v/>
      </c>
      <c r="AI21" s="2" t="n">
        <v>2026</v>
      </c>
      <c r="AJ21" s="2" t="inlineStr">
        <is>
          <t>2026-06</t>
        </is>
      </c>
      <c r="AK21" s="2" t="inlineStr">
        <is>
          <t>+121 to +150</t>
        </is>
      </c>
      <c r="AL21" s="2" t="inlineStr">
        <is>
          <t>2026 Frozen Test</t>
        </is>
      </c>
      <c r="AM21" s="6" t="n">
        <v>0.208750486703476</v>
      </c>
    </row>
    <row r="22">
      <c r="A22" s="2" t="inlineStr">
        <is>
          <t>KPROP-00913</t>
        </is>
      </c>
      <c r="B22" s="3" t="n">
        <v>46176.56986111111</v>
      </c>
      <c r="C22" s="3" t="n">
        <v>46176</v>
      </c>
      <c r="D22" s="2" t="inlineStr">
        <is>
          <t>Taj Bradley</t>
        </is>
      </c>
      <c r="E22" s="2" t="n">
        <v>142</v>
      </c>
      <c r="F22" s="2" t="n">
        <v>145</v>
      </c>
      <c r="G22" s="2" t="inlineStr">
        <is>
          <t>Home</t>
        </is>
      </c>
      <c r="H22" s="2" t="inlineStr">
        <is>
          <t>draftkings</t>
        </is>
      </c>
      <c r="I22" s="4" t="n"/>
      <c r="J22" s="4" t="n"/>
      <c r="K22" s="4" t="n">
        <v>-157</v>
      </c>
      <c r="L22" s="4" t="n">
        <v>-157</v>
      </c>
      <c r="M22" s="5" t="n">
        <v>6.5</v>
      </c>
      <c r="N22" s="5" t="n">
        <v>5.361632288886923</v>
      </c>
      <c r="O22" s="5" t="n">
        <v>6.5</v>
      </c>
      <c r="P22" s="5" t="n">
        <v>1.138367711113077</v>
      </c>
      <c r="Q22" s="6" t="n">
        <v>0.1583431705291199</v>
      </c>
      <c r="R22" s="6" t="n">
        <v>0.7076259835528087</v>
      </c>
      <c r="S22" s="6" t="n">
        <v>0.5766829734315034</v>
      </c>
      <c r="T22" s="2" t="inlineStr">
        <is>
          <t>Under</t>
        </is>
      </c>
      <c r="U22" s="4" t="n">
        <v>-157</v>
      </c>
      <c r="V22" s="2" t="n">
        <v>1.636942675159236</v>
      </c>
      <c r="W22" s="4" t="n">
        <v>-157</v>
      </c>
      <c r="X22" s="2" t="n">
        <v>1</v>
      </c>
      <c r="Y22" s="5" t="n">
        <v>0.6369426751592355</v>
      </c>
      <c r="Z22" s="7" t="n">
        <v>100</v>
      </c>
      <c r="AA22" s="7">
        <f>Y22*Z22</f>
        <v/>
      </c>
      <c r="AB22" s="6">
        <f>IF(Z22=0,0,AA22/Z22)</f>
        <v/>
      </c>
      <c r="AC22" s="6" t="n"/>
      <c r="AD22" s="2" t="inlineStr">
        <is>
          <t>Win</t>
        </is>
      </c>
      <c r="AE22" s="6">
        <f>IF((COUNTIF($AD$2:AD22,"Win")+COUNTIF($AD$2:AD22,"Loss"))=0,0,COUNTIF($AD$2:AD22,"Win")/(COUNTIF($AD$2:AD22,"Win")+COUNTIF($AD$2:AD22,"Loss")))</f>
        <v/>
      </c>
      <c r="AF22" s="6">
        <f>SUM($Y$2:Y22)/SUM($X$2:X22)</f>
        <v/>
      </c>
      <c r="AG22" s="5">
        <f>SUM($Y$2:Y22)</f>
        <v/>
      </c>
      <c r="AH22" s="7">
        <f>10000.0+SUM($AA$2:AA22)</f>
        <v/>
      </c>
      <c r="AI22" s="2" t="n">
        <v>2026</v>
      </c>
      <c r="AJ22" s="2" t="inlineStr">
        <is>
          <t>2026-06</t>
        </is>
      </c>
      <c r="AK22" s="2" t="inlineStr">
        <is>
          <t>&lt;= -150</t>
        </is>
      </c>
      <c r="AL22" s="2" t="inlineStr">
        <is>
          <t>2026 Frozen Test</t>
        </is>
      </c>
      <c r="AM22" s="6" t="n">
        <v>0.2485987777307183</v>
      </c>
    </row>
    <row r="23">
      <c r="A23" s="2" t="inlineStr">
        <is>
          <t>KPROP-00914</t>
        </is>
      </c>
      <c r="B23" s="3" t="n">
        <v>46177.56638888889</v>
      </c>
      <c r="C23" s="3" t="n">
        <v>46177</v>
      </c>
      <c r="D23" s="2" t="inlineStr">
        <is>
          <t>Carlos Rodón</t>
        </is>
      </c>
      <c r="E23" s="2" t="n">
        <v>147</v>
      </c>
      <c r="F23" s="2" t="n">
        <v>114</v>
      </c>
      <c r="G23" s="2" t="inlineStr">
        <is>
          <t>Home</t>
        </is>
      </c>
      <c r="H23" s="2" t="inlineStr">
        <is>
          <t>betmgm</t>
        </is>
      </c>
      <c r="I23" s="4" t="n"/>
      <c r="J23" s="4" t="n"/>
      <c r="K23" s="4" t="n">
        <v>-135</v>
      </c>
      <c r="L23" s="4" t="n">
        <v>-135</v>
      </c>
      <c r="M23" s="5" t="n">
        <v>5.5</v>
      </c>
      <c r="N23" s="5" t="n">
        <v>4.68587027425617</v>
      </c>
      <c r="O23" s="5" t="n">
        <v>5.5</v>
      </c>
      <c r="P23" s="5" t="n">
        <v>0.8141297257438298</v>
      </c>
      <c r="Q23" s="6" t="n">
        <v>0.1678516925154807</v>
      </c>
      <c r="R23" s="6" t="n">
        <v>0.6708935254876166</v>
      </c>
      <c r="S23" s="6" t="n">
        <v>0.5593887691009657</v>
      </c>
      <c r="T23" s="2" t="inlineStr">
        <is>
          <t>Under</t>
        </is>
      </c>
      <c r="U23" s="4" t="n">
        <v>-135</v>
      </c>
      <c r="V23" s="2" t="n">
        <v>1.740740740740741</v>
      </c>
      <c r="W23" s="4" t="n">
        <v>-135</v>
      </c>
      <c r="X23" s="2" t="n">
        <v>1</v>
      </c>
      <c r="Y23" s="5" t="n">
        <v>-1</v>
      </c>
      <c r="Z23" s="7" t="n">
        <v>100</v>
      </c>
      <c r="AA23" s="7">
        <f>Y23*Z23</f>
        <v/>
      </c>
      <c r="AB23" s="6">
        <f>IF(Z23=0,0,AA23/Z23)</f>
        <v/>
      </c>
      <c r="AC23" s="6" t="n"/>
      <c r="AD23" s="2" t="inlineStr">
        <is>
          <t>Loss</t>
        </is>
      </c>
      <c r="AE23" s="6">
        <f>IF((COUNTIF($AD$2:AD23,"Win")+COUNTIF($AD$2:AD23,"Loss"))=0,0,COUNTIF($AD$2:AD23,"Win")/(COUNTIF($AD$2:AD23,"Win")+COUNTIF($AD$2:AD23,"Loss")))</f>
        <v/>
      </c>
      <c r="AF23" s="6">
        <f>SUM($Y$2:Y23)/SUM($X$2:X23)</f>
        <v/>
      </c>
      <c r="AG23" s="5">
        <f>SUM($Y$2:Y23)</f>
        <v/>
      </c>
      <c r="AH23" s="7">
        <f>10000.0+SUM($AA$2:AA23)</f>
        <v/>
      </c>
      <c r="AI23" s="2" t="n">
        <v>2026</v>
      </c>
      <c r="AJ23" s="2" t="inlineStr">
        <is>
          <t>2026-06</t>
        </is>
      </c>
      <c r="AK23" s="2" t="inlineStr">
        <is>
          <t>-149 to -120</t>
        </is>
      </c>
      <c r="AL23" s="2" t="inlineStr">
        <is>
          <t>2026 Frozen Test</t>
        </is>
      </c>
      <c r="AM23" s="6" t="n">
        <v>0.226599784895899</v>
      </c>
    </row>
    <row r="24">
      <c r="A24" s="2" t="inlineStr">
        <is>
          <t>KPROP-00915</t>
        </is>
      </c>
      <c r="B24" s="3" t="n">
        <v>46177.79902777778</v>
      </c>
      <c r="C24" s="3" t="n">
        <v>46177</v>
      </c>
      <c r="D24" s="2" t="inlineStr">
        <is>
          <t>Chris Sale</t>
        </is>
      </c>
      <c r="E24" s="2" t="n">
        <v>144</v>
      </c>
      <c r="F24" s="2" t="n">
        <v>141</v>
      </c>
      <c r="G24" s="2" t="inlineStr">
        <is>
          <t>Home</t>
        </is>
      </c>
      <c r="H24" s="2" t="inlineStr">
        <is>
          <t>betrivers</t>
        </is>
      </c>
      <c r="I24" s="4" t="n"/>
      <c r="J24" s="4" t="n"/>
      <c r="K24" s="4" t="n">
        <v>-143</v>
      </c>
      <c r="L24" s="4" t="n">
        <v>-143</v>
      </c>
      <c r="M24" s="5" t="n">
        <v>7.5</v>
      </c>
      <c r="N24" s="5" t="n">
        <v>5.061464037031416</v>
      </c>
      <c r="O24" s="5" t="n">
        <v>7.5</v>
      </c>
      <c r="P24" s="5" t="n">
        <v>2.438535962968584</v>
      </c>
      <c r="Q24" s="6" t="n">
        <v>0.4616200253158976</v>
      </c>
      <c r="R24" s="6" t="n">
        <v>0.8601303029636764</v>
      </c>
      <c r="S24" s="6" t="n">
        <v>0.5686288432862315</v>
      </c>
      <c r="T24" s="2" t="inlineStr">
        <is>
          <t>Under</t>
        </is>
      </c>
      <c r="U24" s="4" t="n">
        <v>-143</v>
      </c>
      <c r="V24" s="2" t="n">
        <v>1.699300699300699</v>
      </c>
      <c r="W24" s="4" t="n">
        <v>-143</v>
      </c>
      <c r="X24" s="2" t="n">
        <v>1</v>
      </c>
      <c r="Y24" s="5" t="n">
        <v>0.6993006993006992</v>
      </c>
      <c r="Z24" s="7" t="n">
        <v>100</v>
      </c>
      <c r="AA24" s="7">
        <f>Y24*Z24</f>
        <v/>
      </c>
      <c r="AB24" s="6">
        <f>IF(Z24=0,0,AA24/Z24)</f>
        <v/>
      </c>
      <c r="AC24" s="6" t="n"/>
      <c r="AD24" s="2" t="inlineStr">
        <is>
          <t>Win</t>
        </is>
      </c>
      <c r="AE24" s="6">
        <f>IF((COUNTIF($AD$2:AD24,"Win")+COUNTIF($AD$2:AD24,"Loss"))=0,0,COUNTIF($AD$2:AD24,"Win")/(COUNTIF($AD$2:AD24,"Win")+COUNTIF($AD$2:AD24,"Loss")))</f>
        <v/>
      </c>
      <c r="AF24" s="6">
        <f>SUM($Y$2:Y24)/SUM($X$2:X24)</f>
        <v/>
      </c>
      <c r="AG24" s="5">
        <f>SUM($Y$2:Y24)</f>
        <v/>
      </c>
      <c r="AH24" s="7">
        <f>10000.0+SUM($AA$2:AA24)</f>
        <v/>
      </c>
      <c r="AI24" s="2" t="n">
        <v>2026</v>
      </c>
      <c r="AJ24" s="2" t="inlineStr">
        <is>
          <t>2026-06</t>
        </is>
      </c>
      <c r="AK24" s="2" t="inlineStr">
        <is>
          <t>-149 to -120</t>
        </is>
      </c>
      <c r="AL24" s="2" t="inlineStr">
        <is>
          <t>2026 Frozen Test</t>
        </is>
      </c>
      <c r="AM24" s="6" t="n">
        <v>0.6601166362017338</v>
      </c>
    </row>
    <row r="25">
      <c r="A25" s="2" t="inlineStr">
        <is>
          <t>KPROP-00916</t>
        </is>
      </c>
      <c r="B25" s="3" t="n">
        <v>46177.54555555555</v>
      </c>
      <c r="C25" s="3" t="n">
        <v>46177</v>
      </c>
      <c r="D25" s="2" t="inlineStr">
        <is>
          <t>Zack Wheeler</t>
        </is>
      </c>
      <c r="E25" s="2" t="n">
        <v>143</v>
      </c>
      <c r="F25" s="2" t="n">
        <v>135</v>
      </c>
      <c r="G25" s="2" t="inlineStr">
        <is>
          <t>Home</t>
        </is>
      </c>
      <c r="H25" s="2" t="inlineStr">
        <is>
          <t>betmgm</t>
        </is>
      </c>
      <c r="I25" s="4" t="n"/>
      <c r="J25" s="4" t="n"/>
      <c r="K25" s="4" t="n">
        <v>-115</v>
      </c>
      <c r="L25" s="4" t="n">
        <v>-115</v>
      </c>
      <c r="M25" s="5" t="n">
        <v>6.5</v>
      </c>
      <c r="N25" s="5" t="n">
        <v>5.148683100699864</v>
      </c>
      <c r="O25" s="5" t="n">
        <v>6.5</v>
      </c>
      <c r="P25" s="5" t="n">
        <v>1.351316899300136</v>
      </c>
      <c r="Q25" s="6" t="n">
        <v>0.3837315502731283</v>
      </c>
      <c r="R25" s="6" t="n">
        <v>0.7401354803786501</v>
      </c>
      <c r="S25" s="6" t="n">
        <v>0.521797153024911</v>
      </c>
      <c r="T25" s="2" t="inlineStr">
        <is>
          <t>Under</t>
        </is>
      </c>
      <c r="U25" s="4" t="n">
        <v>-115</v>
      </c>
      <c r="V25" s="2" t="n">
        <v>1.869565217391304</v>
      </c>
      <c r="W25" s="4" t="n">
        <v>-115</v>
      </c>
      <c r="X25" s="2" t="n">
        <v>1</v>
      </c>
      <c r="Y25" s="5" t="n">
        <v>-1</v>
      </c>
      <c r="Z25" s="7" t="n">
        <v>100</v>
      </c>
      <c r="AA25" s="7">
        <f>Y25*Z25</f>
        <v/>
      </c>
      <c r="AB25" s="6">
        <f>IF(Z25=0,0,AA25/Z25)</f>
        <v/>
      </c>
      <c r="AC25" s="6" t="n"/>
      <c r="AD25" s="2" t="inlineStr">
        <is>
          <t>Loss</t>
        </is>
      </c>
      <c r="AE25" s="6">
        <f>IF((COUNTIF($AD$2:AD25,"Win")+COUNTIF($AD$2:AD25,"Loss"))=0,0,COUNTIF($AD$2:AD25,"Win")/(COUNTIF($AD$2:AD25,"Win")+COUNTIF($AD$2:AD25,"Loss")))</f>
        <v/>
      </c>
      <c r="AF25" s="6">
        <f>SUM($Y$2:Y25)/SUM($X$2:X25)</f>
        <v/>
      </c>
      <c r="AG25" s="5">
        <f>SUM($Y$2:Y25)</f>
        <v/>
      </c>
      <c r="AH25" s="7">
        <f>10000.0+SUM($AA$2:AA25)</f>
        <v/>
      </c>
      <c r="AI25" s="2" t="n">
        <v>2026</v>
      </c>
      <c r="AJ25" s="2" t="inlineStr">
        <is>
          <t>2026-06</t>
        </is>
      </c>
      <c r="AK25" s="2" t="inlineStr">
        <is>
          <t>-119 to -101</t>
        </is>
      </c>
      <c r="AL25" s="2" t="inlineStr">
        <is>
          <t>2026 Frozen Test</t>
        </is>
      </c>
      <c r="AM25" s="6" t="n">
        <v>0.4412912828140976</v>
      </c>
    </row>
    <row r="26">
      <c r="A26" s="2" t="inlineStr">
        <is>
          <t>KPROP-00917</t>
        </is>
      </c>
      <c r="B26" s="3" t="n">
        <v>46179.67402777778</v>
      </c>
      <c r="C26" s="3" t="n">
        <v>46179</v>
      </c>
      <c r="D26" s="2" t="inlineStr">
        <is>
          <t>Braxton Ashcraft</t>
        </is>
      </c>
      <c r="E26" s="2" t="n">
        <v>134</v>
      </c>
      <c r="F26" s="2" t="n">
        <v>144</v>
      </c>
      <c r="G26" s="2" t="inlineStr">
        <is>
          <t>Away</t>
        </is>
      </c>
      <c r="H26" s="2" t="inlineStr">
        <is>
          <t>fanatics</t>
        </is>
      </c>
      <c r="I26" s="4" t="n"/>
      <c r="J26" s="4" t="n"/>
      <c r="K26" s="4" t="n">
        <v>100</v>
      </c>
      <c r="L26" s="4" t="n">
        <v>100</v>
      </c>
      <c r="M26" s="5" t="n">
        <v>5.5</v>
      </c>
      <c r="N26" s="5" t="n">
        <v>5.276490808304923</v>
      </c>
      <c r="O26" s="5" t="n">
        <v>5.5</v>
      </c>
      <c r="P26" s="5" t="n">
        <v>0.2235091916950767</v>
      </c>
      <c r="Q26" s="6" t="n">
        <v>0.1351311854614288</v>
      </c>
      <c r="R26" s="6" t="n">
        <v>0.5675655927307144</v>
      </c>
      <c r="S26" s="6" t="n">
        <v>0.4939759036144578</v>
      </c>
      <c r="T26" s="2" t="inlineStr">
        <is>
          <t>Under</t>
        </is>
      </c>
      <c r="U26" s="4" t="n">
        <v>100</v>
      </c>
      <c r="V26" s="2" t="n">
        <v>2</v>
      </c>
      <c r="W26" s="4" t="n">
        <v>100</v>
      </c>
      <c r="X26" s="2" t="n">
        <v>1</v>
      </c>
      <c r="Y26" s="5" t="n">
        <v>1</v>
      </c>
      <c r="Z26" s="7" t="n">
        <v>100</v>
      </c>
      <c r="AA26" s="7">
        <f>Y26*Z26</f>
        <v/>
      </c>
      <c r="AB26" s="6">
        <f>IF(Z26=0,0,AA26/Z26)</f>
        <v/>
      </c>
      <c r="AC26" s="6" t="n"/>
      <c r="AD26" s="2" t="inlineStr">
        <is>
          <t>Win</t>
        </is>
      </c>
      <c r="AE26" s="6">
        <f>IF((COUNTIF($AD$2:AD26,"Win")+COUNTIF($AD$2:AD26,"Loss"))=0,0,COUNTIF($AD$2:AD26,"Win")/(COUNTIF($AD$2:AD26,"Win")+COUNTIF($AD$2:AD26,"Loss")))</f>
        <v/>
      </c>
      <c r="AF26" s="6">
        <f>SUM($Y$2:Y26)/SUM($X$2:X26)</f>
        <v/>
      </c>
      <c r="AG26" s="5">
        <f>SUM($Y$2:Y26)</f>
        <v/>
      </c>
      <c r="AH26" s="7">
        <f>10000.0+SUM($AA$2:AA26)</f>
        <v/>
      </c>
      <c r="AI26" s="2" t="n">
        <v>2026</v>
      </c>
      <c r="AJ26" s="2" t="inlineStr">
        <is>
          <t>2026-06</t>
        </is>
      </c>
      <c r="AK26" s="2" t="inlineStr">
        <is>
          <t>+100 to +120</t>
        </is>
      </c>
      <c r="AL26" s="2" t="inlineStr">
        <is>
          <t>2026 Frozen Test</t>
        </is>
      </c>
      <c r="AM26" s="6" t="n">
        <v>0.1351311854614288</v>
      </c>
    </row>
    <row r="27">
      <c r="A27" s="2" t="inlineStr">
        <is>
          <t>KPROP-00918</t>
        </is>
      </c>
      <c r="B27" s="3" t="n">
        <v>46179.54902777778</v>
      </c>
      <c r="C27" s="3" t="n">
        <v>46179</v>
      </c>
      <c r="D27" s="2" t="inlineStr">
        <is>
          <t>Bryce Miller</t>
        </is>
      </c>
      <c r="E27" s="2" t="n">
        <v>136</v>
      </c>
      <c r="F27" s="2" t="n">
        <v>116</v>
      </c>
      <c r="G27" s="2" t="inlineStr">
        <is>
          <t>Away</t>
        </is>
      </c>
      <c r="H27" s="2" t="inlineStr">
        <is>
          <t>fanatics</t>
        </is>
      </c>
      <c r="I27" s="4" t="n"/>
      <c r="J27" s="4" t="n"/>
      <c r="K27" s="4" t="n">
        <v>115</v>
      </c>
      <c r="L27" s="4" t="n">
        <v>115</v>
      </c>
      <c r="M27" s="5" t="n">
        <v>4.5</v>
      </c>
      <c r="N27" s="5" t="n">
        <v>4.509057148884077</v>
      </c>
      <c r="O27" s="5" t="n">
        <v>4.5</v>
      </c>
      <c r="P27" s="5" t="n">
        <v>-0.009057148884076938</v>
      </c>
      <c r="Q27" s="6" t="n">
        <v>0.1403284591917261</v>
      </c>
      <c r="R27" s="6" t="n">
        <v>0.5303853298566168</v>
      </c>
      <c r="S27" s="6" t="n">
        <v>0.4556962025316456</v>
      </c>
      <c r="T27" s="2" t="inlineStr">
        <is>
          <t>Under</t>
        </is>
      </c>
      <c r="U27" s="4" t="n">
        <v>115</v>
      </c>
      <c r="V27" s="2" t="n">
        <v>2.15</v>
      </c>
      <c r="W27" s="4" t="n">
        <v>115</v>
      </c>
      <c r="X27" s="2" t="n">
        <v>1</v>
      </c>
      <c r="Y27" s="5" t="n">
        <v>-1</v>
      </c>
      <c r="Z27" s="7" t="n">
        <v>100</v>
      </c>
      <c r="AA27" s="7">
        <f>Y27*Z27</f>
        <v/>
      </c>
      <c r="AB27" s="6">
        <f>IF(Z27=0,0,AA27/Z27)</f>
        <v/>
      </c>
      <c r="AC27" s="6" t="n"/>
      <c r="AD27" s="2" t="inlineStr">
        <is>
          <t>Loss</t>
        </is>
      </c>
      <c r="AE27" s="6">
        <f>IF((COUNTIF($AD$2:AD27,"Win")+COUNTIF($AD$2:AD27,"Loss"))=0,0,COUNTIF($AD$2:AD27,"Win")/(COUNTIF($AD$2:AD27,"Win")+COUNTIF($AD$2:AD27,"Loss")))</f>
        <v/>
      </c>
      <c r="AF27" s="6">
        <f>SUM($Y$2:Y27)/SUM($X$2:X27)</f>
        <v/>
      </c>
      <c r="AG27" s="5">
        <f>SUM($Y$2:Y27)</f>
        <v/>
      </c>
      <c r="AH27" s="7">
        <f>10000.0+SUM($AA$2:AA27)</f>
        <v/>
      </c>
      <c r="AI27" s="2" t="n">
        <v>2026</v>
      </c>
      <c r="AJ27" s="2" t="inlineStr">
        <is>
          <t>2026-06</t>
        </is>
      </c>
      <c r="AK27" s="2" t="inlineStr">
        <is>
          <t>+100 to +120</t>
        </is>
      </c>
      <c r="AL27" s="2" t="inlineStr">
        <is>
          <t>2026 Frozen Test</t>
        </is>
      </c>
      <c r="AM27" s="6" t="n">
        <v>0.1220247471232401</v>
      </c>
    </row>
    <row r="28">
      <c r="A28" s="2" t="inlineStr">
        <is>
          <t>KPROP-00919</t>
        </is>
      </c>
      <c r="B28" s="3" t="n">
        <v>46179.81638888889</v>
      </c>
      <c r="C28" s="3" t="n">
        <v>46179</v>
      </c>
      <c r="D28" s="2" t="inlineStr">
        <is>
          <t>Jack Leiter</t>
        </is>
      </c>
      <c r="E28" s="2" t="n">
        <v>140</v>
      </c>
      <c r="F28" s="2" t="n">
        <v>114</v>
      </c>
      <c r="G28" s="2" t="inlineStr">
        <is>
          <t>Home</t>
        </is>
      </c>
      <c r="H28" s="2" t="inlineStr">
        <is>
          <t>betmgm</t>
        </is>
      </c>
      <c r="I28" s="4" t="n"/>
      <c r="J28" s="4" t="n"/>
      <c r="K28" s="4" t="n">
        <v>-125</v>
      </c>
      <c r="L28" s="4" t="n">
        <v>-125</v>
      </c>
      <c r="M28" s="5" t="n">
        <v>5.5</v>
      </c>
      <c r="N28" s="5" t="n">
        <v>4.843371500687589</v>
      </c>
      <c r="O28" s="5" t="n">
        <v>5.5</v>
      </c>
      <c r="P28" s="5" t="n">
        <v>0.6566284993124114</v>
      </c>
      <c r="Q28" s="6" t="n">
        <v>0.1581578533232111</v>
      </c>
      <c r="R28" s="6" t="n">
        <v>0.6434210296240062</v>
      </c>
      <c r="S28" s="6" t="n">
        <v>0.5555555555555556</v>
      </c>
      <c r="T28" s="2" t="inlineStr">
        <is>
          <t>Under</t>
        </is>
      </c>
      <c r="U28" s="4" t="n">
        <v>-125</v>
      </c>
      <c r="V28" s="2" t="n">
        <v>1.8</v>
      </c>
      <c r="W28" s="4" t="n">
        <v>-125</v>
      </c>
      <c r="X28" s="2" t="n">
        <v>1</v>
      </c>
      <c r="Y28" s="5" t="n">
        <v>0.8</v>
      </c>
      <c r="Z28" s="7" t="n">
        <v>100</v>
      </c>
      <c r="AA28" s="7">
        <f>Y28*Z28</f>
        <v/>
      </c>
      <c r="AB28" s="6">
        <f>IF(Z28=0,0,AA28/Z28)</f>
        <v/>
      </c>
      <c r="AC28" s="6" t="n"/>
      <c r="AD28" s="2" t="inlineStr">
        <is>
          <t>Win</t>
        </is>
      </c>
      <c r="AE28" s="6">
        <f>IF((COUNTIF($AD$2:AD28,"Win")+COUNTIF($AD$2:AD28,"Loss"))=0,0,COUNTIF($AD$2:AD28,"Win")/(COUNTIF($AD$2:AD28,"Win")+COUNTIF($AD$2:AD28,"Loss")))</f>
        <v/>
      </c>
      <c r="AF28" s="6">
        <f>SUM($Y$2:Y28)/SUM($X$2:X28)</f>
        <v/>
      </c>
      <c r="AG28" s="5">
        <f>SUM($Y$2:Y28)</f>
        <v/>
      </c>
      <c r="AH28" s="7">
        <f>10000.0+SUM($AA$2:AA28)</f>
        <v/>
      </c>
      <c r="AI28" s="2" t="n">
        <v>2026</v>
      </c>
      <c r="AJ28" s="2" t="inlineStr">
        <is>
          <t>2026-06</t>
        </is>
      </c>
      <c r="AK28" s="2" t="inlineStr">
        <is>
          <t>-149 to -120</t>
        </is>
      </c>
      <c r="AL28" s="2" t="inlineStr">
        <is>
          <t>2026 Frozen Test</t>
        </is>
      </c>
      <c r="AM28" s="6" t="n">
        <v>0.1976973166540139</v>
      </c>
    </row>
    <row r="29">
      <c r="A29" s="2" t="inlineStr">
        <is>
          <t>KPROP-00920</t>
        </is>
      </c>
      <c r="B29" s="3" t="n">
        <v>46179.58722222222</v>
      </c>
      <c r="C29" s="3" t="n">
        <v>46179</v>
      </c>
      <c r="D29" s="2" t="inlineStr">
        <is>
          <t>Joe Ryan</t>
        </is>
      </c>
      <c r="E29" s="2" t="n">
        <v>142</v>
      </c>
      <c r="F29" s="2" t="n">
        <v>118</v>
      </c>
      <c r="G29" s="2" t="inlineStr">
        <is>
          <t>Home</t>
        </is>
      </c>
      <c r="H29" s="2" t="inlineStr">
        <is>
          <t>betrivers</t>
        </is>
      </c>
      <c r="I29" s="4" t="n"/>
      <c r="J29" s="4" t="n"/>
      <c r="K29" s="4" t="n">
        <v>118</v>
      </c>
      <c r="L29" s="4" t="n">
        <v>118</v>
      </c>
      <c r="M29" s="5" t="n">
        <v>5.5</v>
      </c>
      <c r="N29" s="5" t="n">
        <v>5.214177904941198</v>
      </c>
      <c r="O29" s="5" t="n">
        <v>5.5</v>
      </c>
      <c r="P29" s="5" t="n">
        <v>0.2858220950588022</v>
      </c>
      <c r="Q29" s="6" t="n">
        <v>0.2609896303128423</v>
      </c>
      <c r="R29" s="6" t="n">
        <v>0.5784356102352488</v>
      </c>
      <c r="S29" s="6" t="n">
        <v>0.4300893911283522</v>
      </c>
      <c r="T29" s="2" t="inlineStr">
        <is>
          <t>Under</t>
        </is>
      </c>
      <c r="U29" s="4" t="n">
        <v>118</v>
      </c>
      <c r="V29" s="2" t="n">
        <v>2.18</v>
      </c>
      <c r="W29" s="4" t="n">
        <v>118</v>
      </c>
      <c r="X29" s="2" t="n">
        <v>1</v>
      </c>
      <c r="Y29" s="5" t="n">
        <v>1.18</v>
      </c>
      <c r="Z29" s="7" t="n">
        <v>100</v>
      </c>
      <c r="AA29" s="7">
        <f>Y29*Z29</f>
        <v/>
      </c>
      <c r="AB29" s="6">
        <f>IF(Z29=0,0,AA29/Z29)</f>
        <v/>
      </c>
      <c r="AC29" s="6" t="n"/>
      <c r="AD29" s="2" t="inlineStr">
        <is>
          <t>Win</t>
        </is>
      </c>
      <c r="AE29" s="6">
        <f>IF((COUNTIF($AD$2:AD29,"Win")+COUNTIF($AD$2:AD29,"Loss"))=0,0,COUNTIF($AD$2:AD29,"Win")/(COUNTIF($AD$2:AD29,"Win")+COUNTIF($AD$2:AD29,"Loss")))</f>
        <v/>
      </c>
      <c r="AF29" s="6">
        <f>SUM($Y$2:Y29)/SUM($X$2:X29)</f>
        <v/>
      </c>
      <c r="AG29" s="5">
        <f>SUM($Y$2:Y29)</f>
        <v/>
      </c>
      <c r="AH29" s="7">
        <f>10000.0+SUM($AA$2:AA29)</f>
        <v/>
      </c>
      <c r="AI29" s="2" t="n">
        <v>2026</v>
      </c>
      <c r="AJ29" s="2" t="inlineStr">
        <is>
          <t>2026-06</t>
        </is>
      </c>
      <c r="AK29" s="2" t="inlineStr">
        <is>
          <t>+100 to +120</t>
        </is>
      </c>
      <c r="AL29" s="2" t="inlineStr">
        <is>
          <t>2026 Frozen Test</t>
        </is>
      </c>
      <c r="AM29" s="6" t="n">
        <v>0.2211776528074935</v>
      </c>
    </row>
    <row r="30">
      <c r="A30" s="2" t="inlineStr">
        <is>
          <t>KPROP-00921</t>
        </is>
      </c>
      <c r="B30" s="3" t="n">
        <v>46179.58722222222</v>
      </c>
      <c r="C30" s="3" t="n">
        <v>46179</v>
      </c>
      <c r="D30" s="2" t="inlineStr">
        <is>
          <t>Joe Ryan</t>
        </is>
      </c>
      <c r="E30" s="2" t="n">
        <v>142</v>
      </c>
      <c r="F30" s="2" t="n">
        <v>118</v>
      </c>
      <c r="G30" s="2" t="inlineStr">
        <is>
          <t>Home</t>
        </is>
      </c>
      <c r="H30" s="2" t="inlineStr">
        <is>
          <t>draftkings</t>
        </is>
      </c>
      <c r="I30" s="4" t="n"/>
      <c r="J30" s="4" t="n"/>
      <c r="K30" s="4" t="n">
        <v>-146</v>
      </c>
      <c r="L30" s="4" t="n">
        <v>-146</v>
      </c>
      <c r="M30" s="5" t="n">
        <v>6.5</v>
      </c>
      <c r="N30" s="5" t="n">
        <v>5.214177904941198</v>
      </c>
      <c r="O30" s="5" t="n">
        <v>6.5</v>
      </c>
      <c r="P30" s="5" t="n">
        <v>1.285822095058802</v>
      </c>
      <c r="Q30" s="6" t="n">
        <v>0.2304100089250302</v>
      </c>
      <c r="R30" s="6" t="n">
        <v>0.7302433386303024</v>
      </c>
      <c r="S30" s="6" t="n">
        <v>0.5728870060420862</v>
      </c>
      <c r="T30" s="2" t="inlineStr">
        <is>
          <t>Under</t>
        </is>
      </c>
      <c r="U30" s="4" t="n">
        <v>-146</v>
      </c>
      <c r="V30" s="2" t="n">
        <v>1.684931506849315</v>
      </c>
      <c r="W30" s="4" t="n">
        <v>-146</v>
      </c>
      <c r="X30" s="2" t="n">
        <v>1</v>
      </c>
      <c r="Y30" s="5" t="n">
        <v>0.6849315068493151</v>
      </c>
      <c r="Z30" s="7" t="n">
        <v>100</v>
      </c>
      <c r="AA30" s="7">
        <f>Y30*Z30</f>
        <v/>
      </c>
      <c r="AB30" s="6">
        <f>IF(Z30=0,0,AA30/Z30)</f>
        <v/>
      </c>
      <c r="AC30" s="6" t="n"/>
      <c r="AD30" s="2" t="inlineStr">
        <is>
          <t>Win</t>
        </is>
      </c>
      <c r="AE30" s="6">
        <f>IF((COUNTIF($AD$2:AD30,"Win")+COUNTIF($AD$2:AD30,"Loss"))=0,0,COUNTIF($AD$2:AD30,"Win")/(COUNTIF($AD$2:AD30,"Win")+COUNTIF($AD$2:AD30,"Loss")))</f>
        <v/>
      </c>
      <c r="AF30" s="6">
        <f>SUM($Y$2:Y30)/SUM($X$2:X30)</f>
        <v/>
      </c>
      <c r="AG30" s="5">
        <f>SUM($Y$2:Y30)</f>
        <v/>
      </c>
      <c r="AH30" s="7">
        <f>10000.0+SUM($AA$2:AA30)</f>
        <v/>
      </c>
      <c r="AI30" s="2" t="n">
        <v>2026</v>
      </c>
      <c r="AJ30" s="2" t="inlineStr">
        <is>
          <t>2026-06</t>
        </is>
      </c>
      <c r="AK30" s="2" t="inlineStr">
        <is>
          <t>-149 to -120</t>
        </is>
      </c>
      <c r="AL30" s="2" t="inlineStr">
        <is>
          <t>2026 Frozen Test</t>
        </is>
      </c>
      <c r="AM30" s="6" t="n">
        <v>0.336398613030544</v>
      </c>
    </row>
    <row r="31">
      <c r="A31" s="2" t="inlineStr">
        <is>
          <t>KPROP-00922</t>
        </is>
      </c>
      <c r="B31" s="3" t="n">
        <v>46179.59763888889</v>
      </c>
      <c r="C31" s="3" t="n">
        <v>46179</v>
      </c>
      <c r="D31" s="2" t="inlineStr">
        <is>
          <t>Landen Roupp</t>
        </is>
      </c>
      <c r="E31" s="2" t="n">
        <v>137</v>
      </c>
      <c r="F31" s="2" t="n">
        <v>112</v>
      </c>
      <c r="G31" s="2" t="inlineStr">
        <is>
          <t>Away</t>
        </is>
      </c>
      <c r="H31" s="2" t="inlineStr">
        <is>
          <t>bovada</t>
        </is>
      </c>
      <c r="I31" s="4" t="n"/>
      <c r="J31" s="4" t="n"/>
      <c r="K31" s="4" t="n">
        <v>120</v>
      </c>
      <c r="L31" s="4" t="n">
        <v>120</v>
      </c>
      <c r="M31" s="5" t="n">
        <v>4.5</v>
      </c>
      <c r="N31" s="5" t="n">
        <v>4.607036026242846</v>
      </c>
      <c r="O31" s="5" t="n">
        <v>4.5</v>
      </c>
      <c r="P31" s="5" t="n">
        <v>-0.107036026242846</v>
      </c>
      <c r="Q31" s="6" t="n">
        <v>0.1262133479953106</v>
      </c>
      <c r="R31" s="6" t="n">
        <v>0.5119151581796866</v>
      </c>
      <c r="S31" s="6" t="n">
        <v>0.4357962697274032</v>
      </c>
      <c r="T31" s="2" t="inlineStr">
        <is>
          <t>Under</t>
        </is>
      </c>
      <c r="U31" s="4" t="n">
        <v>120</v>
      </c>
      <c r="V31" s="2" t="n">
        <v>2.2</v>
      </c>
      <c r="W31" s="4" t="n">
        <v>120</v>
      </c>
      <c r="X31" s="2" t="n">
        <v>1</v>
      </c>
      <c r="Y31" s="5" t="n">
        <v>-1</v>
      </c>
      <c r="Z31" s="7" t="n">
        <v>100</v>
      </c>
      <c r="AA31" s="7">
        <f>Y31*Z31</f>
        <v/>
      </c>
      <c r="AB31" s="6">
        <f>IF(Z31=0,0,AA31/Z31)</f>
        <v/>
      </c>
      <c r="AC31" s="6" t="n"/>
      <c r="AD31" s="2" t="inlineStr">
        <is>
          <t>Loss</t>
        </is>
      </c>
      <c r="AE31" s="6">
        <f>IF((COUNTIF($AD$2:AD31,"Win")+COUNTIF($AD$2:AD31,"Loss"))=0,0,COUNTIF($AD$2:AD31,"Win")/(COUNTIF($AD$2:AD31,"Win")+COUNTIF($AD$2:AD31,"Loss")))</f>
        <v/>
      </c>
      <c r="AF31" s="6">
        <f>SUM($Y$2:Y31)/SUM($X$2:X31)</f>
        <v/>
      </c>
      <c r="AG31" s="5">
        <f>SUM($Y$2:Y31)</f>
        <v/>
      </c>
      <c r="AH31" s="7">
        <f>10000.0+SUM($AA$2:AA31)</f>
        <v/>
      </c>
      <c r="AI31" s="2" t="n">
        <v>2026</v>
      </c>
      <c r="AJ31" s="2" t="inlineStr">
        <is>
          <t>2026-06</t>
        </is>
      </c>
      <c r="AK31" s="2" t="inlineStr">
        <is>
          <t>+100 to +120</t>
        </is>
      </c>
      <c r="AL31" s="2" t="inlineStr">
        <is>
          <t>2026 Frozen Test</t>
        </is>
      </c>
      <c r="AM31" s="6" t="n">
        <v>0.1051777899960921</v>
      </c>
    </row>
    <row r="32">
      <c r="A32" s="2" t="inlineStr">
        <is>
          <t>KPROP-00923</t>
        </is>
      </c>
      <c r="B32" s="3" t="n">
        <v>46179.59763888889</v>
      </c>
      <c r="C32" s="3" t="n">
        <v>46179</v>
      </c>
      <c r="D32" s="2" t="inlineStr">
        <is>
          <t>Landen Roupp</t>
        </is>
      </c>
      <c r="E32" s="2" t="n">
        <v>137</v>
      </c>
      <c r="F32" s="2" t="n">
        <v>112</v>
      </c>
      <c r="G32" s="2" t="inlineStr">
        <is>
          <t>Away</t>
        </is>
      </c>
      <c r="H32" s="2" t="inlineStr">
        <is>
          <t>draftkings</t>
        </is>
      </c>
      <c r="I32" s="4" t="n"/>
      <c r="J32" s="4" t="n"/>
      <c r="K32" s="4" t="n">
        <v>-157</v>
      </c>
      <c r="L32" s="4" t="n">
        <v>-157</v>
      </c>
      <c r="M32" s="5" t="n">
        <v>5.5</v>
      </c>
      <c r="N32" s="5" t="n">
        <v>4.607036026242846</v>
      </c>
      <c r="O32" s="5" t="n">
        <v>5.5</v>
      </c>
      <c r="P32" s="5" t="n">
        <v>0.892963973757154</v>
      </c>
      <c r="Q32" s="6" t="n">
        <v>0.1205613133930353</v>
      </c>
      <c r="R32" s="6" t="n">
        <v>0.6845452381428271</v>
      </c>
      <c r="S32" s="6" t="n">
        <v>0.5894240754053839</v>
      </c>
      <c r="T32" s="2" t="inlineStr">
        <is>
          <t>Under</t>
        </is>
      </c>
      <c r="U32" s="4" t="n">
        <v>-157</v>
      </c>
      <c r="V32" s="2" t="n">
        <v>1.636942675159236</v>
      </c>
      <c r="W32" s="4" t="n">
        <v>-157</v>
      </c>
      <c r="X32" s="2" t="n">
        <v>1</v>
      </c>
      <c r="Y32" s="5" t="n">
        <v>0.6369426751592355</v>
      </c>
      <c r="Z32" s="7" t="n">
        <v>100</v>
      </c>
      <c r="AA32" s="7">
        <f>Y32*Z32</f>
        <v/>
      </c>
      <c r="AB32" s="6">
        <f>IF(Z32=0,0,AA32/Z32)</f>
        <v/>
      </c>
      <c r="AC32" s="6" t="n"/>
      <c r="AD32" s="2" t="inlineStr">
        <is>
          <t>Win</t>
        </is>
      </c>
      <c r="AE32" s="6">
        <f>IF((COUNTIF($AD$2:AD32,"Win")+COUNTIF($AD$2:AD32,"Loss"))=0,0,COUNTIF($AD$2:AD32,"Win")/(COUNTIF($AD$2:AD32,"Win")+COUNTIF($AD$2:AD32,"Loss")))</f>
        <v/>
      </c>
      <c r="AF32" s="6">
        <f>SUM($Y$2:Y32)/SUM($X$2:X32)</f>
        <v/>
      </c>
      <c r="AG32" s="5">
        <f>SUM($Y$2:Y32)</f>
        <v/>
      </c>
      <c r="AH32" s="7">
        <f>10000.0+SUM($AA$2:AA32)</f>
        <v/>
      </c>
      <c r="AI32" s="2" t="n">
        <v>2026</v>
      </c>
      <c r="AJ32" s="2" t="inlineStr">
        <is>
          <t>2026-06</t>
        </is>
      </c>
      <c r="AK32" s="2" t="inlineStr">
        <is>
          <t>&lt;= -150</t>
        </is>
      </c>
      <c r="AL32" s="2" t="inlineStr">
        <is>
          <t>2026 Frozen Test</t>
        </is>
      </c>
      <c r="AM32" s="6" t="n">
        <v>0.1892812620270655</v>
      </c>
    </row>
    <row r="33">
      <c r="A33" s="2" t="inlineStr">
        <is>
          <t>KPROP-00924</t>
        </is>
      </c>
      <c r="B33" s="3" t="n">
        <v>46179.67402777778</v>
      </c>
      <c r="C33" s="3" t="n">
        <v>46179</v>
      </c>
      <c r="D33" s="2" t="inlineStr">
        <is>
          <t>Shane McClanahan</t>
        </is>
      </c>
      <c r="E33" s="2" t="n">
        <v>139</v>
      </c>
      <c r="F33" s="2" t="n">
        <v>146</v>
      </c>
      <c r="G33" s="2" t="inlineStr">
        <is>
          <t>Away</t>
        </is>
      </c>
      <c r="H33" s="2" t="inlineStr">
        <is>
          <t>betmgm</t>
        </is>
      </c>
      <c r="I33" s="4" t="n"/>
      <c r="J33" s="4" t="n"/>
      <c r="K33" s="4" t="n">
        <v>-140</v>
      </c>
      <c r="L33" s="4" t="n">
        <v>-140</v>
      </c>
      <c r="M33" s="5" t="n">
        <v>5.5</v>
      </c>
      <c r="N33" s="5" t="n">
        <v>4.858098220941717</v>
      </c>
      <c r="O33" s="5" t="n">
        <v>5.5</v>
      </c>
      <c r="P33" s="5" t="n">
        <v>0.6419017790582826</v>
      </c>
      <c r="Q33" s="6" t="n">
        <v>0.09858773175979491</v>
      </c>
      <c r="R33" s="6" t="n">
        <v>0.640842843526547</v>
      </c>
      <c r="S33" s="6" t="n">
        <v>0.5686556434219986</v>
      </c>
      <c r="T33" s="2" t="inlineStr">
        <is>
          <t>Under</t>
        </is>
      </c>
      <c r="U33" s="4" t="n">
        <v>-140</v>
      </c>
      <c r="V33" s="2" t="n">
        <v>1.714285714285714</v>
      </c>
      <c r="W33" s="4" t="n">
        <v>-140</v>
      </c>
      <c r="X33" s="2" t="n">
        <v>1</v>
      </c>
      <c r="Y33" s="5" t="n">
        <v>-1</v>
      </c>
      <c r="Z33" s="7" t="n">
        <v>100</v>
      </c>
      <c r="AA33" s="7">
        <f>Y33*Z33</f>
        <v/>
      </c>
      <c r="AB33" s="6">
        <f>IF(Z33=0,0,AA33/Z33)</f>
        <v/>
      </c>
      <c r="AC33" s="6" t="n"/>
      <c r="AD33" s="2" t="inlineStr">
        <is>
          <t>Loss</t>
        </is>
      </c>
      <c r="AE33" s="6">
        <f>IF((COUNTIF($AD$2:AD33,"Win")+COUNTIF($AD$2:AD33,"Loss"))=0,0,COUNTIF($AD$2:AD33,"Win")/(COUNTIF($AD$2:AD33,"Win")+COUNTIF($AD$2:AD33,"Loss")))</f>
        <v/>
      </c>
      <c r="AF33" s="6">
        <f>SUM($Y$2:Y33)/SUM($X$2:X33)</f>
        <v/>
      </c>
      <c r="AG33" s="5">
        <f>SUM($Y$2:Y33)</f>
        <v/>
      </c>
      <c r="AH33" s="7">
        <f>10000.0+SUM($AA$2:AA33)</f>
        <v/>
      </c>
      <c r="AI33" s="2" t="n">
        <v>2026</v>
      </c>
      <c r="AJ33" s="2" t="inlineStr">
        <is>
          <t>2026-06</t>
        </is>
      </c>
      <c r="AK33" s="2" t="inlineStr">
        <is>
          <t>-149 to -120</t>
        </is>
      </c>
      <c r="AL33" s="2" t="inlineStr">
        <is>
          <t>2026 Frozen Test</t>
        </is>
      </c>
      <c r="AM33" s="6" t="n">
        <v>0.1380228244637128</v>
      </c>
    </row>
    <row r="34">
      <c r="A34" s="2" t="inlineStr">
        <is>
          <t>KPROP-00925</t>
        </is>
      </c>
      <c r="B34" s="3" t="n">
        <v>46179.67402777778</v>
      </c>
      <c r="C34" s="3" t="n">
        <v>46179</v>
      </c>
      <c r="D34" s="2" t="inlineStr">
        <is>
          <t>Spencer Strider</t>
        </is>
      </c>
      <c r="E34" s="2" t="n">
        <v>144</v>
      </c>
      <c r="F34" s="2" t="n">
        <v>134</v>
      </c>
      <c r="G34" s="2" t="inlineStr">
        <is>
          <t>Home</t>
        </is>
      </c>
      <c r="H34" s="2" t="inlineStr">
        <is>
          <t>draftkings</t>
        </is>
      </c>
      <c r="I34" s="4" t="n"/>
      <c r="J34" s="4" t="n"/>
      <c r="K34" s="4" t="n">
        <v>-131</v>
      </c>
      <c r="L34" s="4" t="n">
        <v>-131</v>
      </c>
      <c r="M34" s="5" t="n">
        <v>6.5</v>
      </c>
      <c r="N34" s="5" t="n">
        <v>5.222871098736406</v>
      </c>
      <c r="O34" s="5" t="n">
        <v>6.5</v>
      </c>
      <c r="P34" s="5" t="n">
        <v>1.277128901263594</v>
      </c>
      <c r="Q34" s="6" t="n">
        <v>0.285352389096208</v>
      </c>
      <c r="R34" s="6" t="n">
        <v>0.7289227834268539</v>
      </c>
      <c r="S34" s="6" t="n">
        <v>0.548245785582978</v>
      </c>
      <c r="T34" s="2" t="inlineStr">
        <is>
          <t>Under</t>
        </is>
      </c>
      <c r="U34" s="4" t="n">
        <v>-131</v>
      </c>
      <c r="V34" s="2" t="n">
        <v>1.763358778625954</v>
      </c>
      <c r="W34" s="4" t="n">
        <v>-131</v>
      </c>
      <c r="X34" s="2" t="n">
        <v>1</v>
      </c>
      <c r="Y34" s="5" t="n">
        <v>0.7633587786259541</v>
      </c>
      <c r="Z34" s="7" t="n">
        <v>100</v>
      </c>
      <c r="AA34" s="7">
        <f>Y34*Z34</f>
        <v/>
      </c>
      <c r="AB34" s="6">
        <f>IF(Z34=0,0,AA34/Z34)</f>
        <v/>
      </c>
      <c r="AC34" s="6" t="n"/>
      <c r="AD34" s="2" t="inlineStr">
        <is>
          <t>Win</t>
        </is>
      </c>
      <c r="AE34" s="6">
        <f>IF((COUNTIF($AD$2:AD34,"Win")+COUNTIF($AD$2:AD34,"Loss"))=0,0,COUNTIF($AD$2:AD34,"Win")/(COUNTIF($AD$2:AD34,"Win")+COUNTIF($AD$2:AD34,"Loss")))</f>
        <v/>
      </c>
      <c r="AF34" s="6">
        <f>SUM($Y$2:Y34)/SUM($X$2:X34)</f>
        <v/>
      </c>
      <c r="AG34" s="5">
        <f>SUM($Y$2:Y34)</f>
        <v/>
      </c>
      <c r="AH34" s="7">
        <f>10000.0+SUM($AA$2:AA34)</f>
        <v/>
      </c>
      <c r="AI34" s="2" t="n">
        <v>2026</v>
      </c>
      <c r="AJ34" s="2" t="inlineStr">
        <is>
          <t>2026-06</t>
        </is>
      </c>
      <c r="AK34" s="2" t="inlineStr">
        <is>
          <t>-149 to -120</t>
        </is>
      </c>
      <c r="AL34" s="2" t="inlineStr">
        <is>
          <t>2026 Frozen Test</t>
        </is>
      </c>
      <c r="AM34" s="6" t="n">
        <v>0.3738116297160325</v>
      </c>
    </row>
    <row r="35">
      <c r="A35" s="2" t="inlineStr">
        <is>
          <t>KPROP-00926</t>
        </is>
      </c>
      <c r="B35" s="3" t="n">
        <v>46179.67402777778</v>
      </c>
      <c r="C35" s="3" t="n">
        <v>46179</v>
      </c>
      <c r="D35" s="2" t="inlineStr">
        <is>
          <t>Tatsuya Imai</t>
        </is>
      </c>
      <c r="E35" s="2" t="n">
        <v>117</v>
      </c>
      <c r="F35" s="2" t="n">
        <v>133</v>
      </c>
      <c r="G35" s="2" t="inlineStr">
        <is>
          <t>Home</t>
        </is>
      </c>
      <c r="H35" s="2" t="inlineStr">
        <is>
          <t>bovada</t>
        </is>
      </c>
      <c r="I35" s="4" t="n"/>
      <c r="J35" s="4" t="n"/>
      <c r="K35" s="4" t="n">
        <v>130</v>
      </c>
      <c r="L35" s="4" t="n">
        <v>130</v>
      </c>
      <c r="M35" s="5" t="n">
        <v>4.5</v>
      </c>
      <c r="N35" s="5" t="n">
        <v>4.794555902310401</v>
      </c>
      <c r="O35" s="5" t="n">
        <v>4.5</v>
      </c>
      <c r="P35" s="5" t="n">
        <v>-0.2945559023104014</v>
      </c>
      <c r="Q35" s="6" t="n">
        <v>0.0976754261124315</v>
      </c>
      <c r="R35" s="6" t="n">
        <v>0.4772501852662746</v>
      </c>
      <c r="S35" s="6" t="n">
        <v>0.4170073589533933</v>
      </c>
      <c r="T35" s="2" t="inlineStr">
        <is>
          <t>Under</t>
        </is>
      </c>
      <c r="U35" s="4" t="n">
        <v>130</v>
      </c>
      <c r="V35" s="2" t="n">
        <v>2.3</v>
      </c>
      <c r="W35" s="4" t="n">
        <v>130</v>
      </c>
      <c r="X35" s="2" t="n">
        <v>1</v>
      </c>
      <c r="Y35" s="5" t="n">
        <v>-1</v>
      </c>
      <c r="Z35" s="7" t="n">
        <v>100</v>
      </c>
      <c r="AA35" s="7">
        <f>Y35*Z35</f>
        <v/>
      </c>
      <c r="AB35" s="6">
        <f>IF(Z35=0,0,AA35/Z35)</f>
        <v/>
      </c>
      <c r="AC35" s="6" t="n"/>
      <c r="AD35" s="2" t="inlineStr">
        <is>
          <t>Loss</t>
        </is>
      </c>
      <c r="AE35" s="6">
        <f>IF((COUNTIF($AD$2:AD35,"Win")+COUNTIF($AD$2:AD35,"Loss"))=0,0,COUNTIF($AD$2:AD35,"Win")/(COUNTIF($AD$2:AD35,"Win")+COUNTIF($AD$2:AD35,"Loss")))</f>
        <v/>
      </c>
      <c r="AF35" s="6">
        <f>SUM($Y$2:Y35)/SUM($X$2:X35)</f>
        <v/>
      </c>
      <c r="AG35" s="5">
        <f>SUM($Y$2:Y35)</f>
        <v/>
      </c>
      <c r="AH35" s="7">
        <f>10000.0+SUM($AA$2:AA35)</f>
        <v/>
      </c>
      <c r="AI35" s="2" t="n">
        <v>2026</v>
      </c>
      <c r="AJ35" s="2" t="inlineStr">
        <is>
          <t>2026-06</t>
        </is>
      </c>
      <c r="AK35" s="2" t="inlineStr">
        <is>
          <t>+121 to +150</t>
        </is>
      </c>
      <c r="AL35" s="2" t="inlineStr">
        <is>
          <t>2026 Frozen Test</t>
        </is>
      </c>
      <c r="AM35" s="6" t="n">
        <v>0.07513494316340887</v>
      </c>
    </row>
    <row r="36">
      <c r="A36" s="2" t="inlineStr">
        <is>
          <t>KPROP-00927</t>
        </is>
      </c>
      <c r="B36" s="3" t="n">
        <v>46180.56638888889</v>
      </c>
      <c r="C36" s="3" t="n">
        <v>46180</v>
      </c>
      <c r="D36" s="2" t="inlineStr">
        <is>
          <t>Aaron Nola</t>
        </is>
      </c>
      <c r="E36" s="2" t="n">
        <v>143</v>
      </c>
      <c r="F36" s="2" t="n">
        <v>145</v>
      </c>
      <c r="G36" s="2" t="inlineStr">
        <is>
          <t>Home</t>
        </is>
      </c>
      <c r="H36" s="2" t="inlineStr">
        <is>
          <t>draftkings</t>
        </is>
      </c>
      <c r="I36" s="4" t="n"/>
      <c r="J36" s="4" t="n"/>
      <c r="K36" s="4" t="n">
        <v>-124</v>
      </c>
      <c r="L36" s="4" t="n">
        <v>-124</v>
      </c>
      <c r="M36" s="5" t="n">
        <v>5.5</v>
      </c>
      <c r="N36" s="5" t="n">
        <v>4.655255557429843</v>
      </c>
      <c r="O36" s="5" t="n">
        <v>5.5</v>
      </c>
      <c r="P36" s="5" t="n">
        <v>0.8447444425701569</v>
      </c>
      <c r="Q36" s="6" t="n">
        <v>0.2215310943397557</v>
      </c>
      <c r="R36" s="6" t="n">
        <v>0.676204712938079</v>
      </c>
      <c r="S36" s="6" t="n">
        <v>0.5434162250305749</v>
      </c>
      <c r="T36" s="2" t="inlineStr">
        <is>
          <t>Under</t>
        </is>
      </c>
      <c r="U36" s="4" t="n">
        <v>-124</v>
      </c>
      <c r="V36" s="2" t="n">
        <v>1.806451612903226</v>
      </c>
      <c r="W36" s="4" t="n">
        <v>-124</v>
      </c>
      <c r="X36" s="2" t="n">
        <v>1</v>
      </c>
      <c r="Y36" s="5" t="n">
        <v>0.8064516129032258</v>
      </c>
      <c r="Z36" s="7" t="n">
        <v>100</v>
      </c>
      <c r="AA36" s="7">
        <f>Y36*Z36</f>
        <v/>
      </c>
      <c r="AB36" s="6">
        <f>IF(Z36=0,0,AA36/Z36)</f>
        <v/>
      </c>
      <c r="AC36" s="6" t="n"/>
      <c r="AD36" s="2" t="inlineStr">
        <is>
          <t>Win</t>
        </is>
      </c>
      <c r="AE36" s="6">
        <f>IF((COUNTIF($AD$2:AD36,"Win")+COUNTIF($AD$2:AD36,"Loss"))=0,0,COUNTIF($AD$2:AD36,"Win")/(COUNTIF($AD$2:AD36,"Win")+COUNTIF($AD$2:AD36,"Loss")))</f>
        <v/>
      </c>
      <c r="AF36" s="6">
        <f>SUM($Y$2:Y36)/SUM($X$2:X36)</f>
        <v/>
      </c>
      <c r="AG36" s="5">
        <f>SUM($Y$2:Y36)</f>
        <v/>
      </c>
      <c r="AH36" s="7">
        <f>10000.0+SUM($AA$2:AA36)</f>
        <v/>
      </c>
      <c r="AI36" s="2" t="n">
        <v>2026</v>
      </c>
      <c r="AJ36" s="2" t="inlineStr">
        <is>
          <t>2026-06</t>
        </is>
      </c>
      <c r="AK36" s="2" t="inlineStr">
        <is>
          <t>-149 to -120</t>
        </is>
      </c>
      <c r="AL36" s="2" t="inlineStr">
        <is>
          <t>2026 Frozen Test</t>
        </is>
      </c>
      <c r="AM36" s="6" t="n">
        <v>0.2746985569812971</v>
      </c>
    </row>
    <row r="37">
      <c r="A37" s="2" t="inlineStr">
        <is>
          <t>KPROP-00928</t>
        </is>
      </c>
      <c r="B37" s="3" t="n">
        <v>46180.56638888889</v>
      </c>
      <c r="C37" s="3" t="n">
        <v>46180</v>
      </c>
      <c r="D37" s="2" t="inlineStr">
        <is>
          <t>Bryce Elder</t>
        </is>
      </c>
      <c r="E37" s="2" t="n">
        <v>144</v>
      </c>
      <c r="F37" s="2" t="n">
        <v>134</v>
      </c>
      <c r="G37" s="2" t="inlineStr">
        <is>
          <t>Home</t>
        </is>
      </c>
      <c r="H37" s="2" t="inlineStr">
        <is>
          <t>draftkings</t>
        </is>
      </c>
      <c r="I37" s="4" t="n"/>
      <c r="J37" s="4" t="n"/>
      <c r="K37" s="4" t="n">
        <v>123</v>
      </c>
      <c r="L37" s="4" t="n">
        <v>123</v>
      </c>
      <c r="M37" s="5" t="n">
        <v>4.5</v>
      </c>
      <c r="N37" s="5" t="n">
        <v>4.534029747685084</v>
      </c>
      <c r="O37" s="5" t="n">
        <v>4.5</v>
      </c>
      <c r="P37" s="5" t="n">
        <v>-0.03402974768508393</v>
      </c>
      <c r="Q37" s="6" t="n">
        <v>0.1722149123973327</v>
      </c>
      <c r="R37" s="6" t="n">
        <v>0.5256569113889384</v>
      </c>
      <c r="S37" s="6" t="n">
        <v>0.4466501240694789</v>
      </c>
      <c r="T37" s="2" t="inlineStr">
        <is>
          <t>Under</t>
        </is>
      </c>
      <c r="U37" s="4" t="n">
        <v>123</v>
      </c>
      <c r="V37" s="2" t="n">
        <v>2.23</v>
      </c>
      <c r="W37" s="4" t="n">
        <v>123</v>
      </c>
      <c r="X37" s="2" t="n">
        <v>1</v>
      </c>
      <c r="Y37" s="5" t="n">
        <v>1.23</v>
      </c>
      <c r="Z37" s="7" t="n">
        <v>100</v>
      </c>
      <c r="AA37" s="7">
        <f>Y37*Z37</f>
        <v/>
      </c>
      <c r="AB37" s="6">
        <f>IF(Z37=0,0,AA37/Z37)</f>
        <v/>
      </c>
      <c r="AC37" s="6" t="n"/>
      <c r="AD37" s="2" t="inlineStr">
        <is>
          <t>Win</t>
        </is>
      </c>
      <c r="AE37" s="6">
        <f>IF((COUNTIF($AD$2:AD37,"Win")+COUNTIF($AD$2:AD37,"Loss"))=0,0,COUNTIF($AD$2:AD37,"Win")/(COUNTIF($AD$2:AD37,"Win")+COUNTIF($AD$2:AD37,"Loss")))</f>
        <v/>
      </c>
      <c r="AF37" s="6">
        <f>SUM($Y$2:Y37)/SUM($X$2:X37)</f>
        <v/>
      </c>
      <c r="AG37" s="5">
        <f>SUM($Y$2:Y37)</f>
        <v/>
      </c>
      <c r="AH37" s="7">
        <f>10000.0+SUM($AA$2:AA37)</f>
        <v/>
      </c>
      <c r="AI37" s="2" t="n">
        <v>2026</v>
      </c>
      <c r="AJ37" s="2" t="inlineStr">
        <is>
          <t>2026-06</t>
        </is>
      </c>
      <c r="AK37" s="2" t="inlineStr">
        <is>
          <t>+121 to +150</t>
        </is>
      </c>
      <c r="AL37" s="2" t="inlineStr">
        <is>
          <t>2026 Frozen Test</t>
        </is>
      </c>
      <c r="AM37" s="6" t="n">
        <v>0.1400121239002705</v>
      </c>
    </row>
    <row r="38">
      <c r="A38" s="2" t="inlineStr">
        <is>
          <t>KPROP-00929</t>
        </is>
      </c>
      <c r="B38" s="3" t="n">
        <v>46180.56638888889</v>
      </c>
      <c r="C38" s="3" t="n">
        <v>46180</v>
      </c>
      <c r="D38" s="2" t="inlineStr">
        <is>
          <t>Cam Schlittler</t>
        </is>
      </c>
      <c r="E38" s="2" t="n">
        <v>147</v>
      </c>
      <c r="F38" s="2" t="n">
        <v>111</v>
      </c>
      <c r="G38" s="2" t="inlineStr">
        <is>
          <t>Home</t>
        </is>
      </c>
      <c r="H38" s="2" t="inlineStr">
        <is>
          <t>draftkings</t>
        </is>
      </c>
      <c r="I38" s="4" t="n"/>
      <c r="J38" s="4" t="n"/>
      <c r="K38" s="4" t="n">
        <v>122</v>
      </c>
      <c r="L38" s="4" t="n">
        <v>122</v>
      </c>
      <c r="M38" s="5" t="n">
        <v>5.5</v>
      </c>
      <c r="N38" s="5" t="n">
        <v>5.250241847319014</v>
      </c>
      <c r="O38" s="5" t="n">
        <v>5.5</v>
      </c>
      <c r="P38" s="5" t="n">
        <v>0.249758152680986</v>
      </c>
      <c r="Q38" s="6" t="n">
        <v>0.2701522232111278</v>
      </c>
      <c r="R38" s="6" t="n">
        <v>0.5721406410860936</v>
      </c>
      <c r="S38" s="6" t="n">
        <v>0.4256384576865299</v>
      </c>
      <c r="T38" s="2" t="inlineStr">
        <is>
          <t>Under</t>
        </is>
      </c>
      <c r="U38" s="4" t="n">
        <v>122</v>
      </c>
      <c r="V38" s="2" t="n">
        <v>2.22</v>
      </c>
      <c r="W38" s="4" t="n">
        <v>122</v>
      </c>
      <c r="X38" s="2" t="n">
        <v>1</v>
      </c>
      <c r="Y38" s="5" t="n">
        <v>1.22</v>
      </c>
      <c r="Z38" s="7" t="n">
        <v>100</v>
      </c>
      <c r="AA38" s="7">
        <f>Y38*Z38</f>
        <v/>
      </c>
      <c r="AB38" s="6">
        <f>IF(Z38=0,0,AA38/Z38)</f>
        <v/>
      </c>
      <c r="AC38" s="6" t="n"/>
      <c r="AD38" s="2" t="inlineStr">
        <is>
          <t>Win</t>
        </is>
      </c>
      <c r="AE38" s="6">
        <f>IF((COUNTIF($AD$2:AD38,"Win")+COUNTIF($AD$2:AD38,"Loss"))=0,0,COUNTIF($AD$2:AD38,"Win")/(COUNTIF($AD$2:AD38,"Win")+COUNTIF($AD$2:AD38,"Loss")))</f>
        <v/>
      </c>
      <c r="AF38" s="6">
        <f>SUM($Y$2:Y38)/SUM($X$2:X38)</f>
        <v/>
      </c>
      <c r="AG38" s="5">
        <f>SUM($Y$2:Y38)</f>
        <v/>
      </c>
      <c r="AH38" s="7">
        <f>10000.0+SUM($AA$2:AA38)</f>
        <v/>
      </c>
      <c r="AI38" s="2" t="n">
        <v>2026</v>
      </c>
      <c r="AJ38" s="2" t="inlineStr">
        <is>
          <t>2026-06</t>
        </is>
      </c>
      <c r="AK38" s="2" t="inlineStr">
        <is>
          <t>+121 to +150</t>
        </is>
      </c>
      <c r="AL38" s="2" t="inlineStr">
        <is>
          <t>2026 Frozen Test</t>
        </is>
      </c>
      <c r="AM38" s="6" t="n">
        <v>0.2214362485337113</v>
      </c>
    </row>
    <row r="39">
      <c r="A39" s="2" t="inlineStr">
        <is>
          <t>KPROP-00930</t>
        </is>
      </c>
      <c r="B39" s="3" t="n">
        <v>46180.56638888889</v>
      </c>
      <c r="C39" s="3" t="n">
        <v>46180</v>
      </c>
      <c r="D39" s="2" t="inlineStr">
        <is>
          <t>Cam Schlittler</t>
        </is>
      </c>
      <c r="E39" s="2" t="n">
        <v>147</v>
      </c>
      <c r="F39" s="2" t="n">
        <v>111</v>
      </c>
      <c r="G39" s="2" t="inlineStr">
        <is>
          <t>Home</t>
        </is>
      </c>
      <c r="H39" s="2" t="inlineStr">
        <is>
          <t>betrivers</t>
        </is>
      </c>
      <c r="I39" s="4" t="n"/>
      <c r="J39" s="4" t="n"/>
      <c r="K39" s="4" t="n">
        <v>-157</v>
      </c>
      <c r="L39" s="4" t="n">
        <v>-157</v>
      </c>
      <c r="M39" s="5" t="n">
        <v>6.5</v>
      </c>
      <c r="N39" s="5" t="n">
        <v>5.250241847319014</v>
      </c>
      <c r="O39" s="5" t="n">
        <v>6.5</v>
      </c>
      <c r="P39" s="5" t="n">
        <v>1.249758152680986</v>
      </c>
      <c r="Q39" s="6" t="n">
        <v>0.1863806048971304</v>
      </c>
      <c r="R39" s="6" t="n">
        <v>0.7247539103846283</v>
      </c>
      <c r="S39" s="6" t="n">
        <v>0.5863112484708004</v>
      </c>
      <c r="T39" s="2" t="inlineStr">
        <is>
          <t>Under</t>
        </is>
      </c>
      <c r="U39" s="4" t="n">
        <v>-157</v>
      </c>
      <c r="V39" s="2" t="n">
        <v>1.636942675159236</v>
      </c>
      <c r="W39" s="4" t="n">
        <v>-157</v>
      </c>
      <c r="X39" s="2" t="n">
        <v>1</v>
      </c>
      <c r="Y39" s="5" t="n">
        <v>0.6369426751592355</v>
      </c>
      <c r="Z39" s="7" t="n">
        <v>100</v>
      </c>
      <c r="AA39" s="7">
        <f>Y39*Z39</f>
        <v/>
      </c>
      <c r="AB39" s="6">
        <f>IF(Z39=0,0,AA39/Z39)</f>
        <v/>
      </c>
      <c r="AC39" s="6" t="n"/>
      <c r="AD39" s="2" t="inlineStr">
        <is>
          <t>Win</t>
        </is>
      </c>
      <c r="AE39" s="6">
        <f>IF((COUNTIF($AD$2:AD39,"Win")+COUNTIF($AD$2:AD39,"Loss"))=0,0,COUNTIF($AD$2:AD39,"Win")/(COUNTIF($AD$2:AD39,"Win")+COUNTIF($AD$2:AD39,"Loss")))</f>
        <v/>
      </c>
      <c r="AF39" s="6">
        <f>SUM($Y$2:Y39)/SUM($X$2:X39)</f>
        <v/>
      </c>
      <c r="AG39" s="5">
        <f>SUM($Y$2:Y39)</f>
        <v/>
      </c>
      <c r="AH39" s="7">
        <f>10000.0+SUM($AA$2:AA39)</f>
        <v/>
      </c>
      <c r="AI39" s="2" t="n">
        <v>2026</v>
      </c>
      <c r="AJ39" s="2" t="inlineStr">
        <is>
          <t>2026-06</t>
        </is>
      </c>
      <c r="AK39" s="2" t="inlineStr">
        <is>
          <t>&lt;= -150</t>
        </is>
      </c>
      <c r="AL39" s="2" t="inlineStr">
        <is>
          <t>2026 Frozen Test</t>
        </is>
      </c>
      <c r="AM39" s="6" t="n">
        <v>0.2926175496884947</v>
      </c>
    </row>
    <row r="40">
      <c r="A40" s="2" t="inlineStr">
        <is>
          <t>KPROP-00931</t>
        </is>
      </c>
      <c r="B40" s="3" t="n">
        <v>46180.56986111111</v>
      </c>
      <c r="C40" s="3" t="n">
        <v>46180</v>
      </c>
      <c r="D40" s="2" t="inlineStr">
        <is>
          <t>Jack Flaherty</t>
        </is>
      </c>
      <c r="E40" s="2" t="n">
        <v>116</v>
      </c>
      <c r="F40" s="2" t="n">
        <v>136</v>
      </c>
      <c r="G40" s="2" t="inlineStr">
        <is>
          <t>Home</t>
        </is>
      </c>
      <c r="H40" s="2" t="inlineStr">
        <is>
          <t>fanduel</t>
        </is>
      </c>
      <c r="I40" s="4" t="n"/>
      <c r="J40" s="4" t="n"/>
      <c r="K40" s="4" t="n">
        <v>116</v>
      </c>
      <c r="L40" s="4" t="n">
        <v>116</v>
      </c>
      <c r="M40" s="5" t="n">
        <v>5.5</v>
      </c>
      <c r="N40" s="5" t="n">
        <v>5.089430871822168</v>
      </c>
      <c r="O40" s="5" t="n">
        <v>5.5</v>
      </c>
      <c r="P40" s="5" t="n">
        <v>0.4105691281778316</v>
      </c>
      <c r="Q40" s="6" t="n">
        <v>0.2965888169852622</v>
      </c>
      <c r="R40" s="6" t="n">
        <v>0.6002726004561398</v>
      </c>
      <c r="S40" s="6" t="n">
        <v>0.4470426409903714</v>
      </c>
      <c r="T40" s="2" t="inlineStr">
        <is>
          <t>Under</t>
        </is>
      </c>
      <c r="U40" s="4" t="n">
        <v>116</v>
      </c>
      <c r="V40" s="2" t="n">
        <v>2.16</v>
      </c>
      <c r="W40" s="4" t="n">
        <v>116</v>
      </c>
      <c r="X40" s="2" t="n">
        <v>1</v>
      </c>
      <c r="Y40" s="5" t="n">
        <v>-1</v>
      </c>
      <c r="Z40" s="7" t="n">
        <v>100</v>
      </c>
      <c r="AA40" s="7">
        <f>Y40*Z40</f>
        <v/>
      </c>
      <c r="AB40" s="6">
        <f>IF(Z40=0,0,AA40/Z40)</f>
        <v/>
      </c>
      <c r="AC40" s="6" t="n"/>
      <c r="AD40" s="2" t="inlineStr">
        <is>
          <t>Loss</t>
        </is>
      </c>
      <c r="AE40" s="6">
        <f>IF((COUNTIF($AD$2:AD40,"Win")+COUNTIF($AD$2:AD40,"Loss"))=0,0,COUNTIF($AD$2:AD40,"Win")/(COUNTIF($AD$2:AD40,"Win")+COUNTIF($AD$2:AD40,"Loss")))</f>
        <v/>
      </c>
      <c r="AF40" s="6">
        <f>SUM($Y$2:Y40)/SUM($X$2:X40)</f>
        <v/>
      </c>
      <c r="AG40" s="5">
        <f>SUM($Y$2:Y40)</f>
        <v/>
      </c>
      <c r="AH40" s="7">
        <f>10000.0+SUM($AA$2:AA40)</f>
        <v/>
      </c>
      <c r="AI40" s="2" t="n">
        <v>2026</v>
      </c>
      <c r="AJ40" s="2" t="inlineStr">
        <is>
          <t>2026-06</t>
        </is>
      </c>
      <c r="AK40" s="2" t="inlineStr">
        <is>
          <t>+100 to +120</t>
        </is>
      </c>
      <c r="AL40" s="2" t="inlineStr">
        <is>
          <t>2026 Frozen Test</t>
        </is>
      </c>
      <c r="AM40" s="6" t="n">
        <v>0.2556800146424674</v>
      </c>
    </row>
    <row r="41">
      <c r="A41" s="2" t="inlineStr">
        <is>
          <t>KPROP-00932</t>
        </is>
      </c>
      <c r="B41" s="3" t="n">
        <v>46180.60805555555</v>
      </c>
      <c r="C41" s="3" t="n">
        <v>46180</v>
      </c>
      <c r="D41" s="2" t="inlineStr">
        <is>
          <t>Jacob deGrom</t>
        </is>
      </c>
      <c r="E41" s="2" t="n">
        <v>140</v>
      </c>
      <c r="F41" s="2" t="n">
        <v>114</v>
      </c>
      <c r="G41" s="2" t="inlineStr">
        <is>
          <t>Home</t>
        </is>
      </c>
      <c r="H41" s="2" t="inlineStr">
        <is>
          <t>betrivers</t>
        </is>
      </c>
      <c r="I41" s="4" t="n"/>
      <c r="J41" s="4" t="n"/>
      <c r="K41" s="4" t="n">
        <v>120</v>
      </c>
      <c r="L41" s="4" t="n">
        <v>120</v>
      </c>
      <c r="M41" s="5" t="n">
        <v>5.5</v>
      </c>
      <c r="N41" s="5" t="n">
        <v>4.984942344528103</v>
      </c>
      <c r="O41" s="5" t="n">
        <v>5.5</v>
      </c>
      <c r="P41" s="5" t="n">
        <v>0.5150576554718969</v>
      </c>
      <c r="Q41" s="6" t="n">
        <v>0.3609260764770477</v>
      </c>
      <c r="R41" s="6" t="n">
        <v>0.6186027620350216</v>
      </c>
      <c r="S41" s="6" t="n">
        <v>0.4236739974126779</v>
      </c>
      <c r="T41" s="2" t="inlineStr">
        <is>
          <t>Under</t>
        </is>
      </c>
      <c r="U41" s="4" t="n">
        <v>120</v>
      </c>
      <c r="V41" s="2" t="n">
        <v>2.2</v>
      </c>
      <c r="W41" s="4" t="n">
        <v>120</v>
      </c>
      <c r="X41" s="2" t="n">
        <v>1</v>
      </c>
      <c r="Y41" s="5" t="n">
        <v>-1</v>
      </c>
      <c r="Z41" s="7" t="n">
        <v>100</v>
      </c>
      <c r="AA41" s="7">
        <f>Y41*Z41</f>
        <v/>
      </c>
      <c r="AB41" s="6">
        <f>IF(Z41=0,0,AA41/Z41)</f>
        <v/>
      </c>
      <c r="AC41" s="6" t="n"/>
      <c r="AD41" s="2" t="inlineStr">
        <is>
          <t>Loss</t>
        </is>
      </c>
      <c r="AE41" s="6">
        <f>IF((COUNTIF($AD$2:AD41,"Win")+COUNTIF($AD$2:AD41,"Loss"))=0,0,COUNTIF($AD$2:AD41,"Win")/(COUNTIF($AD$2:AD41,"Win")+COUNTIF($AD$2:AD41,"Loss")))</f>
        <v/>
      </c>
      <c r="AF41" s="6">
        <f>SUM($Y$2:Y41)/SUM($X$2:X41)</f>
        <v/>
      </c>
      <c r="AG41" s="5">
        <f>SUM($Y$2:Y41)</f>
        <v/>
      </c>
      <c r="AH41" s="7">
        <f>10000.0+SUM($AA$2:AA41)</f>
        <v/>
      </c>
      <c r="AI41" s="2" t="n">
        <v>2026</v>
      </c>
      <c r="AJ41" s="2" t="inlineStr">
        <is>
          <t>2026-06</t>
        </is>
      </c>
      <c r="AK41" s="2" t="inlineStr">
        <is>
          <t>+100 to +120</t>
        </is>
      </c>
      <c r="AL41" s="2" t="inlineStr">
        <is>
          <t>2026 Frozen Test</t>
        </is>
      </c>
      <c r="AM41" s="6" t="n">
        <v>0.3007717303975397</v>
      </c>
    </row>
    <row r="42">
      <c r="A42" s="2" t="inlineStr">
        <is>
          <t>KPROP-00933</t>
        </is>
      </c>
      <c r="B42" s="3" t="n">
        <v>46180.60805555555</v>
      </c>
      <c r="C42" s="3" t="n">
        <v>46180</v>
      </c>
      <c r="D42" s="2" t="inlineStr">
        <is>
          <t>Jacob deGrom</t>
        </is>
      </c>
      <c r="E42" s="2" t="n">
        <v>140</v>
      </c>
      <c r="F42" s="2" t="n">
        <v>114</v>
      </c>
      <c r="G42" s="2" t="inlineStr">
        <is>
          <t>Home</t>
        </is>
      </c>
      <c r="H42" s="2" t="inlineStr">
        <is>
          <t>betmgm</t>
        </is>
      </c>
      <c r="I42" s="4" t="n"/>
      <c r="J42" s="4" t="n"/>
      <c r="K42" s="4" t="n">
        <v>-140</v>
      </c>
      <c r="L42" s="4" t="n">
        <v>-140</v>
      </c>
      <c r="M42" s="5" t="n">
        <v>6.5</v>
      </c>
      <c r="N42" s="5" t="n">
        <v>4.984942344528103</v>
      </c>
      <c r="O42" s="5" t="n">
        <v>6.5</v>
      </c>
      <c r="P42" s="5" t="n">
        <v>1.515057655471897</v>
      </c>
      <c r="Q42" s="6" t="n">
        <v>0.3103689777007841</v>
      </c>
      <c r="R42" s="6" t="n">
        <v>0.7643819036587907</v>
      </c>
      <c r="S42" s="6" t="n">
        <v>0.5729537366548043</v>
      </c>
      <c r="T42" s="2" t="inlineStr">
        <is>
          <t>Under</t>
        </is>
      </c>
      <c r="U42" s="4" t="n">
        <v>-140</v>
      </c>
      <c r="V42" s="2" t="n">
        <v>1.714285714285714</v>
      </c>
      <c r="W42" s="4" t="n">
        <v>-140</v>
      </c>
      <c r="X42" s="2" t="n">
        <v>1</v>
      </c>
      <c r="Y42" s="5" t="n">
        <v>0.7142857142857144</v>
      </c>
      <c r="Z42" s="7" t="n">
        <v>100</v>
      </c>
      <c r="AA42" s="7">
        <f>Y42*Z42</f>
        <v/>
      </c>
      <c r="AB42" s="6">
        <f>IF(Z42=0,0,AA42/Z42)</f>
        <v/>
      </c>
      <c r="AC42" s="6" t="n"/>
      <c r="AD42" s="2" t="inlineStr">
        <is>
          <t>Win</t>
        </is>
      </c>
      <c r="AE42" s="6">
        <f>IF((COUNTIF($AD$2:AD42,"Win")+COUNTIF($AD$2:AD42,"Loss"))=0,0,COUNTIF($AD$2:AD42,"Win")/(COUNTIF($AD$2:AD42,"Win")+COUNTIF($AD$2:AD42,"Loss")))</f>
        <v/>
      </c>
      <c r="AF42" s="6">
        <f>SUM($Y$2:Y42)/SUM($X$2:X42)</f>
        <v/>
      </c>
      <c r="AG42" s="5">
        <f>SUM($Y$2:Y42)</f>
        <v/>
      </c>
      <c r="AH42" s="7">
        <f>10000.0+SUM($AA$2:AA42)</f>
        <v/>
      </c>
      <c r="AI42" s="2" t="n">
        <v>2026</v>
      </c>
      <c r="AJ42" s="2" t="inlineStr">
        <is>
          <t>2026-06</t>
        </is>
      </c>
      <c r="AK42" s="2" t="inlineStr">
        <is>
          <t>-149 to -120</t>
        </is>
      </c>
      <c r="AL42" s="2" t="inlineStr">
        <is>
          <t>2026 Frozen Test</t>
        </is>
      </c>
      <c r="AM42" s="6" t="n">
        <v>0.4345165687810976</v>
      </c>
    </row>
    <row r="43">
      <c r="A43" s="2" t="inlineStr">
        <is>
          <t>KPROP-00934</t>
        </is>
      </c>
      <c r="B43" s="3" t="n">
        <v>46180.60805555555</v>
      </c>
      <c r="C43" s="3" t="n">
        <v>46180</v>
      </c>
      <c r="D43" s="2" t="inlineStr">
        <is>
          <t>Joey Cantillo</t>
        </is>
      </c>
      <c r="E43" s="2" t="n">
        <v>114</v>
      </c>
      <c r="F43" s="2" t="n">
        <v>140</v>
      </c>
      <c r="G43" s="2" t="inlineStr">
        <is>
          <t>Away</t>
        </is>
      </c>
      <c r="H43" s="2" t="inlineStr">
        <is>
          <t>betrivers</t>
        </is>
      </c>
      <c r="I43" s="4" t="n"/>
      <c r="J43" s="4" t="n"/>
      <c r="K43" s="4" t="n">
        <v>135</v>
      </c>
      <c r="L43" s="4" t="n">
        <v>135</v>
      </c>
      <c r="M43" s="5" t="n">
        <v>4.5</v>
      </c>
      <c r="N43" s="5" t="n">
        <v>4.907016946262589</v>
      </c>
      <c r="O43" s="5" t="n">
        <v>4.5</v>
      </c>
      <c r="P43" s="5" t="n">
        <v>-0.4070169462625888</v>
      </c>
      <c r="Q43" s="6" t="n">
        <v>0.07385030965238593</v>
      </c>
      <c r="R43" s="6" t="n">
        <v>0.4569575785754834</v>
      </c>
      <c r="S43" s="6" t="n">
        <v>0.4117884537747275</v>
      </c>
      <c r="T43" s="2" t="inlineStr">
        <is>
          <t>Under</t>
        </is>
      </c>
      <c r="U43" s="4" t="n">
        <v>135</v>
      </c>
      <c r="V43" s="2" t="n">
        <v>2.35</v>
      </c>
      <c r="W43" s="4" t="n">
        <v>135</v>
      </c>
      <c r="X43" s="2" t="n">
        <v>1</v>
      </c>
      <c r="Y43" s="5" t="n">
        <v>-1</v>
      </c>
      <c r="Z43" s="7" t="n">
        <v>100</v>
      </c>
      <c r="AA43" s="7">
        <f>Y43*Z43</f>
        <v/>
      </c>
      <c r="AB43" s="6">
        <f>IF(Z43=0,0,AA43/Z43)</f>
        <v/>
      </c>
      <c r="AC43" s="6" t="n"/>
      <c r="AD43" s="2" t="inlineStr">
        <is>
          <t>Loss</t>
        </is>
      </c>
      <c r="AE43" s="6">
        <f>IF((COUNTIF($AD$2:AD43,"Win")+COUNTIF($AD$2:AD43,"Loss"))=0,0,COUNTIF($AD$2:AD43,"Win")/(COUNTIF($AD$2:AD43,"Win")+COUNTIF($AD$2:AD43,"Loss")))</f>
        <v/>
      </c>
      <c r="AF43" s="6">
        <f>SUM($Y$2:Y43)/SUM($X$2:X43)</f>
        <v/>
      </c>
      <c r="AG43" s="5">
        <f>SUM($Y$2:Y43)</f>
        <v/>
      </c>
      <c r="AH43" s="7">
        <f>10000.0+SUM($AA$2:AA43)</f>
        <v/>
      </c>
      <c r="AI43" s="2" t="n">
        <v>2026</v>
      </c>
      <c r="AJ43" s="2" t="inlineStr">
        <is>
          <t>2026-06</t>
        </is>
      </c>
      <c r="AK43" s="2" t="inlineStr">
        <is>
          <t>+121 to +150</t>
        </is>
      </c>
      <c r="AL43" s="2" t="inlineStr">
        <is>
          <t>2026 Frozen Test</t>
        </is>
      </c>
      <c r="AM43" s="6" t="n">
        <v>0.05470393307584142</v>
      </c>
    </row>
    <row r="44">
      <c r="A44" s="2" t="inlineStr">
        <is>
          <t>KPROP-00935</t>
        </is>
      </c>
      <c r="B44" s="3" t="n">
        <v>46180.56638888889</v>
      </c>
      <c r="C44" s="3" t="n">
        <v>46180</v>
      </c>
      <c r="D44" s="2" t="inlineStr">
        <is>
          <t>Kevin Gausman</t>
        </is>
      </c>
      <c r="E44" s="2" t="n">
        <v>141</v>
      </c>
      <c r="F44" s="2" t="n">
        <v>110</v>
      </c>
      <c r="G44" s="2" t="inlineStr">
        <is>
          <t>Home</t>
        </is>
      </c>
      <c r="H44" s="2" t="inlineStr">
        <is>
          <t>draftkings</t>
        </is>
      </c>
      <c r="I44" s="4" t="n"/>
      <c r="J44" s="4" t="n"/>
      <c r="K44" s="4" t="n">
        <v>-136</v>
      </c>
      <c r="L44" s="4" t="n">
        <v>-136</v>
      </c>
      <c r="M44" s="5" t="n">
        <v>6.5</v>
      </c>
      <c r="N44" s="5" t="n">
        <v>5.592728724530016</v>
      </c>
      <c r="O44" s="5" t="n">
        <v>6.5</v>
      </c>
      <c r="P44" s="5" t="n">
        <v>0.9072712754699843</v>
      </c>
      <c r="Q44" s="6" t="n">
        <v>0.1650925119734902</v>
      </c>
      <c r="R44" s="6" t="n">
        <v>0.671409244188113</v>
      </c>
      <c r="S44" s="6" t="n">
        <v>0.5590433482810164</v>
      </c>
      <c r="T44" s="2" t="inlineStr">
        <is>
          <t>Under</t>
        </is>
      </c>
      <c r="U44" s="4" t="n">
        <v>-136</v>
      </c>
      <c r="V44" s="2" t="n">
        <v>1.735294117647059</v>
      </c>
      <c r="W44" s="4" t="n">
        <v>-136</v>
      </c>
      <c r="X44" s="2" t="n">
        <v>1</v>
      </c>
      <c r="Y44" s="5" t="n">
        <v>0.7352941176470589</v>
      </c>
      <c r="Z44" s="7" t="n">
        <v>100</v>
      </c>
      <c r="AA44" s="7">
        <f>Y44*Z44</f>
        <v/>
      </c>
      <c r="AB44" s="6">
        <f>IF(Z44=0,0,AA44/Z44)</f>
        <v/>
      </c>
      <c r="AC44" s="6" t="n"/>
      <c r="AD44" s="2" t="inlineStr">
        <is>
          <t>Win</t>
        </is>
      </c>
      <c r="AE44" s="6">
        <f>IF((COUNTIF($AD$2:AD44,"Win")+COUNTIF($AD$2:AD44,"Loss"))=0,0,COUNTIF($AD$2:AD44,"Win")/(COUNTIF($AD$2:AD44,"Win")+COUNTIF($AD$2:AD44,"Loss")))</f>
        <v/>
      </c>
      <c r="AF44" s="6">
        <f>SUM($Y$2:Y44)/SUM($X$2:X44)</f>
        <v/>
      </c>
      <c r="AG44" s="5">
        <f>SUM($Y$2:Y44)</f>
        <v/>
      </c>
      <c r="AH44" s="7">
        <f>10000.0+SUM($AA$2:AA44)</f>
        <v/>
      </c>
      <c r="AI44" s="2" t="n">
        <v>2026</v>
      </c>
      <c r="AJ44" s="2" t="inlineStr">
        <is>
          <t>2026-06</t>
        </is>
      </c>
      <c r="AK44" s="2" t="inlineStr">
        <is>
          <t>-149 to -120</t>
        </is>
      </c>
      <c r="AL44" s="2" t="inlineStr">
        <is>
          <t>2026 Frozen Test</t>
        </is>
      </c>
      <c r="AM44" s="6" t="n">
        <v>0.2245258162839467</v>
      </c>
    </row>
    <row r="45">
      <c r="A45" s="2" t="inlineStr">
        <is>
          <t>KPROP-00936</t>
        </is>
      </c>
      <c r="B45" s="3" t="n">
        <v>46180.63583333333</v>
      </c>
      <c r="C45" s="3" t="n">
        <v>46180</v>
      </c>
      <c r="D45" s="2" t="inlineStr">
        <is>
          <t>Michael Soroka</t>
        </is>
      </c>
      <c r="E45" s="2" t="n">
        <v>109</v>
      </c>
      <c r="F45" s="2" t="n">
        <v>120</v>
      </c>
      <c r="G45" s="2" t="inlineStr">
        <is>
          <t>Home</t>
        </is>
      </c>
      <c r="H45" s="2" t="inlineStr">
        <is>
          <t>fanduel</t>
        </is>
      </c>
      <c r="I45" s="4" t="n"/>
      <c r="J45" s="4" t="n"/>
      <c r="K45" s="4" t="n">
        <v>122</v>
      </c>
      <c r="L45" s="4" t="n">
        <v>122</v>
      </c>
      <c r="M45" s="5" t="n">
        <v>4.5</v>
      </c>
      <c r="N45" s="5" t="n">
        <v>4.554785175976727</v>
      </c>
      <c r="O45" s="5" t="n">
        <v>4.5</v>
      </c>
      <c r="P45" s="5" t="n">
        <v>-0.05478517597672727</v>
      </c>
      <c r="Q45" s="6" t="n">
        <v>0.1582573264839047</v>
      </c>
      <c r="R45" s="6" t="n">
        <v>0.5217375344522094</v>
      </c>
      <c r="S45" s="6" t="n">
        <v>0.4288164665523156</v>
      </c>
      <c r="T45" s="2" t="inlineStr">
        <is>
          <t>Under</t>
        </is>
      </c>
      <c r="U45" s="4" t="n">
        <v>122</v>
      </c>
      <c r="V45" s="2" t="n">
        <v>2.22</v>
      </c>
      <c r="W45" s="4" t="n">
        <v>122</v>
      </c>
      <c r="X45" s="2" t="n">
        <v>1</v>
      </c>
      <c r="Y45" s="5" t="n">
        <v>-1</v>
      </c>
      <c r="Z45" s="7" t="n">
        <v>100</v>
      </c>
      <c r="AA45" s="7">
        <f>Y45*Z45</f>
        <v/>
      </c>
      <c r="AB45" s="6">
        <f>IF(Z45=0,0,AA45/Z45)</f>
        <v/>
      </c>
      <c r="AC45" s="6" t="n"/>
      <c r="AD45" s="2" t="inlineStr">
        <is>
          <t>Loss</t>
        </is>
      </c>
      <c r="AE45" s="6">
        <f>IF((COUNTIF($AD$2:AD45,"Win")+COUNTIF($AD$2:AD45,"Loss"))=0,0,COUNTIF($AD$2:AD45,"Win")/(COUNTIF($AD$2:AD45,"Win")+COUNTIF($AD$2:AD45,"Loss")))</f>
        <v/>
      </c>
      <c r="AF45" s="6">
        <f>SUM($Y$2:Y45)/SUM($X$2:X45)</f>
        <v/>
      </c>
      <c r="AG45" s="5">
        <f>SUM($Y$2:Y45)</f>
        <v/>
      </c>
      <c r="AH45" s="7">
        <f>10000.0+SUM($AA$2:AA45)</f>
        <v/>
      </c>
      <c r="AI45" s="2" t="n">
        <v>2026</v>
      </c>
      <c r="AJ45" s="2" t="inlineStr">
        <is>
          <t>2026-06</t>
        </is>
      </c>
      <c r="AK45" s="2" t="inlineStr">
        <is>
          <t>+121 to +150</t>
        </is>
      </c>
      <c r="AL45" s="2" t="inlineStr">
        <is>
          <t>2026 Frozen Test</t>
        </is>
      </c>
      <c r="AM45" s="6" t="n">
        <v>0.1297191200687743</v>
      </c>
    </row>
    <row r="46">
      <c r="A46" s="2" t="inlineStr">
        <is>
          <t>KPROP-00937</t>
        </is>
      </c>
      <c r="B46" s="3" t="n">
        <v>46180.56638888889</v>
      </c>
      <c r="C46" s="3" t="n">
        <v>46180</v>
      </c>
      <c r="D46" s="2" t="inlineStr">
        <is>
          <t>Ranger Suarez</t>
        </is>
      </c>
      <c r="E46" s="2" t="n">
        <v>111</v>
      </c>
      <c r="F46" s="2" t="n">
        <v>147</v>
      </c>
      <c r="G46" s="2" t="inlineStr">
        <is>
          <t>Away</t>
        </is>
      </c>
      <c r="H46" s="2" t="inlineStr">
        <is>
          <t>draftkings</t>
        </is>
      </c>
      <c r="I46" s="4" t="n"/>
      <c r="J46" s="4" t="n"/>
      <c r="K46" s="4" t="n">
        <v>-156</v>
      </c>
      <c r="L46" s="4" t="n">
        <v>-156</v>
      </c>
      <c r="M46" s="5" t="n">
        <v>5.5</v>
      </c>
      <c r="N46" s="5" t="n">
        <v>4.740172329509888</v>
      </c>
      <c r="O46" s="5" t="n">
        <v>5.5</v>
      </c>
      <c r="P46" s="5" t="n">
        <v>0.7598276704901119</v>
      </c>
      <c r="Q46" s="6" t="n">
        <v>0.08545116676407394</v>
      </c>
      <c r="R46" s="6" t="n">
        <v>0.6614468047468576</v>
      </c>
      <c r="S46" s="6" t="n">
        <v>0.5749767565413734</v>
      </c>
      <c r="T46" s="2" t="inlineStr">
        <is>
          <t>Under</t>
        </is>
      </c>
      <c r="U46" s="4" t="n">
        <v>-156</v>
      </c>
      <c r="V46" s="2" t="n">
        <v>1.641025641025641</v>
      </c>
      <c r="W46" s="4" t="n">
        <v>-156</v>
      </c>
      <c r="X46" s="2" t="n">
        <v>1</v>
      </c>
      <c r="Y46" s="5" t="n">
        <v>-1</v>
      </c>
      <c r="Z46" s="7" t="n">
        <v>100</v>
      </c>
      <c r="AA46" s="7">
        <f>Y46*Z46</f>
        <v/>
      </c>
      <c r="AB46" s="6">
        <f>IF(Z46=0,0,AA46/Z46)</f>
        <v/>
      </c>
      <c r="AC46" s="6" t="n"/>
      <c r="AD46" s="2" t="inlineStr">
        <is>
          <t>Loss</t>
        </is>
      </c>
      <c r="AE46" s="6">
        <f>IF((COUNTIF($AD$2:AD46,"Win")+COUNTIF($AD$2:AD46,"Loss"))=0,0,COUNTIF($AD$2:AD46,"Win")/(COUNTIF($AD$2:AD46,"Win")+COUNTIF($AD$2:AD46,"Loss")))</f>
        <v/>
      </c>
      <c r="AF46" s="6">
        <f>SUM($Y$2:Y46)/SUM($X$2:X46)</f>
        <v/>
      </c>
      <c r="AG46" s="5">
        <f>SUM($Y$2:Y46)</f>
        <v/>
      </c>
      <c r="AH46" s="7">
        <f>10000.0+SUM($AA$2:AA46)</f>
        <v/>
      </c>
      <c r="AI46" s="2" t="n">
        <v>2026</v>
      </c>
      <c r="AJ46" s="2" t="inlineStr">
        <is>
          <t>2026-06</t>
        </is>
      </c>
      <c r="AK46" s="2" t="inlineStr">
        <is>
          <t>&lt;= -150</t>
        </is>
      </c>
      <c r="AL46" s="2" t="inlineStr">
        <is>
          <t>2026 Frozen Test</t>
        </is>
      </c>
      <c r="AM46" s="6" t="n">
        <v>0.1333038201519554</v>
      </c>
    </row>
    <row r="47">
      <c r="A47" s="2" t="inlineStr">
        <is>
          <t>KPROP-00938</t>
        </is>
      </c>
      <c r="B47" s="3" t="n">
        <v>46181.79555555555</v>
      </c>
      <c r="C47" s="3" t="n">
        <v>46181</v>
      </c>
      <c r="D47" s="2" t="inlineStr">
        <is>
          <t>Cristopher Sánchez</t>
        </is>
      </c>
      <c r="E47" s="2" t="n">
        <v>143</v>
      </c>
      <c r="F47" s="2" t="n">
        <v>141</v>
      </c>
      <c r="G47" s="2" t="inlineStr">
        <is>
          <t>Away</t>
        </is>
      </c>
      <c r="H47" s="2" t="inlineStr">
        <is>
          <t>betmgm</t>
        </is>
      </c>
      <c r="I47" s="4" t="n"/>
      <c r="J47" s="4" t="n"/>
      <c r="K47" s="4" t="n">
        <v>-135</v>
      </c>
      <c r="L47" s="4" t="n">
        <v>-135</v>
      </c>
      <c r="M47" s="5" t="n">
        <v>6.5</v>
      </c>
      <c r="N47" s="5" t="n">
        <v>5.489735376442258</v>
      </c>
      <c r="O47" s="5" t="n">
        <v>6.5</v>
      </c>
      <c r="P47" s="5" t="n">
        <v>1.010264623557742</v>
      </c>
      <c r="Q47" s="6" t="n">
        <v>0.1970168406802802</v>
      </c>
      <c r="R47" s="6" t="n">
        <v>0.6876479723056929</v>
      </c>
      <c r="S47" s="6" t="n">
        <v>0.552594002855783</v>
      </c>
      <c r="T47" s="2" t="inlineStr">
        <is>
          <t>Under</t>
        </is>
      </c>
      <c r="U47" s="4" t="n">
        <v>-135</v>
      </c>
      <c r="V47" s="2" t="n">
        <v>1.740740740740741</v>
      </c>
      <c r="W47" s="4" t="n">
        <v>-135</v>
      </c>
      <c r="X47" s="2" t="n">
        <v>1</v>
      </c>
      <c r="Y47" s="5" t="n">
        <v>-1</v>
      </c>
      <c r="Z47" s="7" t="n">
        <v>100</v>
      </c>
      <c r="AA47" s="7">
        <f>Y47*Z47</f>
        <v/>
      </c>
      <c r="AB47" s="6">
        <f>IF(Z47=0,0,AA47/Z47)</f>
        <v/>
      </c>
      <c r="AC47" s="6" t="n"/>
      <c r="AD47" s="2" t="inlineStr">
        <is>
          <t>Loss</t>
        </is>
      </c>
      <c r="AE47" s="6">
        <f>IF((COUNTIF($AD$2:AD47,"Win")+COUNTIF($AD$2:AD47,"Loss"))=0,0,COUNTIF($AD$2:AD47,"Win")/(COUNTIF($AD$2:AD47,"Win")+COUNTIF($AD$2:AD47,"Loss")))</f>
        <v/>
      </c>
      <c r="AF47" s="6">
        <f>SUM($Y$2:Y47)/SUM($X$2:X47)</f>
        <v/>
      </c>
      <c r="AG47" s="5">
        <f>SUM($Y$2:Y47)</f>
        <v/>
      </c>
      <c r="AH47" s="7">
        <f>10000.0+SUM($AA$2:AA47)</f>
        <v/>
      </c>
      <c r="AI47" s="2" t="n">
        <v>2026</v>
      </c>
      <c r="AJ47" s="2" t="inlineStr">
        <is>
          <t>2026-06</t>
        </is>
      </c>
      <c r="AK47" s="2" t="inlineStr">
        <is>
          <t>-149 to -120</t>
        </is>
      </c>
      <c r="AL47" s="2" t="inlineStr">
        <is>
          <t>2026 Frozen Test</t>
        </is>
      </c>
      <c r="AM47" s="6" t="n">
        <v>0.2659727349183782</v>
      </c>
    </row>
    <row r="48">
      <c r="A48" s="2" t="inlineStr">
        <is>
          <t>KPROP-00939</t>
        </is>
      </c>
      <c r="B48" s="3" t="n">
        <v>46181.77819444444</v>
      </c>
      <c r="C48" s="3" t="n">
        <v>46181</v>
      </c>
      <c r="D48" s="2" t="inlineStr">
        <is>
          <t>Gavin Williams</t>
        </is>
      </c>
      <c r="E48" s="2" t="n">
        <v>114</v>
      </c>
      <c r="F48" s="2" t="n">
        <v>147</v>
      </c>
      <c r="G48" s="2" t="inlineStr">
        <is>
          <t>Home</t>
        </is>
      </c>
      <c r="H48" s="2" t="inlineStr">
        <is>
          <t>betrivers</t>
        </is>
      </c>
      <c r="I48" s="4" t="n"/>
      <c r="J48" s="4" t="n"/>
      <c r="K48" s="4" t="n">
        <v>118</v>
      </c>
      <c r="L48" s="4" t="n">
        <v>118</v>
      </c>
      <c r="M48" s="5" t="n">
        <v>6.5</v>
      </c>
      <c r="N48" s="5" t="n">
        <v>6.248045481844035</v>
      </c>
      <c r="O48" s="5" t="n">
        <v>6.5</v>
      </c>
      <c r="P48" s="5" t="n">
        <v>0.2519545181559648</v>
      </c>
      <c r="Q48" s="6" t="n">
        <v>0.2350300743269094</v>
      </c>
      <c r="R48" s="6" t="n">
        <v>0.5665275570306925</v>
      </c>
      <c r="S48" s="6" t="n">
        <v>0.4439826185528055</v>
      </c>
      <c r="T48" s="2" t="inlineStr">
        <is>
          <t>Under</t>
        </is>
      </c>
      <c r="U48" s="4" t="n">
        <v>118</v>
      </c>
      <c r="V48" s="2" t="n">
        <v>2.18</v>
      </c>
      <c r="W48" s="4" t="n">
        <v>118</v>
      </c>
      <c r="X48" s="2" t="n">
        <v>1</v>
      </c>
      <c r="Y48" s="5" t="n">
        <v>1.18</v>
      </c>
      <c r="Z48" s="7" t="n">
        <v>100</v>
      </c>
      <c r="AA48" s="7">
        <f>Y48*Z48</f>
        <v/>
      </c>
      <c r="AB48" s="6">
        <f>IF(Z48=0,0,AA48/Z48)</f>
        <v/>
      </c>
      <c r="AC48" s="6" t="n"/>
      <c r="AD48" s="2" t="inlineStr">
        <is>
          <t>Win</t>
        </is>
      </c>
      <c r="AE48" s="6">
        <f>IF((COUNTIF($AD$2:AD48,"Win")+COUNTIF($AD$2:AD48,"Loss"))=0,0,COUNTIF($AD$2:AD48,"Win")/(COUNTIF($AD$2:AD48,"Win")+COUNTIF($AD$2:AD48,"Loss")))</f>
        <v/>
      </c>
      <c r="AF48" s="6">
        <f>SUM($Y$2:Y48)/SUM($X$2:X48)</f>
        <v/>
      </c>
      <c r="AG48" s="5">
        <f>SUM($Y$2:Y48)</f>
        <v/>
      </c>
      <c r="AH48" s="7">
        <f>10000.0+SUM($AA$2:AA48)</f>
        <v/>
      </c>
      <c r="AI48" s="2" t="n">
        <v>2026</v>
      </c>
      <c r="AJ48" s="2" t="inlineStr">
        <is>
          <t>2026-06</t>
        </is>
      </c>
      <c r="AK48" s="2" t="inlineStr">
        <is>
          <t>+100 to +120</t>
        </is>
      </c>
      <c r="AL48" s="2" t="inlineStr">
        <is>
          <t>2026 Frozen Test</t>
        </is>
      </c>
      <c r="AM48" s="6" t="n">
        <v>0.1991780290906012</v>
      </c>
    </row>
    <row r="49">
      <c r="A49" s="2" t="inlineStr">
        <is>
          <t>KPROP-00940</t>
        </is>
      </c>
      <c r="B49" s="3" t="n">
        <v>46182.79555555555</v>
      </c>
      <c r="C49" s="3" t="n">
        <v>46182</v>
      </c>
      <c r="D49" s="2" t="inlineStr">
        <is>
          <t>Dylan Cease</t>
        </is>
      </c>
      <c r="E49" s="2" t="n">
        <v>141</v>
      </c>
      <c r="F49" s="2" t="n">
        <v>143</v>
      </c>
      <c r="G49" s="2" t="inlineStr">
        <is>
          <t>Home</t>
        </is>
      </c>
      <c r="H49" s="2" t="inlineStr">
        <is>
          <t>betmgm</t>
        </is>
      </c>
      <c r="I49" s="4" t="n"/>
      <c r="J49" s="4" t="n"/>
      <c r="K49" s="4" t="n">
        <v>115</v>
      </c>
      <c r="L49" s="4" t="n">
        <v>115</v>
      </c>
      <c r="M49" s="5" t="n">
        <v>6.5</v>
      </c>
      <c r="N49" s="5" t="n">
        <v>5.866299673993143</v>
      </c>
      <c r="O49" s="5" t="n">
        <v>6.5</v>
      </c>
      <c r="P49" s="5" t="n">
        <v>0.6337003260068572</v>
      </c>
      <c r="Q49" s="6" t="n">
        <v>0.3496998446761672</v>
      </c>
      <c r="R49" s="6" t="n">
        <v>0.627767369616822</v>
      </c>
      <c r="S49" s="6" t="n">
        <v>0.4451094071441929</v>
      </c>
      <c r="T49" s="2" t="inlineStr">
        <is>
          <t>Under</t>
        </is>
      </c>
      <c r="U49" s="4" t="n">
        <v>115</v>
      </c>
      <c r="V49" s="2" t="n">
        <v>2.15</v>
      </c>
      <c r="W49" s="4" t="n">
        <v>115</v>
      </c>
      <c r="X49" s="2" t="n">
        <v>1</v>
      </c>
      <c r="Y49" s="5" t="n">
        <v>-1</v>
      </c>
      <c r="Z49" s="7" t="n">
        <v>100</v>
      </c>
      <c r="AA49" s="7">
        <f>Y49*Z49</f>
        <v/>
      </c>
      <c r="AB49" s="6">
        <f>IF(Z49=0,0,AA49/Z49)</f>
        <v/>
      </c>
      <c r="AC49" s="6" t="n"/>
      <c r="AD49" s="2" t="inlineStr">
        <is>
          <t>Loss</t>
        </is>
      </c>
      <c r="AE49" s="6">
        <f>IF((COUNTIF($AD$2:AD49,"Win")+COUNTIF($AD$2:AD49,"Loss"))=0,0,COUNTIF($AD$2:AD49,"Win")/(COUNTIF($AD$2:AD49,"Win")+COUNTIF($AD$2:AD49,"Loss")))</f>
        <v/>
      </c>
      <c r="AF49" s="6">
        <f>SUM($Y$2:Y49)/SUM($X$2:X49)</f>
        <v/>
      </c>
      <c r="AG49" s="5">
        <f>SUM($Y$2:Y49)</f>
        <v/>
      </c>
      <c r="AH49" s="7">
        <f>10000.0+SUM($AA$2:AA49)</f>
        <v/>
      </c>
      <c r="AI49" s="2" t="n">
        <v>2026</v>
      </c>
      <c r="AJ49" s="2" t="inlineStr">
        <is>
          <t>2026-06</t>
        </is>
      </c>
      <c r="AK49" s="2" t="inlineStr">
        <is>
          <t>+100 to +120</t>
        </is>
      </c>
      <c r="AL49" s="2" t="inlineStr">
        <is>
          <t>2026 Frozen Test</t>
        </is>
      </c>
      <c r="AM49" s="6" t="n">
        <v>0.3040868214575367</v>
      </c>
    </row>
    <row r="50">
      <c r="A50" s="2" t="inlineStr">
        <is>
          <t>KPROP-00941</t>
        </is>
      </c>
      <c r="B50" s="3" t="n">
        <v>46182.79903935185</v>
      </c>
      <c r="C50" s="3" t="n">
        <v>46182</v>
      </c>
      <c r="D50" s="2" t="inlineStr">
        <is>
          <t>Freddy Peralta</t>
        </is>
      </c>
      <c r="E50" s="2" t="n">
        <v>121</v>
      </c>
      <c r="F50" s="2" t="n">
        <v>138</v>
      </c>
      <c r="G50" s="2" t="inlineStr">
        <is>
          <t>Home</t>
        </is>
      </c>
      <c r="H50" s="2" t="inlineStr">
        <is>
          <t>fanduel</t>
        </is>
      </c>
      <c r="I50" s="4" t="n"/>
      <c r="J50" s="4" t="n"/>
      <c r="K50" s="4" t="n">
        <v>116</v>
      </c>
      <c r="L50" s="4" t="n">
        <v>116</v>
      </c>
      <c r="M50" s="5" t="n">
        <v>5.5</v>
      </c>
      <c r="N50" s="5" t="n">
        <v>5.440064331627437</v>
      </c>
      <c r="O50" s="5" t="n">
        <v>5.5</v>
      </c>
      <c r="P50" s="5" t="n">
        <v>0.05993566837256292</v>
      </c>
      <c r="Q50" s="6" t="n">
        <v>0.1647124199947102</v>
      </c>
      <c r="R50" s="6" t="n">
        <v>0.5392187129605139</v>
      </c>
      <c r="S50" s="6" t="n">
        <v>0.4462590201291302</v>
      </c>
      <c r="T50" s="2" t="inlineStr">
        <is>
          <t>Under</t>
        </is>
      </c>
      <c r="U50" s="4" t="n">
        <v>116</v>
      </c>
      <c r="V50" s="2" t="n">
        <v>2.16</v>
      </c>
      <c r="W50" s="4" t="n">
        <v>116</v>
      </c>
      <c r="X50" s="2" t="n">
        <v>1</v>
      </c>
      <c r="Y50" s="5" t="n">
        <v>1.16</v>
      </c>
      <c r="Z50" s="7" t="n">
        <v>100</v>
      </c>
      <c r="AA50" s="7">
        <f>Y50*Z50</f>
        <v/>
      </c>
      <c r="AB50" s="6">
        <f>IF(Z50=0,0,AA50/Z50)</f>
        <v/>
      </c>
      <c r="AC50" s="6" t="n"/>
      <c r="AD50" s="2" t="inlineStr">
        <is>
          <t>Win</t>
        </is>
      </c>
      <c r="AE50" s="6">
        <f>IF((COUNTIF($AD$2:AD50,"Win")+COUNTIF($AD$2:AD50,"Loss"))=0,0,COUNTIF($AD$2:AD50,"Win")/(COUNTIF($AD$2:AD50,"Win")+COUNTIF($AD$2:AD50,"Loss")))</f>
        <v/>
      </c>
      <c r="AF50" s="6">
        <f>SUM($Y$2:Y50)/SUM($X$2:X50)</f>
        <v/>
      </c>
      <c r="AG50" s="5">
        <f>SUM($Y$2:Y50)</f>
        <v/>
      </c>
      <c r="AH50" s="7">
        <f>10000.0+SUM($AA$2:AA50)</f>
        <v/>
      </c>
      <c r="AI50" s="2" t="n">
        <v>2026</v>
      </c>
      <c r="AJ50" s="2" t="inlineStr">
        <is>
          <t>2026-06</t>
        </is>
      </c>
      <c r="AK50" s="2" t="inlineStr">
        <is>
          <t>+100 to +120</t>
        </is>
      </c>
      <c r="AL50" s="2" t="inlineStr">
        <is>
          <t>2026 Frozen Test</t>
        </is>
      </c>
      <c r="AM50" s="6" t="n">
        <v>0.1419934655126812</v>
      </c>
    </row>
    <row r="51">
      <c r="A51" s="2" t="inlineStr">
        <is>
          <t>KPROP-00942</t>
        </is>
      </c>
      <c r="B51" s="3" t="n">
        <v>46182.77819444444</v>
      </c>
      <c r="C51" s="3" t="n">
        <v>46182</v>
      </c>
      <c r="D51" s="2" t="inlineStr">
        <is>
          <t>Gerrit Cole</t>
        </is>
      </c>
      <c r="E51" s="2" t="n">
        <v>147</v>
      </c>
      <c r="F51" s="2" t="n">
        <v>114</v>
      </c>
      <c r="G51" s="2" t="inlineStr">
        <is>
          <t>Away</t>
        </is>
      </c>
      <c r="H51" s="2" t="inlineStr">
        <is>
          <t>betrivers</t>
        </is>
      </c>
      <c r="I51" s="4" t="n"/>
      <c r="J51" s="4" t="n"/>
      <c r="K51" s="4" t="n">
        <v>123</v>
      </c>
      <c r="L51" s="4" t="n">
        <v>123</v>
      </c>
      <c r="M51" s="5" t="n">
        <v>4.5</v>
      </c>
      <c r="N51" s="5" t="n">
        <v>4.780079478291912</v>
      </c>
      <c r="O51" s="5" t="n">
        <v>4.5</v>
      </c>
      <c r="P51" s="5" t="n">
        <v>-0.2800794782919116</v>
      </c>
      <c r="Q51" s="6" t="n">
        <v>0.07015658962950833</v>
      </c>
      <c r="R51" s="6" t="n">
        <v>0.4798908473674925</v>
      </c>
      <c r="S51" s="6" t="n">
        <v>0.4346251358203549</v>
      </c>
      <c r="T51" s="2" t="inlineStr">
        <is>
          <t>Under</t>
        </is>
      </c>
      <c r="U51" s="4" t="n">
        <v>123</v>
      </c>
      <c r="V51" s="2" t="n">
        <v>2.23</v>
      </c>
      <c r="W51" s="4" t="n">
        <v>123</v>
      </c>
      <c r="X51" s="2" t="n">
        <v>1</v>
      </c>
      <c r="Y51" s="5" t="n">
        <v>1.23</v>
      </c>
      <c r="Z51" s="7" t="n">
        <v>100</v>
      </c>
      <c r="AA51" s="7">
        <f>Y51*Z51</f>
        <v/>
      </c>
      <c r="AB51" s="6">
        <f>IF(Z51=0,0,AA51/Z51)</f>
        <v/>
      </c>
      <c r="AC51" s="6" t="n"/>
      <c r="AD51" s="2" t="inlineStr">
        <is>
          <t>Win</t>
        </is>
      </c>
      <c r="AE51" s="6">
        <f>IF((COUNTIF($AD$2:AD51,"Win")+COUNTIF($AD$2:AD51,"Loss"))=0,0,COUNTIF($AD$2:AD51,"Win")/(COUNTIF($AD$2:AD51,"Win")+COUNTIF($AD$2:AD51,"Loss")))</f>
        <v/>
      </c>
      <c r="AF51" s="6">
        <f>SUM($Y$2:Y51)/SUM($X$2:X51)</f>
        <v/>
      </c>
      <c r="AG51" s="5">
        <f>SUM($Y$2:Y51)</f>
        <v/>
      </c>
      <c r="AH51" s="7">
        <f>10000.0+SUM($AA$2:AA51)</f>
        <v/>
      </c>
      <c r="AI51" s="2" t="n">
        <v>2026</v>
      </c>
      <c r="AJ51" s="2" t="inlineStr">
        <is>
          <t>2026-06</t>
        </is>
      </c>
      <c r="AK51" s="2" t="inlineStr">
        <is>
          <t>+121 to +150</t>
        </is>
      </c>
      <c r="AL51" s="2" t="inlineStr">
        <is>
          <t>2026 Frozen Test</t>
        </is>
      </c>
      <c r="AM51" s="6" t="n">
        <v>0.05703787774756774</v>
      </c>
    </row>
    <row r="52">
      <c r="A52" s="2" t="inlineStr">
        <is>
          <t>KPROP-00943</t>
        </is>
      </c>
      <c r="B52" s="3" t="n">
        <v>46182.77472222222</v>
      </c>
      <c r="C52" s="3" t="n">
        <v>46182</v>
      </c>
      <c r="D52" s="2" t="inlineStr">
        <is>
          <t>Logan Gilbert</t>
        </is>
      </c>
      <c r="E52" s="2" t="n">
        <v>136</v>
      </c>
      <c r="F52" s="2" t="n">
        <v>110</v>
      </c>
      <c r="G52" s="2" t="inlineStr">
        <is>
          <t>Away</t>
        </is>
      </c>
      <c r="H52" s="2" t="inlineStr">
        <is>
          <t>draftkings</t>
        </is>
      </c>
      <c r="I52" s="4" t="n"/>
      <c r="J52" s="4" t="n"/>
      <c r="K52" s="4" t="n">
        <v>-129</v>
      </c>
      <c r="L52" s="4" t="n">
        <v>-129</v>
      </c>
      <c r="M52" s="5" t="n">
        <v>6.5</v>
      </c>
      <c r="N52" s="5" t="n">
        <v>5.903012147593933</v>
      </c>
      <c r="O52" s="5" t="n">
        <v>6.5</v>
      </c>
      <c r="P52" s="5" t="n">
        <v>0.596987852406067</v>
      </c>
      <c r="Q52" s="6" t="n">
        <v>0.1039525010295551</v>
      </c>
      <c r="R52" s="6" t="n">
        <v>0.6218771730690507</v>
      </c>
      <c r="S52" s="6" t="n">
        <v>0.5419083816763353</v>
      </c>
      <c r="T52" s="2" t="inlineStr">
        <is>
          <t>Under</t>
        </is>
      </c>
      <c r="U52" s="4" t="n">
        <v>-129</v>
      </c>
      <c r="V52" s="2" t="n">
        <v>1.775193798449612</v>
      </c>
      <c r="W52" s="4" t="n">
        <v>-129</v>
      </c>
      <c r="X52" s="2" t="n">
        <v>1</v>
      </c>
      <c r="Y52" s="5" t="n">
        <v>0.7751937984496124</v>
      </c>
      <c r="Z52" s="7" t="n">
        <v>100</v>
      </c>
      <c r="AA52" s="7">
        <f>Y52*Z52</f>
        <v/>
      </c>
      <c r="AB52" s="6">
        <f>IF(Z52=0,0,AA52/Z52)</f>
        <v/>
      </c>
      <c r="AC52" s="6" t="n"/>
      <c r="AD52" s="2" t="inlineStr">
        <is>
          <t>Win</t>
        </is>
      </c>
      <c r="AE52" s="6">
        <f>IF((COUNTIF($AD$2:AD52,"Win")+COUNTIF($AD$2:AD52,"Loss"))=0,0,COUNTIF($AD$2:AD52,"Win")/(COUNTIF($AD$2:AD52,"Win")+COUNTIF($AD$2:AD52,"Loss")))</f>
        <v/>
      </c>
      <c r="AF52" s="6">
        <f>SUM($Y$2:Y52)/SUM($X$2:X52)</f>
        <v/>
      </c>
      <c r="AG52" s="5">
        <f>SUM($Y$2:Y52)</f>
        <v/>
      </c>
      <c r="AH52" s="7">
        <f>10000.0+SUM($AA$2:AA52)</f>
        <v/>
      </c>
      <c r="AI52" s="2" t="n">
        <v>2026</v>
      </c>
      <c r="AJ52" s="2" t="inlineStr">
        <is>
          <t>2026-06</t>
        </is>
      </c>
      <c r="AK52" s="2" t="inlineStr">
        <is>
          <t>-149 to -120</t>
        </is>
      </c>
      <c r="AL52" s="2" t="inlineStr">
        <is>
          <t>2026 Frozen Test</t>
        </is>
      </c>
      <c r="AM52" s="6" t="n">
        <v>0.134098726328126</v>
      </c>
    </row>
    <row r="53">
      <c r="A53" s="2" t="inlineStr">
        <is>
          <t>KPROP-00944</t>
        </is>
      </c>
      <c r="B53" s="3" t="n">
        <v>46182.77819444444</v>
      </c>
      <c r="C53" s="3" t="n">
        <v>46182</v>
      </c>
      <c r="D53" s="2" t="inlineStr">
        <is>
          <t>Paul Skenes</t>
        </is>
      </c>
      <c r="E53" s="2" t="n">
        <v>134</v>
      </c>
      <c r="F53" s="2" t="n">
        <v>119</v>
      </c>
      <c r="G53" s="2" t="inlineStr">
        <is>
          <t>Home</t>
        </is>
      </c>
      <c r="H53" s="2" t="inlineStr">
        <is>
          <t>betmgm</t>
        </is>
      </c>
      <c r="I53" s="4" t="n"/>
      <c r="J53" s="4" t="n"/>
      <c r="K53" s="4" t="n">
        <v>-110</v>
      </c>
      <c r="L53" s="4" t="n">
        <v>-110</v>
      </c>
      <c r="M53" s="5" t="n">
        <v>6.5</v>
      </c>
      <c r="N53" s="5" t="n">
        <v>5.287866679196169</v>
      </c>
      <c r="O53" s="5" t="n">
        <v>6.5</v>
      </c>
      <c r="P53" s="5" t="n">
        <v>1.212133320803831</v>
      </c>
      <c r="Q53" s="6" t="n">
        <v>0.3726300696097508</v>
      </c>
      <c r="R53" s="6" t="n">
        <v>0.7189967031289171</v>
      </c>
      <c r="S53" s="6" t="n">
        <v>0.5091659028414299</v>
      </c>
      <c r="T53" s="2" t="inlineStr">
        <is>
          <t>Under</t>
        </is>
      </c>
      <c r="U53" s="4" t="n">
        <v>-110</v>
      </c>
      <c r="V53" s="2" t="n">
        <v>1.909090909090909</v>
      </c>
      <c r="W53" s="4" t="n">
        <v>-110</v>
      </c>
      <c r="X53" s="2" t="n">
        <v>1</v>
      </c>
      <c r="Y53" s="5" t="n">
        <v>-1</v>
      </c>
      <c r="Z53" s="7" t="n">
        <v>100</v>
      </c>
      <c r="AA53" s="7">
        <f>Y53*Z53</f>
        <v/>
      </c>
      <c r="AB53" s="6">
        <f>IF(Z53=0,0,AA53/Z53)</f>
        <v/>
      </c>
      <c r="AC53" s="6" t="n"/>
      <c r="AD53" s="2" t="inlineStr">
        <is>
          <t>Loss</t>
        </is>
      </c>
      <c r="AE53" s="6">
        <f>IF((COUNTIF($AD$2:AD53,"Win")+COUNTIF($AD$2:AD53,"Loss"))=0,0,COUNTIF($AD$2:AD53,"Win")/(COUNTIF($AD$2:AD53,"Win")+COUNTIF($AD$2:AD53,"Loss")))</f>
        <v/>
      </c>
      <c r="AF53" s="6">
        <f>SUM($Y$2:Y53)/SUM($X$2:X53)</f>
        <v/>
      </c>
      <c r="AG53" s="5">
        <f>SUM($Y$2:Y53)</f>
        <v/>
      </c>
      <c r="AH53" s="7">
        <f>10000.0+SUM($AA$2:AA53)</f>
        <v/>
      </c>
      <c r="AI53" s="2" t="n">
        <v>2026</v>
      </c>
      <c r="AJ53" s="2" t="inlineStr">
        <is>
          <t>2026-06</t>
        </is>
      </c>
      <c r="AK53" s="2" t="inlineStr">
        <is>
          <t>-119 to -101</t>
        </is>
      </c>
      <c r="AL53" s="2" t="inlineStr">
        <is>
          <t>2026 Frozen Test</t>
        </is>
      </c>
      <c r="AM53" s="6" t="n">
        <v>0.4098930765707258</v>
      </c>
    </row>
    <row r="54">
      <c r="A54" s="2" t="inlineStr">
        <is>
          <t>KPROP-00945</t>
        </is>
      </c>
      <c r="B54" s="3" t="n">
        <v>46182.77819444444</v>
      </c>
      <c r="C54" s="3" t="n">
        <v>46182</v>
      </c>
      <c r="D54" s="2" t="inlineStr">
        <is>
          <t>Payton Tolle</t>
        </is>
      </c>
      <c r="E54" s="2" t="n">
        <v>111</v>
      </c>
      <c r="F54" s="2" t="n">
        <v>139</v>
      </c>
      <c r="G54" s="2" t="inlineStr">
        <is>
          <t>Away</t>
        </is>
      </c>
      <c r="H54" s="2" t="inlineStr">
        <is>
          <t>betrivers</t>
        </is>
      </c>
      <c r="I54" s="4" t="n"/>
      <c r="J54" s="4" t="n"/>
      <c r="K54" s="4" t="n">
        <v>-155</v>
      </c>
      <c r="L54" s="4" t="n">
        <v>-155</v>
      </c>
      <c r="M54" s="5" t="n">
        <v>5.5</v>
      </c>
      <c r="N54" s="5" t="n">
        <v>4.690194525384528</v>
      </c>
      <c r="O54" s="5" t="n">
        <v>5.5</v>
      </c>
      <c r="P54" s="5" t="n">
        <v>0.8098054746154721</v>
      </c>
      <c r="Q54" s="6" t="n">
        <v>0.102492382410787</v>
      </c>
      <c r="R54" s="6" t="n">
        <v>0.6701424285242039</v>
      </c>
      <c r="S54" s="6" t="n">
        <v>0.579797313998517</v>
      </c>
      <c r="T54" s="2" t="inlineStr">
        <is>
          <t>Under</t>
        </is>
      </c>
      <c r="U54" s="4" t="n">
        <v>-155</v>
      </c>
      <c r="V54" s="2" t="n">
        <v>1.645161290322581</v>
      </c>
      <c r="W54" s="4" t="n">
        <v>-155</v>
      </c>
      <c r="X54" s="2" t="n">
        <v>1</v>
      </c>
      <c r="Y54" s="5" t="n">
        <v>0.6451612903225805</v>
      </c>
      <c r="Z54" s="7" t="n">
        <v>100</v>
      </c>
      <c r="AA54" s="7">
        <f>Y54*Z54</f>
        <v/>
      </c>
      <c r="AB54" s="6">
        <f>IF(Z54=0,0,AA54/Z54)</f>
        <v/>
      </c>
      <c r="AC54" s="6" t="n"/>
      <c r="AD54" s="2" t="inlineStr">
        <is>
          <t>Win</t>
        </is>
      </c>
      <c r="AE54" s="6">
        <f>IF((COUNTIF($AD$2:AD54,"Win")+COUNTIF($AD$2:AD54,"Loss"))=0,0,COUNTIF($AD$2:AD54,"Win")/(COUNTIF($AD$2:AD54,"Win")+COUNTIF($AD$2:AD54,"Loss")))</f>
        <v/>
      </c>
      <c r="AF54" s="6">
        <f>SUM($Y$2:Y54)/SUM($X$2:X54)</f>
        <v/>
      </c>
      <c r="AG54" s="5">
        <f>SUM($Y$2:Y54)</f>
        <v/>
      </c>
      <c r="AH54" s="7">
        <f>10000.0+SUM($AA$2:AA54)</f>
        <v/>
      </c>
      <c r="AI54" s="2" t="n">
        <v>2026</v>
      </c>
      <c r="AJ54" s="2" t="inlineStr">
        <is>
          <t>2026-06</t>
        </is>
      </c>
      <c r="AK54" s="2" t="inlineStr">
        <is>
          <t>&lt;= -150</t>
        </is>
      </c>
      <c r="AL54" s="2" t="inlineStr">
        <is>
          <t>2026 Frozen Test</t>
        </is>
      </c>
      <c r="AM54" s="6" t="n">
        <v>0.1588631927367199</v>
      </c>
    </row>
    <row r="55">
      <c r="A55" s="2" t="inlineStr">
        <is>
          <t>KPROP-00946</t>
        </is>
      </c>
      <c r="B55" s="3" t="n">
        <v>46182.77819444444</v>
      </c>
      <c r="C55" s="3" t="n">
        <v>46182</v>
      </c>
      <c r="D55" s="2" t="inlineStr">
        <is>
          <t>Taj Bradley</t>
        </is>
      </c>
      <c r="E55" s="2" t="n">
        <v>142</v>
      </c>
      <c r="F55" s="2" t="n">
        <v>116</v>
      </c>
      <c r="G55" s="2" t="inlineStr">
        <is>
          <t>Away</t>
        </is>
      </c>
      <c r="H55" s="2" t="inlineStr">
        <is>
          <t>betmgm</t>
        </is>
      </c>
      <c r="I55" s="4" t="n"/>
      <c r="J55" s="4" t="n"/>
      <c r="K55" s="4" t="n">
        <v>-105</v>
      </c>
      <c r="L55" s="4" t="n">
        <v>-105</v>
      </c>
      <c r="M55" s="5" t="n">
        <v>5.5</v>
      </c>
      <c r="N55" s="5" t="n">
        <v>5.260635021124767</v>
      </c>
      <c r="O55" s="5" t="n">
        <v>5.5</v>
      </c>
      <c r="P55" s="5" t="n">
        <v>0.2393649788752334</v>
      </c>
      <c r="Q55" s="6" t="n">
        <v>0.1134984068033577</v>
      </c>
      <c r="R55" s="6" t="n">
        <v>0.5703284522651344</v>
      </c>
      <c r="S55" s="6" t="n">
        <v>0.4988468634686347</v>
      </c>
      <c r="T55" s="2" t="inlineStr">
        <is>
          <t>Under</t>
        </is>
      </c>
      <c r="U55" s="4" t="n">
        <v>-105</v>
      </c>
      <c r="V55" s="2" t="n">
        <v>1.952380952380952</v>
      </c>
      <c r="W55" s="4" t="n">
        <v>-105</v>
      </c>
      <c r="X55" s="2" t="n">
        <v>1</v>
      </c>
      <c r="Y55" s="5" t="n">
        <v>0.9523809523809523</v>
      </c>
      <c r="Z55" s="7" t="n">
        <v>100</v>
      </c>
      <c r="AA55" s="7">
        <f>Y55*Z55</f>
        <v/>
      </c>
      <c r="AB55" s="6">
        <f>IF(Z55=0,0,AA55/Z55)</f>
        <v/>
      </c>
      <c r="AC55" s="6" t="n"/>
      <c r="AD55" s="2" t="inlineStr">
        <is>
          <t>Win</t>
        </is>
      </c>
      <c r="AE55" s="6">
        <f>IF((COUNTIF($AD$2:AD55,"Win")+COUNTIF($AD$2:AD55,"Loss"))=0,0,COUNTIF($AD$2:AD55,"Win")/(COUNTIF($AD$2:AD55,"Win")+COUNTIF($AD$2:AD55,"Loss")))</f>
        <v/>
      </c>
      <c r="AF55" s="6">
        <f>SUM($Y$2:Y55)/SUM($X$2:X55)</f>
        <v/>
      </c>
      <c r="AG55" s="5">
        <f>SUM($Y$2:Y55)</f>
        <v/>
      </c>
      <c r="AH55" s="7">
        <f>10000.0+SUM($AA$2:AA55)</f>
        <v/>
      </c>
      <c r="AI55" s="2" t="n">
        <v>2026</v>
      </c>
      <c r="AJ55" s="2" t="inlineStr">
        <is>
          <t>2026-06</t>
        </is>
      </c>
      <c r="AK55" s="2" t="inlineStr">
        <is>
          <t>-119 to -101</t>
        </is>
      </c>
      <c r="AL55" s="2" t="inlineStr">
        <is>
          <t>2026 Frozen Test</t>
        </is>
      </c>
      <c r="AM55" s="6" t="n">
        <v>0.1191733271435255</v>
      </c>
    </row>
    <row r="56">
      <c r="A56" s="2" t="inlineStr">
        <is>
          <t>KPROP-00947</t>
        </is>
      </c>
      <c r="B56" s="3" t="n">
        <v>46182.79555555555</v>
      </c>
      <c r="C56" s="3" t="n">
        <v>46182</v>
      </c>
      <c r="D56" s="2" t="inlineStr">
        <is>
          <t>Zack Wheeler</t>
        </is>
      </c>
      <c r="E56" s="2" t="n">
        <v>143</v>
      </c>
      <c r="F56" s="2" t="n">
        <v>141</v>
      </c>
      <c r="G56" s="2" t="inlineStr">
        <is>
          <t>Away</t>
        </is>
      </c>
      <c r="H56" s="2" t="inlineStr">
        <is>
          <t>betmgm</t>
        </is>
      </c>
      <c r="I56" s="4" t="n"/>
      <c r="J56" s="4" t="n"/>
      <c r="K56" s="4" t="n">
        <v>100</v>
      </c>
      <c r="L56" s="4" t="n">
        <v>100</v>
      </c>
      <c r="M56" s="5" t="n">
        <v>5.5</v>
      </c>
      <c r="N56" s="5" t="n">
        <v>4.993696594927146</v>
      </c>
      <c r="O56" s="5" t="n">
        <v>5.5</v>
      </c>
      <c r="P56" s="5" t="n">
        <v>0.5063034050728543</v>
      </c>
      <c r="Q56" s="6" t="n">
        <v>0.2341333905519614</v>
      </c>
      <c r="R56" s="6" t="n">
        <v>0.6170666952759807</v>
      </c>
      <c r="S56" s="6" t="n">
        <v>0.4792122538293216</v>
      </c>
      <c r="T56" s="2" t="inlineStr">
        <is>
          <t>Under</t>
        </is>
      </c>
      <c r="U56" s="4" t="n">
        <v>100</v>
      </c>
      <c r="V56" s="2" t="n">
        <v>2</v>
      </c>
      <c r="W56" s="4" t="n">
        <v>100</v>
      </c>
      <c r="X56" s="2" t="n">
        <v>1</v>
      </c>
      <c r="Y56" s="5" t="n">
        <v>1</v>
      </c>
      <c r="Z56" s="7" t="n">
        <v>100</v>
      </c>
      <c r="AA56" s="7">
        <f>Y56*Z56</f>
        <v/>
      </c>
      <c r="AB56" s="6">
        <f>IF(Z56=0,0,AA56/Z56)</f>
        <v/>
      </c>
      <c r="AC56" s="6" t="n"/>
      <c r="AD56" s="2" t="inlineStr">
        <is>
          <t>Win</t>
        </is>
      </c>
      <c r="AE56" s="6">
        <f>IF((COUNTIF($AD$2:AD56,"Win")+COUNTIF($AD$2:AD56,"Loss"))=0,0,COUNTIF($AD$2:AD56,"Win")/(COUNTIF($AD$2:AD56,"Win")+COUNTIF($AD$2:AD56,"Loss")))</f>
        <v/>
      </c>
      <c r="AF56" s="6">
        <f>SUM($Y$2:Y56)/SUM($X$2:X56)</f>
        <v/>
      </c>
      <c r="AG56" s="5">
        <f>SUM($Y$2:Y56)</f>
        <v/>
      </c>
      <c r="AH56" s="7">
        <f>10000.0+SUM($AA$2:AA56)</f>
        <v/>
      </c>
      <c r="AI56" s="2" t="n">
        <v>2026</v>
      </c>
      <c r="AJ56" s="2" t="inlineStr">
        <is>
          <t>2026-06</t>
        </is>
      </c>
      <c r="AK56" s="2" t="inlineStr">
        <is>
          <t>+100 to +120</t>
        </is>
      </c>
      <c r="AL56" s="2" t="inlineStr">
        <is>
          <t>2026 Frozen Test</t>
        </is>
      </c>
      <c r="AM56" s="6" t="n">
        <v>0.2341333905519614</v>
      </c>
    </row>
    <row r="57">
      <c r="A57" s="2" t="inlineStr">
        <is>
          <t>KPROP-00948</t>
        </is>
      </c>
      <c r="B57" s="3" t="n">
        <v>46183.81986111111</v>
      </c>
      <c r="C57" s="3" t="n">
        <v>46183</v>
      </c>
      <c r="D57" s="2" t="inlineStr">
        <is>
          <t>Chris Sale</t>
        </is>
      </c>
      <c r="E57" s="2" t="n">
        <v>144</v>
      </c>
      <c r="F57" s="2" t="n">
        <v>145</v>
      </c>
      <c r="G57" s="2" t="inlineStr">
        <is>
          <t>Away</t>
        </is>
      </c>
      <c r="H57" s="2" t="inlineStr">
        <is>
          <t>bovada</t>
        </is>
      </c>
      <c r="I57" s="4" t="n"/>
      <c r="J57" s="4" t="n"/>
      <c r="K57" s="4" t="n">
        <v>-120</v>
      </c>
      <c r="L57" s="4" t="n">
        <v>-120</v>
      </c>
      <c r="M57" s="5" t="n">
        <v>7.5</v>
      </c>
      <c r="N57" s="5" t="n">
        <v>5.834019574434609</v>
      </c>
      <c r="O57" s="5" t="n">
        <v>7.5</v>
      </c>
      <c r="P57" s="5" t="n">
        <v>1.665980425565391</v>
      </c>
      <c r="Q57" s="6" t="n">
        <v>0.4052463572431202</v>
      </c>
      <c r="R57" s="6" t="n">
        <v>0.7664980130417018</v>
      </c>
      <c r="S57" s="6" t="n">
        <v>0.5278969957081545</v>
      </c>
      <c r="T57" s="2" t="inlineStr">
        <is>
          <t>Under</t>
        </is>
      </c>
      <c r="U57" s="4" t="n">
        <v>-120</v>
      </c>
      <c r="V57" s="2" t="n">
        <v>1.833333333333333</v>
      </c>
      <c r="W57" s="4" t="n">
        <v>-120</v>
      </c>
      <c r="X57" s="2" t="n">
        <v>1</v>
      </c>
      <c r="Y57" s="5" t="n">
        <v>0.8333333333333335</v>
      </c>
      <c r="Z57" s="7" t="n">
        <v>100</v>
      </c>
      <c r="AA57" s="7">
        <f>Y57*Z57</f>
        <v/>
      </c>
      <c r="AB57" s="6">
        <f>IF(Z57=0,0,AA57/Z57)</f>
        <v/>
      </c>
      <c r="AC57" s="6" t="n"/>
      <c r="AD57" s="2" t="inlineStr">
        <is>
          <t>Win</t>
        </is>
      </c>
      <c r="AE57" s="6">
        <f>IF((COUNTIF($AD$2:AD57,"Win")+COUNTIF($AD$2:AD57,"Loss"))=0,0,COUNTIF($AD$2:AD57,"Win")/(COUNTIF($AD$2:AD57,"Win")+COUNTIF($AD$2:AD57,"Loss")))</f>
        <v/>
      </c>
      <c r="AF57" s="6">
        <f>SUM($Y$2:Y57)/SUM($X$2:X57)</f>
        <v/>
      </c>
      <c r="AG57" s="5">
        <f>SUM($Y$2:Y57)</f>
        <v/>
      </c>
      <c r="AH57" s="7">
        <f>10000.0+SUM($AA$2:AA57)</f>
        <v/>
      </c>
      <c r="AI57" s="2" t="n">
        <v>2026</v>
      </c>
      <c r="AJ57" s="2" t="inlineStr">
        <is>
          <t>2026-06</t>
        </is>
      </c>
      <c r="AK57" s="2" t="inlineStr">
        <is>
          <t>-149 to -120</t>
        </is>
      </c>
      <c r="AL57" s="2" t="inlineStr">
        <is>
          <t>2026 Frozen Test</t>
        </is>
      </c>
      <c r="AM57" s="6" t="n">
        <v>0.4862956286917441</v>
      </c>
    </row>
    <row r="58">
      <c r="A58" s="2" t="inlineStr">
        <is>
          <t>KPROP-00949</t>
        </is>
      </c>
      <c r="B58" s="3" t="n">
        <v>46183.54902777778</v>
      </c>
      <c r="C58" s="3" t="n">
        <v>46183</v>
      </c>
      <c r="D58" s="2" t="inlineStr">
        <is>
          <t>Drew Rasmussen</t>
        </is>
      </c>
      <c r="E58" s="2" t="n">
        <v>139</v>
      </c>
      <c r="F58" s="2" t="n">
        <v>111</v>
      </c>
      <c r="G58" s="2" t="inlineStr">
        <is>
          <t>Home</t>
        </is>
      </c>
      <c r="H58" s="2" t="inlineStr">
        <is>
          <t>betmgm</t>
        </is>
      </c>
      <c r="I58" s="4" t="n"/>
      <c r="J58" s="4" t="n"/>
      <c r="K58" s="4" t="n">
        <v>115</v>
      </c>
      <c r="L58" s="4" t="n">
        <v>115</v>
      </c>
      <c r="M58" s="5" t="n">
        <v>4.5</v>
      </c>
      <c r="N58" s="5" t="n">
        <v>4.541807063854944</v>
      </c>
      <c r="O58" s="5" t="n">
        <v>4.5</v>
      </c>
      <c r="P58" s="5" t="n">
        <v>-0.04180706385494393</v>
      </c>
      <c r="Q58" s="6" t="n">
        <v>0.1270023340115782</v>
      </c>
      <c r="R58" s="6" t="n">
        <v>0.5241871320984085</v>
      </c>
      <c r="S58" s="6" t="n">
        <v>0.4334891627709307</v>
      </c>
      <c r="T58" s="2" t="inlineStr">
        <is>
          <t>Under</t>
        </is>
      </c>
      <c r="U58" s="4" t="n">
        <v>115</v>
      </c>
      <c r="V58" s="2" t="n">
        <v>2.15</v>
      </c>
      <c r="W58" s="4" t="n">
        <v>115</v>
      </c>
      <c r="X58" s="2" t="n">
        <v>1</v>
      </c>
      <c r="Y58" s="5" t="n">
        <v>-1</v>
      </c>
      <c r="Z58" s="7" t="n">
        <v>100</v>
      </c>
      <c r="AA58" s="7">
        <f>Y58*Z58</f>
        <v/>
      </c>
      <c r="AB58" s="6">
        <f>IF(Z58=0,0,AA58/Z58)</f>
        <v/>
      </c>
      <c r="AC58" s="6" t="n"/>
      <c r="AD58" s="2" t="inlineStr">
        <is>
          <t>Loss</t>
        </is>
      </c>
      <c r="AE58" s="6">
        <f>IF((COUNTIF($AD$2:AD58,"Win")+COUNTIF($AD$2:AD58,"Loss"))=0,0,COUNTIF($AD$2:AD58,"Win")/(COUNTIF($AD$2:AD58,"Win")+COUNTIF($AD$2:AD58,"Loss")))</f>
        <v/>
      </c>
      <c r="AF58" s="6">
        <f>SUM($Y$2:Y58)/SUM($X$2:X58)</f>
        <v/>
      </c>
      <c r="AG58" s="5">
        <f>SUM($Y$2:Y58)</f>
        <v/>
      </c>
      <c r="AH58" s="7">
        <f>10000.0+SUM($AA$2:AA58)</f>
        <v/>
      </c>
      <c r="AI58" s="2" t="n">
        <v>2026</v>
      </c>
      <c r="AJ58" s="2" t="inlineStr">
        <is>
          <t>2026-06</t>
        </is>
      </c>
      <c r="AK58" s="2" t="inlineStr">
        <is>
          <t>+100 to +120</t>
        </is>
      </c>
      <c r="AL58" s="2" t="inlineStr">
        <is>
          <t>2026 Frozen Test</t>
        </is>
      </c>
      <c r="AM58" s="6" t="n">
        <v>0.1104368121839811</v>
      </c>
    </row>
    <row r="59">
      <c r="A59" s="2" t="inlineStr">
        <is>
          <t>KPROP-00950</t>
        </is>
      </c>
      <c r="B59" s="3" t="n">
        <v>46183.54902777778</v>
      </c>
      <c r="C59" s="3" t="n">
        <v>46183</v>
      </c>
      <c r="D59" s="2" t="inlineStr">
        <is>
          <t>Drew Rasmussen</t>
        </is>
      </c>
      <c r="E59" s="2" t="n">
        <v>139</v>
      </c>
      <c r="F59" s="2" t="n">
        <v>111</v>
      </c>
      <c r="G59" s="2" t="inlineStr">
        <is>
          <t>Home</t>
        </is>
      </c>
      <c r="H59" s="2" t="inlineStr">
        <is>
          <t>draftkings</t>
        </is>
      </c>
      <c r="I59" s="4" t="n"/>
      <c r="J59" s="4" t="n"/>
      <c r="K59" s="4" t="n">
        <v>-144</v>
      </c>
      <c r="L59" s="4" t="n">
        <v>-144</v>
      </c>
      <c r="M59" s="5" t="n">
        <v>5.5</v>
      </c>
      <c r="N59" s="5" t="n">
        <v>4.541807063854944</v>
      </c>
      <c r="O59" s="5" t="n">
        <v>5.5</v>
      </c>
      <c r="P59" s="5" t="n">
        <v>0.9581929361450561</v>
      </c>
      <c r="Q59" s="6" t="n">
        <v>0.1789479577897653</v>
      </c>
      <c r="R59" s="6" t="n">
        <v>0.6957725652529763</v>
      </c>
      <c r="S59" s="6" t="n">
        <v>0.5736650824713447</v>
      </c>
      <c r="T59" s="2" t="inlineStr">
        <is>
          <t>Under</t>
        </is>
      </c>
      <c r="U59" s="4" t="n">
        <v>-144</v>
      </c>
      <c r="V59" s="2" t="n">
        <v>1.694444444444444</v>
      </c>
      <c r="W59" s="4" t="n">
        <v>-144</v>
      </c>
      <c r="X59" s="2" t="n">
        <v>1</v>
      </c>
      <c r="Y59" s="5" t="n">
        <v>-1</v>
      </c>
      <c r="Z59" s="7" t="n">
        <v>100</v>
      </c>
      <c r="AA59" s="7">
        <f>Y59*Z59</f>
        <v/>
      </c>
      <c r="AB59" s="6">
        <f>IF(Z59=0,0,AA59/Z59)</f>
        <v/>
      </c>
      <c r="AC59" s="6" t="n"/>
      <c r="AD59" s="2" t="inlineStr">
        <is>
          <t>Loss</t>
        </is>
      </c>
      <c r="AE59" s="6">
        <f>IF((COUNTIF($AD$2:AD59,"Win")+COUNTIF($AD$2:AD59,"Loss"))=0,0,COUNTIF($AD$2:AD59,"Win")/(COUNTIF($AD$2:AD59,"Win")+COUNTIF($AD$2:AD59,"Loss")))</f>
        <v/>
      </c>
      <c r="AF59" s="6">
        <f>SUM($Y$2:Y59)/SUM($X$2:X59)</f>
        <v/>
      </c>
      <c r="AG59" s="5">
        <f>SUM($Y$2:Y59)</f>
        <v/>
      </c>
      <c r="AH59" s="7">
        <f>10000.0+SUM($AA$2:AA59)</f>
        <v/>
      </c>
      <c r="AI59" s="2" t="n">
        <v>2026</v>
      </c>
      <c r="AJ59" s="2" t="inlineStr">
        <is>
          <t>2026-06</t>
        </is>
      </c>
      <c r="AK59" s="2" t="inlineStr">
        <is>
          <t>-149 to -120</t>
        </is>
      </c>
      <c r="AL59" s="2" t="inlineStr">
        <is>
          <t>2026 Frozen Test</t>
        </is>
      </c>
      <c r="AM59" s="6" t="n">
        <v>0.257685059217262</v>
      </c>
    </row>
    <row r="60">
      <c r="A60" s="2" t="inlineStr">
        <is>
          <t>KPROP-00951</t>
        </is>
      </c>
      <c r="B60" s="3" t="n">
        <v>46183.65666666667</v>
      </c>
      <c r="C60" s="3" t="n">
        <v>46183</v>
      </c>
      <c r="D60" s="2" t="inlineStr">
        <is>
          <t>Foster Griffin</t>
        </is>
      </c>
      <c r="E60" s="2" t="n">
        <v>120</v>
      </c>
      <c r="F60" s="2" t="n">
        <v>137</v>
      </c>
      <c r="G60" s="2" t="inlineStr">
        <is>
          <t>Away</t>
        </is>
      </c>
      <c r="H60" s="2" t="inlineStr">
        <is>
          <t>betrivers</t>
        </is>
      </c>
      <c r="I60" s="4" t="n"/>
      <c r="J60" s="4" t="n"/>
      <c r="K60" s="4" t="n">
        <v>-152</v>
      </c>
      <c r="L60" s="4" t="n">
        <v>-152</v>
      </c>
      <c r="M60" s="5" t="n">
        <v>5.5</v>
      </c>
      <c r="N60" s="5" t="n">
        <v>4.806424204331422</v>
      </c>
      <c r="O60" s="5" t="n">
        <v>5.5</v>
      </c>
      <c r="P60" s="5" t="n">
        <v>0.6935757956685782</v>
      </c>
      <c r="Q60" s="6" t="n">
        <v>0.07743872244680133</v>
      </c>
      <c r="R60" s="6" t="n">
        <v>0.6498836738568008</v>
      </c>
      <c r="S60" s="6" t="n">
        <v>0.5702592087312415</v>
      </c>
      <c r="T60" s="2" t="inlineStr">
        <is>
          <t>Under</t>
        </is>
      </c>
      <c r="U60" s="4" t="n">
        <v>-152</v>
      </c>
      <c r="V60" s="2" t="n">
        <v>1.657894736842105</v>
      </c>
      <c r="W60" s="4" t="n">
        <v>-152</v>
      </c>
      <c r="X60" s="2" t="n">
        <v>1</v>
      </c>
      <c r="Y60" s="5" t="n">
        <v>0.6578947368421053</v>
      </c>
      <c r="Z60" s="7" t="n">
        <v>100</v>
      </c>
      <c r="AA60" s="7">
        <f>Y60*Z60</f>
        <v/>
      </c>
      <c r="AB60" s="6">
        <f>IF(Z60=0,0,AA60/Z60)</f>
        <v/>
      </c>
      <c r="AC60" s="6" t="n"/>
      <c r="AD60" s="2" t="inlineStr">
        <is>
          <t>Win</t>
        </is>
      </c>
      <c r="AE60" s="6">
        <f>IF((COUNTIF($AD$2:AD60,"Win")+COUNTIF($AD$2:AD60,"Loss"))=0,0,COUNTIF($AD$2:AD60,"Win")/(COUNTIF($AD$2:AD60,"Win")+COUNTIF($AD$2:AD60,"Loss")))</f>
        <v/>
      </c>
      <c r="AF60" s="6">
        <f>SUM($Y$2:Y60)/SUM($X$2:X60)</f>
        <v/>
      </c>
      <c r="AG60" s="5">
        <f>SUM($Y$2:Y60)</f>
        <v/>
      </c>
      <c r="AH60" s="7">
        <f>10000.0+SUM($AA$2:AA60)</f>
        <v/>
      </c>
      <c r="AI60" s="2" t="n">
        <v>2026</v>
      </c>
      <c r="AJ60" s="2" t="inlineStr">
        <is>
          <t>2026-06</t>
        </is>
      </c>
      <c r="AK60" s="2" t="inlineStr">
        <is>
          <t>&lt;= -150</t>
        </is>
      </c>
      <c r="AL60" s="2" t="inlineStr">
        <is>
          <t>2026 Frozen Test</t>
        </is>
      </c>
      <c r="AM60" s="6" t="n">
        <v>0.117706858119138</v>
      </c>
    </row>
    <row r="61">
      <c r="A61" s="2" t="inlineStr">
        <is>
          <t>KPROP-00952</t>
        </is>
      </c>
      <c r="B61" s="3" t="n">
        <v>46183.79556712963</v>
      </c>
      <c r="C61" s="3" t="n">
        <v>46183</v>
      </c>
      <c r="D61" s="2" t="inlineStr">
        <is>
          <t>Jesús Luzardo</t>
        </is>
      </c>
      <c r="E61" s="2" t="n">
        <v>143</v>
      </c>
      <c r="F61" s="2" t="n">
        <v>141</v>
      </c>
      <c r="G61" s="2" t="inlineStr">
        <is>
          <t>Away</t>
        </is>
      </c>
      <c r="H61" s="2" t="inlineStr">
        <is>
          <t>bovada</t>
        </is>
      </c>
      <c r="I61" s="4" t="n"/>
      <c r="J61" s="4" t="n"/>
      <c r="K61" s="4" t="n">
        <v>-120</v>
      </c>
      <c r="L61" s="4" t="n">
        <v>-120</v>
      </c>
      <c r="M61" s="5" t="n">
        <v>5.5</v>
      </c>
      <c r="N61" s="5" t="n">
        <v>5.181570288766241</v>
      </c>
      <c r="O61" s="5" t="n">
        <v>5.5</v>
      </c>
      <c r="P61" s="5" t="n">
        <v>0.3184297112337591</v>
      </c>
      <c r="Q61" s="6" t="n">
        <v>0.0709148079757751</v>
      </c>
      <c r="R61" s="6" t="n">
        <v>0.5841353498049682</v>
      </c>
      <c r="S61" s="6" t="n">
        <v>0.5157232704402516</v>
      </c>
      <c r="T61" s="2" t="inlineStr">
        <is>
          <t>Under</t>
        </is>
      </c>
      <c r="U61" s="4" t="n">
        <v>-120</v>
      </c>
      <c r="V61" s="2" t="n">
        <v>1.833333333333333</v>
      </c>
      <c r="W61" s="4" t="n">
        <v>-120</v>
      </c>
      <c r="X61" s="2" t="n">
        <v>1</v>
      </c>
      <c r="Y61" s="5" t="n">
        <v>-1</v>
      </c>
      <c r="Z61" s="7" t="n">
        <v>100</v>
      </c>
      <c r="AA61" s="7">
        <f>Y61*Z61</f>
        <v/>
      </c>
      <c r="AB61" s="6">
        <f>IF(Z61=0,0,AA61/Z61)</f>
        <v/>
      </c>
      <c r="AC61" s="6" t="n"/>
      <c r="AD61" s="2" t="inlineStr">
        <is>
          <t>Loss</t>
        </is>
      </c>
      <c r="AE61" s="6">
        <f>IF((COUNTIF($AD$2:AD61,"Win")+COUNTIF($AD$2:AD61,"Loss"))=0,0,COUNTIF($AD$2:AD61,"Win")/(COUNTIF($AD$2:AD61,"Win")+COUNTIF($AD$2:AD61,"Loss")))</f>
        <v/>
      </c>
      <c r="AF61" s="6">
        <f>SUM($Y$2:Y61)/SUM($X$2:X61)</f>
        <v/>
      </c>
      <c r="AG61" s="5">
        <f>SUM($Y$2:Y61)</f>
        <v/>
      </c>
      <c r="AH61" s="7">
        <f>10000.0+SUM($AA$2:AA61)</f>
        <v/>
      </c>
      <c r="AI61" s="2" t="n">
        <v>2026</v>
      </c>
      <c r="AJ61" s="2" t="inlineStr">
        <is>
          <t>2026-06</t>
        </is>
      </c>
      <c r="AK61" s="2" t="inlineStr">
        <is>
          <t>-149 to -120</t>
        </is>
      </c>
      <c r="AL61" s="2" t="inlineStr">
        <is>
          <t>2026 Frozen Test</t>
        </is>
      </c>
      <c r="AM61" s="6" t="n">
        <v>0.0850977695709301</v>
      </c>
    </row>
    <row r="62">
      <c r="A62" s="2" t="inlineStr">
        <is>
          <t>KPROP-00953</t>
        </is>
      </c>
      <c r="B62" s="3" t="n">
        <v>46183.67402777778</v>
      </c>
      <c r="C62" s="3" t="n">
        <v>46183</v>
      </c>
      <c r="D62" s="2" t="inlineStr">
        <is>
          <t>Michael King</t>
        </is>
      </c>
      <c r="E62" s="2" t="n">
        <v>135</v>
      </c>
      <c r="F62" s="2" t="n">
        <v>113</v>
      </c>
      <c r="G62" s="2" t="inlineStr">
        <is>
          <t>Home</t>
        </is>
      </c>
      <c r="H62" s="2" t="inlineStr">
        <is>
          <t>fanduel</t>
        </is>
      </c>
      <c r="I62" s="4" t="n"/>
      <c r="J62" s="4" t="n"/>
      <c r="K62" s="4" t="n">
        <v>130</v>
      </c>
      <c r="L62" s="4" t="n">
        <v>130</v>
      </c>
      <c r="M62" s="5" t="n">
        <v>5.5</v>
      </c>
      <c r="N62" s="5" t="n">
        <v>5.4176939445328</v>
      </c>
      <c r="O62" s="5" t="n">
        <v>5.5</v>
      </c>
      <c r="P62" s="5" t="n">
        <v>0.08230605546719971</v>
      </c>
      <c r="Q62" s="6" t="n">
        <v>0.2490753603271384</v>
      </c>
      <c r="R62" s="6" t="n">
        <v>0.543076243620495</v>
      </c>
      <c r="S62" s="6" t="n">
        <v>0.4140127388535032</v>
      </c>
      <c r="T62" s="2" t="inlineStr">
        <is>
          <t>Under</t>
        </is>
      </c>
      <c r="U62" s="4" t="n">
        <v>130</v>
      </c>
      <c r="V62" s="2" t="n">
        <v>2.3</v>
      </c>
      <c r="W62" s="4" t="n">
        <v>130</v>
      </c>
      <c r="X62" s="2" t="n">
        <v>1</v>
      </c>
      <c r="Y62" s="5" t="n">
        <v>1.3</v>
      </c>
      <c r="Z62" s="7" t="n">
        <v>100</v>
      </c>
      <c r="AA62" s="7">
        <f>Y62*Z62</f>
        <v/>
      </c>
      <c r="AB62" s="6">
        <f>IF(Z62=0,0,AA62/Z62)</f>
        <v/>
      </c>
      <c r="AC62" s="6" t="n"/>
      <c r="AD62" s="2" t="inlineStr">
        <is>
          <t>Win</t>
        </is>
      </c>
      <c r="AE62" s="6">
        <f>IF((COUNTIF($AD$2:AD62,"Win")+COUNTIF($AD$2:AD62,"Loss"))=0,0,COUNTIF($AD$2:AD62,"Win")/(COUNTIF($AD$2:AD62,"Win")+COUNTIF($AD$2:AD62,"Loss")))</f>
        <v/>
      </c>
      <c r="AF62" s="6">
        <f>SUM($Y$2:Y62)/SUM($X$2:X62)</f>
        <v/>
      </c>
      <c r="AG62" s="5">
        <f>SUM($Y$2:Y62)</f>
        <v/>
      </c>
      <c r="AH62" s="7">
        <f>10000.0+SUM($AA$2:AA62)</f>
        <v/>
      </c>
      <c r="AI62" s="2" t="n">
        <v>2026</v>
      </c>
      <c r="AJ62" s="2" t="inlineStr">
        <is>
          <t>2026-06</t>
        </is>
      </c>
      <c r="AK62" s="2" t="inlineStr">
        <is>
          <t>+121 to +150</t>
        </is>
      </c>
      <c r="AL62" s="2" t="inlineStr">
        <is>
          <t>2026 Frozen Test</t>
        </is>
      </c>
      <c r="AM62" s="6" t="n">
        <v>0.1915964310208757</v>
      </c>
    </row>
    <row r="63">
      <c r="A63" s="2" t="inlineStr">
        <is>
          <t>KPROP-00954</t>
        </is>
      </c>
      <c r="B63" s="3" t="n">
        <v>46183.67402777778</v>
      </c>
      <c r="C63" s="3" t="n">
        <v>46183</v>
      </c>
      <c r="D63" s="2" t="inlineStr">
        <is>
          <t>Michael King</t>
        </is>
      </c>
      <c r="E63" s="2" t="n">
        <v>135</v>
      </c>
      <c r="F63" s="2" t="n">
        <v>113</v>
      </c>
      <c r="G63" s="2" t="inlineStr">
        <is>
          <t>Home</t>
        </is>
      </c>
      <c r="H63" s="2" t="inlineStr">
        <is>
          <t>draftkings</t>
        </is>
      </c>
      <c r="I63" s="4" t="n"/>
      <c r="J63" s="4" t="n"/>
      <c r="K63" s="4" t="n">
        <v>-147</v>
      </c>
      <c r="L63" s="4" t="n">
        <v>-147</v>
      </c>
      <c r="M63" s="5" t="n">
        <v>6.5</v>
      </c>
      <c r="N63" s="5" t="n">
        <v>5.4176939445328</v>
      </c>
      <c r="O63" s="5" t="n">
        <v>6.5</v>
      </c>
      <c r="P63" s="5" t="n">
        <v>1.0823060554672</v>
      </c>
      <c r="Q63" s="6" t="n">
        <v>0.1743699427197283</v>
      </c>
      <c r="R63" s="6" t="n">
        <v>0.6989165246145752</v>
      </c>
      <c r="S63" s="6" t="n">
        <v>0.5669705469845722</v>
      </c>
      <c r="T63" s="2" t="inlineStr">
        <is>
          <t>Under</t>
        </is>
      </c>
      <c r="U63" s="4" t="n">
        <v>-147</v>
      </c>
      <c r="V63" s="2" t="n">
        <v>1.680272108843537</v>
      </c>
      <c r="W63" s="4" t="n">
        <v>-147</v>
      </c>
      <c r="X63" s="2" t="n">
        <v>1</v>
      </c>
      <c r="Y63" s="5" t="n">
        <v>0.6802721088435373</v>
      </c>
      <c r="Z63" s="7" t="n">
        <v>100</v>
      </c>
      <c r="AA63" s="7">
        <f>Y63*Z63</f>
        <v/>
      </c>
      <c r="AB63" s="6">
        <f>IF(Z63=0,0,AA63/Z63)</f>
        <v/>
      </c>
      <c r="AC63" s="6" t="n"/>
      <c r="AD63" s="2" t="inlineStr">
        <is>
          <t>Win</t>
        </is>
      </c>
      <c r="AE63" s="6">
        <f>IF((COUNTIF($AD$2:AD63,"Win")+COUNTIF($AD$2:AD63,"Loss"))=0,0,COUNTIF($AD$2:AD63,"Win")/(COUNTIF($AD$2:AD63,"Win")+COUNTIF($AD$2:AD63,"Loss")))</f>
        <v/>
      </c>
      <c r="AF63" s="6">
        <f>SUM($Y$2:Y63)/SUM($X$2:X63)</f>
        <v/>
      </c>
      <c r="AG63" s="5">
        <f>SUM($Y$2:Y63)</f>
        <v/>
      </c>
      <c r="AH63" s="7">
        <f>10000.0+SUM($AA$2:AA63)</f>
        <v/>
      </c>
      <c r="AI63" s="2" t="n">
        <v>2026</v>
      </c>
      <c r="AJ63" s="2" t="inlineStr">
        <is>
          <t>2026-06</t>
        </is>
      </c>
      <c r="AK63" s="2" t="inlineStr">
        <is>
          <t>-149 to -120</t>
        </is>
      </c>
      <c r="AL63" s="2" t="inlineStr">
        <is>
          <t>2026 Frozen Test</t>
        </is>
      </c>
      <c r="AM63" s="6" t="n">
        <v>0.2563238157980007</v>
      </c>
    </row>
    <row r="64">
      <c r="A64" s="2" t="inlineStr">
        <is>
          <t>KPROP-00955</t>
        </is>
      </c>
      <c r="B64" s="3" t="n">
        <v>46183.54902777778</v>
      </c>
      <c r="C64" s="3" t="n">
        <v>46183</v>
      </c>
      <c r="D64" s="2" t="inlineStr">
        <is>
          <t>Parker Messick</t>
        </is>
      </c>
      <c r="E64" s="2" t="n">
        <v>114</v>
      </c>
      <c r="F64" s="2" t="n">
        <v>147</v>
      </c>
      <c r="G64" s="2" t="inlineStr">
        <is>
          <t>Home</t>
        </is>
      </c>
      <c r="H64" s="2" t="inlineStr">
        <is>
          <t>draftkings</t>
        </is>
      </c>
      <c r="I64" s="4" t="n"/>
      <c r="J64" s="4" t="n"/>
      <c r="K64" s="4" t="n">
        <v>-118</v>
      </c>
      <c r="L64" s="4" t="n">
        <v>-118</v>
      </c>
      <c r="M64" s="5" t="n">
        <v>5.5</v>
      </c>
      <c r="N64" s="5" t="n">
        <v>4.972668792571953</v>
      </c>
      <c r="O64" s="5" t="n">
        <v>5.5</v>
      </c>
      <c r="P64" s="5" t="n">
        <v>0.5273312074280474</v>
      </c>
      <c r="Q64" s="6" t="n">
        <v>0.1468209059170833</v>
      </c>
      <c r="R64" s="6" t="n">
        <v>0.620756270175302</v>
      </c>
      <c r="S64" s="6" t="n">
        <v>0.5378418486326054</v>
      </c>
      <c r="T64" s="2" t="inlineStr">
        <is>
          <t>Under</t>
        </is>
      </c>
      <c r="U64" s="4" t="n">
        <v>-118</v>
      </c>
      <c r="V64" s="2" t="n">
        <v>1.847457627118644</v>
      </c>
      <c r="W64" s="4" t="n">
        <v>-118</v>
      </c>
      <c r="X64" s="2" t="n">
        <v>1</v>
      </c>
      <c r="Y64" s="5" t="n">
        <v>0.847457627118644</v>
      </c>
      <c r="Z64" s="7" t="n">
        <v>100</v>
      </c>
      <c r="AA64" s="7">
        <f>Y64*Z64</f>
        <v/>
      </c>
      <c r="AB64" s="6">
        <f>IF(Z64=0,0,AA64/Z64)</f>
        <v/>
      </c>
      <c r="AC64" s="6" t="n"/>
      <c r="AD64" s="2" t="inlineStr">
        <is>
          <t>Win</t>
        </is>
      </c>
      <c r="AE64" s="6">
        <f>IF((COUNTIF($AD$2:AD64,"Win")+COUNTIF($AD$2:AD64,"Loss"))=0,0,COUNTIF($AD$2:AD64,"Win")/(COUNTIF($AD$2:AD64,"Win")+COUNTIF($AD$2:AD64,"Loss")))</f>
        <v/>
      </c>
      <c r="AF64" s="6">
        <f>SUM($Y$2:Y64)/SUM($X$2:X64)</f>
        <v/>
      </c>
      <c r="AG64" s="5">
        <f>SUM($Y$2:Y64)</f>
        <v/>
      </c>
      <c r="AH64" s="7">
        <f>10000.0+SUM($AA$2:AA64)</f>
        <v/>
      </c>
      <c r="AI64" s="2" t="n">
        <v>2026</v>
      </c>
      <c r="AJ64" s="2" t="inlineStr">
        <is>
          <t>2026-06</t>
        </is>
      </c>
      <c r="AK64" s="2" t="inlineStr">
        <is>
          <t>-119 to -101</t>
        </is>
      </c>
      <c r="AL64" s="2" t="inlineStr">
        <is>
          <t>2026 Frozen Test</t>
        </is>
      </c>
      <c r="AM64" s="6" t="n">
        <v>0.1732486689821583</v>
      </c>
    </row>
    <row r="65">
      <c r="A65" s="2" t="inlineStr">
        <is>
          <t>KPROP-00956</t>
        </is>
      </c>
      <c r="B65" s="3" t="n">
        <v>46183.65666666667</v>
      </c>
      <c r="C65" s="3" t="n">
        <v>46183</v>
      </c>
      <c r="D65" s="2" t="inlineStr">
        <is>
          <t>Robbie Ray</t>
        </is>
      </c>
      <c r="E65" s="2" t="n">
        <v>137</v>
      </c>
      <c r="F65" s="2" t="n">
        <v>120</v>
      </c>
      <c r="G65" s="2" t="inlineStr">
        <is>
          <t>Home</t>
        </is>
      </c>
      <c r="H65" s="2" t="inlineStr">
        <is>
          <t>betmgm</t>
        </is>
      </c>
      <c r="I65" s="4" t="n"/>
      <c r="J65" s="4" t="n"/>
      <c r="K65" s="4" t="n">
        <v>-145</v>
      </c>
      <c r="L65" s="4" t="n">
        <v>-145</v>
      </c>
      <c r="M65" s="5" t="n">
        <v>5.5</v>
      </c>
      <c r="N65" s="5" t="n">
        <v>4.460432245965172</v>
      </c>
      <c r="O65" s="5" t="n">
        <v>5.5</v>
      </c>
      <c r="P65" s="5" t="n">
        <v>1.039567754034828</v>
      </c>
      <c r="Q65" s="6" t="n">
        <v>0.199105016595296</v>
      </c>
      <c r="R65" s="6" t="n">
        <v>0.7096743975768078</v>
      </c>
      <c r="S65" s="6" t="n">
        <v>0.5764909248055315</v>
      </c>
      <c r="T65" s="2" t="inlineStr">
        <is>
          <t>Under</t>
        </is>
      </c>
      <c r="U65" s="4" t="n">
        <v>-145</v>
      </c>
      <c r="V65" s="2" t="n">
        <v>1.689655172413793</v>
      </c>
      <c r="W65" s="4" t="n">
        <v>-145</v>
      </c>
      <c r="X65" s="2" t="n">
        <v>1</v>
      </c>
      <c r="Y65" s="5" t="n">
        <v>0.6896551724137931</v>
      </c>
      <c r="Z65" s="7" t="n">
        <v>100</v>
      </c>
      <c r="AA65" s="7">
        <f>Y65*Z65</f>
        <v/>
      </c>
      <c r="AB65" s="6">
        <f>IF(Z65=0,0,AA65/Z65)</f>
        <v/>
      </c>
      <c r="AC65" s="6" t="n"/>
      <c r="AD65" s="2" t="inlineStr">
        <is>
          <t>Win</t>
        </is>
      </c>
      <c r="AE65" s="6">
        <f>IF((COUNTIF($AD$2:AD65,"Win")+COUNTIF($AD$2:AD65,"Loss"))=0,0,COUNTIF($AD$2:AD65,"Win")/(COUNTIF($AD$2:AD65,"Win")+COUNTIF($AD$2:AD65,"Loss")))</f>
        <v/>
      </c>
      <c r="AF65" s="6">
        <f>SUM($Y$2:Y65)/SUM($X$2:X65)</f>
        <v/>
      </c>
      <c r="AG65" s="5">
        <f>SUM($Y$2:Y65)</f>
        <v/>
      </c>
      <c r="AH65" s="7">
        <f>10000.0+SUM($AA$2:AA65)</f>
        <v/>
      </c>
      <c r="AI65" s="2" t="n">
        <v>2026</v>
      </c>
      <c r="AJ65" s="2" t="inlineStr">
        <is>
          <t>2026-06</t>
        </is>
      </c>
      <c r="AK65" s="2" t="inlineStr">
        <is>
          <t>-149 to -120</t>
        </is>
      </c>
      <c r="AL65" s="2" t="inlineStr">
        <is>
          <t>2026 Frozen Test</t>
        </is>
      </c>
      <c r="AM65" s="6" t="n">
        <v>0.2887022740631793</v>
      </c>
    </row>
    <row r="66">
      <c r="A66" s="2" t="inlineStr">
        <is>
          <t>KPROP-00957</t>
        </is>
      </c>
      <c r="B66" s="3" t="n">
        <v>46183.77819444444</v>
      </c>
      <c r="C66" s="3" t="n">
        <v>46183</v>
      </c>
      <c r="D66" s="2" t="inlineStr">
        <is>
          <t>Shohei Ohtani</t>
        </is>
      </c>
      <c r="E66" s="2" t="n">
        <v>119</v>
      </c>
      <c r="F66" s="2" t="n">
        <v>134</v>
      </c>
      <c r="G66" s="2" t="inlineStr">
        <is>
          <t>Away</t>
        </is>
      </c>
      <c r="H66" s="2" t="inlineStr">
        <is>
          <t>draftkings</t>
        </is>
      </c>
      <c r="I66" s="4" t="n"/>
      <c r="J66" s="4" t="n"/>
      <c r="K66" s="4" t="n">
        <v>-106</v>
      </c>
      <c r="L66" s="4" t="n">
        <v>-106</v>
      </c>
      <c r="M66" s="5" t="n">
        <v>6.5</v>
      </c>
      <c r="N66" s="5" t="n">
        <v>5.362233872297962</v>
      </c>
      <c r="O66" s="5" t="n">
        <v>6.5</v>
      </c>
      <c r="P66" s="5" t="n">
        <v>1.137766127702038</v>
      </c>
      <c r="Q66" s="6" t="n">
        <v>0.3750166175806275</v>
      </c>
      <c r="R66" s="6" t="n">
        <v>0.7075328226385753</v>
      </c>
      <c r="S66" s="6" t="n">
        <v>0.4977424598157846</v>
      </c>
      <c r="T66" s="2" t="inlineStr">
        <is>
          <t>Under</t>
        </is>
      </c>
      <c r="U66" s="4" t="n">
        <v>-106</v>
      </c>
      <c r="V66" s="2" t="n">
        <v>1.943396226415094</v>
      </c>
      <c r="W66" s="4" t="n">
        <v>-106</v>
      </c>
      <c r="X66" s="2" t="n">
        <v>1</v>
      </c>
      <c r="Y66" s="5" t="n">
        <v>0.9433962264150944</v>
      </c>
      <c r="Z66" s="7" t="n">
        <v>100</v>
      </c>
      <c r="AA66" s="7">
        <f>Y66*Z66</f>
        <v/>
      </c>
      <c r="AB66" s="6">
        <f>IF(Z66=0,0,AA66/Z66)</f>
        <v/>
      </c>
      <c r="AC66" s="6" t="n"/>
      <c r="AD66" s="2" t="inlineStr">
        <is>
          <t>Win</t>
        </is>
      </c>
      <c r="AE66" s="6">
        <f>IF((COUNTIF($AD$2:AD66,"Win")+COUNTIF($AD$2:AD66,"Loss"))=0,0,COUNTIF($AD$2:AD66,"Win")/(COUNTIF($AD$2:AD66,"Win")+COUNTIF($AD$2:AD66,"Loss")))</f>
        <v/>
      </c>
      <c r="AF66" s="6">
        <f>SUM($Y$2:Y66)/SUM($X$2:X66)</f>
        <v/>
      </c>
      <c r="AG66" s="5">
        <f>SUM($Y$2:Y66)</f>
        <v/>
      </c>
      <c r="AH66" s="7">
        <f>10000.0+SUM($AA$2:AA66)</f>
        <v/>
      </c>
      <c r="AI66" s="2" t="n">
        <v>2026</v>
      </c>
      <c r="AJ66" s="2" t="inlineStr">
        <is>
          <t>2026-06</t>
        </is>
      </c>
      <c r="AK66" s="2" t="inlineStr">
        <is>
          <t>-119 to -101</t>
        </is>
      </c>
      <c r="AL66" s="2" t="inlineStr">
        <is>
          <t>2026 Frozen Test</t>
        </is>
      </c>
      <c r="AM66" s="6" t="n">
        <v>0.3975176146354652</v>
      </c>
    </row>
    <row r="67">
      <c r="A67" s="2" t="inlineStr">
        <is>
          <t>KPROP-00958</t>
        </is>
      </c>
      <c r="B67" s="3" t="n">
        <v>46184.79555555555</v>
      </c>
      <c r="C67" s="3" t="n">
        <v>46184</v>
      </c>
      <c r="D67" s="2" t="inlineStr">
        <is>
          <t>Bryan Woo</t>
        </is>
      </c>
      <c r="E67" s="2" t="n">
        <v>136</v>
      </c>
      <c r="F67" s="2" t="n">
        <v>110</v>
      </c>
      <c r="G67" s="2" t="inlineStr">
        <is>
          <t>Away</t>
        </is>
      </c>
      <c r="H67" s="2" t="inlineStr">
        <is>
          <t>draftkings</t>
        </is>
      </c>
      <c r="I67" s="4" t="n"/>
      <c r="J67" s="4" t="n"/>
      <c r="K67" s="4" t="n">
        <v>-140</v>
      </c>
      <c r="L67" s="4" t="n">
        <v>-140</v>
      </c>
      <c r="M67" s="5" t="n">
        <v>6.5</v>
      </c>
      <c r="N67" s="5" t="n">
        <v>5.720577434022882</v>
      </c>
      <c r="O67" s="5" t="n">
        <v>6.5</v>
      </c>
      <c r="P67" s="5" t="n">
        <v>0.7794225659771179</v>
      </c>
      <c r="Q67" s="6" t="n">
        <v>0.1161457844731877</v>
      </c>
      <c r="R67" s="6" t="n">
        <v>0.6510850409426928</v>
      </c>
      <c r="S67" s="6" t="n">
        <v>0.5675675675675677</v>
      </c>
      <c r="T67" s="2" t="inlineStr">
        <is>
          <t>Under</t>
        </is>
      </c>
      <c r="U67" s="4" t="n">
        <v>-140</v>
      </c>
      <c r="V67" s="2" t="n">
        <v>1.714285714285714</v>
      </c>
      <c r="W67" s="4" t="n">
        <v>-140</v>
      </c>
      <c r="X67" s="2" t="n">
        <v>1</v>
      </c>
      <c r="Y67" s="5" t="n">
        <v>0.7142857142857144</v>
      </c>
      <c r="Z67" s="7" t="n">
        <v>100</v>
      </c>
      <c r="AA67" s="7">
        <f>Y67*Z67</f>
        <v/>
      </c>
      <c r="AB67" s="6">
        <f>IF(Z67=0,0,AA67/Z67)</f>
        <v/>
      </c>
      <c r="AC67" s="6" t="n"/>
      <c r="AD67" s="2" t="inlineStr">
        <is>
          <t>Win</t>
        </is>
      </c>
      <c r="AE67" s="6">
        <f>IF((COUNTIF($AD$2:AD67,"Win")+COUNTIF($AD$2:AD67,"Loss"))=0,0,COUNTIF($AD$2:AD67,"Win")/(COUNTIF($AD$2:AD67,"Win")+COUNTIF($AD$2:AD67,"Loss")))</f>
        <v/>
      </c>
      <c r="AF67" s="6">
        <f>SUM($Y$2:Y67)/SUM($X$2:X67)</f>
        <v/>
      </c>
      <c r="AG67" s="5">
        <f>SUM($Y$2:Y67)</f>
        <v/>
      </c>
      <c r="AH67" s="7">
        <f>10000.0+SUM($AA$2:AA67)</f>
        <v/>
      </c>
      <c r="AI67" s="2" t="n">
        <v>2026</v>
      </c>
      <c r="AJ67" s="2" t="inlineStr">
        <is>
          <t>2026-06</t>
        </is>
      </c>
      <c r="AK67" s="2" t="inlineStr">
        <is>
          <t>-149 to -120</t>
        </is>
      </c>
      <c r="AL67" s="2" t="inlineStr">
        <is>
          <t>2026 Frozen Test</t>
        </is>
      </c>
      <c r="AM67" s="6" t="n">
        <v>0.1626040982624628</v>
      </c>
    </row>
    <row r="68">
      <c r="A68" s="2" t="inlineStr">
        <is>
          <t>KPROP-00959</t>
        </is>
      </c>
      <c r="B68" s="3" t="n">
        <v>46184.54902777778</v>
      </c>
      <c r="C68" s="3" t="n">
        <v>46184</v>
      </c>
      <c r="D68" s="2" t="inlineStr">
        <is>
          <t>Christian Scott</t>
        </is>
      </c>
      <c r="E68" s="2" t="n">
        <v>121</v>
      </c>
      <c r="F68" s="2" t="n">
        <v>138</v>
      </c>
      <c r="G68" s="2" t="inlineStr">
        <is>
          <t>Home</t>
        </is>
      </c>
      <c r="H68" s="2" t="inlineStr">
        <is>
          <t>draftkings</t>
        </is>
      </c>
      <c r="I68" s="4" t="n"/>
      <c r="J68" s="4" t="n"/>
      <c r="K68" s="4" t="n">
        <v>130</v>
      </c>
      <c r="L68" s="4" t="n">
        <v>130</v>
      </c>
      <c r="M68" s="5" t="n">
        <v>4.5</v>
      </c>
      <c r="N68" s="5" t="n">
        <v>4.732207878370621</v>
      </c>
      <c r="O68" s="5" t="n">
        <v>4.5</v>
      </c>
      <c r="P68" s="5" t="n">
        <v>-0.2322078783706205</v>
      </c>
      <c r="Q68" s="6" t="n">
        <v>0.1239345255720127</v>
      </c>
      <c r="R68" s="6" t="n">
        <v>0.4886671850313099</v>
      </c>
      <c r="S68" s="6" t="n">
        <v>0.4106205619018215</v>
      </c>
      <c r="T68" s="2" t="inlineStr">
        <is>
          <t>Under</t>
        </is>
      </c>
      <c r="U68" s="4" t="n">
        <v>130</v>
      </c>
      <c r="V68" s="2" t="n">
        <v>2.3</v>
      </c>
      <c r="W68" s="4" t="n">
        <v>130</v>
      </c>
      <c r="X68" s="2" t="n">
        <v>1</v>
      </c>
      <c r="Y68" s="5" t="n">
        <v>-1</v>
      </c>
      <c r="Z68" s="7" t="n">
        <v>100</v>
      </c>
      <c r="AA68" s="7">
        <f>Y68*Z68</f>
        <v/>
      </c>
      <c r="AB68" s="6">
        <f>IF(Z68=0,0,AA68/Z68)</f>
        <v/>
      </c>
      <c r="AC68" s="6" t="n"/>
      <c r="AD68" s="2" t="inlineStr">
        <is>
          <t>Loss</t>
        </is>
      </c>
      <c r="AE68" s="6">
        <f>IF((COUNTIF($AD$2:AD68,"Win")+COUNTIF($AD$2:AD68,"Loss"))=0,0,COUNTIF($AD$2:AD68,"Win")/(COUNTIF($AD$2:AD68,"Win")+COUNTIF($AD$2:AD68,"Loss")))</f>
        <v/>
      </c>
      <c r="AF68" s="6">
        <f>SUM($Y$2:Y68)/SUM($X$2:X68)</f>
        <v/>
      </c>
      <c r="AG68" s="5">
        <f>SUM($Y$2:Y68)</f>
        <v/>
      </c>
      <c r="AH68" s="7">
        <f>10000.0+SUM($AA$2:AA68)</f>
        <v/>
      </c>
      <c r="AI68" s="2" t="n">
        <v>2026</v>
      </c>
      <c r="AJ68" s="2" t="inlineStr">
        <is>
          <t>2026-06</t>
        </is>
      </c>
      <c r="AK68" s="2" t="inlineStr">
        <is>
          <t>+121 to +150</t>
        </is>
      </c>
      <c r="AL68" s="2" t="inlineStr">
        <is>
          <t>2026 Frozen Test</t>
        </is>
      </c>
      <c r="AM68" s="6" t="n">
        <v>0.09533425044000976</v>
      </c>
    </row>
    <row r="69">
      <c r="A69" s="2" t="inlineStr">
        <is>
          <t>KPROP-00960</t>
        </is>
      </c>
      <c r="B69" s="3" t="n">
        <v>46184.79555555555</v>
      </c>
      <c r="C69" s="3" t="n">
        <v>46184</v>
      </c>
      <c r="D69" s="2" t="inlineStr">
        <is>
          <t>Kyle Bradish</t>
        </is>
      </c>
      <c r="E69" s="2" t="n">
        <v>110</v>
      </c>
      <c r="F69" s="2" t="n">
        <v>136</v>
      </c>
      <c r="G69" s="2" t="inlineStr">
        <is>
          <t>Home</t>
        </is>
      </c>
      <c r="H69" s="2" t="inlineStr">
        <is>
          <t>draftkings</t>
        </is>
      </c>
      <c r="I69" s="4" t="n"/>
      <c r="J69" s="4" t="n"/>
      <c r="K69" s="4" t="n">
        <v>-102</v>
      </c>
      <c r="L69" s="4" t="n">
        <v>-102</v>
      </c>
      <c r="M69" s="5" t="n">
        <v>5.5</v>
      </c>
      <c r="N69" s="5" t="n">
        <v>5.367759175236607</v>
      </c>
      <c r="O69" s="5" t="n">
        <v>5.5</v>
      </c>
      <c r="P69" s="5" t="n">
        <v>0.1322408247633931</v>
      </c>
      <c r="Q69" s="6" t="n">
        <v>0.09260314527554303</v>
      </c>
      <c r="R69" s="6" t="n">
        <v>0.5517104990995316</v>
      </c>
      <c r="S69" s="6" t="n">
        <v>0.4908340971585702</v>
      </c>
      <c r="T69" s="2" t="inlineStr">
        <is>
          <t>Under</t>
        </is>
      </c>
      <c r="U69" s="4" t="n">
        <v>-102</v>
      </c>
      <c r="V69" s="2" t="n">
        <v>1.980392156862745</v>
      </c>
      <c r="W69" s="4" t="n">
        <v>-102</v>
      </c>
      <c r="X69" s="2" t="n">
        <v>1</v>
      </c>
      <c r="Y69" s="5" t="n">
        <v>0.9803921568627452</v>
      </c>
      <c r="Z69" s="7" t="n">
        <v>100</v>
      </c>
      <c r="AA69" s="7">
        <f>Y69*Z69</f>
        <v/>
      </c>
      <c r="AB69" s="6">
        <f>IF(Z69=0,0,AA69/Z69)</f>
        <v/>
      </c>
      <c r="AC69" s="6" t="n"/>
      <c r="AD69" s="2" t="inlineStr">
        <is>
          <t>Win</t>
        </is>
      </c>
      <c r="AE69" s="6">
        <f>IF((COUNTIF($AD$2:AD69,"Win")+COUNTIF($AD$2:AD69,"Loss"))=0,0,COUNTIF($AD$2:AD69,"Win")/(COUNTIF($AD$2:AD69,"Win")+COUNTIF($AD$2:AD69,"Loss")))</f>
        <v/>
      </c>
      <c r="AF69" s="6">
        <f>SUM($Y$2:Y69)/SUM($X$2:X69)</f>
        <v/>
      </c>
      <c r="AG69" s="5">
        <f>SUM($Y$2:Y69)</f>
        <v/>
      </c>
      <c r="AH69" s="7">
        <f>10000.0+SUM($AA$2:AA69)</f>
        <v/>
      </c>
      <c r="AI69" s="2" t="n">
        <v>2026</v>
      </c>
      <c r="AJ69" s="2" t="inlineStr">
        <is>
          <t>2026-06</t>
        </is>
      </c>
      <c r="AK69" s="2" t="inlineStr">
        <is>
          <t>-119 to -101</t>
        </is>
      </c>
      <c r="AL69" s="2" t="inlineStr">
        <is>
          <t>2026 Frozen Test</t>
        </is>
      </c>
      <c r="AM69" s="6" t="n">
        <v>0.09445520818105388</v>
      </c>
    </row>
    <row r="70">
      <c r="A70" s="2" t="inlineStr">
        <is>
          <t>KPROP-00961</t>
        </is>
      </c>
      <c r="B70" s="3" t="n">
        <v>46185.77819444444</v>
      </c>
      <c r="C70" s="3" t="n">
        <v>46185</v>
      </c>
      <c r="D70" s="2" t="inlineStr">
        <is>
          <t>Braxton Ashcraft</t>
        </is>
      </c>
      <c r="E70" s="2" t="n">
        <v>134</v>
      </c>
      <c r="F70" s="2" t="n">
        <v>146</v>
      </c>
      <c r="G70" s="2" t="inlineStr">
        <is>
          <t>Home</t>
        </is>
      </c>
      <c r="H70" s="2" t="inlineStr">
        <is>
          <t>fanduel</t>
        </is>
      </c>
      <c r="I70" s="4" t="n"/>
      <c r="J70" s="4" t="n"/>
      <c r="K70" s="4" t="n">
        <v>116</v>
      </c>
      <c r="L70" s="4" t="n">
        <v>116</v>
      </c>
      <c r="M70" s="5" t="n">
        <v>5.5</v>
      </c>
      <c r="N70" s="5" t="n">
        <v>5.482026394773845</v>
      </c>
      <c r="O70" s="5" t="n">
        <v>5.5</v>
      </c>
      <c r="P70" s="5" t="n">
        <v>0.01797360522615499</v>
      </c>
      <c r="Q70" s="6" t="n">
        <v>0.1491240294819585</v>
      </c>
      <c r="R70" s="6" t="n">
        <v>0.5320018655009067</v>
      </c>
      <c r="S70" s="6" t="n">
        <v>0.4528045958669114</v>
      </c>
      <c r="T70" s="2" t="inlineStr">
        <is>
          <t>Under</t>
        </is>
      </c>
      <c r="U70" s="4" t="n">
        <v>116</v>
      </c>
      <c r="V70" s="2" t="n">
        <v>2.16</v>
      </c>
      <c r="W70" s="4" t="n">
        <v>116</v>
      </c>
      <c r="X70" s="2" t="n">
        <v>1</v>
      </c>
      <c r="Y70" s="5" t="n">
        <v>1.16</v>
      </c>
      <c r="Z70" s="7" t="n">
        <v>100</v>
      </c>
      <c r="AA70" s="7">
        <f>Y70*Z70</f>
        <v/>
      </c>
      <c r="AB70" s="6">
        <f>IF(Z70=0,0,AA70/Z70)</f>
        <v/>
      </c>
      <c r="AC70" s="6" t="n"/>
      <c r="AD70" s="2" t="inlineStr">
        <is>
          <t>Win</t>
        </is>
      </c>
      <c r="AE70" s="6">
        <f>IF((COUNTIF($AD$2:AD70,"Win")+COUNTIF($AD$2:AD70,"Loss"))=0,0,COUNTIF($AD$2:AD70,"Win")/(COUNTIF($AD$2:AD70,"Win")+COUNTIF($AD$2:AD70,"Loss")))</f>
        <v/>
      </c>
      <c r="AF70" s="6">
        <f>SUM($Y$2:Y70)/SUM($X$2:X70)</f>
        <v/>
      </c>
      <c r="AG70" s="5">
        <f>SUM($Y$2:Y70)</f>
        <v/>
      </c>
      <c r="AH70" s="7">
        <f>10000.0+SUM($AA$2:AA70)</f>
        <v/>
      </c>
      <c r="AI70" s="2" t="n">
        <v>2026</v>
      </c>
      <c r="AJ70" s="2" t="inlineStr">
        <is>
          <t>2026-06</t>
        </is>
      </c>
      <c r="AK70" s="2" t="inlineStr">
        <is>
          <t>+100 to +120</t>
        </is>
      </c>
      <c r="AL70" s="2" t="inlineStr">
        <is>
          <t>2026 Frozen Test</t>
        </is>
      </c>
      <c r="AM70" s="6" t="n">
        <v>0.1285551978292745</v>
      </c>
    </row>
    <row r="71">
      <c r="A71" s="2" t="inlineStr">
        <is>
          <t>KPROP-00962</t>
        </is>
      </c>
      <c r="B71" s="3" t="n">
        <v>46185.78166666667</v>
      </c>
      <c r="C71" s="3" t="n">
        <v>46185</v>
      </c>
      <c r="D71" s="2" t="inlineStr">
        <is>
          <t>Bryce Miller</t>
        </is>
      </c>
      <c r="E71" s="2" t="n">
        <v>136</v>
      </c>
      <c r="F71" s="2" t="n">
        <v>120</v>
      </c>
      <c r="G71" s="2" t="inlineStr">
        <is>
          <t>Away</t>
        </is>
      </c>
      <c r="H71" s="2" t="inlineStr">
        <is>
          <t>bovada</t>
        </is>
      </c>
      <c r="I71" s="4" t="n"/>
      <c r="J71" s="4" t="n"/>
      <c r="K71" s="4" t="n">
        <v>100</v>
      </c>
      <c r="L71" s="4" t="n">
        <v>100</v>
      </c>
      <c r="M71" s="5" t="n">
        <v>4.5</v>
      </c>
      <c r="N71" s="5" t="n">
        <v>4.360226632444768</v>
      </c>
      <c r="O71" s="5" t="n">
        <v>4.5</v>
      </c>
      <c r="P71" s="5" t="n">
        <v>0.1397733675552315</v>
      </c>
      <c r="Q71" s="6" t="n">
        <v>0.1176463629108626</v>
      </c>
      <c r="R71" s="6" t="n">
        <v>0.5588231814554313</v>
      </c>
      <c r="S71" s="6" t="n">
        <v>0.4811529933481153</v>
      </c>
      <c r="T71" s="2" t="inlineStr">
        <is>
          <t>Under</t>
        </is>
      </c>
      <c r="U71" s="4" t="n">
        <v>100</v>
      </c>
      <c r="V71" s="2" t="n">
        <v>2</v>
      </c>
      <c r="W71" s="4" t="n">
        <v>100</v>
      </c>
      <c r="X71" s="2" t="n">
        <v>1</v>
      </c>
      <c r="Y71" s="5" t="n">
        <v>-1</v>
      </c>
      <c r="Z71" s="7" t="n">
        <v>100</v>
      </c>
      <c r="AA71" s="7">
        <f>Y71*Z71</f>
        <v/>
      </c>
      <c r="AB71" s="6">
        <f>IF(Z71=0,0,AA71/Z71)</f>
        <v/>
      </c>
      <c r="AC71" s="6" t="n"/>
      <c r="AD71" s="2" t="inlineStr">
        <is>
          <t>Loss</t>
        </is>
      </c>
      <c r="AE71" s="6">
        <f>IF((COUNTIF($AD$2:AD71,"Win")+COUNTIF($AD$2:AD71,"Loss"))=0,0,COUNTIF($AD$2:AD71,"Win")/(COUNTIF($AD$2:AD71,"Win")+COUNTIF($AD$2:AD71,"Loss")))</f>
        <v/>
      </c>
      <c r="AF71" s="6">
        <f>SUM($Y$2:Y71)/SUM($X$2:X71)</f>
        <v/>
      </c>
      <c r="AG71" s="5">
        <f>SUM($Y$2:Y71)</f>
        <v/>
      </c>
      <c r="AH71" s="7">
        <f>10000.0+SUM($AA$2:AA71)</f>
        <v/>
      </c>
      <c r="AI71" s="2" t="n">
        <v>2026</v>
      </c>
      <c r="AJ71" s="2" t="inlineStr">
        <is>
          <t>2026-06</t>
        </is>
      </c>
      <c r="AK71" s="2" t="inlineStr">
        <is>
          <t>+100 to +120</t>
        </is>
      </c>
      <c r="AL71" s="2" t="inlineStr">
        <is>
          <t>2026 Frozen Test</t>
        </is>
      </c>
      <c r="AM71" s="6" t="n">
        <v>0.1176463629108626</v>
      </c>
    </row>
    <row r="72">
      <c r="A72" s="2" t="inlineStr">
        <is>
          <t>KPROP-00963</t>
        </is>
      </c>
      <c r="B72" s="3" t="n">
        <v>46185.79903935185</v>
      </c>
      <c r="C72" s="3" t="n">
        <v>46185</v>
      </c>
      <c r="D72" s="2" t="inlineStr">
        <is>
          <t>Jack Flaherty</t>
        </is>
      </c>
      <c r="E72" s="2" t="n">
        <v>116</v>
      </c>
      <c r="F72" s="2" t="n">
        <v>114</v>
      </c>
      <c r="G72" s="2" t="inlineStr">
        <is>
          <t>Away</t>
        </is>
      </c>
      <c r="H72" s="2" t="inlineStr">
        <is>
          <t>draftkings</t>
        </is>
      </c>
      <c r="I72" s="4" t="n"/>
      <c r="J72" s="4" t="n"/>
      <c r="K72" s="4" t="n">
        <v>122</v>
      </c>
      <c r="L72" s="4" t="n">
        <v>122</v>
      </c>
      <c r="M72" s="5" t="n">
        <v>4.5</v>
      </c>
      <c r="N72" s="5" t="n">
        <v>4.526105674587639</v>
      </c>
      <c r="O72" s="5" t="n">
        <v>4.5</v>
      </c>
      <c r="P72" s="5" t="n">
        <v>-0.02610567458763935</v>
      </c>
      <c r="Q72" s="6" t="n">
        <v>0.1702858992165251</v>
      </c>
      <c r="R72" s="6" t="n">
        <v>0.5271558104578943</v>
      </c>
      <c r="S72" s="6" t="n">
        <v>0.4250232434586266</v>
      </c>
      <c r="T72" s="2" t="inlineStr">
        <is>
          <t>Under</t>
        </is>
      </c>
      <c r="U72" s="4" t="n">
        <v>122</v>
      </c>
      <c r="V72" s="2" t="n">
        <v>2.22</v>
      </c>
      <c r="W72" s="4" t="n">
        <v>122</v>
      </c>
      <c r="X72" s="2" t="n">
        <v>1</v>
      </c>
      <c r="Y72" s="5" t="n">
        <v>1.22</v>
      </c>
      <c r="Z72" s="7" t="n">
        <v>100</v>
      </c>
      <c r="AA72" s="7">
        <f>Y72*Z72</f>
        <v/>
      </c>
      <c r="AB72" s="6">
        <f>IF(Z72=0,0,AA72/Z72)</f>
        <v/>
      </c>
      <c r="AC72" s="6" t="n"/>
      <c r="AD72" s="2" t="inlineStr">
        <is>
          <t>Win</t>
        </is>
      </c>
      <c r="AE72" s="6">
        <f>IF((COUNTIF($AD$2:AD72,"Win")+COUNTIF($AD$2:AD72,"Loss"))=0,0,COUNTIF($AD$2:AD72,"Win")/(COUNTIF($AD$2:AD72,"Win")+COUNTIF($AD$2:AD72,"Loss")))</f>
        <v/>
      </c>
      <c r="AF72" s="6">
        <f>SUM($Y$2:Y72)/SUM($X$2:X72)</f>
        <v/>
      </c>
      <c r="AG72" s="5">
        <f>SUM($Y$2:Y72)</f>
        <v/>
      </c>
      <c r="AH72" s="7">
        <f>10000.0+SUM($AA$2:AA72)</f>
        <v/>
      </c>
      <c r="AI72" s="2" t="n">
        <v>2026</v>
      </c>
      <c r="AJ72" s="2" t="inlineStr">
        <is>
          <t>2026-06</t>
        </is>
      </c>
      <c r="AK72" s="2" t="inlineStr">
        <is>
          <t>+121 to +150</t>
        </is>
      </c>
      <c r="AL72" s="2" t="inlineStr">
        <is>
          <t>2026 Frozen Test</t>
        </is>
      </c>
      <c r="AM72" s="6" t="n">
        <v>0.1395786059151846</v>
      </c>
    </row>
    <row r="73">
      <c r="A73" s="2" t="inlineStr">
        <is>
          <t>KPROP-00964</t>
        </is>
      </c>
      <c r="B73" s="3" t="n">
        <v>46185.79903935185</v>
      </c>
      <c r="C73" s="3" t="n">
        <v>46185</v>
      </c>
      <c r="D73" s="2" t="inlineStr">
        <is>
          <t>Jack Flaherty</t>
        </is>
      </c>
      <c r="E73" s="2" t="n">
        <v>116</v>
      </c>
      <c r="F73" s="2" t="n">
        <v>114</v>
      </c>
      <c r="G73" s="2" t="inlineStr">
        <is>
          <t>Away</t>
        </is>
      </c>
      <c r="H73" s="2" t="inlineStr">
        <is>
          <t>fanduel</t>
        </is>
      </c>
      <c r="I73" s="4" t="n"/>
      <c r="J73" s="4" t="n"/>
      <c r="K73" s="4" t="n">
        <v>-178</v>
      </c>
      <c r="L73" s="4" t="n">
        <v>-178</v>
      </c>
      <c r="M73" s="5" t="n">
        <v>5.5</v>
      </c>
      <c r="N73" s="5" t="n">
        <v>4.526105674587639</v>
      </c>
      <c r="O73" s="5" t="n">
        <v>5.5</v>
      </c>
      <c r="P73" s="5" t="n">
        <v>0.9738943254123607</v>
      </c>
      <c r="Q73" s="6" t="n">
        <v>0.09086034187896258</v>
      </c>
      <c r="R73" s="6" t="n">
        <v>0.6984645354476811</v>
      </c>
      <c r="S73" s="6" t="n">
        <v>0.6007468045382738</v>
      </c>
      <c r="T73" s="2" t="inlineStr">
        <is>
          <t>Under</t>
        </is>
      </c>
      <c r="U73" s="4" t="n">
        <v>-178</v>
      </c>
      <c r="V73" s="2" t="n">
        <v>1.561797752808989</v>
      </c>
      <c r="W73" s="4" t="n">
        <v>-178</v>
      </c>
      <c r="X73" s="2" t="n">
        <v>1</v>
      </c>
      <c r="Y73" s="5" t="n">
        <v>0.5617977528089888</v>
      </c>
      <c r="Z73" s="7" t="n">
        <v>100</v>
      </c>
      <c r="AA73" s="7">
        <f>Y73*Z73</f>
        <v/>
      </c>
      <c r="AB73" s="6">
        <f>IF(Z73=0,0,AA73/Z73)</f>
        <v/>
      </c>
      <c r="AC73" s="6" t="n"/>
      <c r="AD73" s="2" t="inlineStr">
        <is>
          <t>Win</t>
        </is>
      </c>
      <c r="AE73" s="6">
        <f>IF((COUNTIF($AD$2:AD73,"Win")+COUNTIF($AD$2:AD73,"Loss"))=0,0,COUNTIF($AD$2:AD73,"Win")/(COUNTIF($AD$2:AD73,"Win")+COUNTIF($AD$2:AD73,"Loss")))</f>
        <v/>
      </c>
      <c r="AF73" s="6">
        <f>SUM($Y$2:Y73)/SUM($X$2:X73)</f>
        <v/>
      </c>
      <c r="AG73" s="5">
        <f>SUM($Y$2:Y73)</f>
        <v/>
      </c>
      <c r="AH73" s="7">
        <f>10000.0+SUM($AA$2:AA73)</f>
        <v/>
      </c>
      <c r="AI73" s="2" t="n">
        <v>2026</v>
      </c>
      <c r="AJ73" s="2" t="inlineStr">
        <is>
          <t>2026-06</t>
        </is>
      </c>
      <c r="AK73" s="2" t="inlineStr">
        <is>
          <t>&lt;= -150</t>
        </is>
      </c>
      <c r="AL73" s="2" t="inlineStr">
        <is>
          <t>2026 Frozen Test</t>
        </is>
      </c>
      <c r="AM73" s="6" t="n">
        <v>0.1617314085445534</v>
      </c>
    </row>
    <row r="74">
      <c r="A74" s="2" t="inlineStr">
        <is>
          <t>KPROP-00965</t>
        </is>
      </c>
      <c r="B74" s="3" t="n">
        <v>46185.81987268518</v>
      </c>
      <c r="C74" s="3" t="n">
        <v>46185</v>
      </c>
      <c r="D74" s="2" t="inlineStr">
        <is>
          <t>Jacob Misiorowski</t>
        </is>
      </c>
      <c r="E74" s="2" t="n">
        <v>158</v>
      </c>
      <c r="F74" s="2" t="n">
        <v>143</v>
      </c>
      <c r="G74" s="2" t="inlineStr">
        <is>
          <t>Home</t>
        </is>
      </c>
      <c r="H74" s="2" t="inlineStr">
        <is>
          <t>bovada</t>
        </is>
      </c>
      <c r="I74" s="4" t="n"/>
      <c r="J74" s="4" t="n"/>
      <c r="K74" s="4" t="n">
        <v>-110</v>
      </c>
      <c r="L74" s="4" t="n">
        <v>-110</v>
      </c>
      <c r="M74" s="5" t="n">
        <v>8.5</v>
      </c>
      <c r="N74" s="5" t="n">
        <v>6.379778463702971</v>
      </c>
      <c r="O74" s="5" t="n">
        <v>8.5</v>
      </c>
      <c r="P74" s="5" t="n">
        <v>2.120221536297029</v>
      </c>
      <c r="Q74" s="6" t="n">
        <v>0.5380675318103388</v>
      </c>
      <c r="R74" s="6" t="n">
        <v>0.8056544214244632</v>
      </c>
      <c r="S74" s="6" t="n">
        <v>0.5056053811659194</v>
      </c>
      <c r="T74" s="2" t="inlineStr">
        <is>
          <t>Under</t>
        </is>
      </c>
      <c r="U74" s="4" t="n">
        <v>-110</v>
      </c>
      <c r="V74" s="2" t="n">
        <v>1.909090909090909</v>
      </c>
      <c r="W74" s="4" t="n">
        <v>-110</v>
      </c>
      <c r="X74" s="2" t="n">
        <v>1</v>
      </c>
      <c r="Y74" s="5" t="n">
        <v>-1</v>
      </c>
      <c r="Z74" s="7" t="n">
        <v>100</v>
      </c>
      <c r="AA74" s="7">
        <f>Y74*Z74</f>
        <v/>
      </c>
      <c r="AB74" s="6">
        <f>IF(Z74=0,0,AA74/Z74)</f>
        <v/>
      </c>
      <c r="AC74" s="6" t="n"/>
      <c r="AD74" s="2" t="inlineStr">
        <is>
          <t>Loss</t>
        </is>
      </c>
      <c r="AE74" s="6">
        <f>IF((COUNTIF($AD$2:AD74,"Win")+COUNTIF($AD$2:AD74,"Loss"))=0,0,COUNTIF($AD$2:AD74,"Win")/(COUNTIF($AD$2:AD74,"Win")+COUNTIF($AD$2:AD74,"Loss")))</f>
        <v/>
      </c>
      <c r="AF74" s="6">
        <f>SUM($Y$2:Y74)/SUM($X$2:X74)</f>
        <v/>
      </c>
      <c r="AG74" s="5">
        <f>SUM($Y$2:Y74)</f>
        <v/>
      </c>
      <c r="AH74" s="7">
        <f>10000.0+SUM($AA$2:AA74)</f>
        <v/>
      </c>
      <c r="AI74" s="2" t="n">
        <v>2026</v>
      </c>
      <c r="AJ74" s="2" t="inlineStr">
        <is>
          <t>2026-06</t>
        </is>
      </c>
      <c r="AK74" s="2" t="inlineStr">
        <is>
          <t>-119 to -101</t>
        </is>
      </c>
      <c r="AL74" s="2" t="inlineStr">
        <is>
          <t>2026 Frozen Test</t>
        </is>
      </c>
      <c r="AM74" s="6" t="n">
        <v>0.5918742849913726</v>
      </c>
    </row>
    <row r="75">
      <c r="A75" s="2" t="inlineStr">
        <is>
          <t>KPROP-00966</t>
        </is>
      </c>
      <c r="B75" s="3" t="n">
        <v>46185.79903935185</v>
      </c>
      <c r="C75" s="3" t="n">
        <v>46185</v>
      </c>
      <c r="D75" s="2" t="inlineStr">
        <is>
          <t>Nolan McLean</t>
        </is>
      </c>
      <c r="E75" s="2" t="n">
        <v>121</v>
      </c>
      <c r="F75" s="2" t="n">
        <v>144</v>
      </c>
      <c r="G75" s="2" t="inlineStr">
        <is>
          <t>Home</t>
        </is>
      </c>
      <c r="H75" s="2" t="inlineStr">
        <is>
          <t>betrivers</t>
        </is>
      </c>
      <c r="I75" s="4" t="n"/>
      <c r="J75" s="4" t="n"/>
      <c r="K75" s="4" t="n">
        <v>106</v>
      </c>
      <c r="L75" s="4" t="n">
        <v>106</v>
      </c>
      <c r="M75" s="5" t="n">
        <v>5.5</v>
      </c>
      <c r="N75" s="5" t="n">
        <v>4.946473350758541</v>
      </c>
      <c r="O75" s="5" t="n">
        <v>5.5</v>
      </c>
      <c r="P75" s="5" t="n">
        <v>0.5535266492414586</v>
      </c>
      <c r="Q75" s="6" t="n">
        <v>0.2882249829037697</v>
      </c>
      <c r="R75" s="6" t="n">
        <v>0.6253519334484319</v>
      </c>
      <c r="S75" s="6" t="n">
        <v>0.4663212435233161</v>
      </c>
      <c r="T75" s="2" t="inlineStr">
        <is>
          <t>Under</t>
        </is>
      </c>
      <c r="U75" s="4" t="n">
        <v>106</v>
      </c>
      <c r="V75" s="2" t="n">
        <v>2.06</v>
      </c>
      <c r="W75" s="4" t="n">
        <v>106</v>
      </c>
      <c r="X75" s="2" t="n">
        <v>1</v>
      </c>
      <c r="Y75" s="5" t="n">
        <v>-1</v>
      </c>
      <c r="Z75" s="7" t="n">
        <v>100</v>
      </c>
      <c r="AA75" s="7">
        <f>Y75*Z75</f>
        <v/>
      </c>
      <c r="AB75" s="6">
        <f>IF(Z75=0,0,AA75/Z75)</f>
        <v/>
      </c>
      <c r="AC75" s="6" t="n"/>
      <c r="AD75" s="2" t="inlineStr">
        <is>
          <t>Loss</t>
        </is>
      </c>
      <c r="AE75" s="6">
        <f>IF((COUNTIF($AD$2:AD75,"Win")+COUNTIF($AD$2:AD75,"Loss"))=0,0,COUNTIF($AD$2:AD75,"Win")/(COUNTIF($AD$2:AD75,"Win")+COUNTIF($AD$2:AD75,"Loss")))</f>
        <v/>
      </c>
      <c r="AF75" s="6">
        <f>SUM($Y$2:Y75)/SUM($X$2:X75)</f>
        <v/>
      </c>
      <c r="AG75" s="5">
        <f>SUM($Y$2:Y75)</f>
        <v/>
      </c>
      <c r="AH75" s="7">
        <f>10000.0+SUM($AA$2:AA75)</f>
        <v/>
      </c>
      <c r="AI75" s="2" t="n">
        <v>2026</v>
      </c>
      <c r="AJ75" s="2" t="inlineStr">
        <is>
          <t>2026-06</t>
        </is>
      </c>
      <c r="AK75" s="2" t="inlineStr">
        <is>
          <t>+100 to +120</t>
        </is>
      </c>
      <c r="AL75" s="2" t="inlineStr">
        <is>
          <t>2026 Frozen Test</t>
        </is>
      </c>
      <c r="AM75" s="6" t="n">
        <v>0.2719103612299714</v>
      </c>
    </row>
    <row r="76">
      <c r="A76" s="2" t="inlineStr">
        <is>
          <t>KPROP-00967</t>
        </is>
      </c>
      <c r="B76" s="3" t="n">
        <v>46185.81987268518</v>
      </c>
      <c r="C76" s="3" t="n">
        <v>46185</v>
      </c>
      <c r="D76" s="2" t="inlineStr">
        <is>
          <t>Roki Sasaki</t>
        </is>
      </c>
      <c r="E76" s="2" t="n">
        <v>119</v>
      </c>
      <c r="F76" s="2" t="n">
        <v>145</v>
      </c>
      <c r="G76" s="2" t="inlineStr">
        <is>
          <t>Away</t>
        </is>
      </c>
      <c r="H76" s="2" t="inlineStr">
        <is>
          <t>bovada</t>
        </is>
      </c>
      <c r="I76" s="4" t="n"/>
      <c r="J76" s="4" t="n"/>
      <c r="K76" s="4" t="n">
        <v>-115</v>
      </c>
      <c r="L76" s="4" t="n">
        <v>-115</v>
      </c>
      <c r="M76" s="5" t="n">
        <v>5.5</v>
      </c>
      <c r="N76" s="5" t="n">
        <v>4.983199653511428</v>
      </c>
      <c r="O76" s="5" t="n">
        <v>5.5</v>
      </c>
      <c r="P76" s="5" t="n">
        <v>0.516800346488572</v>
      </c>
      <c r="Q76" s="6" t="n">
        <v>0.1570898784967292</v>
      </c>
      <c r="R76" s="6" t="n">
        <v>0.6189085396610412</v>
      </c>
      <c r="S76" s="6" t="n">
        <v>0.5143932683790965</v>
      </c>
      <c r="T76" s="2" t="inlineStr">
        <is>
          <t>Under</t>
        </is>
      </c>
      <c r="U76" s="4" t="n">
        <v>-115</v>
      </c>
      <c r="V76" s="2" t="n">
        <v>1.869565217391304</v>
      </c>
      <c r="W76" s="4" t="n">
        <v>-115</v>
      </c>
      <c r="X76" s="2" t="n">
        <v>1</v>
      </c>
      <c r="Y76" s="5" t="n">
        <v>0.8695652173913042</v>
      </c>
      <c r="Z76" s="7" t="n">
        <v>100</v>
      </c>
      <c r="AA76" s="7">
        <f>Y76*Z76</f>
        <v/>
      </c>
      <c r="AB76" s="6">
        <f>IF(Z76=0,0,AA76/Z76)</f>
        <v/>
      </c>
      <c r="AC76" s="6" t="n"/>
      <c r="AD76" s="2" t="inlineStr">
        <is>
          <t>Win</t>
        </is>
      </c>
      <c r="AE76" s="6">
        <f>IF((COUNTIF($AD$2:AD76,"Win")+COUNTIF($AD$2:AD76,"Loss"))=0,0,COUNTIF($AD$2:AD76,"Win")/(COUNTIF($AD$2:AD76,"Win")+COUNTIF($AD$2:AD76,"Loss")))</f>
        <v/>
      </c>
      <c r="AF76" s="6">
        <f>SUM($Y$2:Y76)/SUM($X$2:X76)</f>
        <v/>
      </c>
      <c r="AG76" s="5">
        <f>SUM($Y$2:Y76)</f>
        <v/>
      </c>
      <c r="AH76" s="7">
        <f>10000.0+SUM($AA$2:AA76)</f>
        <v/>
      </c>
      <c r="AI76" s="2" t="n">
        <v>2026</v>
      </c>
      <c r="AJ76" s="2" t="inlineStr">
        <is>
          <t>2026-06</t>
        </is>
      </c>
      <c r="AK76" s="2" t="inlineStr">
        <is>
          <t>-119 to -101</t>
        </is>
      </c>
      <c r="AL76" s="2" t="inlineStr">
        <is>
          <t>2026 Frozen Test</t>
        </is>
      </c>
      <c r="AM76" s="6" t="n">
        <v>0.1806533602712386</v>
      </c>
    </row>
    <row r="77">
      <c r="A77" s="2" t="inlineStr">
        <is>
          <t>KPROP-00968</t>
        </is>
      </c>
      <c r="B77" s="3" t="n">
        <v>46185.81638888889</v>
      </c>
      <c r="C77" s="3" t="n">
        <v>46185</v>
      </c>
      <c r="D77" s="2" t="inlineStr">
        <is>
          <t>Ryan Weathers</t>
        </is>
      </c>
      <c r="E77" s="2" t="n">
        <v>147</v>
      </c>
      <c r="F77" s="2" t="n">
        <v>141</v>
      </c>
      <c r="G77" s="2" t="inlineStr">
        <is>
          <t>Away</t>
        </is>
      </c>
      <c r="H77" s="2" t="inlineStr">
        <is>
          <t>draftkings</t>
        </is>
      </c>
      <c r="I77" s="4" t="n"/>
      <c r="J77" s="4" t="n"/>
      <c r="K77" s="4" t="n">
        <v>-156</v>
      </c>
      <c r="L77" s="4" t="n">
        <v>-156</v>
      </c>
      <c r="M77" s="5" t="n">
        <v>5.5</v>
      </c>
      <c r="N77" s="5" t="n">
        <v>4.754782870263353</v>
      </c>
      <c r="O77" s="5" t="n">
        <v>5.5</v>
      </c>
      <c r="P77" s="5" t="n">
        <v>0.7452171297366474</v>
      </c>
      <c r="Q77" s="6" t="n">
        <v>0.08127179637248449</v>
      </c>
      <c r="R77" s="6" t="n">
        <v>0.6589000009144828</v>
      </c>
      <c r="S77" s="6" t="n">
        <v>0.5836044242029929</v>
      </c>
      <c r="T77" s="2" t="inlineStr">
        <is>
          <t>Under</t>
        </is>
      </c>
      <c r="U77" s="4" t="n">
        <v>-156</v>
      </c>
      <c r="V77" s="2" t="n">
        <v>1.641025641025641</v>
      </c>
      <c r="W77" s="4" t="n">
        <v>-156</v>
      </c>
      <c r="X77" s="2" t="n">
        <v>1</v>
      </c>
      <c r="Y77" s="5" t="n">
        <v>0.641025641025641</v>
      </c>
      <c r="Z77" s="7" t="n">
        <v>100</v>
      </c>
      <c r="AA77" s="7">
        <f>Y77*Z77</f>
        <v/>
      </c>
      <c r="AB77" s="6">
        <f>IF(Z77=0,0,AA77/Z77)</f>
        <v/>
      </c>
      <c r="AC77" s="6" t="n"/>
      <c r="AD77" s="2" t="inlineStr">
        <is>
          <t>Win</t>
        </is>
      </c>
      <c r="AE77" s="6">
        <f>IF((COUNTIF($AD$2:AD77,"Win")+COUNTIF($AD$2:AD77,"Loss"))=0,0,COUNTIF($AD$2:AD77,"Win")/(COUNTIF($AD$2:AD77,"Win")+COUNTIF($AD$2:AD77,"Loss")))</f>
        <v/>
      </c>
      <c r="AF77" s="6">
        <f>SUM($Y$2:Y77)/SUM($X$2:X77)</f>
        <v/>
      </c>
      <c r="AG77" s="5">
        <f>SUM($Y$2:Y77)</f>
        <v/>
      </c>
      <c r="AH77" s="7">
        <f>10000.0+SUM($AA$2:AA77)</f>
        <v/>
      </c>
      <c r="AI77" s="2" t="n">
        <v>2026</v>
      </c>
      <c r="AJ77" s="2" t="inlineStr">
        <is>
          <t>2026-06</t>
        </is>
      </c>
      <c r="AK77" s="2" t="inlineStr">
        <is>
          <t>&lt;= -150</t>
        </is>
      </c>
      <c r="AL77" s="2" t="inlineStr">
        <is>
          <t>2026 Frozen Test</t>
        </is>
      </c>
      <c r="AM77" s="6" t="n">
        <v>0.1267840023410758</v>
      </c>
    </row>
    <row r="78">
      <c r="A78" s="2" t="inlineStr">
        <is>
          <t>KPROP-00969</t>
        </is>
      </c>
      <c r="B78" s="3" t="n">
        <v>46185.79903935185</v>
      </c>
      <c r="C78" s="3" t="n">
        <v>46185</v>
      </c>
      <c r="D78" s="2" t="inlineStr">
        <is>
          <t>Spencer Strider</t>
        </is>
      </c>
      <c r="E78" s="2" t="n">
        <v>144</v>
      </c>
      <c r="F78" s="2" t="n">
        <v>121</v>
      </c>
      <c r="G78" s="2" t="inlineStr">
        <is>
          <t>Away</t>
        </is>
      </c>
      <c r="H78" s="2" t="inlineStr">
        <is>
          <t>draftkings</t>
        </is>
      </c>
      <c r="I78" s="4" t="n"/>
      <c r="J78" s="4" t="n"/>
      <c r="K78" s="4" t="n">
        <v>111</v>
      </c>
      <c r="L78" s="4" t="n">
        <v>111</v>
      </c>
      <c r="M78" s="5" t="n">
        <v>5.5</v>
      </c>
      <c r="N78" s="5" t="n">
        <v>5.067577155211231</v>
      </c>
      <c r="O78" s="5" t="n">
        <v>5.5</v>
      </c>
      <c r="P78" s="5" t="n">
        <v>0.4324228447887695</v>
      </c>
      <c r="Q78" s="6" t="n">
        <v>0.2746612583952557</v>
      </c>
      <c r="R78" s="6" t="n">
        <v>0.6041048617986993</v>
      </c>
      <c r="S78" s="6" t="n">
        <v>0.45443861161169</v>
      </c>
      <c r="T78" s="2" t="inlineStr">
        <is>
          <t>Under</t>
        </is>
      </c>
      <c r="U78" s="4" t="n">
        <v>111</v>
      </c>
      <c r="V78" s="2" t="n">
        <v>2.11</v>
      </c>
      <c r="W78" s="4" t="n">
        <v>111</v>
      </c>
      <c r="X78" s="2" t="n">
        <v>1</v>
      </c>
      <c r="Y78" s="5" t="n">
        <v>1.11</v>
      </c>
      <c r="Z78" s="7" t="n">
        <v>100</v>
      </c>
      <c r="AA78" s="7">
        <f>Y78*Z78</f>
        <v/>
      </c>
      <c r="AB78" s="6">
        <f>IF(Z78=0,0,AA78/Z78)</f>
        <v/>
      </c>
      <c r="AC78" s="6" t="n"/>
      <c r="AD78" s="2" t="inlineStr">
        <is>
          <t>Win</t>
        </is>
      </c>
      <c r="AE78" s="6">
        <f>IF((COUNTIF($AD$2:AD78,"Win")+COUNTIF($AD$2:AD78,"Loss"))=0,0,COUNTIF($AD$2:AD78,"Win")/(COUNTIF($AD$2:AD78,"Win")+COUNTIF($AD$2:AD78,"Loss")))</f>
        <v/>
      </c>
      <c r="AF78" s="6">
        <f>SUM($Y$2:Y78)/SUM($X$2:X78)</f>
        <v/>
      </c>
      <c r="AG78" s="5">
        <f>SUM($Y$2:Y78)</f>
        <v/>
      </c>
      <c r="AH78" s="7">
        <f>10000.0+SUM($AA$2:AA78)</f>
        <v/>
      </c>
      <c r="AI78" s="2" t="n">
        <v>2026</v>
      </c>
      <c r="AJ78" s="2" t="inlineStr">
        <is>
          <t>2026-06</t>
        </is>
      </c>
      <c r="AK78" s="2" t="inlineStr">
        <is>
          <t>+100 to +120</t>
        </is>
      </c>
      <c r="AL78" s="2" t="inlineStr">
        <is>
          <t>2026 Frozen Test</t>
        </is>
      </c>
      <c r="AM78" s="6" t="n">
        <v>0.2474425751308609</v>
      </c>
    </row>
    <row r="79">
      <c r="A79" s="2" t="inlineStr">
        <is>
          <t>KPROP-00970</t>
        </is>
      </c>
      <c r="B79" s="3" t="n">
        <v>46185.81638888889</v>
      </c>
      <c r="C79" s="3" t="n">
        <v>46185</v>
      </c>
      <c r="D79" s="2" t="inlineStr">
        <is>
          <t>Trey Yesavage</t>
        </is>
      </c>
      <c r="E79" s="2" t="n">
        <v>141</v>
      </c>
      <c r="F79" s="2" t="n">
        <v>147</v>
      </c>
      <c r="G79" s="2" t="inlineStr">
        <is>
          <t>Home</t>
        </is>
      </c>
      <c r="H79" s="2" t="inlineStr">
        <is>
          <t>betrivers</t>
        </is>
      </c>
      <c r="I79" s="4" t="n"/>
      <c r="J79" s="4" t="n"/>
      <c r="K79" s="4" t="n">
        <v>-143</v>
      </c>
      <c r="L79" s="4" t="n">
        <v>-143</v>
      </c>
      <c r="M79" s="5" t="n">
        <v>6.5</v>
      </c>
      <c r="N79" s="5" t="n">
        <v>5.502986313524842</v>
      </c>
      <c r="O79" s="5" t="n">
        <v>6.5</v>
      </c>
      <c r="P79" s="5" t="n">
        <v>0.9970136864751575</v>
      </c>
      <c r="Q79" s="6" t="n">
        <v>0.1649839985998034</v>
      </c>
      <c r="R79" s="6" t="n">
        <v>0.6855667152253988</v>
      </c>
      <c r="S79" s="6" t="n">
        <v>0.5697211155378487</v>
      </c>
      <c r="T79" s="2" t="inlineStr">
        <is>
          <t>Under</t>
        </is>
      </c>
      <c r="U79" s="4" t="n">
        <v>-143</v>
      </c>
      <c r="V79" s="2" t="n">
        <v>1.699300699300699</v>
      </c>
      <c r="W79" s="4" t="n">
        <v>-143</v>
      </c>
      <c r="X79" s="2" t="n">
        <v>1</v>
      </c>
      <c r="Y79" s="5" t="n">
        <v>0.6993006993006992</v>
      </c>
      <c r="Z79" s="7" t="n">
        <v>100</v>
      </c>
      <c r="AA79" s="7">
        <f>Y79*Z79</f>
        <v/>
      </c>
      <c r="AB79" s="6">
        <f>IF(Z79=0,0,AA79/Z79)</f>
        <v/>
      </c>
      <c r="AC79" s="6" t="n"/>
      <c r="AD79" s="2" t="inlineStr">
        <is>
          <t>Win</t>
        </is>
      </c>
      <c r="AE79" s="6">
        <f>IF((COUNTIF($AD$2:AD79,"Win")+COUNTIF($AD$2:AD79,"Loss"))=0,0,COUNTIF($AD$2:AD79,"Win")/(COUNTIF($AD$2:AD79,"Win")+COUNTIF($AD$2:AD79,"Loss")))</f>
        <v/>
      </c>
      <c r="AF79" s="6">
        <f>SUM($Y$2:Y79)/SUM($X$2:X79)</f>
        <v/>
      </c>
      <c r="AG79" s="5">
        <f>SUM($Y$2:Y79)</f>
        <v/>
      </c>
      <c r="AH79" s="7">
        <f>10000.0+SUM($AA$2:AA79)</f>
        <v/>
      </c>
      <c r="AI79" s="2" t="n">
        <v>2026</v>
      </c>
      <c r="AJ79" s="2" t="inlineStr">
        <is>
          <t>2026-06</t>
        </is>
      </c>
      <c r="AK79" s="2" t="inlineStr">
        <is>
          <t>-149 to -120</t>
        </is>
      </c>
      <c r="AL79" s="2" t="inlineStr">
        <is>
          <t>2026 Frozen Test</t>
        </is>
      </c>
      <c r="AM79" s="6" t="n">
        <v>0.235927117997719</v>
      </c>
    </row>
    <row r="80">
      <c r="A80" s="2" t="inlineStr">
        <is>
          <t>KPROP-00971</t>
        </is>
      </c>
      <c r="B80" s="3" t="n">
        <v>46186.67402777778</v>
      </c>
      <c r="C80" s="3" t="n">
        <v>46186</v>
      </c>
      <c r="D80" s="2" t="inlineStr">
        <is>
          <t>Jacob deGrom</t>
        </is>
      </c>
      <c r="E80" s="2" t="n">
        <v>140</v>
      </c>
      <c r="F80" s="2" t="n">
        <v>111</v>
      </c>
      <c r="G80" s="2" t="inlineStr">
        <is>
          <t>Away</t>
        </is>
      </c>
      <c r="H80" s="2" t="inlineStr">
        <is>
          <t>betrivers</t>
        </is>
      </c>
      <c r="I80" s="4" t="n"/>
      <c r="J80" s="4" t="n"/>
      <c r="K80" s="4" t="n">
        <v>-139</v>
      </c>
      <c r="L80" s="4" t="n">
        <v>-139</v>
      </c>
      <c r="M80" s="5" t="n">
        <v>6.5</v>
      </c>
      <c r="N80" s="5" t="n">
        <v>5.221277966572047</v>
      </c>
      <c r="O80" s="5" t="n">
        <v>6.5</v>
      </c>
      <c r="P80" s="5" t="n">
        <v>1.278722033427953</v>
      </c>
      <c r="Q80" s="6" t="n">
        <v>0.2537439983230579</v>
      </c>
      <c r="R80" s="6" t="n">
        <v>0.7291649195267994</v>
      </c>
      <c r="S80" s="6" t="n">
        <v>0.5668328047122791</v>
      </c>
      <c r="T80" s="2" t="inlineStr">
        <is>
          <t>Under</t>
        </is>
      </c>
      <c r="U80" s="4" t="n">
        <v>-139</v>
      </c>
      <c r="V80" s="2" t="n">
        <v>1.719424460431655</v>
      </c>
      <c r="W80" s="4" t="n">
        <v>-139</v>
      </c>
      <c r="X80" s="2" t="n">
        <v>1</v>
      </c>
      <c r="Y80" s="5" t="n">
        <v>0.7194244604316546</v>
      </c>
      <c r="Z80" s="7" t="n">
        <v>100</v>
      </c>
      <c r="AA80" s="7">
        <f>Y80*Z80</f>
        <v/>
      </c>
      <c r="AB80" s="6">
        <f>IF(Z80=0,0,AA80/Z80)</f>
        <v/>
      </c>
      <c r="AC80" s="6" t="n"/>
      <c r="AD80" s="2" t="inlineStr">
        <is>
          <t>Win</t>
        </is>
      </c>
      <c r="AE80" s="6">
        <f>IF((COUNTIF($AD$2:AD80,"Win")+COUNTIF($AD$2:AD80,"Loss"))=0,0,COUNTIF($AD$2:AD80,"Win")/(COUNTIF($AD$2:AD80,"Win")+COUNTIF($AD$2:AD80,"Loss")))</f>
        <v/>
      </c>
      <c r="AF80" s="6">
        <f>SUM($Y$2:Y80)/SUM($X$2:X80)</f>
        <v/>
      </c>
      <c r="AG80" s="5">
        <f>SUM($Y$2:Y80)</f>
        <v/>
      </c>
      <c r="AH80" s="7">
        <f>10000.0+SUM($AA$2:AA80)</f>
        <v/>
      </c>
      <c r="AI80" s="2" t="n">
        <v>2026</v>
      </c>
      <c r="AJ80" s="2" t="inlineStr">
        <is>
          <t>2026-06</t>
        </is>
      </c>
      <c r="AK80" s="2" t="inlineStr">
        <is>
          <t>-149 to -120</t>
        </is>
      </c>
      <c r="AL80" s="2" t="inlineStr">
        <is>
          <t>2026 Frozen Test</t>
        </is>
      </c>
      <c r="AM80" s="6" t="n">
        <v>0.3527041576690506</v>
      </c>
    </row>
    <row r="81">
      <c r="A81" s="2" t="inlineStr">
        <is>
          <t>KPROP-00972</t>
        </is>
      </c>
      <c r="B81" s="3" t="n">
        <v>46186.67402777778</v>
      </c>
      <c r="C81" s="3" t="n">
        <v>46186</v>
      </c>
      <c r="D81" s="2" t="inlineStr">
        <is>
          <t>Joey Cantillo</t>
        </is>
      </c>
      <c r="E81" s="2" t="n">
        <v>114</v>
      </c>
      <c r="F81" s="2" t="n">
        <v>116</v>
      </c>
      <c r="G81" s="2" t="inlineStr">
        <is>
          <t>Home</t>
        </is>
      </c>
      <c r="H81" s="2" t="inlineStr">
        <is>
          <t>fanduel</t>
        </is>
      </c>
      <c r="I81" s="4" t="n"/>
      <c r="J81" s="4" t="n"/>
      <c r="K81" s="4" t="n">
        <v>128</v>
      </c>
      <c r="L81" s="4" t="n">
        <v>128</v>
      </c>
      <c r="M81" s="5" t="n">
        <v>4.5</v>
      </c>
      <c r="N81" s="5" t="n">
        <v>4.69024781117548</v>
      </c>
      <c r="O81" s="5" t="n">
        <v>4.5</v>
      </c>
      <c r="P81" s="5" t="n">
        <v>-0.19024781117548</v>
      </c>
      <c r="Q81" s="6" t="n">
        <v>0.1318228183337127</v>
      </c>
      <c r="R81" s="6" t="n">
        <v>0.4964135168130318</v>
      </c>
      <c r="S81" s="6" t="n">
        <v>0.4256428075052119</v>
      </c>
      <c r="T81" s="2" t="inlineStr">
        <is>
          <t>Under</t>
        </is>
      </c>
      <c r="U81" s="4" t="n">
        <v>128</v>
      </c>
      <c r="V81" s="2" t="n">
        <v>2.28</v>
      </c>
      <c r="W81" s="4" t="n">
        <v>128</v>
      </c>
      <c r="X81" s="2" t="n">
        <v>1</v>
      </c>
      <c r="Y81" s="5" t="n">
        <v>1.28</v>
      </c>
      <c r="Z81" s="7" t="n">
        <v>100</v>
      </c>
      <c r="AA81" s="7">
        <f>Y81*Z81</f>
        <v/>
      </c>
      <c r="AB81" s="6">
        <f>IF(Z81=0,0,AA81/Z81)</f>
        <v/>
      </c>
      <c r="AC81" s="6" t="n"/>
      <c r="AD81" s="2" t="inlineStr">
        <is>
          <t>Win</t>
        </is>
      </c>
      <c r="AE81" s="6">
        <f>IF((COUNTIF($AD$2:AD81,"Win")+COUNTIF($AD$2:AD81,"Loss"))=0,0,COUNTIF($AD$2:AD81,"Win")/(COUNTIF($AD$2:AD81,"Win")+COUNTIF($AD$2:AD81,"Loss")))</f>
        <v/>
      </c>
      <c r="AF81" s="6">
        <f>SUM($Y$2:Y81)/SUM($X$2:X81)</f>
        <v/>
      </c>
      <c r="AG81" s="5">
        <f>SUM($Y$2:Y81)</f>
        <v/>
      </c>
      <c r="AH81" s="7">
        <f>10000.0+SUM($AA$2:AA81)</f>
        <v/>
      </c>
      <c r="AI81" s="2" t="n">
        <v>2026</v>
      </c>
      <c r="AJ81" s="2" t="inlineStr">
        <is>
          <t>2026-06</t>
        </is>
      </c>
      <c r="AK81" s="2" t="inlineStr">
        <is>
          <t>+121 to +150</t>
        </is>
      </c>
      <c r="AL81" s="2" t="inlineStr">
        <is>
          <t>2026 Frozen Test</t>
        </is>
      </c>
      <c r="AM81" s="6" t="n">
        <v>0.102986576823213</v>
      </c>
    </row>
    <row r="82">
      <c r="A82" s="2" t="inlineStr">
        <is>
          <t>KPROP-00973</t>
        </is>
      </c>
      <c r="B82" s="3" t="n">
        <v>46186.67402777778</v>
      </c>
      <c r="C82" s="3" t="n">
        <v>46186</v>
      </c>
      <c r="D82" s="2" t="inlineStr">
        <is>
          <t>Joey Cantillo</t>
        </is>
      </c>
      <c r="E82" s="2" t="n">
        <v>114</v>
      </c>
      <c r="F82" s="2" t="n">
        <v>116</v>
      </c>
      <c r="G82" s="2" t="inlineStr">
        <is>
          <t>Home</t>
        </is>
      </c>
      <c r="H82" s="2" t="inlineStr">
        <is>
          <t>draftkings</t>
        </is>
      </c>
      <c r="I82" s="4" t="n"/>
      <c r="J82" s="4" t="n"/>
      <c r="K82" s="4" t="n">
        <v>-161</v>
      </c>
      <c r="L82" s="4" t="n">
        <v>-161</v>
      </c>
      <c r="M82" s="5" t="n">
        <v>5.5</v>
      </c>
      <c r="N82" s="5" t="n">
        <v>4.69024781117548</v>
      </c>
      <c r="O82" s="5" t="n">
        <v>5.5</v>
      </c>
      <c r="P82" s="5" t="n">
        <v>0.80975218882452</v>
      </c>
      <c r="Q82" s="6" t="n">
        <v>0.08636495544771944</v>
      </c>
      <c r="R82" s="6" t="n">
        <v>0.6701331717512753</v>
      </c>
      <c r="S82" s="6" t="n">
        <v>0.5823064366418077</v>
      </c>
      <c r="T82" s="2" t="inlineStr">
        <is>
          <t>Under</t>
        </is>
      </c>
      <c r="U82" s="4" t="n">
        <v>-161</v>
      </c>
      <c r="V82" s="2" t="n">
        <v>1.62111801242236</v>
      </c>
      <c r="W82" s="4" t="n">
        <v>-161</v>
      </c>
      <c r="X82" s="2" t="n">
        <v>1</v>
      </c>
      <c r="Y82" s="5" t="n">
        <v>0.6211180124223601</v>
      </c>
      <c r="Z82" s="7" t="n">
        <v>100</v>
      </c>
      <c r="AA82" s="7">
        <f>Y82*Z82</f>
        <v/>
      </c>
      <c r="AB82" s="6">
        <f>IF(Z82=0,0,AA82/Z82)</f>
        <v/>
      </c>
      <c r="AC82" s="6" t="n"/>
      <c r="AD82" s="2" t="inlineStr">
        <is>
          <t>Win</t>
        </is>
      </c>
      <c r="AE82" s="6">
        <f>IF((COUNTIF($AD$2:AD82,"Win")+COUNTIF($AD$2:AD82,"Loss"))=0,0,COUNTIF($AD$2:AD82,"Win")/(COUNTIF($AD$2:AD82,"Win")+COUNTIF($AD$2:AD82,"Loss")))</f>
        <v/>
      </c>
      <c r="AF82" s="6">
        <f>SUM($Y$2:Y82)/SUM($X$2:X82)</f>
        <v/>
      </c>
      <c r="AG82" s="5">
        <f>SUM($Y$2:Y82)</f>
        <v/>
      </c>
      <c r="AH82" s="7">
        <f>10000.0+SUM($AA$2:AA82)</f>
        <v/>
      </c>
      <c r="AI82" s="2" t="n">
        <v>2026</v>
      </c>
      <c r="AJ82" s="2" t="inlineStr">
        <is>
          <t>2026-06</t>
        </is>
      </c>
      <c r="AK82" s="2" t="inlineStr">
        <is>
          <t>&lt;= -150</t>
        </is>
      </c>
      <c r="AL82" s="2" t="inlineStr">
        <is>
          <t>2026 Frozen Test</t>
        </is>
      </c>
      <c r="AM82" s="6" t="n">
        <v>0.1390475782708283</v>
      </c>
    </row>
    <row r="83">
      <c r="A83" s="2" t="inlineStr">
        <is>
          <t>KPROP-00974</t>
        </is>
      </c>
      <c r="B83" s="3" t="n">
        <v>46186.62890046297</v>
      </c>
      <c r="C83" s="3" t="n">
        <v>46186</v>
      </c>
      <c r="D83" s="2" t="inlineStr">
        <is>
          <t>Kevin Gausman</t>
        </is>
      </c>
      <c r="E83" s="2" t="n">
        <v>141</v>
      </c>
      <c r="F83" s="2" t="n">
        <v>147</v>
      </c>
      <c r="G83" s="2" t="inlineStr">
        <is>
          <t>Home</t>
        </is>
      </c>
      <c r="H83" s="2" t="inlineStr">
        <is>
          <t>betmgm</t>
        </is>
      </c>
      <c r="I83" s="4" t="n"/>
      <c r="J83" s="4" t="n"/>
      <c r="K83" s="4" t="n">
        <v>115</v>
      </c>
      <c r="L83" s="4" t="n">
        <v>115</v>
      </c>
      <c r="M83" s="5" t="n">
        <v>5.5</v>
      </c>
      <c r="N83" s="5" t="n">
        <v>5.484971509445289</v>
      </c>
      <c r="O83" s="5" t="n">
        <v>5.5</v>
      </c>
      <c r="P83" s="5" t="n">
        <v>0.01502849055471067</v>
      </c>
      <c r="Q83" s="6" t="n">
        <v>0.1427170975699608</v>
      </c>
      <c r="R83" s="6" t="n">
        <v>0.5314963244511446</v>
      </c>
      <c r="S83" s="6" t="n">
        <v>0.4334891627709307</v>
      </c>
      <c r="T83" s="2" t="inlineStr">
        <is>
          <t>Under</t>
        </is>
      </c>
      <c r="U83" s="4" t="n">
        <v>115</v>
      </c>
      <c r="V83" s="2" t="n">
        <v>2.15</v>
      </c>
      <c r="W83" s="4" t="n">
        <v>115</v>
      </c>
      <c r="X83" s="2" t="n">
        <v>1</v>
      </c>
      <c r="Y83" s="5" t="n">
        <v>-1</v>
      </c>
      <c r="Z83" s="7" t="n">
        <v>100</v>
      </c>
      <c r="AA83" s="7">
        <f>Y83*Z83</f>
        <v/>
      </c>
      <c r="AB83" s="6">
        <f>IF(Z83=0,0,AA83/Z83)</f>
        <v/>
      </c>
      <c r="AC83" s="6" t="n"/>
      <c r="AD83" s="2" t="inlineStr">
        <is>
          <t>Loss</t>
        </is>
      </c>
      <c r="AE83" s="6">
        <f>IF((COUNTIF($AD$2:AD83,"Win")+COUNTIF($AD$2:AD83,"Loss"))=0,0,COUNTIF($AD$2:AD83,"Win")/(COUNTIF($AD$2:AD83,"Win")+COUNTIF($AD$2:AD83,"Loss")))</f>
        <v/>
      </c>
      <c r="AF83" s="6">
        <f>SUM($Y$2:Y83)/SUM($X$2:X83)</f>
        <v/>
      </c>
      <c r="AG83" s="5">
        <f>SUM($Y$2:Y83)</f>
        <v/>
      </c>
      <c r="AH83" s="7">
        <f>10000.0+SUM($AA$2:AA83)</f>
        <v/>
      </c>
      <c r="AI83" s="2" t="n">
        <v>2026</v>
      </c>
      <c r="AJ83" s="2" t="inlineStr">
        <is>
          <t>2026-06</t>
        </is>
      </c>
      <c r="AK83" s="2" t="inlineStr">
        <is>
          <t>+100 to +120</t>
        </is>
      </c>
      <c r="AL83" s="2" t="inlineStr">
        <is>
          <t>2026 Frozen Test</t>
        </is>
      </c>
      <c r="AM83" s="6" t="n">
        <v>0.1241018239738789</v>
      </c>
    </row>
    <row r="84">
      <c r="A84" s="2" t="inlineStr">
        <is>
          <t>KPROP-00975</t>
        </is>
      </c>
      <c r="B84" s="3" t="n">
        <v>46186.62890046297</v>
      </c>
      <c r="C84" s="3" t="n">
        <v>46186</v>
      </c>
      <c r="D84" s="2" t="inlineStr">
        <is>
          <t>Kevin Gausman</t>
        </is>
      </c>
      <c r="E84" s="2" t="n">
        <v>141</v>
      </c>
      <c r="F84" s="2" t="n">
        <v>147</v>
      </c>
      <c r="G84" s="2" t="inlineStr">
        <is>
          <t>Home</t>
        </is>
      </c>
      <c r="H84" s="2" t="inlineStr">
        <is>
          <t>fanduel</t>
        </is>
      </c>
      <c r="I84" s="4" t="n"/>
      <c r="J84" s="4" t="n"/>
      <c r="K84" s="4" t="n">
        <v>-152</v>
      </c>
      <c r="L84" s="4" t="n">
        <v>-152</v>
      </c>
      <c r="M84" s="5" t="n">
        <v>6.5</v>
      </c>
      <c r="N84" s="5" t="n">
        <v>5.484971509445289</v>
      </c>
      <c r="O84" s="5" t="n">
        <v>6.5</v>
      </c>
      <c r="P84" s="5" t="n">
        <v>1.015028490554711</v>
      </c>
      <c r="Q84" s="6" t="n">
        <v>0.1412874191514966</v>
      </c>
      <c r="R84" s="6" t="n">
        <v>0.688395586154871</v>
      </c>
      <c r="S84" s="6" t="n">
        <v>0.5746691871455576</v>
      </c>
      <c r="T84" s="2" t="inlineStr">
        <is>
          <t>Under</t>
        </is>
      </c>
      <c r="U84" s="4" t="n">
        <v>-152</v>
      </c>
      <c r="V84" s="2" t="n">
        <v>1.657894736842105</v>
      </c>
      <c r="W84" s="4" t="n">
        <v>-152</v>
      </c>
      <c r="X84" s="2" t="n">
        <v>1</v>
      </c>
      <c r="Y84" s="5" t="n">
        <v>-1</v>
      </c>
      <c r="Z84" s="7" t="n">
        <v>100</v>
      </c>
      <c r="AA84" s="7">
        <f>Y84*Z84</f>
        <v/>
      </c>
      <c r="AB84" s="6">
        <f>IF(Z84=0,0,AA84/Z84)</f>
        <v/>
      </c>
      <c r="AC84" s="6" t="n"/>
      <c r="AD84" s="2" t="inlineStr">
        <is>
          <t>Loss</t>
        </is>
      </c>
      <c r="AE84" s="6">
        <f>IF((COUNTIF($AD$2:AD84,"Win")+COUNTIF($AD$2:AD84,"Loss"))=0,0,COUNTIF($AD$2:AD84,"Win")/(COUNTIF($AD$2:AD84,"Win")+COUNTIF($AD$2:AD84,"Loss")))</f>
        <v/>
      </c>
      <c r="AF84" s="6">
        <f>SUM($Y$2:Y84)/SUM($X$2:X84)</f>
        <v/>
      </c>
      <c r="AG84" s="5">
        <f>SUM($Y$2:Y84)</f>
        <v/>
      </c>
      <c r="AH84" s="7">
        <f>10000.0+SUM($AA$2:AA84)</f>
        <v/>
      </c>
      <c r="AI84" s="2" t="n">
        <v>2026</v>
      </c>
      <c r="AJ84" s="2" t="inlineStr">
        <is>
          <t>2026-06</t>
        </is>
      </c>
      <c r="AK84" s="2" t="inlineStr">
        <is>
          <t>&lt;= -150</t>
        </is>
      </c>
      <c r="AL84" s="2" t="inlineStr">
        <is>
          <t>2026 Frozen Test</t>
        </is>
      </c>
      <c r="AM84" s="6" t="n">
        <v>0.2147568771102749</v>
      </c>
    </row>
    <row r="85">
      <c r="A85" s="2" t="inlineStr">
        <is>
          <t>KPROP-00976</t>
        </is>
      </c>
      <c r="B85" s="3" t="n">
        <v>46186.67402777778</v>
      </c>
      <c r="C85" s="3" t="n">
        <v>46186</v>
      </c>
      <c r="D85" s="2" t="inlineStr">
        <is>
          <t>Michael Soroka</t>
        </is>
      </c>
      <c r="E85" s="2" t="n">
        <v>109</v>
      </c>
      <c r="F85" s="2" t="n">
        <v>113</v>
      </c>
      <c r="G85" s="2" t="inlineStr">
        <is>
          <t>Away</t>
        </is>
      </c>
      <c r="H85" s="2" t="inlineStr">
        <is>
          <t>draftkings</t>
        </is>
      </c>
      <c r="I85" s="4" t="n"/>
      <c r="J85" s="4" t="n"/>
      <c r="K85" s="4" t="n">
        <v>123</v>
      </c>
      <c r="L85" s="4" t="n">
        <v>123</v>
      </c>
      <c r="M85" s="5" t="n">
        <v>5.5</v>
      </c>
      <c r="N85" s="5" t="n">
        <v>5.280856945234491</v>
      </c>
      <c r="O85" s="5" t="n">
        <v>5.5</v>
      </c>
      <c r="P85" s="5" t="n">
        <v>0.2191430547655093</v>
      </c>
      <c r="Q85" s="6" t="n">
        <v>0.263975583077116</v>
      </c>
      <c r="R85" s="6" t="n">
        <v>0.5668051942049848</v>
      </c>
      <c r="S85" s="6" t="n">
        <v>0.4290360528683136</v>
      </c>
      <c r="T85" s="2" t="inlineStr">
        <is>
          <t>Under</t>
        </is>
      </c>
      <c r="U85" s="4" t="n">
        <v>123</v>
      </c>
      <c r="V85" s="2" t="n">
        <v>2.23</v>
      </c>
      <c r="W85" s="4" t="n">
        <v>123</v>
      </c>
      <c r="X85" s="2" t="n">
        <v>1</v>
      </c>
      <c r="Y85" s="5" t="n">
        <v>-1</v>
      </c>
      <c r="Z85" s="7" t="n">
        <v>100</v>
      </c>
      <c r="AA85" s="7">
        <f>Y85*Z85</f>
        <v/>
      </c>
      <c r="AB85" s="6">
        <f>IF(Z85=0,0,AA85/Z85)</f>
        <v/>
      </c>
      <c r="AC85" s="6" t="n"/>
      <c r="AD85" s="2" t="inlineStr">
        <is>
          <t>Loss</t>
        </is>
      </c>
      <c r="AE85" s="6">
        <f>IF((COUNTIF($AD$2:AD85,"Win")+COUNTIF($AD$2:AD85,"Loss"))=0,0,COUNTIF($AD$2:AD85,"Win")/(COUNTIF($AD$2:AD85,"Win")+COUNTIF($AD$2:AD85,"Loss")))</f>
        <v/>
      </c>
      <c r="AF85" s="6">
        <f>SUM($Y$2:Y85)/SUM($X$2:X85)</f>
        <v/>
      </c>
      <c r="AG85" s="5">
        <f>SUM($Y$2:Y85)</f>
        <v/>
      </c>
      <c r="AH85" s="7">
        <f>10000.0+SUM($AA$2:AA85)</f>
        <v/>
      </c>
      <c r="AI85" s="2" t="n">
        <v>2026</v>
      </c>
      <c r="AJ85" s="2" t="inlineStr">
        <is>
          <t>2026-06</t>
        </is>
      </c>
      <c r="AK85" s="2" t="inlineStr">
        <is>
          <t>+121 to +150</t>
        </is>
      </c>
      <c r="AL85" s="2" t="inlineStr">
        <is>
          <t>2026 Frozen Test</t>
        </is>
      </c>
      <c r="AM85" s="6" t="n">
        <v>0.2146142951846471</v>
      </c>
    </row>
    <row r="86">
      <c r="A86" s="2" t="inlineStr">
        <is>
          <t>KPROP-00977</t>
        </is>
      </c>
      <c r="B86" s="3" t="n">
        <v>46186.67402777778</v>
      </c>
      <c r="C86" s="3" t="n">
        <v>46186</v>
      </c>
      <c r="D86" s="2" t="inlineStr">
        <is>
          <t>Ranger Suarez</t>
        </is>
      </c>
      <c r="E86" s="2" t="n">
        <v>111</v>
      </c>
      <c r="F86" s="2" t="n">
        <v>140</v>
      </c>
      <c r="G86" s="2" t="inlineStr">
        <is>
          <t>Home</t>
        </is>
      </c>
      <c r="H86" s="2" t="inlineStr">
        <is>
          <t>fanduel</t>
        </is>
      </c>
      <c r="I86" s="4" t="n"/>
      <c r="J86" s="4" t="n"/>
      <c r="K86" s="4" t="n">
        <v>-104</v>
      </c>
      <c r="L86" s="4" t="n">
        <v>-104</v>
      </c>
      <c r="M86" s="5" t="n">
        <v>5.5</v>
      </c>
      <c r="N86" s="5" t="n">
        <v>5.046360447710548</v>
      </c>
      <c r="O86" s="5" t="n">
        <v>5.5</v>
      </c>
      <c r="P86" s="5" t="n">
        <v>0.4536395522894523</v>
      </c>
      <c r="Q86" s="6" t="n">
        <v>0.192275036283683</v>
      </c>
      <c r="R86" s="6" t="n">
        <v>0.6078264890857992</v>
      </c>
      <c r="S86" s="6" t="n">
        <v>0.4988301357042583</v>
      </c>
      <c r="T86" s="2" t="inlineStr">
        <is>
          <t>Under</t>
        </is>
      </c>
      <c r="U86" s="4" t="n">
        <v>-104</v>
      </c>
      <c r="V86" s="2" t="n">
        <v>1.961538461538462</v>
      </c>
      <c r="W86" s="4" t="n">
        <v>-104</v>
      </c>
      <c r="X86" s="2" t="n">
        <v>1</v>
      </c>
      <c r="Y86" s="5" t="n">
        <v>-1</v>
      </c>
      <c r="Z86" s="7" t="n">
        <v>100</v>
      </c>
      <c r="AA86" s="7">
        <f>Y86*Z86</f>
        <v/>
      </c>
      <c r="AB86" s="6">
        <f>IF(Z86=0,0,AA86/Z86)</f>
        <v/>
      </c>
      <c r="AC86" s="6" t="n"/>
      <c r="AD86" s="2" t="inlineStr">
        <is>
          <t>Loss</t>
        </is>
      </c>
      <c r="AE86" s="6">
        <f>IF((COUNTIF($AD$2:AD86,"Win")+COUNTIF($AD$2:AD86,"Loss"))=0,0,COUNTIF($AD$2:AD86,"Win")/(COUNTIF($AD$2:AD86,"Win")+COUNTIF($AD$2:AD86,"Loss")))</f>
        <v/>
      </c>
      <c r="AF86" s="6">
        <f>SUM($Y$2:Y86)/SUM($X$2:X86)</f>
        <v/>
      </c>
      <c r="AG86" s="5">
        <f>SUM($Y$2:Y86)</f>
        <v/>
      </c>
      <c r="AH86" s="7">
        <f>10000.0+SUM($AA$2:AA86)</f>
        <v/>
      </c>
      <c r="AI86" s="2" t="n">
        <v>2026</v>
      </c>
      <c r="AJ86" s="2" t="inlineStr">
        <is>
          <t>2026-06</t>
        </is>
      </c>
      <c r="AK86" s="2" t="inlineStr">
        <is>
          <t>-119 to -101</t>
        </is>
      </c>
      <c r="AL86" s="2" t="inlineStr">
        <is>
          <t>2026 Frozen Test</t>
        </is>
      </c>
      <c r="AM86" s="6" t="n">
        <v>0.1999660377350303</v>
      </c>
    </row>
    <row r="87">
      <c r="A87" s="2" t="inlineStr">
        <is>
          <t>KPROP-00978</t>
        </is>
      </c>
      <c r="B87" s="3" t="n">
        <v>46186.79902777778</v>
      </c>
      <c r="C87" s="3" t="n">
        <v>46186</v>
      </c>
      <c r="D87" s="2" t="inlineStr">
        <is>
          <t>Shane Drohan</t>
        </is>
      </c>
      <c r="E87" s="2" t="n">
        <v>158</v>
      </c>
      <c r="F87" s="2" t="n">
        <v>143</v>
      </c>
      <c r="G87" s="2" t="inlineStr">
        <is>
          <t>Home</t>
        </is>
      </c>
      <c r="H87" s="2" t="inlineStr">
        <is>
          <t>fanduel</t>
        </is>
      </c>
      <c r="I87" s="4" t="n"/>
      <c r="J87" s="4" t="n"/>
      <c r="K87" s="4" t="n">
        <v>132</v>
      </c>
      <c r="L87" s="4" t="n">
        <v>132</v>
      </c>
      <c r="M87" s="5" t="n">
        <v>4.5</v>
      </c>
      <c r="N87" s="5" t="n">
        <v>4.665605242424786</v>
      </c>
      <c r="O87" s="5" t="n">
        <v>4.5</v>
      </c>
      <c r="P87" s="5" t="n">
        <v>-0.1656052424247862</v>
      </c>
      <c r="Q87" s="6" t="n">
        <v>0.1622859751092151</v>
      </c>
      <c r="R87" s="6" t="n">
        <v>0.5009853340987995</v>
      </c>
      <c r="S87" s="6" t="n">
        <v>0.4149040026033192</v>
      </c>
      <c r="T87" s="2" t="inlineStr">
        <is>
          <t>Under</t>
        </is>
      </c>
      <c r="U87" s="4" t="n">
        <v>132</v>
      </c>
      <c r="V87" s="2" t="n">
        <v>2.32</v>
      </c>
      <c r="W87" s="4" t="n">
        <v>132</v>
      </c>
      <c r="X87" s="2" t="n">
        <v>1</v>
      </c>
      <c r="Y87" s="5" t="n">
        <v>-1</v>
      </c>
      <c r="Z87" s="7" t="n">
        <v>100</v>
      </c>
      <c r="AA87" s="7">
        <f>Y87*Z87</f>
        <v/>
      </c>
      <c r="AB87" s="6">
        <f>IF(Z87=0,0,AA87/Z87)</f>
        <v/>
      </c>
      <c r="AC87" s="6" t="n"/>
      <c r="AD87" s="2" t="inlineStr">
        <is>
          <t>Loss</t>
        </is>
      </c>
      <c r="AE87" s="6">
        <f>IF((COUNTIF($AD$2:AD87,"Win")+COUNTIF($AD$2:AD87,"Loss"))=0,0,COUNTIF($AD$2:AD87,"Win")/(COUNTIF($AD$2:AD87,"Win")+COUNTIF($AD$2:AD87,"Loss")))</f>
        <v/>
      </c>
      <c r="AF87" s="6">
        <f>SUM($Y$2:Y87)/SUM($X$2:X87)</f>
        <v/>
      </c>
      <c r="AG87" s="5">
        <f>SUM($Y$2:Y87)</f>
        <v/>
      </c>
      <c r="AH87" s="7">
        <f>10000.0+SUM($AA$2:AA87)</f>
        <v/>
      </c>
      <c r="AI87" s="2" t="n">
        <v>2026</v>
      </c>
      <c r="AJ87" s="2" t="inlineStr">
        <is>
          <t>2026-06</t>
        </is>
      </c>
      <c r="AK87" s="2" t="inlineStr">
        <is>
          <t>+121 to +150</t>
        </is>
      </c>
      <c r="AL87" s="2" t="inlineStr">
        <is>
          <t>2026 Frozen Test</t>
        </is>
      </c>
      <c r="AM87" s="6" t="n">
        <v>0.1229439205372841</v>
      </c>
    </row>
    <row r="88">
      <c r="A88" s="2" t="inlineStr">
        <is>
          <t>KPROP-00979</t>
        </is>
      </c>
      <c r="B88" s="3" t="n">
        <v>46186.79902777778</v>
      </c>
      <c r="C88" s="3" t="n">
        <v>46186</v>
      </c>
      <c r="D88" s="2" t="inlineStr">
        <is>
          <t>Shane Drohan</t>
        </is>
      </c>
      <c r="E88" s="2" t="n">
        <v>158</v>
      </c>
      <c r="F88" s="2" t="n">
        <v>143</v>
      </c>
      <c r="G88" s="2" t="inlineStr">
        <is>
          <t>Home</t>
        </is>
      </c>
      <c r="H88" s="2" t="inlineStr">
        <is>
          <t>draftkings</t>
        </is>
      </c>
      <c r="I88" s="4" t="n"/>
      <c r="J88" s="4" t="n"/>
      <c r="K88" s="4" t="n">
        <v>-162</v>
      </c>
      <c r="L88" s="4" t="n">
        <v>-162</v>
      </c>
      <c r="M88" s="5" t="n">
        <v>5.5</v>
      </c>
      <c r="N88" s="5" t="n">
        <v>4.665605242424786</v>
      </c>
      <c r="O88" s="5" t="n">
        <v>5.5</v>
      </c>
      <c r="P88" s="5" t="n">
        <v>0.8343947575752138</v>
      </c>
      <c r="Q88" s="6" t="n">
        <v>0.09071326179431199</v>
      </c>
      <c r="R88" s="6" t="n">
        <v>0.6744104901170936</v>
      </c>
      <c r="S88" s="6" t="n">
        <v>0.5828822517990193</v>
      </c>
      <c r="T88" s="2" t="inlineStr">
        <is>
          <t>Under</t>
        </is>
      </c>
      <c r="U88" s="4" t="n">
        <v>-162</v>
      </c>
      <c r="V88" s="2" t="n">
        <v>1.617283950617284</v>
      </c>
      <c r="W88" s="4" t="n">
        <v>-162</v>
      </c>
      <c r="X88" s="2" t="n">
        <v>1</v>
      </c>
      <c r="Y88" s="5" t="n">
        <v>-1</v>
      </c>
      <c r="Z88" s="7" t="n">
        <v>100</v>
      </c>
      <c r="AA88" s="7">
        <f>Y88*Z88</f>
        <v/>
      </c>
      <c r="AB88" s="6">
        <f>IF(Z88=0,0,AA88/Z88)</f>
        <v/>
      </c>
      <c r="AC88" s="6" t="n"/>
      <c r="AD88" s="2" t="inlineStr">
        <is>
          <t>Loss</t>
        </is>
      </c>
      <c r="AE88" s="6">
        <f>IF((COUNTIF($AD$2:AD88,"Win")+COUNTIF($AD$2:AD88,"Loss"))=0,0,COUNTIF($AD$2:AD88,"Win")/(COUNTIF($AD$2:AD88,"Win")+COUNTIF($AD$2:AD88,"Loss")))</f>
        <v/>
      </c>
      <c r="AF88" s="6">
        <f>SUM($Y$2:Y88)/SUM($X$2:X88)</f>
        <v/>
      </c>
      <c r="AG88" s="5">
        <f>SUM($Y$2:Y88)</f>
        <v/>
      </c>
      <c r="AH88" s="7">
        <f>10000.0+SUM($AA$2:AA88)</f>
        <v/>
      </c>
      <c r="AI88" s="2" t="n">
        <v>2026</v>
      </c>
      <c r="AJ88" s="2" t="inlineStr">
        <is>
          <t>2026-06</t>
        </is>
      </c>
      <c r="AK88" s="2" t="inlineStr">
        <is>
          <t>&lt;= -150</t>
        </is>
      </c>
      <c r="AL88" s="2" t="inlineStr">
        <is>
          <t>2026 Frozen Test</t>
        </is>
      </c>
      <c r="AM88" s="6" t="n">
        <v>0.1469554841067854</v>
      </c>
    </row>
    <row r="89">
      <c r="A89" s="2" t="inlineStr">
        <is>
          <t>KPROP-00980</t>
        </is>
      </c>
      <c r="B89" s="3" t="n">
        <v>46186.67055555555</v>
      </c>
      <c r="C89" s="3" t="n">
        <v>46186</v>
      </c>
      <c r="D89" s="2" t="inlineStr">
        <is>
          <t>Yoshinobu Yamamoto</t>
        </is>
      </c>
      <c r="E89" s="2" t="n">
        <v>119</v>
      </c>
      <c r="F89" s="2" t="n">
        <v>145</v>
      </c>
      <c r="G89" s="2" t="inlineStr">
        <is>
          <t>Away</t>
        </is>
      </c>
      <c r="H89" s="2" t="inlineStr">
        <is>
          <t>bovada</t>
        </is>
      </c>
      <c r="I89" s="4" t="n"/>
      <c r="J89" s="4" t="n"/>
      <c r="K89" s="4" t="n">
        <v>-150</v>
      </c>
      <c r="L89" s="4" t="n">
        <v>-150</v>
      </c>
      <c r="M89" s="5" t="n">
        <v>6.5</v>
      </c>
      <c r="N89" s="5" t="n">
        <v>5.521985848520881</v>
      </c>
      <c r="O89" s="5" t="n">
        <v>6.5</v>
      </c>
      <c r="P89" s="5" t="n">
        <v>0.978014151479119</v>
      </c>
      <c r="Q89" s="6" t="n">
        <v>0.1376303733267903</v>
      </c>
      <c r="R89" s="6" t="n">
        <v>0.6825782239960743</v>
      </c>
      <c r="S89" s="6" t="n">
        <v>0.5667244367417678</v>
      </c>
      <c r="T89" s="2" t="inlineStr">
        <is>
          <t>Under</t>
        </is>
      </c>
      <c r="U89" s="4" t="n">
        <v>-150</v>
      </c>
      <c r="V89" s="2" t="n">
        <v>1.666666666666667</v>
      </c>
      <c r="W89" s="4" t="n">
        <v>-150</v>
      </c>
      <c r="X89" s="2" t="n">
        <v>1</v>
      </c>
      <c r="Y89" s="5" t="n">
        <v>-1</v>
      </c>
      <c r="Z89" s="7" t="n">
        <v>100</v>
      </c>
      <c r="AA89" s="7">
        <f>Y89*Z89</f>
        <v/>
      </c>
      <c r="AB89" s="6">
        <f>IF(Z89=0,0,AA89/Z89)</f>
        <v/>
      </c>
      <c r="AC89" s="6" t="n"/>
      <c r="AD89" s="2" t="inlineStr">
        <is>
          <t>Loss</t>
        </is>
      </c>
      <c r="AE89" s="6">
        <f>IF((COUNTIF($AD$2:AD89,"Win")+COUNTIF($AD$2:AD89,"Loss"))=0,0,COUNTIF($AD$2:AD89,"Win")/(COUNTIF($AD$2:AD89,"Win")+COUNTIF($AD$2:AD89,"Loss")))</f>
        <v/>
      </c>
      <c r="AF89" s="6">
        <f>SUM($Y$2:Y89)/SUM($X$2:X89)</f>
        <v/>
      </c>
      <c r="AG89" s="5">
        <f>SUM($Y$2:Y89)</f>
        <v/>
      </c>
      <c r="AH89" s="7">
        <f>10000.0+SUM($AA$2:AA89)</f>
        <v/>
      </c>
      <c r="AI89" s="2" t="n">
        <v>2026</v>
      </c>
      <c r="AJ89" s="2" t="inlineStr">
        <is>
          <t>2026-06</t>
        </is>
      </c>
      <c r="AK89" s="2" t="inlineStr">
        <is>
          <t>&lt;= -150</t>
        </is>
      </c>
      <c r="AL89" s="2" t="inlineStr">
        <is>
          <t>2026 Frozen Test</t>
        </is>
      </c>
      <c r="AM89" s="6" t="n">
        <v>0.2064455599901856</v>
      </c>
    </row>
    <row r="90">
      <c r="A90" s="2" t="inlineStr">
        <is>
          <t>KPROP-00981</t>
        </is>
      </c>
      <c r="B90" s="3" t="n">
        <v>46187.80597222222</v>
      </c>
      <c r="C90" s="3" t="n">
        <v>46187</v>
      </c>
      <c r="D90" s="2" t="inlineStr">
        <is>
          <t>Connelly Early</t>
        </is>
      </c>
      <c r="E90" s="2" t="n">
        <v>111</v>
      </c>
      <c r="F90" s="2" t="n">
        <v>140</v>
      </c>
      <c r="G90" s="2" t="inlineStr">
        <is>
          <t>Home</t>
        </is>
      </c>
      <c r="H90" s="2" t="inlineStr">
        <is>
          <t>betrivers</t>
        </is>
      </c>
      <c r="I90" s="4" t="n"/>
      <c r="J90" s="4" t="n"/>
      <c r="K90" s="4" t="n">
        <v>100</v>
      </c>
      <c r="L90" s="4" t="n">
        <v>100</v>
      </c>
      <c r="M90" s="5" t="n">
        <v>5.5</v>
      </c>
      <c r="N90" s="5" t="n">
        <v>5.410593693539893</v>
      </c>
      <c r="O90" s="5" t="n">
        <v>5.5</v>
      </c>
      <c r="P90" s="5" t="n">
        <v>0.08940630646010739</v>
      </c>
      <c r="Q90" s="6" t="n">
        <v>0.08860402426082814</v>
      </c>
      <c r="R90" s="6" t="n">
        <v>0.5443020121304141</v>
      </c>
      <c r="S90" s="6" t="n">
        <v>0.4831460674157303</v>
      </c>
      <c r="T90" s="2" t="inlineStr">
        <is>
          <t>Under</t>
        </is>
      </c>
      <c r="U90" s="4" t="n">
        <v>100</v>
      </c>
      <c r="V90" s="2" t="n">
        <v>2</v>
      </c>
      <c r="W90" s="4" t="n">
        <v>100</v>
      </c>
      <c r="X90" s="2" t="n">
        <v>1</v>
      </c>
      <c r="Y90" s="5" t="n">
        <v>1</v>
      </c>
      <c r="Z90" s="7" t="n">
        <v>100</v>
      </c>
      <c r="AA90" s="7">
        <f>Y90*Z90</f>
        <v/>
      </c>
      <c r="AB90" s="6">
        <f>IF(Z90=0,0,AA90/Z90)</f>
        <v/>
      </c>
      <c r="AC90" s="6" t="n"/>
      <c r="AD90" s="2" t="inlineStr">
        <is>
          <t>Win</t>
        </is>
      </c>
      <c r="AE90" s="6">
        <f>IF((COUNTIF($AD$2:AD90,"Win")+COUNTIF($AD$2:AD90,"Loss"))=0,0,COUNTIF($AD$2:AD90,"Win")/(COUNTIF($AD$2:AD90,"Win")+COUNTIF($AD$2:AD90,"Loss")))</f>
        <v/>
      </c>
      <c r="AF90" s="6">
        <f>SUM($Y$2:Y90)/SUM($X$2:X90)</f>
        <v/>
      </c>
      <c r="AG90" s="5">
        <f>SUM($Y$2:Y90)</f>
        <v/>
      </c>
      <c r="AH90" s="7">
        <f>10000.0+SUM($AA$2:AA90)</f>
        <v/>
      </c>
      <c r="AI90" s="2" t="n">
        <v>2026</v>
      </c>
      <c r="AJ90" s="2" t="inlineStr">
        <is>
          <t>2026-06</t>
        </is>
      </c>
      <c r="AK90" s="2" t="inlineStr">
        <is>
          <t>+100 to +120</t>
        </is>
      </c>
      <c r="AL90" s="2" t="inlineStr">
        <is>
          <t>2026 Frozen Test</t>
        </is>
      </c>
      <c r="AM90" s="6" t="n">
        <v>0.08860402426082814</v>
      </c>
    </row>
    <row r="91">
      <c r="A91" s="2" t="inlineStr">
        <is>
          <t>KPROP-00982</t>
        </is>
      </c>
      <c r="B91" s="3" t="n">
        <v>46187.59070601852</v>
      </c>
      <c r="C91" s="3" t="n">
        <v>46187</v>
      </c>
      <c r="D91" s="2" t="inlineStr">
        <is>
          <t>Cristopher Sánchez</t>
        </is>
      </c>
      <c r="E91" s="2" t="n">
        <v>143</v>
      </c>
      <c r="F91" s="2" t="n">
        <v>158</v>
      </c>
      <c r="G91" s="2" t="inlineStr">
        <is>
          <t>Away</t>
        </is>
      </c>
      <c r="H91" s="2" t="inlineStr">
        <is>
          <t>draftkings</t>
        </is>
      </c>
      <c r="I91" s="4" t="n"/>
      <c r="J91" s="4" t="n"/>
      <c r="K91" s="4" t="n">
        <v>-146</v>
      </c>
      <c r="L91" s="4" t="n">
        <v>-146</v>
      </c>
      <c r="M91" s="5" t="n">
        <v>7.5</v>
      </c>
      <c r="N91" s="5" t="n">
        <v>6.140255823231648</v>
      </c>
      <c r="O91" s="5" t="n">
        <v>7.5</v>
      </c>
      <c r="P91" s="5" t="n">
        <v>1.359744176768352</v>
      </c>
      <c r="Q91" s="6" t="n">
        <v>0.2206565075384801</v>
      </c>
      <c r="R91" s="6" t="n">
        <v>0.7244546752057646</v>
      </c>
      <c r="S91" s="6" t="n">
        <v>0.5662905500705219</v>
      </c>
      <c r="T91" s="2" t="inlineStr">
        <is>
          <t>Under</t>
        </is>
      </c>
      <c r="U91" s="4" t="n">
        <v>-146</v>
      </c>
      <c r="V91" s="2" t="n">
        <v>1.684931506849315</v>
      </c>
      <c r="W91" s="4" t="n">
        <v>-146</v>
      </c>
      <c r="X91" s="2" t="n">
        <v>1</v>
      </c>
      <c r="Y91" s="5" t="n">
        <v>0.6849315068493151</v>
      </c>
      <c r="Z91" s="7" t="n">
        <v>100</v>
      </c>
      <c r="AA91" s="7">
        <f>Y91*Z91</f>
        <v/>
      </c>
      <c r="AB91" s="6">
        <f>IF(Z91=0,0,AA91/Z91)</f>
        <v/>
      </c>
      <c r="AC91" s="6" t="n"/>
      <c r="AD91" s="2" t="inlineStr">
        <is>
          <t>Win</t>
        </is>
      </c>
      <c r="AE91" s="6">
        <f>IF((COUNTIF($AD$2:AD91,"Win")+COUNTIF($AD$2:AD91,"Loss"))=0,0,COUNTIF($AD$2:AD91,"Win")/(COUNTIF($AD$2:AD91,"Win")+COUNTIF($AD$2:AD91,"Loss")))</f>
        <v/>
      </c>
      <c r="AF91" s="6">
        <f>SUM($Y$2:Y91)/SUM($X$2:X91)</f>
        <v/>
      </c>
      <c r="AG91" s="5">
        <f>SUM($Y$2:Y91)</f>
        <v/>
      </c>
      <c r="AH91" s="7">
        <f>10000.0+SUM($AA$2:AA91)</f>
        <v/>
      </c>
      <c r="AI91" s="2" t="n">
        <v>2026</v>
      </c>
      <c r="AJ91" s="2" t="inlineStr">
        <is>
          <t>2026-06</t>
        </is>
      </c>
      <c r="AK91" s="2" t="inlineStr">
        <is>
          <t>-149 to -120</t>
        </is>
      </c>
      <c r="AL91" s="2" t="inlineStr">
        <is>
          <t>2026 Frozen Test</t>
        </is>
      </c>
      <c r="AM91" s="6" t="n">
        <v>0.3221585010061809</v>
      </c>
    </row>
    <row r="92">
      <c r="A92" s="2" t="inlineStr">
        <is>
          <t>KPROP-00983</t>
        </is>
      </c>
      <c r="B92" s="3" t="n">
        <v>46187.59070601852</v>
      </c>
      <c r="C92" s="3" t="n">
        <v>46187</v>
      </c>
      <c r="D92" s="2" t="inlineStr">
        <is>
          <t>Emmet Sheehan</t>
        </is>
      </c>
      <c r="E92" s="2" t="n">
        <v>119</v>
      </c>
      <c r="F92" s="2" t="n">
        <v>145</v>
      </c>
      <c r="G92" s="2" t="inlineStr">
        <is>
          <t>Away</t>
        </is>
      </c>
      <c r="H92" s="2" t="inlineStr">
        <is>
          <t>betmgm</t>
        </is>
      </c>
      <c r="I92" s="4" t="n"/>
      <c r="J92" s="4" t="n"/>
      <c r="K92" s="4" t="n">
        <v>-110</v>
      </c>
      <c r="L92" s="4" t="n">
        <v>-110</v>
      </c>
      <c r="M92" s="5" t="n">
        <v>5.5</v>
      </c>
      <c r="N92" s="5" t="n">
        <v>5.056794079784944</v>
      </c>
      <c r="O92" s="5" t="n">
        <v>5.5</v>
      </c>
      <c r="P92" s="5" t="n">
        <v>0.443205920215056</v>
      </c>
      <c r="Q92" s="6" t="n">
        <v>0.15690185997684</v>
      </c>
      <c r="R92" s="6" t="n">
        <v>0.605996212368821</v>
      </c>
      <c r="S92" s="6" t="n">
        <v>0.5190105359596885</v>
      </c>
      <c r="T92" s="2" t="inlineStr">
        <is>
          <t>Under</t>
        </is>
      </c>
      <c r="U92" s="4" t="n">
        <v>-110</v>
      </c>
      <c r="V92" s="2" t="n">
        <v>1.909090909090909</v>
      </c>
      <c r="W92" s="4" t="n">
        <v>-110</v>
      </c>
      <c r="X92" s="2" t="n">
        <v>1</v>
      </c>
      <c r="Y92" s="5" t="n">
        <v>-1</v>
      </c>
      <c r="Z92" s="7" t="n">
        <v>100</v>
      </c>
      <c r="AA92" s="7">
        <f>Y92*Z92</f>
        <v/>
      </c>
      <c r="AB92" s="6">
        <f>IF(Z92=0,0,AA92/Z92)</f>
        <v/>
      </c>
      <c r="AC92" s="6" t="n"/>
      <c r="AD92" s="2" t="inlineStr">
        <is>
          <t>Loss</t>
        </is>
      </c>
      <c r="AE92" s="6">
        <f>IF((COUNTIF($AD$2:AD92,"Win")+COUNTIF($AD$2:AD92,"Loss"))=0,0,COUNTIF($AD$2:AD92,"Win")/(COUNTIF($AD$2:AD92,"Win")+COUNTIF($AD$2:AD92,"Loss")))</f>
        <v/>
      </c>
      <c r="AF92" s="6">
        <f>SUM($Y$2:Y92)/SUM($X$2:X92)</f>
        <v/>
      </c>
      <c r="AG92" s="5">
        <f>SUM($Y$2:Y92)</f>
        <v/>
      </c>
      <c r="AH92" s="7">
        <f>10000.0+SUM($AA$2:AA92)</f>
        <v/>
      </c>
      <c r="AI92" s="2" t="n">
        <v>2026</v>
      </c>
      <c r="AJ92" s="2" t="inlineStr">
        <is>
          <t>2026-06</t>
        </is>
      </c>
      <c r="AK92" s="2" t="inlineStr">
        <is>
          <t>-119 to -101</t>
        </is>
      </c>
      <c r="AL92" s="2" t="inlineStr">
        <is>
          <t>2026 Frozen Test</t>
        </is>
      </c>
      <c r="AM92" s="6" t="n">
        <v>0.172592045974524</v>
      </c>
    </row>
    <row r="93">
      <c r="A93" s="2" t="inlineStr">
        <is>
          <t>KPROP-00984</t>
        </is>
      </c>
      <c r="B93" s="3" t="n">
        <v>46187.56986111111</v>
      </c>
      <c r="C93" s="3" t="n">
        <v>46187</v>
      </c>
      <c r="D93" s="2" t="inlineStr">
        <is>
          <t>Freddy Peralta</t>
        </is>
      </c>
      <c r="E93" s="2" t="n">
        <v>121</v>
      </c>
      <c r="F93" s="2" t="n">
        <v>144</v>
      </c>
      <c r="G93" s="2" t="inlineStr">
        <is>
          <t>Home</t>
        </is>
      </c>
      <c r="H93" s="2" t="inlineStr">
        <is>
          <t>fanduel</t>
        </is>
      </c>
      <c r="I93" s="4" t="n"/>
      <c r="J93" s="4" t="n"/>
      <c r="K93" s="4" t="n">
        <v>-108</v>
      </c>
      <c r="L93" s="4" t="n">
        <v>-108</v>
      </c>
      <c r="M93" s="5" t="n">
        <v>5.5</v>
      </c>
      <c r="N93" s="5" t="n">
        <v>5.328248748601903</v>
      </c>
      <c r="O93" s="5" t="n">
        <v>5.5</v>
      </c>
      <c r="P93" s="5" t="n">
        <v>0.1717512513980974</v>
      </c>
      <c r="Q93" s="6" t="n">
        <v>0.07575176963854913</v>
      </c>
      <c r="R93" s="6" t="n">
        <v>0.5585634188507851</v>
      </c>
      <c r="S93" s="6" t="n">
        <v>0.4967303165053624</v>
      </c>
      <c r="T93" s="2" t="inlineStr">
        <is>
          <t>Under</t>
        </is>
      </c>
      <c r="U93" s="4" t="n">
        <v>-108</v>
      </c>
      <c r="V93" s="2" t="n">
        <v>1.925925925925926</v>
      </c>
      <c r="W93" s="4" t="n">
        <v>-108</v>
      </c>
      <c r="X93" s="2" t="n">
        <v>1</v>
      </c>
      <c r="Y93" s="5" t="n">
        <v>0.925925925925926</v>
      </c>
      <c r="Z93" s="7" t="n">
        <v>100</v>
      </c>
      <c r="AA93" s="7">
        <f>Y93*Z93</f>
        <v/>
      </c>
      <c r="AB93" s="6">
        <f>IF(Z93=0,0,AA93/Z93)</f>
        <v/>
      </c>
      <c r="AC93" s="6" t="n"/>
      <c r="AD93" s="2" t="inlineStr">
        <is>
          <t>Win</t>
        </is>
      </c>
      <c r="AE93" s="6">
        <f>IF((COUNTIF($AD$2:AD93,"Win")+COUNTIF($AD$2:AD93,"Loss"))=0,0,COUNTIF($AD$2:AD93,"Win")/(COUNTIF($AD$2:AD93,"Win")+COUNTIF($AD$2:AD93,"Loss")))</f>
        <v/>
      </c>
      <c r="AF93" s="6">
        <f>SUM($Y$2:Y93)/SUM($X$2:X93)</f>
        <v/>
      </c>
      <c r="AG93" s="5">
        <f>SUM($Y$2:Y93)</f>
        <v/>
      </c>
      <c r="AH93" s="7">
        <f>10000.0+SUM($AA$2:AA93)</f>
        <v/>
      </c>
      <c r="AI93" s="2" t="n">
        <v>2026</v>
      </c>
      <c r="AJ93" s="2" t="inlineStr">
        <is>
          <t>2026-06</t>
        </is>
      </c>
      <c r="AK93" s="2" t="inlineStr">
        <is>
          <t>-119 to -101</t>
        </is>
      </c>
      <c r="AL93" s="2" t="inlineStr">
        <is>
          <t>2026 Frozen Test</t>
        </is>
      </c>
      <c r="AM93" s="6" t="n">
        <v>0.08181191120963305</v>
      </c>
    </row>
    <row r="94">
      <c r="A94" s="2" t="inlineStr">
        <is>
          <t>KPROP-00985</t>
        </is>
      </c>
      <c r="B94" s="3" t="n">
        <v>46187.67055555555</v>
      </c>
      <c r="C94" s="3" t="n">
        <v>46187</v>
      </c>
      <c r="D94" s="2" t="inlineStr">
        <is>
          <t>Grayson Rodriguez</t>
        </is>
      </c>
      <c r="E94" s="2" t="n">
        <v>108</v>
      </c>
      <c r="F94" s="2" t="n">
        <v>139</v>
      </c>
      <c r="G94" s="2" t="inlineStr">
        <is>
          <t>Home</t>
        </is>
      </c>
      <c r="H94" s="2" t="inlineStr">
        <is>
          <t>fanduel</t>
        </is>
      </c>
      <c r="I94" s="4" t="n"/>
      <c r="J94" s="4" t="n"/>
      <c r="K94" s="4" t="n">
        <v>122</v>
      </c>
      <c r="L94" s="4" t="n">
        <v>122</v>
      </c>
      <c r="M94" s="5" t="n">
        <v>4.5</v>
      </c>
      <c r="N94" s="5" t="n">
        <v>4.651446408131372</v>
      </c>
      <c r="O94" s="5" t="n">
        <v>4.5</v>
      </c>
      <c r="P94" s="5" t="n">
        <v>-0.1514464081313722</v>
      </c>
      <c r="Q94" s="6" t="n">
        <v>0.1180352160435387</v>
      </c>
      <c r="R94" s="6" t="n">
        <v>0.5036194666862788</v>
      </c>
      <c r="S94" s="6" t="n">
        <v>0.4350023464856865</v>
      </c>
      <c r="T94" s="2" t="inlineStr">
        <is>
          <t>Under</t>
        </is>
      </c>
      <c r="U94" s="4" t="n">
        <v>122</v>
      </c>
      <c r="V94" s="2" t="n">
        <v>2.22</v>
      </c>
      <c r="W94" s="4" t="n">
        <v>122</v>
      </c>
      <c r="X94" s="2" t="n">
        <v>1</v>
      </c>
      <c r="Y94" s="5" t="n">
        <v>1.22</v>
      </c>
      <c r="Z94" s="7" t="n">
        <v>100</v>
      </c>
      <c r="AA94" s="7">
        <f>Y94*Z94</f>
        <v/>
      </c>
      <c r="AB94" s="6">
        <f>IF(Z94=0,0,AA94/Z94)</f>
        <v/>
      </c>
      <c r="AC94" s="6" t="n"/>
      <c r="AD94" s="2" t="inlineStr">
        <is>
          <t>Win</t>
        </is>
      </c>
      <c r="AE94" s="6">
        <f>IF((COUNTIF($AD$2:AD94,"Win")+COUNTIF($AD$2:AD94,"Loss"))=0,0,COUNTIF($AD$2:AD94,"Win")/(COUNTIF($AD$2:AD94,"Win")+COUNTIF($AD$2:AD94,"Loss")))</f>
        <v/>
      </c>
      <c r="AF94" s="6">
        <f>SUM($Y$2:Y94)/SUM($X$2:X94)</f>
        <v/>
      </c>
      <c r="AG94" s="5">
        <f>SUM($Y$2:Y94)</f>
        <v/>
      </c>
      <c r="AH94" s="7">
        <f>10000.0+SUM($AA$2:AA94)</f>
        <v/>
      </c>
      <c r="AI94" s="2" t="n">
        <v>2026</v>
      </c>
      <c r="AJ94" s="2" t="inlineStr">
        <is>
          <t>2026-06</t>
        </is>
      </c>
      <c r="AK94" s="2" t="inlineStr">
        <is>
          <t>+121 to +150</t>
        </is>
      </c>
      <c r="AL94" s="2" t="inlineStr">
        <is>
          <t>2026 Frozen Test</t>
        </is>
      </c>
      <c r="AM94" s="6" t="n">
        <v>0.09675017708486783</v>
      </c>
    </row>
    <row r="95">
      <c r="A95" s="2" t="inlineStr">
        <is>
          <t>KPROP-00986</t>
        </is>
      </c>
      <c r="B95" s="3" t="n">
        <v>46187.67055555555</v>
      </c>
      <c r="C95" s="3" t="n">
        <v>46187</v>
      </c>
      <c r="D95" s="2" t="inlineStr">
        <is>
          <t>Grayson Rodriguez</t>
        </is>
      </c>
      <c r="E95" s="2" t="n">
        <v>108</v>
      </c>
      <c r="F95" s="2" t="n">
        <v>139</v>
      </c>
      <c r="G95" s="2" t="inlineStr">
        <is>
          <t>Home</t>
        </is>
      </c>
      <c r="H95" s="2" t="inlineStr">
        <is>
          <t>betmgm</t>
        </is>
      </c>
      <c r="I95" s="4" t="n"/>
      <c r="J95" s="4" t="n"/>
      <c r="K95" s="4" t="n">
        <v>-155</v>
      </c>
      <c r="L95" s="4" t="n">
        <v>-155</v>
      </c>
      <c r="M95" s="5" t="n">
        <v>5.5</v>
      </c>
      <c r="N95" s="5" t="n">
        <v>4.651446408131372</v>
      </c>
      <c r="O95" s="5" t="n">
        <v>5.5</v>
      </c>
      <c r="P95" s="5" t="n">
        <v>0.8485535918686278</v>
      </c>
      <c r="Q95" s="6" t="n">
        <v>0.1135516423973675</v>
      </c>
      <c r="R95" s="6" t="n">
        <v>0.6768647238101646</v>
      </c>
      <c r="S95" s="6" t="n">
        <v>0.5665108372290693</v>
      </c>
      <c r="T95" s="2" t="inlineStr">
        <is>
          <t>Under</t>
        </is>
      </c>
      <c r="U95" s="4" t="n">
        <v>-155</v>
      </c>
      <c r="V95" s="2" t="n">
        <v>1.645161290322581</v>
      </c>
      <c r="W95" s="4" t="n">
        <v>-155</v>
      </c>
      <c r="X95" s="2" t="n">
        <v>1</v>
      </c>
      <c r="Y95" s="5" t="n">
        <v>0.6451612903225805</v>
      </c>
      <c r="Z95" s="7" t="n">
        <v>100</v>
      </c>
      <c r="AA95" s="7">
        <f>Y95*Z95</f>
        <v/>
      </c>
      <c r="AB95" s="6">
        <f>IF(Z95=0,0,AA95/Z95)</f>
        <v/>
      </c>
      <c r="AC95" s="6" t="n"/>
      <c r="AD95" s="2" t="inlineStr">
        <is>
          <t>Win</t>
        </is>
      </c>
      <c r="AE95" s="6">
        <f>IF((COUNTIF($AD$2:AD95,"Win")+COUNTIF($AD$2:AD95,"Loss"))=0,0,COUNTIF($AD$2:AD95,"Win")/(COUNTIF($AD$2:AD95,"Win")+COUNTIF($AD$2:AD95,"Loss")))</f>
        <v/>
      </c>
      <c r="AF95" s="6">
        <f>SUM($Y$2:Y95)/SUM($X$2:X95)</f>
        <v/>
      </c>
      <c r="AG95" s="5">
        <f>SUM($Y$2:Y95)</f>
        <v/>
      </c>
      <c r="AH95" s="7">
        <f>10000.0+SUM($AA$2:AA95)</f>
        <v/>
      </c>
      <c r="AI95" s="2" t="n">
        <v>2026</v>
      </c>
      <c r="AJ95" s="2" t="inlineStr">
        <is>
          <t>2026-06</t>
        </is>
      </c>
      <c r="AK95" s="2" t="inlineStr">
        <is>
          <t>&lt;= -150</t>
        </is>
      </c>
      <c r="AL95" s="2" t="inlineStr">
        <is>
          <t>2026 Frozen Test</t>
        </is>
      </c>
      <c r="AM95" s="6" t="n">
        <v>0.1760050457159196</v>
      </c>
    </row>
    <row r="96">
      <c r="A96" s="2" t="inlineStr">
        <is>
          <t>KPROP-00987</t>
        </is>
      </c>
      <c r="B96" s="3" t="n">
        <v>46187.62888888889</v>
      </c>
      <c r="C96" s="3" t="n">
        <v>46187</v>
      </c>
      <c r="D96" s="2" t="inlineStr">
        <is>
          <t>Jeffrey Springs</t>
        </is>
      </c>
      <c r="E96" s="2" t="n">
        <v>133</v>
      </c>
      <c r="F96" s="2" t="n">
        <v>115</v>
      </c>
      <c r="G96" s="2" t="inlineStr">
        <is>
          <t>Home</t>
        </is>
      </c>
      <c r="H96" s="2" t="inlineStr">
        <is>
          <t>betrivers</t>
        </is>
      </c>
      <c r="I96" s="4" t="n"/>
      <c r="J96" s="4" t="n"/>
      <c r="K96" s="4" t="n">
        <v>123</v>
      </c>
      <c r="L96" s="4" t="n">
        <v>123</v>
      </c>
      <c r="M96" s="5" t="n">
        <v>4.5</v>
      </c>
      <c r="N96" s="5" t="n">
        <v>4.475442194124254</v>
      </c>
      <c r="O96" s="5" t="n">
        <v>4.5</v>
      </c>
      <c r="P96" s="5" t="n">
        <v>0.0245578058757463</v>
      </c>
      <c r="Q96" s="6" t="n">
        <v>0.1969995693516332</v>
      </c>
      <c r="R96" s="6" t="n">
        <v>0.5367711073325709</v>
      </c>
      <c r="S96" s="6" t="n">
        <v>0.4449148389878677</v>
      </c>
      <c r="T96" s="2" t="inlineStr">
        <is>
          <t>Under</t>
        </is>
      </c>
      <c r="U96" s="4" t="n">
        <v>123</v>
      </c>
      <c r="V96" s="2" t="n">
        <v>2.23</v>
      </c>
      <c r="W96" s="4" t="n">
        <v>123</v>
      </c>
      <c r="X96" s="2" t="n">
        <v>1</v>
      </c>
      <c r="Y96" s="5" t="n">
        <v>-1</v>
      </c>
      <c r="Z96" s="7" t="n">
        <v>100</v>
      </c>
      <c r="AA96" s="7">
        <f>Y96*Z96</f>
        <v/>
      </c>
      <c r="AB96" s="6">
        <f>IF(Z96=0,0,AA96/Z96)</f>
        <v/>
      </c>
      <c r="AC96" s="6" t="n"/>
      <c r="AD96" s="2" t="inlineStr">
        <is>
          <t>Loss</t>
        </is>
      </c>
      <c r="AE96" s="6">
        <f>IF((COUNTIF($AD$2:AD96,"Win")+COUNTIF($AD$2:AD96,"Loss"))=0,0,COUNTIF($AD$2:AD96,"Win")/(COUNTIF($AD$2:AD96,"Win")+COUNTIF($AD$2:AD96,"Loss")))</f>
        <v/>
      </c>
      <c r="AF96" s="6">
        <f>SUM($Y$2:Y96)/SUM($X$2:X96)</f>
        <v/>
      </c>
      <c r="AG96" s="5">
        <f>SUM($Y$2:Y96)</f>
        <v/>
      </c>
      <c r="AH96" s="7">
        <f>10000.0+SUM($AA$2:AA96)</f>
        <v/>
      </c>
      <c r="AI96" s="2" t="n">
        <v>2026</v>
      </c>
      <c r="AJ96" s="2" t="inlineStr">
        <is>
          <t>2026-06</t>
        </is>
      </c>
      <c r="AK96" s="2" t="inlineStr">
        <is>
          <t>+121 to +150</t>
        </is>
      </c>
      <c r="AL96" s="2" t="inlineStr">
        <is>
          <t>2026 Frozen Test</t>
        </is>
      </c>
      <c r="AM96" s="6" t="n">
        <v>0.1601622515053928</v>
      </c>
    </row>
    <row r="97">
      <c r="A97" s="2" t="inlineStr">
        <is>
          <t>KPROP-00988</t>
        </is>
      </c>
      <c r="B97" s="3" t="n">
        <v>46187.59070601852</v>
      </c>
      <c r="C97" s="3" t="n">
        <v>46187</v>
      </c>
      <c r="D97" s="2" t="inlineStr">
        <is>
          <t>Kyle Harrison</t>
        </is>
      </c>
      <c r="E97" s="2" t="n">
        <v>158</v>
      </c>
      <c r="F97" s="2" t="n">
        <v>143</v>
      </c>
      <c r="G97" s="2" t="inlineStr">
        <is>
          <t>Home</t>
        </is>
      </c>
      <c r="H97" s="2" t="inlineStr">
        <is>
          <t>betmgm</t>
        </is>
      </c>
      <c r="I97" s="4" t="n"/>
      <c r="J97" s="4" t="n"/>
      <c r="K97" s="4" t="n">
        <v>120</v>
      </c>
      <c r="L97" s="4" t="n">
        <v>120</v>
      </c>
      <c r="M97" s="5" t="n">
        <v>6.5</v>
      </c>
      <c r="N97" s="5" t="n">
        <v>5.278916373035047</v>
      </c>
      <c r="O97" s="5" t="n">
        <v>6.5</v>
      </c>
      <c r="P97" s="5" t="n">
        <v>1.221083626964953</v>
      </c>
      <c r="Q97" s="6" t="n">
        <v>0.5848117028401313</v>
      </c>
      <c r="R97" s="6" t="n">
        <v>0.7203689558364232</v>
      </c>
      <c r="S97" s="6" t="n">
        <v>0.4323570432357043</v>
      </c>
      <c r="T97" s="2" t="inlineStr">
        <is>
          <t>Under</t>
        </is>
      </c>
      <c r="U97" s="4" t="n">
        <v>120</v>
      </c>
      <c r="V97" s="2" t="n">
        <v>2.2</v>
      </c>
      <c r="W97" s="4" t="n">
        <v>120</v>
      </c>
      <c r="X97" s="2" t="n">
        <v>1</v>
      </c>
      <c r="Y97" s="5" t="n">
        <v>1.2</v>
      </c>
      <c r="Z97" s="7" t="n">
        <v>100</v>
      </c>
      <c r="AA97" s="7">
        <f>Y97*Z97</f>
        <v/>
      </c>
      <c r="AB97" s="6">
        <f>IF(Z97=0,0,AA97/Z97)</f>
        <v/>
      </c>
      <c r="AC97" s="6" t="n"/>
      <c r="AD97" s="2" t="inlineStr">
        <is>
          <t>Win</t>
        </is>
      </c>
      <c r="AE97" s="6">
        <f>IF((COUNTIF($AD$2:AD97,"Win")+COUNTIF($AD$2:AD97,"Loss"))=0,0,COUNTIF($AD$2:AD97,"Win")/(COUNTIF($AD$2:AD97,"Win")+COUNTIF($AD$2:AD97,"Loss")))</f>
        <v/>
      </c>
      <c r="AF97" s="6">
        <f>SUM($Y$2:Y97)/SUM($X$2:X97)</f>
        <v/>
      </c>
      <c r="AG97" s="5">
        <f>SUM($Y$2:Y97)</f>
        <v/>
      </c>
      <c r="AH97" s="7">
        <f>10000.0+SUM($AA$2:AA97)</f>
        <v/>
      </c>
      <c r="AI97" s="2" t="n">
        <v>2026</v>
      </c>
      <c r="AJ97" s="2" t="inlineStr">
        <is>
          <t>2026-06</t>
        </is>
      </c>
      <c r="AK97" s="2" t="inlineStr">
        <is>
          <t>+100 to +120</t>
        </is>
      </c>
      <c r="AL97" s="2" t="inlineStr">
        <is>
          <t>2026 Frozen Test</t>
        </is>
      </c>
      <c r="AM97" s="6" t="n">
        <v>0.4873430857001093</v>
      </c>
    </row>
    <row r="98">
      <c r="A98" s="2" t="inlineStr">
        <is>
          <t>KPROP-00989</t>
        </is>
      </c>
      <c r="B98" s="3" t="n">
        <v>46187.59070601852</v>
      </c>
      <c r="C98" s="3" t="n">
        <v>46187</v>
      </c>
      <c r="D98" s="2" t="inlineStr">
        <is>
          <t>Kyle Harrison</t>
        </is>
      </c>
      <c r="E98" s="2" t="n">
        <v>158</v>
      </c>
      <c r="F98" s="2" t="n">
        <v>143</v>
      </c>
      <c r="G98" s="2" t="inlineStr">
        <is>
          <t>Home</t>
        </is>
      </c>
      <c r="H98" s="2" t="inlineStr">
        <is>
          <t>fanduel</t>
        </is>
      </c>
      <c r="I98" s="4" t="n"/>
      <c r="J98" s="4" t="n"/>
      <c r="K98" s="4" t="n">
        <v>-152</v>
      </c>
      <c r="L98" s="4" t="n">
        <v>-152</v>
      </c>
      <c r="M98" s="5" t="n">
        <v>7.5</v>
      </c>
      <c r="N98" s="5" t="n">
        <v>5.278916373035047</v>
      </c>
      <c r="O98" s="5" t="n">
        <v>7.5</v>
      </c>
      <c r="P98" s="5" t="n">
        <v>2.221083626964953</v>
      </c>
      <c r="Q98" s="6" t="n">
        <v>0.3858694913635511</v>
      </c>
      <c r="R98" s="6" t="n">
        <v>0.8359212805049991</v>
      </c>
      <c r="S98" s="6" t="n">
        <v>0.5746691871455576</v>
      </c>
      <c r="T98" s="2" t="inlineStr">
        <is>
          <t>Under</t>
        </is>
      </c>
      <c r="U98" s="4" t="n">
        <v>-152</v>
      </c>
      <c r="V98" s="2" t="n">
        <v>1.657894736842105</v>
      </c>
      <c r="W98" s="4" t="n">
        <v>-152</v>
      </c>
      <c r="X98" s="2" t="n">
        <v>1</v>
      </c>
      <c r="Y98" s="5" t="n">
        <v>0.6578947368421053</v>
      </c>
      <c r="Z98" s="7" t="n">
        <v>100</v>
      </c>
      <c r="AA98" s="7">
        <f>Y98*Z98</f>
        <v/>
      </c>
      <c r="AB98" s="6">
        <f>IF(Z98=0,0,AA98/Z98)</f>
        <v/>
      </c>
      <c r="AC98" s="6" t="n"/>
      <c r="AD98" s="2" t="inlineStr">
        <is>
          <t>Win</t>
        </is>
      </c>
      <c r="AE98" s="6">
        <f>IF((COUNTIF($AD$2:AD98,"Win")+COUNTIF($AD$2:AD98,"Loss"))=0,0,COUNTIF($AD$2:AD98,"Win")/(COUNTIF($AD$2:AD98,"Win")+COUNTIF($AD$2:AD98,"Loss")))</f>
        <v/>
      </c>
      <c r="AF98" s="6">
        <f>SUM($Y$2:Y98)/SUM($X$2:X98)</f>
        <v/>
      </c>
      <c r="AG98" s="5">
        <f>SUM($Y$2:Y98)</f>
        <v/>
      </c>
      <c r="AH98" s="7">
        <f>10000.0+SUM($AA$2:AA98)</f>
        <v/>
      </c>
      <c r="AI98" s="2" t="n">
        <v>2026</v>
      </c>
      <c r="AJ98" s="2" t="inlineStr">
        <is>
          <t>2026-06</t>
        </is>
      </c>
      <c r="AK98" s="2" t="inlineStr">
        <is>
          <t>&lt;= -150</t>
        </is>
      </c>
      <c r="AL98" s="2" t="inlineStr">
        <is>
          <t>2026 Frozen Test</t>
        </is>
      </c>
      <c r="AM98" s="6" t="n">
        <v>0.5865216268725978</v>
      </c>
    </row>
    <row r="99">
      <c r="A99" s="2" t="inlineStr">
        <is>
          <t>KPROP-00990</t>
        </is>
      </c>
      <c r="B99" s="3" t="n">
        <v>46187.63236111111</v>
      </c>
      <c r="C99" s="3" t="n">
        <v>46187</v>
      </c>
      <c r="D99" s="2" t="inlineStr">
        <is>
          <t>Logan Webb</t>
        </is>
      </c>
      <c r="E99" s="2" t="n">
        <v>137</v>
      </c>
      <c r="F99" s="2" t="n">
        <v>112</v>
      </c>
      <c r="G99" s="2" t="inlineStr">
        <is>
          <t>Home</t>
        </is>
      </c>
      <c r="H99" s="2" t="inlineStr">
        <is>
          <t>betmgm</t>
        </is>
      </c>
      <c r="I99" s="4" t="n"/>
      <c r="J99" s="4" t="n"/>
      <c r="K99" s="4" t="n">
        <v>-135</v>
      </c>
      <c r="L99" s="4" t="n">
        <v>-135</v>
      </c>
      <c r="M99" s="5" t="n">
        <v>5.5</v>
      </c>
      <c r="N99" s="5" t="n">
        <v>4.885706977784791</v>
      </c>
      <c r="O99" s="5" t="n">
        <v>5.5</v>
      </c>
      <c r="P99" s="5" t="n">
        <v>0.6142930222152092</v>
      </c>
      <c r="Q99" s="6" t="n">
        <v>0.1071224620035962</v>
      </c>
      <c r="R99" s="6" t="n">
        <v>0.6360065207254701</v>
      </c>
      <c r="S99" s="6" t="n">
        <v>0.5582706766917294</v>
      </c>
      <c r="T99" s="2" t="inlineStr">
        <is>
          <t>Under</t>
        </is>
      </c>
      <c r="U99" s="4" t="n">
        <v>-135</v>
      </c>
      <c r="V99" s="2" t="n">
        <v>1.740740740740741</v>
      </c>
      <c r="W99" s="4" t="n">
        <v>-135</v>
      </c>
      <c r="X99" s="2" t="n">
        <v>1</v>
      </c>
      <c r="Y99" s="5" t="n">
        <v>-1</v>
      </c>
      <c r="Z99" s="7" t="n">
        <v>100</v>
      </c>
      <c r="AA99" s="7">
        <f>Y99*Z99</f>
        <v/>
      </c>
      <c r="AB99" s="6">
        <f>IF(Z99=0,0,AA99/Z99)</f>
        <v/>
      </c>
      <c r="AC99" s="6" t="n"/>
      <c r="AD99" s="2" t="inlineStr">
        <is>
          <t>Loss</t>
        </is>
      </c>
      <c r="AE99" s="6">
        <f>IF((COUNTIF($AD$2:AD99,"Win")+COUNTIF($AD$2:AD99,"Loss"))=0,0,COUNTIF($AD$2:AD99,"Win")/(COUNTIF($AD$2:AD99,"Win")+COUNTIF($AD$2:AD99,"Loss")))</f>
        <v/>
      </c>
      <c r="AF99" s="6">
        <f>SUM($Y$2:Y99)/SUM($X$2:X99)</f>
        <v/>
      </c>
      <c r="AG99" s="5">
        <f>SUM($Y$2:Y99)</f>
        <v/>
      </c>
      <c r="AH99" s="7">
        <f>10000.0+SUM($AA$2:AA99)</f>
        <v/>
      </c>
      <c r="AI99" s="2" t="n">
        <v>2026</v>
      </c>
      <c r="AJ99" s="2" t="inlineStr">
        <is>
          <t>2026-06</t>
        </is>
      </c>
      <c r="AK99" s="2" t="inlineStr">
        <is>
          <t>-149 to -120</t>
        </is>
      </c>
      <c r="AL99" s="2" t="inlineStr">
        <is>
          <t>2026 Frozen Test</t>
        </is>
      </c>
      <c r="AM99" s="6" t="n">
        <v>0.1446153237048548</v>
      </c>
    </row>
    <row r="100">
      <c r="A100" s="2" t="inlineStr">
        <is>
          <t>KPROP-00991</t>
        </is>
      </c>
      <c r="B100" s="3" t="n">
        <v>46187.51083333333</v>
      </c>
      <c r="C100" s="3" t="n">
        <v>46187</v>
      </c>
      <c r="D100" s="2" t="inlineStr">
        <is>
          <t>Max Meyer</t>
        </is>
      </c>
      <c r="E100" s="2" t="n">
        <v>146</v>
      </c>
      <c r="F100" s="2" t="n">
        <v>134</v>
      </c>
      <c r="G100" s="2" t="inlineStr">
        <is>
          <t>Away</t>
        </is>
      </c>
      <c r="H100" s="2" t="inlineStr">
        <is>
          <t>betrivers</t>
        </is>
      </c>
      <c r="I100" s="4" t="n"/>
      <c r="J100" s="4" t="n"/>
      <c r="K100" s="4" t="n">
        <v>-104</v>
      </c>
      <c r="L100" s="4" t="n">
        <v>-104</v>
      </c>
      <c r="M100" s="5" t="n">
        <v>5.5</v>
      </c>
      <c r="N100" s="5" t="n">
        <v>5.161585215849309</v>
      </c>
      <c r="O100" s="5" t="n">
        <v>5.5</v>
      </c>
      <c r="P100" s="5" t="n">
        <v>0.3384147841506913</v>
      </c>
      <c r="Q100" s="6" t="n">
        <v>0.1526627466803417</v>
      </c>
      <c r="R100" s="6" t="n">
        <v>0.5876319885037036</v>
      </c>
      <c r="S100" s="6" t="n">
        <v>0.4988301357042583</v>
      </c>
      <c r="T100" s="2" t="inlineStr">
        <is>
          <t>Under</t>
        </is>
      </c>
      <c r="U100" s="4" t="n">
        <v>-104</v>
      </c>
      <c r="V100" s="2" t="n">
        <v>1.961538461538462</v>
      </c>
      <c r="W100" s="4" t="n">
        <v>-104</v>
      </c>
      <c r="X100" s="2" t="n">
        <v>1</v>
      </c>
      <c r="Y100" s="5" t="n">
        <v>-1</v>
      </c>
      <c r="Z100" s="7" t="n">
        <v>100</v>
      </c>
      <c r="AA100" s="7">
        <f>Y100*Z100</f>
        <v/>
      </c>
      <c r="AB100" s="6">
        <f>IF(Z100=0,0,AA100/Z100)</f>
        <v/>
      </c>
      <c r="AC100" s="6" t="n"/>
      <c r="AD100" s="2" t="inlineStr">
        <is>
          <t>Loss</t>
        </is>
      </c>
      <c r="AE100" s="6">
        <f>IF((COUNTIF($AD$2:AD100,"Win")+COUNTIF($AD$2:AD100,"Loss"))=0,0,COUNTIF($AD$2:AD100,"Win")/(COUNTIF($AD$2:AD100,"Win")+COUNTIF($AD$2:AD100,"Loss")))</f>
        <v/>
      </c>
      <c r="AF100" s="6">
        <f>SUM($Y$2:Y100)/SUM($X$2:X100)</f>
        <v/>
      </c>
      <c r="AG100" s="5">
        <f>SUM($Y$2:Y100)</f>
        <v/>
      </c>
      <c r="AH100" s="7">
        <f>10000.0+SUM($AA$2:AA100)</f>
        <v/>
      </c>
      <c r="AI100" s="2" t="n">
        <v>2026</v>
      </c>
      <c r="AJ100" s="2" t="inlineStr">
        <is>
          <t>2026-06</t>
        </is>
      </c>
      <c r="AK100" s="2" t="inlineStr">
        <is>
          <t>-119 to -101</t>
        </is>
      </c>
      <c r="AL100" s="2" t="inlineStr">
        <is>
          <t>2026 Frozen Test</t>
        </is>
      </c>
      <c r="AM100" s="6" t="n">
        <v>0.1587692565475554</v>
      </c>
    </row>
    <row r="101">
      <c r="A101" s="2" t="inlineStr">
        <is>
          <t>KPROP-00992</t>
        </is>
      </c>
      <c r="B101" s="3" t="n">
        <v>46187.51083333333</v>
      </c>
      <c r="C101" s="3" t="n">
        <v>46187</v>
      </c>
      <c r="D101" s="2" t="inlineStr">
        <is>
          <t>Paul Skenes</t>
        </is>
      </c>
      <c r="E101" s="2" t="n">
        <v>134</v>
      </c>
      <c r="F101" s="2" t="n">
        <v>146</v>
      </c>
      <c r="G101" s="2" t="inlineStr">
        <is>
          <t>Home</t>
        </is>
      </c>
      <c r="H101" s="2" t="inlineStr">
        <is>
          <t>betmgm</t>
        </is>
      </c>
      <c r="I101" s="4" t="n"/>
      <c r="J101" s="4" t="n"/>
      <c r="K101" s="4" t="n">
        <v>110</v>
      </c>
      <c r="L101" s="4" t="n">
        <v>110</v>
      </c>
      <c r="M101" s="5" t="n">
        <v>6.5</v>
      </c>
      <c r="N101" s="5" t="n">
        <v>5.512205240541636</v>
      </c>
      <c r="O101" s="5" t="n">
        <v>6.5</v>
      </c>
      <c r="P101" s="5" t="n">
        <v>0.9877947594583638</v>
      </c>
      <c r="Q101" s="6" t="n">
        <v>0.4366462692738858</v>
      </c>
      <c r="R101" s="6" t="n">
        <v>0.6841172710828027</v>
      </c>
      <c r="S101" s="6" t="n">
        <v>0.4589371980676328</v>
      </c>
      <c r="T101" s="2" t="inlineStr">
        <is>
          <t>Under</t>
        </is>
      </c>
      <c r="U101" s="4" t="n">
        <v>110</v>
      </c>
      <c r="V101" s="2" t="n">
        <v>2.1</v>
      </c>
      <c r="W101" s="4" t="n">
        <v>110</v>
      </c>
      <c r="X101" s="2" t="n">
        <v>1</v>
      </c>
      <c r="Y101" s="5" t="n">
        <v>-1</v>
      </c>
      <c r="Z101" s="7" t="n">
        <v>100</v>
      </c>
      <c r="AA101" s="7">
        <f>Y101*Z101</f>
        <v/>
      </c>
      <c r="AB101" s="6">
        <f>IF(Z101=0,0,AA101/Z101)</f>
        <v/>
      </c>
      <c r="AC101" s="6" t="n"/>
      <c r="AD101" s="2" t="inlineStr">
        <is>
          <t>Loss</t>
        </is>
      </c>
      <c r="AE101" s="6">
        <f>IF((COUNTIF($AD$2:AD101,"Win")+COUNTIF($AD$2:AD101,"Loss"))=0,0,COUNTIF($AD$2:AD101,"Win")/(COUNTIF($AD$2:AD101,"Win")+COUNTIF($AD$2:AD101,"Loss")))</f>
        <v/>
      </c>
      <c r="AF101" s="6">
        <f>SUM($Y$2:Y101)/SUM($X$2:X101)</f>
        <v/>
      </c>
      <c r="AG101" s="5">
        <f>SUM($Y$2:Y101)</f>
        <v/>
      </c>
      <c r="AH101" s="7">
        <f>10000.0+SUM($AA$2:AA101)</f>
        <v/>
      </c>
      <c r="AI101" s="2" t="n">
        <v>2026</v>
      </c>
      <c r="AJ101" s="2" t="inlineStr">
        <is>
          <t>2026-06</t>
        </is>
      </c>
      <c r="AK101" s="2" t="inlineStr">
        <is>
          <t>+100 to +120</t>
        </is>
      </c>
      <c r="AL101" s="2" t="inlineStr">
        <is>
          <t>2026 Frozen Test</t>
        </is>
      </c>
      <c r="AM101" s="6" t="n">
        <v>0.3969511538853507</v>
      </c>
    </row>
    <row r="102">
      <c r="A102" s="2" t="inlineStr">
        <is>
          <t>KPROP-00993</t>
        </is>
      </c>
      <c r="B102" s="3" t="n">
        <v>46188.79902777778</v>
      </c>
      <c r="C102" s="3" t="n">
        <v>46188</v>
      </c>
      <c r="D102" s="2" t="inlineStr">
        <is>
          <t>Chase Burns</t>
        </is>
      </c>
      <c r="E102" s="2" t="n">
        <v>113</v>
      </c>
      <c r="F102" s="2" t="n">
        <v>121</v>
      </c>
      <c r="G102" s="2" t="inlineStr">
        <is>
          <t>Home</t>
        </is>
      </c>
      <c r="H102" s="2" t="inlineStr">
        <is>
          <t>betmgm</t>
        </is>
      </c>
      <c r="I102" s="4" t="n"/>
      <c r="J102" s="4" t="n"/>
      <c r="K102" s="4" t="n">
        <v>-135</v>
      </c>
      <c r="L102" s="4" t="n">
        <v>-135</v>
      </c>
      <c r="M102" s="5" t="n">
        <v>7.5</v>
      </c>
      <c r="N102" s="5" t="n">
        <v>5.847235078735995</v>
      </c>
      <c r="O102" s="5" t="n">
        <v>7.5</v>
      </c>
      <c r="P102" s="5" t="n">
        <v>1.652764921264005</v>
      </c>
      <c r="Q102" s="6" t="n">
        <v>0.3311978607371194</v>
      </c>
      <c r="R102" s="6" t="n">
        <v>0.7647306859553664</v>
      </c>
      <c r="S102" s="6" t="n">
        <v>0.551441114716549</v>
      </c>
      <c r="T102" s="2" t="inlineStr">
        <is>
          <t>Under</t>
        </is>
      </c>
      <c r="U102" s="4" t="n">
        <v>-135</v>
      </c>
      <c r="V102" s="2" t="n">
        <v>1.740740740740741</v>
      </c>
      <c r="W102" s="4" t="n">
        <v>-135</v>
      </c>
      <c r="X102" s="2" t="n">
        <v>1</v>
      </c>
      <c r="Y102" s="5" t="n">
        <v>0.7407407407407407</v>
      </c>
      <c r="Z102" s="7" t="n">
        <v>100</v>
      </c>
      <c r="AA102" s="7">
        <f>Y102*Z102</f>
        <v/>
      </c>
      <c r="AB102" s="6">
        <f>IF(Z102=0,0,AA102/Z102)</f>
        <v/>
      </c>
      <c r="AC102" s="6" t="n"/>
      <c r="AD102" s="2" t="inlineStr">
        <is>
          <t>Win</t>
        </is>
      </c>
      <c r="AE102" s="6">
        <f>IF((COUNTIF($AD$2:AD102,"Win")+COUNTIF($AD$2:AD102,"Loss"))=0,0,COUNTIF($AD$2:AD102,"Win")/(COUNTIF($AD$2:AD102,"Win")+COUNTIF($AD$2:AD102,"Loss")))</f>
        <v/>
      </c>
      <c r="AF102" s="6">
        <f>SUM($Y$2:Y102)/SUM($X$2:X102)</f>
        <v/>
      </c>
      <c r="AG102" s="5">
        <f>SUM($Y$2:Y102)</f>
        <v/>
      </c>
      <c r="AH102" s="7">
        <f>10000.0+SUM($AA$2:AA102)</f>
        <v/>
      </c>
      <c r="AI102" s="2" t="n">
        <v>2026</v>
      </c>
      <c r="AJ102" s="2" t="inlineStr">
        <is>
          <t>2026-06</t>
        </is>
      </c>
      <c r="AK102" s="2" t="inlineStr">
        <is>
          <t>-149 to -120</t>
        </is>
      </c>
      <c r="AL102" s="2" t="inlineStr">
        <is>
          <t>2026 Frozen Test</t>
        </is>
      </c>
      <c r="AM102" s="6" t="n">
        <v>0.4471171119951111</v>
      </c>
    </row>
    <row r="103">
      <c r="A103" s="2" t="inlineStr">
        <is>
          <t>KPROP-00994</t>
        </is>
      </c>
      <c r="B103" s="3" t="n">
        <v>46188.77819444444</v>
      </c>
      <c r="C103" s="3" t="n">
        <v>46188</v>
      </c>
      <c r="D103" s="2" t="inlineStr">
        <is>
          <t>Zack Wheeler</t>
        </is>
      </c>
      <c r="E103" s="2" t="n">
        <v>143</v>
      </c>
      <c r="F103" s="2" t="n">
        <v>146</v>
      </c>
      <c r="G103" s="2" t="inlineStr">
        <is>
          <t>Home</t>
        </is>
      </c>
      <c r="H103" s="2" t="inlineStr">
        <is>
          <t>fanduel</t>
        </is>
      </c>
      <c r="I103" s="4" t="n"/>
      <c r="J103" s="4" t="n"/>
      <c r="K103" s="4" t="n">
        <v>-134</v>
      </c>
      <c r="L103" s="4" t="n">
        <v>-134</v>
      </c>
      <c r="M103" s="5" t="n">
        <v>6.5</v>
      </c>
      <c r="N103" s="5" t="n">
        <v>5.526076621360013</v>
      </c>
      <c r="O103" s="5" t="n">
        <v>6.5</v>
      </c>
      <c r="P103" s="5" t="n">
        <v>0.973923378639987</v>
      </c>
      <c r="Q103" s="6" t="n">
        <v>0.1908401867285194</v>
      </c>
      <c r="R103" s="6" t="n">
        <v>0.681934124024024</v>
      </c>
      <c r="S103" s="6" t="n">
        <v>0.5494975164606677</v>
      </c>
      <c r="T103" s="2" t="inlineStr">
        <is>
          <t>Under</t>
        </is>
      </c>
      <c r="U103" s="4" t="n">
        <v>-134</v>
      </c>
      <c r="V103" s="2" t="n">
        <v>1.746268656716418</v>
      </c>
      <c r="W103" s="4" t="n">
        <v>-134</v>
      </c>
      <c r="X103" s="2" t="n">
        <v>1</v>
      </c>
      <c r="Y103" s="5" t="n">
        <v>-1</v>
      </c>
      <c r="Z103" s="7" t="n">
        <v>100</v>
      </c>
      <c r="AA103" s="7">
        <f>Y103*Z103</f>
        <v/>
      </c>
      <c r="AB103" s="6">
        <f>IF(Z103=0,0,AA103/Z103)</f>
        <v/>
      </c>
      <c r="AC103" s="6" t="n"/>
      <c r="AD103" s="2" t="inlineStr">
        <is>
          <t>Loss</t>
        </is>
      </c>
      <c r="AE103" s="6">
        <f>IF((COUNTIF($AD$2:AD103,"Win")+COUNTIF($AD$2:AD103,"Loss"))=0,0,COUNTIF($AD$2:AD103,"Win")/(COUNTIF($AD$2:AD103,"Win")+COUNTIF($AD$2:AD103,"Loss")))</f>
        <v/>
      </c>
      <c r="AF103" s="6">
        <f>SUM($Y$2:Y103)/SUM($X$2:X103)</f>
        <v/>
      </c>
      <c r="AG103" s="5">
        <f>SUM($Y$2:Y103)</f>
        <v/>
      </c>
      <c r="AH103" s="7">
        <f>10000.0+SUM($AA$2:AA103)</f>
        <v/>
      </c>
      <c r="AI103" s="2" t="n">
        <v>2026</v>
      </c>
      <c r="AJ103" s="2" t="inlineStr">
        <is>
          <t>2026-06</t>
        </is>
      </c>
      <c r="AK103" s="2" t="inlineStr">
        <is>
          <t>-149 to -120</t>
        </is>
      </c>
      <c r="AL103" s="2" t="inlineStr">
        <is>
          <t>2026 Frozen Test</t>
        </is>
      </c>
      <c r="AM103" s="6" t="n">
        <v>0.2557258502162161</v>
      </c>
    </row>
    <row r="104">
      <c r="A104" s="2" t="inlineStr">
        <is>
          <t>KPROP-00995</t>
        </is>
      </c>
      <c r="B104" s="3" t="n">
        <v>46189.77819444444</v>
      </c>
      <c r="C104" s="3" t="n">
        <v>46189</v>
      </c>
      <c r="D104" s="2" t="inlineStr">
        <is>
          <t>Dylan Cease</t>
        </is>
      </c>
      <c r="E104" s="2" t="n">
        <v>141</v>
      </c>
      <c r="F104" s="2" t="n">
        <v>111</v>
      </c>
      <c r="G104" s="2" t="inlineStr">
        <is>
          <t>Away</t>
        </is>
      </c>
      <c r="H104" s="2" t="inlineStr">
        <is>
          <t>fanduel</t>
        </is>
      </c>
      <c r="I104" s="4" t="n"/>
      <c r="J104" s="4" t="n"/>
      <c r="K104" s="4" t="n">
        <v>106</v>
      </c>
      <c r="L104" s="4" t="n">
        <v>106</v>
      </c>
      <c r="M104" s="5" t="n">
        <v>6.5</v>
      </c>
      <c r="N104" s="5" t="n">
        <v>5.66563242983541</v>
      </c>
      <c r="O104" s="5" t="n">
        <v>6.5</v>
      </c>
      <c r="P104" s="5" t="n">
        <v>0.8343675701645896</v>
      </c>
      <c r="Q104" s="6" t="n">
        <v>0.3592680212521463</v>
      </c>
      <c r="R104" s="6" t="n">
        <v>0.6598388452680322</v>
      </c>
      <c r="S104" s="6" t="n">
        <v>0.4612067244339736</v>
      </c>
      <c r="T104" s="2" t="inlineStr">
        <is>
          <t>Under</t>
        </is>
      </c>
      <c r="U104" s="4" t="n">
        <v>106</v>
      </c>
      <c r="V104" s="2" t="n">
        <v>2.06</v>
      </c>
      <c r="W104" s="4" t="n">
        <v>106</v>
      </c>
      <c r="X104" s="2" t="n">
        <v>1</v>
      </c>
      <c r="Y104" s="5" t="n">
        <v>-1</v>
      </c>
      <c r="Z104" s="7" t="n">
        <v>100</v>
      </c>
      <c r="AA104" s="7">
        <f>Y104*Z104</f>
        <v/>
      </c>
      <c r="AB104" s="6">
        <f>IF(Z104=0,0,AA104/Z104)</f>
        <v/>
      </c>
      <c r="AC104" s="6" t="n"/>
      <c r="AD104" s="2" t="inlineStr">
        <is>
          <t>Loss</t>
        </is>
      </c>
      <c r="AE104" s="6">
        <f>IF((COUNTIF($AD$2:AD104,"Win")+COUNTIF($AD$2:AD104,"Loss"))=0,0,COUNTIF($AD$2:AD104,"Win")/(COUNTIF($AD$2:AD104,"Win")+COUNTIF($AD$2:AD104,"Loss")))</f>
        <v/>
      </c>
      <c r="AF104" s="6">
        <f>SUM($Y$2:Y104)/SUM($X$2:X104)</f>
        <v/>
      </c>
      <c r="AG104" s="5">
        <f>SUM($Y$2:Y104)</f>
        <v/>
      </c>
      <c r="AH104" s="7">
        <f>10000.0+SUM($AA$2:AA104)</f>
        <v/>
      </c>
      <c r="AI104" s="2" t="n">
        <v>2026</v>
      </c>
      <c r="AJ104" s="2" t="inlineStr">
        <is>
          <t>2026-06</t>
        </is>
      </c>
      <c r="AK104" s="2" t="inlineStr">
        <is>
          <t>+100 to +120</t>
        </is>
      </c>
      <c r="AL104" s="2" t="inlineStr">
        <is>
          <t>2026 Frozen Test</t>
        </is>
      </c>
      <c r="AM104" s="6" t="n">
        <v>0.3389320955208927</v>
      </c>
    </row>
    <row r="105">
      <c r="A105" s="2" t="inlineStr">
        <is>
          <t>KPROP-00996</t>
        </is>
      </c>
      <c r="B105" s="3" t="n">
        <v>46189.79555555555</v>
      </c>
      <c r="C105" s="3" t="n">
        <v>46189</v>
      </c>
      <c r="D105" s="2" t="inlineStr">
        <is>
          <t>Gerrit Cole</t>
        </is>
      </c>
      <c r="E105" s="2" t="n">
        <v>147</v>
      </c>
      <c r="F105" s="2" t="n">
        <v>145</v>
      </c>
      <c r="G105" s="2" t="inlineStr">
        <is>
          <t>Home</t>
        </is>
      </c>
      <c r="H105" s="2" t="inlineStr">
        <is>
          <t>fanduel</t>
        </is>
      </c>
      <c r="I105" s="4" t="n"/>
      <c r="J105" s="4" t="n"/>
      <c r="K105" s="4" t="n">
        <v>-106</v>
      </c>
      <c r="L105" s="4" t="n">
        <v>-106</v>
      </c>
      <c r="M105" s="5" t="n">
        <v>5.5</v>
      </c>
      <c r="N105" s="5" t="n">
        <v>5.205303595815958</v>
      </c>
      <c r="O105" s="5" t="n">
        <v>5.5</v>
      </c>
      <c r="P105" s="5" t="n">
        <v>0.2946964041840419</v>
      </c>
      <c r="Q105" s="6" t="n">
        <v>0.1271428192337632</v>
      </c>
      <c r="R105" s="6" t="n">
        <v>0.5799861108678588</v>
      </c>
      <c r="S105" s="6" t="n">
        <v>0.5047143126532152</v>
      </c>
      <c r="T105" s="2" t="inlineStr">
        <is>
          <t>Under</t>
        </is>
      </c>
      <c r="U105" s="4" t="n">
        <v>-106</v>
      </c>
      <c r="V105" s="2" t="n">
        <v>1.943396226415094</v>
      </c>
      <c r="W105" s="4" t="n">
        <v>-106</v>
      </c>
      <c r="X105" s="2" t="n">
        <v>1</v>
      </c>
      <c r="Y105" s="5" t="n">
        <v>-1</v>
      </c>
      <c r="Z105" s="7" t="n">
        <v>100</v>
      </c>
      <c r="AA105" s="7">
        <f>Y105*Z105</f>
        <v/>
      </c>
      <c r="AB105" s="6">
        <f>IF(Z105=0,0,AA105/Z105)</f>
        <v/>
      </c>
      <c r="AC105" s="6" t="n"/>
      <c r="AD105" s="2" t="inlineStr">
        <is>
          <t>Loss</t>
        </is>
      </c>
      <c r="AE105" s="6">
        <f>IF((COUNTIF($AD$2:AD105,"Win")+COUNTIF($AD$2:AD105,"Loss"))=0,0,COUNTIF($AD$2:AD105,"Win")/(COUNTIF($AD$2:AD105,"Win")+COUNTIF($AD$2:AD105,"Loss")))</f>
        <v/>
      </c>
      <c r="AF105" s="6">
        <f>SUM($Y$2:Y105)/SUM($X$2:X105)</f>
        <v/>
      </c>
      <c r="AG105" s="5">
        <f>SUM($Y$2:Y105)</f>
        <v/>
      </c>
      <c r="AH105" s="7">
        <f>10000.0+SUM($AA$2:AA105)</f>
        <v/>
      </c>
      <c r="AI105" s="2" t="n">
        <v>2026</v>
      </c>
      <c r="AJ105" s="2" t="inlineStr">
        <is>
          <t>2026-06</t>
        </is>
      </c>
      <c r="AK105" s="2" t="inlineStr">
        <is>
          <t>-119 to -101</t>
        </is>
      </c>
      <c r="AL105" s="2" t="inlineStr">
        <is>
          <t>2026 Frozen Test</t>
        </is>
      </c>
      <c r="AM105" s="6" t="n">
        <v>0.134771388387789</v>
      </c>
    </row>
    <row r="106">
      <c r="A106" s="2" t="inlineStr">
        <is>
          <t>KPROP-00997</t>
        </is>
      </c>
      <c r="B106" s="3" t="n">
        <v>46189.77819444444</v>
      </c>
      <c r="C106" s="3" t="n">
        <v>46189</v>
      </c>
      <c r="D106" s="2" t="inlineStr">
        <is>
          <t>Jesús Luzardo</t>
        </is>
      </c>
      <c r="E106" s="2" t="n">
        <v>143</v>
      </c>
      <c r="F106" s="2" t="n">
        <v>146</v>
      </c>
      <c r="G106" s="2" t="inlineStr">
        <is>
          <t>Home</t>
        </is>
      </c>
      <c r="H106" s="2" t="inlineStr">
        <is>
          <t>fanduel</t>
        </is>
      </c>
      <c r="I106" s="4" t="n"/>
      <c r="J106" s="4" t="n"/>
      <c r="K106" s="4" t="n">
        <v>-104</v>
      </c>
      <c r="L106" s="4" t="n">
        <v>-104</v>
      </c>
      <c r="M106" s="5" t="n">
        <v>6.5</v>
      </c>
      <c r="N106" s="5" t="n">
        <v>5.235144885202646</v>
      </c>
      <c r="O106" s="5" t="n">
        <v>6.5</v>
      </c>
      <c r="P106" s="5" t="n">
        <v>1.264855114797354</v>
      </c>
      <c r="Q106" s="6" t="n">
        <v>0.4261471430429856</v>
      </c>
      <c r="R106" s="6" t="n">
        <v>0.7270554062572083</v>
      </c>
      <c r="S106" s="6" t="n">
        <v>0.4850248160191682</v>
      </c>
      <c r="T106" s="2" t="inlineStr">
        <is>
          <t>Under</t>
        </is>
      </c>
      <c r="U106" s="4" t="n">
        <v>-104</v>
      </c>
      <c r="V106" s="2" t="n">
        <v>1.961538461538462</v>
      </c>
      <c r="W106" s="4" t="n">
        <v>-104</v>
      </c>
      <c r="X106" s="2" t="n">
        <v>1</v>
      </c>
      <c r="Y106" s="5" t="n">
        <v>-1</v>
      </c>
      <c r="Z106" s="7" t="n">
        <v>100</v>
      </c>
      <c r="AA106" s="7">
        <f>Y106*Z106</f>
        <v/>
      </c>
      <c r="AB106" s="6">
        <f>IF(Z106=0,0,AA106/Z106)</f>
        <v/>
      </c>
      <c r="AC106" s="6" t="n"/>
      <c r="AD106" s="2" t="inlineStr">
        <is>
          <t>Loss</t>
        </is>
      </c>
      <c r="AE106" s="6">
        <f>IF((COUNTIF($AD$2:AD106,"Win")+COUNTIF($AD$2:AD106,"Loss"))=0,0,COUNTIF($AD$2:AD106,"Win")/(COUNTIF($AD$2:AD106,"Win")+COUNTIF($AD$2:AD106,"Loss")))</f>
        <v/>
      </c>
      <c r="AF106" s="6">
        <f>SUM($Y$2:Y106)/SUM($X$2:X106)</f>
        <v/>
      </c>
      <c r="AG106" s="5">
        <f>SUM($Y$2:Y106)</f>
        <v/>
      </c>
      <c r="AH106" s="7">
        <f>10000.0+SUM($AA$2:AA106)</f>
        <v/>
      </c>
      <c r="AI106" s="2" t="n">
        <v>2026</v>
      </c>
      <c r="AJ106" s="2" t="inlineStr">
        <is>
          <t>2026-06</t>
        </is>
      </c>
      <c r="AK106" s="2" t="inlineStr">
        <is>
          <t>-119 to -101</t>
        </is>
      </c>
      <c r="AL106" s="2" t="inlineStr">
        <is>
          <t>2026 Frozen Test</t>
        </is>
      </c>
      <c r="AM106" s="6" t="n">
        <v>0.443193028764705</v>
      </c>
    </row>
    <row r="107">
      <c r="A107" s="2" t="inlineStr">
        <is>
          <t>KPROP-00998</t>
        </is>
      </c>
      <c r="B107" s="3" t="n">
        <v>46189.77819444444</v>
      </c>
      <c r="C107" s="3" t="n">
        <v>46189</v>
      </c>
      <c r="D107" s="2" t="inlineStr">
        <is>
          <t>Payton Tolle</t>
        </is>
      </c>
      <c r="E107" s="2" t="n">
        <v>111</v>
      </c>
      <c r="F107" s="2" t="n">
        <v>141</v>
      </c>
      <c r="G107" s="2" t="inlineStr">
        <is>
          <t>Home</t>
        </is>
      </c>
      <c r="H107" s="2" t="inlineStr">
        <is>
          <t>draftkings</t>
        </is>
      </c>
      <c r="I107" s="4" t="n"/>
      <c r="J107" s="4" t="n"/>
      <c r="K107" s="4" t="n">
        <v>-125</v>
      </c>
      <c r="L107" s="4" t="n">
        <v>-125</v>
      </c>
      <c r="M107" s="5" t="n">
        <v>5.5</v>
      </c>
      <c r="N107" s="5" t="n">
        <v>4.709548985110271</v>
      </c>
      <c r="O107" s="5" t="n">
        <v>5.5</v>
      </c>
      <c r="P107" s="5" t="n">
        <v>0.7904510148897286</v>
      </c>
      <c r="Q107" s="6" t="n">
        <v>0.2002005580945264</v>
      </c>
      <c r="R107" s="6" t="n">
        <v>0.6667780878302925</v>
      </c>
      <c r="S107" s="6" t="n">
        <v>0.5533498759305211</v>
      </c>
      <c r="T107" s="2" t="inlineStr">
        <is>
          <t>Under</t>
        </is>
      </c>
      <c r="U107" s="4" t="n">
        <v>-125</v>
      </c>
      <c r="V107" s="2" t="n">
        <v>1.8</v>
      </c>
      <c r="W107" s="4" t="n">
        <v>-125</v>
      </c>
      <c r="X107" s="2" t="n">
        <v>1</v>
      </c>
      <c r="Y107" s="5" t="n">
        <v>-1</v>
      </c>
      <c r="Z107" s="7" t="n">
        <v>100</v>
      </c>
      <c r="AA107" s="7">
        <f>Y107*Z107</f>
        <v/>
      </c>
      <c r="AB107" s="6">
        <f>IF(Z107=0,0,AA107/Z107)</f>
        <v/>
      </c>
      <c r="AC107" s="6" t="n"/>
      <c r="AD107" s="2" t="inlineStr">
        <is>
          <t>Loss</t>
        </is>
      </c>
      <c r="AE107" s="6">
        <f>IF((COUNTIF($AD$2:AD107,"Win")+COUNTIF($AD$2:AD107,"Loss"))=0,0,COUNTIF($AD$2:AD107,"Win")/(COUNTIF($AD$2:AD107,"Win")+COUNTIF($AD$2:AD107,"Loss")))</f>
        <v/>
      </c>
      <c r="AF107" s="6">
        <f>SUM($Y$2:Y107)/SUM($X$2:X107)</f>
        <v/>
      </c>
      <c r="AG107" s="5">
        <f>SUM($Y$2:Y107)</f>
        <v/>
      </c>
      <c r="AH107" s="7">
        <f>10000.0+SUM($AA$2:AA107)</f>
        <v/>
      </c>
      <c r="AI107" s="2" t="n">
        <v>2026</v>
      </c>
      <c r="AJ107" s="2" t="inlineStr">
        <is>
          <t>2026-06</t>
        </is>
      </c>
      <c r="AK107" s="2" t="inlineStr">
        <is>
          <t>-149 to -120</t>
        </is>
      </c>
      <c r="AL107" s="2" t="inlineStr">
        <is>
          <t>2026 Frozen Test</t>
        </is>
      </c>
      <c r="AM107" s="6" t="n">
        <v>0.250250697618158</v>
      </c>
    </row>
    <row r="108">
      <c r="A108" s="2" t="inlineStr">
        <is>
          <t>KPROP-00999</t>
        </is>
      </c>
      <c r="B108" s="3" t="n">
        <v>46189.81986111111</v>
      </c>
      <c r="C108" s="3" t="n">
        <v>46189</v>
      </c>
      <c r="D108" s="2" t="inlineStr">
        <is>
          <t>Robert Gasser</t>
        </is>
      </c>
      <c r="E108" s="2" t="n">
        <v>158</v>
      </c>
      <c r="F108" s="2" t="n">
        <v>114</v>
      </c>
      <c r="G108" s="2" t="inlineStr">
        <is>
          <t>Home</t>
        </is>
      </c>
      <c r="H108" s="2" t="inlineStr">
        <is>
          <t>draftkings</t>
        </is>
      </c>
      <c r="I108" s="4" t="n"/>
      <c r="J108" s="4" t="n"/>
      <c r="K108" s="4" t="n">
        <v>125</v>
      </c>
      <c r="L108" s="4" t="n">
        <v>125</v>
      </c>
      <c r="M108" s="5" t="n">
        <v>4.5</v>
      </c>
      <c r="N108" s="5" t="n">
        <v>4.605853192724179</v>
      </c>
      <c r="O108" s="5" t="n">
        <v>4.5</v>
      </c>
      <c r="P108" s="5" t="n">
        <v>-0.1058531927241786</v>
      </c>
      <c r="Q108" s="6" t="n">
        <v>0.1523077662493042</v>
      </c>
      <c r="R108" s="6" t="n">
        <v>0.5121367849996907</v>
      </c>
      <c r="S108" s="6" t="n">
        <v>0.4255319148936171</v>
      </c>
      <c r="T108" s="2" t="inlineStr">
        <is>
          <t>Under</t>
        </is>
      </c>
      <c r="U108" s="4" t="n">
        <v>125</v>
      </c>
      <c r="V108" s="2" t="n">
        <v>2.25</v>
      </c>
      <c r="W108" s="4" t="n">
        <v>125</v>
      </c>
      <c r="X108" s="2" t="n">
        <v>1</v>
      </c>
      <c r="Y108" s="5" t="n">
        <v>-1</v>
      </c>
      <c r="Z108" s="7" t="n">
        <v>100</v>
      </c>
      <c r="AA108" s="7">
        <f>Y108*Z108</f>
        <v/>
      </c>
      <c r="AB108" s="6">
        <f>IF(Z108=0,0,AA108/Z108)</f>
        <v/>
      </c>
      <c r="AC108" s="6" t="n"/>
      <c r="AD108" s="2" t="inlineStr">
        <is>
          <t>Loss</t>
        </is>
      </c>
      <c r="AE108" s="6">
        <f>IF((COUNTIF($AD$2:AD108,"Win")+COUNTIF($AD$2:AD108,"Loss"))=0,0,COUNTIF($AD$2:AD108,"Win")/(COUNTIF($AD$2:AD108,"Win")+COUNTIF($AD$2:AD108,"Loss")))</f>
        <v/>
      </c>
      <c r="AF108" s="6">
        <f>SUM($Y$2:Y108)/SUM($X$2:X108)</f>
        <v/>
      </c>
      <c r="AG108" s="5">
        <f>SUM($Y$2:Y108)</f>
        <v/>
      </c>
      <c r="AH108" s="7">
        <f>10000.0+SUM($AA$2:AA108)</f>
        <v/>
      </c>
      <c r="AI108" s="2" t="n">
        <v>2026</v>
      </c>
      <c r="AJ108" s="2" t="inlineStr">
        <is>
          <t>2026-06</t>
        </is>
      </c>
      <c r="AK108" s="2" t="inlineStr">
        <is>
          <t>+121 to +150</t>
        </is>
      </c>
      <c r="AL108" s="2" t="inlineStr">
        <is>
          <t>2026 Frozen Test</t>
        </is>
      </c>
      <c r="AM108" s="6" t="n">
        <v>0.1218462129994434</v>
      </c>
    </row>
    <row r="109">
      <c r="A109" s="2" t="inlineStr">
        <is>
          <t>KPROP-01000</t>
        </is>
      </c>
      <c r="B109" s="3" t="n">
        <v>46189.81986111111</v>
      </c>
      <c r="C109" s="3" t="n">
        <v>46189</v>
      </c>
      <c r="D109" s="2" t="inlineStr">
        <is>
          <t>Robert Gasser</t>
        </is>
      </c>
      <c r="E109" s="2" t="n">
        <v>158</v>
      </c>
      <c r="F109" s="2" t="n">
        <v>114</v>
      </c>
      <c r="G109" s="2" t="inlineStr">
        <is>
          <t>Home</t>
        </is>
      </c>
      <c r="H109" s="2" t="inlineStr">
        <is>
          <t>fanduel</t>
        </is>
      </c>
      <c r="I109" s="4" t="n"/>
      <c r="J109" s="4" t="n"/>
      <c r="K109" s="4" t="n">
        <v>-162</v>
      </c>
      <c r="L109" s="4" t="n">
        <v>-162</v>
      </c>
      <c r="M109" s="5" t="n">
        <v>5.5</v>
      </c>
      <c r="N109" s="5" t="n">
        <v>4.605853192724179</v>
      </c>
      <c r="O109" s="5" t="n">
        <v>5.5</v>
      </c>
      <c r="P109" s="5" t="n">
        <v>0.8941468072758214</v>
      </c>
      <c r="Q109" s="6" t="n">
        <v>0.107434247930663</v>
      </c>
      <c r="R109" s="6" t="n">
        <v>0.6847494204762115</v>
      </c>
      <c r="S109" s="6" t="n">
        <v>0.5892386805468457</v>
      </c>
      <c r="T109" s="2" t="inlineStr">
        <is>
          <t>Under</t>
        </is>
      </c>
      <c r="U109" s="4" t="n">
        <v>-162</v>
      </c>
      <c r="V109" s="2" t="n">
        <v>1.617283950617284</v>
      </c>
      <c r="W109" s="4" t="n">
        <v>-162</v>
      </c>
      <c r="X109" s="2" t="n">
        <v>1</v>
      </c>
      <c r="Y109" s="5" t="n">
        <v>0.617283950617284</v>
      </c>
      <c r="Z109" s="7" t="n">
        <v>100</v>
      </c>
      <c r="AA109" s="7">
        <f>Y109*Z109</f>
        <v/>
      </c>
      <c r="AB109" s="6">
        <f>IF(Z109=0,0,AA109/Z109)</f>
        <v/>
      </c>
      <c r="AC109" s="6" t="n"/>
      <c r="AD109" s="2" t="inlineStr">
        <is>
          <t>Win</t>
        </is>
      </c>
      <c r="AE109" s="6">
        <f>IF((COUNTIF($AD$2:AD109,"Win")+COUNTIF($AD$2:AD109,"Loss"))=0,0,COUNTIF($AD$2:AD109,"Win")/(COUNTIF($AD$2:AD109,"Win")+COUNTIF($AD$2:AD109,"Loss")))</f>
        <v/>
      </c>
      <c r="AF109" s="6">
        <f>SUM($Y$2:Y109)/SUM($X$2:X109)</f>
        <v/>
      </c>
      <c r="AG109" s="5">
        <f>SUM($Y$2:Y109)</f>
        <v/>
      </c>
      <c r="AH109" s="7">
        <f>10000.0+SUM($AA$2:AA109)</f>
        <v/>
      </c>
      <c r="AI109" s="2" t="n">
        <v>2026</v>
      </c>
      <c r="AJ109" s="2" t="inlineStr">
        <is>
          <t>2026-06</t>
        </is>
      </c>
      <c r="AK109" s="2" t="inlineStr">
        <is>
          <t>&lt;= -150</t>
        </is>
      </c>
      <c r="AL109" s="2" t="inlineStr">
        <is>
          <t>2026 Frozen Test</t>
        </is>
      </c>
      <c r="AM109" s="6" t="n">
        <v>0.1740434816476741</v>
      </c>
    </row>
    <row r="110">
      <c r="A110" s="2" t="inlineStr">
        <is>
          <t>KPROP-01001</t>
        </is>
      </c>
      <c r="B110" s="3" t="n">
        <v>46190.79556712963</v>
      </c>
      <c r="C110" s="3" t="n">
        <v>46190</v>
      </c>
      <c r="D110" s="2" t="inlineStr">
        <is>
          <t>Carlos Rodón</t>
        </is>
      </c>
      <c r="E110" s="2" t="n">
        <v>147</v>
      </c>
      <c r="F110" s="2" t="n">
        <v>145</v>
      </c>
      <c r="G110" s="2" t="inlineStr">
        <is>
          <t>Home</t>
        </is>
      </c>
      <c r="H110" s="2" t="inlineStr">
        <is>
          <t>betrivers</t>
        </is>
      </c>
      <c r="I110" s="4" t="n"/>
      <c r="J110" s="4" t="n"/>
      <c r="K110" s="4" t="n">
        <v>115</v>
      </c>
      <c r="L110" s="4" t="n">
        <v>115</v>
      </c>
      <c r="M110" s="5" t="n">
        <v>5.5</v>
      </c>
      <c r="N110" s="5" t="n">
        <v>5.005712258616168</v>
      </c>
      <c r="O110" s="5" t="n">
        <v>5.5</v>
      </c>
      <c r="P110" s="5" t="n">
        <v>0.4942877413838325</v>
      </c>
      <c r="Q110" s="6" t="n">
        <v>0.3221604329947879</v>
      </c>
      <c r="R110" s="6" t="n">
        <v>0.6149583409278083</v>
      </c>
      <c r="S110" s="6" t="n">
        <v>0.4497867390461419</v>
      </c>
      <c r="T110" s="2" t="inlineStr">
        <is>
          <t>Under</t>
        </is>
      </c>
      <c r="U110" s="4" t="n">
        <v>115</v>
      </c>
      <c r="V110" s="2" t="n">
        <v>2.15</v>
      </c>
      <c r="W110" s="4" t="n">
        <v>115</v>
      </c>
      <c r="X110" s="2" t="n">
        <v>1</v>
      </c>
      <c r="Y110" s="5" t="n">
        <v>-1</v>
      </c>
      <c r="Z110" s="7" t="n">
        <v>100</v>
      </c>
      <c r="AA110" s="7">
        <f>Y110*Z110</f>
        <v/>
      </c>
      <c r="AB110" s="6">
        <f>IF(Z110=0,0,AA110/Z110)</f>
        <v/>
      </c>
      <c r="AC110" s="6" t="n"/>
      <c r="AD110" s="2" t="inlineStr">
        <is>
          <t>Loss</t>
        </is>
      </c>
      <c r="AE110" s="6">
        <f>IF((COUNTIF($AD$2:AD110,"Win")+COUNTIF($AD$2:AD110,"Loss"))=0,0,COUNTIF($AD$2:AD110,"Win")/(COUNTIF($AD$2:AD110,"Win")+COUNTIF($AD$2:AD110,"Loss")))</f>
        <v/>
      </c>
      <c r="AF110" s="6">
        <f>SUM($Y$2:Y110)/SUM($X$2:X110)</f>
        <v/>
      </c>
      <c r="AG110" s="5">
        <f>SUM($Y$2:Y110)</f>
        <v/>
      </c>
      <c r="AH110" s="7">
        <f>10000.0+SUM($AA$2:AA110)</f>
        <v/>
      </c>
      <c r="AI110" s="2" t="n">
        <v>2026</v>
      </c>
      <c r="AJ110" s="2" t="inlineStr">
        <is>
          <t>2026-06</t>
        </is>
      </c>
      <c r="AK110" s="2" t="inlineStr">
        <is>
          <t>+100 to +120</t>
        </is>
      </c>
      <c r="AL110" s="2" t="inlineStr">
        <is>
          <t>2026 Frozen Test</t>
        </is>
      </c>
      <c r="AM110" s="6" t="n">
        <v>0.2801395069519894</v>
      </c>
    </row>
    <row r="111">
      <c r="A111" s="2" t="inlineStr">
        <is>
          <t>KPROP-01002</t>
        </is>
      </c>
      <c r="B111" s="3" t="n">
        <v>46190.79556712963</v>
      </c>
      <c r="C111" s="3" t="n">
        <v>46190</v>
      </c>
      <c r="D111" s="2" t="inlineStr">
        <is>
          <t>Carlos Rodón</t>
        </is>
      </c>
      <c r="E111" s="2" t="n">
        <v>147</v>
      </c>
      <c r="F111" s="2" t="n">
        <v>145</v>
      </c>
      <c r="G111" s="2" t="inlineStr">
        <is>
          <t>Home</t>
        </is>
      </c>
      <c r="H111" s="2" t="inlineStr">
        <is>
          <t>draftkings</t>
        </is>
      </c>
      <c r="I111" s="4" t="n"/>
      <c r="J111" s="4" t="n"/>
      <c r="K111" s="4" t="n">
        <v>-151</v>
      </c>
      <c r="L111" s="4" t="n">
        <v>-151</v>
      </c>
      <c r="M111" s="5" t="n">
        <v>6.5</v>
      </c>
      <c r="N111" s="5" t="n">
        <v>5.005712258616168</v>
      </c>
      <c r="O111" s="5" t="n">
        <v>6.5</v>
      </c>
      <c r="P111" s="5" t="n">
        <v>1.494287741383832</v>
      </c>
      <c r="Q111" s="6" t="n">
        <v>0.2655515151647606</v>
      </c>
      <c r="R111" s="6" t="n">
        <v>0.7613477242624656</v>
      </c>
      <c r="S111" s="6" t="n">
        <v>0.5684986848665096</v>
      </c>
      <c r="T111" s="2" t="inlineStr">
        <is>
          <t>Under</t>
        </is>
      </c>
      <c r="U111" s="4" t="n">
        <v>-151</v>
      </c>
      <c r="V111" s="2" t="n">
        <v>1.662251655629139</v>
      </c>
      <c r="W111" s="4" t="n">
        <v>-151</v>
      </c>
      <c r="X111" s="2" t="n">
        <v>1</v>
      </c>
      <c r="Y111" s="5" t="n">
        <v>-1</v>
      </c>
      <c r="Z111" s="7" t="n">
        <v>100</v>
      </c>
      <c r="AA111" s="7">
        <f>Y111*Z111</f>
        <v/>
      </c>
      <c r="AB111" s="6">
        <f>IF(Z111=0,0,AA111/Z111)</f>
        <v/>
      </c>
      <c r="AC111" s="6" t="n"/>
      <c r="AD111" s="2" t="inlineStr">
        <is>
          <t>Loss</t>
        </is>
      </c>
      <c r="AE111" s="6">
        <f>IF((COUNTIF($AD$2:AD111,"Win")+COUNTIF($AD$2:AD111,"Loss"))=0,0,COUNTIF($AD$2:AD111,"Win")/(COUNTIF($AD$2:AD111,"Win")+COUNTIF($AD$2:AD111,"Loss")))</f>
        <v/>
      </c>
      <c r="AF111" s="6">
        <f>SUM($Y$2:Y111)/SUM($X$2:X111)</f>
        <v/>
      </c>
      <c r="AG111" s="5">
        <f>SUM($Y$2:Y111)</f>
        <v/>
      </c>
      <c r="AH111" s="7">
        <f>10000.0+SUM($AA$2:AA111)</f>
        <v/>
      </c>
      <c r="AI111" s="2" t="n">
        <v>2026</v>
      </c>
      <c r="AJ111" s="2" t="inlineStr">
        <is>
          <t>2026-06</t>
        </is>
      </c>
      <c r="AK111" s="2" t="inlineStr">
        <is>
          <t>&lt;= -150</t>
        </is>
      </c>
      <c r="AL111" s="2" t="inlineStr">
        <is>
          <t>2026 Frozen Test</t>
        </is>
      </c>
      <c r="AM111" s="6" t="n">
        <v>0.4009827878987885</v>
      </c>
    </row>
    <row r="112">
      <c r="A112" s="2" t="inlineStr">
        <is>
          <t>KPROP-01003</t>
        </is>
      </c>
      <c r="B112" s="3" t="n">
        <v>46190.81987268518</v>
      </c>
      <c r="C112" s="3" t="n">
        <v>46190</v>
      </c>
      <c r="D112" s="2" t="inlineStr">
        <is>
          <t>Gavin Williams</t>
        </is>
      </c>
      <c r="E112" s="2" t="n">
        <v>114</v>
      </c>
      <c r="F112" s="2" t="n">
        <v>158</v>
      </c>
      <c r="G112" s="2" t="inlineStr">
        <is>
          <t>Away</t>
        </is>
      </c>
      <c r="H112" s="2" t="inlineStr">
        <is>
          <t>draftkings</t>
        </is>
      </c>
      <c r="I112" s="4" t="n"/>
      <c r="J112" s="4" t="n"/>
      <c r="K112" s="4" t="n">
        <v>-112</v>
      </c>
      <c r="L112" s="4" t="n">
        <v>-112</v>
      </c>
      <c r="M112" s="5" t="n">
        <v>6.5</v>
      </c>
      <c r="N112" s="5" t="n">
        <v>5.437010718228592</v>
      </c>
      <c r="O112" s="5" t="n">
        <v>6.5</v>
      </c>
      <c r="P112" s="5" t="n">
        <v>1.062989281771408</v>
      </c>
      <c r="Q112" s="6" t="n">
        <v>0.3172451615772747</v>
      </c>
      <c r="R112" s="6" t="n">
        <v>0.6959031042295036</v>
      </c>
      <c r="S112" s="6" t="n">
        <v>0.5100960244099434</v>
      </c>
      <c r="T112" s="2" t="inlineStr">
        <is>
          <t>Under</t>
        </is>
      </c>
      <c r="U112" s="4" t="n">
        <v>-112</v>
      </c>
      <c r="V112" s="2" t="n">
        <v>1.892857142857143</v>
      </c>
      <c r="W112" s="4" t="n">
        <v>-112</v>
      </c>
      <c r="X112" s="2" t="n">
        <v>1</v>
      </c>
      <c r="Y112" s="5" t="n">
        <v>0.8928571428571428</v>
      </c>
      <c r="Z112" s="7" t="n">
        <v>100</v>
      </c>
      <c r="AA112" s="7">
        <f>Y112*Z112</f>
        <v/>
      </c>
      <c r="AB112" s="6">
        <f>IF(Z112=0,0,AA112/Z112)</f>
        <v/>
      </c>
      <c r="AC112" s="6" t="n"/>
      <c r="AD112" s="2" t="inlineStr">
        <is>
          <t>Win</t>
        </is>
      </c>
      <c r="AE112" s="6">
        <f>IF((COUNTIF($AD$2:AD112,"Win")+COUNTIF($AD$2:AD112,"Loss"))=0,0,COUNTIF($AD$2:AD112,"Win")/(COUNTIF($AD$2:AD112,"Win")+COUNTIF($AD$2:AD112,"Loss")))</f>
        <v/>
      </c>
      <c r="AF112" s="6">
        <f>SUM($Y$2:Y112)/SUM($X$2:X112)</f>
        <v/>
      </c>
      <c r="AG112" s="5">
        <f>SUM($Y$2:Y112)</f>
        <v/>
      </c>
      <c r="AH112" s="7">
        <f>10000.0+SUM($AA$2:AA112)</f>
        <v/>
      </c>
      <c r="AI112" s="2" t="n">
        <v>2026</v>
      </c>
      <c r="AJ112" s="2" t="inlineStr">
        <is>
          <t>2026-06</t>
        </is>
      </c>
      <c r="AK112" s="2" t="inlineStr">
        <is>
          <t>-119 to -101</t>
        </is>
      </c>
      <c r="AL112" s="2" t="inlineStr">
        <is>
          <t>2026 Frozen Test</t>
        </is>
      </c>
      <c r="AM112" s="6" t="n">
        <v>0.3553145809665477</v>
      </c>
    </row>
    <row r="113">
      <c r="A113" s="2" t="inlineStr">
        <is>
          <t>KPROP-01004</t>
        </is>
      </c>
      <c r="B113" s="3" t="n">
        <v>46190.52819444444</v>
      </c>
      <c r="C113" s="3" t="n">
        <v>46190</v>
      </c>
      <c r="D113" s="2" t="inlineStr">
        <is>
          <t>Nolan McLean</t>
        </is>
      </c>
      <c r="E113" s="2" t="n">
        <v>121</v>
      </c>
      <c r="F113" s="2" t="n">
        <v>113</v>
      </c>
      <c r="G113" s="2" t="inlineStr">
        <is>
          <t>Away</t>
        </is>
      </c>
      <c r="H113" s="2" t="inlineStr">
        <is>
          <t>draftkings</t>
        </is>
      </c>
      <c r="I113" s="4" t="n"/>
      <c r="J113" s="4" t="n"/>
      <c r="K113" s="4" t="n">
        <v>-140</v>
      </c>
      <c r="L113" s="4" t="n">
        <v>-140</v>
      </c>
      <c r="M113" s="5" t="n">
        <v>6.5</v>
      </c>
      <c r="N113" s="5" t="n">
        <v>5.372089409125649</v>
      </c>
      <c r="O113" s="5" t="n">
        <v>6.5</v>
      </c>
      <c r="P113" s="5" t="n">
        <v>1.127910590874351</v>
      </c>
      <c r="Q113" s="6" t="n">
        <v>0.2102954079674607</v>
      </c>
      <c r="R113" s="6" t="n">
        <v>0.7060056546476854</v>
      </c>
      <c r="S113" s="6" t="n">
        <v>0.562043795620438</v>
      </c>
      <c r="T113" s="2" t="inlineStr">
        <is>
          <t>Under</t>
        </is>
      </c>
      <c r="U113" s="4" t="n">
        <v>-140</v>
      </c>
      <c r="V113" s="2" t="n">
        <v>1.714285714285714</v>
      </c>
      <c r="W113" s="4" t="n">
        <v>-140</v>
      </c>
      <c r="X113" s="2" t="n">
        <v>1</v>
      </c>
      <c r="Y113" s="5" t="n">
        <v>-1</v>
      </c>
      <c r="Z113" s="7" t="n">
        <v>100</v>
      </c>
      <c r="AA113" s="7">
        <f>Y113*Z113</f>
        <v/>
      </c>
      <c r="AB113" s="6">
        <f>IF(Z113=0,0,AA113/Z113)</f>
        <v/>
      </c>
      <c r="AC113" s="6" t="n"/>
      <c r="AD113" s="2" t="inlineStr">
        <is>
          <t>Loss</t>
        </is>
      </c>
      <c r="AE113" s="6">
        <f>IF((COUNTIF($AD$2:AD113,"Win")+COUNTIF($AD$2:AD113,"Loss"))=0,0,COUNTIF($AD$2:AD113,"Win")/(COUNTIF($AD$2:AD113,"Win")+COUNTIF($AD$2:AD113,"Loss")))</f>
        <v/>
      </c>
      <c r="AF113" s="6">
        <f>SUM($Y$2:Y113)/SUM($X$2:X113)</f>
        <v/>
      </c>
      <c r="AG113" s="5">
        <f>SUM($Y$2:Y113)</f>
        <v/>
      </c>
      <c r="AH113" s="7">
        <f>10000.0+SUM($AA$2:AA113)</f>
        <v/>
      </c>
      <c r="AI113" s="2" t="n">
        <v>2026</v>
      </c>
      <c r="AJ113" s="2" t="inlineStr">
        <is>
          <t>2026-06</t>
        </is>
      </c>
      <c r="AK113" s="2" t="inlineStr">
        <is>
          <t>-149 to -120</t>
        </is>
      </c>
      <c r="AL113" s="2" t="inlineStr">
        <is>
          <t>2026 Frozen Test</t>
        </is>
      </c>
      <c r="AM113" s="6" t="n">
        <v>0.2944135711544449</v>
      </c>
    </row>
    <row r="114">
      <c r="A114" s="2" t="inlineStr">
        <is>
          <t>KPROP-01005</t>
        </is>
      </c>
      <c r="B114" s="3" t="n">
        <v>46190.59071759259</v>
      </c>
      <c r="C114" s="3" t="n">
        <v>46190</v>
      </c>
      <c r="D114" s="2" t="inlineStr">
        <is>
          <t>Peter Lambert</t>
        </is>
      </c>
      <c r="E114" s="2" t="n">
        <v>117</v>
      </c>
      <c r="F114" s="2" t="n">
        <v>116</v>
      </c>
      <c r="G114" s="2" t="inlineStr">
        <is>
          <t>Home</t>
        </is>
      </c>
      <c r="H114" s="2" t="inlineStr">
        <is>
          <t>betmgm</t>
        </is>
      </c>
      <c r="I114" s="4" t="n"/>
      <c r="J114" s="4" t="n"/>
      <c r="K114" s="4" t="n">
        <v>-135</v>
      </c>
      <c r="L114" s="4" t="n">
        <v>-135</v>
      </c>
      <c r="M114" s="5" t="n">
        <v>5.5</v>
      </c>
      <c r="N114" s="5" t="n">
        <v>4.993758612909449</v>
      </c>
      <c r="O114" s="5" t="n">
        <v>5.5</v>
      </c>
      <c r="P114" s="5" t="n">
        <v>0.5062413870905509</v>
      </c>
      <c r="Q114" s="6" t="n">
        <v>0.07413419332481674</v>
      </c>
      <c r="R114" s="6" t="n">
        <v>0.6170558131865969</v>
      </c>
      <c r="S114" s="6" t="n">
        <v>0.5638051044083527</v>
      </c>
      <c r="T114" s="2" t="inlineStr">
        <is>
          <t>Under</t>
        </is>
      </c>
      <c r="U114" s="4" t="n">
        <v>-135</v>
      </c>
      <c r="V114" s="2" t="n">
        <v>1.740740740740741</v>
      </c>
      <c r="W114" s="4" t="n">
        <v>-135</v>
      </c>
      <c r="X114" s="2" t="n">
        <v>1</v>
      </c>
      <c r="Y114" s="5" t="n">
        <v>0.7407407407407407</v>
      </c>
      <c r="Z114" s="7" t="n">
        <v>100</v>
      </c>
      <c r="AA114" s="7">
        <f>Y114*Z114</f>
        <v/>
      </c>
      <c r="AB114" s="6">
        <f>IF(Z114=0,0,AA114/Z114)</f>
        <v/>
      </c>
      <c r="AC114" s="6" t="n"/>
      <c r="AD114" s="2" t="inlineStr">
        <is>
          <t>Win</t>
        </is>
      </c>
      <c r="AE114" s="6">
        <f>IF((COUNTIF($AD$2:AD114,"Win")+COUNTIF($AD$2:AD114,"Loss"))=0,0,COUNTIF($AD$2:AD114,"Win")/(COUNTIF($AD$2:AD114,"Win")+COUNTIF($AD$2:AD114,"Loss")))</f>
        <v/>
      </c>
      <c r="AF114" s="6">
        <f>SUM($Y$2:Y114)/SUM($X$2:X114)</f>
        <v/>
      </c>
      <c r="AG114" s="5">
        <f>SUM($Y$2:Y114)</f>
        <v/>
      </c>
      <c r="AH114" s="7">
        <f>10000.0+SUM($AA$2:AA114)</f>
        <v/>
      </c>
      <c r="AI114" s="2" t="n">
        <v>2026</v>
      </c>
      <c r="AJ114" s="2" t="inlineStr">
        <is>
          <t>2026-06</t>
        </is>
      </c>
      <c r="AK114" s="2" t="inlineStr">
        <is>
          <t>-149 to -120</t>
        </is>
      </c>
      <c r="AL114" s="2" t="inlineStr">
        <is>
          <t>2026 Frozen Test</t>
        </is>
      </c>
      <c r="AM114" s="6" t="n">
        <v>0.1000811609885026</v>
      </c>
    </row>
    <row r="115">
      <c r="A115" s="2" t="inlineStr">
        <is>
          <t>KPROP-01006</t>
        </is>
      </c>
      <c r="B115" s="3" t="n">
        <v>46190.63236111111</v>
      </c>
      <c r="C115" s="3" t="n">
        <v>46190</v>
      </c>
      <c r="D115" s="2" t="inlineStr">
        <is>
          <t>Shohei Ohtani</t>
        </is>
      </c>
      <c r="E115" s="2" t="n">
        <v>119</v>
      </c>
      <c r="F115" s="2" t="n">
        <v>139</v>
      </c>
      <c r="G115" s="2" t="inlineStr">
        <is>
          <t>Home</t>
        </is>
      </c>
      <c r="H115" s="2" t="inlineStr">
        <is>
          <t>fanduel</t>
        </is>
      </c>
      <c r="I115" s="4" t="n"/>
      <c r="J115" s="4" t="n"/>
      <c r="K115" s="4" t="n">
        <v>120</v>
      </c>
      <c r="L115" s="4" t="n">
        <v>120</v>
      </c>
      <c r="M115" s="5" t="n">
        <v>5.5</v>
      </c>
      <c r="N115" s="5" t="n">
        <v>5.3422321734392</v>
      </c>
      <c r="O115" s="5" t="n">
        <v>5.5</v>
      </c>
      <c r="P115" s="5" t="n">
        <v>0.1577678265608</v>
      </c>
      <c r="Q115" s="6" t="n">
        <v>0.2234993048069056</v>
      </c>
      <c r="R115" s="6" t="n">
        <v>0.5561360476395025</v>
      </c>
      <c r="S115" s="6" t="n">
        <v>0.4323570432357043</v>
      </c>
      <c r="T115" s="2" t="inlineStr">
        <is>
          <t>Under</t>
        </is>
      </c>
      <c r="U115" s="4" t="n">
        <v>120</v>
      </c>
      <c r="V115" s="2" t="n">
        <v>2.2</v>
      </c>
      <c r="W115" s="4" t="n">
        <v>120</v>
      </c>
      <c r="X115" s="2" t="n">
        <v>1</v>
      </c>
      <c r="Y115" s="5" t="n">
        <v>1.2</v>
      </c>
      <c r="Z115" s="7" t="n">
        <v>100</v>
      </c>
      <c r="AA115" s="7">
        <f>Y115*Z115</f>
        <v/>
      </c>
      <c r="AB115" s="6">
        <f>IF(Z115=0,0,AA115/Z115)</f>
        <v/>
      </c>
      <c r="AC115" s="6" t="n"/>
      <c r="AD115" s="2" t="inlineStr">
        <is>
          <t>Win</t>
        </is>
      </c>
      <c r="AE115" s="6">
        <f>IF((COUNTIF($AD$2:AD115,"Win")+COUNTIF($AD$2:AD115,"Loss"))=0,0,COUNTIF($AD$2:AD115,"Win")/(COUNTIF($AD$2:AD115,"Win")+COUNTIF($AD$2:AD115,"Loss")))</f>
        <v/>
      </c>
      <c r="AF115" s="6">
        <f>SUM($Y$2:Y115)/SUM($X$2:X115)</f>
        <v/>
      </c>
      <c r="AG115" s="5">
        <f>SUM($Y$2:Y115)</f>
        <v/>
      </c>
      <c r="AH115" s="7">
        <f>10000.0+SUM($AA$2:AA115)</f>
        <v/>
      </c>
      <c r="AI115" s="2" t="n">
        <v>2026</v>
      </c>
      <c r="AJ115" s="2" t="inlineStr">
        <is>
          <t>2026-06</t>
        </is>
      </c>
      <c r="AK115" s="2" t="inlineStr">
        <is>
          <t>+100 to +120</t>
        </is>
      </c>
      <c r="AL115" s="2" t="inlineStr">
        <is>
          <t>2026 Frozen Test</t>
        </is>
      </c>
      <c r="AM115" s="6" t="n">
        <v>0.1862494206724213</v>
      </c>
    </row>
    <row r="116">
      <c r="A116" s="2" t="inlineStr">
        <is>
          <t>KPROP-01007</t>
        </is>
      </c>
      <c r="B116" s="3" t="n">
        <v>46190.63236111111</v>
      </c>
      <c r="C116" s="3" t="n">
        <v>46190</v>
      </c>
      <c r="D116" s="2" t="inlineStr">
        <is>
          <t>Shohei Ohtani</t>
        </is>
      </c>
      <c r="E116" s="2" t="n">
        <v>119</v>
      </c>
      <c r="F116" s="2" t="n">
        <v>139</v>
      </c>
      <c r="G116" s="2" t="inlineStr">
        <is>
          <t>Home</t>
        </is>
      </c>
      <c r="H116" s="2" t="inlineStr">
        <is>
          <t>draftkings</t>
        </is>
      </c>
      <c r="I116" s="4" t="n"/>
      <c r="J116" s="4" t="n"/>
      <c r="K116" s="4" t="n">
        <v>-133</v>
      </c>
      <c r="L116" s="4" t="n">
        <v>-133</v>
      </c>
      <c r="M116" s="5" t="n">
        <v>6.5</v>
      </c>
      <c r="N116" s="5" t="n">
        <v>5.3422321734392</v>
      </c>
      <c r="O116" s="5" t="n">
        <v>6.5</v>
      </c>
      <c r="P116" s="5" t="n">
        <v>1.1577678265608</v>
      </c>
      <c r="Q116" s="6" t="n">
        <v>0.24493242326537</v>
      </c>
      <c r="R116" s="6" t="n">
        <v>0.7106266622072713</v>
      </c>
      <c r="S116" s="6" t="n">
        <v>0.556697108066971</v>
      </c>
      <c r="T116" s="2" t="inlineStr">
        <is>
          <t>Under</t>
        </is>
      </c>
      <c r="U116" s="4" t="n">
        <v>-133</v>
      </c>
      <c r="V116" s="2" t="n">
        <v>1.75187969924812</v>
      </c>
      <c r="W116" s="4" t="n">
        <v>-133</v>
      </c>
      <c r="X116" s="2" t="n">
        <v>1</v>
      </c>
      <c r="Y116" s="5" t="n">
        <v>0.7518796992481203</v>
      </c>
      <c r="Z116" s="7" t="n">
        <v>100</v>
      </c>
      <c r="AA116" s="7">
        <f>Y116*Z116</f>
        <v/>
      </c>
      <c r="AB116" s="6">
        <f>IF(Z116=0,0,AA116/Z116)</f>
        <v/>
      </c>
      <c r="AC116" s="6" t="n"/>
      <c r="AD116" s="2" t="inlineStr">
        <is>
          <t>Win</t>
        </is>
      </c>
      <c r="AE116" s="6">
        <f>IF((COUNTIF($AD$2:AD116,"Win")+COUNTIF($AD$2:AD116,"Loss"))=0,0,COUNTIF($AD$2:AD116,"Win")/(COUNTIF($AD$2:AD116,"Win")+COUNTIF($AD$2:AD116,"Loss")))</f>
        <v/>
      </c>
      <c r="AF116" s="6">
        <f>SUM($Y$2:Y116)/SUM($X$2:X116)</f>
        <v/>
      </c>
      <c r="AG116" s="5">
        <f>SUM($Y$2:Y116)</f>
        <v/>
      </c>
      <c r="AH116" s="7">
        <f>10000.0+SUM($AA$2:AA116)</f>
        <v/>
      </c>
      <c r="AI116" s="2" t="n">
        <v>2026</v>
      </c>
      <c r="AJ116" s="2" t="inlineStr">
        <is>
          <t>2026-06</t>
        </is>
      </c>
      <c r="AK116" s="2" t="inlineStr">
        <is>
          <t>-149 to -120</t>
        </is>
      </c>
      <c r="AL116" s="2" t="inlineStr">
        <is>
          <t>2026 Frozen Test</t>
        </is>
      </c>
      <c r="AM116" s="6" t="n">
        <v>0.3257601229429422</v>
      </c>
    </row>
    <row r="117">
      <c r="A117" s="2" t="inlineStr">
        <is>
          <t>KPROP-01008</t>
        </is>
      </c>
      <c r="B117" s="3" t="n">
        <v>46191.77819444444</v>
      </c>
      <c r="C117" s="3" t="n">
        <v>46191</v>
      </c>
      <c r="D117" s="2" t="inlineStr">
        <is>
          <t>Aaron Nola</t>
        </is>
      </c>
      <c r="E117" s="2" t="n">
        <v>143</v>
      </c>
      <c r="F117" s="2" t="n">
        <v>121</v>
      </c>
      <c r="G117" s="2" t="inlineStr">
        <is>
          <t>Home</t>
        </is>
      </c>
      <c r="H117" s="2" t="inlineStr">
        <is>
          <t>draftkings</t>
        </is>
      </c>
      <c r="I117" s="4" t="n"/>
      <c r="J117" s="4" t="n"/>
      <c r="K117" s="4" t="n">
        <v>-140</v>
      </c>
      <c r="L117" s="4" t="n">
        <v>-140</v>
      </c>
      <c r="M117" s="5" t="n">
        <v>5.5</v>
      </c>
      <c r="N117" s="5" t="n">
        <v>4.855072958887514</v>
      </c>
      <c r="O117" s="5" t="n">
        <v>5.5</v>
      </c>
      <c r="P117" s="5" t="n">
        <v>0.6449270411124859</v>
      </c>
      <c r="Q117" s="6" t="n">
        <v>0.09949582791535017</v>
      </c>
      <c r="R117" s="6" t="n">
        <v>0.6413725662839542</v>
      </c>
      <c r="S117" s="6" t="n">
        <v>0.5675675675675677</v>
      </c>
      <c r="T117" s="2" t="inlineStr">
        <is>
          <t>Under</t>
        </is>
      </c>
      <c r="U117" s="4" t="n">
        <v>-140</v>
      </c>
      <c r="V117" s="2" t="n">
        <v>1.714285714285714</v>
      </c>
      <c r="W117" s="4" t="n">
        <v>-140</v>
      </c>
      <c r="X117" s="2" t="n">
        <v>1</v>
      </c>
      <c r="Y117" s="5" t="n">
        <v>-1</v>
      </c>
      <c r="Z117" s="7" t="n">
        <v>100</v>
      </c>
      <c r="AA117" s="7">
        <f>Y117*Z117</f>
        <v/>
      </c>
      <c r="AB117" s="6">
        <f>IF(Z117=0,0,AA117/Z117)</f>
        <v/>
      </c>
      <c r="AC117" s="6" t="n"/>
      <c r="AD117" s="2" t="inlineStr">
        <is>
          <t>Loss</t>
        </is>
      </c>
      <c r="AE117" s="6">
        <f>IF((COUNTIF($AD$2:AD117,"Win")+COUNTIF($AD$2:AD117,"Loss"))=0,0,COUNTIF($AD$2:AD117,"Win")/(COUNTIF($AD$2:AD117,"Win")+COUNTIF($AD$2:AD117,"Loss")))</f>
        <v/>
      </c>
      <c r="AF117" s="6">
        <f>SUM($Y$2:Y117)/SUM($X$2:X117)</f>
        <v/>
      </c>
      <c r="AG117" s="5">
        <f>SUM($Y$2:Y117)</f>
        <v/>
      </c>
      <c r="AH117" s="7">
        <f>10000.0+SUM($AA$2:AA117)</f>
        <v/>
      </c>
      <c r="AI117" s="2" t="n">
        <v>2026</v>
      </c>
      <c r="AJ117" s="2" t="inlineStr">
        <is>
          <t>2026-06</t>
        </is>
      </c>
      <c r="AK117" s="2" t="inlineStr">
        <is>
          <t>-149 to -120</t>
        </is>
      </c>
      <c r="AL117" s="2" t="inlineStr">
        <is>
          <t>2026 Frozen Test</t>
        </is>
      </c>
      <c r="AM117" s="6" t="n">
        <v>0.1392941590814902</v>
      </c>
    </row>
    <row r="118">
      <c r="A118" s="2" t="inlineStr">
        <is>
          <t>KPROP-01009</t>
        </is>
      </c>
      <c r="B118" s="3" t="n">
        <v>46191.67402777778</v>
      </c>
      <c r="C118" s="3" t="n">
        <v>46191</v>
      </c>
      <c r="D118" s="2" t="inlineStr">
        <is>
          <t>Bryan Woo</t>
        </is>
      </c>
      <c r="E118" s="2" t="n">
        <v>136</v>
      </c>
      <c r="F118" s="2" t="n">
        <v>110</v>
      </c>
      <c r="G118" s="2" t="inlineStr">
        <is>
          <t>Home</t>
        </is>
      </c>
      <c r="H118" s="2" t="inlineStr">
        <is>
          <t>betmgm</t>
        </is>
      </c>
      <c r="I118" s="4" t="n"/>
      <c r="J118" s="4" t="n"/>
      <c r="K118" s="4" t="n">
        <v>-120</v>
      </c>
      <c r="L118" s="4" t="n">
        <v>-120</v>
      </c>
      <c r="M118" s="5" t="n">
        <v>6.5</v>
      </c>
      <c r="N118" s="5" t="n">
        <v>5.529652394900642</v>
      </c>
      <c r="O118" s="5" t="n">
        <v>6.5</v>
      </c>
      <c r="P118" s="5" t="n">
        <v>0.9703476050993585</v>
      </c>
      <c r="Q118" s="6" t="n">
        <v>0.2491800318819315</v>
      </c>
      <c r="R118" s="6" t="n">
        <v>0.6813709264810535</v>
      </c>
      <c r="S118" s="6" t="n">
        <v>0.5266781411359724</v>
      </c>
      <c r="T118" s="2" t="inlineStr">
        <is>
          <t>Under</t>
        </is>
      </c>
      <c r="U118" s="4" t="n">
        <v>-120</v>
      </c>
      <c r="V118" s="2" t="n">
        <v>1.833333333333333</v>
      </c>
      <c r="W118" s="4" t="n">
        <v>-120</v>
      </c>
      <c r="X118" s="2" t="n">
        <v>1</v>
      </c>
      <c r="Y118" s="5" t="n">
        <v>-1</v>
      </c>
      <c r="Z118" s="7" t="n">
        <v>100</v>
      </c>
      <c r="AA118" s="7">
        <f>Y118*Z118</f>
        <v/>
      </c>
      <c r="AB118" s="6">
        <f>IF(Z118=0,0,AA118/Z118)</f>
        <v/>
      </c>
      <c r="AC118" s="6" t="n"/>
      <c r="AD118" s="2" t="inlineStr">
        <is>
          <t>Loss</t>
        </is>
      </c>
      <c r="AE118" s="6">
        <f>IF((COUNTIF($AD$2:AD118,"Win")+COUNTIF($AD$2:AD118,"Loss"))=0,0,COUNTIF($AD$2:AD118,"Win")/(COUNTIF($AD$2:AD118,"Win")+COUNTIF($AD$2:AD118,"Loss")))</f>
        <v/>
      </c>
      <c r="AF118" s="6">
        <f>SUM($Y$2:Y118)/SUM($X$2:X118)</f>
        <v/>
      </c>
      <c r="AG118" s="5">
        <f>SUM($Y$2:Y118)</f>
        <v/>
      </c>
      <c r="AH118" s="7">
        <f>10000.0+SUM($AA$2:AA118)</f>
        <v/>
      </c>
      <c r="AI118" s="2" t="n">
        <v>2026</v>
      </c>
      <c r="AJ118" s="2" t="inlineStr">
        <is>
          <t>2026-06</t>
        </is>
      </c>
      <c r="AK118" s="2" t="inlineStr">
        <is>
          <t>-149 to -120</t>
        </is>
      </c>
      <c r="AL118" s="2" t="inlineStr">
        <is>
          <t>2026 Frozen Test</t>
        </is>
      </c>
      <c r="AM118" s="6" t="n">
        <v>0.2990160382583177</v>
      </c>
    </row>
    <row r="119">
      <c r="A119" s="2" t="inlineStr">
        <is>
          <t>KPROP-01010</t>
        </is>
      </c>
      <c r="B119" s="3" t="n">
        <v>46191.60805555555</v>
      </c>
      <c r="C119" s="3" t="n">
        <v>46191</v>
      </c>
      <c r="D119" s="2" t="inlineStr">
        <is>
          <t>Jack Leiter</t>
        </is>
      </c>
      <c r="E119" s="2" t="n">
        <v>140</v>
      </c>
      <c r="F119" s="2" t="n">
        <v>142</v>
      </c>
      <c r="G119" s="2" t="inlineStr">
        <is>
          <t>Home</t>
        </is>
      </c>
      <c r="H119" s="2" t="inlineStr">
        <is>
          <t>betmgm</t>
        </is>
      </c>
      <c r="I119" s="4" t="n"/>
      <c r="J119" s="4" t="n"/>
      <c r="K119" s="4" t="n">
        <v>-105</v>
      </c>
      <c r="L119" s="4" t="n">
        <v>-105</v>
      </c>
      <c r="M119" s="5" t="n">
        <v>5.5</v>
      </c>
      <c r="N119" s="5" t="n">
        <v>4.974468126302557</v>
      </c>
      <c r="O119" s="5" t="n">
        <v>5.5</v>
      </c>
      <c r="P119" s="5" t="n">
        <v>0.5255318736974433</v>
      </c>
      <c r="Q119" s="6" t="n">
        <v>0.2113363469723911</v>
      </c>
      <c r="R119" s="6" t="n">
        <v>0.6204405679614686</v>
      </c>
      <c r="S119" s="6" t="n">
        <v>0.5205799812909261</v>
      </c>
      <c r="T119" s="2" t="inlineStr">
        <is>
          <t>Under</t>
        </is>
      </c>
      <c r="U119" s="4" t="n">
        <v>-105</v>
      </c>
      <c r="V119" s="2" t="n">
        <v>1.952380952380952</v>
      </c>
      <c r="W119" s="4" t="n">
        <v>-105</v>
      </c>
      <c r="X119" s="2" t="n">
        <v>1</v>
      </c>
      <c r="Y119" s="5" t="n">
        <v>0.9523809523809523</v>
      </c>
      <c r="Z119" s="7" t="n">
        <v>100</v>
      </c>
      <c r="AA119" s="7">
        <f>Y119*Z119</f>
        <v/>
      </c>
      <c r="AB119" s="6">
        <f>IF(Z119=0,0,AA119/Z119)</f>
        <v/>
      </c>
      <c r="AC119" s="6" t="n"/>
      <c r="AD119" s="2" t="inlineStr">
        <is>
          <t>Win</t>
        </is>
      </c>
      <c r="AE119" s="6">
        <f>IF((COUNTIF($AD$2:AD119,"Win")+COUNTIF($AD$2:AD119,"Loss"))=0,0,COUNTIF($AD$2:AD119,"Win")/(COUNTIF($AD$2:AD119,"Win")+COUNTIF($AD$2:AD119,"Loss")))</f>
        <v/>
      </c>
      <c r="AF119" s="6">
        <f>SUM($Y$2:Y119)/SUM($X$2:X119)</f>
        <v/>
      </c>
      <c r="AG119" s="5">
        <f>SUM($Y$2:Y119)</f>
        <v/>
      </c>
      <c r="AH119" s="7">
        <f>10000.0+SUM($AA$2:AA119)</f>
        <v/>
      </c>
      <c r="AI119" s="2" t="n">
        <v>2026</v>
      </c>
      <c r="AJ119" s="2" t="inlineStr">
        <is>
          <t>2026-06</t>
        </is>
      </c>
      <c r="AK119" s="2" t="inlineStr">
        <is>
          <t>-119 to -101</t>
        </is>
      </c>
      <c r="AL119" s="2" t="inlineStr">
        <is>
          <t>2026 Frozen Test</t>
        </is>
      </c>
      <c r="AM119" s="6" t="n">
        <v>0.2219031643210107</v>
      </c>
    </row>
    <row r="120">
      <c r="A120" s="2" t="inlineStr">
        <is>
          <t>KPROP-01011</t>
        </is>
      </c>
      <c r="B120" s="3" t="n">
        <v>46191.60805555555</v>
      </c>
      <c r="C120" s="3" t="n">
        <v>46191</v>
      </c>
      <c r="D120" s="2" t="inlineStr">
        <is>
          <t>Joe Ryan</t>
        </is>
      </c>
      <c r="E120" s="2" t="n">
        <v>142</v>
      </c>
      <c r="F120" s="2" t="n">
        <v>140</v>
      </c>
      <c r="G120" s="2" t="inlineStr">
        <is>
          <t>Away</t>
        </is>
      </c>
      <c r="H120" s="2" t="inlineStr">
        <is>
          <t>betrivers</t>
        </is>
      </c>
      <c r="I120" s="4" t="n"/>
      <c r="J120" s="4" t="n"/>
      <c r="K120" s="4" t="n">
        <v>-105</v>
      </c>
      <c r="L120" s="4" t="n">
        <v>-105</v>
      </c>
      <c r="M120" s="5" t="n">
        <v>6.5</v>
      </c>
      <c r="N120" s="5" t="n">
        <v>5.487988471966088</v>
      </c>
      <c r="O120" s="5" t="n">
        <v>6.5</v>
      </c>
      <c r="P120" s="5" t="n">
        <v>1.012011528033912</v>
      </c>
      <c r="Q120" s="6" t="n">
        <v>0.3430861220050485</v>
      </c>
      <c r="R120" s="6" t="n">
        <v>0.6879221600513663</v>
      </c>
      <c r="S120" s="6" t="n">
        <v>0.4861937128292268</v>
      </c>
      <c r="T120" s="2" t="inlineStr">
        <is>
          <t>Under</t>
        </is>
      </c>
      <c r="U120" s="4" t="n">
        <v>-105</v>
      </c>
      <c r="V120" s="2" t="n">
        <v>1.952380952380952</v>
      </c>
      <c r="W120" s="4" t="n">
        <v>-105</v>
      </c>
      <c r="X120" s="2" t="n">
        <v>1</v>
      </c>
      <c r="Y120" s="5" t="n">
        <v>-1</v>
      </c>
      <c r="Z120" s="7" t="n">
        <v>100</v>
      </c>
      <c r="AA120" s="7">
        <f>Y120*Z120</f>
        <v/>
      </c>
      <c r="AB120" s="6">
        <f>IF(Z120=0,0,AA120/Z120)</f>
        <v/>
      </c>
      <c r="AC120" s="6" t="n"/>
      <c r="AD120" s="2" t="inlineStr">
        <is>
          <t>Loss</t>
        </is>
      </c>
      <c r="AE120" s="6">
        <f>IF((COUNTIF($AD$2:AD120,"Win")+COUNTIF($AD$2:AD120,"Loss"))=0,0,COUNTIF($AD$2:AD120,"Win")/(COUNTIF($AD$2:AD120,"Win")+COUNTIF($AD$2:AD120,"Loss")))</f>
        <v/>
      </c>
      <c r="AF120" s="6">
        <f>SUM($Y$2:Y120)/SUM($X$2:X120)</f>
        <v/>
      </c>
      <c r="AG120" s="5">
        <f>SUM($Y$2:Y120)</f>
        <v/>
      </c>
      <c r="AH120" s="7">
        <f>10000.0+SUM($AA$2:AA120)</f>
        <v/>
      </c>
      <c r="AI120" s="2" t="n">
        <v>2026</v>
      </c>
      <c r="AJ120" s="2" t="inlineStr">
        <is>
          <t>2026-06</t>
        </is>
      </c>
      <c r="AK120" s="2" t="inlineStr">
        <is>
          <t>-119 to -101</t>
        </is>
      </c>
      <c r="AL120" s="2" t="inlineStr">
        <is>
          <t>2026 Frozen Test</t>
        </is>
      </c>
      <c r="AM120" s="6" t="n">
        <v>0.3602404281053009</v>
      </c>
    </row>
    <row r="121">
      <c r="A121" s="2" t="inlineStr">
        <is>
          <t>KPROP-01012</t>
        </is>
      </c>
      <c r="B121" s="3" t="n">
        <v>46191.59069444444</v>
      </c>
      <c r="C121" s="3" t="n">
        <v>46191</v>
      </c>
      <c r="D121" s="2" t="inlineStr">
        <is>
          <t>Parker Messick</t>
        </is>
      </c>
      <c r="E121" s="2" t="n">
        <v>114</v>
      </c>
      <c r="F121" s="2" t="n">
        <v>158</v>
      </c>
      <c r="G121" s="2" t="inlineStr">
        <is>
          <t>Away</t>
        </is>
      </c>
      <c r="H121" s="2" t="inlineStr">
        <is>
          <t>betmgm</t>
        </is>
      </c>
      <c r="I121" s="4" t="n"/>
      <c r="J121" s="4" t="n"/>
      <c r="K121" s="4" t="n">
        <v>-125</v>
      </c>
      <c r="L121" s="4" t="n">
        <v>-125</v>
      </c>
      <c r="M121" s="5" t="n">
        <v>5.5</v>
      </c>
      <c r="N121" s="5" t="n">
        <v>5.0225050497348</v>
      </c>
      <c r="O121" s="5" t="n">
        <v>5.5</v>
      </c>
      <c r="P121" s="5" t="n">
        <v>0.4774949502651999</v>
      </c>
      <c r="Q121" s="6" t="n">
        <v>0.1016212750398752</v>
      </c>
      <c r="R121" s="6" t="n">
        <v>0.6120118194665973</v>
      </c>
      <c r="S121" s="6" t="n">
        <v>0.5324675324675325</v>
      </c>
      <c r="T121" s="2" t="inlineStr">
        <is>
          <t>Under</t>
        </is>
      </c>
      <c r="U121" s="4" t="n">
        <v>-125</v>
      </c>
      <c r="V121" s="2" t="n">
        <v>1.8</v>
      </c>
      <c r="W121" s="4" t="n">
        <v>-125</v>
      </c>
      <c r="X121" s="2" t="n">
        <v>1</v>
      </c>
      <c r="Y121" s="5" t="n">
        <v>-1</v>
      </c>
      <c r="Z121" s="7" t="n">
        <v>100</v>
      </c>
      <c r="AA121" s="7">
        <f>Y121*Z121</f>
        <v/>
      </c>
      <c r="AB121" s="6">
        <f>IF(Z121=0,0,AA121/Z121)</f>
        <v/>
      </c>
      <c r="AC121" s="6" t="n"/>
      <c r="AD121" s="2" t="inlineStr">
        <is>
          <t>Loss</t>
        </is>
      </c>
      <c r="AE121" s="6">
        <f>IF((COUNTIF($AD$2:AD121,"Win")+COUNTIF($AD$2:AD121,"Loss"))=0,0,COUNTIF($AD$2:AD121,"Win")/(COUNTIF($AD$2:AD121,"Win")+COUNTIF($AD$2:AD121,"Loss")))</f>
        <v/>
      </c>
      <c r="AF121" s="6">
        <f>SUM($Y$2:Y121)/SUM($X$2:X121)</f>
        <v/>
      </c>
      <c r="AG121" s="5">
        <f>SUM($Y$2:Y121)</f>
        <v/>
      </c>
      <c r="AH121" s="7">
        <f>10000.0+SUM($AA$2:AA121)</f>
        <v/>
      </c>
      <c r="AI121" s="2" t="n">
        <v>2026</v>
      </c>
      <c r="AJ121" s="2" t="inlineStr">
        <is>
          <t>2026-06</t>
        </is>
      </c>
      <c r="AK121" s="2" t="inlineStr">
        <is>
          <t>-149 to -120</t>
        </is>
      </c>
      <c r="AL121" s="2" t="inlineStr">
        <is>
          <t>2026 Frozen Test</t>
        </is>
      </c>
      <c r="AM121" s="6" t="n">
        <v>0.127026593799844</v>
      </c>
    </row>
    <row r="122">
      <c r="A122" s="2" t="inlineStr">
        <is>
          <t>KPROP-01013</t>
        </is>
      </c>
      <c r="B122" s="3" t="n">
        <v>46191.79555555555</v>
      </c>
      <c r="C122" s="3" t="n">
        <v>46191</v>
      </c>
      <c r="D122" s="2" t="inlineStr">
        <is>
          <t>Ryan Weathers</t>
        </is>
      </c>
      <c r="E122" s="2" t="n">
        <v>147</v>
      </c>
      <c r="F122" s="2" t="n">
        <v>145</v>
      </c>
      <c r="G122" s="2" t="inlineStr">
        <is>
          <t>Home</t>
        </is>
      </c>
      <c r="H122" s="2" t="inlineStr">
        <is>
          <t>fanduel</t>
        </is>
      </c>
      <c r="I122" s="4" t="n"/>
      <c r="J122" s="4" t="n"/>
      <c r="K122" s="4" t="n">
        <v>100</v>
      </c>
      <c r="L122" s="4" t="n">
        <v>100</v>
      </c>
      <c r="M122" s="5" t="n">
        <v>5.5</v>
      </c>
      <c r="N122" s="5" t="n">
        <v>5.059370020676995</v>
      </c>
      <c r="O122" s="5" t="n">
        <v>5.5</v>
      </c>
      <c r="P122" s="5" t="n">
        <v>0.4406299793230053</v>
      </c>
      <c r="Q122" s="6" t="n">
        <v>0.2110887402107377</v>
      </c>
      <c r="R122" s="6" t="n">
        <v>0.6055443701053689</v>
      </c>
      <c r="S122" s="6" t="n">
        <v>0.4801762114537445</v>
      </c>
      <c r="T122" s="2" t="inlineStr">
        <is>
          <t>Under</t>
        </is>
      </c>
      <c r="U122" s="4" t="n">
        <v>100</v>
      </c>
      <c r="V122" s="2" t="n">
        <v>2</v>
      </c>
      <c r="W122" s="4" t="n">
        <v>100</v>
      </c>
      <c r="X122" s="2" t="n">
        <v>1</v>
      </c>
      <c r="Y122" s="5" t="n">
        <v>-1</v>
      </c>
      <c r="Z122" s="7" t="n">
        <v>100</v>
      </c>
      <c r="AA122" s="7">
        <f>Y122*Z122</f>
        <v/>
      </c>
      <c r="AB122" s="6">
        <f>IF(Z122=0,0,AA122/Z122)</f>
        <v/>
      </c>
      <c r="AC122" s="6" t="n"/>
      <c r="AD122" s="2" t="inlineStr">
        <is>
          <t>Loss</t>
        </is>
      </c>
      <c r="AE122" s="6">
        <f>IF((COUNTIF($AD$2:AD122,"Win")+COUNTIF($AD$2:AD122,"Loss"))=0,0,COUNTIF($AD$2:AD122,"Win")/(COUNTIF($AD$2:AD122,"Win")+COUNTIF($AD$2:AD122,"Loss")))</f>
        <v/>
      </c>
      <c r="AF122" s="6">
        <f>SUM($Y$2:Y122)/SUM($X$2:X122)</f>
        <v/>
      </c>
      <c r="AG122" s="5">
        <f>SUM($Y$2:Y122)</f>
        <v/>
      </c>
      <c r="AH122" s="7">
        <f>10000.0+SUM($AA$2:AA122)</f>
        <v/>
      </c>
      <c r="AI122" s="2" t="n">
        <v>2026</v>
      </c>
      <c r="AJ122" s="2" t="inlineStr">
        <is>
          <t>2026-06</t>
        </is>
      </c>
      <c r="AK122" s="2" t="inlineStr">
        <is>
          <t>+100 to +120</t>
        </is>
      </c>
      <c r="AL122" s="2" t="inlineStr">
        <is>
          <t>2026 Frozen Test</t>
        </is>
      </c>
      <c r="AM122" s="6" t="n">
        <v>0.2110887402107378</v>
      </c>
    </row>
    <row r="123">
      <c r="A123" s="2" t="inlineStr">
        <is>
          <t>KPROP-01014</t>
        </is>
      </c>
      <c r="B123" s="3" t="n">
        <v>46191.79555555555</v>
      </c>
      <c r="C123" s="3" t="n">
        <v>46191</v>
      </c>
      <c r="D123" s="2" t="inlineStr">
        <is>
          <t>Ryan Weathers</t>
        </is>
      </c>
      <c r="E123" s="2" t="n">
        <v>147</v>
      </c>
      <c r="F123" s="2" t="n">
        <v>145</v>
      </c>
      <c r="G123" s="2" t="inlineStr">
        <is>
          <t>Home</t>
        </is>
      </c>
      <c r="H123" s="2" t="inlineStr">
        <is>
          <t>betmgm</t>
        </is>
      </c>
      <c r="I123" s="4" t="n"/>
      <c r="J123" s="4" t="n"/>
      <c r="K123" s="4" t="n">
        <v>-150</v>
      </c>
      <c r="L123" s="4" t="n">
        <v>-150</v>
      </c>
      <c r="M123" s="5" t="n">
        <v>6.5</v>
      </c>
      <c r="N123" s="5" t="n">
        <v>5.059370020676995</v>
      </c>
      <c r="O123" s="5" t="n">
        <v>6.5</v>
      </c>
      <c r="P123" s="5" t="n">
        <v>1.440629979323005</v>
      </c>
      <c r="Q123" s="6" t="n">
        <v>0.2557528235320616</v>
      </c>
      <c r="R123" s="6" t="n">
        <v>0.7534516941192371</v>
      </c>
      <c r="S123" s="6" t="n">
        <v>0.5575221238938053</v>
      </c>
      <c r="T123" s="2" t="inlineStr">
        <is>
          <t>Under</t>
        </is>
      </c>
      <c r="U123" s="4" t="n">
        <v>-150</v>
      </c>
      <c r="V123" s="2" t="n">
        <v>1.666666666666667</v>
      </c>
      <c r="W123" s="4" t="n">
        <v>-150</v>
      </c>
      <c r="X123" s="2" t="n">
        <v>1</v>
      </c>
      <c r="Y123" s="5" t="n">
        <v>-1</v>
      </c>
      <c r="Z123" s="7" t="n">
        <v>100</v>
      </c>
      <c r="AA123" s="7">
        <f>Y123*Z123</f>
        <v/>
      </c>
      <c r="AB123" s="6">
        <f>IF(Z123=0,0,AA123/Z123)</f>
        <v/>
      </c>
      <c r="AC123" s="6" t="n"/>
      <c r="AD123" s="2" t="inlineStr">
        <is>
          <t>Loss</t>
        </is>
      </c>
      <c r="AE123" s="6">
        <f>IF((COUNTIF($AD$2:AD123,"Win")+COUNTIF($AD$2:AD123,"Loss"))=0,0,COUNTIF($AD$2:AD123,"Win")/(COUNTIF($AD$2:AD123,"Win")+COUNTIF($AD$2:AD123,"Loss")))</f>
        <v/>
      </c>
      <c r="AF123" s="6">
        <f>SUM($Y$2:Y123)/SUM($X$2:X123)</f>
        <v/>
      </c>
      <c r="AG123" s="5">
        <f>SUM($Y$2:Y123)</f>
        <v/>
      </c>
      <c r="AH123" s="7">
        <f>10000.0+SUM($AA$2:AA123)</f>
        <v/>
      </c>
      <c r="AI123" s="2" t="n">
        <v>2026</v>
      </c>
      <c r="AJ123" s="2" t="inlineStr">
        <is>
          <t>2026-06</t>
        </is>
      </c>
      <c r="AK123" s="2" t="inlineStr">
        <is>
          <t>&lt;= -150</t>
        </is>
      </c>
      <c r="AL123" s="2" t="inlineStr">
        <is>
          <t>2026 Frozen Test</t>
        </is>
      </c>
      <c r="AM123" s="6" t="n">
        <v>0.3836292352980926</v>
      </c>
    </row>
    <row r="124">
      <c r="A124" s="2" t="inlineStr">
        <is>
          <t>KPROP-01015</t>
        </is>
      </c>
      <c r="B124" s="3" t="n">
        <v>46191.77819444444</v>
      </c>
      <c r="C124" s="3" t="n">
        <v>46191</v>
      </c>
      <c r="D124" s="2" t="inlineStr">
        <is>
          <t>Sean Manaea</t>
        </is>
      </c>
      <c r="E124" s="2" t="n">
        <v>121</v>
      </c>
      <c r="F124" s="2" t="n">
        <v>143</v>
      </c>
      <c r="G124" s="2" t="inlineStr">
        <is>
          <t>Away</t>
        </is>
      </c>
      <c r="H124" s="2" t="inlineStr">
        <is>
          <t>draftkings</t>
        </is>
      </c>
      <c r="I124" s="4" t="n"/>
      <c r="J124" s="4" t="n"/>
      <c r="K124" s="4" t="n">
        <v>-149</v>
      </c>
      <c r="L124" s="4" t="n">
        <v>-149</v>
      </c>
      <c r="M124" s="5" t="n">
        <v>5.5</v>
      </c>
      <c r="N124" s="5" t="n">
        <v>4.666216008984307</v>
      </c>
      <c r="O124" s="5" t="n">
        <v>5.5</v>
      </c>
      <c r="P124" s="5" t="n">
        <v>0.833783991015693</v>
      </c>
      <c r="Q124" s="6" t="n">
        <v>0.1268579651883596</v>
      </c>
      <c r="R124" s="6" t="n">
        <v>0.6743045655143196</v>
      </c>
      <c r="S124" s="6" t="n">
        <v>0.5683079056865465</v>
      </c>
      <c r="T124" s="2" t="inlineStr">
        <is>
          <t>Under</t>
        </is>
      </c>
      <c r="U124" s="4" t="n">
        <v>-149</v>
      </c>
      <c r="V124" s="2" t="n">
        <v>1.671140939597315</v>
      </c>
      <c r="W124" s="4" t="n">
        <v>-149</v>
      </c>
      <c r="X124" s="2" t="n">
        <v>1</v>
      </c>
      <c r="Y124" s="5" t="n">
        <v>0.6711409395973154</v>
      </c>
      <c r="Z124" s="7" t="n">
        <v>100</v>
      </c>
      <c r="AA124" s="7">
        <f>Y124*Z124</f>
        <v/>
      </c>
      <c r="AB124" s="6">
        <f>IF(Z124=0,0,AA124/Z124)</f>
        <v/>
      </c>
      <c r="AC124" s="6" t="n"/>
      <c r="AD124" s="2" t="inlineStr">
        <is>
          <t>Win</t>
        </is>
      </c>
      <c r="AE124" s="6">
        <f>IF((COUNTIF($AD$2:AD124,"Win")+COUNTIF($AD$2:AD124,"Loss"))=0,0,COUNTIF($AD$2:AD124,"Win")/(COUNTIF($AD$2:AD124,"Win")+COUNTIF($AD$2:AD124,"Loss")))</f>
        <v/>
      </c>
      <c r="AF124" s="6">
        <f>SUM($Y$2:Y124)/SUM($X$2:X124)</f>
        <v/>
      </c>
      <c r="AG124" s="5">
        <f>SUM($Y$2:Y124)</f>
        <v/>
      </c>
      <c r="AH124" s="7">
        <f>10000.0+SUM($AA$2:AA124)</f>
        <v/>
      </c>
      <c r="AI124" s="2" t="n">
        <v>2026</v>
      </c>
      <c r="AJ124" s="2" t="inlineStr">
        <is>
          <t>2026-06</t>
        </is>
      </c>
      <c r="AK124" s="2" t="inlineStr">
        <is>
          <t>-149 to -120</t>
        </is>
      </c>
      <c r="AL124" s="2" t="inlineStr">
        <is>
          <t>2026 Frozen Test</t>
        </is>
      </c>
      <c r="AM124" s="6" t="n">
        <v>0.1890183681306558</v>
      </c>
    </row>
  </sheetData>
  <conditionalFormatting sqref="AD2:AD124">
    <cfRule type="cellIs" priority="1" operator="equal" dxfId="0">
      <formula>"Win"</formula>
    </cfRule>
    <cfRule type="cellIs" priority="2" operator="equal" dxfId="1">
      <formula>"Loss"</formula>
    </cfRule>
    <cfRule type="cellIs" priority="3" operator="equal" dxfId="2">
      <formula>"Push"</formula>
    </cfRule>
  </conditionalFormatting>
  <conditionalFormatting sqref="AB2:AB124">
    <cfRule type="colorScale" priority="4">
      <colorScale>
        <cfvo type="min"/>
        <cfvo type="num" val="0"/>
        <cfvo type="max"/>
        <color rgb="00FFC7CE"/>
        <color rgb="00FFFFFF"/>
        <color rgb="00C6EFCE"/>
      </colorScale>
    </cfRule>
  </conditionalFormatting>
  <conditionalFormatting sqref="AC2:AC12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A2:AA124">
    <cfRule type="expression" priority="7" dxfId="0">
      <formula>AA2&gt;=LARGE($AA$2:$AA$124,10)</formula>
    </cfRule>
    <cfRule type="expression" priority="8" dxfId="1">
      <formula>AA2&lt;=SMALL($AA$2:$AA$124,10)</formula>
    </cfRule>
  </conditionalFormatting>
  <conditionalFormatting sqref="AH2:AH124">
    <cfRule type="colorScale" priority="9">
      <colorScale>
        <cfvo type="min"/>
        <cfvo type="percentile" val="50"/>
        <cfvo type="max"/>
        <color rgb="00F4B183"/>
        <color rgb="00FFFFFF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0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0" customWidth="1" min="4" max="4"/>
    <col width="10" customWidth="1" min="5" max="5"/>
    <col width="10" customWidth="1" min="6" max="6"/>
    <col width="11" customWidth="1" min="7" max="7"/>
    <col width="13" customWidth="1" min="8" max="8"/>
    <col width="14" customWidth="1" min="9" max="9"/>
    <col width="14" customWidth="1" min="10" max="10"/>
    <col width="15" customWidth="1" min="11" max="11"/>
    <col width="24" customWidth="1" min="12" max="12"/>
    <col width="16" customWidth="1" min="13" max="13"/>
    <col width="20" customWidth="1" min="14" max="14"/>
    <col width="19" customWidth="1" min="15" max="15"/>
    <col width="24" customWidth="1" min="16" max="16"/>
    <col width="21" customWidth="1" min="17" max="17"/>
    <col width="21" customWidth="1" min="18" max="18"/>
    <col width="28" customWidth="1" min="19" max="19"/>
    <col width="10" customWidth="1" min="20" max="20"/>
    <col width="10" customWidth="1" min="21" max="21"/>
    <col width="20" customWidth="1" min="22" max="22"/>
    <col width="15" customWidth="1" min="23" max="23"/>
    <col width="14" customWidth="1" min="24" max="24"/>
    <col width="20" customWidth="1" min="25" max="25"/>
    <col width="11" customWidth="1" min="26" max="26"/>
    <col width="20" customWidth="1" min="27" max="27"/>
    <col width="20" customWidth="1" min="28" max="28"/>
    <col width="10" customWidth="1" min="29" max="29"/>
    <col width="10" customWidth="1" min="30" max="30"/>
    <col width="21" customWidth="1" min="31" max="31"/>
    <col width="23" customWidth="1" min="32" max="32"/>
    <col width="22" customWidth="1" min="33" max="33"/>
    <col width="20" customWidth="1" min="34" max="34"/>
    <col width="10" customWidth="1" min="35" max="35"/>
    <col width="10" customWidth="1" min="36" max="36"/>
    <col width="14" customWidth="1" min="37" max="37"/>
    <col width="17" customWidth="1" min="38" max="38"/>
    <col width="22" customWidth="1" min="39" max="39"/>
  </cols>
  <sheetData>
    <row r="1">
      <c r="A1" s="1" t="inlineStr">
        <is>
          <t>Bet ID</t>
        </is>
      </c>
      <c r="B1" s="1" t="inlineStr">
        <is>
          <t>Date</t>
        </is>
      </c>
      <c r="C1" s="1" t="inlineStr">
        <is>
          <t>Game Date</t>
        </is>
      </c>
      <c r="D1" s="1" t="inlineStr">
        <is>
          <t>Pitcher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Home/Away</t>
        </is>
      </c>
      <c r="H1" s="1" t="inlineStr">
        <is>
          <t>Sportsbook</t>
        </is>
      </c>
      <c r="I1" s="1" t="inlineStr">
        <is>
          <t>Opening Odds</t>
        </is>
      </c>
      <c r="J1" s="1" t="inlineStr">
        <is>
          <t>Closing Odds</t>
        </is>
      </c>
      <c r="K1" s="1" t="inlineStr">
        <is>
          <t>Executed Odds</t>
        </is>
      </c>
      <c r="L1" s="1" t="inlineStr">
        <is>
          <t>Exchange-adjusted Odds</t>
        </is>
      </c>
      <c r="M1" s="1" t="inlineStr">
        <is>
          <t>Strikeout Line</t>
        </is>
      </c>
      <c r="N1" s="1" t="inlineStr">
        <is>
          <t>Model Projection</t>
        </is>
      </c>
      <c r="O1" s="1" t="inlineStr">
        <is>
          <t>Market Projection</t>
        </is>
      </c>
      <c r="P1" s="1" t="inlineStr">
        <is>
          <t>Margin</t>
        </is>
      </c>
      <c r="Q1" s="1" t="inlineStr">
        <is>
          <t>Devig Edge</t>
        </is>
      </c>
      <c r="R1" s="1" t="inlineStr">
        <is>
          <t>Model Probability</t>
        </is>
      </c>
      <c r="S1" s="1" t="inlineStr">
        <is>
          <t>Market Implied Probability</t>
        </is>
      </c>
      <c r="T1" s="1" t="inlineStr">
        <is>
          <t>Bet Side</t>
        </is>
      </c>
      <c r="U1" s="1" t="inlineStr">
        <is>
          <t>Odds</t>
        </is>
      </c>
      <c r="V1" s="1" t="inlineStr">
        <is>
          <t>Decimal Odds</t>
        </is>
      </c>
      <c r="W1" s="1" t="inlineStr">
        <is>
          <t>American Odds</t>
        </is>
      </c>
      <c r="X1" s="1" t="inlineStr">
        <is>
          <t>Units Risked</t>
        </is>
      </c>
      <c r="Y1" s="1" t="inlineStr">
        <is>
          <t>Units Won/Lost</t>
        </is>
      </c>
      <c r="Z1" s="1" t="inlineStr">
        <is>
          <t>Stake ($)</t>
        </is>
      </c>
      <c r="AA1" s="1" t="inlineStr">
        <is>
          <t>Profit/Loss ($)</t>
        </is>
      </c>
      <c r="AB1" s="1" t="inlineStr">
        <is>
          <t>ROI for Bet</t>
        </is>
      </c>
      <c r="AC1" s="1" t="inlineStr">
        <is>
          <t>CLV</t>
        </is>
      </c>
      <c r="AD1" s="1" t="inlineStr">
        <is>
          <t>Result</t>
        </is>
      </c>
      <c r="AE1" s="1" t="inlineStr">
        <is>
          <t>Running Win %</t>
        </is>
      </c>
      <c r="AF1" s="1" t="inlineStr">
        <is>
          <t>Running ROI</t>
        </is>
      </c>
      <c r="AG1" s="1" t="inlineStr">
        <is>
          <t>Running Units</t>
        </is>
      </c>
      <c r="AH1" s="1" t="inlineStr">
        <is>
          <t>Running Bankroll</t>
        </is>
      </c>
      <c r="AI1" s="1" t="inlineStr">
        <is>
          <t>Year</t>
        </is>
      </c>
      <c r="AJ1" s="1" t="inlineStr">
        <is>
          <t>Month</t>
        </is>
      </c>
      <c r="AK1" s="1" t="inlineStr">
        <is>
          <t>Odds Bucket</t>
        </is>
      </c>
      <c r="AL1" s="1" t="inlineStr">
        <is>
          <t>Model Sample</t>
        </is>
      </c>
      <c r="AM1" s="1" t="inlineStr">
        <is>
          <t>Kelly Fraction</t>
        </is>
      </c>
    </row>
    <row r="2">
      <c r="A2" s="2" t="inlineStr">
        <is>
          <t>KPROP-00001</t>
        </is>
      </c>
      <c r="B2" s="3" t="n">
        <v>45839.77473379629</v>
      </c>
      <c r="C2" s="3" t="n">
        <v>45839</v>
      </c>
      <c r="D2" s="2" t="inlineStr">
        <is>
          <t>Joe Ryan</t>
        </is>
      </c>
      <c r="E2" s="2" t="n">
        <v>142</v>
      </c>
      <c r="F2" s="2" t="n">
        <v>146</v>
      </c>
      <c r="G2" s="2" t="inlineStr">
        <is>
          <t>Away</t>
        </is>
      </c>
      <c r="H2" s="2" t="inlineStr">
        <is>
          <t>bovada</t>
        </is>
      </c>
      <c r="I2" s="4" t="n"/>
      <c r="J2" s="4" t="n"/>
      <c r="K2" s="4" t="n">
        <v>100</v>
      </c>
      <c r="L2" s="4" t="n">
        <v>100</v>
      </c>
      <c r="M2" s="5" t="n">
        <v>6.5</v>
      </c>
      <c r="N2" s="5" t="n">
        <v>5.897896114788809</v>
      </c>
      <c r="O2" s="5" t="n">
        <v>6.5</v>
      </c>
      <c r="P2" s="5" t="n">
        <v>0.6021038852111911</v>
      </c>
      <c r="Q2" s="6" t="n">
        <v>0.2453964805424103</v>
      </c>
      <c r="R2" s="6" t="n">
        <v>0.6226982402712051</v>
      </c>
      <c r="S2" s="6" t="n">
        <v>0.4894613583138174</v>
      </c>
      <c r="T2" s="2" t="inlineStr">
        <is>
          <t>Under</t>
        </is>
      </c>
      <c r="U2" s="4" t="n">
        <v>100</v>
      </c>
      <c r="V2" s="2" t="n">
        <v>2</v>
      </c>
      <c r="W2" s="4" t="n">
        <v>100</v>
      </c>
      <c r="X2" s="2" t="n">
        <v>1</v>
      </c>
      <c r="Y2" s="5" t="n">
        <v>1</v>
      </c>
      <c r="Z2" s="7" t="n">
        <v>100</v>
      </c>
      <c r="AA2" s="7">
        <f>Y2*Z2</f>
        <v/>
      </c>
      <c r="AB2" s="6">
        <f>IF(Z2=0,0,AA2/Z2)</f>
        <v/>
      </c>
      <c r="AC2" s="6" t="n"/>
      <c r="AD2" s="2" t="inlineStr">
        <is>
          <t>Win</t>
        </is>
      </c>
      <c r="AE2" s="6">
        <f>IF((COUNTIF($AD$2:AD2,"Win")+COUNTIF($AD$2:AD2,"Loss"))=0,0,COUNTIF($AD$2:AD2,"Win")/(COUNTIF($AD$2:AD2,"Win")+COUNTIF($AD$2:AD2,"Loss")))</f>
        <v/>
      </c>
      <c r="AF2" s="6">
        <f>SUM($Y$2:Y2)/SUM($X$2:X2)</f>
        <v/>
      </c>
      <c r="AG2" s="5">
        <f>SUM($Y$2:Y2)</f>
        <v/>
      </c>
      <c r="AH2" s="7">
        <f>10000.0+SUM($AA$2:AA2)</f>
        <v/>
      </c>
      <c r="AI2" s="2" t="n">
        <v>2025</v>
      </c>
      <c r="AJ2" s="2" t="inlineStr">
        <is>
          <t>2025-07</t>
        </is>
      </c>
      <c r="AK2" s="2" t="inlineStr">
        <is>
          <t>+100 to +120</t>
        </is>
      </c>
      <c r="AL2" s="2" t="inlineStr">
        <is>
          <t>2025 Validation</t>
        </is>
      </c>
      <c r="AM2" s="6" t="n">
        <v>0.2453964805424103</v>
      </c>
    </row>
    <row r="3">
      <c r="A3" s="2" t="inlineStr">
        <is>
          <t>KPROP-00002</t>
        </is>
      </c>
      <c r="B3" s="3" t="n">
        <v>45839.62890046297</v>
      </c>
      <c r="C3" s="3" t="n">
        <v>45839</v>
      </c>
      <c r="D3" s="2" t="inlineStr">
        <is>
          <t>Kevin Gausman</t>
        </is>
      </c>
      <c r="E3" s="2" t="n">
        <v>141</v>
      </c>
      <c r="F3" s="2" t="n">
        <v>147</v>
      </c>
      <c r="G3" s="2" t="inlineStr">
        <is>
          <t>Home</t>
        </is>
      </c>
      <c r="H3" s="2" t="inlineStr">
        <is>
          <t>betrivers</t>
        </is>
      </c>
      <c r="I3" s="4" t="n"/>
      <c r="J3" s="4" t="n"/>
      <c r="K3" s="4" t="n">
        <v>-130</v>
      </c>
      <c r="L3" s="4" t="n">
        <v>-130</v>
      </c>
      <c r="M3" s="5" t="n">
        <v>6.5</v>
      </c>
      <c r="N3" s="5" t="n">
        <v>5.843536712543805</v>
      </c>
      <c r="O3" s="5" t="n">
        <v>6.5</v>
      </c>
      <c r="P3" s="5" t="n">
        <v>0.6564632874561953</v>
      </c>
      <c r="Q3" s="6" t="n">
        <v>0.1171225641093426</v>
      </c>
      <c r="R3" s="6" t="n">
        <v>0.6314171014531067</v>
      </c>
      <c r="S3" s="6" t="n">
        <v>0.5542635658914729</v>
      </c>
      <c r="T3" s="2" t="inlineStr">
        <is>
          <t>Under</t>
        </is>
      </c>
      <c r="U3" s="4" t="n">
        <v>-130</v>
      </c>
      <c r="V3" s="2" t="n">
        <v>1.769230769230769</v>
      </c>
      <c r="W3" s="4" t="n">
        <v>-130</v>
      </c>
      <c r="X3" s="2" t="n">
        <v>1</v>
      </c>
      <c r="Y3" s="5" t="n">
        <v>0.7692307692307692</v>
      </c>
      <c r="Z3" s="7" t="n">
        <v>100</v>
      </c>
      <c r="AA3" s="7">
        <f>Y3*Z3</f>
        <v/>
      </c>
      <c r="AB3" s="6">
        <f>IF(Z3=0,0,AA3/Z3)</f>
        <v/>
      </c>
      <c r="AC3" s="6" t="n"/>
      <c r="AD3" s="2" t="inlineStr">
        <is>
          <t>Win</t>
        </is>
      </c>
      <c r="AE3" s="6">
        <f>IF((COUNTIF($AD$2:AD3,"Win")+COUNTIF($AD$2:AD3,"Loss"))=0,0,COUNTIF($AD$2:AD3,"Win")/(COUNTIF($AD$2:AD3,"Win")+COUNTIF($AD$2:AD3,"Loss")))</f>
        <v/>
      </c>
      <c r="AF3" s="6">
        <f>SUM($Y$2:Y3)/SUM($X$2:X3)</f>
        <v/>
      </c>
      <c r="AG3" s="5">
        <f>SUM($Y$2:Y3)</f>
        <v/>
      </c>
      <c r="AH3" s="7">
        <f>10000.0+SUM($AA$2:AA3)</f>
        <v/>
      </c>
      <c r="AI3" s="2" t="n">
        <v>2025</v>
      </c>
      <c r="AJ3" s="2" t="inlineStr">
        <is>
          <t>2025-07</t>
        </is>
      </c>
      <c r="AK3" s="2" t="inlineStr">
        <is>
          <t>-149 to -120</t>
        </is>
      </c>
      <c r="AL3" s="2" t="inlineStr">
        <is>
          <t>2025 Validation</t>
        </is>
      </c>
      <c r="AM3" s="6" t="n">
        <v>0.1522593333421454</v>
      </c>
    </row>
    <row r="4">
      <c r="A4" s="2" t="inlineStr">
        <is>
          <t>KPROP-00003</t>
        </is>
      </c>
      <c r="B4" s="3" t="n">
        <v>45840.54557870371</v>
      </c>
      <c r="C4" s="3" t="n">
        <v>45840</v>
      </c>
      <c r="D4" s="2" t="inlineStr">
        <is>
          <t>Clay Holmes</t>
        </is>
      </c>
      <c r="E4" s="2" t="n">
        <v>121</v>
      </c>
      <c r="F4" s="2" t="n">
        <v>158</v>
      </c>
      <c r="G4" s="2" t="inlineStr">
        <is>
          <t>Home</t>
        </is>
      </c>
      <c r="H4" s="2" t="inlineStr">
        <is>
          <t>fanduel</t>
        </is>
      </c>
      <c r="I4" s="4" t="n"/>
      <c r="J4" s="4" t="n"/>
      <c r="K4" s="4" t="n">
        <v>-112</v>
      </c>
      <c r="L4" s="4" t="n">
        <v>-112</v>
      </c>
      <c r="M4" s="5" t="n">
        <v>4.5</v>
      </c>
      <c r="N4" s="5" t="n">
        <v>4.142995857204013</v>
      </c>
      <c r="O4" s="5" t="n">
        <v>4.5</v>
      </c>
      <c r="P4" s="5" t="n">
        <v>0.3570041427959874</v>
      </c>
      <c r="Q4" s="6" t="n">
        <v>0.137462637907535</v>
      </c>
      <c r="R4" s="6" t="n">
        <v>0.6009236577624714</v>
      </c>
      <c r="S4" s="6" t="n">
        <v>0.5137614678899083</v>
      </c>
      <c r="T4" s="2" t="inlineStr">
        <is>
          <t>Under</t>
        </is>
      </c>
      <c r="U4" s="4" t="n">
        <v>-112</v>
      </c>
      <c r="V4" s="2" t="n">
        <v>1.892857142857143</v>
      </c>
      <c r="W4" s="4" t="n">
        <v>-112</v>
      </c>
      <c r="X4" s="2" t="n">
        <v>1</v>
      </c>
      <c r="Y4" s="5" t="n">
        <v>0.8928571428571428</v>
      </c>
      <c r="Z4" s="7" t="n">
        <v>100</v>
      </c>
      <c r="AA4" s="7">
        <f>Y4*Z4</f>
        <v/>
      </c>
      <c r="AB4" s="6">
        <f>IF(Z4=0,0,AA4/Z4)</f>
        <v/>
      </c>
      <c r="AC4" s="6" t="n"/>
      <c r="AD4" s="2" t="inlineStr">
        <is>
          <t>Win</t>
        </is>
      </c>
      <c r="AE4" s="6">
        <f>IF((COUNTIF($AD$2:AD4,"Win")+COUNTIF($AD$2:AD4,"Loss"))=0,0,COUNTIF($AD$2:AD4,"Win")/(COUNTIF($AD$2:AD4,"Win")+COUNTIF($AD$2:AD4,"Loss")))</f>
        <v/>
      </c>
      <c r="AF4" s="6">
        <f>SUM($Y$2:Y4)/SUM($X$2:X4)</f>
        <v/>
      </c>
      <c r="AG4" s="5">
        <f>SUM($Y$2:Y4)</f>
        <v/>
      </c>
      <c r="AH4" s="7">
        <f>10000.0+SUM($AA$2:AA4)</f>
        <v/>
      </c>
      <c r="AI4" s="2" t="n">
        <v>2025</v>
      </c>
      <c r="AJ4" s="2" t="inlineStr">
        <is>
          <t>2025-07</t>
        </is>
      </c>
      <c r="AK4" s="2" t="inlineStr">
        <is>
          <t>-119 to -101</t>
        </is>
      </c>
      <c r="AL4" s="2" t="inlineStr">
        <is>
          <t>2025 Validation</t>
        </is>
      </c>
      <c r="AM4" s="6" t="n">
        <v>0.1539581544564392</v>
      </c>
    </row>
    <row r="5">
      <c r="A5" s="2" t="inlineStr">
        <is>
          <t>KPROP-00004</t>
        </is>
      </c>
      <c r="B5" s="3" t="n">
        <v>45840.77821759259</v>
      </c>
      <c r="C5" s="3" t="n">
        <v>45840</v>
      </c>
      <c r="D5" s="2" t="inlineStr">
        <is>
          <t>Jack Flaherty</t>
        </is>
      </c>
      <c r="E5" s="2" t="n">
        <v>116</v>
      </c>
      <c r="F5" s="2" t="n">
        <v>120</v>
      </c>
      <c r="G5" s="2" t="inlineStr">
        <is>
          <t>Away</t>
        </is>
      </c>
      <c r="H5" s="2" t="inlineStr">
        <is>
          <t>draftkings</t>
        </is>
      </c>
      <c r="I5" s="4" t="n"/>
      <c r="J5" s="4" t="n"/>
      <c r="K5" s="4" t="n">
        <v>105</v>
      </c>
      <c r="L5" s="4" t="n">
        <v>105</v>
      </c>
      <c r="M5" s="5" t="n">
        <v>5.5</v>
      </c>
      <c r="N5" s="5" t="n">
        <v>5.402234810859781</v>
      </c>
      <c r="O5" s="5" t="n">
        <v>5.5</v>
      </c>
      <c r="P5" s="5" t="n">
        <v>0.09776518914021892</v>
      </c>
      <c r="Q5" s="6" t="n">
        <v>0.1187791224444933</v>
      </c>
      <c r="R5" s="6" t="n">
        <v>0.5457459133875577</v>
      </c>
      <c r="S5" s="6" t="n">
        <v>0.4649265905383361</v>
      </c>
      <c r="T5" s="2" t="inlineStr">
        <is>
          <t>Under</t>
        </is>
      </c>
      <c r="U5" s="4" t="n">
        <v>105</v>
      </c>
      <c r="V5" s="2" t="n">
        <v>2.05</v>
      </c>
      <c r="W5" s="4" t="n">
        <v>105</v>
      </c>
      <c r="X5" s="2" t="n">
        <v>1</v>
      </c>
      <c r="Y5" s="5" t="n">
        <v>-1</v>
      </c>
      <c r="Z5" s="7" t="n">
        <v>100</v>
      </c>
      <c r="AA5" s="7">
        <f>Y5*Z5</f>
        <v/>
      </c>
      <c r="AB5" s="6">
        <f>IF(Z5=0,0,AA5/Z5)</f>
        <v/>
      </c>
      <c r="AC5" s="6" t="n"/>
      <c r="AD5" s="2" t="inlineStr">
        <is>
          <t>Loss</t>
        </is>
      </c>
      <c r="AE5" s="6">
        <f>IF((COUNTIF($AD$2:AD5,"Win")+COUNTIF($AD$2:AD5,"Loss"))=0,0,COUNTIF($AD$2:AD5,"Win")/(COUNTIF($AD$2:AD5,"Win")+COUNTIF($AD$2:AD5,"Loss")))</f>
        <v/>
      </c>
      <c r="AF5" s="6">
        <f>SUM($Y$2:Y5)/SUM($X$2:X5)</f>
        <v/>
      </c>
      <c r="AG5" s="5">
        <f>SUM($Y$2:Y5)</f>
        <v/>
      </c>
      <c r="AH5" s="7">
        <f>10000.0+SUM($AA$2:AA5)</f>
        <v/>
      </c>
      <c r="AI5" s="2" t="n">
        <v>2025</v>
      </c>
      <c r="AJ5" s="2" t="inlineStr">
        <is>
          <t>2025-07</t>
        </is>
      </c>
      <c r="AK5" s="2" t="inlineStr">
        <is>
          <t>+100 to +120</t>
        </is>
      </c>
      <c r="AL5" s="2" t="inlineStr">
        <is>
          <t>2025 Validation</t>
        </is>
      </c>
      <c r="AM5" s="6" t="n">
        <v>0.1131229737566603</v>
      </c>
    </row>
    <row r="6">
      <c r="A6" s="2" t="inlineStr">
        <is>
          <t>KPROP-00005</t>
        </is>
      </c>
      <c r="B6" s="3" t="n">
        <v>45840.79557870371</v>
      </c>
      <c r="C6" s="3" t="n">
        <v>45840</v>
      </c>
      <c r="D6" s="2" t="inlineStr">
        <is>
          <t>Nick Martinez</t>
        </is>
      </c>
      <c r="E6" s="2" t="n">
        <v>113</v>
      </c>
      <c r="F6" s="2" t="n">
        <v>111</v>
      </c>
      <c r="G6" s="2" t="inlineStr">
        <is>
          <t>Away</t>
        </is>
      </c>
      <c r="H6" s="2" t="inlineStr">
        <is>
          <t>fanduel</t>
        </is>
      </c>
      <c r="I6" s="4" t="n"/>
      <c r="J6" s="4" t="n"/>
      <c r="K6" s="4" t="n">
        <v>-111</v>
      </c>
      <c r="L6" s="4" t="n">
        <v>-111</v>
      </c>
      <c r="M6" s="5" t="n">
        <v>4.5</v>
      </c>
      <c r="N6" s="5" t="n">
        <v>4.304609803978205</v>
      </c>
      <c r="O6" s="5" t="n">
        <v>4.5</v>
      </c>
      <c r="P6" s="5" t="n">
        <v>0.195390196021795</v>
      </c>
      <c r="Q6" s="6" t="n">
        <v>0.08265287903395159</v>
      </c>
      <c r="R6" s="6" t="n">
        <v>0.5695472491600408</v>
      </c>
      <c r="S6" s="6" t="n">
        <v>0.4958445875753168</v>
      </c>
      <c r="T6" s="2" t="inlineStr">
        <is>
          <t>Under</t>
        </is>
      </c>
      <c r="U6" s="4" t="n">
        <v>-111</v>
      </c>
      <c r="V6" s="2" t="n">
        <v>1.900900900900901</v>
      </c>
      <c r="W6" s="4" t="n">
        <v>-111</v>
      </c>
      <c r="X6" s="2" t="n">
        <v>1</v>
      </c>
      <c r="Y6" s="5" t="n">
        <v>0.900900900900901</v>
      </c>
      <c r="Z6" s="7" t="n">
        <v>100</v>
      </c>
      <c r="AA6" s="7">
        <f>Y6*Z6</f>
        <v/>
      </c>
      <c r="AB6" s="6">
        <f>IF(Z6=0,0,AA6/Z6)</f>
        <v/>
      </c>
      <c r="AC6" s="6" t="n"/>
      <c r="AD6" s="2" t="inlineStr">
        <is>
          <t>Win</t>
        </is>
      </c>
      <c r="AE6" s="6">
        <f>IF((COUNTIF($AD$2:AD6,"Win")+COUNTIF($AD$2:AD6,"Loss"))=0,0,COUNTIF($AD$2:AD6,"Win")/(COUNTIF($AD$2:AD6,"Win")+COUNTIF($AD$2:AD6,"Loss")))</f>
        <v/>
      </c>
      <c r="AF6" s="6">
        <f>SUM($Y$2:Y6)/SUM($X$2:X6)</f>
        <v/>
      </c>
      <c r="AG6" s="5">
        <f>SUM($Y$2:Y6)</f>
        <v/>
      </c>
      <c r="AH6" s="7">
        <f>10000.0+SUM($AA$2:AA6)</f>
        <v/>
      </c>
      <c r="AI6" s="2" t="n">
        <v>2025</v>
      </c>
      <c r="AJ6" s="2" t="inlineStr">
        <is>
          <t>2025-07</t>
        </is>
      </c>
      <c r="AK6" s="2" t="inlineStr">
        <is>
          <t>-119 to -101</t>
        </is>
      </c>
      <c r="AL6" s="2" t="inlineStr">
        <is>
          <t>2025 Validation</t>
        </is>
      </c>
      <c r="AM6" s="6" t="n">
        <v>0.09174469572768623</v>
      </c>
    </row>
    <row r="7">
      <c r="A7" s="2" t="inlineStr">
        <is>
          <t>KPROP-00006</t>
        </is>
      </c>
      <c r="B7" s="3" t="n">
        <v>45840.52473379629</v>
      </c>
      <c r="C7" s="3" t="n">
        <v>45840</v>
      </c>
      <c r="D7" s="2" t="inlineStr">
        <is>
          <t>Sonny Gray</t>
        </is>
      </c>
      <c r="E7" s="2" t="n">
        <v>138</v>
      </c>
      <c r="F7" s="2" t="n">
        <v>134</v>
      </c>
      <c r="G7" s="2" t="inlineStr">
        <is>
          <t>Away</t>
        </is>
      </c>
      <c r="H7" s="2" t="inlineStr">
        <is>
          <t>betonlineag</t>
        </is>
      </c>
      <c r="I7" s="4" t="n"/>
      <c r="J7" s="4" t="n"/>
      <c r="K7" s="4" t="n">
        <v>128</v>
      </c>
      <c r="L7" s="4" t="n">
        <v>128</v>
      </c>
      <c r="M7" s="5" t="n">
        <v>5.5</v>
      </c>
      <c r="N7" s="5" t="n">
        <v>5.658093012160649</v>
      </c>
      <c r="O7" s="5" t="n">
        <v>5.5</v>
      </c>
      <c r="P7" s="5" t="n">
        <v>-0.1580930121606485</v>
      </c>
      <c r="Q7" s="6" t="n">
        <v>0.1446361842559037</v>
      </c>
      <c r="R7" s="6" t="n">
        <v>0.5020334141473262</v>
      </c>
      <c r="S7" s="6" t="n">
        <v>0.4306601042269832</v>
      </c>
      <c r="T7" s="2" t="inlineStr">
        <is>
          <t>Under</t>
        </is>
      </c>
      <c r="U7" s="4" t="n">
        <v>128</v>
      </c>
      <c r="V7" s="2" t="n">
        <v>2.28</v>
      </c>
      <c r="W7" s="4" t="n">
        <v>128</v>
      </c>
      <c r="X7" s="2" t="n">
        <v>1</v>
      </c>
      <c r="Y7" s="5" t="n">
        <v>-1</v>
      </c>
      <c r="Z7" s="7" t="n">
        <v>100</v>
      </c>
      <c r="AA7" s="7">
        <f>Y7*Z7</f>
        <v/>
      </c>
      <c r="AB7" s="6">
        <f>IF(Z7=0,0,AA7/Z7)</f>
        <v/>
      </c>
      <c r="AC7" s="6" t="n"/>
      <c r="AD7" s="2" t="inlineStr">
        <is>
          <t>Loss</t>
        </is>
      </c>
      <c r="AE7" s="6">
        <f>IF((COUNTIF($AD$2:AD7,"Win")+COUNTIF($AD$2:AD7,"Loss"))=0,0,COUNTIF($AD$2:AD7,"Win")/(COUNTIF($AD$2:AD7,"Win")+COUNTIF($AD$2:AD7,"Loss")))</f>
        <v/>
      </c>
      <c r="AF7" s="6">
        <f>SUM($Y$2:Y7)/SUM($X$2:X7)</f>
        <v/>
      </c>
      <c r="AG7" s="5">
        <f>SUM($Y$2:Y7)</f>
        <v/>
      </c>
      <c r="AH7" s="7">
        <f>10000.0+SUM($AA$2:AA7)</f>
        <v/>
      </c>
      <c r="AI7" s="2" t="n">
        <v>2025</v>
      </c>
      <c r="AJ7" s="2" t="inlineStr">
        <is>
          <t>2025-07</t>
        </is>
      </c>
      <c r="AK7" s="2" t="inlineStr">
        <is>
          <t>+121 to +150</t>
        </is>
      </c>
      <c r="AL7" s="2" t="inlineStr">
        <is>
          <t>2025 Validation</t>
        </is>
      </c>
      <c r="AM7" s="6" t="n">
        <v>0.1129970189499248</v>
      </c>
    </row>
    <row r="8">
      <c r="A8" s="2" t="inlineStr">
        <is>
          <t>KPROP-00007</t>
        </is>
      </c>
      <c r="B8" s="3" t="n">
        <v>45841.79556712963</v>
      </c>
      <c r="C8" s="3" t="n">
        <v>45841</v>
      </c>
      <c r="D8" s="2" t="inlineStr">
        <is>
          <t>Chris Bassitt</t>
        </is>
      </c>
      <c r="E8" s="2" t="n">
        <v>141</v>
      </c>
      <c r="F8" s="2" t="n">
        <v>147</v>
      </c>
      <c r="G8" s="2" t="inlineStr">
        <is>
          <t>Home</t>
        </is>
      </c>
      <c r="H8" s="2" t="inlineStr">
        <is>
          <t>fanduel</t>
        </is>
      </c>
      <c r="I8" s="4" t="n"/>
      <c r="J8" s="4" t="n"/>
      <c r="K8" s="4" t="n">
        <v>106</v>
      </c>
      <c r="L8" s="4" t="n">
        <v>106</v>
      </c>
      <c r="M8" s="5" t="n">
        <v>5.5</v>
      </c>
      <c r="N8" s="5" t="n">
        <v>5.254391245616934</v>
      </c>
      <c r="O8" s="5" t="n">
        <v>5.5</v>
      </c>
      <c r="P8" s="5" t="n">
        <v>0.2456087543830661</v>
      </c>
      <c r="Q8" s="6" t="n">
        <v>0.1771190784406433</v>
      </c>
      <c r="R8" s="6" t="n">
        <v>0.5714170283692444</v>
      </c>
      <c r="S8" s="6" t="n">
        <v>0.4708904109589041</v>
      </c>
      <c r="T8" s="2" t="inlineStr">
        <is>
          <t>Under</t>
        </is>
      </c>
      <c r="U8" s="4" t="n">
        <v>106</v>
      </c>
      <c r="V8" s="2" t="n">
        <v>2.06</v>
      </c>
      <c r="W8" s="4" t="n">
        <v>106</v>
      </c>
      <c r="X8" s="2" t="n">
        <v>1</v>
      </c>
      <c r="Y8" s="5" t="n">
        <v>-1</v>
      </c>
      <c r="Z8" s="7" t="n">
        <v>100</v>
      </c>
      <c r="AA8" s="7">
        <f>Y8*Z8</f>
        <v/>
      </c>
      <c r="AB8" s="6">
        <f>IF(Z8=0,0,AA8/Z8)</f>
        <v/>
      </c>
      <c r="AC8" s="6" t="n"/>
      <c r="AD8" s="2" t="inlineStr">
        <is>
          <t>Loss</t>
        </is>
      </c>
      <c r="AE8" s="6">
        <f>IF((COUNTIF($AD$2:AD8,"Win")+COUNTIF($AD$2:AD8,"Loss"))=0,0,COUNTIF($AD$2:AD8,"Win")/(COUNTIF($AD$2:AD8,"Win")+COUNTIF($AD$2:AD8,"Loss")))</f>
        <v/>
      </c>
      <c r="AF8" s="6">
        <f>SUM($Y$2:Y8)/SUM($X$2:X8)</f>
        <v/>
      </c>
      <c r="AG8" s="5">
        <f>SUM($Y$2:Y8)</f>
        <v/>
      </c>
      <c r="AH8" s="7">
        <f>10000.0+SUM($AA$2:AA8)</f>
        <v/>
      </c>
      <c r="AI8" s="2" t="n">
        <v>2025</v>
      </c>
      <c r="AJ8" s="2" t="inlineStr">
        <is>
          <t>2025-07</t>
        </is>
      </c>
      <c r="AK8" s="2" t="inlineStr">
        <is>
          <t>+100 to +120</t>
        </is>
      </c>
      <c r="AL8" s="2" t="inlineStr">
        <is>
          <t>2025 Validation</t>
        </is>
      </c>
      <c r="AM8" s="6" t="n">
        <v>0.167093470227022</v>
      </c>
    </row>
    <row r="9">
      <c r="A9" s="2" t="inlineStr">
        <is>
          <t>KPROP-00008</t>
        </is>
      </c>
      <c r="B9" s="3" t="n">
        <v>45841.79903935185</v>
      </c>
      <c r="C9" s="3" t="n">
        <v>45841</v>
      </c>
      <c r="D9" s="2" t="inlineStr">
        <is>
          <t>David Peterson</t>
        </is>
      </c>
      <c r="E9" s="2" t="n">
        <v>121</v>
      </c>
      <c r="F9" s="2" t="n">
        <v>158</v>
      </c>
      <c r="G9" s="2" t="inlineStr">
        <is>
          <t>Home</t>
        </is>
      </c>
      <c r="H9" s="2" t="inlineStr">
        <is>
          <t>betrivers</t>
        </is>
      </c>
      <c r="I9" s="4" t="n"/>
      <c r="J9" s="4" t="n"/>
      <c r="K9" s="4" t="n">
        <v>116</v>
      </c>
      <c r="L9" s="4" t="n">
        <v>116</v>
      </c>
      <c r="M9" s="5" t="n">
        <v>4.5</v>
      </c>
      <c r="N9" s="5" t="n">
        <v>4.603398741662082</v>
      </c>
      <c r="O9" s="5" t="n">
        <v>4.5</v>
      </c>
      <c r="P9" s="5" t="n">
        <v>-0.1033987416620823</v>
      </c>
      <c r="Q9" s="6" t="n">
        <v>0.1072090534711159</v>
      </c>
      <c r="R9" s="6" t="n">
        <v>0.5125967840144054</v>
      </c>
      <c r="S9" s="6" t="n">
        <v>0.4462590201291302</v>
      </c>
      <c r="T9" s="2" t="inlineStr">
        <is>
          <t>Under</t>
        </is>
      </c>
      <c r="U9" s="4" t="n">
        <v>116</v>
      </c>
      <c r="V9" s="2" t="n">
        <v>2.16</v>
      </c>
      <c r="W9" s="4" t="n">
        <v>116</v>
      </c>
      <c r="X9" s="2" t="n">
        <v>1</v>
      </c>
      <c r="Y9" s="5" t="n">
        <v>1.16</v>
      </c>
      <c r="Z9" s="7" t="n">
        <v>100</v>
      </c>
      <c r="AA9" s="7">
        <f>Y9*Z9</f>
        <v/>
      </c>
      <c r="AB9" s="6">
        <f>IF(Z9=0,0,AA9/Z9)</f>
        <v/>
      </c>
      <c r="AC9" s="6" t="n"/>
      <c r="AD9" s="2" t="inlineStr">
        <is>
          <t>Win</t>
        </is>
      </c>
      <c r="AE9" s="6">
        <f>IF((COUNTIF($AD$2:AD9,"Win")+COUNTIF($AD$2:AD9,"Loss"))=0,0,COUNTIF($AD$2:AD9,"Win")/(COUNTIF($AD$2:AD9,"Win")+COUNTIF($AD$2:AD9,"Loss")))</f>
        <v/>
      </c>
      <c r="AF9" s="6">
        <f>SUM($Y$2:Y9)/SUM($X$2:X9)</f>
        <v/>
      </c>
      <c r="AG9" s="5">
        <f>SUM($Y$2:Y9)</f>
        <v/>
      </c>
      <c r="AH9" s="7">
        <f>10000.0+SUM($AA$2:AA9)</f>
        <v/>
      </c>
      <c r="AI9" s="2" t="n">
        <v>2025</v>
      </c>
      <c r="AJ9" s="2" t="inlineStr">
        <is>
          <t>2025-07</t>
        </is>
      </c>
      <c r="AK9" s="2" t="inlineStr">
        <is>
          <t>+100 to +120</t>
        </is>
      </c>
      <c r="AL9" s="2" t="inlineStr">
        <is>
          <t>2025 Validation</t>
        </is>
      </c>
      <c r="AM9" s="6" t="n">
        <v>0.09242159781992745</v>
      </c>
    </row>
    <row r="10">
      <c r="A10" s="2" t="inlineStr">
        <is>
          <t>KPROP-00009</t>
        </is>
      </c>
      <c r="B10" s="3" t="n">
        <v>45842.67405092593</v>
      </c>
      <c r="C10" s="3" t="n">
        <v>45842</v>
      </c>
      <c r="D10" s="2" t="inlineStr">
        <is>
          <t>Chris Paddack</t>
        </is>
      </c>
      <c r="E10" s="2" t="n">
        <v>142</v>
      </c>
      <c r="F10" s="2" t="n">
        <v>139</v>
      </c>
      <c r="G10" s="2" t="inlineStr">
        <is>
          <t>Home</t>
        </is>
      </c>
      <c r="H10" s="2" t="inlineStr">
        <is>
          <t>fanduel</t>
        </is>
      </c>
      <c r="I10" s="4" t="n"/>
      <c r="J10" s="4" t="n"/>
      <c r="K10" s="4" t="n">
        <v>-102</v>
      </c>
      <c r="L10" s="4" t="n">
        <v>-102</v>
      </c>
      <c r="M10" s="5" t="n">
        <v>3.5</v>
      </c>
      <c r="N10" s="5" t="n">
        <v>3.422676815985905</v>
      </c>
      <c r="O10" s="5" t="n">
        <v>3.5</v>
      </c>
      <c r="P10" s="5" t="n">
        <v>0.07732318401409488</v>
      </c>
      <c r="Q10" s="6" t="n">
        <v>0.09596135909379801</v>
      </c>
      <c r="R10" s="6" t="n">
        <v>0.5534062308295415</v>
      </c>
      <c r="S10" s="6" t="n">
        <v>0.4856067316209035</v>
      </c>
      <c r="T10" s="2" t="inlineStr">
        <is>
          <t>Under</t>
        </is>
      </c>
      <c r="U10" s="4" t="n">
        <v>-102</v>
      </c>
      <c r="V10" s="2" t="n">
        <v>1.980392156862745</v>
      </c>
      <c r="W10" s="4" t="n">
        <v>-102</v>
      </c>
      <c r="X10" s="2" t="n">
        <v>1</v>
      </c>
      <c r="Y10" s="5" t="n">
        <v>-1</v>
      </c>
      <c r="Z10" s="7" t="n">
        <v>100</v>
      </c>
      <c r="AA10" s="7">
        <f>Y10*Z10</f>
        <v/>
      </c>
      <c r="AB10" s="6">
        <f>IF(Z10=0,0,AA10/Z10)</f>
        <v/>
      </c>
      <c r="AC10" s="6" t="n"/>
      <c r="AD10" s="2" t="inlineStr">
        <is>
          <t>Loss</t>
        </is>
      </c>
      <c r="AE10" s="6">
        <f>IF((COUNTIF($AD$2:AD10,"Win")+COUNTIF($AD$2:AD10,"Loss"))=0,0,COUNTIF($AD$2:AD10,"Win")/(COUNTIF($AD$2:AD10,"Win")+COUNTIF($AD$2:AD10,"Loss")))</f>
        <v/>
      </c>
      <c r="AF10" s="6">
        <f>SUM($Y$2:Y10)/SUM($X$2:X10)</f>
        <v/>
      </c>
      <c r="AG10" s="5">
        <f>SUM($Y$2:Y10)</f>
        <v/>
      </c>
      <c r="AH10" s="7">
        <f>10000.0+SUM($AA$2:AA10)</f>
        <v/>
      </c>
      <c r="AI10" s="2" t="n">
        <v>2025</v>
      </c>
      <c r="AJ10" s="2" t="inlineStr">
        <is>
          <t>2025-07</t>
        </is>
      </c>
      <c r="AK10" s="2" t="inlineStr">
        <is>
          <t>-119 to -101</t>
        </is>
      </c>
      <c r="AL10" s="2" t="inlineStr">
        <is>
          <t>2025 Validation</t>
        </is>
      </c>
      <c r="AM10" s="6" t="n">
        <v>0.09788058627567395</v>
      </c>
    </row>
    <row r="11">
      <c r="A11" s="2" t="inlineStr">
        <is>
          <t>KPROP-00010</t>
        </is>
      </c>
      <c r="B11" s="3" t="n">
        <v>45842.46223379629</v>
      </c>
      <c r="C11" s="3" t="n">
        <v>45842</v>
      </c>
      <c r="D11" s="2" t="inlineStr">
        <is>
          <t>Lucas Giolito</t>
        </is>
      </c>
      <c r="E11" s="2" t="n">
        <v>111</v>
      </c>
      <c r="F11" s="2" t="n">
        <v>120</v>
      </c>
      <c r="G11" s="2" t="inlineStr">
        <is>
          <t>Away</t>
        </is>
      </c>
      <c r="H11" s="2" t="inlineStr">
        <is>
          <t>fanatics</t>
        </is>
      </c>
      <c r="I11" s="4" t="n"/>
      <c r="J11" s="4" t="n"/>
      <c r="K11" s="4" t="n">
        <v>-145</v>
      </c>
      <c r="L11" s="4" t="n">
        <v>-145</v>
      </c>
      <c r="M11" s="5" t="n">
        <v>5.5</v>
      </c>
      <c r="N11" s="5" t="n">
        <v>4.506872689722134</v>
      </c>
      <c r="O11" s="5" t="n">
        <v>5.5</v>
      </c>
      <c r="P11" s="5" t="n">
        <v>0.9931273102778659</v>
      </c>
      <c r="Q11" s="6" t="n">
        <v>0.1857255686052805</v>
      </c>
      <c r="R11" s="6" t="n">
        <v>0.7017559487663905</v>
      </c>
      <c r="S11" s="6" t="n">
        <v>0.5610892153350053</v>
      </c>
      <c r="T11" s="2" t="inlineStr">
        <is>
          <t>Under</t>
        </is>
      </c>
      <c r="U11" s="4" t="n">
        <v>-145</v>
      </c>
      <c r="V11" s="2" t="n">
        <v>1.689655172413793</v>
      </c>
      <c r="W11" s="4" t="n">
        <v>-145</v>
      </c>
      <c r="X11" s="2" t="n">
        <v>1</v>
      </c>
      <c r="Y11" s="5" t="n">
        <v>-1</v>
      </c>
      <c r="Z11" s="7" t="n">
        <v>100</v>
      </c>
      <c r="AA11" s="7">
        <f>Y11*Z11</f>
        <v/>
      </c>
      <c r="AB11" s="6">
        <f>IF(Z11=0,0,AA11/Z11)</f>
        <v/>
      </c>
      <c r="AC11" s="6" t="n"/>
      <c r="AD11" s="2" t="inlineStr">
        <is>
          <t>Loss</t>
        </is>
      </c>
      <c r="AE11" s="6">
        <f>IF((COUNTIF($AD$2:AD11,"Win")+COUNTIF($AD$2:AD11,"Loss"))=0,0,COUNTIF($AD$2:AD11,"Win")/(COUNTIF($AD$2:AD11,"Win")+COUNTIF($AD$2:AD11,"Loss")))</f>
        <v/>
      </c>
      <c r="AF11" s="6">
        <f>SUM($Y$2:Y11)/SUM($X$2:X11)</f>
        <v/>
      </c>
      <c r="AG11" s="5">
        <f>SUM($Y$2:Y11)</f>
        <v/>
      </c>
      <c r="AH11" s="7">
        <f>10000.0+SUM($AA$2:AA11)</f>
        <v/>
      </c>
      <c r="AI11" s="2" t="n">
        <v>2025</v>
      </c>
      <c r="AJ11" s="2" t="inlineStr">
        <is>
          <t>2025-07</t>
        </is>
      </c>
      <c r="AK11" s="2" t="inlineStr">
        <is>
          <t>-149 to -120</t>
        </is>
      </c>
      <c r="AL11" s="2" t="inlineStr">
        <is>
          <t>2025 Validation</t>
        </is>
      </c>
      <c r="AM11" s="6" t="n">
        <v>0.2693020744776567</v>
      </c>
    </row>
    <row r="12">
      <c r="A12" s="2" t="inlineStr">
        <is>
          <t>KPROP-00011</t>
        </is>
      </c>
      <c r="B12" s="3" t="n">
        <v>45843.67056712963</v>
      </c>
      <c r="C12" s="3" t="n">
        <v>45843</v>
      </c>
      <c r="D12" s="2" t="inlineStr">
        <is>
          <t>Ranger Suarez</t>
        </is>
      </c>
      <c r="E12" s="2" t="n">
        <v>143</v>
      </c>
      <c r="F12" s="2" t="n">
        <v>113</v>
      </c>
      <c r="G12" s="2" t="inlineStr">
        <is>
          <t>Home</t>
        </is>
      </c>
      <c r="H12" s="2" t="inlineStr">
        <is>
          <t>bovada</t>
        </is>
      </c>
      <c r="I12" s="4" t="n"/>
      <c r="J12" s="4" t="n"/>
      <c r="K12" s="4" t="n">
        <v>120</v>
      </c>
      <c r="L12" s="4" t="n">
        <v>120</v>
      </c>
      <c r="M12" s="5" t="n">
        <v>5.5</v>
      </c>
      <c r="N12" s="5" t="n">
        <v>5.516849912965744</v>
      </c>
      <c r="O12" s="5" t="n">
        <v>5.5</v>
      </c>
      <c r="P12" s="5" t="n">
        <v>-0.01684991296574445</v>
      </c>
      <c r="Q12" s="6" t="n">
        <v>0.1572722332960648</v>
      </c>
      <c r="R12" s="6" t="n">
        <v>0.5260328333163931</v>
      </c>
      <c r="S12" s="6" t="n">
        <v>0.4357962697274032</v>
      </c>
      <c r="T12" s="2" t="inlineStr">
        <is>
          <t>Under</t>
        </is>
      </c>
      <c r="U12" s="4" t="n">
        <v>120</v>
      </c>
      <c r="V12" s="2" t="n">
        <v>2.2</v>
      </c>
      <c r="W12" s="4" t="n">
        <v>120</v>
      </c>
      <c r="X12" s="2" t="n">
        <v>1</v>
      </c>
      <c r="Y12" s="5" t="n">
        <v>-1</v>
      </c>
      <c r="Z12" s="7" t="n">
        <v>100</v>
      </c>
      <c r="AA12" s="7">
        <f>Y12*Z12</f>
        <v/>
      </c>
      <c r="AB12" s="6">
        <f>IF(Z12=0,0,AA12/Z12)</f>
        <v/>
      </c>
      <c r="AC12" s="6" t="n"/>
      <c r="AD12" s="2" t="inlineStr">
        <is>
          <t>Loss</t>
        </is>
      </c>
      <c r="AE12" s="6">
        <f>IF((COUNTIF($AD$2:AD12,"Win")+COUNTIF($AD$2:AD12,"Loss"))=0,0,COUNTIF($AD$2:AD12,"Win")/(COUNTIF($AD$2:AD12,"Win")+COUNTIF($AD$2:AD12,"Loss")))</f>
        <v/>
      </c>
      <c r="AF12" s="6">
        <f>SUM($Y$2:Y12)/SUM($X$2:X12)</f>
        <v/>
      </c>
      <c r="AG12" s="5">
        <f>SUM($Y$2:Y12)</f>
        <v/>
      </c>
      <c r="AH12" s="7">
        <f>10000.0+SUM($AA$2:AA12)</f>
        <v/>
      </c>
      <c r="AI12" s="2" t="n">
        <v>2025</v>
      </c>
      <c r="AJ12" s="2" t="inlineStr">
        <is>
          <t>2025-07</t>
        </is>
      </c>
      <c r="AK12" s="2" t="inlineStr">
        <is>
          <t>+100 to +120</t>
        </is>
      </c>
      <c r="AL12" s="2" t="inlineStr">
        <is>
          <t>2025 Validation</t>
        </is>
      </c>
      <c r="AM12" s="6" t="n">
        <v>0.1310601944133873</v>
      </c>
    </row>
    <row r="13">
      <c r="A13" s="2" t="inlineStr">
        <is>
          <t>KPROP-00012</t>
        </is>
      </c>
      <c r="B13" s="3" t="n">
        <v>45844.56640046297</v>
      </c>
      <c r="C13" s="3" t="n">
        <v>45844</v>
      </c>
      <c r="D13" s="2" t="inlineStr">
        <is>
          <t>Chase Burns</t>
        </is>
      </c>
      <c r="E13" s="2" t="n">
        <v>113</v>
      </c>
      <c r="F13" s="2" t="n">
        <v>143</v>
      </c>
      <c r="G13" s="2" t="inlineStr">
        <is>
          <t>Away</t>
        </is>
      </c>
      <c r="H13" s="2" t="inlineStr">
        <is>
          <t>draftkings</t>
        </is>
      </c>
      <c r="I13" s="4" t="n"/>
      <c r="J13" s="4" t="n"/>
      <c r="K13" s="4" t="n">
        <v>-105</v>
      </c>
      <c r="L13" s="4" t="n">
        <v>-105</v>
      </c>
      <c r="M13" s="5" t="n">
        <v>4.5</v>
      </c>
      <c r="N13" s="5" t="n">
        <v>3.914703917051354</v>
      </c>
      <c r="O13" s="5" t="n">
        <v>4.5</v>
      </c>
      <c r="P13" s="5" t="n">
        <v>0.5852960829486458</v>
      </c>
      <c r="Q13" s="6" t="n">
        <v>0.2602538111640714</v>
      </c>
      <c r="R13" s="6" t="n">
        <v>0.6454958544986708</v>
      </c>
      <c r="S13" s="6" t="n">
        <v>0.4933199732798931</v>
      </c>
      <c r="T13" s="2" t="inlineStr">
        <is>
          <t>Under</t>
        </is>
      </c>
      <c r="U13" s="4" t="n">
        <v>-105</v>
      </c>
      <c r="V13" s="2" t="n">
        <v>1.952380952380952</v>
      </c>
      <c r="W13" s="4" t="n">
        <v>-105</v>
      </c>
      <c r="X13" s="2" t="n">
        <v>1</v>
      </c>
      <c r="Y13" s="5" t="n">
        <v>-1</v>
      </c>
      <c r="Z13" s="7" t="n">
        <v>100</v>
      </c>
      <c r="AA13" s="7">
        <f>Y13*Z13</f>
        <v/>
      </c>
      <c r="AB13" s="6">
        <f>IF(Z13=0,0,AA13/Z13)</f>
        <v/>
      </c>
      <c r="AC13" s="6" t="n"/>
      <c r="AD13" s="2" t="inlineStr">
        <is>
          <t>Loss</t>
        </is>
      </c>
      <c r="AE13" s="6">
        <f>IF((COUNTIF($AD$2:AD13,"Win")+COUNTIF($AD$2:AD13,"Loss"))=0,0,COUNTIF($AD$2:AD13,"Win")/(COUNTIF($AD$2:AD13,"Win")+COUNTIF($AD$2:AD13,"Loss")))</f>
        <v/>
      </c>
      <c r="AF13" s="6">
        <f>SUM($Y$2:Y13)/SUM($X$2:X13)</f>
        <v/>
      </c>
      <c r="AG13" s="5">
        <f>SUM($Y$2:Y13)</f>
        <v/>
      </c>
      <c r="AH13" s="7">
        <f>10000.0+SUM($AA$2:AA13)</f>
        <v/>
      </c>
      <c r="AI13" s="2" t="n">
        <v>2025</v>
      </c>
      <c r="AJ13" s="2" t="inlineStr">
        <is>
          <t>2025-07</t>
        </is>
      </c>
      <c r="AK13" s="2" t="inlineStr">
        <is>
          <t>-119 to -101</t>
        </is>
      </c>
      <c r="AL13" s="2" t="inlineStr">
        <is>
          <t>2025 Validation</t>
        </is>
      </c>
      <c r="AM13" s="6" t="n">
        <v>0.273266501722275</v>
      </c>
    </row>
    <row r="14">
      <c r="A14" s="2" t="inlineStr">
        <is>
          <t>KPROP-00013</t>
        </is>
      </c>
      <c r="B14" s="3" t="n">
        <v>45844.75737268518</v>
      </c>
      <c r="C14" s="3" t="n">
        <v>45844</v>
      </c>
      <c r="D14" s="2" t="inlineStr">
        <is>
          <t>Erick Fedde</t>
        </is>
      </c>
      <c r="E14" s="2" t="n">
        <v>138</v>
      </c>
      <c r="F14" s="2" t="n">
        <v>112</v>
      </c>
      <c r="G14" s="2" t="inlineStr">
        <is>
          <t>Away</t>
        </is>
      </c>
      <c r="H14" s="2" t="inlineStr">
        <is>
          <t>fanduel</t>
        </is>
      </c>
      <c r="I14" s="4" t="n"/>
      <c r="J14" s="4" t="n"/>
      <c r="K14" s="4" t="n">
        <v>130</v>
      </c>
      <c r="L14" s="4" t="n">
        <v>130</v>
      </c>
      <c r="M14" s="5" t="n">
        <v>3.5</v>
      </c>
      <c r="N14" s="5" t="n">
        <v>3.7950359346191</v>
      </c>
      <c r="O14" s="5" t="n">
        <v>3.5</v>
      </c>
      <c r="P14" s="5" t="n">
        <v>-0.2950359346190998</v>
      </c>
      <c r="Q14" s="6" t="n">
        <v>0.09135221325719123</v>
      </c>
      <c r="R14" s="6" t="n">
        <v>0.4745009622857354</v>
      </c>
      <c r="S14" s="6" t="n">
        <v>0.4307974335472044</v>
      </c>
      <c r="T14" s="2" t="inlineStr">
        <is>
          <t>Under</t>
        </is>
      </c>
      <c r="U14" s="4" t="n">
        <v>130</v>
      </c>
      <c r="V14" s="2" t="n">
        <v>2.3</v>
      </c>
      <c r="W14" s="4" t="n">
        <v>130</v>
      </c>
      <c r="X14" s="2" t="n">
        <v>1</v>
      </c>
      <c r="Y14" s="5" t="n">
        <v>1.3</v>
      </c>
      <c r="Z14" s="7" t="n">
        <v>100</v>
      </c>
      <c r="AA14" s="7">
        <f>Y14*Z14</f>
        <v/>
      </c>
      <c r="AB14" s="6">
        <f>IF(Z14=0,0,AA14/Z14)</f>
        <v/>
      </c>
      <c r="AC14" s="6" t="n"/>
      <c r="AD14" s="2" t="inlineStr">
        <is>
          <t>Win</t>
        </is>
      </c>
      <c r="AE14" s="6">
        <f>IF((COUNTIF($AD$2:AD14,"Win")+COUNTIF($AD$2:AD14,"Loss"))=0,0,COUNTIF($AD$2:AD14,"Win")/(COUNTIF($AD$2:AD14,"Win")+COUNTIF($AD$2:AD14,"Loss")))</f>
        <v/>
      </c>
      <c r="AF14" s="6">
        <f>SUM($Y$2:Y14)/SUM($X$2:X14)</f>
        <v/>
      </c>
      <c r="AG14" s="5">
        <f>SUM($Y$2:Y14)</f>
        <v/>
      </c>
      <c r="AH14" s="7">
        <f>10000.0+SUM($AA$2:AA14)</f>
        <v/>
      </c>
      <c r="AI14" s="2" t="n">
        <v>2025</v>
      </c>
      <c r="AJ14" s="2" t="inlineStr">
        <is>
          <t>2025-07</t>
        </is>
      </c>
      <c r="AK14" s="2" t="inlineStr">
        <is>
          <t>+121 to +150</t>
        </is>
      </c>
      <c r="AL14" s="2" t="inlineStr">
        <is>
          <t>2025 Validation</t>
        </is>
      </c>
      <c r="AM14" s="6" t="n">
        <v>0.0702709332747625</v>
      </c>
    </row>
    <row r="15">
      <c r="A15" s="2" t="inlineStr">
        <is>
          <t>KPROP-00014</t>
        </is>
      </c>
      <c r="B15" s="3" t="n">
        <v>45844.56292824074</v>
      </c>
      <c r="C15" s="3" t="n">
        <v>45844</v>
      </c>
      <c r="D15" s="2" t="inlineStr">
        <is>
          <t>Garrett Crochet</t>
        </is>
      </c>
      <c r="E15" s="2" t="n">
        <v>111</v>
      </c>
      <c r="F15" s="2" t="n">
        <v>120</v>
      </c>
      <c r="G15" s="2" t="inlineStr">
        <is>
          <t>Away</t>
        </is>
      </c>
      <c r="H15" s="2" t="inlineStr">
        <is>
          <t>fanduel</t>
        </is>
      </c>
      <c r="I15" s="4" t="n"/>
      <c r="J15" s="4" t="n"/>
      <c r="K15" s="4" t="n">
        <v>120</v>
      </c>
      <c r="L15" s="4" t="n">
        <v>120</v>
      </c>
      <c r="M15" s="5" t="n">
        <v>7.5</v>
      </c>
      <c r="N15" s="5" t="n">
        <v>7.742046730722975</v>
      </c>
      <c r="O15" s="5" t="n">
        <v>7.5</v>
      </c>
      <c r="P15" s="5" t="n">
        <v>-0.2420467307229748</v>
      </c>
      <c r="Q15" s="6" t="n">
        <v>0.07691974519623546</v>
      </c>
      <c r="R15" s="6" t="n">
        <v>0.4895089750891979</v>
      </c>
      <c r="S15" s="6" t="n">
        <v>0.4379562043795621</v>
      </c>
      <c r="T15" s="2" t="inlineStr">
        <is>
          <t>Under</t>
        </is>
      </c>
      <c r="U15" s="4" t="n">
        <v>120</v>
      </c>
      <c r="V15" s="2" t="n">
        <v>2.2</v>
      </c>
      <c r="W15" s="4" t="n">
        <v>120</v>
      </c>
      <c r="X15" s="2" t="n">
        <v>1</v>
      </c>
      <c r="Y15" s="5" t="n">
        <v>1.2</v>
      </c>
      <c r="Z15" s="7" t="n">
        <v>100</v>
      </c>
      <c r="AA15" s="7">
        <f>Y15*Z15</f>
        <v/>
      </c>
      <c r="AB15" s="6">
        <f>IF(Z15=0,0,AA15/Z15)</f>
        <v/>
      </c>
      <c r="AC15" s="6" t="n"/>
      <c r="AD15" s="2" t="inlineStr">
        <is>
          <t>Win</t>
        </is>
      </c>
      <c r="AE15" s="6">
        <f>IF((COUNTIF($AD$2:AD15,"Win")+COUNTIF($AD$2:AD15,"Loss"))=0,0,COUNTIF($AD$2:AD15,"Win")/(COUNTIF($AD$2:AD15,"Win")+COUNTIF($AD$2:AD15,"Loss")))</f>
        <v/>
      </c>
      <c r="AF15" s="6">
        <f>SUM($Y$2:Y15)/SUM($X$2:X15)</f>
        <v/>
      </c>
      <c r="AG15" s="5">
        <f>SUM($Y$2:Y15)</f>
        <v/>
      </c>
      <c r="AH15" s="7">
        <f>10000.0+SUM($AA$2:AA15)</f>
        <v/>
      </c>
      <c r="AI15" s="2" t="n">
        <v>2025</v>
      </c>
      <c r="AJ15" s="2" t="inlineStr">
        <is>
          <t>2025-07</t>
        </is>
      </c>
      <c r="AK15" s="2" t="inlineStr">
        <is>
          <t>+100 to +120</t>
        </is>
      </c>
      <c r="AL15" s="2" t="inlineStr">
        <is>
          <t>2025 Validation</t>
        </is>
      </c>
      <c r="AM15" s="6" t="n">
        <v>0.06409978766352954</v>
      </c>
    </row>
    <row r="16">
      <c r="A16" s="2" t="inlineStr">
        <is>
          <t>KPROP-00015</t>
        </is>
      </c>
      <c r="B16" s="3" t="n">
        <v>45844.67403935185</v>
      </c>
      <c r="C16" s="3" t="n">
        <v>45844</v>
      </c>
      <c r="D16" s="2" t="inlineStr">
        <is>
          <t>George Kirby</t>
        </is>
      </c>
      <c r="E16" s="2" t="n">
        <v>136</v>
      </c>
      <c r="F16" s="2" t="n">
        <v>134</v>
      </c>
      <c r="G16" s="2" t="inlineStr">
        <is>
          <t>Home</t>
        </is>
      </c>
      <c r="H16" s="2" t="inlineStr">
        <is>
          <t>fanduel</t>
        </is>
      </c>
      <c r="I16" s="4" t="n"/>
      <c r="J16" s="4" t="n"/>
      <c r="K16" s="4" t="n">
        <v>108</v>
      </c>
      <c r="L16" s="4" t="n">
        <v>108</v>
      </c>
      <c r="M16" s="5" t="n">
        <v>5.5</v>
      </c>
      <c r="N16" s="5" t="n">
        <v>5.279102412170667</v>
      </c>
      <c r="O16" s="5" t="n">
        <v>5.5</v>
      </c>
      <c r="P16" s="5" t="n">
        <v>0.2208975878293327</v>
      </c>
      <c r="Q16" s="6" t="n">
        <v>0.1795903380379539</v>
      </c>
      <c r="R16" s="6" t="n">
        <v>0.567110739441324</v>
      </c>
      <c r="S16" s="6" t="n">
        <v>0.4596322941646683</v>
      </c>
      <c r="T16" s="2" t="inlineStr">
        <is>
          <t>Under</t>
        </is>
      </c>
      <c r="U16" s="4" t="n">
        <v>108</v>
      </c>
      <c r="V16" s="2" t="n">
        <v>2.08</v>
      </c>
      <c r="W16" s="4" t="n">
        <v>108</v>
      </c>
      <c r="X16" s="2" t="n">
        <v>1</v>
      </c>
      <c r="Y16" s="5" t="n">
        <v>-1</v>
      </c>
      <c r="Z16" s="7" t="n">
        <v>100</v>
      </c>
      <c r="AA16" s="7">
        <f>Y16*Z16</f>
        <v/>
      </c>
      <c r="AB16" s="6">
        <f>IF(Z16=0,0,AA16/Z16)</f>
        <v/>
      </c>
      <c r="AC16" s="6" t="n"/>
      <c r="AD16" s="2" t="inlineStr">
        <is>
          <t>Loss</t>
        </is>
      </c>
      <c r="AE16" s="6">
        <f>IF((COUNTIF($AD$2:AD16,"Win")+COUNTIF($AD$2:AD16,"Loss"))=0,0,COUNTIF($AD$2:AD16,"Win")/(COUNTIF($AD$2:AD16,"Win")+COUNTIF($AD$2:AD16,"Loss")))</f>
        <v/>
      </c>
      <c r="AF16" s="6">
        <f>SUM($Y$2:Y16)/SUM($X$2:X16)</f>
        <v/>
      </c>
      <c r="AG16" s="5">
        <f>SUM($Y$2:Y16)</f>
        <v/>
      </c>
      <c r="AH16" s="7">
        <f>10000.0+SUM($AA$2:AA16)</f>
        <v/>
      </c>
      <c r="AI16" s="2" t="n">
        <v>2025</v>
      </c>
      <c r="AJ16" s="2" t="inlineStr">
        <is>
          <t>2025-07</t>
        </is>
      </c>
      <c r="AK16" s="2" t="inlineStr">
        <is>
          <t>+100 to +120</t>
        </is>
      </c>
      <c r="AL16" s="2" t="inlineStr">
        <is>
          <t>2025 Validation</t>
        </is>
      </c>
      <c r="AM16" s="6" t="n">
        <v>0.1662873500351425</v>
      </c>
    </row>
    <row r="17">
      <c r="A17" s="2" t="inlineStr">
        <is>
          <t>KPROP-00016</t>
        </is>
      </c>
      <c r="B17" s="3" t="n">
        <v>45844.59070601852</v>
      </c>
      <c r="C17" s="3" t="n">
        <v>45844</v>
      </c>
      <c r="D17" s="2" t="inlineStr">
        <is>
          <t>Joe Ryan</t>
        </is>
      </c>
      <c r="E17" s="2" t="n">
        <v>142</v>
      </c>
      <c r="F17" s="2" t="n">
        <v>139</v>
      </c>
      <c r="G17" s="2" t="inlineStr">
        <is>
          <t>Home</t>
        </is>
      </c>
      <c r="H17" s="2" t="inlineStr">
        <is>
          <t>bovada</t>
        </is>
      </c>
      <c r="I17" s="4" t="n"/>
      <c r="J17" s="4" t="n"/>
      <c r="K17" s="4" t="n">
        <v>120</v>
      </c>
      <c r="L17" s="4" t="n">
        <v>120</v>
      </c>
      <c r="M17" s="5" t="n">
        <v>5.5</v>
      </c>
      <c r="N17" s="5" t="n">
        <v>5.521019626305564</v>
      </c>
      <c r="O17" s="5" t="n">
        <v>5.5</v>
      </c>
      <c r="P17" s="5" t="n">
        <v>-0.02101962630556375</v>
      </c>
      <c r="Q17" s="6" t="n">
        <v>0.1557026622684834</v>
      </c>
      <c r="R17" s="6" t="n">
        <v>0.5253193919402197</v>
      </c>
      <c r="S17" s="6" t="n">
        <v>0.4545454545454545</v>
      </c>
      <c r="T17" s="2" t="inlineStr">
        <is>
          <t>Under</t>
        </is>
      </c>
      <c r="U17" s="4" t="n">
        <v>120</v>
      </c>
      <c r="V17" s="2" t="n">
        <v>2.2</v>
      </c>
      <c r="W17" s="4" t="n">
        <v>120</v>
      </c>
      <c r="X17" s="2" t="n">
        <v>1</v>
      </c>
      <c r="Y17" s="5" t="n">
        <v>-1</v>
      </c>
      <c r="Z17" s="7" t="n">
        <v>100</v>
      </c>
      <c r="AA17" s="7">
        <f>Y17*Z17</f>
        <v/>
      </c>
      <c r="AB17" s="6">
        <f>IF(Z17=0,0,AA17/Z17)</f>
        <v/>
      </c>
      <c r="AC17" s="6" t="n"/>
      <c r="AD17" s="2" t="inlineStr">
        <is>
          <t>Loss</t>
        </is>
      </c>
      <c r="AE17" s="6">
        <f>IF((COUNTIF($AD$2:AD17,"Win")+COUNTIF($AD$2:AD17,"Loss"))=0,0,COUNTIF($AD$2:AD17,"Win")/(COUNTIF($AD$2:AD17,"Win")+COUNTIF($AD$2:AD17,"Loss")))</f>
        <v/>
      </c>
      <c r="AF17" s="6">
        <f>SUM($Y$2:Y17)/SUM($X$2:X17)</f>
        <v/>
      </c>
      <c r="AG17" s="5">
        <f>SUM($Y$2:Y17)</f>
        <v/>
      </c>
      <c r="AH17" s="7">
        <f>10000.0+SUM($AA$2:AA17)</f>
        <v/>
      </c>
      <c r="AI17" s="2" t="n">
        <v>2025</v>
      </c>
      <c r="AJ17" s="2" t="inlineStr">
        <is>
          <t>2025-07</t>
        </is>
      </c>
      <c r="AK17" s="2" t="inlineStr">
        <is>
          <t>+100 to +120</t>
        </is>
      </c>
      <c r="AL17" s="2" t="inlineStr">
        <is>
          <t>2025 Validation</t>
        </is>
      </c>
      <c r="AM17" s="6" t="n">
        <v>0.1297522185570695</v>
      </c>
    </row>
    <row r="18">
      <c r="A18" s="2" t="inlineStr">
        <is>
          <t>KPROP-00017</t>
        </is>
      </c>
      <c r="B18" s="3" t="n">
        <v>45844.56640046297</v>
      </c>
      <c r="C18" s="3" t="n">
        <v>45844</v>
      </c>
      <c r="D18" s="2" t="inlineStr">
        <is>
          <t>Kevin Gausman</t>
        </is>
      </c>
      <c r="E18" s="2" t="n">
        <v>141</v>
      </c>
      <c r="F18" s="2" t="n">
        <v>108</v>
      </c>
      <c r="G18" s="2" t="inlineStr">
        <is>
          <t>Home</t>
        </is>
      </c>
      <c r="H18" s="2" t="inlineStr">
        <is>
          <t>draftkings</t>
        </is>
      </c>
      <c r="I18" s="4" t="n"/>
      <c r="J18" s="4" t="n"/>
      <c r="K18" s="4" t="n">
        <v>-125</v>
      </c>
      <c r="L18" s="4" t="n">
        <v>-125</v>
      </c>
      <c r="M18" s="5" t="n">
        <v>6.5</v>
      </c>
      <c r="N18" s="5" t="n">
        <v>5.701976543432917</v>
      </c>
      <c r="O18" s="5" t="n">
        <v>6.5</v>
      </c>
      <c r="P18" s="5" t="n">
        <v>0.7980234565670834</v>
      </c>
      <c r="Q18" s="6" t="n">
        <v>0.1772925156614057</v>
      </c>
      <c r="R18" s="6" t="n">
        <v>0.6540513975896698</v>
      </c>
      <c r="S18" s="6" t="n">
        <v>0.5443037974683544</v>
      </c>
      <c r="T18" s="2" t="inlineStr">
        <is>
          <t>Under</t>
        </is>
      </c>
      <c r="U18" s="4" t="n">
        <v>-125</v>
      </c>
      <c r="V18" s="2" t="n">
        <v>1.8</v>
      </c>
      <c r="W18" s="4" t="n">
        <v>-125</v>
      </c>
      <c r="X18" s="2" t="n">
        <v>1</v>
      </c>
      <c r="Y18" s="5" t="n">
        <v>-1</v>
      </c>
      <c r="Z18" s="7" t="n">
        <v>100</v>
      </c>
      <c r="AA18" s="7">
        <f>Y18*Z18</f>
        <v/>
      </c>
      <c r="AB18" s="6">
        <f>IF(Z18=0,0,AA18/Z18)</f>
        <v/>
      </c>
      <c r="AC18" s="6" t="n"/>
      <c r="AD18" s="2" t="inlineStr">
        <is>
          <t>Loss</t>
        </is>
      </c>
      <c r="AE18" s="6">
        <f>IF((COUNTIF($AD$2:AD18,"Win")+COUNTIF($AD$2:AD18,"Loss"))=0,0,COUNTIF($AD$2:AD18,"Win")/(COUNTIF($AD$2:AD18,"Win")+COUNTIF($AD$2:AD18,"Loss")))</f>
        <v/>
      </c>
      <c r="AF18" s="6">
        <f>SUM($Y$2:Y18)/SUM($X$2:X18)</f>
        <v/>
      </c>
      <c r="AG18" s="5">
        <f>SUM($Y$2:Y18)</f>
        <v/>
      </c>
      <c r="AH18" s="7">
        <f>10000.0+SUM($AA$2:AA18)</f>
        <v/>
      </c>
      <c r="AI18" s="2" t="n">
        <v>2025</v>
      </c>
      <c r="AJ18" s="2" t="inlineStr">
        <is>
          <t>2025-07</t>
        </is>
      </c>
      <c r="AK18" s="2" t="inlineStr">
        <is>
          <t>-149 to -120</t>
        </is>
      </c>
      <c r="AL18" s="2" t="inlineStr">
        <is>
          <t>2025 Validation</t>
        </is>
      </c>
      <c r="AM18" s="6" t="n">
        <v>0.2216156445767571</v>
      </c>
    </row>
    <row r="19">
      <c r="A19" s="2" t="inlineStr">
        <is>
          <t>KPROP-00018</t>
        </is>
      </c>
      <c r="B19" s="3" t="n">
        <v>45844.75737268518</v>
      </c>
      <c r="C19" s="3" t="n">
        <v>45844</v>
      </c>
      <c r="D19" s="2" t="inlineStr">
        <is>
          <t>Matthew Boyd</t>
        </is>
      </c>
      <c r="E19" s="2" t="n">
        <v>112</v>
      </c>
      <c r="F19" s="2" t="n">
        <v>138</v>
      </c>
      <c r="G19" s="2" t="inlineStr">
        <is>
          <t>Home</t>
        </is>
      </c>
      <c r="H19" s="2" t="inlineStr">
        <is>
          <t>betrivers</t>
        </is>
      </c>
      <c r="I19" s="4" t="n"/>
      <c r="J19" s="4" t="n"/>
      <c r="K19" s="4" t="n">
        <v>132</v>
      </c>
      <c r="L19" s="4" t="n">
        <v>132</v>
      </c>
      <c r="M19" s="5" t="n">
        <v>4.5</v>
      </c>
      <c r="N19" s="5" t="n">
        <v>4.268010108774256</v>
      </c>
      <c r="O19" s="5" t="n">
        <v>4.5</v>
      </c>
      <c r="P19" s="5" t="n">
        <v>0.2319898912257443</v>
      </c>
      <c r="Q19" s="6" t="n">
        <v>0.3377767812936643</v>
      </c>
      <c r="R19" s="6" t="n">
        <v>0.576627922971407</v>
      </c>
      <c r="S19" s="6" t="n">
        <v>0.4004316710212427</v>
      </c>
      <c r="T19" s="2" t="inlineStr">
        <is>
          <t>Under</t>
        </is>
      </c>
      <c r="U19" s="4" t="n">
        <v>132</v>
      </c>
      <c r="V19" s="2" t="n">
        <v>2.32</v>
      </c>
      <c r="W19" s="4" t="n">
        <v>132</v>
      </c>
      <c r="X19" s="2" t="n">
        <v>1</v>
      </c>
      <c r="Y19" s="5" t="n">
        <v>-1</v>
      </c>
      <c r="Z19" s="7" t="n">
        <v>100</v>
      </c>
      <c r="AA19" s="7">
        <f>Y19*Z19</f>
        <v/>
      </c>
      <c r="AB19" s="6">
        <f>IF(Z19=0,0,AA19/Z19)</f>
        <v/>
      </c>
      <c r="AC19" s="6" t="n"/>
      <c r="AD19" s="2" t="inlineStr">
        <is>
          <t>Loss</t>
        </is>
      </c>
      <c r="AE19" s="6">
        <f>IF((COUNTIF($AD$2:AD19,"Win")+COUNTIF($AD$2:AD19,"Loss"))=0,0,COUNTIF($AD$2:AD19,"Win")/(COUNTIF($AD$2:AD19,"Win")+COUNTIF($AD$2:AD19,"Loss")))</f>
        <v/>
      </c>
      <c r="AF19" s="6">
        <f>SUM($Y$2:Y19)/SUM($X$2:X19)</f>
        <v/>
      </c>
      <c r="AG19" s="5">
        <f>SUM($Y$2:Y19)</f>
        <v/>
      </c>
      <c r="AH19" s="7">
        <f>10000.0+SUM($AA$2:AA19)</f>
        <v/>
      </c>
      <c r="AI19" s="2" t="n">
        <v>2025</v>
      </c>
      <c r="AJ19" s="2" t="inlineStr">
        <is>
          <t>2025-07</t>
        </is>
      </c>
      <c r="AK19" s="2" t="inlineStr">
        <is>
          <t>+121 to +150</t>
        </is>
      </c>
      <c r="AL19" s="2" t="inlineStr">
        <is>
          <t>2025 Validation</t>
        </is>
      </c>
      <c r="AM19" s="6" t="n">
        <v>0.2558915009800486</v>
      </c>
    </row>
    <row r="20">
      <c r="A20" s="2" t="inlineStr">
        <is>
          <t>KPROP-00019</t>
        </is>
      </c>
      <c r="B20" s="3" t="n">
        <v>45844.75737268518</v>
      </c>
      <c r="C20" s="3" t="n">
        <v>45844</v>
      </c>
      <c r="D20" s="2" t="inlineStr">
        <is>
          <t>Matthew Boyd</t>
        </is>
      </c>
      <c r="E20" s="2" t="n">
        <v>112</v>
      </c>
      <c r="F20" s="2" t="n">
        <v>138</v>
      </c>
      <c r="G20" s="2" t="inlineStr">
        <is>
          <t>Home</t>
        </is>
      </c>
      <c r="H20" s="2" t="inlineStr">
        <is>
          <t>fanatics</t>
        </is>
      </c>
      <c r="I20" s="4" t="n"/>
      <c r="J20" s="4" t="n"/>
      <c r="K20" s="4" t="n">
        <v>-140</v>
      </c>
      <c r="L20" s="4" t="n">
        <v>-140</v>
      </c>
      <c r="M20" s="5" t="n">
        <v>5.5</v>
      </c>
      <c r="N20" s="5" t="n">
        <v>4.268010108774256</v>
      </c>
      <c r="O20" s="5" t="n">
        <v>5.5</v>
      </c>
      <c r="P20" s="5" t="n">
        <v>1.231989891225744</v>
      </c>
      <c r="Q20" s="6" t="n">
        <v>0.2719416031156179</v>
      </c>
      <c r="R20" s="6" t="n">
        <v>0.741965935150777</v>
      </c>
      <c r="S20" s="6" t="n">
        <v>0.5675675675675677</v>
      </c>
      <c r="T20" s="2" t="inlineStr">
        <is>
          <t>Under</t>
        </is>
      </c>
      <c r="U20" s="4" t="n">
        <v>-140</v>
      </c>
      <c r="V20" s="2" t="n">
        <v>1.714285714285714</v>
      </c>
      <c r="W20" s="4" t="n">
        <v>-140</v>
      </c>
      <c r="X20" s="2" t="n">
        <v>1</v>
      </c>
      <c r="Y20" s="5" t="n">
        <v>-1</v>
      </c>
      <c r="Z20" s="7" t="n">
        <v>100</v>
      </c>
      <c r="AA20" s="7">
        <f>Y20*Z20</f>
        <v/>
      </c>
      <c r="AB20" s="6">
        <f>IF(Z20=0,0,AA20/Z20)</f>
        <v/>
      </c>
      <c r="AC20" s="6" t="n"/>
      <c r="AD20" s="2" t="inlineStr">
        <is>
          <t>Loss</t>
        </is>
      </c>
      <c r="AE20" s="6">
        <f>IF((COUNTIF($AD$2:AD20,"Win")+COUNTIF($AD$2:AD20,"Loss"))=0,0,COUNTIF($AD$2:AD20,"Win")/(COUNTIF($AD$2:AD20,"Win")+COUNTIF($AD$2:AD20,"Loss")))</f>
        <v/>
      </c>
      <c r="AF20" s="6">
        <f>SUM($Y$2:Y20)/SUM($X$2:X20)</f>
        <v/>
      </c>
      <c r="AG20" s="5">
        <f>SUM($Y$2:Y20)</f>
        <v/>
      </c>
      <c r="AH20" s="7">
        <f>10000.0+SUM($AA$2:AA20)</f>
        <v/>
      </c>
      <c r="AI20" s="2" t="n">
        <v>2025</v>
      </c>
      <c r="AJ20" s="2" t="inlineStr">
        <is>
          <t>2025-07</t>
        </is>
      </c>
      <c r="AK20" s="2" t="inlineStr">
        <is>
          <t>-149 to -120</t>
        </is>
      </c>
      <c r="AL20" s="2" t="inlineStr">
        <is>
          <t>2025 Validation</t>
        </is>
      </c>
      <c r="AM20" s="6" t="n">
        <v>0.380718244361865</v>
      </c>
    </row>
    <row r="21">
      <c r="A21" s="2" t="inlineStr">
        <is>
          <t>KPROP-00020</t>
        </is>
      </c>
      <c r="B21" s="3" t="n">
        <v>45845.79905092593</v>
      </c>
      <c r="C21" s="3" t="n">
        <v>45845</v>
      </c>
      <c r="D21" s="2" t="inlineStr">
        <is>
          <t>Brady Singer</t>
        </is>
      </c>
      <c r="E21" s="2" t="n">
        <v>113</v>
      </c>
      <c r="F21" s="2" t="n">
        <v>146</v>
      </c>
      <c r="G21" s="2" t="inlineStr">
        <is>
          <t>Home</t>
        </is>
      </c>
      <c r="H21" s="2" t="inlineStr">
        <is>
          <t>bovada</t>
        </is>
      </c>
      <c r="I21" s="4" t="n"/>
      <c r="J21" s="4" t="n"/>
      <c r="K21" s="4" t="n">
        <v>120</v>
      </c>
      <c r="L21" s="4" t="n">
        <v>120</v>
      </c>
      <c r="M21" s="5" t="n">
        <v>4.5</v>
      </c>
      <c r="N21" s="5" t="n">
        <v>4.382038664619885</v>
      </c>
      <c r="O21" s="5" t="n">
        <v>4.5</v>
      </c>
      <c r="P21" s="5" t="n">
        <v>0.117961335380115</v>
      </c>
      <c r="Q21" s="6" t="n">
        <v>0.2201869208449306</v>
      </c>
      <c r="R21" s="6" t="n">
        <v>0.5546304185658775</v>
      </c>
      <c r="S21" s="6" t="n">
        <v>0.4409566517189835</v>
      </c>
      <c r="T21" s="2" t="inlineStr">
        <is>
          <t>Under</t>
        </is>
      </c>
      <c r="U21" s="4" t="n">
        <v>120</v>
      </c>
      <c r="V21" s="2" t="n">
        <v>2.2</v>
      </c>
      <c r="W21" s="4" t="n">
        <v>120</v>
      </c>
      <c r="X21" s="2" t="n">
        <v>1</v>
      </c>
      <c r="Y21" s="5" t="n">
        <v>1.2</v>
      </c>
      <c r="Z21" s="7" t="n">
        <v>100</v>
      </c>
      <c r="AA21" s="7">
        <f>Y21*Z21</f>
        <v/>
      </c>
      <c r="AB21" s="6">
        <f>IF(Z21=0,0,AA21/Z21)</f>
        <v/>
      </c>
      <c r="AC21" s="6" t="n"/>
      <c r="AD21" s="2" t="inlineStr">
        <is>
          <t>Win</t>
        </is>
      </c>
      <c r="AE21" s="6">
        <f>IF((COUNTIF($AD$2:AD21,"Win")+COUNTIF($AD$2:AD21,"Loss"))=0,0,COUNTIF($AD$2:AD21,"Win")/(COUNTIF($AD$2:AD21,"Win")+COUNTIF($AD$2:AD21,"Loss")))</f>
        <v/>
      </c>
      <c r="AF21" s="6">
        <f>SUM($Y$2:Y21)/SUM($X$2:X21)</f>
        <v/>
      </c>
      <c r="AG21" s="5">
        <f>SUM($Y$2:Y21)</f>
        <v/>
      </c>
      <c r="AH21" s="7">
        <f>10000.0+SUM($AA$2:AA21)</f>
        <v/>
      </c>
      <c r="AI21" s="2" t="n">
        <v>2025</v>
      </c>
      <c r="AJ21" s="2" t="inlineStr">
        <is>
          <t>2025-07</t>
        </is>
      </c>
      <c r="AK21" s="2" t="inlineStr">
        <is>
          <t>+100 to +120</t>
        </is>
      </c>
      <c r="AL21" s="2" t="inlineStr">
        <is>
          <t>2025 Validation</t>
        </is>
      </c>
      <c r="AM21" s="6" t="n">
        <v>0.1834891007041087</v>
      </c>
    </row>
    <row r="22">
      <c r="A22" s="2" t="inlineStr">
        <is>
          <t>KPROP-00021</t>
        </is>
      </c>
      <c r="B22" s="3" t="n">
        <v>45845.81640046297</v>
      </c>
      <c r="C22" s="3" t="n">
        <v>45845</v>
      </c>
      <c r="D22" s="2" t="inlineStr">
        <is>
          <t>Freddy Peralta</t>
        </is>
      </c>
      <c r="E22" s="2" t="n">
        <v>158</v>
      </c>
      <c r="F22" s="2" t="n">
        <v>119</v>
      </c>
      <c r="G22" s="2" t="inlineStr">
        <is>
          <t>Home</t>
        </is>
      </c>
      <c r="H22" s="2" t="inlineStr">
        <is>
          <t>betmgm</t>
        </is>
      </c>
      <c r="I22" s="4" t="n"/>
      <c r="J22" s="4" t="n"/>
      <c r="K22" s="4" t="n">
        <v>120</v>
      </c>
      <c r="L22" s="4" t="n">
        <v>120</v>
      </c>
      <c r="M22" s="5" t="n">
        <v>5.5</v>
      </c>
      <c r="N22" s="5" t="n">
        <v>5.503488087928107</v>
      </c>
      <c r="O22" s="5" t="n">
        <v>5.5</v>
      </c>
      <c r="P22" s="5" t="n">
        <v>-0.003488087928106509</v>
      </c>
      <c r="Q22" s="6" t="n">
        <v>0.1623060258689589</v>
      </c>
      <c r="R22" s="6" t="n">
        <v>0.5283209208495268</v>
      </c>
      <c r="S22" s="6" t="n">
        <v>0.4425113464447806</v>
      </c>
      <c r="T22" s="2" t="inlineStr">
        <is>
          <t>Under</t>
        </is>
      </c>
      <c r="U22" s="4" t="n">
        <v>120</v>
      </c>
      <c r="V22" s="2" t="n">
        <v>2.2</v>
      </c>
      <c r="W22" s="4" t="n">
        <v>120</v>
      </c>
      <c r="X22" s="2" t="n">
        <v>1</v>
      </c>
      <c r="Y22" s="5" t="n">
        <v>-1</v>
      </c>
      <c r="Z22" s="7" t="n">
        <v>100</v>
      </c>
      <c r="AA22" s="7">
        <f>Y22*Z22</f>
        <v/>
      </c>
      <c r="AB22" s="6">
        <f>IF(Z22=0,0,AA22/Z22)</f>
        <v/>
      </c>
      <c r="AC22" s="6" t="n"/>
      <c r="AD22" s="2" t="inlineStr">
        <is>
          <t>Loss</t>
        </is>
      </c>
      <c r="AE22" s="6">
        <f>IF((COUNTIF($AD$2:AD22,"Win")+COUNTIF($AD$2:AD22,"Loss"))=0,0,COUNTIF($AD$2:AD22,"Win")/(COUNTIF($AD$2:AD22,"Win")+COUNTIF($AD$2:AD22,"Loss")))</f>
        <v/>
      </c>
      <c r="AF22" s="6">
        <f>SUM($Y$2:Y22)/SUM($X$2:X22)</f>
        <v/>
      </c>
      <c r="AG22" s="5">
        <f>SUM($Y$2:Y22)</f>
        <v/>
      </c>
      <c r="AH22" s="7">
        <f>10000.0+SUM($AA$2:AA22)</f>
        <v/>
      </c>
      <c r="AI22" s="2" t="n">
        <v>2025</v>
      </c>
      <c r="AJ22" s="2" t="inlineStr">
        <is>
          <t>2025-07</t>
        </is>
      </c>
      <c r="AK22" s="2" t="inlineStr">
        <is>
          <t>+100 to +120</t>
        </is>
      </c>
      <c r="AL22" s="2" t="inlineStr">
        <is>
          <t>2025 Validation</t>
        </is>
      </c>
      <c r="AM22" s="6" t="n">
        <v>0.1352550215574657</v>
      </c>
    </row>
    <row r="23">
      <c r="A23" s="2" t="inlineStr">
        <is>
          <t>KPROP-00022</t>
        </is>
      </c>
      <c r="B23" s="3" t="n">
        <v>45845.81640046297</v>
      </c>
      <c r="C23" s="3" t="n">
        <v>45845</v>
      </c>
      <c r="D23" s="2" t="inlineStr">
        <is>
          <t>Noah Cameron</t>
        </is>
      </c>
      <c r="E23" s="2" t="n">
        <v>118</v>
      </c>
      <c r="F23" s="2" t="n">
        <v>134</v>
      </c>
      <c r="G23" s="2" t="inlineStr">
        <is>
          <t>Home</t>
        </is>
      </c>
      <c r="H23" s="2" t="inlineStr">
        <is>
          <t>bovada</t>
        </is>
      </c>
      <c r="I23" s="4" t="n"/>
      <c r="J23" s="4" t="n"/>
      <c r="K23" s="4" t="n">
        <v>110</v>
      </c>
      <c r="L23" s="4" t="n">
        <v>110</v>
      </c>
      <c r="M23" s="5" t="n">
        <v>4.5</v>
      </c>
      <c r="N23" s="5" t="n">
        <v>4.428737477472014</v>
      </c>
      <c r="O23" s="5" t="n">
        <v>4.5</v>
      </c>
      <c r="P23" s="5" t="n">
        <v>0.07126252252798615</v>
      </c>
      <c r="Q23" s="6" t="n">
        <v>0.1459304057440447</v>
      </c>
      <c r="R23" s="6" t="n">
        <v>0.5456811455924022</v>
      </c>
      <c r="S23" s="6" t="n">
        <v>0.4642409033877039</v>
      </c>
      <c r="T23" s="2" t="inlineStr">
        <is>
          <t>Under</t>
        </is>
      </c>
      <c r="U23" s="4" t="n">
        <v>110</v>
      </c>
      <c r="V23" s="2" t="n">
        <v>2.1</v>
      </c>
      <c r="W23" s="4" t="n">
        <v>110</v>
      </c>
      <c r="X23" s="2" t="n">
        <v>1</v>
      </c>
      <c r="Y23" s="5" t="n">
        <v>-1</v>
      </c>
      <c r="Z23" s="7" t="n">
        <v>100</v>
      </c>
      <c r="AA23" s="7">
        <f>Y23*Z23</f>
        <v/>
      </c>
      <c r="AB23" s="6">
        <f>IF(Z23=0,0,AA23/Z23)</f>
        <v/>
      </c>
      <c r="AC23" s="6" t="n"/>
      <c r="AD23" s="2" t="inlineStr">
        <is>
          <t>Loss</t>
        </is>
      </c>
      <c r="AE23" s="6">
        <f>IF((COUNTIF($AD$2:AD23,"Win")+COUNTIF($AD$2:AD23,"Loss"))=0,0,COUNTIF($AD$2:AD23,"Win")/(COUNTIF($AD$2:AD23,"Win")+COUNTIF($AD$2:AD23,"Loss")))</f>
        <v/>
      </c>
      <c r="AF23" s="6">
        <f>SUM($Y$2:Y23)/SUM($X$2:X23)</f>
        <v/>
      </c>
      <c r="AG23" s="5">
        <f>SUM($Y$2:Y23)</f>
        <v/>
      </c>
      <c r="AH23" s="7">
        <f>10000.0+SUM($AA$2:AA23)</f>
        <v/>
      </c>
      <c r="AI23" s="2" t="n">
        <v>2025</v>
      </c>
      <c r="AJ23" s="2" t="inlineStr">
        <is>
          <t>2025-07</t>
        </is>
      </c>
      <c r="AK23" s="2" t="inlineStr">
        <is>
          <t>+100 to +120</t>
        </is>
      </c>
      <c r="AL23" s="2" t="inlineStr">
        <is>
          <t>2025 Validation</t>
        </is>
      </c>
      <c r="AM23" s="6" t="n">
        <v>0.1326640052218588</v>
      </c>
    </row>
    <row r="24">
      <c r="A24" s="2" t="inlineStr">
        <is>
          <t>KPROP-00023</t>
        </is>
      </c>
      <c r="B24" s="3" t="n">
        <v>45845.79905092593</v>
      </c>
      <c r="C24" s="3" t="n">
        <v>45845</v>
      </c>
      <c r="D24" s="2" t="inlineStr">
        <is>
          <t>Richard Fitts</t>
        </is>
      </c>
      <c r="E24" s="2" t="n">
        <v>111</v>
      </c>
      <c r="F24" s="2" t="n">
        <v>115</v>
      </c>
      <c r="G24" s="2" t="inlineStr">
        <is>
          <t>Home</t>
        </is>
      </c>
      <c r="H24" s="2" t="inlineStr">
        <is>
          <t>bovada</t>
        </is>
      </c>
      <c r="I24" s="4" t="n"/>
      <c r="J24" s="4" t="n"/>
      <c r="K24" s="4" t="n">
        <v>105</v>
      </c>
      <c r="L24" s="4" t="n">
        <v>105</v>
      </c>
      <c r="M24" s="5" t="n">
        <v>4.5</v>
      </c>
      <c r="N24" s="5" t="n">
        <v>4.281809700861622</v>
      </c>
      <c r="O24" s="5" t="n">
        <v>4.5</v>
      </c>
      <c r="P24" s="5" t="n">
        <v>0.218190299138378</v>
      </c>
      <c r="Q24" s="6" t="n">
        <v>0.1766101983288509</v>
      </c>
      <c r="R24" s="6" t="n">
        <v>0.5739561943067566</v>
      </c>
      <c r="S24" s="6" t="n">
        <v>0.4740160904544466</v>
      </c>
      <c r="T24" s="2" t="inlineStr">
        <is>
          <t>Under</t>
        </is>
      </c>
      <c r="U24" s="4" t="n">
        <v>105</v>
      </c>
      <c r="V24" s="2" t="n">
        <v>2.05</v>
      </c>
      <c r="W24" s="4" t="n">
        <v>105</v>
      </c>
      <c r="X24" s="2" t="n">
        <v>1</v>
      </c>
      <c r="Y24" s="5" t="n">
        <v>-1</v>
      </c>
      <c r="Z24" s="7" t="n">
        <v>100</v>
      </c>
      <c r="AA24" s="7">
        <f>Y24*Z24</f>
        <v/>
      </c>
      <c r="AB24" s="6">
        <f>IF(Z24=0,0,AA24/Z24)</f>
        <v/>
      </c>
      <c r="AC24" s="6" t="n"/>
      <c r="AD24" s="2" t="inlineStr">
        <is>
          <t>Loss</t>
        </is>
      </c>
      <c r="AE24" s="6">
        <f>IF((COUNTIF($AD$2:AD24,"Win")+COUNTIF($AD$2:AD24,"Loss"))=0,0,COUNTIF($AD$2:AD24,"Win")/(COUNTIF($AD$2:AD24,"Win")+COUNTIF($AD$2:AD24,"Loss")))</f>
        <v/>
      </c>
      <c r="AF24" s="6">
        <f>SUM($Y$2:Y24)/SUM($X$2:X24)</f>
        <v/>
      </c>
      <c r="AG24" s="5">
        <f>SUM($Y$2:Y24)</f>
        <v/>
      </c>
      <c r="AH24" s="7">
        <f>10000.0+SUM($AA$2:AA24)</f>
        <v/>
      </c>
      <c r="AI24" s="2" t="n">
        <v>2025</v>
      </c>
      <c r="AJ24" s="2" t="inlineStr">
        <is>
          <t>2025-07</t>
        </is>
      </c>
      <c r="AK24" s="2" t="inlineStr">
        <is>
          <t>+100 to +120</t>
        </is>
      </c>
      <c r="AL24" s="2" t="inlineStr">
        <is>
          <t>2025 Validation</t>
        </is>
      </c>
      <c r="AM24" s="6" t="n">
        <v>0.16820018888462</v>
      </c>
    </row>
    <row r="25">
      <c r="A25" s="2" t="inlineStr">
        <is>
          <t>KPROP-00024</t>
        </is>
      </c>
      <c r="B25" s="3" t="n">
        <v>45845.81640046297</v>
      </c>
      <c r="C25" s="3" t="n">
        <v>45845</v>
      </c>
      <c r="D25" s="2" t="inlineStr">
        <is>
          <t>Yoshinobu Yamamoto</t>
        </is>
      </c>
      <c r="E25" s="2" t="n">
        <v>119</v>
      </c>
      <c r="F25" s="2" t="n">
        <v>158</v>
      </c>
      <c r="G25" s="2" t="inlineStr">
        <is>
          <t>Away</t>
        </is>
      </c>
      <c r="H25" s="2" t="inlineStr">
        <is>
          <t>betrivers</t>
        </is>
      </c>
      <c r="I25" s="4" t="n"/>
      <c r="J25" s="4" t="n"/>
      <c r="K25" s="4" t="n">
        <v>123</v>
      </c>
      <c r="L25" s="4" t="n">
        <v>123</v>
      </c>
      <c r="M25" s="5" t="n">
        <v>5.5</v>
      </c>
      <c r="N25" s="5" t="n">
        <v>5.320093309730795</v>
      </c>
      <c r="O25" s="5" t="n">
        <v>5.5</v>
      </c>
      <c r="P25" s="5" t="n">
        <v>0.1799066902692052</v>
      </c>
      <c r="Q25" s="6" t="n">
        <v>0.2487555914212876</v>
      </c>
      <c r="R25" s="6" t="n">
        <v>0.5599800858391424</v>
      </c>
      <c r="S25" s="6" t="n">
        <v>0.4175724496019769</v>
      </c>
      <c r="T25" s="2" t="inlineStr">
        <is>
          <t>Under</t>
        </is>
      </c>
      <c r="U25" s="4" t="n">
        <v>123</v>
      </c>
      <c r="V25" s="2" t="n">
        <v>2.23</v>
      </c>
      <c r="W25" s="4" t="n">
        <v>123</v>
      </c>
      <c r="X25" s="2" t="n">
        <v>1</v>
      </c>
      <c r="Y25" s="5" t="n">
        <v>1.23</v>
      </c>
      <c r="Z25" s="7" t="n">
        <v>100</v>
      </c>
      <c r="AA25" s="7">
        <f>Y25*Z25</f>
        <v/>
      </c>
      <c r="AB25" s="6">
        <f>IF(Z25=0,0,AA25/Z25)</f>
        <v/>
      </c>
      <c r="AC25" s="6" t="n"/>
      <c r="AD25" s="2" t="inlineStr">
        <is>
          <t>Win</t>
        </is>
      </c>
      <c r="AE25" s="6">
        <f>IF((COUNTIF($AD$2:AD25,"Win")+COUNTIF($AD$2:AD25,"Loss"))=0,0,COUNTIF($AD$2:AD25,"Win")/(COUNTIF($AD$2:AD25,"Win")+COUNTIF($AD$2:AD25,"Loss")))</f>
        <v/>
      </c>
      <c r="AF25" s="6">
        <f>SUM($Y$2:Y25)/SUM($X$2:X25)</f>
        <v/>
      </c>
      <c r="AG25" s="5">
        <f>SUM($Y$2:Y25)</f>
        <v/>
      </c>
      <c r="AH25" s="7">
        <f>10000.0+SUM($AA$2:AA25)</f>
        <v/>
      </c>
      <c r="AI25" s="2" t="n">
        <v>2025</v>
      </c>
      <c r="AJ25" s="2" t="inlineStr">
        <is>
          <t>2025-07</t>
        </is>
      </c>
      <c r="AK25" s="2" t="inlineStr">
        <is>
          <t>+121 to +150</t>
        </is>
      </c>
      <c r="AL25" s="2" t="inlineStr">
        <is>
          <t>2025 Validation</t>
        </is>
      </c>
      <c r="AM25" s="6" t="n">
        <v>0.2022403182286891</v>
      </c>
    </row>
    <row r="26">
      <c r="A26" s="2" t="inlineStr">
        <is>
          <t>KPROP-00025</t>
        </is>
      </c>
      <c r="B26" s="3" t="n">
        <v>45845.81640046297</v>
      </c>
      <c r="C26" s="3" t="n">
        <v>45845</v>
      </c>
      <c r="D26" s="2" t="inlineStr">
        <is>
          <t>Yoshinobu Yamamoto</t>
        </is>
      </c>
      <c r="E26" s="2" t="n">
        <v>119</v>
      </c>
      <c r="F26" s="2" t="n">
        <v>158</v>
      </c>
      <c r="G26" s="2" t="inlineStr">
        <is>
          <t>Away</t>
        </is>
      </c>
      <c r="H26" s="2" t="inlineStr">
        <is>
          <t>fanduel</t>
        </is>
      </c>
      <c r="I26" s="4" t="n"/>
      <c r="J26" s="4" t="n"/>
      <c r="K26" s="4" t="n">
        <v>-158</v>
      </c>
      <c r="L26" s="4" t="n">
        <v>-158</v>
      </c>
      <c r="M26" s="5" t="n">
        <v>6.5</v>
      </c>
      <c r="N26" s="5" t="n">
        <v>5.320093309730795</v>
      </c>
      <c r="O26" s="5" t="n">
        <v>6.5</v>
      </c>
      <c r="P26" s="5" t="n">
        <v>1.179906690269205</v>
      </c>
      <c r="Q26" s="6" t="n">
        <v>0.1659676312586879</v>
      </c>
      <c r="R26" s="6" t="n">
        <v>0.7140421927863282</v>
      </c>
      <c r="S26" s="6" t="n">
        <v>0.5794621026894865</v>
      </c>
      <c r="T26" s="2" t="inlineStr">
        <is>
          <t>Under</t>
        </is>
      </c>
      <c r="U26" s="4" t="n">
        <v>-158</v>
      </c>
      <c r="V26" s="2" t="n">
        <v>1.632911392405063</v>
      </c>
      <c r="W26" s="4" t="n">
        <v>-158</v>
      </c>
      <c r="X26" s="2" t="n">
        <v>1</v>
      </c>
      <c r="Y26" s="5" t="n">
        <v>0.6329113924050633</v>
      </c>
      <c r="Z26" s="7" t="n">
        <v>100</v>
      </c>
      <c r="AA26" s="7">
        <f>Y26*Z26</f>
        <v/>
      </c>
      <c r="AB26" s="6">
        <f>IF(Z26=0,0,AA26/Z26)</f>
        <v/>
      </c>
      <c r="AC26" s="6" t="n"/>
      <c r="AD26" s="2" t="inlineStr">
        <is>
          <t>Win</t>
        </is>
      </c>
      <c r="AE26" s="6">
        <f>IF((COUNTIF($AD$2:AD26,"Win")+COUNTIF($AD$2:AD26,"Loss"))=0,0,COUNTIF($AD$2:AD26,"Win")/(COUNTIF($AD$2:AD26,"Win")+COUNTIF($AD$2:AD26,"Loss")))</f>
        <v/>
      </c>
      <c r="AF26" s="6">
        <f>SUM($Y$2:Y26)/SUM($X$2:X26)</f>
        <v/>
      </c>
      <c r="AG26" s="5">
        <f>SUM($Y$2:Y26)</f>
        <v/>
      </c>
      <c r="AH26" s="7">
        <f>10000.0+SUM($AA$2:AA26)</f>
        <v/>
      </c>
      <c r="AI26" s="2" t="n">
        <v>2025</v>
      </c>
      <c r="AJ26" s="2" t="inlineStr">
        <is>
          <t>2025-07</t>
        </is>
      </c>
      <c r="AK26" s="2" t="inlineStr">
        <is>
          <t>&lt;= -150</t>
        </is>
      </c>
      <c r="AL26" s="2" t="inlineStr">
        <is>
          <t>2025 Validation</t>
        </is>
      </c>
      <c r="AM26" s="6" t="n">
        <v>0.2622288573887268</v>
      </c>
    </row>
    <row r="27">
      <c r="A27" s="2" t="inlineStr">
        <is>
          <t>KPROP-00026</t>
        </is>
      </c>
      <c r="B27" s="3" t="n">
        <v>45846.81641203703</v>
      </c>
      <c r="C27" s="3" t="n">
        <v>45846</v>
      </c>
      <c r="D27" s="2" t="inlineStr">
        <is>
          <t>Clayton Kershaw</t>
        </is>
      </c>
      <c r="E27" s="2" t="n">
        <v>119</v>
      </c>
      <c r="F27" s="2" t="n">
        <v>158</v>
      </c>
      <c r="G27" s="2" t="inlineStr">
        <is>
          <t>Away</t>
        </is>
      </c>
      <c r="H27" s="2" t="inlineStr">
        <is>
          <t>fanduel</t>
        </is>
      </c>
      <c r="I27" s="4" t="n"/>
      <c r="J27" s="4" t="n"/>
      <c r="K27" s="4" t="n">
        <v>122</v>
      </c>
      <c r="L27" s="4" t="n">
        <v>122</v>
      </c>
      <c r="M27" s="5" t="n">
        <v>3.5</v>
      </c>
      <c r="N27" s="5" t="n">
        <v>3.621448066112058</v>
      </c>
      <c r="O27" s="5" t="n">
        <v>3.5</v>
      </c>
      <c r="P27" s="5" t="n">
        <v>-0.1214480661120576</v>
      </c>
      <c r="Q27" s="6" t="n">
        <v>0.1336813423571345</v>
      </c>
      <c r="R27" s="6" t="n">
        <v>0.5106672713320426</v>
      </c>
      <c r="S27" s="6" t="n">
        <v>0.4357298474945534</v>
      </c>
      <c r="T27" s="2" t="inlineStr">
        <is>
          <t>Under</t>
        </is>
      </c>
      <c r="U27" s="4" t="n">
        <v>122</v>
      </c>
      <c r="V27" s="2" t="n">
        <v>2.22</v>
      </c>
      <c r="W27" s="4" t="n">
        <v>122</v>
      </c>
      <c r="X27" s="2" t="n">
        <v>1</v>
      </c>
      <c r="Y27" s="5" t="n">
        <v>1.22</v>
      </c>
      <c r="Z27" s="7" t="n">
        <v>100</v>
      </c>
      <c r="AA27" s="7">
        <f>Y27*Z27</f>
        <v/>
      </c>
      <c r="AB27" s="6">
        <f>IF(Z27=0,0,AA27/Z27)</f>
        <v/>
      </c>
      <c r="AC27" s="6" t="n"/>
      <c r="AD27" s="2" t="inlineStr">
        <is>
          <t>Win</t>
        </is>
      </c>
      <c r="AE27" s="6">
        <f>IF((COUNTIF($AD$2:AD27,"Win")+COUNTIF($AD$2:AD27,"Loss"))=0,0,COUNTIF($AD$2:AD27,"Win")/(COUNTIF($AD$2:AD27,"Win")+COUNTIF($AD$2:AD27,"Loss")))</f>
        <v/>
      </c>
      <c r="AF27" s="6">
        <f>SUM($Y$2:Y27)/SUM($X$2:X27)</f>
        <v/>
      </c>
      <c r="AG27" s="5">
        <f>SUM($Y$2:Y27)</f>
        <v/>
      </c>
      <c r="AH27" s="7">
        <f>10000.0+SUM($AA$2:AA27)</f>
        <v/>
      </c>
      <c r="AI27" s="2" t="n">
        <v>2025</v>
      </c>
      <c r="AJ27" s="2" t="inlineStr">
        <is>
          <t>2025-07</t>
        </is>
      </c>
      <c r="AK27" s="2" t="inlineStr">
        <is>
          <t>+121 to +150</t>
        </is>
      </c>
      <c r="AL27" s="2" t="inlineStr">
        <is>
          <t>2025 Validation</t>
        </is>
      </c>
      <c r="AM27" s="6" t="n">
        <v>0.1095748707845365</v>
      </c>
    </row>
    <row r="28">
      <c r="A28" s="2" t="inlineStr">
        <is>
          <t>KPROP-00027</t>
        </is>
      </c>
      <c r="B28" s="3" t="n">
        <v>45846.81641203703</v>
      </c>
      <c r="C28" s="3" t="n">
        <v>45846</v>
      </c>
      <c r="D28" s="2" t="inlineStr">
        <is>
          <t>Clayton Kershaw</t>
        </is>
      </c>
      <c r="E28" s="2" t="n">
        <v>119</v>
      </c>
      <c r="F28" s="2" t="n">
        <v>158</v>
      </c>
      <c r="G28" s="2" t="inlineStr">
        <is>
          <t>Away</t>
        </is>
      </c>
      <c r="H28" s="2" t="inlineStr">
        <is>
          <t>bovada</t>
        </is>
      </c>
      <c r="I28" s="4" t="n"/>
      <c r="J28" s="4" t="n"/>
      <c r="K28" s="4" t="n">
        <v>-185</v>
      </c>
      <c r="L28" s="4" t="n">
        <v>-185</v>
      </c>
      <c r="M28" s="5" t="n">
        <v>4.5</v>
      </c>
      <c r="N28" s="5" t="n">
        <v>3.621448066112058</v>
      </c>
      <c r="O28" s="5" t="n">
        <v>4.5</v>
      </c>
      <c r="P28" s="5" t="n">
        <v>0.8785519338879424</v>
      </c>
      <c r="Q28" s="6" t="n">
        <v>0.08197139081560045</v>
      </c>
      <c r="R28" s="6" t="n">
        <v>0.7023323063188985</v>
      </c>
      <c r="S28" s="6" t="n">
        <v>0.6090534979423868</v>
      </c>
      <c r="T28" s="2" t="inlineStr">
        <is>
          <t>Under</t>
        </is>
      </c>
      <c r="U28" s="4" t="n">
        <v>-185</v>
      </c>
      <c r="V28" s="2" t="n">
        <v>1.540540540540541</v>
      </c>
      <c r="W28" s="4" t="n">
        <v>-185</v>
      </c>
      <c r="X28" s="2" t="n">
        <v>1</v>
      </c>
      <c r="Y28" s="5" t="n">
        <v>0.5405405405405406</v>
      </c>
      <c r="Z28" s="7" t="n">
        <v>100</v>
      </c>
      <c r="AA28" s="7">
        <f>Y28*Z28</f>
        <v/>
      </c>
      <c r="AB28" s="6">
        <f>IF(Z28=0,0,AA28/Z28)</f>
        <v/>
      </c>
      <c r="AC28" s="6" t="n"/>
      <c r="AD28" s="2" t="inlineStr">
        <is>
          <t>Win</t>
        </is>
      </c>
      <c r="AE28" s="6">
        <f>IF((COUNTIF($AD$2:AD28,"Win")+COUNTIF($AD$2:AD28,"Loss"))=0,0,COUNTIF($AD$2:AD28,"Win")/(COUNTIF($AD$2:AD28,"Win")+COUNTIF($AD$2:AD28,"Loss")))</f>
        <v/>
      </c>
      <c r="AF28" s="6">
        <f>SUM($Y$2:Y28)/SUM($X$2:X28)</f>
        <v/>
      </c>
      <c r="AG28" s="5">
        <f>SUM($Y$2:Y28)</f>
        <v/>
      </c>
      <c r="AH28" s="7">
        <f>10000.0+SUM($AA$2:AA28)</f>
        <v/>
      </c>
      <c r="AI28" s="2" t="n">
        <v>2025</v>
      </c>
      <c r="AJ28" s="2" t="inlineStr">
        <is>
          <t>2025-07</t>
        </is>
      </c>
      <c r="AK28" s="2" t="inlineStr">
        <is>
          <t>&lt;= -150</t>
        </is>
      </c>
      <c r="AL28" s="2" t="inlineStr">
        <is>
          <t>2025 Validation</t>
        </is>
      </c>
      <c r="AM28" s="6" t="n">
        <v>0.1516470730088608</v>
      </c>
    </row>
    <row r="29">
      <c r="A29" s="2" t="inlineStr">
        <is>
          <t>KPROP-00028</t>
        </is>
      </c>
      <c r="B29" s="3" t="n">
        <v>45846.77820601852</v>
      </c>
      <c r="C29" s="3" t="n">
        <v>45846</v>
      </c>
      <c r="D29" s="2" t="inlineStr">
        <is>
          <t>Jack Flaherty</t>
        </is>
      </c>
      <c r="E29" s="2" t="n">
        <v>116</v>
      </c>
      <c r="F29" s="2" t="n">
        <v>139</v>
      </c>
      <c r="G29" s="2" t="inlineStr">
        <is>
          <t>Home</t>
        </is>
      </c>
      <c r="H29" s="2" t="inlineStr">
        <is>
          <t>draftkings</t>
        </is>
      </c>
      <c r="I29" s="4" t="n"/>
      <c r="J29" s="4" t="n"/>
      <c r="K29" s="4" t="n">
        <v>125</v>
      </c>
      <c r="L29" s="4" t="n">
        <v>125</v>
      </c>
      <c r="M29" s="5" t="n">
        <v>5.5</v>
      </c>
      <c r="N29" s="5" t="n">
        <v>5.133919309083316</v>
      </c>
      <c r="O29" s="5" t="n">
        <v>5.5</v>
      </c>
      <c r="P29" s="5" t="n">
        <v>0.366080690916684</v>
      </c>
      <c r="Q29" s="6" t="n">
        <v>0.3330710924741483</v>
      </c>
      <c r="R29" s="6" t="n">
        <v>0.5924760410996215</v>
      </c>
      <c r="S29" s="6" t="n">
        <v>0.4346629986244842</v>
      </c>
      <c r="T29" s="2" t="inlineStr">
        <is>
          <t>Under</t>
        </is>
      </c>
      <c r="U29" s="4" t="n">
        <v>125</v>
      </c>
      <c r="V29" s="2" t="n">
        <v>2.25</v>
      </c>
      <c r="W29" s="4" t="n">
        <v>125</v>
      </c>
      <c r="X29" s="2" t="n">
        <v>1</v>
      </c>
      <c r="Y29" s="5" t="n">
        <v>-1</v>
      </c>
      <c r="Z29" s="7" t="n">
        <v>100</v>
      </c>
      <c r="AA29" s="7">
        <f>Y29*Z29</f>
        <v/>
      </c>
      <c r="AB29" s="6">
        <f>IF(Z29=0,0,AA29/Z29)</f>
        <v/>
      </c>
      <c r="AC29" s="6" t="n"/>
      <c r="AD29" s="2" t="inlineStr">
        <is>
          <t>Loss</t>
        </is>
      </c>
      <c r="AE29" s="6">
        <f>IF((COUNTIF($AD$2:AD29,"Win")+COUNTIF($AD$2:AD29,"Loss"))=0,0,COUNTIF($AD$2:AD29,"Win")/(COUNTIF($AD$2:AD29,"Win")+COUNTIF($AD$2:AD29,"Loss")))</f>
        <v/>
      </c>
      <c r="AF29" s="6">
        <f>SUM($Y$2:Y29)/SUM($X$2:X29)</f>
        <v/>
      </c>
      <c r="AG29" s="5">
        <f>SUM($Y$2:Y29)</f>
        <v/>
      </c>
      <c r="AH29" s="7">
        <f>10000.0+SUM($AA$2:AA29)</f>
        <v/>
      </c>
      <c r="AI29" s="2" t="n">
        <v>2025</v>
      </c>
      <c r="AJ29" s="2" t="inlineStr">
        <is>
          <t>2025-07</t>
        </is>
      </c>
      <c r="AK29" s="2" t="inlineStr">
        <is>
          <t>+121 to +150</t>
        </is>
      </c>
      <c r="AL29" s="2" t="inlineStr">
        <is>
          <t>2025 Validation</t>
        </is>
      </c>
      <c r="AM29" s="6" t="n">
        <v>0.2664568739793187</v>
      </c>
    </row>
    <row r="30">
      <c r="A30" s="2" t="inlineStr">
        <is>
          <t>KPROP-00029</t>
        </is>
      </c>
      <c r="B30" s="3" t="n">
        <v>45846.79557870371</v>
      </c>
      <c r="C30" s="3" t="n">
        <v>45846</v>
      </c>
      <c r="D30" s="2" t="inlineStr">
        <is>
          <t>Logan Gilbert</t>
        </is>
      </c>
      <c r="E30" s="2" t="n">
        <v>136</v>
      </c>
      <c r="F30" s="2" t="n">
        <v>147</v>
      </c>
      <c r="G30" s="2" t="inlineStr">
        <is>
          <t>Away</t>
        </is>
      </c>
      <c r="H30" s="2" t="inlineStr">
        <is>
          <t>betmgm</t>
        </is>
      </c>
      <c r="I30" s="4" t="n"/>
      <c r="J30" s="4" t="n"/>
      <c r="K30" s="4" t="n">
        <v>115</v>
      </c>
      <c r="L30" s="4" t="n">
        <v>115</v>
      </c>
      <c r="M30" s="5" t="n">
        <v>6.5</v>
      </c>
      <c r="N30" s="5" t="n">
        <v>6.546505410626652</v>
      </c>
      <c r="O30" s="5" t="n">
        <v>6.5</v>
      </c>
      <c r="P30" s="5" t="n">
        <v>-0.04650541062665159</v>
      </c>
      <c r="Q30" s="6" t="n">
        <v>0.1163085317695405</v>
      </c>
      <c r="R30" s="6" t="n">
        <v>0.5192132705904839</v>
      </c>
      <c r="S30" s="6" t="n">
        <v>0.451422963689892</v>
      </c>
      <c r="T30" s="2" t="inlineStr">
        <is>
          <t>Under</t>
        </is>
      </c>
      <c r="U30" s="4" t="n">
        <v>115</v>
      </c>
      <c r="V30" s="2" t="n">
        <v>2.15</v>
      </c>
      <c r="W30" s="4" t="n">
        <v>115</v>
      </c>
      <c r="X30" s="2" t="n">
        <v>1</v>
      </c>
      <c r="Y30" s="5" t="n">
        <v>1.15</v>
      </c>
      <c r="Z30" s="7" t="n">
        <v>100</v>
      </c>
      <c r="AA30" s="7">
        <f>Y30*Z30</f>
        <v/>
      </c>
      <c r="AB30" s="6">
        <f>IF(Z30=0,0,AA30/Z30)</f>
        <v/>
      </c>
      <c r="AC30" s="6" t="n"/>
      <c r="AD30" s="2" t="inlineStr">
        <is>
          <t>Win</t>
        </is>
      </c>
      <c r="AE30" s="6">
        <f>IF((COUNTIF($AD$2:AD30,"Win")+COUNTIF($AD$2:AD30,"Loss"))=0,0,COUNTIF($AD$2:AD30,"Win")/(COUNTIF($AD$2:AD30,"Win")+COUNTIF($AD$2:AD30,"Loss")))</f>
        <v/>
      </c>
      <c r="AF30" s="6">
        <f>SUM($Y$2:Y30)/SUM($X$2:X30)</f>
        <v/>
      </c>
      <c r="AG30" s="5">
        <f>SUM($Y$2:Y30)</f>
        <v/>
      </c>
      <c r="AH30" s="7">
        <f>10000.0+SUM($AA$2:AA30)</f>
        <v/>
      </c>
      <c r="AI30" s="2" t="n">
        <v>2025</v>
      </c>
      <c r="AJ30" s="2" t="inlineStr">
        <is>
          <t>2025-07</t>
        </is>
      </c>
      <c r="AK30" s="2" t="inlineStr">
        <is>
          <t>+100 to +120</t>
        </is>
      </c>
      <c r="AL30" s="2" t="inlineStr">
        <is>
          <t>2025 Validation</t>
        </is>
      </c>
      <c r="AM30" s="6" t="n">
        <v>0.1011378537126439</v>
      </c>
    </row>
    <row r="31">
      <c r="A31" s="2" t="inlineStr">
        <is>
          <t>KPROP-00030</t>
        </is>
      </c>
      <c r="B31" s="3" t="n">
        <v>45846.81641203703</v>
      </c>
      <c r="C31" s="3" t="n">
        <v>45846</v>
      </c>
      <c r="D31" s="2" t="inlineStr">
        <is>
          <t>Seth Lugo</t>
        </is>
      </c>
      <c r="E31" s="2" t="n">
        <v>118</v>
      </c>
      <c r="F31" s="2" t="n">
        <v>134</v>
      </c>
      <c r="G31" s="2" t="inlineStr">
        <is>
          <t>Home</t>
        </is>
      </c>
      <c r="H31" s="2" t="inlineStr">
        <is>
          <t>betmgm</t>
        </is>
      </c>
      <c r="I31" s="4" t="n"/>
      <c r="J31" s="4" t="n"/>
      <c r="K31" s="4" t="n">
        <v>115</v>
      </c>
      <c r="L31" s="4" t="n">
        <v>115</v>
      </c>
      <c r="M31" s="5" t="n">
        <v>5.5</v>
      </c>
      <c r="N31" s="5" t="n">
        <v>5.057852264948694</v>
      </c>
      <c r="O31" s="5" t="n">
        <v>5.5</v>
      </c>
      <c r="P31" s="5" t="n">
        <v>0.4421477350513063</v>
      </c>
      <c r="Q31" s="6" t="n">
        <v>0.3024927812781613</v>
      </c>
      <c r="R31" s="6" t="n">
        <v>0.6058105959433309</v>
      </c>
      <c r="S31" s="6" t="n">
        <v>0.453954604539546</v>
      </c>
      <c r="T31" s="2" t="inlineStr">
        <is>
          <t>Under</t>
        </is>
      </c>
      <c r="U31" s="4" t="n">
        <v>115</v>
      </c>
      <c r="V31" s="2" t="n">
        <v>2.15</v>
      </c>
      <c r="W31" s="4" t="n">
        <v>115</v>
      </c>
      <c r="X31" s="2" t="n">
        <v>1</v>
      </c>
      <c r="Y31" s="5" t="n">
        <v>1.15</v>
      </c>
      <c r="Z31" s="7" t="n">
        <v>100</v>
      </c>
      <c r="AA31" s="7">
        <f>Y31*Z31</f>
        <v/>
      </c>
      <c r="AB31" s="6">
        <f>IF(Z31=0,0,AA31/Z31)</f>
        <v/>
      </c>
      <c r="AC31" s="6" t="n"/>
      <c r="AD31" s="2" t="inlineStr">
        <is>
          <t>Win</t>
        </is>
      </c>
      <c r="AE31" s="6">
        <f>IF((COUNTIF($AD$2:AD31,"Win")+COUNTIF($AD$2:AD31,"Loss"))=0,0,COUNTIF($AD$2:AD31,"Win")/(COUNTIF($AD$2:AD31,"Win")+COUNTIF($AD$2:AD31,"Loss")))</f>
        <v/>
      </c>
      <c r="AF31" s="6">
        <f>SUM($Y$2:Y31)/SUM($X$2:X31)</f>
        <v/>
      </c>
      <c r="AG31" s="5">
        <f>SUM($Y$2:Y31)</f>
        <v/>
      </c>
      <c r="AH31" s="7">
        <f>10000.0+SUM($AA$2:AA31)</f>
        <v/>
      </c>
      <c r="AI31" s="2" t="n">
        <v>2025</v>
      </c>
      <c r="AJ31" s="2" t="inlineStr">
        <is>
          <t>2025-07</t>
        </is>
      </c>
      <c r="AK31" s="2" t="inlineStr">
        <is>
          <t>+100 to +120</t>
        </is>
      </c>
      <c r="AL31" s="2" t="inlineStr">
        <is>
          <t>2025 Validation</t>
        </is>
      </c>
      <c r="AM31" s="6" t="n">
        <v>0.2630372011114446</v>
      </c>
    </row>
    <row r="32">
      <c r="A32" s="2" t="inlineStr">
        <is>
          <t>KPROP-00031</t>
        </is>
      </c>
      <c r="B32" s="3" t="n">
        <v>45846.81641203703</v>
      </c>
      <c r="C32" s="3" t="n">
        <v>45846</v>
      </c>
      <c r="D32" s="2" t="inlineStr">
        <is>
          <t>Shota Imanaga</t>
        </is>
      </c>
      <c r="E32" s="2" t="n">
        <v>112</v>
      </c>
      <c r="F32" s="2" t="n">
        <v>142</v>
      </c>
      <c r="G32" s="2" t="inlineStr">
        <is>
          <t>Away</t>
        </is>
      </c>
      <c r="H32" s="2" t="inlineStr">
        <is>
          <t>fanduel</t>
        </is>
      </c>
      <c r="I32" s="4" t="n"/>
      <c r="J32" s="4" t="n"/>
      <c r="K32" s="4" t="n">
        <v>-106</v>
      </c>
      <c r="L32" s="4" t="n">
        <v>-106</v>
      </c>
      <c r="M32" s="5" t="n">
        <v>4.5</v>
      </c>
      <c r="N32" s="5" t="n">
        <v>4.340794634173402</v>
      </c>
      <c r="O32" s="5" t="n">
        <v>4.5</v>
      </c>
      <c r="P32" s="5" t="n">
        <v>0.1592053658265975</v>
      </c>
      <c r="Q32" s="6" t="n">
        <v>0.09328636784645351</v>
      </c>
      <c r="R32" s="6" t="n">
        <v>0.5625648300569129</v>
      </c>
      <c r="S32" s="6" t="n">
        <v>0.4903184165232359</v>
      </c>
      <c r="T32" s="2" t="inlineStr">
        <is>
          <t>Under</t>
        </is>
      </c>
      <c r="U32" s="4" t="n">
        <v>-106</v>
      </c>
      <c r="V32" s="2" t="n">
        <v>1.943396226415094</v>
      </c>
      <c r="W32" s="4" t="n">
        <v>-106</v>
      </c>
      <c r="X32" s="2" t="n">
        <v>1</v>
      </c>
      <c r="Y32" s="5" t="n">
        <v>0.9433962264150944</v>
      </c>
      <c r="Z32" s="7" t="n">
        <v>100</v>
      </c>
      <c r="AA32" s="7">
        <f>Y32*Z32</f>
        <v/>
      </c>
      <c r="AB32" s="6">
        <f>IF(Z32=0,0,AA32/Z32)</f>
        <v/>
      </c>
      <c r="AC32" s="6" t="n"/>
      <c r="AD32" s="2" t="inlineStr">
        <is>
          <t>Win</t>
        </is>
      </c>
      <c r="AE32" s="6">
        <f>IF((COUNTIF($AD$2:AD32,"Win")+COUNTIF($AD$2:AD32,"Loss"))=0,0,COUNTIF($AD$2:AD32,"Win")/(COUNTIF($AD$2:AD32,"Win")+COUNTIF($AD$2:AD32,"Loss")))</f>
        <v/>
      </c>
      <c r="AF32" s="6">
        <f>SUM($Y$2:Y32)/SUM($X$2:X32)</f>
        <v/>
      </c>
      <c r="AG32" s="5">
        <f>SUM($Y$2:Y32)</f>
        <v/>
      </c>
      <c r="AH32" s="7">
        <f>10000.0+SUM($AA$2:AA32)</f>
        <v/>
      </c>
      <c r="AI32" s="2" t="n">
        <v>2025</v>
      </c>
      <c r="AJ32" s="2" t="inlineStr">
        <is>
          <t>2025-07</t>
        </is>
      </c>
      <c r="AK32" s="2" t="inlineStr">
        <is>
          <t>-119 to -101</t>
        </is>
      </c>
      <c r="AL32" s="2" t="inlineStr">
        <is>
          <t>2025 Validation</t>
        </is>
      </c>
      <c r="AM32" s="6" t="n">
        <v>0.09888354991724072</v>
      </c>
    </row>
    <row r="33">
      <c r="A33" s="2" t="inlineStr">
        <is>
          <t>KPROP-00032</t>
        </is>
      </c>
      <c r="B33" s="3" t="n">
        <v>45846.81987268518</v>
      </c>
      <c r="C33" s="3" t="n">
        <v>45846</v>
      </c>
      <c r="D33" s="2" t="inlineStr">
        <is>
          <t>Sonny Gray</t>
        </is>
      </c>
      <c r="E33" s="2" t="n">
        <v>138</v>
      </c>
      <c r="F33" s="2" t="n">
        <v>120</v>
      </c>
      <c r="G33" s="2" t="inlineStr">
        <is>
          <t>Home</t>
        </is>
      </c>
      <c r="H33" s="2" t="inlineStr">
        <is>
          <t>bovada</t>
        </is>
      </c>
      <c r="I33" s="4" t="n"/>
      <c r="J33" s="4" t="n"/>
      <c r="K33" s="4" t="n">
        <v>105</v>
      </c>
      <c r="L33" s="4" t="n">
        <v>105</v>
      </c>
      <c r="M33" s="5" t="n">
        <v>5.5</v>
      </c>
      <c r="N33" s="5" t="n">
        <v>5.407233331924897</v>
      </c>
      <c r="O33" s="5" t="n">
        <v>5.5</v>
      </c>
      <c r="P33" s="5" t="n">
        <v>0.09276666807510292</v>
      </c>
      <c r="Q33" s="6" t="n">
        <v>0.1170088523418352</v>
      </c>
      <c r="R33" s="6" t="n">
        <v>0.5448823669960172</v>
      </c>
      <c r="S33" s="6" t="n">
        <v>0.4822043628013777</v>
      </c>
      <c r="T33" s="2" t="inlineStr">
        <is>
          <t>Under</t>
        </is>
      </c>
      <c r="U33" s="4" t="n">
        <v>105</v>
      </c>
      <c r="V33" s="2" t="n">
        <v>2.05</v>
      </c>
      <c r="W33" s="4" t="n">
        <v>105</v>
      </c>
      <c r="X33" s="2" t="n">
        <v>1</v>
      </c>
      <c r="Y33" s="5" t="n">
        <v>-1</v>
      </c>
      <c r="Z33" s="7" t="n">
        <v>100</v>
      </c>
      <c r="AA33" s="7">
        <f>Y33*Z33</f>
        <v/>
      </c>
      <c r="AB33" s="6">
        <f>IF(Z33=0,0,AA33/Z33)</f>
        <v/>
      </c>
      <c r="AC33" s="6" t="n"/>
      <c r="AD33" s="2" t="inlineStr">
        <is>
          <t>Loss</t>
        </is>
      </c>
      <c r="AE33" s="6">
        <f>IF((COUNTIF($AD$2:AD33,"Win")+COUNTIF($AD$2:AD33,"Loss"))=0,0,COUNTIF($AD$2:AD33,"Win")/(COUNTIF($AD$2:AD33,"Win")+COUNTIF($AD$2:AD33,"Loss")))</f>
        <v/>
      </c>
      <c r="AF33" s="6">
        <f>SUM($Y$2:Y33)/SUM($X$2:X33)</f>
        <v/>
      </c>
      <c r="AG33" s="5">
        <f>SUM($Y$2:Y33)</f>
        <v/>
      </c>
      <c r="AH33" s="7">
        <f>10000.0+SUM($AA$2:AA33)</f>
        <v/>
      </c>
      <c r="AI33" s="2" t="n">
        <v>2025</v>
      </c>
      <c r="AJ33" s="2" t="inlineStr">
        <is>
          <t>2025-07</t>
        </is>
      </c>
      <c r="AK33" s="2" t="inlineStr">
        <is>
          <t>+100 to +120</t>
        </is>
      </c>
      <c r="AL33" s="2" t="inlineStr">
        <is>
          <t>2025 Validation</t>
        </is>
      </c>
      <c r="AM33" s="6" t="n">
        <v>0.1114370022303193</v>
      </c>
    </row>
    <row r="34">
      <c r="A34" s="2" t="inlineStr">
        <is>
          <t>KPROP-00033</t>
        </is>
      </c>
      <c r="B34" s="3" t="n">
        <v>45847.79905092593</v>
      </c>
      <c r="C34" s="3" t="n">
        <v>45847</v>
      </c>
      <c r="D34" s="2" t="inlineStr">
        <is>
          <t>Lucas Giolito</t>
        </is>
      </c>
      <c r="E34" s="2" t="n">
        <v>111</v>
      </c>
      <c r="F34" s="2" t="n">
        <v>115</v>
      </c>
      <c r="G34" s="2" t="inlineStr">
        <is>
          <t>Home</t>
        </is>
      </c>
      <c r="H34" s="2" t="inlineStr">
        <is>
          <t>draftkings</t>
        </is>
      </c>
      <c r="I34" s="4" t="n"/>
      <c r="J34" s="4" t="n"/>
      <c r="K34" s="4" t="n">
        <v>-130</v>
      </c>
      <c r="L34" s="4" t="n">
        <v>-130</v>
      </c>
      <c r="M34" s="5" t="n">
        <v>6.5</v>
      </c>
      <c r="N34" s="5" t="n">
        <v>5.911056056640091</v>
      </c>
      <c r="O34" s="5" t="n">
        <v>6.5</v>
      </c>
      <c r="P34" s="5" t="n">
        <v>0.5889439433599089</v>
      </c>
      <c r="Q34" s="6" t="n">
        <v>0.09795998002479461</v>
      </c>
      <c r="R34" s="6" t="n">
        <v>0.6205860756661883</v>
      </c>
      <c r="S34" s="6" t="n">
        <v>0.5542635658914729</v>
      </c>
      <c r="T34" s="2" t="inlineStr">
        <is>
          <t>Under</t>
        </is>
      </c>
      <c r="U34" s="4" t="n">
        <v>-130</v>
      </c>
      <c r="V34" s="2" t="n">
        <v>1.769230769230769</v>
      </c>
      <c r="W34" s="4" t="n">
        <v>-130</v>
      </c>
      <c r="X34" s="2" t="n">
        <v>1</v>
      </c>
      <c r="Y34" s="5" t="n">
        <v>0.7692307692307692</v>
      </c>
      <c r="Z34" s="7" t="n">
        <v>100</v>
      </c>
      <c r="AA34" s="7">
        <f>Y34*Z34</f>
        <v/>
      </c>
      <c r="AB34" s="6">
        <f>IF(Z34=0,0,AA34/Z34)</f>
        <v/>
      </c>
      <c r="AC34" s="6" t="n"/>
      <c r="AD34" s="2" t="inlineStr">
        <is>
          <t>Win</t>
        </is>
      </c>
      <c r="AE34" s="6">
        <f>IF((COUNTIF($AD$2:AD34,"Win")+COUNTIF($AD$2:AD34,"Loss"))=0,0,COUNTIF($AD$2:AD34,"Win")/(COUNTIF($AD$2:AD34,"Win")+COUNTIF($AD$2:AD34,"Loss")))</f>
        <v/>
      </c>
      <c r="AF34" s="6">
        <f>SUM($Y$2:Y34)/SUM($X$2:X34)</f>
        <v/>
      </c>
      <c r="AG34" s="5">
        <f>SUM($Y$2:Y34)</f>
        <v/>
      </c>
      <c r="AH34" s="7">
        <f>10000.0+SUM($AA$2:AA34)</f>
        <v/>
      </c>
      <c r="AI34" s="2" t="n">
        <v>2025</v>
      </c>
      <c r="AJ34" s="2" t="inlineStr">
        <is>
          <t>2025-07</t>
        </is>
      </c>
      <c r="AK34" s="2" t="inlineStr">
        <is>
          <t>-149 to -120</t>
        </is>
      </c>
      <c r="AL34" s="2" t="inlineStr">
        <is>
          <t>2025 Validation</t>
        </is>
      </c>
      <c r="AM34" s="6" t="n">
        <v>0.127347974032233</v>
      </c>
    </row>
    <row r="35">
      <c r="A35" s="2" t="inlineStr">
        <is>
          <t>KPROP-00034</t>
        </is>
      </c>
      <c r="B35" s="3" t="n">
        <v>45847.71572916667</v>
      </c>
      <c r="C35" s="3" t="n">
        <v>45847</v>
      </c>
      <c r="D35" s="2" t="inlineStr">
        <is>
          <t>Reese Olson</t>
        </is>
      </c>
      <c r="E35" s="2" t="n">
        <v>116</v>
      </c>
      <c r="F35" s="2" t="n">
        <v>139</v>
      </c>
      <c r="G35" s="2" t="inlineStr">
        <is>
          <t>Home</t>
        </is>
      </c>
      <c r="H35" s="2" t="inlineStr">
        <is>
          <t>draftkings</t>
        </is>
      </c>
      <c r="I35" s="4" t="n"/>
      <c r="J35" s="4" t="n"/>
      <c r="K35" s="4" t="n">
        <v>110</v>
      </c>
      <c r="L35" s="4" t="n">
        <v>110</v>
      </c>
      <c r="M35" s="5" t="n">
        <v>4.5</v>
      </c>
      <c r="N35" s="5" t="n">
        <v>4.480398173459048</v>
      </c>
      <c r="O35" s="5" t="n">
        <v>4.5</v>
      </c>
      <c r="P35" s="5" t="n">
        <v>0.01960182654095188</v>
      </c>
      <c r="Q35" s="6" t="n">
        <v>0.1252391355802005</v>
      </c>
      <c r="R35" s="6" t="n">
        <v>0.5358281598000955</v>
      </c>
      <c r="S35" s="6" t="n">
        <v>0.4572564612326044</v>
      </c>
      <c r="T35" s="2" t="inlineStr">
        <is>
          <t>Under</t>
        </is>
      </c>
      <c r="U35" s="4" t="n">
        <v>110</v>
      </c>
      <c r="V35" s="2" t="n">
        <v>2.1</v>
      </c>
      <c r="W35" s="4" t="n">
        <v>110</v>
      </c>
      <c r="X35" s="2" t="n">
        <v>1</v>
      </c>
      <c r="Y35" s="5" t="n">
        <v>1.1</v>
      </c>
      <c r="Z35" s="7" t="n">
        <v>100</v>
      </c>
      <c r="AA35" s="7">
        <f>Y35*Z35</f>
        <v/>
      </c>
      <c r="AB35" s="6">
        <f>IF(Z35=0,0,AA35/Z35)</f>
        <v/>
      </c>
      <c r="AC35" s="6" t="n"/>
      <c r="AD35" s="2" t="inlineStr">
        <is>
          <t>Win</t>
        </is>
      </c>
      <c r="AE35" s="6">
        <f>IF((COUNTIF($AD$2:AD35,"Win")+COUNTIF($AD$2:AD35,"Loss"))=0,0,COUNTIF($AD$2:AD35,"Win")/(COUNTIF($AD$2:AD35,"Win")+COUNTIF($AD$2:AD35,"Loss")))</f>
        <v/>
      </c>
      <c r="AF35" s="6">
        <f>SUM($Y$2:Y35)/SUM($X$2:X35)</f>
        <v/>
      </c>
      <c r="AG35" s="5">
        <f>SUM($Y$2:Y35)</f>
        <v/>
      </c>
      <c r="AH35" s="7">
        <f>10000.0+SUM($AA$2:AA35)</f>
        <v/>
      </c>
      <c r="AI35" s="2" t="n">
        <v>2025</v>
      </c>
      <c r="AJ35" s="2" t="inlineStr">
        <is>
          <t>2025-07</t>
        </is>
      </c>
      <c r="AK35" s="2" t="inlineStr">
        <is>
          <t>+100 to +120</t>
        </is>
      </c>
      <c r="AL35" s="2" t="inlineStr">
        <is>
          <t>2025 Validation</t>
        </is>
      </c>
      <c r="AM35" s="6" t="n">
        <v>0.1138537596183641</v>
      </c>
    </row>
    <row r="36">
      <c r="A36" s="2" t="inlineStr">
        <is>
          <t>KPROP-00035</t>
        </is>
      </c>
      <c r="B36" s="3" t="n">
        <v>45847.59070601852</v>
      </c>
      <c r="C36" s="3" t="n">
        <v>45847</v>
      </c>
      <c r="D36" s="2" t="inlineStr">
        <is>
          <t>Tyler Glasnow</t>
        </is>
      </c>
      <c r="E36" s="2" t="n">
        <v>119</v>
      </c>
      <c r="F36" s="2" t="n">
        <v>158</v>
      </c>
      <c r="G36" s="2" t="inlineStr">
        <is>
          <t>Away</t>
        </is>
      </c>
      <c r="H36" s="2" t="inlineStr">
        <is>
          <t>bovada</t>
        </is>
      </c>
      <c r="I36" s="4" t="n"/>
      <c r="J36" s="4" t="n"/>
      <c r="K36" s="4" t="n">
        <v>-105</v>
      </c>
      <c r="L36" s="4" t="n">
        <v>-105</v>
      </c>
      <c r="M36" s="5" t="n">
        <v>5.5</v>
      </c>
      <c r="N36" s="5" t="n">
        <v>4.987651645375807</v>
      </c>
      <c r="O36" s="5" t="n">
        <v>5.5</v>
      </c>
      <c r="P36" s="5" t="n">
        <v>0.5123483546241934</v>
      </c>
      <c r="Q36" s="6" t="n">
        <v>0.2068201172214874</v>
      </c>
      <c r="R36" s="6" t="n">
        <v>0.6181273771134448</v>
      </c>
      <c r="S36" s="6" t="n">
        <v>0.4943946188340808</v>
      </c>
      <c r="T36" s="2" t="inlineStr">
        <is>
          <t>Under</t>
        </is>
      </c>
      <c r="U36" s="4" t="n">
        <v>-105</v>
      </c>
      <c r="V36" s="2" t="n">
        <v>1.952380952380952</v>
      </c>
      <c r="W36" s="4" t="n">
        <v>-105</v>
      </c>
      <c r="X36" s="2" t="n">
        <v>1</v>
      </c>
      <c r="Y36" s="5" t="n">
        <v>0.9523809523809523</v>
      </c>
      <c r="Z36" s="7" t="n">
        <v>100</v>
      </c>
      <c r="AA36" s="7">
        <f>Y36*Z36</f>
        <v/>
      </c>
      <c r="AB36" s="6">
        <f>IF(Z36=0,0,AA36/Z36)</f>
        <v/>
      </c>
      <c r="AC36" s="6" t="n"/>
      <c r="AD36" s="2" t="inlineStr">
        <is>
          <t>Win</t>
        </is>
      </c>
      <c r="AE36" s="6">
        <f>IF((COUNTIF($AD$2:AD36,"Win")+COUNTIF($AD$2:AD36,"Loss"))=0,0,COUNTIF($AD$2:AD36,"Win")/(COUNTIF($AD$2:AD36,"Win")+COUNTIF($AD$2:AD36,"Loss")))</f>
        <v/>
      </c>
      <c r="AF36" s="6">
        <f>SUM($Y$2:Y36)/SUM($X$2:X36)</f>
        <v/>
      </c>
      <c r="AG36" s="5">
        <f>SUM($Y$2:Y36)</f>
        <v/>
      </c>
      <c r="AH36" s="7">
        <f>10000.0+SUM($AA$2:AA36)</f>
        <v/>
      </c>
      <c r="AI36" s="2" t="n">
        <v>2025</v>
      </c>
      <c r="AJ36" s="2" t="inlineStr">
        <is>
          <t>2025-07</t>
        </is>
      </c>
      <c r="AK36" s="2" t="inlineStr">
        <is>
          <t>-119 to -101</t>
        </is>
      </c>
      <c r="AL36" s="2" t="inlineStr">
        <is>
          <t>2025 Validation</t>
        </is>
      </c>
      <c r="AM36" s="6" t="n">
        <v>0.2171611230825618</v>
      </c>
    </row>
    <row r="37">
      <c r="A37" s="2" t="inlineStr">
        <is>
          <t>KPROP-00036</t>
        </is>
      </c>
      <c r="B37" s="3" t="n">
        <v>45848.54903935185</v>
      </c>
      <c r="C37" s="3" t="n">
        <v>45848</v>
      </c>
      <c r="D37" s="2" t="inlineStr">
        <is>
          <t>Chris Paddack</t>
        </is>
      </c>
      <c r="E37" s="2" t="n">
        <v>142</v>
      </c>
      <c r="F37" s="2" t="n">
        <v>112</v>
      </c>
      <c r="G37" s="2" t="inlineStr">
        <is>
          <t>Home</t>
        </is>
      </c>
      <c r="H37" s="2" t="inlineStr">
        <is>
          <t>betrivers</t>
        </is>
      </c>
      <c r="I37" s="4" t="n"/>
      <c r="J37" s="4" t="n"/>
      <c r="K37" s="4" t="n">
        <v>132</v>
      </c>
      <c r="L37" s="4" t="n">
        <v>132</v>
      </c>
      <c r="M37" s="5" t="n">
        <v>3.5</v>
      </c>
      <c r="N37" s="5" t="n">
        <v>3.724616169675982</v>
      </c>
      <c r="O37" s="5" t="n">
        <v>3.5</v>
      </c>
      <c r="P37" s="5" t="n">
        <v>-0.2246161696759823</v>
      </c>
      <c r="Q37" s="6" t="n">
        <v>0.1345435963997151</v>
      </c>
      <c r="R37" s="6" t="n">
        <v>0.4890274122412565</v>
      </c>
      <c r="S37" s="6" t="n">
        <v>0.4090768755788824</v>
      </c>
      <c r="T37" s="2" t="inlineStr">
        <is>
          <t>Under</t>
        </is>
      </c>
      <c r="U37" s="4" t="n">
        <v>132</v>
      </c>
      <c r="V37" s="2" t="n">
        <v>2.32</v>
      </c>
      <c r="W37" s="4" t="n">
        <v>132</v>
      </c>
      <c r="X37" s="2" t="n">
        <v>1</v>
      </c>
      <c r="Y37" s="5" t="n">
        <v>1.32</v>
      </c>
      <c r="Z37" s="7" t="n">
        <v>100</v>
      </c>
      <c r="AA37" s="7">
        <f>Y37*Z37</f>
        <v/>
      </c>
      <c r="AB37" s="6">
        <f>IF(Z37=0,0,AA37/Z37)</f>
        <v/>
      </c>
      <c r="AC37" s="6" t="n"/>
      <c r="AD37" s="2" t="inlineStr">
        <is>
          <t>Win</t>
        </is>
      </c>
      <c r="AE37" s="6">
        <f>IF((COUNTIF($AD$2:AD37,"Win")+COUNTIF($AD$2:AD37,"Loss"))=0,0,COUNTIF($AD$2:AD37,"Win")/(COUNTIF($AD$2:AD37,"Win")+COUNTIF($AD$2:AD37,"Loss")))</f>
        <v/>
      </c>
      <c r="AF37" s="6">
        <f>SUM($Y$2:Y37)/SUM($X$2:X37)</f>
        <v/>
      </c>
      <c r="AG37" s="5">
        <f>SUM($Y$2:Y37)</f>
        <v/>
      </c>
      <c r="AH37" s="7">
        <f>10000.0+SUM($AA$2:AA37)</f>
        <v/>
      </c>
      <c r="AI37" s="2" t="n">
        <v>2025</v>
      </c>
      <c r="AJ37" s="2" t="inlineStr">
        <is>
          <t>2025-07</t>
        </is>
      </c>
      <c r="AK37" s="2" t="inlineStr">
        <is>
          <t>+121 to +150</t>
        </is>
      </c>
      <c r="AL37" s="2" t="inlineStr">
        <is>
          <t>2025 Validation</t>
        </is>
      </c>
      <c r="AM37" s="6" t="n">
        <v>0.1019269669694811</v>
      </c>
    </row>
    <row r="38">
      <c r="A38" s="2" t="inlineStr">
        <is>
          <t>KPROP-00037</t>
        </is>
      </c>
      <c r="B38" s="3" t="n">
        <v>45848.54903935185</v>
      </c>
      <c r="C38" s="3" t="n">
        <v>45848</v>
      </c>
      <c r="D38" s="2" t="inlineStr">
        <is>
          <t>Chris Paddack</t>
        </is>
      </c>
      <c r="E38" s="2" t="n">
        <v>142</v>
      </c>
      <c r="F38" s="2" t="n">
        <v>112</v>
      </c>
      <c r="G38" s="2" t="inlineStr">
        <is>
          <t>Home</t>
        </is>
      </c>
      <c r="H38" s="2" t="inlineStr">
        <is>
          <t>fanduel</t>
        </is>
      </c>
      <c r="I38" s="4" t="n"/>
      <c r="J38" s="4" t="n"/>
      <c r="K38" s="4" t="n">
        <v>-156</v>
      </c>
      <c r="L38" s="4" t="n">
        <v>-156</v>
      </c>
      <c r="M38" s="5" t="n">
        <v>4.5</v>
      </c>
      <c r="N38" s="5" t="n">
        <v>3.724616169675982</v>
      </c>
      <c r="O38" s="5" t="n">
        <v>4.5</v>
      </c>
      <c r="P38" s="5" t="n">
        <v>0.7753838303240177</v>
      </c>
      <c r="Q38" s="6" t="n">
        <v>0.1199379872468033</v>
      </c>
      <c r="R38" s="6" t="n">
        <v>0.6824622109785208</v>
      </c>
      <c r="S38" s="6" t="n">
        <v>0.5782537067545305</v>
      </c>
      <c r="T38" s="2" t="inlineStr">
        <is>
          <t>Under</t>
        </is>
      </c>
      <c r="U38" s="4" t="n">
        <v>-156</v>
      </c>
      <c r="V38" s="2" t="n">
        <v>1.641025641025641</v>
      </c>
      <c r="W38" s="4" t="n">
        <v>-156</v>
      </c>
      <c r="X38" s="2" t="n">
        <v>1</v>
      </c>
      <c r="Y38" s="5" t="n">
        <v>0.641025641025641</v>
      </c>
      <c r="Z38" s="7" t="n">
        <v>100</v>
      </c>
      <c r="AA38" s="7">
        <f>Y38*Z38</f>
        <v/>
      </c>
      <c r="AB38" s="6">
        <f>IF(Z38=0,0,AA38/Z38)</f>
        <v/>
      </c>
      <c r="AC38" s="6" t="n"/>
      <c r="AD38" s="2" t="inlineStr">
        <is>
          <t>Win</t>
        </is>
      </c>
      <c r="AE38" s="6">
        <f>IF((COUNTIF($AD$2:AD38,"Win")+COUNTIF($AD$2:AD38,"Loss"))=0,0,COUNTIF($AD$2:AD38,"Win")/(COUNTIF($AD$2:AD38,"Win")+COUNTIF($AD$2:AD38,"Loss")))</f>
        <v/>
      </c>
      <c r="AF38" s="6">
        <f>SUM($Y$2:Y38)/SUM($X$2:X38)</f>
        <v/>
      </c>
      <c r="AG38" s="5">
        <f>SUM($Y$2:Y38)</f>
        <v/>
      </c>
      <c r="AH38" s="7">
        <f>10000.0+SUM($AA$2:AA38)</f>
        <v/>
      </c>
      <c r="AI38" s="2" t="n">
        <v>2025</v>
      </c>
      <c r="AJ38" s="2" t="inlineStr">
        <is>
          <t>2025-07</t>
        </is>
      </c>
      <c r="AK38" s="2" t="inlineStr">
        <is>
          <t>&lt;= -150</t>
        </is>
      </c>
      <c r="AL38" s="2" t="inlineStr">
        <is>
          <t>2025 Validation</t>
        </is>
      </c>
      <c r="AM38" s="6" t="n">
        <v>0.1871032601050131</v>
      </c>
    </row>
    <row r="39">
      <c r="A39" s="2" t="inlineStr">
        <is>
          <t>KPROP-00038</t>
        </is>
      </c>
      <c r="B39" s="3" t="n">
        <v>45848.71571759259</v>
      </c>
      <c r="C39" s="3" t="n">
        <v>45848</v>
      </c>
      <c r="D39" s="2" t="inlineStr">
        <is>
          <t>Nick Lodolo</t>
        </is>
      </c>
      <c r="E39" s="2" t="n">
        <v>113</v>
      </c>
      <c r="F39" s="2" t="n">
        <v>146</v>
      </c>
      <c r="G39" s="2" t="inlineStr">
        <is>
          <t>Home</t>
        </is>
      </c>
      <c r="H39" s="2" t="inlineStr">
        <is>
          <t>betmgm</t>
        </is>
      </c>
      <c r="I39" s="4" t="n"/>
      <c r="J39" s="4" t="n"/>
      <c r="K39" s="4" t="n">
        <v>-105</v>
      </c>
      <c r="L39" s="4" t="n">
        <v>-105</v>
      </c>
      <c r="M39" s="5" t="n">
        <v>5.5</v>
      </c>
      <c r="N39" s="5" t="n">
        <v>5.235166062390426</v>
      </c>
      <c r="O39" s="5" t="n">
        <v>5.5</v>
      </c>
      <c r="P39" s="5" t="n">
        <v>0.2648339376095743</v>
      </c>
      <c r="Q39" s="6" t="n">
        <v>0.1221717420326062</v>
      </c>
      <c r="R39" s="6" t="n">
        <v>0.5747708922606032</v>
      </c>
      <c r="S39" s="6" t="n">
        <v>0.4954843079701965</v>
      </c>
      <c r="T39" s="2" t="inlineStr">
        <is>
          <t>Under</t>
        </is>
      </c>
      <c r="U39" s="4" t="n">
        <v>-105</v>
      </c>
      <c r="V39" s="2" t="n">
        <v>1.952380952380952</v>
      </c>
      <c r="W39" s="4" t="n">
        <v>-105</v>
      </c>
      <c r="X39" s="2" t="n">
        <v>1</v>
      </c>
      <c r="Y39" s="5" t="n">
        <v>0.9523809523809523</v>
      </c>
      <c r="Z39" s="7" t="n">
        <v>100</v>
      </c>
      <c r="AA39" s="7">
        <f>Y39*Z39</f>
        <v/>
      </c>
      <c r="AB39" s="6">
        <f>IF(Z39=0,0,AA39/Z39)</f>
        <v/>
      </c>
      <c r="AC39" s="6" t="n"/>
      <c r="AD39" s="2" t="inlineStr">
        <is>
          <t>Win</t>
        </is>
      </c>
      <c r="AE39" s="6">
        <f>IF((COUNTIF($AD$2:AD39,"Win")+COUNTIF($AD$2:AD39,"Loss"))=0,0,COUNTIF($AD$2:AD39,"Win")/(COUNTIF($AD$2:AD39,"Win")+COUNTIF($AD$2:AD39,"Loss")))</f>
        <v/>
      </c>
      <c r="AF39" s="6">
        <f>SUM($Y$2:Y39)/SUM($X$2:X39)</f>
        <v/>
      </c>
      <c r="AG39" s="5">
        <f>SUM($Y$2:Y39)</f>
        <v/>
      </c>
      <c r="AH39" s="7">
        <f>10000.0+SUM($AA$2:AA39)</f>
        <v/>
      </c>
      <c r="AI39" s="2" t="n">
        <v>2025</v>
      </c>
      <c r="AJ39" s="2" t="inlineStr">
        <is>
          <t>2025-07</t>
        </is>
      </c>
      <c r="AK39" s="2" t="inlineStr">
        <is>
          <t>-119 to -101</t>
        </is>
      </c>
      <c r="AL39" s="2" t="inlineStr">
        <is>
          <t>2025 Validation</t>
        </is>
      </c>
      <c r="AM39" s="6" t="n">
        <v>0.1282803291342365</v>
      </c>
    </row>
    <row r="40">
      <c r="A40" s="2" t="inlineStr">
        <is>
          <t>KPROP-00039</t>
        </is>
      </c>
      <c r="B40" s="3" t="n">
        <v>45849.79557870371</v>
      </c>
      <c r="C40" s="3" t="n">
        <v>45849</v>
      </c>
      <c r="D40" s="2" t="inlineStr">
        <is>
          <t>Dean Kremer</t>
        </is>
      </c>
      <c r="E40" s="2" t="n">
        <v>110</v>
      </c>
      <c r="F40" s="2" t="n">
        <v>146</v>
      </c>
      <c r="G40" s="2" t="inlineStr">
        <is>
          <t>Home</t>
        </is>
      </c>
      <c r="H40" s="2" t="inlineStr">
        <is>
          <t>fanduel</t>
        </is>
      </c>
      <c r="I40" s="4" t="n"/>
      <c r="J40" s="4" t="n"/>
      <c r="K40" s="4" t="n">
        <v>-110</v>
      </c>
      <c r="L40" s="4" t="n">
        <v>-110</v>
      </c>
      <c r="M40" s="5" t="n">
        <v>4.5</v>
      </c>
      <c r="N40" s="5" t="n">
        <v>4.103476973708609</v>
      </c>
      <c r="O40" s="5" t="n">
        <v>4.5</v>
      </c>
      <c r="P40" s="5" t="n">
        <v>0.3965230262913915</v>
      </c>
      <c r="Q40" s="6" t="n">
        <v>0.1619297504370012</v>
      </c>
      <c r="R40" s="6" t="n">
        <v>0.6086298692765244</v>
      </c>
      <c r="S40" s="6" t="n">
        <v>0.5010897994768962</v>
      </c>
      <c r="T40" s="2" t="inlineStr">
        <is>
          <t>Under</t>
        </is>
      </c>
      <c r="U40" s="4" t="n">
        <v>-110</v>
      </c>
      <c r="V40" s="2" t="n">
        <v>1.909090909090909</v>
      </c>
      <c r="W40" s="4" t="n">
        <v>-110</v>
      </c>
      <c r="X40" s="2" t="n">
        <v>1</v>
      </c>
      <c r="Y40" s="5" t="n">
        <v>-1</v>
      </c>
      <c r="Z40" s="7" t="n">
        <v>100</v>
      </c>
      <c r="AA40" s="7">
        <f>Y40*Z40</f>
        <v/>
      </c>
      <c r="AB40" s="6">
        <f>IF(Z40=0,0,AA40/Z40)</f>
        <v/>
      </c>
      <c r="AC40" s="6" t="n"/>
      <c r="AD40" s="2" t="inlineStr">
        <is>
          <t>Loss</t>
        </is>
      </c>
      <c r="AE40" s="6">
        <f>IF((COUNTIF($AD$2:AD40,"Win")+COUNTIF($AD$2:AD40,"Loss"))=0,0,COUNTIF($AD$2:AD40,"Win")/(COUNTIF($AD$2:AD40,"Win")+COUNTIF($AD$2:AD40,"Loss")))</f>
        <v/>
      </c>
      <c r="AF40" s="6">
        <f>SUM($Y$2:Y40)/SUM($X$2:X40)</f>
        <v/>
      </c>
      <c r="AG40" s="5">
        <f>SUM($Y$2:Y40)</f>
        <v/>
      </c>
      <c r="AH40" s="7">
        <f>10000.0+SUM($AA$2:AA40)</f>
        <v/>
      </c>
      <c r="AI40" s="2" t="n">
        <v>2025</v>
      </c>
      <c r="AJ40" s="2" t="inlineStr">
        <is>
          <t>2025-07</t>
        </is>
      </c>
      <c r="AK40" s="2" t="inlineStr">
        <is>
          <t>-119 to -101</t>
        </is>
      </c>
      <c r="AL40" s="2" t="inlineStr">
        <is>
          <t>2025 Validation</t>
        </is>
      </c>
      <c r="AM40" s="6" t="n">
        <v>0.1781227254807013</v>
      </c>
    </row>
    <row r="41">
      <c r="A41" s="2" t="inlineStr">
        <is>
          <t>KPROP-00040</t>
        </is>
      </c>
      <c r="B41" s="3" t="n">
        <v>45850.67403935185</v>
      </c>
      <c r="C41" s="3" t="n">
        <v>45850</v>
      </c>
      <c r="D41" s="2" t="inlineStr">
        <is>
          <t>Brady Singer</t>
        </is>
      </c>
      <c r="E41" s="2" t="n">
        <v>113</v>
      </c>
      <c r="F41" s="2" t="n">
        <v>115</v>
      </c>
      <c r="G41" s="2" t="inlineStr">
        <is>
          <t>Home</t>
        </is>
      </c>
      <c r="H41" s="2" t="inlineStr">
        <is>
          <t>draftkings</t>
        </is>
      </c>
      <c r="I41" s="4" t="n"/>
      <c r="J41" s="4" t="n"/>
      <c r="K41" s="4" t="n">
        <v>125</v>
      </c>
      <c r="L41" s="4" t="n">
        <v>125</v>
      </c>
      <c r="M41" s="5" t="n">
        <v>5.5</v>
      </c>
      <c r="N41" s="5" t="n">
        <v>5.315113076154229</v>
      </c>
      <c r="O41" s="5" t="n">
        <v>5.5</v>
      </c>
      <c r="P41" s="5" t="n">
        <v>0.1848869238457711</v>
      </c>
      <c r="Q41" s="6" t="n">
        <v>0.2619024570501519</v>
      </c>
      <c r="R41" s="6" t="n">
        <v>0.5608455364667342</v>
      </c>
      <c r="S41" s="6" t="n">
        <v>0.4242424242424243</v>
      </c>
      <c r="T41" s="2" t="inlineStr">
        <is>
          <t>Under</t>
        </is>
      </c>
      <c r="U41" s="4" t="n">
        <v>125</v>
      </c>
      <c r="V41" s="2" t="n">
        <v>2.25</v>
      </c>
      <c r="W41" s="4" t="n">
        <v>125</v>
      </c>
      <c r="X41" s="2" t="n">
        <v>1</v>
      </c>
      <c r="Y41" s="5" t="n">
        <v>-1</v>
      </c>
      <c r="Z41" s="7" t="n">
        <v>100</v>
      </c>
      <c r="AA41" s="7">
        <f>Y41*Z41</f>
        <v/>
      </c>
      <c r="AB41" s="6">
        <f>IF(Z41=0,0,AA41/Z41)</f>
        <v/>
      </c>
      <c r="AC41" s="6" t="n"/>
      <c r="AD41" s="2" t="inlineStr">
        <is>
          <t>Loss</t>
        </is>
      </c>
      <c r="AE41" s="6">
        <f>IF((COUNTIF($AD$2:AD41,"Win")+COUNTIF($AD$2:AD41,"Loss"))=0,0,COUNTIF($AD$2:AD41,"Win")/(COUNTIF($AD$2:AD41,"Win")+COUNTIF($AD$2:AD41,"Loss")))</f>
        <v/>
      </c>
      <c r="AF41" s="6">
        <f>SUM($Y$2:Y41)/SUM($X$2:X41)</f>
        <v/>
      </c>
      <c r="AG41" s="5">
        <f>SUM($Y$2:Y41)</f>
        <v/>
      </c>
      <c r="AH41" s="7">
        <f>10000.0+SUM($AA$2:AA41)</f>
        <v/>
      </c>
      <c r="AI41" s="2" t="n">
        <v>2025</v>
      </c>
      <c r="AJ41" s="2" t="inlineStr">
        <is>
          <t>2025-07</t>
        </is>
      </c>
      <c r="AK41" s="2" t="inlineStr">
        <is>
          <t>+121 to +150</t>
        </is>
      </c>
      <c r="AL41" s="2" t="inlineStr">
        <is>
          <t>2025 Validation</t>
        </is>
      </c>
      <c r="AM41" s="6" t="n">
        <v>0.2095219656401215</v>
      </c>
    </row>
    <row r="42">
      <c r="A42" s="2" t="inlineStr">
        <is>
          <t>KPROP-00041</t>
        </is>
      </c>
      <c r="B42" s="3" t="n">
        <v>45850.67403935185</v>
      </c>
      <c r="C42" s="3" t="n">
        <v>45850</v>
      </c>
      <c r="D42" s="2" t="inlineStr">
        <is>
          <t>Brady Singer</t>
        </is>
      </c>
      <c r="E42" s="2" t="n">
        <v>113</v>
      </c>
      <c r="F42" s="2" t="n">
        <v>115</v>
      </c>
      <c r="G42" s="2" t="inlineStr">
        <is>
          <t>Home</t>
        </is>
      </c>
      <c r="H42" s="2" t="inlineStr">
        <is>
          <t>betmgm</t>
        </is>
      </c>
      <c r="I42" s="4" t="n"/>
      <c r="J42" s="4" t="n"/>
      <c r="K42" s="4" t="n">
        <v>-160</v>
      </c>
      <c r="L42" s="4" t="n">
        <v>-160</v>
      </c>
      <c r="M42" s="5" t="n">
        <v>6.5</v>
      </c>
      <c r="N42" s="5" t="n">
        <v>5.315113076154229</v>
      </c>
      <c r="O42" s="5" t="n">
        <v>6.5</v>
      </c>
      <c r="P42" s="5" t="n">
        <v>1.184886923845771</v>
      </c>
      <c r="Q42" s="6" t="n">
        <v>0.1615649715669305</v>
      </c>
      <c r="R42" s="6" t="n">
        <v>0.7148092132719572</v>
      </c>
      <c r="S42" s="6" t="n">
        <v>0.5817245817245817</v>
      </c>
      <c r="T42" s="2" t="inlineStr">
        <is>
          <t>Under</t>
        </is>
      </c>
      <c r="U42" s="4" t="n">
        <v>-160</v>
      </c>
      <c r="V42" s="2" t="n">
        <v>1.625</v>
      </c>
      <c r="W42" s="4" t="n">
        <v>-160</v>
      </c>
      <c r="X42" s="2" t="n">
        <v>1</v>
      </c>
      <c r="Y42" s="5" t="n">
        <v>-1</v>
      </c>
      <c r="Z42" s="7" t="n">
        <v>100</v>
      </c>
      <c r="AA42" s="7">
        <f>Y42*Z42</f>
        <v/>
      </c>
      <c r="AB42" s="6">
        <f>IF(Z42=0,0,AA42/Z42)</f>
        <v/>
      </c>
      <c r="AC42" s="6" t="n"/>
      <c r="AD42" s="2" t="inlineStr">
        <is>
          <t>Loss</t>
        </is>
      </c>
      <c r="AE42" s="6">
        <f>IF((COUNTIF($AD$2:AD42,"Win")+COUNTIF($AD$2:AD42,"Loss"))=0,0,COUNTIF($AD$2:AD42,"Win")/(COUNTIF($AD$2:AD42,"Win")+COUNTIF($AD$2:AD42,"Loss")))</f>
        <v/>
      </c>
      <c r="AF42" s="6">
        <f>SUM($Y$2:Y42)/SUM($X$2:X42)</f>
        <v/>
      </c>
      <c r="AG42" s="5">
        <f>SUM($Y$2:Y42)</f>
        <v/>
      </c>
      <c r="AH42" s="7">
        <f>10000.0+SUM($AA$2:AA42)</f>
        <v/>
      </c>
      <c r="AI42" s="2" t="n">
        <v>2025</v>
      </c>
      <c r="AJ42" s="2" t="inlineStr">
        <is>
          <t>2025-07</t>
        </is>
      </c>
      <c r="AK42" s="2" t="inlineStr">
        <is>
          <t>&lt;= -150</t>
        </is>
      </c>
      <c r="AL42" s="2" t="inlineStr">
        <is>
          <t>2025 Validation</t>
        </is>
      </c>
      <c r="AM42" s="6" t="n">
        <v>0.2585039545070888</v>
      </c>
    </row>
    <row r="43">
      <c r="A43" s="2" t="inlineStr">
        <is>
          <t>KPROP-00042</t>
        </is>
      </c>
      <c r="B43" s="3" t="n">
        <v>45850.81641203703</v>
      </c>
      <c r="C43" s="3" t="n">
        <v>45850</v>
      </c>
      <c r="D43" s="2" t="inlineStr">
        <is>
          <t>Framber Valdez</t>
        </is>
      </c>
      <c r="E43" s="2" t="n">
        <v>117</v>
      </c>
      <c r="F43" s="2" t="n">
        <v>140</v>
      </c>
      <c r="G43" s="2" t="inlineStr">
        <is>
          <t>Home</t>
        </is>
      </c>
      <c r="H43" s="2" t="inlineStr">
        <is>
          <t>fanduel</t>
        </is>
      </c>
      <c r="I43" s="4" t="n"/>
      <c r="J43" s="4" t="n"/>
      <c r="K43" s="4" t="n">
        <v>-128</v>
      </c>
      <c r="L43" s="4" t="n">
        <v>-128</v>
      </c>
      <c r="M43" s="5" t="n">
        <v>6.5</v>
      </c>
      <c r="N43" s="5" t="n">
        <v>5.579702908189972</v>
      </c>
      <c r="O43" s="5" t="n">
        <v>6.5</v>
      </c>
      <c r="P43" s="5" t="n">
        <v>0.9202970918100277</v>
      </c>
      <c r="Q43" s="6" t="n">
        <v>0.1996191890072433</v>
      </c>
      <c r="R43" s="6" t="n">
        <v>0.6734704218988032</v>
      </c>
      <c r="S43" s="6" t="n">
        <v>0.5350734094616639</v>
      </c>
      <c r="T43" s="2" t="inlineStr">
        <is>
          <t>Under</t>
        </is>
      </c>
      <c r="U43" s="4" t="n">
        <v>-128</v>
      </c>
      <c r="V43" s="2" t="n">
        <v>1.78125</v>
      </c>
      <c r="W43" s="4" t="n">
        <v>-128</v>
      </c>
      <c r="X43" s="2" t="n">
        <v>1</v>
      </c>
      <c r="Y43" s="5" t="n">
        <v>-1</v>
      </c>
      <c r="Z43" s="7" t="n">
        <v>100</v>
      </c>
      <c r="AA43" s="7">
        <f>Y43*Z43</f>
        <v/>
      </c>
      <c r="AB43" s="6">
        <f>IF(Z43=0,0,AA43/Z43)</f>
        <v/>
      </c>
      <c r="AC43" s="6" t="n"/>
      <c r="AD43" s="2" t="inlineStr">
        <is>
          <t>Loss</t>
        </is>
      </c>
      <c r="AE43" s="6">
        <f>IF((COUNTIF($AD$2:AD43,"Win")+COUNTIF($AD$2:AD43,"Loss"))=0,0,COUNTIF($AD$2:AD43,"Win")/(COUNTIF($AD$2:AD43,"Win")+COUNTIF($AD$2:AD43,"Loss")))</f>
        <v/>
      </c>
      <c r="AF43" s="6">
        <f>SUM($Y$2:Y43)/SUM($X$2:X43)</f>
        <v/>
      </c>
      <c r="AG43" s="5">
        <f>SUM($Y$2:Y43)</f>
        <v/>
      </c>
      <c r="AH43" s="7">
        <f>10000.0+SUM($AA$2:AA43)</f>
        <v/>
      </c>
      <c r="AI43" s="2" t="n">
        <v>2025</v>
      </c>
      <c r="AJ43" s="2" t="inlineStr">
        <is>
          <t>2025-07</t>
        </is>
      </c>
      <c r="AK43" s="2" t="inlineStr">
        <is>
          <t>-149 to -120</t>
        </is>
      </c>
      <c r="AL43" s="2" t="inlineStr">
        <is>
          <t>2025 Validation</t>
        </is>
      </c>
      <c r="AM43" s="6" t="n">
        <v>0.2555125619292714</v>
      </c>
    </row>
    <row r="44">
      <c r="A44" s="2" t="inlineStr">
        <is>
          <t>KPROP-00043</t>
        </is>
      </c>
      <c r="B44" s="3" t="n">
        <v>45850.67403935185</v>
      </c>
      <c r="C44" s="3" t="n">
        <v>45850</v>
      </c>
      <c r="D44" s="2" t="inlineStr">
        <is>
          <t>Garrett Crochet</t>
        </is>
      </c>
      <c r="E44" s="2" t="n">
        <v>111</v>
      </c>
      <c r="F44" s="2" t="n">
        <v>139</v>
      </c>
      <c r="G44" s="2" t="inlineStr">
        <is>
          <t>Home</t>
        </is>
      </c>
      <c r="H44" s="2" t="inlineStr">
        <is>
          <t>betrivers</t>
        </is>
      </c>
      <c r="I44" s="4" t="n"/>
      <c r="J44" s="4" t="n"/>
      <c r="K44" s="4" t="n">
        <v>132</v>
      </c>
      <c r="L44" s="4" t="n">
        <v>132</v>
      </c>
      <c r="M44" s="5" t="n">
        <v>6.5</v>
      </c>
      <c r="N44" s="5" t="n">
        <v>6.713673233589651</v>
      </c>
      <c r="O44" s="5" t="n">
        <v>6.5</v>
      </c>
      <c r="P44" s="5" t="n">
        <v>-0.2136732335896507</v>
      </c>
      <c r="Q44" s="6" t="n">
        <v>0.1441870463827042</v>
      </c>
      <c r="R44" s="6" t="n">
        <v>0.4931840717166828</v>
      </c>
      <c r="S44" s="6" t="n">
        <v>0.4004316710212427</v>
      </c>
      <c r="T44" s="2" t="inlineStr">
        <is>
          <t>Under</t>
        </is>
      </c>
      <c r="U44" s="4" t="n">
        <v>132</v>
      </c>
      <c r="V44" s="2" t="n">
        <v>2.32</v>
      </c>
      <c r="W44" s="4" t="n">
        <v>132</v>
      </c>
      <c r="X44" s="2" t="n">
        <v>1</v>
      </c>
      <c r="Y44" s="5" t="n">
        <v>-1</v>
      </c>
      <c r="Z44" s="7" t="n">
        <v>100</v>
      </c>
      <c r="AA44" s="7">
        <f>Y44*Z44</f>
        <v/>
      </c>
      <c r="AB44" s="6">
        <f>IF(Z44=0,0,AA44/Z44)</f>
        <v/>
      </c>
      <c r="AC44" s="6" t="n"/>
      <c r="AD44" s="2" t="inlineStr">
        <is>
          <t>Loss</t>
        </is>
      </c>
      <c r="AE44" s="6">
        <f>IF((COUNTIF($AD$2:AD44,"Win")+COUNTIF($AD$2:AD44,"Loss"))=0,0,COUNTIF($AD$2:AD44,"Win")/(COUNTIF($AD$2:AD44,"Win")+COUNTIF($AD$2:AD44,"Loss")))</f>
        <v/>
      </c>
      <c r="AF44" s="6">
        <f>SUM($Y$2:Y44)/SUM($X$2:X44)</f>
        <v/>
      </c>
      <c r="AG44" s="5">
        <f>SUM($Y$2:Y44)</f>
        <v/>
      </c>
      <c r="AH44" s="7">
        <f>10000.0+SUM($AA$2:AA44)</f>
        <v/>
      </c>
      <c r="AI44" s="2" t="n">
        <v>2025</v>
      </c>
      <c r="AJ44" s="2" t="inlineStr">
        <is>
          <t>2025-07</t>
        </is>
      </c>
      <c r="AK44" s="2" t="inlineStr">
        <is>
          <t>+121 to +150</t>
        </is>
      </c>
      <c r="AL44" s="2" t="inlineStr">
        <is>
          <t>2025 Validation</t>
        </is>
      </c>
      <c r="AM44" s="6" t="n">
        <v>0.109232610895988</v>
      </c>
    </row>
    <row r="45">
      <c r="A45" s="2" t="inlineStr">
        <is>
          <t>KPROP-00044</t>
        </is>
      </c>
      <c r="B45" s="3" t="n">
        <v>45850.67403935185</v>
      </c>
      <c r="C45" s="3" t="n">
        <v>45850</v>
      </c>
      <c r="D45" s="2" t="inlineStr">
        <is>
          <t>Garrett Crochet</t>
        </is>
      </c>
      <c r="E45" s="2" t="n">
        <v>111</v>
      </c>
      <c r="F45" s="2" t="n">
        <v>139</v>
      </c>
      <c r="G45" s="2" t="inlineStr">
        <is>
          <t>Home</t>
        </is>
      </c>
      <c r="H45" s="2" t="inlineStr">
        <is>
          <t>fanduel</t>
        </is>
      </c>
      <c r="I45" s="4" t="n"/>
      <c r="J45" s="4" t="n"/>
      <c r="K45" s="4" t="n">
        <v>-136</v>
      </c>
      <c r="L45" s="4" t="n">
        <v>-136</v>
      </c>
      <c r="M45" s="5" t="n">
        <v>7.5</v>
      </c>
      <c r="N45" s="5" t="n">
        <v>6.713673233589651</v>
      </c>
      <c r="O45" s="5" t="n">
        <v>7.5</v>
      </c>
      <c r="P45" s="5" t="n">
        <v>0.7863267664103493</v>
      </c>
      <c r="Q45" s="6" t="n">
        <v>0.1128310132486224</v>
      </c>
      <c r="R45" s="6" t="n">
        <v>0.6412924483127654</v>
      </c>
      <c r="S45" s="6" t="n">
        <v>0.5475460122699387</v>
      </c>
      <c r="T45" s="2" t="inlineStr">
        <is>
          <t>Under</t>
        </is>
      </c>
      <c r="U45" s="4" t="n">
        <v>-136</v>
      </c>
      <c r="V45" s="2" t="n">
        <v>1.735294117647059</v>
      </c>
      <c r="W45" s="4" t="n">
        <v>-136</v>
      </c>
      <c r="X45" s="2" t="n">
        <v>1</v>
      </c>
      <c r="Y45" s="5" t="n">
        <v>-1</v>
      </c>
      <c r="Z45" s="7" t="n">
        <v>100</v>
      </c>
      <c r="AA45" s="7">
        <f>Y45*Z45</f>
        <v/>
      </c>
      <c r="AB45" s="6">
        <f>IF(Z45=0,0,AA45/Z45)</f>
        <v/>
      </c>
      <c r="AC45" s="6" t="n"/>
      <c r="AD45" s="2" t="inlineStr">
        <is>
          <t>Loss</t>
        </is>
      </c>
      <c r="AE45" s="6">
        <f>IF((COUNTIF($AD$2:AD45,"Win")+COUNTIF($AD$2:AD45,"Loss"))=0,0,COUNTIF($AD$2:AD45,"Win")/(COUNTIF($AD$2:AD45,"Win")+COUNTIF($AD$2:AD45,"Loss")))</f>
        <v/>
      </c>
      <c r="AF45" s="6">
        <f>SUM($Y$2:Y45)/SUM($X$2:X45)</f>
        <v/>
      </c>
      <c r="AG45" s="5">
        <f>SUM($Y$2:Y45)</f>
        <v/>
      </c>
      <c r="AH45" s="7">
        <f>10000.0+SUM($AA$2:AA45)</f>
        <v/>
      </c>
      <c r="AI45" s="2" t="n">
        <v>2025</v>
      </c>
      <c r="AJ45" s="2" t="inlineStr">
        <is>
          <t>2025-07</t>
        </is>
      </c>
      <c r="AK45" s="2" t="inlineStr">
        <is>
          <t>-149 to -120</t>
        </is>
      </c>
      <c r="AL45" s="2" t="inlineStr">
        <is>
          <t>2025 Validation</t>
        </is>
      </c>
      <c r="AM45" s="6" t="n">
        <v>0.1534501780181265</v>
      </c>
    </row>
    <row r="46">
      <c r="A46" s="2" t="inlineStr">
        <is>
          <t>KPROP-00045</t>
        </is>
      </c>
      <c r="B46" s="3" t="n">
        <v>45850.59071759259</v>
      </c>
      <c r="C46" s="3" t="n">
        <v>45850</v>
      </c>
      <c r="D46" s="2" t="inlineStr">
        <is>
          <t>Mike Burrows</t>
        </is>
      </c>
      <c r="E46" s="2" t="n">
        <v>134</v>
      </c>
      <c r="F46" s="2" t="n">
        <v>142</v>
      </c>
      <c r="G46" s="2" t="inlineStr">
        <is>
          <t>Away</t>
        </is>
      </c>
      <c r="H46" s="2" t="inlineStr">
        <is>
          <t>bovada</t>
        </is>
      </c>
      <c r="I46" s="4" t="n"/>
      <c r="J46" s="4" t="n"/>
      <c r="K46" s="4" t="n">
        <v>130</v>
      </c>
      <c r="L46" s="4" t="n">
        <v>130</v>
      </c>
      <c r="M46" s="5" t="n">
        <v>4.5</v>
      </c>
      <c r="N46" s="5" t="n">
        <v>4.803504426511019</v>
      </c>
      <c r="O46" s="5" t="n">
        <v>4.5</v>
      </c>
      <c r="P46" s="5" t="n">
        <v>-0.3035044265110187</v>
      </c>
      <c r="Q46" s="6" t="n">
        <v>0.09392837687672706</v>
      </c>
      <c r="R46" s="6" t="n">
        <v>0.475621033424664</v>
      </c>
      <c r="S46" s="6" t="n">
        <v>0.4270462633451957</v>
      </c>
      <c r="T46" s="2" t="inlineStr">
        <is>
          <t>Under</t>
        </is>
      </c>
      <c r="U46" s="4" t="n">
        <v>130</v>
      </c>
      <c r="V46" s="2" t="n">
        <v>2.3</v>
      </c>
      <c r="W46" s="4" t="n">
        <v>130</v>
      </c>
      <c r="X46" s="2" t="n">
        <v>1</v>
      </c>
      <c r="Y46" s="5" t="n">
        <v>1.3</v>
      </c>
      <c r="Z46" s="7" t="n">
        <v>100</v>
      </c>
      <c r="AA46" s="7">
        <f>Y46*Z46</f>
        <v/>
      </c>
      <c r="AB46" s="6">
        <f>IF(Z46=0,0,AA46/Z46)</f>
        <v/>
      </c>
      <c r="AC46" s="6" t="n"/>
      <c r="AD46" s="2" t="inlineStr">
        <is>
          <t>Win</t>
        </is>
      </c>
      <c r="AE46" s="6">
        <f>IF((COUNTIF($AD$2:AD46,"Win")+COUNTIF($AD$2:AD46,"Loss"))=0,0,COUNTIF($AD$2:AD46,"Win")/(COUNTIF($AD$2:AD46,"Win")+COUNTIF($AD$2:AD46,"Loss")))</f>
        <v/>
      </c>
      <c r="AF46" s="6">
        <f>SUM($Y$2:Y46)/SUM($X$2:X46)</f>
        <v/>
      </c>
      <c r="AG46" s="5">
        <f>SUM($Y$2:Y46)</f>
        <v/>
      </c>
      <c r="AH46" s="7">
        <f>10000.0+SUM($AA$2:AA46)</f>
        <v/>
      </c>
      <c r="AI46" s="2" t="n">
        <v>2025</v>
      </c>
      <c r="AJ46" s="2" t="inlineStr">
        <is>
          <t>2025-07</t>
        </is>
      </c>
      <c r="AK46" s="2" t="inlineStr">
        <is>
          <t>+121 to +150</t>
        </is>
      </c>
      <c r="AL46" s="2" t="inlineStr">
        <is>
          <t>2025 Validation</t>
        </is>
      </c>
      <c r="AM46" s="6" t="n">
        <v>0.07225259759748236</v>
      </c>
    </row>
    <row r="47">
      <c r="A47" s="2" t="inlineStr">
        <is>
          <t>KPROP-00046</t>
        </is>
      </c>
      <c r="B47" s="3" t="n">
        <v>45851.56640046297</v>
      </c>
      <c r="C47" s="3" t="n">
        <v>45851</v>
      </c>
      <c r="D47" s="2" t="inlineStr">
        <is>
          <t>Austin Gomber</t>
        </is>
      </c>
      <c r="E47" s="2" t="n">
        <v>115</v>
      </c>
      <c r="F47" s="2" t="n">
        <v>113</v>
      </c>
      <c r="G47" s="2" t="inlineStr">
        <is>
          <t>Away</t>
        </is>
      </c>
      <c r="H47" s="2" t="inlineStr">
        <is>
          <t>betmgm</t>
        </is>
      </c>
      <c r="I47" s="4" t="n"/>
      <c r="J47" s="4" t="n"/>
      <c r="K47" s="4" t="n">
        <v>-110</v>
      </c>
      <c r="L47" s="4" t="n">
        <v>-110</v>
      </c>
      <c r="M47" s="5" t="n">
        <v>3.5</v>
      </c>
      <c r="N47" s="5" t="n">
        <v>3.381818511506641</v>
      </c>
      <c r="O47" s="5" t="n">
        <v>3.5</v>
      </c>
      <c r="P47" s="5" t="n">
        <v>0.1181814884933585</v>
      </c>
      <c r="Q47" s="6" t="n">
        <v>0.07355061757925219</v>
      </c>
      <c r="R47" s="6" t="n">
        <v>0.5623360377796083</v>
      </c>
      <c r="S47" s="6" t="n">
        <v>0.5056053811659194</v>
      </c>
      <c r="T47" s="2" t="inlineStr">
        <is>
          <t>Under</t>
        </is>
      </c>
      <c r="U47" s="4" t="n">
        <v>-110</v>
      </c>
      <c r="V47" s="2" t="n">
        <v>1.909090909090909</v>
      </c>
      <c r="W47" s="4" t="n">
        <v>-110</v>
      </c>
      <c r="X47" s="2" t="n">
        <v>1</v>
      </c>
      <c r="Y47" s="5" t="n">
        <v>0.9090909090909092</v>
      </c>
      <c r="Z47" s="7" t="n">
        <v>100</v>
      </c>
      <c r="AA47" s="7">
        <f>Y47*Z47</f>
        <v/>
      </c>
      <c r="AB47" s="6">
        <f>IF(Z47=0,0,AA47/Z47)</f>
        <v/>
      </c>
      <c r="AC47" s="6" t="n"/>
      <c r="AD47" s="2" t="inlineStr">
        <is>
          <t>Win</t>
        </is>
      </c>
      <c r="AE47" s="6">
        <f>IF((COUNTIF($AD$2:AD47,"Win")+COUNTIF($AD$2:AD47,"Loss"))=0,0,COUNTIF($AD$2:AD47,"Win")/(COUNTIF($AD$2:AD47,"Win")+COUNTIF($AD$2:AD47,"Loss")))</f>
        <v/>
      </c>
      <c r="AF47" s="6">
        <f>SUM($Y$2:Y47)/SUM($X$2:X47)</f>
        <v/>
      </c>
      <c r="AG47" s="5">
        <f>SUM($Y$2:Y47)</f>
        <v/>
      </c>
      <c r="AH47" s="7">
        <f>10000.0+SUM($AA$2:AA47)</f>
        <v/>
      </c>
      <c r="AI47" s="2" t="n">
        <v>2025</v>
      </c>
      <c r="AJ47" s="2" t="inlineStr">
        <is>
          <t>2025-07</t>
        </is>
      </c>
      <c r="AK47" s="2" t="inlineStr">
        <is>
          <t>-119 to -101</t>
        </is>
      </c>
      <c r="AL47" s="2" t="inlineStr">
        <is>
          <t>2025 Validation</t>
        </is>
      </c>
      <c r="AM47" s="6" t="n">
        <v>0.08090567933717739</v>
      </c>
    </row>
    <row r="48">
      <c r="A48" s="2" t="inlineStr">
        <is>
          <t>KPROP-00047</t>
        </is>
      </c>
      <c r="B48" s="3" t="n">
        <v>45851.59070601852</v>
      </c>
      <c r="C48" s="3" t="n">
        <v>45851</v>
      </c>
      <c r="D48" s="2" t="inlineStr">
        <is>
          <t>Freddy Peralta</t>
        </is>
      </c>
      <c r="E48" s="2" t="n">
        <v>158</v>
      </c>
      <c r="F48" s="2" t="n">
        <v>120</v>
      </c>
      <c r="G48" s="2" t="inlineStr">
        <is>
          <t>Home</t>
        </is>
      </c>
      <c r="H48" s="2" t="inlineStr">
        <is>
          <t>betmgm</t>
        </is>
      </c>
      <c r="I48" s="4" t="n"/>
      <c r="J48" s="4" t="n"/>
      <c r="K48" s="4" t="n">
        <v>-135</v>
      </c>
      <c r="L48" s="4" t="n">
        <v>-135</v>
      </c>
      <c r="M48" s="5" t="n">
        <v>6.5</v>
      </c>
      <c r="N48" s="5" t="n">
        <v>5.671645291876422</v>
      </c>
      <c r="O48" s="5" t="n">
        <v>6.5</v>
      </c>
      <c r="P48" s="5" t="n">
        <v>0.8283547081235785</v>
      </c>
      <c r="Q48" s="6" t="n">
        <v>0.146943043424633</v>
      </c>
      <c r="R48" s="6" t="n">
        <v>0.658882173882236</v>
      </c>
      <c r="S48" s="6" t="n">
        <v>0.552594002855783</v>
      </c>
      <c r="T48" s="2" t="inlineStr">
        <is>
          <t>Under</t>
        </is>
      </c>
      <c r="U48" s="4" t="n">
        <v>-135</v>
      </c>
      <c r="V48" s="2" t="n">
        <v>1.740740740740741</v>
      </c>
      <c r="W48" s="4" t="n">
        <v>-135</v>
      </c>
      <c r="X48" s="2" t="n">
        <v>1</v>
      </c>
      <c r="Y48" s="5" t="n">
        <v>-1</v>
      </c>
      <c r="Z48" s="7" t="n">
        <v>100</v>
      </c>
      <c r="AA48" s="7">
        <f>Y48*Z48</f>
        <v/>
      </c>
      <c r="AB48" s="6">
        <f>IF(Z48=0,0,AA48/Z48)</f>
        <v/>
      </c>
      <c r="AC48" s="6" t="n"/>
      <c r="AD48" s="2" t="inlineStr">
        <is>
          <t>Loss</t>
        </is>
      </c>
      <c r="AE48" s="6">
        <f>IF((COUNTIF($AD$2:AD48,"Win")+COUNTIF($AD$2:AD48,"Loss"))=0,0,COUNTIF($AD$2:AD48,"Win")/(COUNTIF($AD$2:AD48,"Win")+COUNTIF($AD$2:AD48,"Loss")))</f>
        <v/>
      </c>
      <c r="AF48" s="6">
        <f>SUM($Y$2:Y48)/SUM($X$2:X48)</f>
        <v/>
      </c>
      <c r="AG48" s="5">
        <f>SUM($Y$2:Y48)</f>
        <v/>
      </c>
      <c r="AH48" s="7">
        <f>10000.0+SUM($AA$2:AA48)</f>
        <v/>
      </c>
      <c r="AI48" s="2" t="n">
        <v>2025</v>
      </c>
      <c r="AJ48" s="2" t="inlineStr">
        <is>
          <t>2025-07</t>
        </is>
      </c>
      <c r="AK48" s="2" t="inlineStr">
        <is>
          <t>-149 to -120</t>
        </is>
      </c>
      <c r="AL48" s="2" t="inlineStr">
        <is>
          <t>2025 Validation</t>
        </is>
      </c>
      <c r="AM48" s="6" t="n">
        <v>0.1983731086232546</v>
      </c>
    </row>
    <row r="49">
      <c r="A49" s="2" t="inlineStr">
        <is>
          <t>KPROP-00048</t>
        </is>
      </c>
      <c r="B49" s="3" t="n">
        <v>45851.67057870371</v>
      </c>
      <c r="C49" s="3" t="n">
        <v>45851</v>
      </c>
      <c r="D49" s="2" t="inlineStr">
        <is>
          <t>Jeffrey Springs</t>
        </is>
      </c>
      <c r="E49" s="2" t="n">
        <v>133</v>
      </c>
      <c r="F49" s="2" t="n">
        <v>141</v>
      </c>
      <c r="G49" s="2" t="inlineStr">
        <is>
          <t>Home</t>
        </is>
      </c>
      <c r="H49" s="2" t="inlineStr">
        <is>
          <t>draftkings</t>
        </is>
      </c>
      <c r="I49" s="4" t="n"/>
      <c r="J49" s="4" t="n"/>
      <c r="K49" s="4" t="n">
        <v>115</v>
      </c>
      <c r="L49" s="4" t="n">
        <v>115</v>
      </c>
      <c r="M49" s="5" t="n">
        <v>3.5</v>
      </c>
      <c r="N49" s="5" t="n">
        <v>3.679338621579114</v>
      </c>
      <c r="O49" s="5" t="n">
        <v>3.5</v>
      </c>
      <c r="P49" s="5" t="n">
        <v>-0.1793386215791144</v>
      </c>
      <c r="Q49" s="6" t="n">
        <v>0.07171923246594492</v>
      </c>
      <c r="R49" s="6" t="n">
        <v>0.4984740616120674</v>
      </c>
      <c r="S49" s="6" t="n">
        <v>0.4428925847652301</v>
      </c>
      <c r="T49" s="2" t="inlineStr">
        <is>
          <t>Under</t>
        </is>
      </c>
      <c r="U49" s="4" t="n">
        <v>115</v>
      </c>
      <c r="V49" s="2" t="n">
        <v>2.15</v>
      </c>
      <c r="W49" s="4" t="n">
        <v>115</v>
      </c>
      <c r="X49" s="2" t="n">
        <v>1</v>
      </c>
      <c r="Y49" s="5" t="n">
        <v>-1</v>
      </c>
      <c r="Z49" s="7" t="n">
        <v>100</v>
      </c>
      <c r="AA49" s="7">
        <f>Y49*Z49</f>
        <v/>
      </c>
      <c r="AB49" s="6">
        <f>IF(Z49=0,0,AA49/Z49)</f>
        <v/>
      </c>
      <c r="AC49" s="6" t="n"/>
      <c r="AD49" s="2" t="inlineStr">
        <is>
          <t>Loss</t>
        </is>
      </c>
      <c r="AE49" s="6">
        <f>IF((COUNTIF($AD$2:AD49,"Win")+COUNTIF($AD$2:AD49,"Loss"))=0,0,COUNTIF($AD$2:AD49,"Win")/(COUNTIF($AD$2:AD49,"Win")+COUNTIF($AD$2:AD49,"Loss")))</f>
        <v/>
      </c>
      <c r="AF49" s="6">
        <f>SUM($Y$2:Y49)/SUM($X$2:X49)</f>
        <v/>
      </c>
      <c r="AG49" s="5">
        <f>SUM($Y$2:Y49)</f>
        <v/>
      </c>
      <c r="AH49" s="7">
        <f>10000.0+SUM($AA$2:AA49)</f>
        <v/>
      </c>
      <c r="AI49" s="2" t="n">
        <v>2025</v>
      </c>
      <c r="AJ49" s="2" t="inlineStr">
        <is>
          <t>2025-07</t>
        </is>
      </c>
      <c r="AK49" s="2" t="inlineStr">
        <is>
          <t>+100 to +120</t>
        </is>
      </c>
      <c r="AL49" s="2" t="inlineStr">
        <is>
          <t>2025 Validation</t>
        </is>
      </c>
      <c r="AM49" s="6" t="n">
        <v>0.06236454997038689</v>
      </c>
    </row>
    <row r="50">
      <c r="A50" s="2" t="inlineStr">
        <is>
          <t>KPROP-00049</t>
        </is>
      </c>
      <c r="B50" s="3" t="n">
        <v>45851.59070601852</v>
      </c>
      <c r="C50" s="3" t="n">
        <v>45851</v>
      </c>
      <c r="D50" s="2" t="inlineStr">
        <is>
          <t>Nathan Eovaldi</t>
        </is>
      </c>
      <c r="E50" s="2" t="n">
        <v>140</v>
      </c>
      <c r="F50" s="2" t="n">
        <v>117</v>
      </c>
      <c r="G50" s="2" t="inlineStr">
        <is>
          <t>Away</t>
        </is>
      </c>
      <c r="H50" s="2" t="inlineStr">
        <is>
          <t>fanduel</t>
        </is>
      </c>
      <c r="I50" s="4" t="n"/>
      <c r="J50" s="4" t="n"/>
      <c r="K50" s="4" t="n">
        <v>130</v>
      </c>
      <c r="L50" s="4" t="n">
        <v>130</v>
      </c>
      <c r="M50" s="5" t="n">
        <v>4.5</v>
      </c>
      <c r="N50" s="5" t="n">
        <v>4.558931977733761</v>
      </c>
      <c r="O50" s="5" t="n">
        <v>4.5</v>
      </c>
      <c r="P50" s="5" t="n">
        <v>-0.05893197773376091</v>
      </c>
      <c r="Q50" s="6" t="n">
        <v>0.1981979823028697</v>
      </c>
      <c r="R50" s="6" t="n">
        <v>0.5209556444795086</v>
      </c>
      <c r="S50" s="6" t="n">
        <v>0.4170073589533933</v>
      </c>
      <c r="T50" s="2" t="inlineStr">
        <is>
          <t>Under</t>
        </is>
      </c>
      <c r="U50" s="4" t="n">
        <v>130</v>
      </c>
      <c r="V50" s="2" t="n">
        <v>2.3</v>
      </c>
      <c r="W50" s="4" t="n">
        <v>130</v>
      </c>
      <c r="X50" s="2" t="n">
        <v>1</v>
      </c>
      <c r="Y50" s="5" t="n">
        <v>-1</v>
      </c>
      <c r="Z50" s="7" t="n">
        <v>100</v>
      </c>
      <c r="AA50" s="7">
        <f>Y50*Z50</f>
        <v/>
      </c>
      <c r="AB50" s="6">
        <f>IF(Z50=0,0,AA50/Z50)</f>
        <v/>
      </c>
      <c r="AC50" s="6" t="n"/>
      <c r="AD50" s="2" t="inlineStr">
        <is>
          <t>Loss</t>
        </is>
      </c>
      <c r="AE50" s="6">
        <f>IF((COUNTIF($AD$2:AD50,"Win")+COUNTIF($AD$2:AD50,"Loss"))=0,0,COUNTIF($AD$2:AD50,"Win")/(COUNTIF($AD$2:AD50,"Win")+COUNTIF($AD$2:AD50,"Loss")))</f>
        <v/>
      </c>
      <c r="AF50" s="6">
        <f>SUM($Y$2:Y50)/SUM($X$2:X50)</f>
        <v/>
      </c>
      <c r="AG50" s="5">
        <f>SUM($Y$2:Y50)</f>
        <v/>
      </c>
      <c r="AH50" s="7">
        <f>10000.0+SUM($AA$2:AA50)</f>
        <v/>
      </c>
      <c r="AI50" s="2" t="n">
        <v>2025</v>
      </c>
      <c r="AJ50" s="2" t="inlineStr">
        <is>
          <t>2025-07</t>
        </is>
      </c>
      <c r="AK50" s="2" t="inlineStr">
        <is>
          <t>+121 to +150</t>
        </is>
      </c>
      <c r="AL50" s="2" t="inlineStr">
        <is>
          <t>2025 Validation</t>
        </is>
      </c>
      <c r="AM50" s="6" t="n">
        <v>0.1524599863868228</v>
      </c>
    </row>
    <row r="51">
      <c r="A51" s="2" t="inlineStr">
        <is>
          <t>KPROP-00050</t>
        </is>
      </c>
      <c r="B51" s="3" t="n">
        <v>45851.59070601852</v>
      </c>
      <c r="C51" s="3" t="n">
        <v>45851</v>
      </c>
      <c r="D51" s="2" t="inlineStr">
        <is>
          <t>Nathan Eovaldi</t>
        </is>
      </c>
      <c r="E51" s="2" t="n">
        <v>140</v>
      </c>
      <c r="F51" s="2" t="n">
        <v>117</v>
      </c>
      <c r="G51" s="2" t="inlineStr">
        <is>
          <t>Away</t>
        </is>
      </c>
      <c r="H51" s="2" t="inlineStr">
        <is>
          <t>fanatics</t>
        </is>
      </c>
      <c r="I51" s="4" t="n"/>
      <c r="J51" s="4" t="n"/>
      <c r="K51" s="4" t="n">
        <v>-160</v>
      </c>
      <c r="L51" s="4" t="n">
        <v>-160</v>
      </c>
      <c r="M51" s="5" t="n">
        <v>5.5</v>
      </c>
      <c r="N51" s="5" t="n">
        <v>4.558931977733761</v>
      </c>
      <c r="O51" s="5" t="n">
        <v>5.5</v>
      </c>
      <c r="P51" s="5" t="n">
        <v>0.9410680222662391</v>
      </c>
      <c r="Q51" s="6" t="n">
        <v>0.1258514712408474</v>
      </c>
      <c r="R51" s="6" t="n">
        <v>0.6928316746097523</v>
      </c>
      <c r="S51" s="6" t="n">
        <v>0.5806451612903226</v>
      </c>
      <c r="T51" s="2" t="inlineStr">
        <is>
          <t>Under</t>
        </is>
      </c>
      <c r="U51" s="4" t="n">
        <v>-160</v>
      </c>
      <c r="V51" s="2" t="n">
        <v>1.625</v>
      </c>
      <c r="W51" s="4" t="n">
        <v>-160</v>
      </c>
      <c r="X51" s="2" t="n">
        <v>1</v>
      </c>
      <c r="Y51" s="5" t="n">
        <v>-1</v>
      </c>
      <c r="Z51" s="7" t="n">
        <v>100</v>
      </c>
      <c r="AA51" s="7">
        <f>Y51*Z51</f>
        <v/>
      </c>
      <c r="AB51" s="6">
        <f>IF(Z51=0,0,AA51/Z51)</f>
        <v/>
      </c>
      <c r="AC51" s="6" t="n"/>
      <c r="AD51" s="2" t="inlineStr">
        <is>
          <t>Loss</t>
        </is>
      </c>
      <c r="AE51" s="6">
        <f>IF((COUNTIF($AD$2:AD51,"Win")+COUNTIF($AD$2:AD51,"Loss"))=0,0,COUNTIF($AD$2:AD51,"Win")/(COUNTIF($AD$2:AD51,"Win")+COUNTIF($AD$2:AD51,"Loss")))</f>
        <v/>
      </c>
      <c r="AF51" s="6">
        <f>SUM($Y$2:Y51)/SUM($X$2:X51)</f>
        <v/>
      </c>
      <c r="AG51" s="5">
        <f>SUM($Y$2:Y51)</f>
        <v/>
      </c>
      <c r="AH51" s="7">
        <f>10000.0+SUM($AA$2:AA51)</f>
        <v/>
      </c>
      <c r="AI51" s="2" t="n">
        <v>2025</v>
      </c>
      <c r="AJ51" s="2" t="inlineStr">
        <is>
          <t>2025-07</t>
        </is>
      </c>
      <c r="AK51" s="2" t="inlineStr">
        <is>
          <t>&lt;= -150</t>
        </is>
      </c>
      <c r="AL51" s="2" t="inlineStr">
        <is>
          <t>2025 Validation</t>
        </is>
      </c>
      <c r="AM51" s="6" t="n">
        <v>0.2013623539853558</v>
      </c>
    </row>
    <row r="52">
      <c r="A52" s="2" t="inlineStr">
        <is>
          <t>KPROP-00051</t>
        </is>
      </c>
      <c r="B52" s="3" t="n">
        <v>45851.56640046297</v>
      </c>
      <c r="C52" s="3" t="n">
        <v>45851</v>
      </c>
      <c r="D52" s="2" t="inlineStr">
        <is>
          <t>Shota Imanaga</t>
        </is>
      </c>
      <c r="E52" s="2" t="n">
        <v>112</v>
      </c>
      <c r="F52" s="2" t="n">
        <v>147</v>
      </c>
      <c r="G52" s="2" t="inlineStr">
        <is>
          <t>Away</t>
        </is>
      </c>
      <c r="H52" s="2" t="inlineStr">
        <is>
          <t>fanduel</t>
        </is>
      </c>
      <c r="I52" s="4" t="n"/>
      <c r="J52" s="4" t="n"/>
      <c r="K52" s="4" t="n">
        <v>118</v>
      </c>
      <c r="L52" s="4" t="n">
        <v>118</v>
      </c>
      <c r="M52" s="5" t="n">
        <v>4.5</v>
      </c>
      <c r="N52" s="5" t="n">
        <v>4.71624153683377</v>
      </c>
      <c r="O52" s="5" t="n">
        <v>4.5</v>
      </c>
      <c r="P52" s="5" t="n">
        <v>-0.2162415368337696</v>
      </c>
      <c r="Q52" s="6" t="n">
        <v>0.07170755452875133</v>
      </c>
      <c r="R52" s="6" t="n">
        <v>0.4916089699673172</v>
      </c>
      <c r="S52" s="6" t="n">
        <v>0.4402054292002935</v>
      </c>
      <c r="T52" s="2" t="inlineStr">
        <is>
          <t>Under</t>
        </is>
      </c>
      <c r="U52" s="4" t="n">
        <v>118</v>
      </c>
      <c r="V52" s="2" t="n">
        <v>2.18</v>
      </c>
      <c r="W52" s="4" t="n">
        <v>118</v>
      </c>
      <c r="X52" s="2" t="n">
        <v>1</v>
      </c>
      <c r="Y52" s="5" t="n">
        <v>-1</v>
      </c>
      <c r="Z52" s="7" t="n">
        <v>100</v>
      </c>
      <c r="AA52" s="7">
        <f>Y52*Z52</f>
        <v/>
      </c>
      <c r="AB52" s="6">
        <f>IF(Z52=0,0,AA52/Z52)</f>
        <v/>
      </c>
      <c r="AC52" s="6" t="n"/>
      <c r="AD52" s="2" t="inlineStr">
        <is>
          <t>Loss</t>
        </is>
      </c>
      <c r="AE52" s="6">
        <f>IF((COUNTIF($AD$2:AD52,"Win")+COUNTIF($AD$2:AD52,"Loss"))=0,0,COUNTIF($AD$2:AD52,"Win")/(COUNTIF($AD$2:AD52,"Win")+COUNTIF($AD$2:AD52,"Loss")))</f>
        <v/>
      </c>
      <c r="AF52" s="6">
        <f>SUM($Y$2:Y52)/SUM($X$2:X52)</f>
        <v/>
      </c>
      <c r="AG52" s="5">
        <f>SUM($Y$2:Y52)</f>
        <v/>
      </c>
      <c r="AH52" s="7">
        <f>10000.0+SUM($AA$2:AA52)</f>
        <v/>
      </c>
      <c r="AI52" s="2" t="n">
        <v>2025</v>
      </c>
      <c r="AJ52" s="2" t="inlineStr">
        <is>
          <t>2025-07</t>
        </is>
      </c>
      <c r="AK52" s="2" t="inlineStr">
        <is>
          <t>+100 to +120</t>
        </is>
      </c>
      <c r="AL52" s="2" t="inlineStr">
        <is>
          <t>2025 Validation</t>
        </is>
      </c>
      <c r="AM52" s="6" t="n">
        <v>0.06076911400741639</v>
      </c>
    </row>
    <row r="53">
      <c r="A53" s="2" t="inlineStr">
        <is>
          <t>KPROP-00052</t>
        </is>
      </c>
      <c r="B53" s="3" t="n">
        <v>45851.67057870371</v>
      </c>
      <c r="C53" s="3" t="n">
        <v>45851</v>
      </c>
      <c r="D53" s="2" t="inlineStr">
        <is>
          <t>Yoshinobu Yamamoto</t>
        </is>
      </c>
      <c r="E53" s="2" t="n">
        <v>119</v>
      </c>
      <c r="F53" s="2" t="n">
        <v>137</v>
      </c>
      <c r="G53" s="2" t="inlineStr">
        <is>
          <t>Away</t>
        </is>
      </c>
      <c r="H53" s="2" t="inlineStr">
        <is>
          <t>draftkings</t>
        </is>
      </c>
      <c r="I53" s="4" t="n"/>
      <c r="J53" s="4" t="n"/>
      <c r="K53" s="4" t="n">
        <v>120</v>
      </c>
      <c r="L53" s="4" t="n">
        <v>120</v>
      </c>
      <c r="M53" s="5" t="n">
        <v>5.5</v>
      </c>
      <c r="N53" s="5" t="n">
        <v>5.298894020837397</v>
      </c>
      <c r="O53" s="5" t="n">
        <v>5.5</v>
      </c>
      <c r="P53" s="5" t="n">
        <v>0.2011059791626026</v>
      </c>
      <c r="Q53" s="6" t="n">
        <v>0.2400647360194424</v>
      </c>
      <c r="R53" s="6" t="n">
        <v>0.5636657890997465</v>
      </c>
      <c r="S53" s="6" t="n">
        <v>0.4594017094017094</v>
      </c>
      <c r="T53" s="2" t="inlineStr">
        <is>
          <t>Under</t>
        </is>
      </c>
      <c r="U53" s="4" t="n">
        <v>120</v>
      </c>
      <c r="V53" s="2" t="n">
        <v>2.2</v>
      </c>
      <c r="W53" s="4" t="n">
        <v>120</v>
      </c>
      <c r="X53" s="2" t="n">
        <v>1</v>
      </c>
      <c r="Y53" s="5" t="n">
        <v>-1</v>
      </c>
      <c r="Z53" s="7" t="n">
        <v>100</v>
      </c>
      <c r="AA53" s="7">
        <f>Y53*Z53</f>
        <v/>
      </c>
      <c r="AB53" s="6">
        <f>IF(Z53=0,0,AA53/Z53)</f>
        <v/>
      </c>
      <c r="AC53" s="6" t="n"/>
      <c r="AD53" s="2" t="inlineStr">
        <is>
          <t>Loss</t>
        </is>
      </c>
      <c r="AE53" s="6">
        <f>IF((COUNTIF($AD$2:AD53,"Win")+COUNTIF($AD$2:AD53,"Loss"))=0,0,COUNTIF($AD$2:AD53,"Win")/(COUNTIF($AD$2:AD53,"Win")+COUNTIF($AD$2:AD53,"Loss")))</f>
        <v/>
      </c>
      <c r="AF53" s="6">
        <f>SUM($Y$2:Y53)/SUM($X$2:X53)</f>
        <v/>
      </c>
      <c r="AG53" s="5">
        <f>SUM($Y$2:Y53)</f>
        <v/>
      </c>
      <c r="AH53" s="7">
        <f>10000.0+SUM($AA$2:AA53)</f>
        <v/>
      </c>
      <c r="AI53" s="2" t="n">
        <v>2025</v>
      </c>
      <c r="AJ53" s="2" t="inlineStr">
        <is>
          <t>2025-07</t>
        </is>
      </c>
      <c r="AK53" s="2" t="inlineStr">
        <is>
          <t>+100 to +120</t>
        </is>
      </c>
      <c r="AL53" s="2" t="inlineStr">
        <is>
          <t>2025 Validation</t>
        </is>
      </c>
      <c r="AM53" s="6" t="n">
        <v>0.2000539466828687</v>
      </c>
    </row>
    <row r="54">
      <c r="A54" s="2" t="inlineStr">
        <is>
          <t>KPROP-00053</t>
        </is>
      </c>
      <c r="B54" s="3" t="n">
        <v>45856.79557870371</v>
      </c>
      <c r="C54" s="3" t="n">
        <v>45856</v>
      </c>
      <c r="D54" s="2" t="inlineStr">
        <is>
          <t>Chris Bassitt</t>
        </is>
      </c>
      <c r="E54" s="2" t="n">
        <v>141</v>
      </c>
      <c r="F54" s="2" t="n">
        <v>137</v>
      </c>
      <c r="G54" s="2" t="inlineStr">
        <is>
          <t>Home</t>
        </is>
      </c>
      <c r="H54" s="2" t="inlineStr">
        <is>
          <t>betrivers</t>
        </is>
      </c>
      <c r="I54" s="4" t="n"/>
      <c r="J54" s="4" t="n"/>
      <c r="K54" s="4" t="n">
        <v>140</v>
      </c>
      <c r="L54" s="4" t="n">
        <v>140</v>
      </c>
      <c r="M54" s="5" t="n">
        <v>4.5</v>
      </c>
      <c r="N54" s="5" t="n">
        <v>4.834750752150929</v>
      </c>
      <c r="O54" s="5" t="n">
        <v>4.5</v>
      </c>
      <c r="P54" s="5" t="n">
        <v>-0.3347507521509288</v>
      </c>
      <c r="Q54" s="6" t="n">
        <v>0.1278838807446556</v>
      </c>
      <c r="R54" s="6" t="n">
        <v>0.4699516169769399</v>
      </c>
      <c r="S54" s="6" t="n">
        <v>0.3846153846153846</v>
      </c>
      <c r="T54" s="2" t="inlineStr">
        <is>
          <t>Under</t>
        </is>
      </c>
      <c r="U54" s="4" t="n">
        <v>140</v>
      </c>
      <c r="V54" s="2" t="n">
        <v>2.4</v>
      </c>
      <c r="W54" s="4" t="n">
        <v>140</v>
      </c>
      <c r="X54" s="2" t="n">
        <v>1</v>
      </c>
      <c r="Y54" s="5" t="n">
        <v>-1</v>
      </c>
      <c r="Z54" s="7" t="n">
        <v>100</v>
      </c>
      <c r="AA54" s="7">
        <f>Y54*Z54</f>
        <v/>
      </c>
      <c r="AB54" s="6">
        <f>IF(Z54=0,0,AA54/Z54)</f>
        <v/>
      </c>
      <c r="AC54" s="6" t="n"/>
      <c r="AD54" s="2" t="inlineStr">
        <is>
          <t>Loss</t>
        </is>
      </c>
      <c r="AE54" s="6">
        <f>IF((COUNTIF($AD$2:AD54,"Win")+COUNTIF($AD$2:AD54,"Loss"))=0,0,COUNTIF($AD$2:AD54,"Win")/(COUNTIF($AD$2:AD54,"Win")+COUNTIF($AD$2:AD54,"Loss")))</f>
        <v/>
      </c>
      <c r="AF54" s="6">
        <f>SUM($Y$2:Y54)/SUM($X$2:X54)</f>
        <v/>
      </c>
      <c r="AG54" s="5">
        <f>SUM($Y$2:Y54)</f>
        <v/>
      </c>
      <c r="AH54" s="7">
        <f>10000.0+SUM($AA$2:AA54)</f>
        <v/>
      </c>
      <c r="AI54" s="2" t="n">
        <v>2025</v>
      </c>
      <c r="AJ54" s="2" t="inlineStr">
        <is>
          <t>2025-07</t>
        </is>
      </c>
      <c r="AK54" s="2" t="inlineStr">
        <is>
          <t>+121 to +150</t>
        </is>
      </c>
      <c r="AL54" s="2" t="inlineStr">
        <is>
          <t>2025 Validation</t>
        </is>
      </c>
      <c r="AM54" s="6" t="n">
        <v>0.09134562910332544</v>
      </c>
    </row>
    <row r="55">
      <c r="A55" s="2" t="inlineStr">
        <is>
          <t>KPROP-00054</t>
        </is>
      </c>
      <c r="B55" s="3" t="n">
        <v>45856.79557870371</v>
      </c>
      <c r="C55" s="3" t="n">
        <v>45856</v>
      </c>
      <c r="D55" s="2" t="inlineStr">
        <is>
          <t>Chris Bassitt</t>
        </is>
      </c>
      <c r="E55" s="2" t="n">
        <v>141</v>
      </c>
      <c r="F55" s="2" t="n">
        <v>137</v>
      </c>
      <c r="G55" s="2" t="inlineStr">
        <is>
          <t>Home</t>
        </is>
      </c>
      <c r="H55" s="2" t="inlineStr">
        <is>
          <t>fanduel</t>
        </is>
      </c>
      <c r="I55" s="4" t="n"/>
      <c r="J55" s="4" t="n"/>
      <c r="K55" s="4" t="n">
        <v>-128</v>
      </c>
      <c r="L55" s="4" t="n">
        <v>-128</v>
      </c>
      <c r="M55" s="5" t="n">
        <v>5.5</v>
      </c>
      <c r="N55" s="5" t="n">
        <v>4.834750752150929</v>
      </c>
      <c r="O55" s="5" t="n">
        <v>5.5</v>
      </c>
      <c r="P55" s="5" t="n">
        <v>0.6652492478490712</v>
      </c>
      <c r="Q55" s="6" t="n">
        <v>0.1487810100468018</v>
      </c>
      <c r="R55" s="6" t="n">
        <v>0.6449296898508361</v>
      </c>
      <c r="S55" s="6" t="n">
        <v>0.5410628019323671</v>
      </c>
      <c r="T55" s="2" t="inlineStr">
        <is>
          <t>Under</t>
        </is>
      </c>
      <c r="U55" s="4" t="n">
        <v>-128</v>
      </c>
      <c r="V55" s="2" t="n">
        <v>1.78125</v>
      </c>
      <c r="W55" s="4" t="n">
        <v>-128</v>
      </c>
      <c r="X55" s="2" t="n">
        <v>1</v>
      </c>
      <c r="Y55" s="5" t="n">
        <v>0.78125</v>
      </c>
      <c r="Z55" s="7" t="n">
        <v>100</v>
      </c>
      <c r="AA55" s="7">
        <f>Y55*Z55</f>
        <v/>
      </c>
      <c r="AB55" s="6">
        <f>IF(Z55=0,0,AA55/Z55)</f>
        <v/>
      </c>
      <c r="AC55" s="6" t="n"/>
      <c r="AD55" s="2" t="inlineStr">
        <is>
          <t>Win</t>
        </is>
      </c>
      <c r="AE55" s="6">
        <f>IF((COUNTIF($AD$2:AD55,"Win")+COUNTIF($AD$2:AD55,"Loss"))=0,0,COUNTIF($AD$2:AD55,"Win")/(COUNTIF($AD$2:AD55,"Win")+COUNTIF($AD$2:AD55,"Loss")))</f>
        <v/>
      </c>
      <c r="AF55" s="6">
        <f>SUM($Y$2:Y55)/SUM($X$2:X55)</f>
        <v/>
      </c>
      <c r="AG55" s="5">
        <f>SUM($Y$2:Y55)</f>
        <v/>
      </c>
      <c r="AH55" s="7">
        <f>10000.0+SUM($AA$2:AA55)</f>
        <v/>
      </c>
      <c r="AI55" s="2" t="n">
        <v>2025</v>
      </c>
      <c r="AJ55" s="2" t="inlineStr">
        <is>
          <t>2025-07</t>
        </is>
      </c>
      <c r="AK55" s="2" t="inlineStr">
        <is>
          <t>-149 to -120</t>
        </is>
      </c>
      <c r="AL55" s="2" t="inlineStr">
        <is>
          <t>2025 Validation</t>
        </is>
      </c>
      <c r="AM55" s="6" t="n">
        <v>0.1904396928599063</v>
      </c>
    </row>
    <row r="56">
      <c r="A56" s="2" t="inlineStr">
        <is>
          <t>KPROP-00055</t>
        </is>
      </c>
      <c r="B56" s="3" t="n">
        <v>45856.79905092593</v>
      </c>
      <c r="C56" s="3" t="n">
        <v>45856</v>
      </c>
      <c r="D56" s="2" t="inlineStr">
        <is>
          <t>Seth Lugo</t>
        </is>
      </c>
      <c r="E56" s="2" t="n">
        <v>118</v>
      </c>
      <c r="F56" s="2" t="n">
        <v>146</v>
      </c>
      <c r="G56" s="2" t="inlineStr">
        <is>
          <t>Away</t>
        </is>
      </c>
      <c r="H56" s="2" t="inlineStr">
        <is>
          <t>fanduel</t>
        </is>
      </c>
      <c r="I56" s="4" t="n"/>
      <c r="J56" s="4" t="n"/>
      <c r="K56" s="4" t="n">
        <v>124</v>
      </c>
      <c r="L56" s="4" t="n">
        <v>124</v>
      </c>
      <c r="M56" s="5" t="n">
        <v>4.5</v>
      </c>
      <c r="N56" s="5" t="n">
        <v>4.53226734711435</v>
      </c>
      <c r="O56" s="5" t="n">
        <v>4.5</v>
      </c>
      <c r="P56" s="5" t="n">
        <v>-0.03226734711434975</v>
      </c>
      <c r="Q56" s="6" t="n">
        <v>0.1782179642923729</v>
      </c>
      <c r="R56" s="6" t="n">
        <v>0.5259901626305236</v>
      </c>
      <c r="S56" s="6" t="n">
        <v>0.4335260115606936</v>
      </c>
      <c r="T56" s="2" t="inlineStr">
        <is>
          <t>Under</t>
        </is>
      </c>
      <c r="U56" s="4" t="n">
        <v>124</v>
      </c>
      <c r="V56" s="2" t="n">
        <v>2.24</v>
      </c>
      <c r="W56" s="4" t="n">
        <v>124</v>
      </c>
      <c r="X56" s="2" t="n">
        <v>1</v>
      </c>
      <c r="Y56" s="5" t="n">
        <v>-1</v>
      </c>
      <c r="Z56" s="7" t="n">
        <v>100</v>
      </c>
      <c r="AA56" s="7">
        <f>Y56*Z56</f>
        <v/>
      </c>
      <c r="AB56" s="6">
        <f>IF(Z56=0,0,AA56/Z56)</f>
        <v/>
      </c>
      <c r="AC56" s="6" t="n"/>
      <c r="AD56" s="2" t="inlineStr">
        <is>
          <t>Loss</t>
        </is>
      </c>
      <c r="AE56" s="6">
        <f>IF((COUNTIF($AD$2:AD56,"Win")+COUNTIF($AD$2:AD56,"Loss"))=0,0,COUNTIF($AD$2:AD56,"Win")/(COUNTIF($AD$2:AD56,"Win")+COUNTIF($AD$2:AD56,"Loss")))</f>
        <v/>
      </c>
      <c r="AF56" s="6">
        <f>SUM($Y$2:Y56)/SUM($X$2:X56)</f>
        <v/>
      </c>
      <c r="AG56" s="5">
        <f>SUM($Y$2:Y56)</f>
        <v/>
      </c>
      <c r="AH56" s="7">
        <f>10000.0+SUM($AA$2:AA56)</f>
        <v/>
      </c>
      <c r="AI56" s="2" t="n">
        <v>2025</v>
      </c>
      <c r="AJ56" s="2" t="inlineStr">
        <is>
          <t>2025-07</t>
        </is>
      </c>
      <c r="AK56" s="2" t="inlineStr">
        <is>
          <t>+121 to +150</t>
        </is>
      </c>
      <c r="AL56" s="2" t="inlineStr">
        <is>
          <t>2025 Validation</t>
        </is>
      </c>
      <c r="AM56" s="6" t="n">
        <v>0.1437241647519136</v>
      </c>
    </row>
    <row r="57">
      <c r="A57" s="2" t="inlineStr">
        <is>
          <t>KPROP-00056</t>
        </is>
      </c>
      <c r="B57" s="3" t="n">
        <v>45857.67057870371</v>
      </c>
      <c r="C57" s="3" t="n">
        <v>45857</v>
      </c>
      <c r="D57" s="2" t="inlineStr">
        <is>
          <t>Clay Holmes</t>
        </is>
      </c>
      <c r="E57" s="2" t="n">
        <v>121</v>
      </c>
      <c r="F57" s="2" t="n">
        <v>113</v>
      </c>
      <c r="G57" s="2" t="inlineStr">
        <is>
          <t>Home</t>
        </is>
      </c>
      <c r="H57" s="2" t="inlineStr">
        <is>
          <t>bovada</t>
        </is>
      </c>
      <c r="I57" s="4" t="n"/>
      <c r="J57" s="4" t="n"/>
      <c r="K57" s="4" t="n">
        <v>115</v>
      </c>
      <c r="L57" s="4" t="n">
        <v>115</v>
      </c>
      <c r="M57" s="5" t="n">
        <v>4.5</v>
      </c>
      <c r="N57" s="5" t="n">
        <v>4.419171370725206</v>
      </c>
      <c r="O57" s="5" t="n">
        <v>4.5</v>
      </c>
      <c r="P57" s="5" t="n">
        <v>0.08082862927479439</v>
      </c>
      <c r="Q57" s="6" t="n">
        <v>0.1771491093402335</v>
      </c>
      <c r="R57" s="6" t="n">
        <v>0.5475112136466203</v>
      </c>
      <c r="S57" s="6" t="n">
        <v>0.4661293835765629</v>
      </c>
      <c r="T57" s="2" t="inlineStr">
        <is>
          <t>Under</t>
        </is>
      </c>
      <c r="U57" s="4" t="n">
        <v>115</v>
      </c>
      <c r="V57" s="2" t="n">
        <v>2.15</v>
      </c>
      <c r="W57" s="4" t="n">
        <v>115</v>
      </c>
      <c r="X57" s="2" t="n">
        <v>1</v>
      </c>
      <c r="Y57" s="5" t="n">
        <v>1.15</v>
      </c>
      <c r="Z57" s="7" t="n">
        <v>100</v>
      </c>
      <c r="AA57" s="7">
        <f>Y57*Z57</f>
        <v/>
      </c>
      <c r="AB57" s="6">
        <f>IF(Z57=0,0,AA57/Z57)</f>
        <v/>
      </c>
      <c r="AC57" s="6" t="n"/>
      <c r="AD57" s="2" t="inlineStr">
        <is>
          <t>Win</t>
        </is>
      </c>
      <c r="AE57" s="6">
        <f>IF((COUNTIF($AD$2:AD57,"Win")+COUNTIF($AD$2:AD57,"Loss"))=0,0,COUNTIF($AD$2:AD57,"Win")/(COUNTIF($AD$2:AD57,"Win")+COUNTIF($AD$2:AD57,"Loss")))</f>
        <v/>
      </c>
      <c r="AF57" s="6">
        <f>SUM($Y$2:Y57)/SUM($X$2:X57)</f>
        <v/>
      </c>
      <c r="AG57" s="5">
        <f>SUM($Y$2:Y57)</f>
        <v/>
      </c>
      <c r="AH57" s="7">
        <f>10000.0+SUM($AA$2:AA57)</f>
        <v/>
      </c>
      <c r="AI57" s="2" t="n">
        <v>2025</v>
      </c>
      <c r="AJ57" s="2" t="inlineStr">
        <is>
          <t>2025-07</t>
        </is>
      </c>
      <c r="AK57" s="2" t="inlineStr">
        <is>
          <t>+100 to +120</t>
        </is>
      </c>
      <c r="AL57" s="2" t="inlineStr">
        <is>
          <t>2025 Validation</t>
        </is>
      </c>
      <c r="AM57" s="6" t="n">
        <v>0.1540427037741161</v>
      </c>
    </row>
    <row r="58">
      <c r="A58" s="2" t="inlineStr">
        <is>
          <t>KPROP-00057</t>
        </is>
      </c>
      <c r="B58" s="3" t="n">
        <v>45857.79210648148</v>
      </c>
      <c r="C58" s="3" t="n">
        <v>45857</v>
      </c>
      <c r="D58" s="2" t="inlineStr">
        <is>
          <t>Keider Montero</t>
        </is>
      </c>
      <c r="E58" s="2" t="n">
        <v>116</v>
      </c>
      <c r="F58" s="2" t="n">
        <v>140</v>
      </c>
      <c r="G58" s="2" t="inlineStr">
        <is>
          <t>Away</t>
        </is>
      </c>
      <c r="H58" s="2" t="inlineStr">
        <is>
          <t>bovada</t>
        </is>
      </c>
      <c r="I58" s="4" t="n"/>
      <c r="J58" s="4" t="n"/>
      <c r="K58" s="4" t="n">
        <v>120</v>
      </c>
      <c r="L58" s="4" t="n">
        <v>120</v>
      </c>
      <c r="M58" s="5" t="n">
        <v>3.5</v>
      </c>
      <c r="N58" s="5" t="n">
        <v>3.614345339638295</v>
      </c>
      <c r="O58" s="5" t="n">
        <v>3.5</v>
      </c>
      <c r="P58" s="5" t="n">
        <v>-0.114345339638295</v>
      </c>
      <c r="Q58" s="6" t="n">
        <v>0.1267780293890174</v>
      </c>
      <c r="R58" s="6" t="n">
        <v>0.5121718315404624</v>
      </c>
      <c r="S58" s="6" t="n">
        <v>0.4517828200972447</v>
      </c>
      <c r="T58" s="2" t="inlineStr">
        <is>
          <t>Under</t>
        </is>
      </c>
      <c r="U58" s="4" t="n">
        <v>120</v>
      </c>
      <c r="V58" s="2" t="n">
        <v>2.2</v>
      </c>
      <c r="W58" s="4" t="n">
        <v>120</v>
      </c>
      <c r="X58" s="2" t="n">
        <v>1</v>
      </c>
      <c r="Y58" s="5" t="n">
        <v>-1</v>
      </c>
      <c r="Z58" s="7" t="n">
        <v>100</v>
      </c>
      <c r="AA58" s="7">
        <f>Y58*Z58</f>
        <v/>
      </c>
      <c r="AB58" s="6">
        <f>IF(Z58=0,0,AA58/Z58)</f>
        <v/>
      </c>
      <c r="AC58" s="6" t="n"/>
      <c r="AD58" s="2" t="inlineStr">
        <is>
          <t>Loss</t>
        </is>
      </c>
      <c r="AE58" s="6">
        <f>IF((COUNTIF($AD$2:AD58,"Win")+COUNTIF($AD$2:AD58,"Loss"))=0,0,COUNTIF($AD$2:AD58,"Win")/(COUNTIF($AD$2:AD58,"Win")+COUNTIF($AD$2:AD58,"Loss")))</f>
        <v/>
      </c>
      <c r="AF58" s="6">
        <f>SUM($Y$2:Y58)/SUM($X$2:X58)</f>
        <v/>
      </c>
      <c r="AG58" s="5">
        <f>SUM($Y$2:Y58)</f>
        <v/>
      </c>
      <c r="AH58" s="7">
        <f>10000.0+SUM($AA$2:AA58)</f>
        <v/>
      </c>
      <c r="AI58" s="2" t="n">
        <v>2025</v>
      </c>
      <c r="AJ58" s="2" t="inlineStr">
        <is>
          <t>2025-07</t>
        </is>
      </c>
      <c r="AK58" s="2" t="inlineStr">
        <is>
          <t>+100 to +120</t>
        </is>
      </c>
      <c r="AL58" s="2" t="inlineStr">
        <is>
          <t>2025 Validation</t>
        </is>
      </c>
      <c r="AM58" s="6" t="n">
        <v>0.1056483578241811</v>
      </c>
    </row>
    <row r="59">
      <c r="A59" s="2" t="inlineStr">
        <is>
          <t>KPROP-00058</t>
        </is>
      </c>
      <c r="B59" s="3" t="n">
        <v>45857.80252314815</v>
      </c>
      <c r="C59" s="3" t="n">
        <v>45857</v>
      </c>
      <c r="D59" s="2" t="inlineStr">
        <is>
          <t>Shota Imanaga</t>
        </is>
      </c>
      <c r="E59" s="2" t="n">
        <v>112</v>
      </c>
      <c r="F59" s="2" t="n">
        <v>111</v>
      </c>
      <c r="G59" s="2" t="inlineStr">
        <is>
          <t>Home</t>
        </is>
      </c>
      <c r="H59" s="2" t="inlineStr">
        <is>
          <t>draftkings</t>
        </is>
      </c>
      <c r="I59" s="4" t="n"/>
      <c r="J59" s="4" t="n"/>
      <c r="K59" s="4" t="n">
        <v>-135</v>
      </c>
      <c r="L59" s="4" t="n">
        <v>-135</v>
      </c>
      <c r="M59" s="5" t="n">
        <v>5.5</v>
      </c>
      <c r="N59" s="5" t="n">
        <v>4.403272392801689</v>
      </c>
      <c r="O59" s="5" t="n">
        <v>5.5</v>
      </c>
      <c r="P59" s="5" t="n">
        <v>1.096727607198311</v>
      </c>
      <c r="Q59" s="6" t="n">
        <v>0.252217960151362</v>
      </c>
      <c r="R59" s="6" t="n">
        <v>0.7193592537039739</v>
      </c>
      <c r="S59" s="6" t="n">
        <v>0.552594002855783</v>
      </c>
      <c r="T59" s="2" t="inlineStr">
        <is>
          <t>Under</t>
        </is>
      </c>
      <c r="U59" s="4" t="n">
        <v>-135</v>
      </c>
      <c r="V59" s="2" t="n">
        <v>1.740740740740741</v>
      </c>
      <c r="W59" s="4" t="n">
        <v>-135</v>
      </c>
      <c r="X59" s="2" t="n">
        <v>1</v>
      </c>
      <c r="Y59" s="5" t="n">
        <v>0.7407407407407407</v>
      </c>
      <c r="Z59" s="7" t="n">
        <v>100</v>
      </c>
      <c r="AA59" s="7">
        <f>Y59*Z59</f>
        <v/>
      </c>
      <c r="AB59" s="6">
        <f>IF(Z59=0,0,AA59/Z59)</f>
        <v/>
      </c>
      <c r="AC59" s="6" t="n"/>
      <c r="AD59" s="2" t="inlineStr">
        <is>
          <t>Win</t>
        </is>
      </c>
      <c r="AE59" s="6">
        <f>IF((COUNTIF($AD$2:AD59,"Win")+COUNTIF($AD$2:AD59,"Loss"))=0,0,COUNTIF($AD$2:AD59,"Win")/(COUNTIF($AD$2:AD59,"Win")+COUNTIF($AD$2:AD59,"Loss")))</f>
        <v/>
      </c>
      <c r="AF59" s="6">
        <f>SUM($Y$2:Y59)/SUM($X$2:X59)</f>
        <v/>
      </c>
      <c r="AG59" s="5">
        <f>SUM($Y$2:Y59)</f>
        <v/>
      </c>
      <c r="AH59" s="7">
        <f>10000.0+SUM($AA$2:AA59)</f>
        <v/>
      </c>
      <c r="AI59" s="2" t="n">
        <v>2025</v>
      </c>
      <c r="AJ59" s="2" t="inlineStr">
        <is>
          <t>2025-07</t>
        </is>
      </c>
      <c r="AK59" s="2" t="inlineStr">
        <is>
          <t>-149 to -120</t>
        </is>
      </c>
      <c r="AL59" s="2" t="inlineStr">
        <is>
          <t>2025 Validation</t>
        </is>
      </c>
      <c r="AM59" s="6" t="n">
        <v>0.3404942462043387</v>
      </c>
    </row>
    <row r="60">
      <c r="A60" s="2" t="inlineStr">
        <is>
          <t>KPROP-00059</t>
        </is>
      </c>
      <c r="B60" s="3" t="n">
        <v>45857.80252314815</v>
      </c>
      <c r="C60" s="3" t="n">
        <v>45857</v>
      </c>
      <c r="D60" s="2" t="inlineStr">
        <is>
          <t>Sonny Gray</t>
        </is>
      </c>
      <c r="E60" s="2" t="n">
        <v>138</v>
      </c>
      <c r="F60" s="2" t="n">
        <v>109</v>
      </c>
      <c r="G60" s="2" t="inlineStr">
        <is>
          <t>Away</t>
        </is>
      </c>
      <c r="H60" s="2" t="inlineStr">
        <is>
          <t>draftkings</t>
        </is>
      </c>
      <c r="I60" s="4" t="n"/>
      <c r="J60" s="4" t="n"/>
      <c r="K60" s="4" t="n">
        <v>110</v>
      </c>
      <c r="L60" s="4" t="n">
        <v>110</v>
      </c>
      <c r="M60" s="5" t="n">
        <v>5.5</v>
      </c>
      <c r="N60" s="5" t="n">
        <v>5.183091950490223</v>
      </c>
      <c r="O60" s="5" t="n">
        <v>5.5</v>
      </c>
      <c r="P60" s="5" t="n">
        <v>0.3169080495097774</v>
      </c>
      <c r="Q60" s="6" t="n">
        <v>0.2261253474198189</v>
      </c>
      <c r="R60" s="6" t="n">
        <v>0.5838692130570566</v>
      </c>
      <c r="S60" s="6" t="n">
        <v>0.4661016949152542</v>
      </c>
      <c r="T60" s="2" t="inlineStr">
        <is>
          <t>Under</t>
        </is>
      </c>
      <c r="U60" s="4" t="n">
        <v>110</v>
      </c>
      <c r="V60" s="2" t="n">
        <v>2.1</v>
      </c>
      <c r="W60" s="4" t="n">
        <v>110</v>
      </c>
      <c r="X60" s="2" t="n">
        <v>1</v>
      </c>
      <c r="Y60" s="5" t="n">
        <v>1.1</v>
      </c>
      <c r="Z60" s="7" t="n">
        <v>100</v>
      </c>
      <c r="AA60" s="7">
        <f>Y60*Z60</f>
        <v/>
      </c>
      <c r="AB60" s="6">
        <f>IF(Z60=0,0,AA60/Z60)</f>
        <v/>
      </c>
      <c r="AC60" s="6" t="n"/>
      <c r="AD60" s="2" t="inlineStr">
        <is>
          <t>Win</t>
        </is>
      </c>
      <c r="AE60" s="6">
        <f>IF((COUNTIF($AD$2:AD60,"Win")+COUNTIF($AD$2:AD60,"Loss"))=0,0,COUNTIF($AD$2:AD60,"Win")/(COUNTIF($AD$2:AD60,"Win")+COUNTIF($AD$2:AD60,"Loss")))</f>
        <v/>
      </c>
      <c r="AF60" s="6">
        <f>SUM($Y$2:Y60)/SUM($X$2:X60)</f>
        <v/>
      </c>
      <c r="AG60" s="5">
        <f>SUM($Y$2:Y60)</f>
        <v/>
      </c>
      <c r="AH60" s="7">
        <f>10000.0+SUM($AA$2:AA60)</f>
        <v/>
      </c>
      <c r="AI60" s="2" t="n">
        <v>2025</v>
      </c>
      <c r="AJ60" s="2" t="inlineStr">
        <is>
          <t>2025-07</t>
        </is>
      </c>
      <c r="AK60" s="2" t="inlineStr">
        <is>
          <t>+100 to +120</t>
        </is>
      </c>
      <c r="AL60" s="2" t="inlineStr">
        <is>
          <t>2025 Validation</t>
        </is>
      </c>
      <c r="AM60" s="6" t="n">
        <v>0.2055684976543808</v>
      </c>
    </row>
    <row r="61">
      <c r="A61" s="2" t="inlineStr">
        <is>
          <t>KPROP-00060</t>
        </is>
      </c>
      <c r="B61" s="3" t="n">
        <v>45857.80252314815</v>
      </c>
      <c r="C61" s="3" t="n">
        <v>45857</v>
      </c>
      <c r="D61" s="2" t="inlineStr">
        <is>
          <t>Will Warren</t>
        </is>
      </c>
      <c r="E61" s="2" t="n">
        <v>147</v>
      </c>
      <c r="F61" s="2" t="n">
        <v>144</v>
      </c>
      <c r="G61" s="2" t="inlineStr">
        <is>
          <t>Away</t>
        </is>
      </c>
      <c r="H61" s="2" t="inlineStr">
        <is>
          <t>fanduel</t>
        </is>
      </c>
      <c r="I61" s="4" t="n"/>
      <c r="J61" s="4" t="n"/>
      <c r="K61" s="4" t="n">
        <v>134</v>
      </c>
      <c r="L61" s="4" t="n">
        <v>134</v>
      </c>
      <c r="M61" s="5" t="n">
        <v>4.5</v>
      </c>
      <c r="N61" s="5" t="n">
        <v>4.877853491488392</v>
      </c>
      <c r="O61" s="5" t="n">
        <v>4.5</v>
      </c>
      <c r="P61" s="5" t="n">
        <v>-0.3778534914883922</v>
      </c>
      <c r="Q61" s="6" t="n">
        <v>0.08150391486804665</v>
      </c>
      <c r="R61" s="6" t="n">
        <v>0.46218116020002</v>
      </c>
      <c r="S61" s="6" t="n">
        <v>0.4265746959520784</v>
      </c>
      <c r="T61" s="2" t="inlineStr">
        <is>
          <t>Under</t>
        </is>
      </c>
      <c r="U61" s="4" t="n">
        <v>134</v>
      </c>
      <c r="V61" s="2" t="n">
        <v>2.34</v>
      </c>
      <c r="W61" s="4" t="n">
        <v>134</v>
      </c>
      <c r="X61" s="2" t="n">
        <v>1</v>
      </c>
      <c r="Y61" s="5" t="n">
        <v>-1</v>
      </c>
      <c r="Z61" s="7" t="n">
        <v>100</v>
      </c>
      <c r="AA61" s="7">
        <f>Y61*Z61</f>
        <v/>
      </c>
      <c r="AB61" s="6">
        <f>IF(Z61=0,0,AA61/Z61)</f>
        <v/>
      </c>
      <c r="AC61" s="6" t="n"/>
      <c r="AD61" s="2" t="inlineStr">
        <is>
          <t>Loss</t>
        </is>
      </c>
      <c r="AE61" s="6">
        <f>IF((COUNTIF($AD$2:AD61,"Win")+COUNTIF($AD$2:AD61,"Loss"))=0,0,COUNTIF($AD$2:AD61,"Win")/(COUNTIF($AD$2:AD61,"Win")+COUNTIF($AD$2:AD61,"Loss")))</f>
        <v/>
      </c>
      <c r="AF61" s="6">
        <f>SUM($Y$2:Y61)/SUM($X$2:X61)</f>
        <v/>
      </c>
      <c r="AG61" s="5">
        <f>SUM($Y$2:Y61)</f>
        <v/>
      </c>
      <c r="AH61" s="7">
        <f>10000.0+SUM($AA$2:AA61)</f>
        <v/>
      </c>
      <c r="AI61" s="2" t="n">
        <v>2025</v>
      </c>
      <c r="AJ61" s="2" t="inlineStr">
        <is>
          <t>2025-07</t>
        </is>
      </c>
      <c r="AK61" s="2" t="inlineStr">
        <is>
          <t>+121 to +150</t>
        </is>
      </c>
      <c r="AL61" s="2" t="inlineStr">
        <is>
          <t>2025 Validation</t>
        </is>
      </c>
      <c r="AM61" s="6" t="n">
        <v>0.06082381706570646</v>
      </c>
    </row>
    <row r="62">
      <c r="A62" s="2" t="inlineStr">
        <is>
          <t>KPROP-00061</t>
        </is>
      </c>
      <c r="B62" s="3" t="n">
        <v>45857.78168981482</v>
      </c>
      <c r="C62" s="3" t="n">
        <v>45857</v>
      </c>
      <c r="D62" s="2" t="inlineStr">
        <is>
          <t>Yu Darvish</t>
        </is>
      </c>
      <c r="E62" s="2" t="n">
        <v>135</v>
      </c>
      <c r="F62" s="2" t="n">
        <v>120</v>
      </c>
      <c r="G62" s="2" t="inlineStr">
        <is>
          <t>Away</t>
        </is>
      </c>
      <c r="H62" s="2" t="inlineStr">
        <is>
          <t>bovada</t>
        </is>
      </c>
      <c r="I62" s="4" t="n"/>
      <c r="J62" s="4" t="n"/>
      <c r="K62" s="4" t="n">
        <v>105</v>
      </c>
      <c r="L62" s="4" t="n">
        <v>105</v>
      </c>
      <c r="M62" s="5" t="n">
        <v>4.5</v>
      </c>
      <c r="N62" s="5" t="n">
        <v>4.382727591343432</v>
      </c>
      <c r="O62" s="5" t="n">
        <v>4.5</v>
      </c>
      <c r="P62" s="5" t="n">
        <v>0.117272408656568</v>
      </c>
      <c r="Q62" s="6" t="n">
        <v>0.1367211439934809</v>
      </c>
      <c r="R62" s="6" t="n">
        <v>0.5544981190212103</v>
      </c>
      <c r="S62" s="6" t="n">
        <v>0.488974113135187</v>
      </c>
      <c r="T62" s="2" t="inlineStr">
        <is>
          <t>Under</t>
        </is>
      </c>
      <c r="U62" s="4" t="n">
        <v>105</v>
      </c>
      <c r="V62" s="2" t="n">
        <v>2.05</v>
      </c>
      <c r="W62" s="4" t="n">
        <v>105</v>
      </c>
      <c r="X62" s="2" t="n">
        <v>1</v>
      </c>
      <c r="Y62" s="5" t="n">
        <v>1.05</v>
      </c>
      <c r="Z62" s="7" t="n">
        <v>100</v>
      </c>
      <c r="AA62" s="7">
        <f>Y62*Z62</f>
        <v/>
      </c>
      <c r="AB62" s="6">
        <f>IF(Z62=0,0,AA62/Z62)</f>
        <v/>
      </c>
      <c r="AC62" s="6" t="n"/>
      <c r="AD62" s="2" t="inlineStr">
        <is>
          <t>Win</t>
        </is>
      </c>
      <c r="AE62" s="6">
        <f>IF((COUNTIF($AD$2:AD62,"Win")+COUNTIF($AD$2:AD62,"Loss"))=0,0,COUNTIF($AD$2:AD62,"Win")/(COUNTIF($AD$2:AD62,"Win")+COUNTIF($AD$2:AD62,"Loss")))</f>
        <v/>
      </c>
      <c r="AF62" s="6">
        <f>SUM($Y$2:Y62)/SUM($X$2:X62)</f>
        <v/>
      </c>
      <c r="AG62" s="5">
        <f>SUM($Y$2:Y62)</f>
        <v/>
      </c>
      <c r="AH62" s="7">
        <f>10000.0+SUM($AA$2:AA62)</f>
        <v/>
      </c>
      <c r="AI62" s="2" t="n">
        <v>2025</v>
      </c>
      <c r="AJ62" s="2" t="inlineStr">
        <is>
          <t>2025-07</t>
        </is>
      </c>
      <c r="AK62" s="2" t="inlineStr">
        <is>
          <t>+100 to +120</t>
        </is>
      </c>
      <c r="AL62" s="2" t="inlineStr">
        <is>
          <t>2025 Validation</t>
        </is>
      </c>
      <c r="AM62" s="6" t="n">
        <v>0.1302106133271247</v>
      </c>
    </row>
    <row r="63">
      <c r="A63" s="2" t="inlineStr">
        <is>
          <t>KPROP-00062</t>
        </is>
      </c>
      <c r="B63" s="3" t="n">
        <v>45858.59418981482</v>
      </c>
      <c r="C63" s="3" t="n">
        <v>45858</v>
      </c>
      <c r="D63" s="2" t="inlineStr">
        <is>
          <t>Garrett Crochet</t>
        </is>
      </c>
      <c r="E63" s="2" t="n">
        <v>111</v>
      </c>
      <c r="F63" s="2" t="n">
        <v>112</v>
      </c>
      <c r="G63" s="2" t="inlineStr">
        <is>
          <t>Away</t>
        </is>
      </c>
      <c r="H63" s="2" t="inlineStr">
        <is>
          <t>draftkings</t>
        </is>
      </c>
      <c r="I63" s="4" t="n"/>
      <c r="J63" s="4" t="n"/>
      <c r="K63" s="4" t="n">
        <v>120</v>
      </c>
      <c r="L63" s="4" t="n">
        <v>120</v>
      </c>
      <c r="M63" s="5" t="n">
        <v>6.5</v>
      </c>
      <c r="N63" s="5" t="n">
        <v>6.624918502160689</v>
      </c>
      <c r="O63" s="5" t="n">
        <v>6.5</v>
      </c>
      <c r="P63" s="5" t="n">
        <v>-0.1249185021606891</v>
      </c>
      <c r="Q63" s="6" t="n">
        <v>0.1152953863179615</v>
      </c>
      <c r="R63" s="6" t="n">
        <v>0.5069524483263461</v>
      </c>
      <c r="S63" s="6" t="n">
        <v>0.4417293233082706</v>
      </c>
      <c r="T63" s="2" t="inlineStr">
        <is>
          <t>Under</t>
        </is>
      </c>
      <c r="U63" s="4" t="n">
        <v>120</v>
      </c>
      <c r="V63" s="2" t="n">
        <v>2.2</v>
      </c>
      <c r="W63" s="4" t="n">
        <v>120</v>
      </c>
      <c r="X63" s="2" t="n">
        <v>1</v>
      </c>
      <c r="Y63" s="5" t="n">
        <v>1.2</v>
      </c>
      <c r="Z63" s="7" t="n">
        <v>100</v>
      </c>
      <c r="AA63" s="7">
        <f>Y63*Z63</f>
        <v/>
      </c>
      <c r="AB63" s="6">
        <f>IF(Z63=0,0,AA63/Z63)</f>
        <v/>
      </c>
      <c r="AC63" s="6" t="n"/>
      <c r="AD63" s="2" t="inlineStr">
        <is>
          <t>Win</t>
        </is>
      </c>
      <c r="AE63" s="6">
        <f>IF((COUNTIF($AD$2:AD63,"Win")+COUNTIF($AD$2:AD63,"Loss"))=0,0,COUNTIF($AD$2:AD63,"Win")/(COUNTIF($AD$2:AD63,"Win")+COUNTIF($AD$2:AD63,"Loss")))</f>
        <v/>
      </c>
      <c r="AF63" s="6">
        <f>SUM($Y$2:Y63)/SUM($X$2:X63)</f>
        <v/>
      </c>
      <c r="AG63" s="5">
        <f>SUM($Y$2:Y63)</f>
        <v/>
      </c>
      <c r="AH63" s="7">
        <f>10000.0+SUM($AA$2:AA63)</f>
        <v/>
      </c>
      <c r="AI63" s="2" t="n">
        <v>2025</v>
      </c>
      <c r="AJ63" s="2" t="inlineStr">
        <is>
          <t>2025-07</t>
        </is>
      </c>
      <c r="AK63" s="2" t="inlineStr">
        <is>
          <t>+100 to +120</t>
        </is>
      </c>
      <c r="AL63" s="2" t="inlineStr">
        <is>
          <t>2025 Validation</t>
        </is>
      </c>
      <c r="AM63" s="6" t="n">
        <v>0.09607948859830127</v>
      </c>
    </row>
    <row r="64">
      <c r="A64" s="2" t="inlineStr">
        <is>
          <t>KPROP-00063</t>
        </is>
      </c>
      <c r="B64" s="3" t="n">
        <v>45858.67405092593</v>
      </c>
      <c r="C64" s="3" t="n">
        <v>45858</v>
      </c>
      <c r="D64" s="2" t="inlineStr">
        <is>
          <t>Merrill Kelly</t>
        </is>
      </c>
      <c r="E64" s="2" t="n">
        <v>109</v>
      </c>
      <c r="F64" s="2" t="n">
        <v>138</v>
      </c>
      <c r="G64" s="2" t="inlineStr">
        <is>
          <t>Home</t>
        </is>
      </c>
      <c r="H64" s="2" t="inlineStr">
        <is>
          <t>fanduel</t>
        </is>
      </c>
      <c r="I64" s="4" t="n"/>
      <c r="J64" s="4" t="n"/>
      <c r="K64" s="4" t="n">
        <v>-128</v>
      </c>
      <c r="L64" s="4" t="n">
        <v>-128</v>
      </c>
      <c r="M64" s="5" t="n">
        <v>5.5</v>
      </c>
      <c r="N64" s="5" t="n">
        <v>4.77789935196175</v>
      </c>
      <c r="O64" s="5" t="n">
        <v>5.5</v>
      </c>
      <c r="P64" s="5" t="n">
        <v>0.7221006480382499</v>
      </c>
      <c r="Q64" s="6" t="n">
        <v>0.1664811817151733</v>
      </c>
      <c r="R64" s="6" t="n">
        <v>0.6548666283313254</v>
      </c>
      <c r="S64" s="6" t="n">
        <v>0.5581395348837209</v>
      </c>
      <c r="T64" s="2" t="inlineStr">
        <is>
          <t>Under</t>
        </is>
      </c>
      <c r="U64" s="4" t="n">
        <v>-128</v>
      </c>
      <c r="V64" s="2" t="n">
        <v>1.78125</v>
      </c>
      <c r="W64" s="4" t="n">
        <v>-128</v>
      </c>
      <c r="X64" s="2" t="n">
        <v>1</v>
      </c>
      <c r="Y64" s="5" t="n">
        <v>0.78125</v>
      </c>
      <c r="Z64" s="7" t="n">
        <v>100</v>
      </c>
      <c r="AA64" s="7">
        <f>Y64*Z64</f>
        <v/>
      </c>
      <c r="AB64" s="6">
        <f>IF(Z64=0,0,AA64/Z64)</f>
        <v/>
      </c>
      <c r="AC64" s="6" t="n"/>
      <c r="AD64" s="2" t="inlineStr">
        <is>
          <t>Win</t>
        </is>
      </c>
      <c r="AE64" s="6">
        <f>IF((COUNTIF($AD$2:AD64,"Win")+COUNTIF($AD$2:AD64,"Loss"))=0,0,COUNTIF($AD$2:AD64,"Win")/(COUNTIF($AD$2:AD64,"Win")+COUNTIF($AD$2:AD64,"Loss")))</f>
        <v/>
      </c>
      <c r="AF64" s="6">
        <f>SUM($Y$2:Y64)/SUM($X$2:X64)</f>
        <v/>
      </c>
      <c r="AG64" s="5">
        <f>SUM($Y$2:Y64)</f>
        <v/>
      </c>
      <c r="AH64" s="7">
        <f>10000.0+SUM($AA$2:AA64)</f>
        <v/>
      </c>
      <c r="AI64" s="2" t="n">
        <v>2025</v>
      </c>
      <c r="AJ64" s="2" t="inlineStr">
        <is>
          <t>2025-07</t>
        </is>
      </c>
      <c r="AK64" s="2" t="inlineStr">
        <is>
          <t>-149 to -120</t>
        </is>
      </c>
      <c r="AL64" s="2" t="inlineStr">
        <is>
          <t>2025 Validation</t>
        </is>
      </c>
      <c r="AM64" s="6" t="n">
        <v>0.2130959125954219</v>
      </c>
    </row>
    <row r="65">
      <c r="A65" s="2" t="inlineStr">
        <is>
          <t>KPROP-00064</t>
        </is>
      </c>
      <c r="B65" s="3" t="n">
        <v>45858.50390046297</v>
      </c>
      <c r="C65" s="3" t="n">
        <v>45858</v>
      </c>
      <c r="D65" s="2" t="inlineStr">
        <is>
          <t>Robbie Ray</t>
        </is>
      </c>
      <c r="E65" s="2" t="n">
        <v>137</v>
      </c>
      <c r="F65" s="2" t="n">
        <v>141</v>
      </c>
      <c r="G65" s="2" t="inlineStr">
        <is>
          <t>Away</t>
        </is>
      </c>
      <c r="H65" s="2" t="inlineStr">
        <is>
          <t>draftkings</t>
        </is>
      </c>
      <c r="I65" s="4" t="n"/>
      <c r="J65" s="4" t="n"/>
      <c r="K65" s="4" t="n">
        <v>105</v>
      </c>
      <c r="L65" s="4" t="n">
        <v>105</v>
      </c>
      <c r="M65" s="5" t="n">
        <v>5.5</v>
      </c>
      <c r="N65" s="5" t="n">
        <v>5.483119301899178</v>
      </c>
      <c r="O65" s="5" t="n">
        <v>5.5</v>
      </c>
      <c r="P65" s="5" t="n">
        <v>0.01688069810082204</v>
      </c>
      <c r="Q65" s="6" t="n">
        <v>0.09021920877079681</v>
      </c>
      <c r="R65" s="6" t="n">
        <v>0.5318142481808765</v>
      </c>
      <c r="S65" s="6" t="n">
        <v>0.4675324675324675</v>
      </c>
      <c r="T65" s="2" t="inlineStr">
        <is>
          <t>Under</t>
        </is>
      </c>
      <c r="U65" s="4" t="n">
        <v>105</v>
      </c>
      <c r="V65" s="2" t="n">
        <v>2.05</v>
      </c>
      <c r="W65" s="4" t="n">
        <v>105</v>
      </c>
      <c r="X65" s="2" t="n">
        <v>1</v>
      </c>
      <c r="Y65" s="5" t="n">
        <v>1.05</v>
      </c>
      <c r="Z65" s="7" t="n">
        <v>100</v>
      </c>
      <c r="AA65" s="7">
        <f>Y65*Z65</f>
        <v/>
      </c>
      <c r="AB65" s="6">
        <f>IF(Z65=0,0,AA65/Z65)</f>
        <v/>
      </c>
      <c r="AC65" s="6" t="n"/>
      <c r="AD65" s="2" t="inlineStr">
        <is>
          <t>Win</t>
        </is>
      </c>
      <c r="AE65" s="6">
        <f>IF((COUNTIF($AD$2:AD65,"Win")+COUNTIF($AD$2:AD65,"Loss"))=0,0,COUNTIF($AD$2:AD65,"Win")/(COUNTIF($AD$2:AD65,"Win")+COUNTIF($AD$2:AD65,"Loss")))</f>
        <v/>
      </c>
      <c r="AF65" s="6">
        <f>SUM($Y$2:Y65)/SUM($X$2:X65)</f>
        <v/>
      </c>
      <c r="AG65" s="5">
        <f>SUM($Y$2:Y65)</f>
        <v/>
      </c>
      <c r="AH65" s="7">
        <f>10000.0+SUM($AA$2:AA65)</f>
        <v/>
      </c>
      <c r="AI65" s="2" t="n">
        <v>2025</v>
      </c>
      <c r="AJ65" s="2" t="inlineStr">
        <is>
          <t>2025-07</t>
        </is>
      </c>
      <c r="AK65" s="2" t="inlineStr">
        <is>
          <t>+100 to +120</t>
        </is>
      </c>
      <c r="AL65" s="2" t="inlineStr">
        <is>
          <t>2025 Validation</t>
        </is>
      </c>
      <c r="AM65" s="6" t="n">
        <v>0.08592305597218745</v>
      </c>
    </row>
    <row r="66">
      <c r="A66" s="2" t="inlineStr">
        <is>
          <t>KPROP-00065</t>
        </is>
      </c>
      <c r="B66" s="3" t="n">
        <v>45859.77821759259</v>
      </c>
      <c r="C66" s="3" t="n">
        <v>45859</v>
      </c>
      <c r="D66" s="2" t="inlineStr">
        <is>
          <t>Brady Singer</t>
        </is>
      </c>
      <c r="E66" s="2" t="n">
        <v>113</v>
      </c>
      <c r="F66" s="2" t="n">
        <v>120</v>
      </c>
      <c r="G66" s="2" t="inlineStr">
        <is>
          <t>Away</t>
        </is>
      </c>
      <c r="H66" s="2" t="inlineStr">
        <is>
          <t>betmgm</t>
        </is>
      </c>
      <c r="I66" s="4" t="n"/>
      <c r="J66" s="4" t="n"/>
      <c r="K66" s="4" t="n">
        <v>125</v>
      </c>
      <c r="L66" s="4" t="n">
        <v>125</v>
      </c>
      <c r="M66" s="5" t="n">
        <v>4.5</v>
      </c>
      <c r="N66" s="5" t="n">
        <v>4.579544481282818</v>
      </c>
      <c r="O66" s="5" t="n">
        <v>4.5</v>
      </c>
      <c r="P66" s="5" t="n">
        <v>-0.07954448128281832</v>
      </c>
      <c r="Q66" s="6" t="n">
        <v>0.1634188596059072</v>
      </c>
      <c r="R66" s="6" t="n">
        <v>0.5170750487137366</v>
      </c>
      <c r="S66" s="6" t="n">
        <v>0.4302788844621515</v>
      </c>
      <c r="T66" s="2" t="inlineStr">
        <is>
          <t>Under</t>
        </is>
      </c>
      <c r="U66" s="4" t="n">
        <v>125</v>
      </c>
      <c r="V66" s="2" t="n">
        <v>2.25</v>
      </c>
      <c r="W66" s="4" t="n">
        <v>125</v>
      </c>
      <c r="X66" s="2" t="n">
        <v>1</v>
      </c>
      <c r="Y66" s="5" t="n">
        <v>1.25</v>
      </c>
      <c r="Z66" s="7" t="n">
        <v>100</v>
      </c>
      <c r="AA66" s="7">
        <f>Y66*Z66</f>
        <v/>
      </c>
      <c r="AB66" s="6">
        <f>IF(Z66=0,0,AA66/Z66)</f>
        <v/>
      </c>
      <c r="AC66" s="6" t="n"/>
      <c r="AD66" s="2" t="inlineStr">
        <is>
          <t>Win</t>
        </is>
      </c>
      <c r="AE66" s="6">
        <f>IF((COUNTIF($AD$2:AD66,"Win")+COUNTIF($AD$2:AD66,"Loss"))=0,0,COUNTIF($AD$2:AD66,"Win")/(COUNTIF($AD$2:AD66,"Win")+COUNTIF($AD$2:AD66,"Loss")))</f>
        <v/>
      </c>
      <c r="AF66" s="6">
        <f>SUM($Y$2:Y66)/SUM($X$2:X66)</f>
        <v/>
      </c>
      <c r="AG66" s="5">
        <f>SUM($Y$2:Y66)</f>
        <v/>
      </c>
      <c r="AH66" s="7">
        <f>10000.0+SUM($AA$2:AA66)</f>
        <v/>
      </c>
      <c r="AI66" s="2" t="n">
        <v>2025</v>
      </c>
      <c r="AJ66" s="2" t="inlineStr">
        <is>
          <t>2025-07</t>
        </is>
      </c>
      <c r="AK66" s="2" t="inlineStr">
        <is>
          <t>+121 to +150</t>
        </is>
      </c>
      <c r="AL66" s="2" t="inlineStr">
        <is>
          <t>2025 Validation</t>
        </is>
      </c>
      <c r="AM66" s="6" t="n">
        <v>0.1307350876847257</v>
      </c>
    </row>
    <row r="67">
      <c r="A67" s="2" t="inlineStr">
        <is>
          <t>KPROP-00066</t>
        </is>
      </c>
      <c r="B67" s="3" t="n">
        <v>45859.77474537037</v>
      </c>
      <c r="C67" s="3" t="n">
        <v>45859</v>
      </c>
      <c r="D67" s="2" t="inlineStr">
        <is>
          <t>Jack Flaherty</t>
        </is>
      </c>
      <c r="E67" s="2" t="n">
        <v>116</v>
      </c>
      <c r="F67" s="2" t="n">
        <v>134</v>
      </c>
      <c r="G67" s="2" t="inlineStr">
        <is>
          <t>Away</t>
        </is>
      </c>
      <c r="H67" s="2" t="inlineStr">
        <is>
          <t>betmgm</t>
        </is>
      </c>
      <c r="I67" s="4" t="n"/>
      <c r="J67" s="4" t="n"/>
      <c r="K67" s="4" t="n">
        <v>-125</v>
      </c>
      <c r="L67" s="4" t="n">
        <v>-125</v>
      </c>
      <c r="M67" s="5" t="n">
        <v>6.5</v>
      </c>
      <c r="N67" s="5" t="n">
        <v>5.935653714618964</v>
      </c>
      <c r="O67" s="5" t="n">
        <v>6.5</v>
      </c>
      <c r="P67" s="5" t="n">
        <v>0.5643462853810357</v>
      </c>
      <c r="Q67" s="6" t="n">
        <v>0.1099467617911888</v>
      </c>
      <c r="R67" s="6" t="n">
        <v>0.6166370898839938</v>
      </c>
      <c r="S67" s="6" t="n">
        <v>0.5384615384615385</v>
      </c>
      <c r="T67" s="2" t="inlineStr">
        <is>
          <t>Under</t>
        </is>
      </c>
      <c r="U67" s="4" t="n">
        <v>-125</v>
      </c>
      <c r="V67" s="2" t="n">
        <v>1.8</v>
      </c>
      <c r="W67" s="4" t="n">
        <v>-125</v>
      </c>
      <c r="X67" s="2" t="n">
        <v>1</v>
      </c>
      <c r="Y67" s="5" t="n">
        <v>0.8</v>
      </c>
      <c r="Z67" s="7" t="n">
        <v>100</v>
      </c>
      <c r="AA67" s="7">
        <f>Y67*Z67</f>
        <v/>
      </c>
      <c r="AB67" s="6">
        <f>IF(Z67=0,0,AA67/Z67)</f>
        <v/>
      </c>
      <c r="AC67" s="6" t="n"/>
      <c r="AD67" s="2" t="inlineStr">
        <is>
          <t>Win</t>
        </is>
      </c>
      <c r="AE67" s="6">
        <f>IF((COUNTIF($AD$2:AD67,"Win")+COUNTIF($AD$2:AD67,"Loss"))=0,0,COUNTIF($AD$2:AD67,"Win")/(COUNTIF($AD$2:AD67,"Win")+COUNTIF($AD$2:AD67,"Loss")))</f>
        <v/>
      </c>
      <c r="AF67" s="6">
        <f>SUM($Y$2:Y67)/SUM($X$2:X67)</f>
        <v/>
      </c>
      <c r="AG67" s="5">
        <f>SUM($Y$2:Y67)</f>
        <v/>
      </c>
      <c r="AH67" s="7">
        <f>10000.0+SUM($AA$2:AA67)</f>
        <v/>
      </c>
      <c r="AI67" s="2" t="n">
        <v>2025</v>
      </c>
      <c r="AJ67" s="2" t="inlineStr">
        <is>
          <t>2025-07</t>
        </is>
      </c>
      <c r="AK67" s="2" t="inlineStr">
        <is>
          <t>-149 to -120</t>
        </is>
      </c>
      <c r="AL67" s="2" t="inlineStr">
        <is>
          <t>2025 Validation</t>
        </is>
      </c>
      <c r="AM67" s="6" t="n">
        <v>0.137433452238986</v>
      </c>
    </row>
    <row r="68">
      <c r="A68" s="2" t="inlineStr">
        <is>
          <t>KPROP-00067</t>
        </is>
      </c>
      <c r="B68" s="3" t="n">
        <v>45859.77821759259</v>
      </c>
      <c r="C68" s="3" t="n">
        <v>45859</v>
      </c>
      <c r="D68" s="2" t="inlineStr">
        <is>
          <t>Jake Irvin</t>
        </is>
      </c>
      <c r="E68" s="2" t="n">
        <v>120</v>
      </c>
      <c r="F68" s="2" t="n">
        <v>113</v>
      </c>
      <c r="G68" s="2" t="inlineStr">
        <is>
          <t>Home</t>
        </is>
      </c>
      <c r="H68" s="2" t="inlineStr">
        <is>
          <t>fanduel</t>
        </is>
      </c>
      <c r="I68" s="4" t="n"/>
      <c r="J68" s="4" t="n"/>
      <c r="K68" s="4" t="n">
        <v>-104</v>
      </c>
      <c r="L68" s="4" t="n">
        <v>-104</v>
      </c>
      <c r="M68" s="5" t="n">
        <v>4.5</v>
      </c>
      <c r="N68" s="5" t="n">
        <v>4.302030354651897</v>
      </c>
      <c r="O68" s="5" t="n">
        <v>4.5</v>
      </c>
      <c r="P68" s="5" t="n">
        <v>0.1979696453481035</v>
      </c>
      <c r="Q68" s="6" t="n">
        <v>0.118166565016906</v>
      </c>
      <c r="R68" s="6" t="n">
        <v>0.5700456998125403</v>
      </c>
      <c r="S68" s="6" t="n">
        <v>0.4932249322493225</v>
      </c>
      <c r="T68" s="2" t="inlineStr">
        <is>
          <t>Under</t>
        </is>
      </c>
      <c r="U68" s="4" t="n">
        <v>-104</v>
      </c>
      <c r="V68" s="2" t="n">
        <v>1.961538461538462</v>
      </c>
      <c r="W68" s="4" t="n">
        <v>-104</v>
      </c>
      <c r="X68" s="2" t="n">
        <v>1</v>
      </c>
      <c r="Y68" s="5" t="n">
        <v>0.9615384615384617</v>
      </c>
      <c r="Z68" s="7" t="n">
        <v>100</v>
      </c>
      <c r="AA68" s="7">
        <f>Y68*Z68</f>
        <v/>
      </c>
      <c r="AB68" s="6">
        <f>IF(Z68=0,0,AA68/Z68)</f>
        <v/>
      </c>
      <c r="AC68" s="6" t="n"/>
      <c r="AD68" s="2" t="inlineStr">
        <is>
          <t>Win</t>
        </is>
      </c>
      <c r="AE68" s="6">
        <f>IF((COUNTIF($AD$2:AD68,"Win")+COUNTIF($AD$2:AD68,"Loss"))=0,0,COUNTIF($AD$2:AD68,"Win")/(COUNTIF($AD$2:AD68,"Win")+COUNTIF($AD$2:AD68,"Loss")))</f>
        <v/>
      </c>
      <c r="AF68" s="6">
        <f>SUM($Y$2:Y68)/SUM($X$2:X68)</f>
        <v/>
      </c>
      <c r="AG68" s="5">
        <f>SUM($Y$2:Y68)</f>
        <v/>
      </c>
      <c r="AH68" s="7">
        <f>10000.0+SUM($AA$2:AA68)</f>
        <v/>
      </c>
      <c r="AI68" s="2" t="n">
        <v>2025</v>
      </c>
      <c r="AJ68" s="2" t="inlineStr">
        <is>
          <t>2025-07</t>
        </is>
      </c>
      <c r="AK68" s="2" t="inlineStr">
        <is>
          <t>-119 to -101</t>
        </is>
      </c>
      <c r="AL68" s="2" t="inlineStr">
        <is>
          <t>2025 Validation</t>
        </is>
      </c>
      <c r="AM68" s="6" t="n">
        <v>0.1228932276175823</v>
      </c>
    </row>
    <row r="69">
      <c r="A69" s="2" t="inlineStr">
        <is>
          <t>KPROP-00068</t>
        </is>
      </c>
      <c r="B69" s="3" t="n">
        <v>45860.78168981482</v>
      </c>
      <c r="C69" s="3" t="n">
        <v>45860</v>
      </c>
      <c r="D69" s="2" t="inlineStr">
        <is>
          <t>Chase Burns</t>
        </is>
      </c>
      <c r="E69" s="2" t="n">
        <v>113</v>
      </c>
      <c r="F69" s="2" t="n">
        <v>120</v>
      </c>
      <c r="G69" s="2" t="inlineStr">
        <is>
          <t>Away</t>
        </is>
      </c>
      <c r="H69" s="2" t="inlineStr">
        <is>
          <t>draftkings</t>
        </is>
      </c>
      <c r="I69" s="4" t="n"/>
      <c r="J69" s="4" t="n"/>
      <c r="K69" s="4" t="n">
        <v>125</v>
      </c>
      <c r="L69" s="4" t="n">
        <v>125</v>
      </c>
      <c r="M69" s="5" t="n">
        <v>5.5</v>
      </c>
      <c r="N69" s="5" t="n">
        <v>5.80330342364607</v>
      </c>
      <c r="O69" s="5" t="n">
        <v>5.5</v>
      </c>
      <c r="P69" s="5" t="n">
        <v>-0.3033034236460699</v>
      </c>
      <c r="Q69" s="6" t="n">
        <v>0.0749774983792435</v>
      </c>
      <c r="R69" s="6" t="n">
        <v>0.4777677770574416</v>
      </c>
      <c r="S69" s="6" t="n">
        <v>0.4339106654512306</v>
      </c>
      <c r="T69" s="2" t="inlineStr">
        <is>
          <t>Under</t>
        </is>
      </c>
      <c r="U69" s="4" t="n">
        <v>125</v>
      </c>
      <c r="V69" s="2" t="n">
        <v>2.25</v>
      </c>
      <c r="W69" s="4" t="n">
        <v>125</v>
      </c>
      <c r="X69" s="2" t="n">
        <v>1</v>
      </c>
      <c r="Y69" s="5" t="n">
        <v>-1</v>
      </c>
      <c r="Z69" s="7" t="n">
        <v>100</v>
      </c>
      <c r="AA69" s="7">
        <f>Y69*Z69</f>
        <v/>
      </c>
      <c r="AB69" s="6">
        <f>IF(Z69=0,0,AA69/Z69)</f>
        <v/>
      </c>
      <c r="AC69" s="6" t="n"/>
      <c r="AD69" s="2" t="inlineStr">
        <is>
          <t>Loss</t>
        </is>
      </c>
      <c r="AE69" s="6">
        <f>IF((COUNTIF($AD$2:AD69,"Win")+COUNTIF($AD$2:AD69,"Loss"))=0,0,COUNTIF($AD$2:AD69,"Win")/(COUNTIF($AD$2:AD69,"Win")+COUNTIF($AD$2:AD69,"Loss")))</f>
        <v/>
      </c>
      <c r="AF69" s="6">
        <f>SUM($Y$2:Y69)/SUM($X$2:X69)</f>
        <v/>
      </c>
      <c r="AG69" s="5">
        <f>SUM($Y$2:Y69)</f>
        <v/>
      </c>
      <c r="AH69" s="7">
        <f>10000.0+SUM($AA$2:AA69)</f>
        <v/>
      </c>
      <c r="AI69" s="2" t="n">
        <v>2025</v>
      </c>
      <c r="AJ69" s="2" t="inlineStr">
        <is>
          <t>2025-07</t>
        </is>
      </c>
      <c r="AK69" s="2" t="inlineStr">
        <is>
          <t>+121 to +150</t>
        </is>
      </c>
      <c r="AL69" s="2" t="inlineStr">
        <is>
          <t>2025 Validation</t>
        </is>
      </c>
      <c r="AM69" s="6" t="n">
        <v>0.0599819987033948</v>
      </c>
    </row>
    <row r="70">
      <c r="A70" s="2" t="inlineStr">
        <is>
          <t>KPROP-00069</t>
        </is>
      </c>
      <c r="B70" s="3" t="n">
        <v>45860.79559027778</v>
      </c>
      <c r="C70" s="3" t="n">
        <v>45860</v>
      </c>
      <c r="D70" s="2" t="inlineStr">
        <is>
          <t>Max Scherzer</t>
        </is>
      </c>
      <c r="E70" s="2" t="n">
        <v>141</v>
      </c>
      <c r="F70" s="2" t="n">
        <v>147</v>
      </c>
      <c r="G70" s="2" t="inlineStr">
        <is>
          <t>Home</t>
        </is>
      </c>
      <c r="H70" s="2" t="inlineStr">
        <is>
          <t>betmgm</t>
        </is>
      </c>
      <c r="I70" s="4" t="n"/>
      <c r="J70" s="4" t="n"/>
      <c r="K70" s="4" t="n">
        <v>110</v>
      </c>
      <c r="L70" s="4" t="n">
        <v>110</v>
      </c>
      <c r="M70" s="5" t="n">
        <v>5.5</v>
      </c>
      <c r="N70" s="5" t="n">
        <v>5.23208200581149</v>
      </c>
      <c r="O70" s="5" t="n">
        <v>5.5</v>
      </c>
      <c r="P70" s="5" t="n">
        <v>0.2679179941885099</v>
      </c>
      <c r="Q70" s="6" t="n">
        <v>0.2081492913767836</v>
      </c>
      <c r="R70" s="6" t="n">
        <v>0.5753091863698969</v>
      </c>
      <c r="S70" s="6" t="n">
        <v>0.4615384615384616</v>
      </c>
      <c r="T70" s="2" t="inlineStr">
        <is>
          <t>Under</t>
        </is>
      </c>
      <c r="U70" s="4" t="n">
        <v>110</v>
      </c>
      <c r="V70" s="2" t="n">
        <v>2.1</v>
      </c>
      <c r="W70" s="4" t="n">
        <v>110</v>
      </c>
      <c r="X70" s="2" t="n">
        <v>1</v>
      </c>
      <c r="Y70" s="5" t="n">
        <v>1.1</v>
      </c>
      <c r="Z70" s="7" t="n">
        <v>100</v>
      </c>
      <c r="AA70" s="7">
        <f>Y70*Z70</f>
        <v/>
      </c>
      <c r="AB70" s="6">
        <f>IF(Z70=0,0,AA70/Z70)</f>
        <v/>
      </c>
      <c r="AC70" s="6" t="n"/>
      <c r="AD70" s="2" t="inlineStr">
        <is>
          <t>Win</t>
        </is>
      </c>
      <c r="AE70" s="6">
        <f>IF((COUNTIF($AD$2:AD70,"Win")+COUNTIF($AD$2:AD70,"Loss"))=0,0,COUNTIF($AD$2:AD70,"Win")/(COUNTIF($AD$2:AD70,"Win")+COUNTIF($AD$2:AD70,"Loss")))</f>
        <v/>
      </c>
      <c r="AF70" s="6">
        <f>SUM($Y$2:Y70)/SUM($X$2:X70)</f>
        <v/>
      </c>
      <c r="AG70" s="5">
        <f>SUM($Y$2:Y70)</f>
        <v/>
      </c>
      <c r="AH70" s="7">
        <f>10000.0+SUM($AA$2:AA70)</f>
        <v/>
      </c>
      <c r="AI70" s="2" t="n">
        <v>2025</v>
      </c>
      <c r="AJ70" s="2" t="inlineStr">
        <is>
          <t>2025-07</t>
        </is>
      </c>
      <c r="AK70" s="2" t="inlineStr">
        <is>
          <t>+100 to +120</t>
        </is>
      </c>
      <c r="AL70" s="2" t="inlineStr">
        <is>
          <t>2025 Validation</t>
        </is>
      </c>
      <c r="AM70" s="6" t="n">
        <v>0.1892266285243487</v>
      </c>
    </row>
    <row r="71">
      <c r="A71" s="2" t="inlineStr">
        <is>
          <t>KPROP-00070</t>
        </is>
      </c>
      <c r="B71" s="3" t="n">
        <v>45860.79559027778</v>
      </c>
      <c r="C71" s="3" t="n">
        <v>45860</v>
      </c>
      <c r="D71" s="2" t="inlineStr">
        <is>
          <t>Max Scherzer</t>
        </is>
      </c>
      <c r="E71" s="2" t="n">
        <v>141</v>
      </c>
      <c r="F71" s="2" t="n">
        <v>147</v>
      </c>
      <c r="G71" s="2" t="inlineStr">
        <is>
          <t>Home</t>
        </is>
      </c>
      <c r="H71" s="2" t="inlineStr">
        <is>
          <t>betrivers</t>
        </is>
      </c>
      <c r="I71" s="4" t="n"/>
      <c r="J71" s="4" t="n"/>
      <c r="K71" s="4" t="n">
        <v>-186</v>
      </c>
      <c r="L71" s="4" t="n">
        <v>-186</v>
      </c>
      <c r="M71" s="5" t="n">
        <v>6.5</v>
      </c>
      <c r="N71" s="5" t="n">
        <v>5.23208200581149</v>
      </c>
      <c r="O71" s="5" t="n">
        <v>6.5</v>
      </c>
      <c r="P71" s="5" t="n">
        <v>1.26791799418851</v>
      </c>
      <c r="Q71" s="6" t="n">
        <v>0.1186624289611948</v>
      </c>
      <c r="R71" s="6" t="n">
        <v>0.7275217195342036</v>
      </c>
      <c r="S71" s="6" t="n">
        <v>0.6044807080625086</v>
      </c>
      <c r="T71" s="2" t="inlineStr">
        <is>
          <t>Under</t>
        </is>
      </c>
      <c r="U71" s="4" t="n">
        <v>-186</v>
      </c>
      <c r="V71" s="2" t="n">
        <v>1.537634408602151</v>
      </c>
      <c r="W71" s="4" t="n">
        <v>-186</v>
      </c>
      <c r="X71" s="2" t="n">
        <v>1</v>
      </c>
      <c r="Y71" s="5" t="n">
        <v>0.5376344086021505</v>
      </c>
      <c r="Z71" s="7" t="n">
        <v>100</v>
      </c>
      <c r="AA71" s="7">
        <f>Y71*Z71</f>
        <v/>
      </c>
      <c r="AB71" s="6">
        <f>IF(Z71=0,0,AA71/Z71)</f>
        <v/>
      </c>
      <c r="AC71" s="6" t="n"/>
      <c r="AD71" s="2" t="inlineStr">
        <is>
          <t>Win</t>
        </is>
      </c>
      <c r="AE71" s="6">
        <f>IF((COUNTIF($AD$2:AD71,"Win")+COUNTIF($AD$2:AD71,"Loss"))=0,0,COUNTIF($AD$2:AD71,"Win")/(COUNTIF($AD$2:AD71,"Win")+COUNTIF($AD$2:AD71,"Loss")))</f>
        <v/>
      </c>
      <c r="AF71" s="6">
        <f>SUM($Y$2:Y71)/SUM($X$2:X71)</f>
        <v/>
      </c>
      <c r="AG71" s="5">
        <f>SUM($Y$2:Y71)</f>
        <v/>
      </c>
      <c r="AH71" s="7">
        <f>10000.0+SUM($AA$2:AA71)</f>
        <v/>
      </c>
      <c r="AI71" s="2" t="n">
        <v>2025</v>
      </c>
      <c r="AJ71" s="2" t="inlineStr">
        <is>
          <t>2025-07</t>
        </is>
      </c>
      <c r="AK71" s="2" t="inlineStr">
        <is>
          <t>&lt;= -150</t>
        </is>
      </c>
      <c r="AL71" s="2" t="inlineStr">
        <is>
          <t>2025 Validation</t>
        </is>
      </c>
      <c r="AM71" s="6" t="n">
        <v>0.2207121178678224</v>
      </c>
    </row>
    <row r="72">
      <c r="A72" s="2" t="inlineStr">
        <is>
          <t>KPROP-00071</t>
        </is>
      </c>
      <c r="B72" s="3" t="n">
        <v>45860.77821759259</v>
      </c>
      <c r="C72" s="3" t="n">
        <v>45860</v>
      </c>
      <c r="D72" s="2" t="inlineStr">
        <is>
          <t>Mitch Keller</t>
        </is>
      </c>
      <c r="E72" s="2" t="n">
        <v>134</v>
      </c>
      <c r="F72" s="2" t="n">
        <v>116</v>
      </c>
      <c r="G72" s="2" t="inlineStr">
        <is>
          <t>Home</t>
        </is>
      </c>
      <c r="H72" s="2" t="inlineStr">
        <is>
          <t>bovada</t>
        </is>
      </c>
      <c r="I72" s="4" t="n"/>
      <c r="J72" s="4" t="n"/>
      <c r="K72" s="4" t="n">
        <v>130</v>
      </c>
      <c r="L72" s="4" t="n">
        <v>130</v>
      </c>
      <c r="M72" s="5" t="n">
        <v>4.5</v>
      </c>
      <c r="N72" s="5" t="n">
        <v>4.806379728215197</v>
      </c>
      <c r="O72" s="5" t="n">
        <v>4.5</v>
      </c>
      <c r="P72" s="5" t="n">
        <v>-0.3063797282151972</v>
      </c>
      <c r="Q72" s="6" t="n">
        <v>0.09272557861697672</v>
      </c>
      <c r="R72" s="6" t="n">
        <v>0.4750980776595551</v>
      </c>
      <c r="S72" s="6" t="n">
        <v>0.4188829787234042</v>
      </c>
      <c r="T72" s="2" t="inlineStr">
        <is>
          <t>Under</t>
        </is>
      </c>
      <c r="U72" s="4" t="n">
        <v>130</v>
      </c>
      <c r="V72" s="2" t="n">
        <v>2.3</v>
      </c>
      <c r="W72" s="4" t="n">
        <v>130</v>
      </c>
      <c r="X72" s="2" t="n">
        <v>1</v>
      </c>
      <c r="Y72" s="5" t="n">
        <v>-1</v>
      </c>
      <c r="Z72" s="7" t="n">
        <v>100</v>
      </c>
      <c r="AA72" s="7">
        <f>Y72*Z72</f>
        <v/>
      </c>
      <c r="AB72" s="6">
        <f>IF(Z72=0,0,AA72/Z72)</f>
        <v/>
      </c>
      <c r="AC72" s="6" t="n"/>
      <c r="AD72" s="2" t="inlineStr">
        <is>
          <t>Loss</t>
        </is>
      </c>
      <c r="AE72" s="6">
        <f>IF((COUNTIF($AD$2:AD72,"Win")+COUNTIF($AD$2:AD72,"Loss"))=0,0,COUNTIF($AD$2:AD72,"Win")/(COUNTIF($AD$2:AD72,"Win")+COUNTIF($AD$2:AD72,"Loss")))</f>
        <v/>
      </c>
      <c r="AF72" s="6">
        <f>SUM($Y$2:Y72)/SUM($X$2:X72)</f>
        <v/>
      </c>
      <c r="AG72" s="5">
        <f>SUM($Y$2:Y72)</f>
        <v/>
      </c>
      <c r="AH72" s="7">
        <f>10000.0+SUM($AA$2:AA72)</f>
        <v/>
      </c>
      <c r="AI72" s="2" t="n">
        <v>2025</v>
      </c>
      <c r="AJ72" s="2" t="inlineStr">
        <is>
          <t>2025-07</t>
        </is>
      </c>
      <c r="AK72" s="2" t="inlineStr">
        <is>
          <t>+121 to +150</t>
        </is>
      </c>
      <c r="AL72" s="2" t="inlineStr">
        <is>
          <t>2025 Validation</t>
        </is>
      </c>
      <c r="AM72" s="6" t="n">
        <v>0.07132736816690519</v>
      </c>
    </row>
    <row r="73">
      <c r="A73" s="2" t="inlineStr">
        <is>
          <t>KPROP-00072</t>
        </is>
      </c>
      <c r="B73" s="3" t="n">
        <v>45861.50738425926</v>
      </c>
      <c r="C73" s="3" t="n">
        <v>45861</v>
      </c>
      <c r="D73" s="2" t="inlineStr">
        <is>
          <t>Dylan Cease</t>
        </is>
      </c>
      <c r="E73" s="2" t="n">
        <v>135</v>
      </c>
      <c r="F73" s="2" t="n">
        <v>146</v>
      </c>
      <c r="G73" s="2" t="inlineStr">
        <is>
          <t>Away</t>
        </is>
      </c>
      <c r="H73" s="2" t="inlineStr">
        <is>
          <t>betonlineag</t>
        </is>
      </c>
      <c r="I73" s="4" t="n"/>
      <c r="J73" s="4" t="n"/>
      <c r="K73" s="4" t="n">
        <v>116</v>
      </c>
      <c r="L73" s="4" t="n">
        <v>116</v>
      </c>
      <c r="M73" s="5" t="n">
        <v>6.5</v>
      </c>
      <c r="N73" s="5" t="n">
        <v>6.288320169786076</v>
      </c>
      <c r="O73" s="5" t="n">
        <v>6.5</v>
      </c>
      <c r="P73" s="5" t="n">
        <v>0.2116798302139244</v>
      </c>
      <c r="Q73" s="6" t="n">
        <v>0.2098076206280229</v>
      </c>
      <c r="R73" s="6" t="n">
        <v>0.5600961206611217</v>
      </c>
      <c r="S73" s="6" t="n">
        <v>0.4424778761061947</v>
      </c>
      <c r="T73" s="2" t="inlineStr">
        <is>
          <t>Under</t>
        </is>
      </c>
      <c r="U73" s="4" t="n">
        <v>116</v>
      </c>
      <c r="V73" s="2" t="n">
        <v>2.16</v>
      </c>
      <c r="W73" s="4" t="n">
        <v>116</v>
      </c>
      <c r="X73" s="2" t="n">
        <v>1</v>
      </c>
      <c r="Y73" s="5" t="n">
        <v>1.16</v>
      </c>
      <c r="Z73" s="7" t="n">
        <v>100</v>
      </c>
      <c r="AA73" s="7">
        <f>Y73*Z73</f>
        <v/>
      </c>
      <c r="AB73" s="6">
        <f>IF(Z73=0,0,AA73/Z73)</f>
        <v/>
      </c>
      <c r="AC73" s="6" t="n"/>
      <c r="AD73" s="2" t="inlineStr">
        <is>
          <t>Win</t>
        </is>
      </c>
      <c r="AE73" s="6">
        <f>IF((COUNTIF($AD$2:AD73,"Win")+COUNTIF($AD$2:AD73,"Loss"))=0,0,COUNTIF($AD$2:AD73,"Win")/(COUNTIF($AD$2:AD73,"Win")+COUNTIF($AD$2:AD73,"Loss")))</f>
        <v/>
      </c>
      <c r="AF73" s="6">
        <f>SUM($Y$2:Y73)/SUM($X$2:X73)</f>
        <v/>
      </c>
      <c r="AG73" s="5">
        <f>SUM($Y$2:Y73)</f>
        <v/>
      </c>
      <c r="AH73" s="7">
        <f>10000.0+SUM($AA$2:AA73)</f>
        <v/>
      </c>
      <c r="AI73" s="2" t="n">
        <v>2025</v>
      </c>
      <c r="AJ73" s="2" t="inlineStr">
        <is>
          <t>2025-07</t>
        </is>
      </c>
      <c r="AK73" s="2" t="inlineStr">
        <is>
          <t>+100 to +120</t>
        </is>
      </c>
      <c r="AL73" s="2" t="inlineStr">
        <is>
          <t>2025 Validation</t>
        </is>
      </c>
      <c r="AM73" s="6" t="n">
        <v>0.1808686384724335</v>
      </c>
    </row>
    <row r="74">
      <c r="A74" s="2" t="inlineStr">
        <is>
          <t>KPROP-00073</t>
        </is>
      </c>
      <c r="B74" s="3" t="n">
        <v>45861.50738425926</v>
      </c>
      <c r="C74" s="3" t="n">
        <v>45861</v>
      </c>
      <c r="D74" s="2" t="inlineStr">
        <is>
          <t>Dylan Cease</t>
        </is>
      </c>
      <c r="E74" s="2" t="n">
        <v>135</v>
      </c>
      <c r="F74" s="2" t="n">
        <v>146</v>
      </c>
      <c r="G74" s="2" t="inlineStr">
        <is>
          <t>Away</t>
        </is>
      </c>
      <c r="H74" s="2" t="inlineStr">
        <is>
          <t>betrivers</t>
        </is>
      </c>
      <c r="I74" s="4" t="n"/>
      <c r="J74" s="4" t="n"/>
      <c r="K74" s="4" t="n">
        <v>-180</v>
      </c>
      <c r="L74" s="4" t="n">
        <v>-180</v>
      </c>
      <c r="M74" s="5" t="n">
        <v>7.5</v>
      </c>
      <c r="N74" s="5" t="n">
        <v>6.288320169786076</v>
      </c>
      <c r="O74" s="5" t="n">
        <v>7.5</v>
      </c>
      <c r="P74" s="5" t="n">
        <v>1.211679830213924</v>
      </c>
      <c r="Q74" s="6" t="n">
        <v>0.09421437087708667</v>
      </c>
      <c r="R74" s="6" t="n">
        <v>0.70342352413527</v>
      </c>
      <c r="S74" s="6" t="n">
        <v>0.5965417867435159</v>
      </c>
      <c r="T74" s="2" t="inlineStr">
        <is>
          <t>Under</t>
        </is>
      </c>
      <c r="U74" s="4" t="n">
        <v>-180</v>
      </c>
      <c r="V74" s="2" t="n">
        <v>1.555555555555556</v>
      </c>
      <c r="W74" s="4" t="n">
        <v>-180</v>
      </c>
      <c r="X74" s="2" t="n">
        <v>1</v>
      </c>
      <c r="Y74" s="5" t="n">
        <v>0.5555555555555556</v>
      </c>
      <c r="Z74" s="7" t="n">
        <v>100</v>
      </c>
      <c r="AA74" s="7">
        <f>Y74*Z74</f>
        <v/>
      </c>
      <c r="AB74" s="6">
        <f>IF(Z74=0,0,AA74/Z74)</f>
        <v/>
      </c>
      <c r="AC74" s="6" t="n"/>
      <c r="AD74" s="2" t="inlineStr">
        <is>
          <t>Win</t>
        </is>
      </c>
      <c r="AE74" s="6">
        <f>IF((COUNTIF($AD$2:AD74,"Win")+COUNTIF($AD$2:AD74,"Loss"))=0,0,COUNTIF($AD$2:AD74,"Win")/(COUNTIF($AD$2:AD74,"Win")+COUNTIF($AD$2:AD74,"Loss")))</f>
        <v/>
      </c>
      <c r="AF74" s="6">
        <f>SUM($Y$2:Y74)/SUM($X$2:X74)</f>
        <v/>
      </c>
      <c r="AG74" s="5">
        <f>SUM($Y$2:Y74)</f>
        <v/>
      </c>
      <c r="AH74" s="7">
        <f>10000.0+SUM($AA$2:AA74)</f>
        <v/>
      </c>
      <c r="AI74" s="2" t="n">
        <v>2025</v>
      </c>
      <c r="AJ74" s="2" t="inlineStr">
        <is>
          <t>2025-07</t>
        </is>
      </c>
      <c r="AK74" s="2" t="inlineStr">
        <is>
          <t>&lt;= -150</t>
        </is>
      </c>
      <c r="AL74" s="2" t="inlineStr">
        <is>
          <t>2025 Validation</t>
        </is>
      </c>
      <c r="AM74" s="6" t="n">
        <v>0.169585867578756</v>
      </c>
    </row>
    <row r="75">
      <c r="A75" s="2" t="inlineStr">
        <is>
          <t>KPROP-00074</t>
        </is>
      </c>
      <c r="B75" s="3" t="n">
        <v>45861.65321759259</v>
      </c>
      <c r="C75" s="3" t="n">
        <v>45861</v>
      </c>
      <c r="D75" s="2" t="inlineStr">
        <is>
          <t>Luis Castillo</t>
        </is>
      </c>
      <c r="E75" s="2" t="n">
        <v>136</v>
      </c>
      <c r="F75" s="2" t="n">
        <v>158</v>
      </c>
      <c r="G75" s="2" t="inlineStr">
        <is>
          <t>Home</t>
        </is>
      </c>
      <c r="H75" s="2" t="inlineStr">
        <is>
          <t>bovada</t>
        </is>
      </c>
      <c r="I75" s="4" t="n"/>
      <c r="J75" s="4" t="n"/>
      <c r="K75" s="4" t="n">
        <v>100</v>
      </c>
      <c r="L75" s="4" t="n">
        <v>100</v>
      </c>
      <c r="M75" s="5" t="n">
        <v>5.5</v>
      </c>
      <c r="N75" s="5" t="n">
        <v>5.07337186522891</v>
      </c>
      <c r="O75" s="5" t="n">
        <v>5.5</v>
      </c>
      <c r="P75" s="5" t="n">
        <v>0.4266281347710903</v>
      </c>
      <c r="Q75" s="6" t="n">
        <v>0.2061771594635822</v>
      </c>
      <c r="R75" s="6" t="n">
        <v>0.6030885797317911</v>
      </c>
      <c r="S75" s="6" t="n">
        <v>0.4939759036144578</v>
      </c>
      <c r="T75" s="2" t="inlineStr">
        <is>
          <t>Under</t>
        </is>
      </c>
      <c r="U75" s="4" t="n">
        <v>100</v>
      </c>
      <c r="V75" s="2" t="n">
        <v>2</v>
      </c>
      <c r="W75" s="4" t="n">
        <v>100</v>
      </c>
      <c r="X75" s="2" t="n">
        <v>1</v>
      </c>
      <c r="Y75" s="5" t="n">
        <v>-1</v>
      </c>
      <c r="Z75" s="7" t="n">
        <v>100</v>
      </c>
      <c r="AA75" s="7">
        <f>Y75*Z75</f>
        <v/>
      </c>
      <c r="AB75" s="6">
        <f>IF(Z75=0,0,AA75/Z75)</f>
        <v/>
      </c>
      <c r="AC75" s="6" t="n"/>
      <c r="AD75" s="2" t="inlineStr">
        <is>
          <t>Loss</t>
        </is>
      </c>
      <c r="AE75" s="6">
        <f>IF((COUNTIF($AD$2:AD75,"Win")+COUNTIF($AD$2:AD75,"Loss"))=0,0,COUNTIF($AD$2:AD75,"Win")/(COUNTIF($AD$2:AD75,"Win")+COUNTIF($AD$2:AD75,"Loss")))</f>
        <v/>
      </c>
      <c r="AF75" s="6">
        <f>SUM($Y$2:Y75)/SUM($X$2:X75)</f>
        <v/>
      </c>
      <c r="AG75" s="5">
        <f>SUM($Y$2:Y75)</f>
        <v/>
      </c>
      <c r="AH75" s="7">
        <f>10000.0+SUM($AA$2:AA75)</f>
        <v/>
      </c>
      <c r="AI75" s="2" t="n">
        <v>2025</v>
      </c>
      <c r="AJ75" s="2" t="inlineStr">
        <is>
          <t>2025-07</t>
        </is>
      </c>
      <c r="AK75" s="2" t="inlineStr">
        <is>
          <t>+100 to +120</t>
        </is>
      </c>
      <c r="AL75" s="2" t="inlineStr">
        <is>
          <t>2025 Validation</t>
        </is>
      </c>
      <c r="AM75" s="6" t="n">
        <v>0.2061771594635822</v>
      </c>
    </row>
    <row r="76">
      <c r="A76" s="2" t="inlineStr">
        <is>
          <t>KPROP-00075</t>
        </is>
      </c>
      <c r="B76" s="3" t="n">
        <v>45861.50391203703</v>
      </c>
      <c r="C76" s="3" t="n">
        <v>45861</v>
      </c>
      <c r="D76" s="2" t="inlineStr">
        <is>
          <t>Michael Soroka</t>
        </is>
      </c>
      <c r="E76" s="2" t="n">
        <v>120</v>
      </c>
      <c r="F76" s="2" t="n">
        <v>113</v>
      </c>
      <c r="G76" s="2" t="inlineStr">
        <is>
          <t>Home</t>
        </is>
      </c>
      <c r="H76" s="2" t="inlineStr">
        <is>
          <t>fanduel</t>
        </is>
      </c>
      <c r="I76" s="4" t="n"/>
      <c r="J76" s="4" t="n"/>
      <c r="K76" s="4" t="n">
        <v>-122</v>
      </c>
      <c r="L76" s="4" t="n">
        <v>-122</v>
      </c>
      <c r="M76" s="5" t="n">
        <v>5.5</v>
      </c>
      <c r="N76" s="5" t="n">
        <v>5.048045023048202</v>
      </c>
      <c r="O76" s="5" t="n">
        <v>5.5</v>
      </c>
      <c r="P76" s="5" t="n">
        <v>0.4519549769517983</v>
      </c>
      <c r="Q76" s="6" t="n">
        <v>0.1055071686038734</v>
      </c>
      <c r="R76" s="6" t="n">
        <v>0.6075309665300566</v>
      </c>
      <c r="S76" s="6" t="n">
        <v>0.5309727034564354</v>
      </c>
      <c r="T76" s="2" t="inlineStr">
        <is>
          <t>Under</t>
        </is>
      </c>
      <c r="U76" s="4" t="n">
        <v>-122</v>
      </c>
      <c r="V76" s="2" t="n">
        <v>1.819672131147541</v>
      </c>
      <c r="W76" s="4" t="n">
        <v>-122</v>
      </c>
      <c r="X76" s="2" t="n">
        <v>1</v>
      </c>
      <c r="Y76" s="5" t="n">
        <v>-1</v>
      </c>
      <c r="Z76" s="7" t="n">
        <v>100</v>
      </c>
      <c r="AA76" s="7">
        <f>Y76*Z76</f>
        <v/>
      </c>
      <c r="AB76" s="6">
        <f>IF(Z76=0,0,AA76/Z76)</f>
        <v/>
      </c>
      <c r="AC76" s="6" t="n"/>
      <c r="AD76" s="2" t="inlineStr">
        <is>
          <t>Loss</t>
        </is>
      </c>
      <c r="AE76" s="6">
        <f>IF((COUNTIF($AD$2:AD76,"Win")+COUNTIF($AD$2:AD76,"Loss"))=0,0,COUNTIF($AD$2:AD76,"Win")/(COUNTIF($AD$2:AD76,"Win")+COUNTIF($AD$2:AD76,"Loss")))</f>
        <v/>
      </c>
      <c r="AF76" s="6">
        <f>SUM($Y$2:Y76)/SUM($X$2:X76)</f>
        <v/>
      </c>
      <c r="AG76" s="5">
        <f>SUM($Y$2:Y76)</f>
        <v/>
      </c>
      <c r="AH76" s="7">
        <f>10000.0+SUM($AA$2:AA76)</f>
        <v/>
      </c>
      <c r="AI76" s="2" t="n">
        <v>2025</v>
      </c>
      <c r="AJ76" s="2" t="inlineStr">
        <is>
          <t>2025-07</t>
        </is>
      </c>
      <c r="AK76" s="2" t="inlineStr">
        <is>
          <t>-149 to -120</t>
        </is>
      </c>
      <c r="AL76" s="2" t="inlineStr">
        <is>
          <t>2025 Validation</t>
        </is>
      </c>
      <c r="AM76" s="6" t="n">
        <v>0.1287187456967256</v>
      </c>
    </row>
    <row r="77">
      <c r="A77" s="2" t="inlineStr">
        <is>
          <t>KPROP-00076</t>
        </is>
      </c>
      <c r="B77" s="3" t="n">
        <v>45861.50391203703</v>
      </c>
      <c r="C77" s="3" t="n">
        <v>45861</v>
      </c>
      <c r="D77" s="2" t="inlineStr">
        <is>
          <t>Nick Lodolo</t>
        </is>
      </c>
      <c r="E77" s="2" t="n">
        <v>113</v>
      </c>
      <c r="F77" s="2" t="n">
        <v>120</v>
      </c>
      <c r="G77" s="2" t="inlineStr">
        <is>
          <t>Away</t>
        </is>
      </c>
      <c r="H77" s="2" t="inlineStr">
        <is>
          <t>fanatics</t>
        </is>
      </c>
      <c r="I77" s="4" t="n"/>
      <c r="J77" s="4" t="n"/>
      <c r="K77" s="4" t="n">
        <v>-120</v>
      </c>
      <c r="L77" s="4" t="n">
        <v>-120</v>
      </c>
      <c r="M77" s="5" t="n">
        <v>5.5</v>
      </c>
      <c r="N77" s="5" t="n">
        <v>5.046114204456978</v>
      </c>
      <c r="O77" s="5" t="n">
        <v>5.5</v>
      </c>
      <c r="P77" s="5" t="n">
        <v>0.4538857955430222</v>
      </c>
      <c r="Q77" s="6" t="n">
        <v>0.114427760530357</v>
      </c>
      <c r="R77" s="6" t="n">
        <v>0.6078696875620129</v>
      </c>
      <c r="S77" s="6" t="n">
        <v>0.5157232704402516</v>
      </c>
      <c r="T77" s="2" t="inlineStr">
        <is>
          <t>Under</t>
        </is>
      </c>
      <c r="U77" s="4" t="n">
        <v>-120</v>
      </c>
      <c r="V77" s="2" t="n">
        <v>1.833333333333333</v>
      </c>
      <c r="W77" s="4" t="n">
        <v>-120</v>
      </c>
      <c r="X77" s="2" t="n">
        <v>1</v>
      </c>
      <c r="Y77" s="5" t="n">
        <v>-1</v>
      </c>
      <c r="Z77" s="7" t="n">
        <v>100</v>
      </c>
      <c r="AA77" s="7">
        <f>Y77*Z77</f>
        <v/>
      </c>
      <c r="AB77" s="6">
        <f>IF(Z77=0,0,AA77/Z77)</f>
        <v/>
      </c>
      <c r="AC77" s="6" t="n"/>
      <c r="AD77" s="2" t="inlineStr">
        <is>
          <t>Loss</t>
        </is>
      </c>
      <c r="AE77" s="6">
        <f>IF((COUNTIF($AD$2:AD77,"Win")+COUNTIF($AD$2:AD77,"Loss"))=0,0,COUNTIF($AD$2:AD77,"Win")/(COUNTIF($AD$2:AD77,"Win")+COUNTIF($AD$2:AD77,"Loss")))</f>
        <v/>
      </c>
      <c r="AF77" s="6">
        <f>SUM($Y$2:Y77)/SUM($X$2:X77)</f>
        <v/>
      </c>
      <c r="AG77" s="5">
        <f>SUM($Y$2:Y77)</f>
        <v/>
      </c>
      <c r="AH77" s="7">
        <f>10000.0+SUM($AA$2:AA77)</f>
        <v/>
      </c>
      <c r="AI77" s="2" t="n">
        <v>2025</v>
      </c>
      <c r="AJ77" s="2" t="inlineStr">
        <is>
          <t>2025-07</t>
        </is>
      </c>
      <c r="AK77" s="2" t="inlineStr">
        <is>
          <t>-149 to -120</t>
        </is>
      </c>
      <c r="AL77" s="2" t="inlineStr">
        <is>
          <t>2025 Validation</t>
        </is>
      </c>
      <c r="AM77" s="6" t="n">
        <v>0.1373133126364283</v>
      </c>
    </row>
    <row r="78">
      <c r="A78" s="2" t="inlineStr">
        <is>
          <t>KPROP-00077</t>
        </is>
      </c>
      <c r="B78" s="3" t="n">
        <v>45861.59766203703</v>
      </c>
      <c r="C78" s="3" t="n">
        <v>45861</v>
      </c>
      <c r="D78" s="2" t="inlineStr">
        <is>
          <t>Seth Lugo</t>
        </is>
      </c>
      <c r="E78" s="2" t="n">
        <v>118</v>
      </c>
      <c r="F78" s="2" t="n">
        <v>112</v>
      </c>
      <c r="G78" s="2" t="inlineStr">
        <is>
          <t>Away</t>
        </is>
      </c>
      <c r="H78" s="2" t="inlineStr">
        <is>
          <t>bovada</t>
        </is>
      </c>
      <c r="I78" s="4" t="n"/>
      <c r="J78" s="4" t="n"/>
      <c r="K78" s="4" t="n">
        <v>110</v>
      </c>
      <c r="L78" s="4" t="n">
        <v>110</v>
      </c>
      <c r="M78" s="5" t="n">
        <v>4.5</v>
      </c>
      <c r="N78" s="5" t="n">
        <v>4.429734199788526</v>
      </c>
      <c r="O78" s="5" t="n">
        <v>4.5</v>
      </c>
      <c r="P78" s="5" t="n">
        <v>0.07026580021147399</v>
      </c>
      <c r="Q78" s="6" t="n">
        <v>0.145530180231806</v>
      </c>
      <c r="R78" s="6" t="n">
        <v>0.5454905620151457</v>
      </c>
      <c r="S78" s="6" t="n">
        <v>0.4572564612326044</v>
      </c>
      <c r="T78" s="2" t="inlineStr">
        <is>
          <t>Under</t>
        </is>
      </c>
      <c r="U78" s="4" t="n">
        <v>110</v>
      </c>
      <c r="V78" s="2" t="n">
        <v>2.1</v>
      </c>
      <c r="W78" s="4" t="n">
        <v>110</v>
      </c>
      <c r="X78" s="2" t="n">
        <v>1</v>
      </c>
      <c r="Y78" s="5" t="n">
        <v>-1</v>
      </c>
      <c r="Z78" s="7" t="n">
        <v>100</v>
      </c>
      <c r="AA78" s="7">
        <f>Y78*Z78</f>
        <v/>
      </c>
      <c r="AB78" s="6">
        <f>IF(Z78=0,0,AA78/Z78)</f>
        <v/>
      </c>
      <c r="AC78" s="6" t="n"/>
      <c r="AD78" s="2" t="inlineStr">
        <is>
          <t>Loss</t>
        </is>
      </c>
      <c r="AE78" s="6">
        <f>IF((COUNTIF($AD$2:AD78,"Win")+COUNTIF($AD$2:AD78,"Loss"))=0,0,COUNTIF($AD$2:AD78,"Win")/(COUNTIF($AD$2:AD78,"Win")+COUNTIF($AD$2:AD78,"Loss")))</f>
        <v/>
      </c>
      <c r="AF78" s="6">
        <f>SUM($Y$2:Y78)/SUM($X$2:X78)</f>
        <v/>
      </c>
      <c r="AG78" s="5">
        <f>SUM($Y$2:Y78)</f>
        <v/>
      </c>
      <c r="AH78" s="7">
        <f>10000.0+SUM($AA$2:AA78)</f>
        <v/>
      </c>
      <c r="AI78" s="2" t="n">
        <v>2025</v>
      </c>
      <c r="AJ78" s="2" t="inlineStr">
        <is>
          <t>2025-07</t>
        </is>
      </c>
      <c r="AK78" s="2" t="inlineStr">
        <is>
          <t>+100 to +120</t>
        </is>
      </c>
      <c r="AL78" s="2" t="inlineStr">
        <is>
          <t>2025 Validation</t>
        </is>
      </c>
      <c r="AM78" s="6" t="n">
        <v>0.1323001638470963</v>
      </c>
    </row>
    <row r="79">
      <c r="A79" s="2" t="inlineStr">
        <is>
          <t>KPROP-00078</t>
        </is>
      </c>
      <c r="B79" s="3" t="n">
        <v>45861.51085648148</v>
      </c>
      <c r="C79" s="3" t="n">
        <v>45861</v>
      </c>
      <c r="D79" s="2" t="inlineStr">
        <is>
          <t>Spencer Strider</t>
        </is>
      </c>
      <c r="E79" s="2" t="n">
        <v>144</v>
      </c>
      <c r="F79" s="2" t="n">
        <v>137</v>
      </c>
      <c r="G79" s="2" t="inlineStr">
        <is>
          <t>Home</t>
        </is>
      </c>
      <c r="H79" s="2" t="inlineStr">
        <is>
          <t>fanduel</t>
        </is>
      </c>
      <c r="I79" s="4" t="n"/>
      <c r="J79" s="4" t="n"/>
      <c r="K79" s="4" t="n">
        <v>108</v>
      </c>
      <c r="L79" s="4" t="n">
        <v>108</v>
      </c>
      <c r="M79" s="5" t="n">
        <v>7.5</v>
      </c>
      <c r="N79" s="5" t="n">
        <v>7.38727040660153</v>
      </c>
      <c r="O79" s="5" t="n">
        <v>7.5</v>
      </c>
      <c r="P79" s="5" t="n">
        <v>0.1127295933984698</v>
      </c>
      <c r="Q79" s="6" t="n">
        <v>0.1257155234577542</v>
      </c>
      <c r="R79" s="6" t="n">
        <v>0.5412093862777664</v>
      </c>
      <c r="S79" s="6" t="n">
        <v>0.4639175257731958</v>
      </c>
      <c r="T79" s="2" t="inlineStr">
        <is>
          <t>Under</t>
        </is>
      </c>
      <c r="U79" s="4" t="n">
        <v>108</v>
      </c>
      <c r="V79" s="2" t="n">
        <v>2.08</v>
      </c>
      <c r="W79" s="4" t="n">
        <v>108</v>
      </c>
      <c r="X79" s="2" t="n">
        <v>1</v>
      </c>
      <c r="Y79" s="5" t="n">
        <v>1.08</v>
      </c>
      <c r="Z79" s="7" t="n">
        <v>100</v>
      </c>
      <c r="AA79" s="7">
        <f>Y79*Z79</f>
        <v/>
      </c>
      <c r="AB79" s="6">
        <f>IF(Z79=0,0,AA79/Z79)</f>
        <v/>
      </c>
      <c r="AC79" s="6" t="n"/>
      <c r="AD79" s="2" t="inlineStr">
        <is>
          <t>Win</t>
        </is>
      </c>
      <c r="AE79" s="6">
        <f>IF((COUNTIF($AD$2:AD79,"Win")+COUNTIF($AD$2:AD79,"Loss"))=0,0,COUNTIF($AD$2:AD79,"Win")/(COUNTIF($AD$2:AD79,"Win")+COUNTIF($AD$2:AD79,"Loss")))</f>
        <v/>
      </c>
      <c r="AF79" s="6">
        <f>SUM($Y$2:Y79)/SUM($X$2:X79)</f>
        <v/>
      </c>
      <c r="AG79" s="5">
        <f>SUM($Y$2:Y79)</f>
        <v/>
      </c>
      <c r="AH79" s="7">
        <f>10000.0+SUM($AA$2:AA79)</f>
        <v/>
      </c>
      <c r="AI79" s="2" t="n">
        <v>2025</v>
      </c>
      <c r="AJ79" s="2" t="inlineStr">
        <is>
          <t>2025-07</t>
        </is>
      </c>
      <c r="AK79" s="2" t="inlineStr">
        <is>
          <t>+100 to +120</t>
        </is>
      </c>
      <c r="AL79" s="2" t="inlineStr">
        <is>
          <t>2025 Validation</t>
        </is>
      </c>
      <c r="AM79" s="6" t="n">
        <v>0.1164032624608835</v>
      </c>
    </row>
    <row r="80">
      <c r="A80" s="2" t="inlineStr">
        <is>
          <t>KPROP-00079</t>
        </is>
      </c>
      <c r="B80" s="3" t="n">
        <v>45861.67405092593</v>
      </c>
      <c r="C80" s="3" t="n">
        <v>45861</v>
      </c>
      <c r="D80" s="2" t="inlineStr">
        <is>
          <t>Tyler Glasnow</t>
        </is>
      </c>
      <c r="E80" s="2" t="n">
        <v>119</v>
      </c>
      <c r="F80" s="2" t="n">
        <v>142</v>
      </c>
      <c r="G80" s="2" t="inlineStr">
        <is>
          <t>Home</t>
        </is>
      </c>
      <c r="H80" s="2" t="inlineStr">
        <is>
          <t>betonlineag</t>
        </is>
      </c>
      <c r="I80" s="4" t="n"/>
      <c r="J80" s="4" t="n"/>
      <c r="K80" s="4" t="n">
        <v>124</v>
      </c>
      <c r="L80" s="4" t="n">
        <v>124</v>
      </c>
      <c r="M80" s="5" t="n">
        <v>6.5</v>
      </c>
      <c r="N80" s="5" t="n">
        <v>5.715299753097168</v>
      </c>
      <c r="O80" s="5" t="n">
        <v>6.5</v>
      </c>
      <c r="P80" s="5" t="n">
        <v>0.7847002469028324</v>
      </c>
      <c r="Q80" s="6" t="n">
        <v>0.4603164249045085</v>
      </c>
      <c r="R80" s="6" t="n">
        <v>0.6519269754037984</v>
      </c>
      <c r="S80" s="6" t="n">
        <v>0.4357578877693609</v>
      </c>
      <c r="T80" s="2" t="inlineStr">
        <is>
          <t>Under</t>
        </is>
      </c>
      <c r="U80" s="4" t="n">
        <v>124</v>
      </c>
      <c r="V80" s="2" t="n">
        <v>2.24</v>
      </c>
      <c r="W80" s="4" t="n">
        <v>124</v>
      </c>
      <c r="X80" s="2" t="n">
        <v>1</v>
      </c>
      <c r="Y80" s="5" t="n">
        <v>-1</v>
      </c>
      <c r="Z80" s="7" t="n">
        <v>100</v>
      </c>
      <c r="AA80" s="7">
        <f>Y80*Z80</f>
        <v/>
      </c>
      <c r="AB80" s="6">
        <f>IF(Z80=0,0,AA80/Z80)</f>
        <v/>
      </c>
      <c r="AC80" s="6" t="n"/>
      <c r="AD80" s="2" t="inlineStr">
        <is>
          <t>Loss</t>
        </is>
      </c>
      <c r="AE80" s="6">
        <f>IF((COUNTIF($AD$2:AD80,"Win")+COUNTIF($AD$2:AD80,"Loss"))=0,0,COUNTIF($AD$2:AD80,"Win")/(COUNTIF($AD$2:AD80,"Win")+COUNTIF($AD$2:AD80,"Loss")))</f>
        <v/>
      </c>
      <c r="AF80" s="6">
        <f>SUM($Y$2:Y80)/SUM($X$2:X80)</f>
        <v/>
      </c>
      <c r="AG80" s="5">
        <f>SUM($Y$2:Y80)</f>
        <v/>
      </c>
      <c r="AH80" s="7">
        <f>10000.0+SUM($AA$2:AA80)</f>
        <v/>
      </c>
      <c r="AI80" s="2" t="n">
        <v>2025</v>
      </c>
      <c r="AJ80" s="2" t="inlineStr">
        <is>
          <t>2025-07</t>
        </is>
      </c>
      <c r="AK80" s="2" t="inlineStr">
        <is>
          <t>+121 to +150</t>
        </is>
      </c>
      <c r="AL80" s="2" t="inlineStr">
        <is>
          <t>2025 Validation</t>
        </is>
      </c>
      <c r="AM80" s="6" t="n">
        <v>0.3712229233100874</v>
      </c>
    </row>
    <row r="81">
      <c r="A81" s="2" t="inlineStr">
        <is>
          <t>KPROP-00080</t>
        </is>
      </c>
      <c r="B81" s="3" t="n">
        <v>45862.82335648148</v>
      </c>
      <c r="C81" s="3" t="n">
        <v>45862</v>
      </c>
      <c r="D81" s="2" t="inlineStr">
        <is>
          <t>Sonny Gray</t>
        </is>
      </c>
      <c r="E81" s="2" t="n">
        <v>138</v>
      </c>
      <c r="F81" s="2" t="n">
        <v>135</v>
      </c>
      <c r="G81" s="2" t="inlineStr">
        <is>
          <t>Home</t>
        </is>
      </c>
      <c r="H81" s="2" t="inlineStr">
        <is>
          <t>fanatics</t>
        </is>
      </c>
      <c r="I81" s="4" t="n"/>
      <c r="J81" s="4" t="n"/>
      <c r="K81" s="4" t="n">
        <v>125</v>
      </c>
      <c r="L81" s="4" t="n">
        <v>125</v>
      </c>
      <c r="M81" s="5" t="n">
        <v>4.5</v>
      </c>
      <c r="N81" s="5" t="n">
        <v>4.535379002016017</v>
      </c>
      <c r="O81" s="5" t="n">
        <v>4.5</v>
      </c>
      <c r="P81" s="5" t="n">
        <v>-0.03537900201601651</v>
      </c>
      <c r="Q81" s="6" t="n">
        <v>0.1821541140208942</v>
      </c>
      <c r="R81" s="6" t="n">
        <v>0.5254018284537307</v>
      </c>
      <c r="S81" s="6" t="n">
        <v>0.4242424242424243</v>
      </c>
      <c r="T81" s="2" t="inlineStr">
        <is>
          <t>Under</t>
        </is>
      </c>
      <c r="U81" s="4" t="n">
        <v>125</v>
      </c>
      <c r="V81" s="2" t="n">
        <v>2.25</v>
      </c>
      <c r="W81" s="4" t="n">
        <v>125</v>
      </c>
      <c r="X81" s="2" t="n">
        <v>1</v>
      </c>
      <c r="Y81" s="5" t="n">
        <v>-1</v>
      </c>
      <c r="Z81" s="7" t="n">
        <v>100</v>
      </c>
      <c r="AA81" s="7">
        <f>Y81*Z81</f>
        <v/>
      </c>
      <c r="AB81" s="6">
        <f>IF(Z81=0,0,AA81/Z81)</f>
        <v/>
      </c>
      <c r="AC81" s="6" t="n"/>
      <c r="AD81" s="2" t="inlineStr">
        <is>
          <t>Loss</t>
        </is>
      </c>
      <c r="AE81" s="6">
        <f>IF((COUNTIF($AD$2:AD81,"Win")+COUNTIF($AD$2:AD81,"Loss"))=0,0,COUNTIF($AD$2:AD81,"Win")/(COUNTIF($AD$2:AD81,"Win")+COUNTIF($AD$2:AD81,"Loss")))</f>
        <v/>
      </c>
      <c r="AF81" s="6">
        <f>SUM($Y$2:Y81)/SUM($X$2:X81)</f>
        <v/>
      </c>
      <c r="AG81" s="5">
        <f>SUM($Y$2:Y81)</f>
        <v/>
      </c>
      <c r="AH81" s="7">
        <f>10000.0+SUM($AA$2:AA81)</f>
        <v/>
      </c>
      <c r="AI81" s="2" t="n">
        <v>2025</v>
      </c>
      <c r="AJ81" s="2" t="inlineStr">
        <is>
          <t>2025-07</t>
        </is>
      </c>
      <c r="AK81" s="2" t="inlineStr">
        <is>
          <t>+121 to +150</t>
        </is>
      </c>
      <c r="AL81" s="2" t="inlineStr">
        <is>
          <t>2025 Validation</t>
        </is>
      </c>
      <c r="AM81" s="6" t="n">
        <v>0.1457232912167154</v>
      </c>
    </row>
    <row r="82">
      <c r="A82" s="2" t="inlineStr">
        <is>
          <t>KPROP-00081</t>
        </is>
      </c>
      <c r="B82" s="3" t="n">
        <v>45862.82335648148</v>
      </c>
      <c r="C82" s="3" t="n">
        <v>45862</v>
      </c>
      <c r="D82" s="2" t="inlineStr">
        <is>
          <t>Sonny Gray</t>
        </is>
      </c>
      <c r="E82" s="2" t="n">
        <v>138</v>
      </c>
      <c r="F82" s="2" t="n">
        <v>135</v>
      </c>
      <c r="G82" s="2" t="inlineStr">
        <is>
          <t>Home</t>
        </is>
      </c>
      <c r="H82" s="2" t="inlineStr">
        <is>
          <t>draftkings</t>
        </is>
      </c>
      <c r="I82" s="4" t="n"/>
      <c r="J82" s="4" t="n"/>
      <c r="K82" s="4" t="n">
        <v>-160</v>
      </c>
      <c r="L82" s="4" t="n">
        <v>-160</v>
      </c>
      <c r="M82" s="5" t="n">
        <v>5.5</v>
      </c>
      <c r="N82" s="5" t="n">
        <v>4.535379002016017</v>
      </c>
      <c r="O82" s="5" t="n">
        <v>5.5</v>
      </c>
      <c r="P82" s="5" t="n">
        <v>0.9646209979839835</v>
      </c>
      <c r="Q82" s="6" t="n">
        <v>0.1324221474097785</v>
      </c>
      <c r="R82" s="6" t="n">
        <v>0.6968751676367868</v>
      </c>
      <c r="S82" s="6" t="n">
        <v>0.5806451612903226</v>
      </c>
      <c r="T82" s="2" t="inlineStr">
        <is>
          <t>Under</t>
        </is>
      </c>
      <c r="U82" s="4" t="n">
        <v>-160</v>
      </c>
      <c r="V82" s="2" t="n">
        <v>1.625</v>
      </c>
      <c r="W82" s="4" t="n">
        <v>-160</v>
      </c>
      <c r="X82" s="2" t="n">
        <v>1</v>
      </c>
      <c r="Y82" s="5" t="n">
        <v>0.625</v>
      </c>
      <c r="Z82" s="7" t="n">
        <v>100</v>
      </c>
      <c r="AA82" s="7">
        <f>Y82*Z82</f>
        <v/>
      </c>
      <c r="AB82" s="6">
        <f>IF(Z82=0,0,AA82/Z82)</f>
        <v/>
      </c>
      <c r="AC82" s="6" t="n"/>
      <c r="AD82" s="2" t="inlineStr">
        <is>
          <t>Win</t>
        </is>
      </c>
      <c r="AE82" s="6">
        <f>IF((COUNTIF($AD$2:AD82,"Win")+COUNTIF($AD$2:AD82,"Loss"))=0,0,COUNTIF($AD$2:AD82,"Win")/(COUNTIF($AD$2:AD82,"Win")+COUNTIF($AD$2:AD82,"Loss")))</f>
        <v/>
      </c>
      <c r="AF82" s="6">
        <f>SUM($Y$2:Y82)/SUM($X$2:X82)</f>
        <v/>
      </c>
      <c r="AG82" s="5">
        <f>SUM($Y$2:Y82)</f>
        <v/>
      </c>
      <c r="AH82" s="7">
        <f>10000.0+SUM($AA$2:AA82)</f>
        <v/>
      </c>
      <c r="AI82" s="2" t="n">
        <v>2025</v>
      </c>
      <c r="AJ82" s="2" t="inlineStr">
        <is>
          <t>2025-07</t>
        </is>
      </c>
      <c r="AK82" s="2" t="inlineStr">
        <is>
          <t>&lt;= -150</t>
        </is>
      </c>
      <c r="AL82" s="2" t="inlineStr">
        <is>
          <t>2025 Validation</t>
        </is>
      </c>
      <c r="AM82" s="6" t="n">
        <v>0.2118754358556457</v>
      </c>
    </row>
    <row r="83">
      <c r="A83" s="2" t="inlineStr">
        <is>
          <t>KPROP-00082</t>
        </is>
      </c>
      <c r="B83" s="3" t="n">
        <v>45863.79557870371</v>
      </c>
      <c r="C83" s="3" t="n">
        <v>45863</v>
      </c>
      <c r="D83" s="2" t="inlineStr">
        <is>
          <t>Dean Kremer</t>
        </is>
      </c>
      <c r="E83" s="2" t="n">
        <v>110</v>
      </c>
      <c r="F83" s="2" t="n">
        <v>115</v>
      </c>
      <c r="G83" s="2" t="inlineStr">
        <is>
          <t>Home</t>
        </is>
      </c>
      <c r="H83" s="2" t="inlineStr">
        <is>
          <t>betonlineag</t>
        </is>
      </c>
      <c r="I83" s="4" t="n"/>
      <c r="J83" s="4" t="n"/>
      <c r="K83" s="4" t="n">
        <v>118</v>
      </c>
      <c r="L83" s="4" t="n">
        <v>118</v>
      </c>
      <c r="M83" s="5" t="n">
        <v>5.5</v>
      </c>
      <c r="N83" s="5" t="n">
        <v>5.444529799826696</v>
      </c>
      <c r="O83" s="5" t="n">
        <v>5.5</v>
      </c>
      <c r="P83" s="5" t="n">
        <v>0.05547020017330428</v>
      </c>
      <c r="Q83" s="6" t="n">
        <v>0.173819945761123</v>
      </c>
      <c r="R83" s="6" t="n">
        <v>0.5384495164041849</v>
      </c>
      <c r="S83" s="6" t="n">
        <v>0.4409431386295709</v>
      </c>
      <c r="T83" s="2" t="inlineStr">
        <is>
          <t>Under</t>
        </is>
      </c>
      <c r="U83" s="4" t="n">
        <v>118</v>
      </c>
      <c r="V83" s="2" t="n">
        <v>2.18</v>
      </c>
      <c r="W83" s="4" t="n">
        <v>118</v>
      </c>
      <c r="X83" s="2" t="n">
        <v>1</v>
      </c>
      <c r="Y83" s="5" t="n">
        <v>1.18</v>
      </c>
      <c r="Z83" s="7" t="n">
        <v>100</v>
      </c>
      <c r="AA83" s="7">
        <f>Y83*Z83</f>
        <v/>
      </c>
      <c r="AB83" s="6">
        <f>IF(Z83=0,0,AA83/Z83)</f>
        <v/>
      </c>
      <c r="AC83" s="6" t="n"/>
      <c r="AD83" s="2" t="inlineStr">
        <is>
          <t>Win</t>
        </is>
      </c>
      <c r="AE83" s="6">
        <f>IF((COUNTIF($AD$2:AD83,"Win")+COUNTIF($AD$2:AD83,"Loss"))=0,0,COUNTIF($AD$2:AD83,"Win")/(COUNTIF($AD$2:AD83,"Win")+COUNTIF($AD$2:AD83,"Loss")))</f>
        <v/>
      </c>
      <c r="AF83" s="6">
        <f>SUM($Y$2:Y83)/SUM($X$2:X83)</f>
        <v/>
      </c>
      <c r="AG83" s="5">
        <f>SUM($Y$2:Y83)</f>
        <v/>
      </c>
      <c r="AH83" s="7">
        <f>10000.0+SUM($AA$2:AA83)</f>
        <v/>
      </c>
      <c r="AI83" s="2" t="n">
        <v>2025</v>
      </c>
      <c r="AJ83" s="2" t="inlineStr">
        <is>
          <t>2025-07</t>
        </is>
      </c>
      <c r="AK83" s="2" t="inlineStr">
        <is>
          <t>+100 to +120</t>
        </is>
      </c>
      <c r="AL83" s="2" t="inlineStr">
        <is>
          <t>2025 Validation</t>
        </is>
      </c>
      <c r="AM83" s="6" t="n">
        <v>0.1473050387806128</v>
      </c>
    </row>
    <row r="84">
      <c r="A84" s="2" t="inlineStr">
        <is>
          <t>KPROP-00083</t>
        </is>
      </c>
      <c r="B84" s="3" t="n">
        <v>45863.81988425926</v>
      </c>
      <c r="C84" s="3" t="n">
        <v>45863</v>
      </c>
      <c r="D84" s="2" t="inlineStr">
        <is>
          <t>Shota Imanaga</t>
        </is>
      </c>
      <c r="E84" s="2" t="n">
        <v>112</v>
      </c>
      <c r="F84" s="2" t="n">
        <v>145</v>
      </c>
      <c r="G84" s="2" t="inlineStr">
        <is>
          <t>Away</t>
        </is>
      </c>
      <c r="H84" s="2" t="inlineStr">
        <is>
          <t>betrivers</t>
        </is>
      </c>
      <c r="I84" s="4" t="n"/>
      <c r="J84" s="4" t="n"/>
      <c r="K84" s="4" t="n">
        <v>135</v>
      </c>
      <c r="L84" s="4" t="n">
        <v>135</v>
      </c>
      <c r="M84" s="5" t="n">
        <v>4.5</v>
      </c>
      <c r="N84" s="5" t="n">
        <v>4.617712725438477</v>
      </c>
      <c r="O84" s="5" t="n">
        <v>4.5</v>
      </c>
      <c r="P84" s="5" t="n">
        <v>-0.1177127254384773</v>
      </c>
      <c r="Q84" s="6" t="n">
        <v>0.1983031655232186</v>
      </c>
      <c r="R84" s="6" t="n">
        <v>0.5099162406481781</v>
      </c>
      <c r="S84" s="6" t="n">
        <v>0.4088050314465409</v>
      </c>
      <c r="T84" s="2" t="inlineStr">
        <is>
          <t>Under</t>
        </is>
      </c>
      <c r="U84" s="4" t="n">
        <v>135</v>
      </c>
      <c r="V84" s="2" t="n">
        <v>2.35</v>
      </c>
      <c r="W84" s="4" t="n">
        <v>135</v>
      </c>
      <c r="X84" s="2" t="n">
        <v>1</v>
      </c>
      <c r="Y84" s="5" t="n">
        <v>1.35</v>
      </c>
      <c r="Z84" s="7" t="n">
        <v>100</v>
      </c>
      <c r="AA84" s="7">
        <f>Y84*Z84</f>
        <v/>
      </c>
      <c r="AB84" s="6">
        <f>IF(Z84=0,0,AA84/Z84)</f>
        <v/>
      </c>
      <c r="AC84" s="6" t="n"/>
      <c r="AD84" s="2" t="inlineStr">
        <is>
          <t>Win</t>
        </is>
      </c>
      <c r="AE84" s="6">
        <f>IF((COUNTIF($AD$2:AD84,"Win")+COUNTIF($AD$2:AD84,"Loss"))=0,0,COUNTIF($AD$2:AD84,"Win")/(COUNTIF($AD$2:AD84,"Win")+COUNTIF($AD$2:AD84,"Loss")))</f>
        <v/>
      </c>
      <c r="AF84" s="6">
        <f>SUM($Y$2:Y84)/SUM($X$2:X84)</f>
        <v/>
      </c>
      <c r="AG84" s="5">
        <f>SUM($Y$2:Y84)</f>
        <v/>
      </c>
      <c r="AH84" s="7">
        <f>10000.0+SUM($AA$2:AA84)</f>
        <v/>
      </c>
      <c r="AI84" s="2" t="n">
        <v>2025</v>
      </c>
      <c r="AJ84" s="2" t="inlineStr">
        <is>
          <t>2025-07</t>
        </is>
      </c>
      <c r="AK84" s="2" t="inlineStr">
        <is>
          <t>+121 to +150</t>
        </is>
      </c>
      <c r="AL84" s="2" t="inlineStr">
        <is>
          <t>2025 Validation</t>
        </is>
      </c>
      <c r="AM84" s="6" t="n">
        <v>0.1468912337209027</v>
      </c>
    </row>
    <row r="85">
      <c r="A85" s="2" t="inlineStr">
        <is>
          <t>KPROP-00084</t>
        </is>
      </c>
      <c r="B85" s="3" t="n">
        <v>45863.81988425926</v>
      </c>
      <c r="C85" s="3" t="n">
        <v>45863</v>
      </c>
      <c r="D85" s="2" t="inlineStr">
        <is>
          <t>Shota Imanaga</t>
        </is>
      </c>
      <c r="E85" s="2" t="n">
        <v>112</v>
      </c>
      <c r="F85" s="2" t="n">
        <v>145</v>
      </c>
      <c r="G85" s="2" t="inlineStr">
        <is>
          <t>Away</t>
        </is>
      </c>
      <c r="H85" s="2" t="inlineStr">
        <is>
          <t>betrivers</t>
        </is>
      </c>
      <c r="I85" s="4" t="n"/>
      <c r="J85" s="4" t="n"/>
      <c r="K85" s="4" t="n">
        <v>-157</v>
      </c>
      <c r="L85" s="4" t="n">
        <v>-157</v>
      </c>
      <c r="M85" s="5" t="n">
        <v>5.5</v>
      </c>
      <c r="N85" s="5" t="n">
        <v>4.617712725438477</v>
      </c>
      <c r="O85" s="5" t="n">
        <v>5.5</v>
      </c>
      <c r="P85" s="5" t="n">
        <v>0.8822872745615227</v>
      </c>
      <c r="Q85" s="6" t="n">
        <v>0.1175428718076302</v>
      </c>
      <c r="R85" s="6" t="n">
        <v>0.6827012874466847</v>
      </c>
      <c r="S85" s="6" t="n">
        <v>0.5863112484708004</v>
      </c>
      <c r="T85" s="2" t="inlineStr">
        <is>
          <t>Under</t>
        </is>
      </c>
      <c r="U85" s="4" t="n">
        <v>-157</v>
      </c>
      <c r="V85" s="2" t="n">
        <v>1.636942675159236</v>
      </c>
      <c r="W85" s="4" t="n">
        <v>-157</v>
      </c>
      <c r="X85" s="2" t="n">
        <v>1</v>
      </c>
      <c r="Y85" s="5" t="n">
        <v>0.6369426751592355</v>
      </c>
      <c r="Z85" s="7" t="n">
        <v>100</v>
      </c>
      <c r="AA85" s="7">
        <f>Y85*Z85</f>
        <v/>
      </c>
      <c r="AB85" s="6">
        <f>IF(Z85=0,0,AA85/Z85)</f>
        <v/>
      </c>
      <c r="AC85" s="6" t="n"/>
      <c r="AD85" s="2" t="inlineStr">
        <is>
          <t>Win</t>
        </is>
      </c>
      <c r="AE85" s="6">
        <f>IF((COUNTIF($AD$2:AD85,"Win")+COUNTIF($AD$2:AD85,"Loss"))=0,0,COUNTIF($AD$2:AD85,"Win")/(COUNTIF($AD$2:AD85,"Win")+COUNTIF($AD$2:AD85,"Loss")))</f>
        <v/>
      </c>
      <c r="AF85" s="6">
        <f>SUM($Y$2:Y85)/SUM($X$2:X85)</f>
        <v/>
      </c>
      <c r="AG85" s="5">
        <f>SUM($Y$2:Y85)</f>
        <v/>
      </c>
      <c r="AH85" s="7">
        <f>10000.0+SUM($AA$2:AA85)</f>
        <v/>
      </c>
      <c r="AI85" s="2" t="n">
        <v>2025</v>
      </c>
      <c r="AJ85" s="2" t="inlineStr">
        <is>
          <t>2025-07</t>
        </is>
      </c>
      <c r="AK85" s="2" t="inlineStr">
        <is>
          <t>&lt;= -150</t>
        </is>
      </c>
      <c r="AL85" s="2" t="inlineStr">
        <is>
          <t>2025 Validation</t>
        </is>
      </c>
      <c r="AM85" s="6" t="n">
        <v>0.1845423087379795</v>
      </c>
    </row>
    <row r="86">
      <c r="A86" s="2" t="inlineStr">
        <is>
          <t>KPROP-00085</t>
        </is>
      </c>
      <c r="B86" s="3" t="n">
        <v>45864.79210648148</v>
      </c>
      <c r="C86" s="3" t="n">
        <v>45864</v>
      </c>
      <c r="D86" s="2" t="inlineStr">
        <is>
          <t>Grant Holmes</t>
        </is>
      </c>
      <c r="E86" s="2" t="n">
        <v>144</v>
      </c>
      <c r="F86" s="2" t="n">
        <v>140</v>
      </c>
      <c r="G86" s="2" t="inlineStr">
        <is>
          <t>Away</t>
        </is>
      </c>
      <c r="H86" s="2" t="inlineStr">
        <is>
          <t>betonlineag</t>
        </is>
      </c>
      <c r="I86" s="4" t="n"/>
      <c r="J86" s="4" t="n"/>
      <c r="K86" s="4" t="n">
        <v>132</v>
      </c>
      <c r="L86" s="4" t="n">
        <v>132</v>
      </c>
      <c r="M86" s="5" t="n">
        <v>5.5</v>
      </c>
      <c r="N86" s="5" t="n">
        <v>5.599676873418718</v>
      </c>
      <c r="O86" s="5" t="n">
        <v>5.5</v>
      </c>
      <c r="P86" s="5" t="n">
        <v>-0.09967687341871834</v>
      </c>
      <c r="Q86" s="6" t="n">
        <v>0.1876446036476631</v>
      </c>
      <c r="R86" s="6" t="n">
        <v>0.5119157774343375</v>
      </c>
      <c r="S86" s="6" t="n">
        <v>0.4249291784702549</v>
      </c>
      <c r="T86" s="2" t="inlineStr">
        <is>
          <t>Under</t>
        </is>
      </c>
      <c r="U86" s="4" t="n">
        <v>132</v>
      </c>
      <c r="V86" s="2" t="n">
        <v>2.32</v>
      </c>
      <c r="W86" s="4" t="n">
        <v>132</v>
      </c>
      <c r="X86" s="2" t="n">
        <v>1</v>
      </c>
      <c r="Y86" s="5" t="n">
        <v>1.32</v>
      </c>
      <c r="Z86" s="7" t="n">
        <v>100</v>
      </c>
      <c r="AA86" s="7">
        <f>Y86*Z86</f>
        <v/>
      </c>
      <c r="AB86" s="6">
        <f>IF(Z86=0,0,AA86/Z86)</f>
        <v/>
      </c>
      <c r="AC86" s="6" t="n"/>
      <c r="AD86" s="2" t="inlineStr">
        <is>
          <t>Win</t>
        </is>
      </c>
      <c r="AE86" s="6">
        <f>IF((COUNTIF($AD$2:AD86,"Win")+COUNTIF($AD$2:AD86,"Loss"))=0,0,COUNTIF($AD$2:AD86,"Win")/(COUNTIF($AD$2:AD86,"Win")+COUNTIF($AD$2:AD86,"Loss")))</f>
        <v/>
      </c>
      <c r="AF86" s="6">
        <f>SUM($Y$2:Y86)/SUM($X$2:X86)</f>
        <v/>
      </c>
      <c r="AG86" s="5">
        <f>SUM($Y$2:Y86)</f>
        <v/>
      </c>
      <c r="AH86" s="7">
        <f>10000.0+SUM($AA$2:AA86)</f>
        <v/>
      </c>
      <c r="AI86" s="2" t="n">
        <v>2025</v>
      </c>
      <c r="AJ86" s="2" t="inlineStr">
        <is>
          <t>2025-07</t>
        </is>
      </c>
      <c r="AK86" s="2" t="inlineStr">
        <is>
          <t>+121 to +150</t>
        </is>
      </c>
      <c r="AL86" s="2" t="inlineStr">
        <is>
          <t>2025 Validation</t>
        </is>
      </c>
      <c r="AM86" s="6" t="n">
        <v>0.1421550027633811</v>
      </c>
    </row>
    <row r="87">
      <c r="A87" s="2" t="inlineStr">
        <is>
          <t>KPROP-00086</t>
        </is>
      </c>
      <c r="B87" s="3" t="n">
        <v>45864.79557870371</v>
      </c>
      <c r="C87" s="3" t="n">
        <v>45864</v>
      </c>
      <c r="D87" s="2" t="inlineStr">
        <is>
          <t>Jacob Lopez</t>
        </is>
      </c>
      <c r="E87" s="2" t="n">
        <v>133</v>
      </c>
      <c r="F87" s="2" t="n">
        <v>117</v>
      </c>
      <c r="G87" s="2" t="inlineStr">
        <is>
          <t>Away</t>
        </is>
      </c>
      <c r="H87" s="2" t="inlineStr">
        <is>
          <t>fanduel</t>
        </is>
      </c>
      <c r="I87" s="4" t="n"/>
      <c r="J87" s="4" t="n"/>
      <c r="K87" s="4" t="n">
        <v>-130</v>
      </c>
      <c r="L87" s="4" t="n">
        <v>-130</v>
      </c>
      <c r="M87" s="5" t="n">
        <v>5.5</v>
      </c>
      <c r="N87" s="5" t="n">
        <v>5.002136556661156</v>
      </c>
      <c r="O87" s="5" t="n">
        <v>5.5</v>
      </c>
      <c r="P87" s="5" t="n">
        <v>0.4978634433388445</v>
      </c>
      <c r="Q87" s="6" t="n">
        <v>0.0891132657680983</v>
      </c>
      <c r="R87" s="6" t="n">
        <v>0.6155857589124034</v>
      </c>
      <c r="S87" s="6" t="n">
        <v>0.5427435387673957</v>
      </c>
      <c r="T87" s="2" t="inlineStr">
        <is>
          <t>Under</t>
        </is>
      </c>
      <c r="U87" s="4" t="n">
        <v>-130</v>
      </c>
      <c r="V87" s="2" t="n">
        <v>1.769230769230769</v>
      </c>
      <c r="W87" s="4" t="n">
        <v>-130</v>
      </c>
      <c r="X87" s="2" t="n">
        <v>1</v>
      </c>
      <c r="Y87" s="5" t="n">
        <v>0.7692307692307692</v>
      </c>
      <c r="Z87" s="7" t="n">
        <v>100</v>
      </c>
      <c r="AA87" s="7">
        <f>Y87*Z87</f>
        <v/>
      </c>
      <c r="AB87" s="6">
        <f>IF(Z87=0,0,AA87/Z87)</f>
        <v/>
      </c>
      <c r="AC87" s="6" t="n"/>
      <c r="AD87" s="2" t="inlineStr">
        <is>
          <t>Win</t>
        </is>
      </c>
      <c r="AE87" s="6">
        <f>IF((COUNTIF($AD$2:AD87,"Win")+COUNTIF($AD$2:AD87,"Loss"))=0,0,COUNTIF($AD$2:AD87,"Win")/(COUNTIF($AD$2:AD87,"Win")+COUNTIF($AD$2:AD87,"Loss")))</f>
        <v/>
      </c>
      <c r="AF87" s="6">
        <f>SUM($Y$2:Y87)/SUM($X$2:X87)</f>
        <v/>
      </c>
      <c r="AG87" s="5">
        <f>SUM($Y$2:Y87)</f>
        <v/>
      </c>
      <c r="AH87" s="7">
        <f>10000.0+SUM($AA$2:AA87)</f>
        <v/>
      </c>
      <c r="AI87" s="2" t="n">
        <v>2025</v>
      </c>
      <c r="AJ87" s="2" t="inlineStr">
        <is>
          <t>2025-07</t>
        </is>
      </c>
      <c r="AK87" s="2" t="inlineStr">
        <is>
          <t>-149 to -120</t>
        </is>
      </c>
      <c r="AL87" s="2" t="inlineStr">
        <is>
          <t>2025 Validation</t>
        </is>
      </c>
      <c r="AM87" s="6" t="n">
        <v>0.1158472454985278</v>
      </c>
    </row>
    <row r="88">
      <c r="A88" s="2" t="inlineStr">
        <is>
          <t>KPROP-00087</t>
        </is>
      </c>
      <c r="B88" s="3" t="n">
        <v>45864.79557870371</v>
      </c>
      <c r="C88" s="3" t="n">
        <v>45864</v>
      </c>
      <c r="D88" s="2" t="inlineStr">
        <is>
          <t>Joe Ryan</t>
        </is>
      </c>
      <c r="E88" s="2" t="n">
        <v>142</v>
      </c>
      <c r="F88" s="2" t="n">
        <v>120</v>
      </c>
      <c r="G88" s="2" t="inlineStr">
        <is>
          <t>Home</t>
        </is>
      </c>
      <c r="H88" s="2" t="inlineStr">
        <is>
          <t>betrivers</t>
        </is>
      </c>
      <c r="I88" s="4" t="n"/>
      <c r="J88" s="4" t="n"/>
      <c r="K88" s="4" t="n">
        <v>138</v>
      </c>
      <c r="L88" s="4" t="n">
        <v>138</v>
      </c>
      <c r="M88" s="5" t="n">
        <v>5.5</v>
      </c>
      <c r="N88" s="5" t="n">
        <v>5.822476726644637</v>
      </c>
      <c r="O88" s="5" t="n">
        <v>5.5</v>
      </c>
      <c r="P88" s="5" t="n">
        <v>-0.3224767266446369</v>
      </c>
      <c r="Q88" s="6" t="n">
        <v>0.129544272011309</v>
      </c>
      <c r="R88" s="6" t="n">
        <v>0.4745984336181971</v>
      </c>
      <c r="S88" s="6" t="n">
        <v>0.3886181003820313</v>
      </c>
      <c r="T88" s="2" t="inlineStr">
        <is>
          <t>Under</t>
        </is>
      </c>
      <c r="U88" s="4" t="n">
        <v>138</v>
      </c>
      <c r="V88" s="2" t="n">
        <v>2.38</v>
      </c>
      <c r="W88" s="4" t="n">
        <v>138</v>
      </c>
      <c r="X88" s="2" t="n">
        <v>1</v>
      </c>
      <c r="Y88" s="5" t="n">
        <v>1.38</v>
      </c>
      <c r="Z88" s="7" t="n">
        <v>100</v>
      </c>
      <c r="AA88" s="7">
        <f>Y88*Z88</f>
        <v/>
      </c>
      <c r="AB88" s="6">
        <f>IF(Z88=0,0,AA88/Z88)</f>
        <v/>
      </c>
      <c r="AC88" s="6" t="n"/>
      <c r="AD88" s="2" t="inlineStr">
        <is>
          <t>Win</t>
        </is>
      </c>
      <c r="AE88" s="6">
        <f>IF((COUNTIF($AD$2:AD88,"Win")+COUNTIF($AD$2:AD88,"Loss"))=0,0,COUNTIF($AD$2:AD88,"Win")/(COUNTIF($AD$2:AD88,"Win")+COUNTIF($AD$2:AD88,"Loss")))</f>
        <v/>
      </c>
      <c r="AF88" s="6">
        <f>SUM($Y$2:Y88)/SUM($X$2:X88)</f>
        <v/>
      </c>
      <c r="AG88" s="5">
        <f>SUM($Y$2:Y88)</f>
        <v/>
      </c>
      <c r="AH88" s="7">
        <f>10000.0+SUM($AA$2:AA88)</f>
        <v/>
      </c>
      <c r="AI88" s="2" t="n">
        <v>2025</v>
      </c>
      <c r="AJ88" s="2" t="inlineStr">
        <is>
          <t>2025-07</t>
        </is>
      </c>
      <c r="AK88" s="2" t="inlineStr">
        <is>
          <t>+121 to +150</t>
        </is>
      </c>
      <c r="AL88" s="2" t="inlineStr">
        <is>
          <t>2025 Validation</t>
        </is>
      </c>
      <c r="AM88" s="6" t="n">
        <v>0.09387266087776017</v>
      </c>
    </row>
    <row r="89">
      <c r="A89" s="2" t="inlineStr">
        <is>
          <t>KPROP-00088</t>
        </is>
      </c>
      <c r="B89" s="3" t="n">
        <v>45864.79557870371</v>
      </c>
      <c r="C89" s="3" t="n">
        <v>45864</v>
      </c>
      <c r="D89" s="2" t="inlineStr">
        <is>
          <t>Joe Ryan</t>
        </is>
      </c>
      <c r="E89" s="2" t="n">
        <v>142</v>
      </c>
      <c r="F89" s="2" t="n">
        <v>120</v>
      </c>
      <c r="G89" s="2" t="inlineStr">
        <is>
          <t>Home</t>
        </is>
      </c>
      <c r="H89" s="2" t="inlineStr">
        <is>
          <t>draftkings</t>
        </is>
      </c>
      <c r="I89" s="4" t="n"/>
      <c r="J89" s="4" t="n"/>
      <c r="K89" s="4" t="n">
        <v>-115</v>
      </c>
      <c r="L89" s="4" t="n">
        <v>-115</v>
      </c>
      <c r="M89" s="5" t="n">
        <v>6.5</v>
      </c>
      <c r="N89" s="5" t="n">
        <v>5.822476726644637</v>
      </c>
      <c r="O89" s="5" t="n">
        <v>6.5</v>
      </c>
      <c r="P89" s="5" t="n">
        <v>0.6775232733553631</v>
      </c>
      <c r="Q89" s="6" t="n">
        <v>0.1867846901301481</v>
      </c>
      <c r="R89" s="6" t="n">
        <v>0.6347918109998467</v>
      </c>
      <c r="S89" s="6" t="n">
        <v>0.5254386933009602</v>
      </c>
      <c r="T89" s="2" t="inlineStr">
        <is>
          <t>Under</t>
        </is>
      </c>
      <c r="U89" s="4" t="n">
        <v>-115</v>
      </c>
      <c r="V89" s="2" t="n">
        <v>1.869565217391304</v>
      </c>
      <c r="W89" s="4" t="n">
        <v>-115</v>
      </c>
      <c r="X89" s="2" t="n">
        <v>1</v>
      </c>
      <c r="Y89" s="5" t="n">
        <v>0.8695652173913042</v>
      </c>
      <c r="Z89" s="7" t="n">
        <v>100</v>
      </c>
      <c r="AA89" s="7">
        <f>Y89*Z89</f>
        <v/>
      </c>
      <c r="AB89" s="6">
        <f>IF(Z89=0,0,AA89/Z89)</f>
        <v/>
      </c>
      <c r="AC89" s="6" t="n"/>
      <c r="AD89" s="2" t="inlineStr">
        <is>
          <t>Win</t>
        </is>
      </c>
      <c r="AE89" s="6">
        <f>IF((COUNTIF($AD$2:AD89,"Win")+COUNTIF($AD$2:AD89,"Loss"))=0,0,COUNTIF($AD$2:AD89,"Win")/(COUNTIF($AD$2:AD89,"Win")+COUNTIF($AD$2:AD89,"Loss")))</f>
        <v/>
      </c>
      <c r="AF89" s="6">
        <f>SUM($Y$2:Y89)/SUM($X$2:X89)</f>
        <v/>
      </c>
      <c r="AG89" s="5">
        <f>SUM($Y$2:Y89)</f>
        <v/>
      </c>
      <c r="AH89" s="7">
        <f>10000.0+SUM($AA$2:AA89)</f>
        <v/>
      </c>
      <c r="AI89" s="2" t="n">
        <v>2025</v>
      </c>
      <c r="AJ89" s="2" t="inlineStr">
        <is>
          <t>2025-07</t>
        </is>
      </c>
      <c r="AK89" s="2" t="inlineStr">
        <is>
          <t>-119 to -101</t>
        </is>
      </c>
      <c r="AL89" s="2" t="inlineStr">
        <is>
          <t>2025 Validation</t>
        </is>
      </c>
      <c r="AM89" s="6" t="n">
        <v>0.2148023936496703</v>
      </c>
    </row>
    <row r="90">
      <c r="A90" s="2" t="inlineStr">
        <is>
          <t>KPROP-00089</t>
        </is>
      </c>
      <c r="B90" s="3" t="n">
        <v>45865.56640046297</v>
      </c>
      <c r="C90" s="3" t="n">
        <v>45865</v>
      </c>
      <c r="D90" s="2" t="inlineStr">
        <is>
          <t>Austin Gomber</t>
        </is>
      </c>
      <c r="E90" s="2" t="n">
        <v>115</v>
      </c>
      <c r="F90" s="2" t="n">
        <v>110</v>
      </c>
      <c r="G90" s="2" t="inlineStr">
        <is>
          <t>Away</t>
        </is>
      </c>
      <c r="H90" s="2" t="inlineStr">
        <is>
          <t>betrivers</t>
        </is>
      </c>
      <c r="I90" s="4" t="n"/>
      <c r="J90" s="4" t="n"/>
      <c r="K90" s="4" t="n">
        <v>133</v>
      </c>
      <c r="L90" s="4" t="n">
        <v>133</v>
      </c>
      <c r="M90" s="5" t="n">
        <v>3.5</v>
      </c>
      <c r="N90" s="5" t="n">
        <v>3.780656315221397</v>
      </c>
      <c r="O90" s="5" t="n">
        <v>3.5</v>
      </c>
      <c r="P90" s="5" t="n">
        <v>-0.2806563152213966</v>
      </c>
      <c r="Q90" s="6" t="n">
        <v>0.1124593149887411</v>
      </c>
      <c r="R90" s="6" t="n">
        <v>0.4774503497805755</v>
      </c>
      <c r="S90" s="6" t="n">
        <v>0.3975645694903946</v>
      </c>
      <c r="T90" s="2" t="inlineStr">
        <is>
          <t>Under</t>
        </is>
      </c>
      <c r="U90" s="4" t="n">
        <v>133</v>
      </c>
      <c r="V90" s="2" t="n">
        <v>2.33</v>
      </c>
      <c r="W90" s="4" t="n">
        <v>133</v>
      </c>
      <c r="X90" s="2" t="n">
        <v>1</v>
      </c>
      <c r="Y90" s="5" t="n">
        <v>1.33</v>
      </c>
      <c r="Z90" s="7" t="n">
        <v>100</v>
      </c>
      <c r="AA90" s="7">
        <f>Y90*Z90</f>
        <v/>
      </c>
      <c r="AB90" s="6">
        <f>IF(Z90=0,0,AA90/Z90)</f>
        <v/>
      </c>
      <c r="AC90" s="6" t="n"/>
      <c r="AD90" s="2" t="inlineStr">
        <is>
          <t>Win</t>
        </is>
      </c>
      <c r="AE90" s="6">
        <f>IF((COUNTIF($AD$2:AD90,"Win")+COUNTIF($AD$2:AD90,"Loss"))=0,0,COUNTIF($AD$2:AD90,"Win")/(COUNTIF($AD$2:AD90,"Win")+COUNTIF($AD$2:AD90,"Loss")))</f>
        <v/>
      </c>
      <c r="AF90" s="6">
        <f>SUM($Y$2:Y90)/SUM($X$2:X90)</f>
        <v/>
      </c>
      <c r="AG90" s="5">
        <f>SUM($Y$2:Y90)</f>
        <v/>
      </c>
      <c r="AH90" s="7">
        <f>10000.0+SUM($AA$2:AA90)</f>
        <v/>
      </c>
      <c r="AI90" s="2" t="n">
        <v>2025</v>
      </c>
      <c r="AJ90" s="2" t="inlineStr">
        <is>
          <t>2025-07</t>
        </is>
      </c>
      <c r="AK90" s="2" t="inlineStr">
        <is>
          <t>+121 to +150</t>
        </is>
      </c>
      <c r="AL90" s="2" t="inlineStr">
        <is>
          <t>2025 Validation</t>
        </is>
      </c>
      <c r="AM90" s="6" t="n">
        <v>0.08455587593138425</v>
      </c>
    </row>
    <row r="91">
      <c r="A91" s="2" t="inlineStr">
        <is>
          <t>KPROP-00090</t>
        </is>
      </c>
      <c r="B91" s="3" t="n">
        <v>45865.56640046297</v>
      </c>
      <c r="C91" s="3" t="n">
        <v>45865</v>
      </c>
      <c r="D91" s="2" t="inlineStr">
        <is>
          <t>Austin Gomber</t>
        </is>
      </c>
      <c r="E91" s="2" t="n">
        <v>115</v>
      </c>
      <c r="F91" s="2" t="n">
        <v>110</v>
      </c>
      <c r="G91" s="2" t="inlineStr">
        <is>
          <t>Away</t>
        </is>
      </c>
      <c r="H91" s="2" t="inlineStr">
        <is>
          <t>fanduel</t>
        </is>
      </c>
      <c r="I91" s="4" t="n"/>
      <c r="J91" s="4" t="n"/>
      <c r="K91" s="4" t="n">
        <v>-154</v>
      </c>
      <c r="L91" s="4" t="n">
        <v>-154</v>
      </c>
      <c r="M91" s="5" t="n">
        <v>4.5</v>
      </c>
      <c r="N91" s="5" t="n">
        <v>3.780656315221397</v>
      </c>
      <c r="O91" s="5" t="n">
        <v>4.5</v>
      </c>
      <c r="P91" s="5" t="n">
        <v>0.7193436847786034</v>
      </c>
      <c r="Q91" s="6" t="n">
        <v>0.1077059360893534</v>
      </c>
      <c r="R91" s="6" t="n">
        <v>0.6716012368415765</v>
      </c>
      <c r="S91" s="6" t="n">
        <v>0.5823742190069057</v>
      </c>
      <c r="T91" s="2" t="inlineStr">
        <is>
          <t>Under</t>
        </is>
      </c>
      <c r="U91" s="4" t="n">
        <v>-154</v>
      </c>
      <c r="V91" s="2" t="n">
        <v>1.649350649350649</v>
      </c>
      <c r="W91" s="4" t="n">
        <v>-154</v>
      </c>
      <c r="X91" s="2" t="n">
        <v>1</v>
      </c>
      <c r="Y91" s="5" t="n">
        <v>0.6493506493506493</v>
      </c>
      <c r="Z91" s="7" t="n">
        <v>100</v>
      </c>
      <c r="AA91" s="7">
        <f>Y91*Z91</f>
        <v/>
      </c>
      <c r="AB91" s="6">
        <f>IF(Z91=0,0,AA91/Z91)</f>
        <v/>
      </c>
      <c r="AC91" s="6" t="n"/>
      <c r="AD91" s="2" t="inlineStr">
        <is>
          <t>Win</t>
        </is>
      </c>
      <c r="AE91" s="6">
        <f>IF((COUNTIF($AD$2:AD91,"Win")+COUNTIF($AD$2:AD91,"Loss"))=0,0,COUNTIF($AD$2:AD91,"Win")/(COUNTIF($AD$2:AD91,"Win")+COUNTIF($AD$2:AD91,"Loss")))</f>
        <v/>
      </c>
      <c r="AF91" s="6">
        <f>SUM($Y$2:Y91)/SUM($X$2:X91)</f>
        <v/>
      </c>
      <c r="AG91" s="5">
        <f>SUM($Y$2:Y91)</f>
        <v/>
      </c>
      <c r="AH91" s="7">
        <f>10000.0+SUM($AA$2:AA91)</f>
        <v/>
      </c>
      <c r="AI91" s="2" t="n">
        <v>2025</v>
      </c>
      <c r="AJ91" s="2" t="inlineStr">
        <is>
          <t>2025-07</t>
        </is>
      </c>
      <c r="AK91" s="2" t="inlineStr">
        <is>
          <t>&lt;= -150</t>
        </is>
      </c>
      <c r="AL91" s="2" t="inlineStr">
        <is>
          <t>2025 Validation</t>
        </is>
      </c>
      <c r="AM91" s="6" t="n">
        <v>0.1658671415776042</v>
      </c>
    </row>
    <row r="92">
      <c r="A92" s="2" t="inlineStr">
        <is>
          <t>KPROP-00091</t>
        </is>
      </c>
      <c r="B92" s="3" t="n">
        <v>45865.58724537037</v>
      </c>
      <c r="C92" s="3" t="n">
        <v>45865</v>
      </c>
      <c r="D92" s="2" t="inlineStr">
        <is>
          <t>Brandon Woodruff</t>
        </is>
      </c>
      <c r="E92" s="2" t="n">
        <v>158</v>
      </c>
      <c r="F92" s="2" t="n">
        <v>146</v>
      </c>
      <c r="G92" s="2" t="inlineStr">
        <is>
          <t>Home</t>
        </is>
      </c>
      <c r="H92" s="2" t="inlineStr">
        <is>
          <t>draftkings</t>
        </is>
      </c>
      <c r="I92" s="4" t="n"/>
      <c r="J92" s="4" t="n"/>
      <c r="K92" s="4" t="n">
        <v>120</v>
      </c>
      <c r="L92" s="4" t="n">
        <v>120</v>
      </c>
      <c r="M92" s="5" t="n">
        <v>5.5</v>
      </c>
      <c r="N92" s="5" t="n">
        <v>5.647050470570664</v>
      </c>
      <c r="O92" s="5" t="n">
        <v>5.5</v>
      </c>
      <c r="P92" s="5" t="n">
        <v>-0.1470504705706643</v>
      </c>
      <c r="Q92" s="6" t="n">
        <v>0.1085723407055068</v>
      </c>
      <c r="R92" s="6" t="n">
        <v>0.5038965185025031</v>
      </c>
      <c r="S92" s="6" t="n">
        <v>0.45</v>
      </c>
      <c r="T92" s="2" t="inlineStr">
        <is>
          <t>Under</t>
        </is>
      </c>
      <c r="U92" s="4" t="n">
        <v>120</v>
      </c>
      <c r="V92" s="2" t="n">
        <v>2.2</v>
      </c>
      <c r="W92" s="4" t="n">
        <v>120</v>
      </c>
      <c r="X92" s="2" t="n">
        <v>1</v>
      </c>
      <c r="Y92" s="5" t="n">
        <v>-1</v>
      </c>
      <c r="Z92" s="7" t="n">
        <v>100</v>
      </c>
      <c r="AA92" s="7">
        <f>Y92*Z92</f>
        <v/>
      </c>
      <c r="AB92" s="6">
        <f>IF(Z92=0,0,AA92/Z92)</f>
        <v/>
      </c>
      <c r="AC92" s="6" t="n"/>
      <c r="AD92" s="2" t="inlineStr">
        <is>
          <t>Loss</t>
        </is>
      </c>
      <c r="AE92" s="6">
        <f>IF((COUNTIF($AD$2:AD92,"Win")+COUNTIF($AD$2:AD92,"Loss"))=0,0,COUNTIF($AD$2:AD92,"Win")/(COUNTIF($AD$2:AD92,"Win")+COUNTIF($AD$2:AD92,"Loss")))</f>
        <v/>
      </c>
      <c r="AF92" s="6">
        <f>SUM($Y$2:Y92)/SUM($X$2:X92)</f>
        <v/>
      </c>
      <c r="AG92" s="5">
        <f>SUM($Y$2:Y92)</f>
        <v/>
      </c>
      <c r="AH92" s="7">
        <f>10000.0+SUM($AA$2:AA92)</f>
        <v/>
      </c>
      <c r="AI92" s="2" t="n">
        <v>2025</v>
      </c>
      <c r="AJ92" s="2" t="inlineStr">
        <is>
          <t>2025-07</t>
        </is>
      </c>
      <c r="AK92" s="2" t="inlineStr">
        <is>
          <t>+100 to +120</t>
        </is>
      </c>
      <c r="AL92" s="2" t="inlineStr">
        <is>
          <t>2025 Validation</t>
        </is>
      </c>
      <c r="AM92" s="6" t="n">
        <v>0.09047695058792232</v>
      </c>
    </row>
    <row r="93">
      <c r="A93" s="2" t="inlineStr">
        <is>
          <t>KPROP-00092</t>
        </is>
      </c>
      <c r="B93" s="3" t="n">
        <v>45865.58724537037</v>
      </c>
      <c r="C93" s="3" t="n">
        <v>45865</v>
      </c>
      <c r="D93" s="2" t="inlineStr">
        <is>
          <t>J.T. Ginn</t>
        </is>
      </c>
      <c r="E93" s="2" t="n">
        <v>133</v>
      </c>
      <c r="F93" s="2" t="n">
        <v>117</v>
      </c>
      <c r="G93" s="2" t="inlineStr">
        <is>
          <t>Away</t>
        </is>
      </c>
      <c r="H93" s="2" t="inlineStr">
        <is>
          <t>fanduel</t>
        </is>
      </c>
      <c r="I93" s="4" t="n"/>
      <c r="J93" s="4" t="n"/>
      <c r="K93" s="4" t="n">
        <v>104</v>
      </c>
      <c r="L93" s="4" t="n">
        <v>104</v>
      </c>
      <c r="M93" s="5" t="n">
        <v>4.5</v>
      </c>
      <c r="N93" s="5" t="n">
        <v>4.525442341692864</v>
      </c>
      <c r="O93" s="5" t="n">
        <v>4.5</v>
      </c>
      <c r="P93" s="5" t="n">
        <v>-0.02544234169286419</v>
      </c>
      <c r="Q93" s="6" t="n">
        <v>0.07565394959428318</v>
      </c>
      <c r="R93" s="6" t="n">
        <v>0.5272813478403349</v>
      </c>
      <c r="S93" s="6" t="n">
        <v>0.4687499999999999</v>
      </c>
      <c r="T93" s="2" t="inlineStr">
        <is>
          <t>Under</t>
        </is>
      </c>
      <c r="U93" s="4" t="n">
        <v>104</v>
      </c>
      <c r="V93" s="2" t="n">
        <v>2.04</v>
      </c>
      <c r="W93" s="4" t="n">
        <v>104</v>
      </c>
      <c r="X93" s="2" t="n">
        <v>1</v>
      </c>
      <c r="Y93" s="5" t="n">
        <v>1.04</v>
      </c>
      <c r="Z93" s="7" t="n">
        <v>100</v>
      </c>
      <c r="AA93" s="7">
        <f>Y93*Z93</f>
        <v/>
      </c>
      <c r="AB93" s="6">
        <f>IF(Z93=0,0,AA93/Z93)</f>
        <v/>
      </c>
      <c r="AC93" s="6" t="n"/>
      <c r="AD93" s="2" t="inlineStr">
        <is>
          <t>Win</t>
        </is>
      </c>
      <c r="AE93" s="6">
        <f>IF((COUNTIF($AD$2:AD93,"Win")+COUNTIF($AD$2:AD93,"Loss"))=0,0,COUNTIF($AD$2:AD93,"Win")/(COUNTIF($AD$2:AD93,"Win")+COUNTIF($AD$2:AD93,"Loss")))</f>
        <v/>
      </c>
      <c r="AF93" s="6">
        <f>SUM($Y$2:Y93)/SUM($X$2:X93)</f>
        <v/>
      </c>
      <c r="AG93" s="5">
        <f>SUM($Y$2:Y93)</f>
        <v/>
      </c>
      <c r="AH93" s="7">
        <f>10000.0+SUM($AA$2:AA93)</f>
        <v/>
      </c>
      <c r="AI93" s="2" t="n">
        <v>2025</v>
      </c>
      <c r="AJ93" s="2" t="inlineStr">
        <is>
          <t>2025-07</t>
        </is>
      </c>
      <c r="AK93" s="2" t="inlineStr">
        <is>
          <t>+100 to +120</t>
        </is>
      </c>
      <c r="AL93" s="2" t="inlineStr">
        <is>
          <t>2025 Validation</t>
        </is>
      </c>
      <c r="AM93" s="6" t="n">
        <v>0.07274418230219536</v>
      </c>
    </row>
    <row r="94">
      <c r="A94" s="2" t="inlineStr">
        <is>
          <t>KPROP-00093</t>
        </is>
      </c>
      <c r="B94" s="3" t="n">
        <v>45865.56988425926</v>
      </c>
      <c r="C94" s="3" t="n">
        <v>45865</v>
      </c>
      <c r="D94" s="2" t="inlineStr">
        <is>
          <t>Jack Flaherty</t>
        </is>
      </c>
      <c r="E94" s="2" t="n">
        <v>116</v>
      </c>
      <c r="F94" s="2" t="n">
        <v>141</v>
      </c>
      <c r="G94" s="2" t="inlineStr">
        <is>
          <t>Home</t>
        </is>
      </c>
      <c r="H94" s="2" t="inlineStr">
        <is>
          <t>betrivers</t>
        </is>
      </c>
      <c r="I94" s="4" t="n"/>
      <c r="J94" s="4" t="n"/>
      <c r="K94" s="4" t="n">
        <v>148</v>
      </c>
      <c r="L94" s="4" t="n">
        <v>148</v>
      </c>
      <c r="M94" s="5" t="n">
        <v>4.5</v>
      </c>
      <c r="N94" s="5" t="n">
        <v>5.008448523614791</v>
      </c>
      <c r="O94" s="5" t="n">
        <v>4.5</v>
      </c>
      <c r="P94" s="5" t="n">
        <v>-0.5084485236147911</v>
      </c>
      <c r="Q94" s="6" t="n">
        <v>0.08875000651651919</v>
      </c>
      <c r="R94" s="6" t="n">
        <v>0.4390120994018223</v>
      </c>
      <c r="S94" s="6" t="n">
        <v>0.3958587088915955</v>
      </c>
      <c r="T94" s="2" t="inlineStr">
        <is>
          <t>Under</t>
        </is>
      </c>
      <c r="U94" s="4" t="n">
        <v>148</v>
      </c>
      <c r="V94" s="2" t="n">
        <v>2.48</v>
      </c>
      <c r="W94" s="4" t="n">
        <v>148</v>
      </c>
      <c r="X94" s="2" t="n">
        <v>1</v>
      </c>
      <c r="Y94" s="5" t="n">
        <v>-1</v>
      </c>
      <c r="Z94" s="7" t="n">
        <v>100</v>
      </c>
      <c r="AA94" s="7">
        <f>Y94*Z94</f>
        <v/>
      </c>
      <c r="AB94" s="6">
        <f>IF(Z94=0,0,AA94/Z94)</f>
        <v/>
      </c>
      <c r="AC94" s="6" t="n"/>
      <c r="AD94" s="2" t="inlineStr">
        <is>
          <t>Loss</t>
        </is>
      </c>
      <c r="AE94" s="6">
        <f>IF((COUNTIF($AD$2:AD94,"Win")+COUNTIF($AD$2:AD94,"Loss"))=0,0,COUNTIF($AD$2:AD94,"Win")/(COUNTIF($AD$2:AD94,"Win")+COUNTIF($AD$2:AD94,"Loss")))</f>
        <v/>
      </c>
      <c r="AF94" s="6">
        <f>SUM($Y$2:Y94)/SUM($X$2:X94)</f>
        <v/>
      </c>
      <c r="AG94" s="5">
        <f>SUM($Y$2:Y94)</f>
        <v/>
      </c>
      <c r="AH94" s="7">
        <f>10000.0+SUM($AA$2:AA94)</f>
        <v/>
      </c>
      <c r="AI94" s="2" t="n">
        <v>2025</v>
      </c>
      <c r="AJ94" s="2" t="inlineStr">
        <is>
          <t>2025-07</t>
        </is>
      </c>
      <c r="AK94" s="2" t="inlineStr">
        <is>
          <t>+121 to +150</t>
        </is>
      </c>
      <c r="AL94" s="2" t="inlineStr">
        <is>
          <t>2025 Validation</t>
        </is>
      </c>
      <c r="AM94" s="6" t="n">
        <v>0.05996622061926973</v>
      </c>
    </row>
    <row r="95">
      <c r="A95" s="2" t="inlineStr">
        <is>
          <t>KPROP-00094</t>
        </is>
      </c>
      <c r="B95" s="3" t="n">
        <v>45865.60459490741</v>
      </c>
      <c r="C95" s="3" t="n">
        <v>45865</v>
      </c>
      <c r="D95" s="2" t="inlineStr">
        <is>
          <t>Jack Leiter</t>
        </is>
      </c>
      <c r="E95" s="2" t="n">
        <v>140</v>
      </c>
      <c r="F95" s="2" t="n">
        <v>144</v>
      </c>
      <c r="G95" s="2" t="inlineStr">
        <is>
          <t>Home</t>
        </is>
      </c>
      <c r="H95" s="2" t="inlineStr">
        <is>
          <t>fanatics</t>
        </is>
      </c>
      <c r="I95" s="4" t="n"/>
      <c r="J95" s="4" t="n"/>
      <c r="K95" s="4" t="n">
        <v>115</v>
      </c>
      <c r="L95" s="4" t="n">
        <v>115</v>
      </c>
      <c r="M95" s="5" t="n">
        <v>4.5</v>
      </c>
      <c r="N95" s="5" t="n">
        <v>4.559662542829623</v>
      </c>
      <c r="O95" s="5" t="n">
        <v>4.5</v>
      </c>
      <c r="P95" s="5" t="n">
        <v>-0.05966254282962336</v>
      </c>
      <c r="Q95" s="6" t="n">
        <v>0.1197585617282524</v>
      </c>
      <c r="R95" s="6" t="n">
        <v>0.5208179356875593</v>
      </c>
      <c r="S95" s="6" t="n">
        <v>0.4522563444257924</v>
      </c>
      <c r="T95" s="2" t="inlineStr">
        <is>
          <t>Under</t>
        </is>
      </c>
      <c r="U95" s="4" t="n">
        <v>115</v>
      </c>
      <c r="V95" s="2" t="n">
        <v>2.15</v>
      </c>
      <c r="W95" s="4" t="n">
        <v>115</v>
      </c>
      <c r="X95" s="2" t="n">
        <v>1</v>
      </c>
      <c r="Y95" s="5" t="n">
        <v>-1</v>
      </c>
      <c r="Z95" s="7" t="n">
        <v>100</v>
      </c>
      <c r="AA95" s="7">
        <f>Y95*Z95</f>
        <v/>
      </c>
      <c r="AB95" s="6">
        <f>IF(Z95=0,0,AA95/Z95)</f>
        <v/>
      </c>
      <c r="AC95" s="6" t="n"/>
      <c r="AD95" s="2" t="inlineStr">
        <is>
          <t>Loss</t>
        </is>
      </c>
      <c r="AE95" s="6">
        <f>IF((COUNTIF($AD$2:AD95,"Win")+COUNTIF($AD$2:AD95,"Loss"))=0,0,COUNTIF($AD$2:AD95,"Win")/(COUNTIF($AD$2:AD95,"Win")+COUNTIF($AD$2:AD95,"Loss")))</f>
        <v/>
      </c>
      <c r="AF95" s="6">
        <f>SUM($Y$2:Y95)/SUM($X$2:X95)</f>
        <v/>
      </c>
      <c r="AG95" s="5">
        <f>SUM($Y$2:Y95)</f>
        <v/>
      </c>
      <c r="AH95" s="7">
        <f>10000.0+SUM($AA$2:AA95)</f>
        <v/>
      </c>
      <c r="AI95" s="2" t="n">
        <v>2025</v>
      </c>
      <c r="AJ95" s="2" t="inlineStr">
        <is>
          <t>2025-07</t>
        </is>
      </c>
      <c r="AK95" s="2" t="inlineStr">
        <is>
          <t>+100 to +120</t>
        </is>
      </c>
      <c r="AL95" s="2" t="inlineStr">
        <is>
          <t>2025 Validation</t>
        </is>
      </c>
      <c r="AM95" s="6" t="n">
        <v>0.1041378797636977</v>
      </c>
    </row>
    <row r="96">
      <c r="A96" s="2" t="inlineStr">
        <is>
          <t>KPROP-00095</t>
        </is>
      </c>
      <c r="B96" s="3" t="n">
        <v>45865.67059027778</v>
      </c>
      <c r="C96" s="3" t="n">
        <v>45865</v>
      </c>
      <c r="D96" s="2" t="inlineStr">
        <is>
          <t>Logan Gilbert</t>
        </is>
      </c>
      <c r="E96" s="2" t="n">
        <v>136</v>
      </c>
      <c r="F96" s="2" t="n">
        <v>108</v>
      </c>
      <c r="G96" s="2" t="inlineStr">
        <is>
          <t>Away</t>
        </is>
      </c>
      <c r="H96" s="2" t="inlineStr">
        <is>
          <t>betrivers</t>
        </is>
      </c>
      <c r="I96" s="4" t="n"/>
      <c r="J96" s="4" t="n"/>
      <c r="K96" s="4" t="n">
        <v>123</v>
      </c>
      <c r="L96" s="4" t="n">
        <v>123</v>
      </c>
      <c r="M96" s="5" t="n">
        <v>6.5</v>
      </c>
      <c r="N96" s="5" t="n">
        <v>6.47616337742426</v>
      </c>
      <c r="O96" s="5" t="n">
        <v>6.5</v>
      </c>
      <c r="P96" s="5" t="n">
        <v>0.0238366225757396</v>
      </c>
      <c r="Q96" s="6" t="n">
        <v>0.1825263554221191</v>
      </c>
      <c r="R96" s="6" t="n">
        <v>0.5302808768709054</v>
      </c>
      <c r="S96" s="6" t="n">
        <v>0.4133784291619692</v>
      </c>
      <c r="T96" s="2" t="inlineStr">
        <is>
          <t>Under</t>
        </is>
      </c>
      <c r="U96" s="4" t="n">
        <v>123</v>
      </c>
      <c r="V96" s="2" t="n">
        <v>2.23</v>
      </c>
      <c r="W96" s="4" t="n">
        <v>123</v>
      </c>
      <c r="X96" s="2" t="n">
        <v>1</v>
      </c>
      <c r="Y96" s="5" t="n">
        <v>-1</v>
      </c>
      <c r="Z96" s="7" t="n">
        <v>100</v>
      </c>
      <c r="AA96" s="7">
        <f>Y96*Z96</f>
        <v/>
      </c>
      <c r="AB96" s="6">
        <f>IF(Z96=0,0,AA96/Z96)</f>
        <v/>
      </c>
      <c r="AC96" s="6" t="n"/>
      <c r="AD96" s="2" t="inlineStr">
        <is>
          <t>Loss</t>
        </is>
      </c>
      <c r="AE96" s="6">
        <f>IF((COUNTIF($AD$2:AD96,"Win")+COUNTIF($AD$2:AD96,"Loss"))=0,0,COUNTIF($AD$2:AD96,"Win")/(COUNTIF($AD$2:AD96,"Win")+COUNTIF($AD$2:AD96,"Loss")))</f>
        <v/>
      </c>
      <c r="AF96" s="6">
        <f>SUM($Y$2:Y96)/SUM($X$2:X96)</f>
        <v/>
      </c>
      <c r="AG96" s="5">
        <f>SUM($Y$2:Y96)</f>
        <v/>
      </c>
      <c r="AH96" s="7">
        <f>10000.0+SUM($AA$2:AA96)</f>
        <v/>
      </c>
      <c r="AI96" s="2" t="n">
        <v>2025</v>
      </c>
      <c r="AJ96" s="2" t="inlineStr">
        <is>
          <t>2025-07</t>
        </is>
      </c>
      <c r="AK96" s="2" t="inlineStr">
        <is>
          <t>+121 to +150</t>
        </is>
      </c>
      <c r="AL96" s="2" t="inlineStr">
        <is>
          <t>2025 Validation</t>
        </is>
      </c>
      <c r="AM96" s="6" t="n">
        <v>0.1483954109122919</v>
      </c>
    </row>
    <row r="97">
      <c r="A97" s="2" t="inlineStr">
        <is>
          <t>KPROP-00096</t>
        </is>
      </c>
      <c r="B97" s="3" t="n">
        <v>45865.67059027778</v>
      </c>
      <c r="C97" s="3" t="n">
        <v>45865</v>
      </c>
      <c r="D97" s="2" t="inlineStr">
        <is>
          <t>Logan Gilbert</t>
        </is>
      </c>
      <c r="E97" s="2" t="n">
        <v>136</v>
      </c>
      <c r="F97" s="2" t="n">
        <v>108</v>
      </c>
      <c r="G97" s="2" t="inlineStr">
        <is>
          <t>Away</t>
        </is>
      </c>
      <c r="H97" s="2" t="inlineStr">
        <is>
          <t>fanduel</t>
        </is>
      </c>
      <c r="I97" s="4" t="n"/>
      <c r="J97" s="4" t="n"/>
      <c r="K97" s="4" t="n">
        <v>-130</v>
      </c>
      <c r="L97" s="4" t="n">
        <v>-130</v>
      </c>
      <c r="M97" s="5" t="n">
        <v>7.5</v>
      </c>
      <c r="N97" s="5" t="n">
        <v>6.47616337742426</v>
      </c>
      <c r="O97" s="5" t="n">
        <v>7.5</v>
      </c>
      <c r="P97" s="5" t="n">
        <v>1.02383662257574</v>
      </c>
      <c r="Q97" s="6" t="n">
        <v>0.1964250755610312</v>
      </c>
      <c r="R97" s="6" t="n">
        <v>0.6762402600997133</v>
      </c>
      <c r="S97" s="6" t="n">
        <v>0.5542635658914729</v>
      </c>
      <c r="T97" s="2" t="inlineStr">
        <is>
          <t>Under</t>
        </is>
      </c>
      <c r="U97" s="4" t="n">
        <v>-130</v>
      </c>
      <c r="V97" s="2" t="n">
        <v>1.769230769230769</v>
      </c>
      <c r="W97" s="4" t="n">
        <v>-130</v>
      </c>
      <c r="X97" s="2" t="n">
        <v>1</v>
      </c>
      <c r="Y97" s="5" t="n">
        <v>0.7692307692307692</v>
      </c>
      <c r="Z97" s="7" t="n">
        <v>100</v>
      </c>
      <c r="AA97" s="7">
        <f>Y97*Z97</f>
        <v/>
      </c>
      <c r="AB97" s="6">
        <f>IF(Z97=0,0,AA97/Z97)</f>
        <v/>
      </c>
      <c r="AC97" s="6" t="n"/>
      <c r="AD97" s="2" t="inlineStr">
        <is>
          <t>Win</t>
        </is>
      </c>
      <c r="AE97" s="6">
        <f>IF((COUNTIF($AD$2:AD97,"Win")+COUNTIF($AD$2:AD97,"Loss"))=0,0,COUNTIF($AD$2:AD97,"Win")/(COUNTIF($AD$2:AD97,"Win")+COUNTIF($AD$2:AD97,"Loss")))</f>
        <v/>
      </c>
      <c r="AF97" s="6">
        <f>SUM($Y$2:Y97)/SUM($X$2:X97)</f>
        <v/>
      </c>
      <c r="AG97" s="5">
        <f>SUM($Y$2:Y97)</f>
        <v/>
      </c>
      <c r="AH97" s="7">
        <f>10000.0+SUM($AA$2:AA97)</f>
        <v/>
      </c>
      <c r="AI97" s="2" t="n">
        <v>2025</v>
      </c>
      <c r="AJ97" s="2" t="inlineStr">
        <is>
          <t>2025-07</t>
        </is>
      </c>
      <c r="AK97" s="2" t="inlineStr">
        <is>
          <t>-149 to -120</t>
        </is>
      </c>
      <c r="AL97" s="2" t="inlineStr">
        <is>
          <t>2025 Validation</t>
        </is>
      </c>
      <c r="AM97" s="6" t="n">
        <v>0.2553525982293405</v>
      </c>
    </row>
    <row r="98">
      <c r="A98" s="2" t="inlineStr">
        <is>
          <t>KPROP-00097</t>
        </is>
      </c>
      <c r="B98" s="3" t="n">
        <v>45865.56988425926</v>
      </c>
      <c r="C98" s="3" t="n">
        <v>45865</v>
      </c>
      <c r="D98" s="2" t="inlineStr">
        <is>
          <t>Max Scherzer</t>
        </is>
      </c>
      <c r="E98" s="2" t="n">
        <v>141</v>
      </c>
      <c r="F98" s="2" t="n">
        <v>116</v>
      </c>
      <c r="G98" s="2" t="inlineStr">
        <is>
          <t>Away</t>
        </is>
      </c>
      <c r="H98" s="2" t="inlineStr">
        <is>
          <t>bovada</t>
        </is>
      </c>
      <c r="I98" s="4" t="n"/>
      <c r="J98" s="4" t="n"/>
      <c r="K98" s="4" t="n">
        <v>110</v>
      </c>
      <c r="L98" s="4" t="n">
        <v>110</v>
      </c>
      <c r="M98" s="5" t="n">
        <v>5.5</v>
      </c>
      <c r="N98" s="5" t="n">
        <v>5.146137504550366</v>
      </c>
      <c r="O98" s="5" t="n">
        <v>5.5</v>
      </c>
      <c r="P98" s="5" t="n">
        <v>0.3538624954496337</v>
      </c>
      <c r="Q98" s="6" t="n">
        <v>0.2397061709540466</v>
      </c>
      <c r="R98" s="6" t="n">
        <v>0.5903362718828793</v>
      </c>
      <c r="S98" s="6" t="n">
        <v>0.4651652283729741</v>
      </c>
      <c r="T98" s="2" t="inlineStr">
        <is>
          <t>Under</t>
        </is>
      </c>
      <c r="U98" s="4" t="n">
        <v>110</v>
      </c>
      <c r="V98" s="2" t="n">
        <v>2.1</v>
      </c>
      <c r="W98" s="4" t="n">
        <v>110</v>
      </c>
      <c r="X98" s="2" t="n">
        <v>1</v>
      </c>
      <c r="Y98" s="5" t="n">
        <v>-1</v>
      </c>
      <c r="Z98" s="7" t="n">
        <v>100</v>
      </c>
      <c r="AA98" s="7">
        <f>Y98*Z98</f>
        <v/>
      </c>
      <c r="AB98" s="6">
        <f>IF(Z98=0,0,AA98/Z98)</f>
        <v/>
      </c>
      <c r="AC98" s="6" t="n"/>
      <c r="AD98" s="2" t="inlineStr">
        <is>
          <t>Loss</t>
        </is>
      </c>
      <c r="AE98" s="6">
        <f>IF((COUNTIF($AD$2:AD98,"Win")+COUNTIF($AD$2:AD98,"Loss"))=0,0,COUNTIF($AD$2:AD98,"Win")/(COUNTIF($AD$2:AD98,"Win")+COUNTIF($AD$2:AD98,"Loss")))</f>
        <v/>
      </c>
      <c r="AF98" s="6">
        <f>SUM($Y$2:Y98)/SUM($X$2:X98)</f>
        <v/>
      </c>
      <c r="AG98" s="5">
        <f>SUM($Y$2:Y98)</f>
        <v/>
      </c>
      <c r="AH98" s="7">
        <f>10000.0+SUM($AA$2:AA98)</f>
        <v/>
      </c>
      <c r="AI98" s="2" t="n">
        <v>2025</v>
      </c>
      <c r="AJ98" s="2" t="inlineStr">
        <is>
          <t>2025-07</t>
        </is>
      </c>
      <c r="AK98" s="2" t="inlineStr">
        <is>
          <t>+100 to +120</t>
        </is>
      </c>
      <c r="AL98" s="2" t="inlineStr">
        <is>
          <t>2025 Validation</t>
        </is>
      </c>
      <c r="AM98" s="6" t="n">
        <v>0.217914700867315</v>
      </c>
    </row>
    <row r="99">
      <c r="A99" s="2" t="inlineStr">
        <is>
          <t>KPROP-00098</t>
        </is>
      </c>
      <c r="B99" s="3" t="n">
        <v>45865.56640046297</v>
      </c>
      <c r="C99" s="3" t="n">
        <v>45865</v>
      </c>
      <c r="D99" s="2" t="inlineStr">
        <is>
          <t>Tomoyuki Sugano</t>
        </is>
      </c>
      <c r="E99" s="2" t="n">
        <v>110</v>
      </c>
      <c r="F99" s="2" t="n">
        <v>115</v>
      </c>
      <c r="G99" s="2" t="inlineStr">
        <is>
          <t>Home</t>
        </is>
      </c>
      <c r="H99" s="2" t="inlineStr">
        <is>
          <t>draftkings</t>
        </is>
      </c>
      <c r="I99" s="4" t="n"/>
      <c r="J99" s="4" t="n"/>
      <c r="K99" s="4" t="n">
        <v>130</v>
      </c>
      <c r="L99" s="4" t="n">
        <v>130</v>
      </c>
      <c r="M99" s="5" t="n">
        <v>3.5</v>
      </c>
      <c r="N99" s="5" t="n">
        <v>3.574175447102372</v>
      </c>
      <c r="O99" s="5" t="n">
        <v>3.5</v>
      </c>
      <c r="P99" s="5" t="n">
        <v>-0.07417544710237189</v>
      </c>
      <c r="Q99" s="6" t="n">
        <v>0.1976438495408595</v>
      </c>
      <c r="R99" s="6" t="n">
        <v>0.5207147171916781</v>
      </c>
      <c r="S99" s="6" t="n">
        <v>0.4221500598188344</v>
      </c>
      <c r="T99" s="2" t="inlineStr">
        <is>
          <t>Under</t>
        </is>
      </c>
      <c r="U99" s="4" t="n">
        <v>130</v>
      </c>
      <c r="V99" s="2" t="n">
        <v>2.3</v>
      </c>
      <c r="W99" s="4" t="n">
        <v>130</v>
      </c>
      <c r="X99" s="2" t="n">
        <v>1</v>
      </c>
      <c r="Y99" s="5" t="n">
        <v>-1</v>
      </c>
      <c r="Z99" s="7" t="n">
        <v>100</v>
      </c>
      <c r="AA99" s="7">
        <f>Y99*Z99</f>
        <v/>
      </c>
      <c r="AB99" s="6">
        <f>IF(Z99=0,0,AA99/Z99)</f>
        <v/>
      </c>
      <c r="AC99" s="6" t="n"/>
      <c r="AD99" s="2" t="inlineStr">
        <is>
          <t>Loss</t>
        </is>
      </c>
      <c r="AE99" s="6">
        <f>IF((COUNTIF($AD$2:AD99,"Win")+COUNTIF($AD$2:AD99,"Loss"))=0,0,COUNTIF($AD$2:AD99,"Win")/(COUNTIF($AD$2:AD99,"Win")+COUNTIF($AD$2:AD99,"Loss")))</f>
        <v/>
      </c>
      <c r="AF99" s="6">
        <f>SUM($Y$2:Y99)/SUM($X$2:X99)</f>
        <v/>
      </c>
      <c r="AG99" s="5">
        <f>SUM($Y$2:Y99)</f>
        <v/>
      </c>
      <c r="AH99" s="7">
        <f>10000.0+SUM($AA$2:AA99)</f>
        <v/>
      </c>
      <c r="AI99" s="2" t="n">
        <v>2025</v>
      </c>
      <c r="AJ99" s="2" t="inlineStr">
        <is>
          <t>2025-07</t>
        </is>
      </c>
      <c r="AK99" s="2" t="inlineStr">
        <is>
          <t>+121 to +150</t>
        </is>
      </c>
      <c r="AL99" s="2" t="inlineStr">
        <is>
          <t>2025 Validation</t>
        </is>
      </c>
      <c r="AM99" s="6" t="n">
        <v>0.1520337304160458</v>
      </c>
    </row>
    <row r="100">
      <c r="A100" s="2" t="inlineStr">
        <is>
          <t>KPROP-00099</t>
        </is>
      </c>
      <c r="B100" s="3" t="n">
        <v>45866.79210648148</v>
      </c>
      <c r="C100" s="3" t="n">
        <v>45866</v>
      </c>
      <c r="D100" s="2" t="inlineStr">
        <is>
          <t>Drew Rasmussen</t>
        </is>
      </c>
      <c r="E100" s="2" t="n">
        <v>139</v>
      </c>
      <c r="F100" s="2" t="n">
        <v>147</v>
      </c>
      <c r="G100" s="2" t="inlineStr">
        <is>
          <t>Away</t>
        </is>
      </c>
      <c r="H100" s="2" t="inlineStr">
        <is>
          <t>draftkings</t>
        </is>
      </c>
      <c r="I100" s="4" t="n"/>
      <c r="J100" s="4" t="n"/>
      <c r="K100" s="4" t="n">
        <v>105</v>
      </c>
      <c r="L100" s="4" t="n">
        <v>105</v>
      </c>
      <c r="M100" s="5" t="n">
        <v>4.5</v>
      </c>
      <c r="N100" s="5" t="n">
        <v>4.517822474275898</v>
      </c>
      <c r="O100" s="5" t="n">
        <v>4.5</v>
      </c>
      <c r="P100" s="5" t="n">
        <v>-0.01782247427589834</v>
      </c>
      <c r="Q100" s="6" t="n">
        <v>0.08388444079549962</v>
      </c>
      <c r="R100" s="6" t="n">
        <v>0.5287241174612194</v>
      </c>
      <c r="S100" s="6" t="n">
        <v>0.4721030042918455</v>
      </c>
      <c r="T100" s="2" t="inlineStr">
        <is>
          <t>Under</t>
        </is>
      </c>
      <c r="U100" s="4" t="n">
        <v>105</v>
      </c>
      <c r="V100" s="2" t="n">
        <v>2.05</v>
      </c>
      <c r="W100" s="4" t="n">
        <v>105</v>
      </c>
      <c r="X100" s="2" t="n">
        <v>1</v>
      </c>
      <c r="Y100" s="5" t="n">
        <v>-1</v>
      </c>
      <c r="Z100" s="7" t="n">
        <v>100</v>
      </c>
      <c r="AA100" s="7">
        <f>Y100*Z100</f>
        <v/>
      </c>
      <c r="AB100" s="6">
        <f>IF(Z100=0,0,AA100/Z100)</f>
        <v/>
      </c>
      <c r="AC100" s="6" t="n"/>
      <c r="AD100" s="2" t="inlineStr">
        <is>
          <t>Loss</t>
        </is>
      </c>
      <c r="AE100" s="6">
        <f>IF((COUNTIF($AD$2:AD100,"Win")+COUNTIF($AD$2:AD100,"Loss"))=0,0,COUNTIF($AD$2:AD100,"Win")/(COUNTIF($AD$2:AD100,"Win")+COUNTIF($AD$2:AD100,"Loss")))</f>
        <v/>
      </c>
      <c r="AF100" s="6">
        <f>SUM($Y$2:Y100)/SUM($X$2:X100)</f>
        <v/>
      </c>
      <c r="AG100" s="5">
        <f>SUM($Y$2:Y100)</f>
        <v/>
      </c>
      <c r="AH100" s="7">
        <f>10000.0+SUM($AA$2:AA100)</f>
        <v/>
      </c>
      <c r="AI100" s="2" t="n">
        <v>2025</v>
      </c>
      <c r="AJ100" s="2" t="inlineStr">
        <is>
          <t>2025-07</t>
        </is>
      </c>
      <c r="AK100" s="2" t="inlineStr">
        <is>
          <t>+100 to +120</t>
        </is>
      </c>
      <c r="AL100" s="2" t="inlineStr">
        <is>
          <t>2025 Validation</t>
        </is>
      </c>
      <c r="AM100" s="6" t="n">
        <v>0.07988994361476155</v>
      </c>
    </row>
    <row r="101">
      <c r="A101" s="2" t="inlineStr">
        <is>
          <t>KPROP-00100</t>
        </is>
      </c>
      <c r="B101" s="3" t="n">
        <v>45866.81641203703</v>
      </c>
      <c r="C101" s="3" t="n">
        <v>45866</v>
      </c>
      <c r="D101" s="2" t="inlineStr">
        <is>
          <t>Matthew Boyd</t>
        </is>
      </c>
      <c r="E101" s="2" t="n">
        <v>112</v>
      </c>
      <c r="F101" s="2" t="n">
        <v>158</v>
      </c>
      <c r="G101" s="2" t="inlineStr">
        <is>
          <t>Away</t>
        </is>
      </c>
      <c r="H101" s="2" t="inlineStr">
        <is>
          <t>fanduel</t>
        </is>
      </c>
      <c r="I101" s="4" t="n"/>
      <c r="J101" s="4" t="n"/>
      <c r="K101" s="4" t="n">
        <v>106</v>
      </c>
      <c r="L101" s="4" t="n">
        <v>106</v>
      </c>
      <c r="M101" s="5" t="n">
        <v>4.5</v>
      </c>
      <c r="N101" s="5" t="n">
        <v>4.512898541712249</v>
      </c>
      <c r="O101" s="5" t="n">
        <v>4.5</v>
      </c>
      <c r="P101" s="5" t="n">
        <v>-0.01289854171224913</v>
      </c>
      <c r="Q101" s="6" t="n">
        <v>0.09109362966036272</v>
      </c>
      <c r="R101" s="6" t="n">
        <v>0.5296571017768751</v>
      </c>
      <c r="S101" s="6" t="n">
        <v>0.4620329449578144</v>
      </c>
      <c r="T101" s="2" t="inlineStr">
        <is>
          <t>Under</t>
        </is>
      </c>
      <c r="U101" s="4" t="n">
        <v>106</v>
      </c>
      <c r="V101" s="2" t="n">
        <v>2.06</v>
      </c>
      <c r="W101" s="4" t="n">
        <v>106</v>
      </c>
      <c r="X101" s="2" t="n">
        <v>1</v>
      </c>
      <c r="Y101" s="5" t="n">
        <v>1.06</v>
      </c>
      <c r="Z101" s="7" t="n">
        <v>100</v>
      </c>
      <c r="AA101" s="7">
        <f>Y101*Z101</f>
        <v/>
      </c>
      <c r="AB101" s="6">
        <f>IF(Z101=0,0,AA101/Z101)</f>
        <v/>
      </c>
      <c r="AC101" s="6" t="n"/>
      <c r="AD101" s="2" t="inlineStr">
        <is>
          <t>Win</t>
        </is>
      </c>
      <c r="AE101" s="6">
        <f>IF((COUNTIF($AD$2:AD101,"Win")+COUNTIF($AD$2:AD101,"Loss"))=0,0,COUNTIF($AD$2:AD101,"Win")/(COUNTIF($AD$2:AD101,"Win")+COUNTIF($AD$2:AD101,"Loss")))</f>
        <v/>
      </c>
      <c r="AF101" s="6">
        <f>SUM($Y$2:Y101)/SUM($X$2:X101)</f>
        <v/>
      </c>
      <c r="AG101" s="5">
        <f>SUM($Y$2:Y101)</f>
        <v/>
      </c>
      <c r="AH101" s="7">
        <f>10000.0+SUM($AA$2:AA101)</f>
        <v/>
      </c>
      <c r="AI101" s="2" t="n">
        <v>2025</v>
      </c>
      <c r="AJ101" s="2" t="inlineStr">
        <is>
          <t>2025-07</t>
        </is>
      </c>
      <c r="AK101" s="2" t="inlineStr">
        <is>
          <t>+100 to +120</t>
        </is>
      </c>
      <c r="AL101" s="2" t="inlineStr">
        <is>
          <t>2025 Validation</t>
        </is>
      </c>
      <c r="AM101" s="6" t="n">
        <v>0.0859373864720403</v>
      </c>
    </row>
    <row r="102">
      <c r="A102" s="2" t="inlineStr">
        <is>
          <t>KPROP-00101</t>
        </is>
      </c>
      <c r="B102" s="3" t="n">
        <v>45866.77474537037</v>
      </c>
      <c r="C102" s="3" t="n">
        <v>45866</v>
      </c>
      <c r="D102" s="2" t="inlineStr">
        <is>
          <t>Slade Cecconi</t>
        </is>
      </c>
      <c r="E102" s="2" t="n">
        <v>114</v>
      </c>
      <c r="F102" s="2" t="n">
        <v>115</v>
      </c>
      <c r="G102" s="2" t="inlineStr">
        <is>
          <t>Home</t>
        </is>
      </c>
      <c r="H102" s="2" t="inlineStr">
        <is>
          <t>draftkings</t>
        </is>
      </c>
      <c r="I102" s="4" t="n"/>
      <c r="J102" s="4" t="n"/>
      <c r="K102" s="4" t="n">
        <v>100</v>
      </c>
      <c r="L102" s="4" t="n">
        <v>100</v>
      </c>
      <c r="M102" s="5" t="n">
        <v>5.5</v>
      </c>
      <c r="N102" s="5" t="n">
        <v>5.30847227660868</v>
      </c>
      <c r="O102" s="5" t="n">
        <v>5.5</v>
      </c>
      <c r="P102" s="5" t="n">
        <v>0.19152772339132</v>
      </c>
      <c r="Q102" s="6" t="n">
        <v>0.1239999048260079</v>
      </c>
      <c r="R102" s="6" t="n">
        <v>0.5619999524130039</v>
      </c>
      <c r="S102" s="6" t="n">
        <v>0.4831460674157303</v>
      </c>
      <c r="T102" s="2" t="inlineStr">
        <is>
          <t>Under</t>
        </is>
      </c>
      <c r="U102" s="4" t="n">
        <v>100</v>
      </c>
      <c r="V102" s="2" t="n">
        <v>2</v>
      </c>
      <c r="W102" s="4" t="n">
        <v>100</v>
      </c>
      <c r="X102" s="2" t="n">
        <v>1</v>
      </c>
      <c r="Y102" s="5" t="n">
        <v>1</v>
      </c>
      <c r="Z102" s="7" t="n">
        <v>100</v>
      </c>
      <c r="AA102" s="7">
        <f>Y102*Z102</f>
        <v/>
      </c>
      <c r="AB102" s="6">
        <f>IF(Z102=0,0,AA102/Z102)</f>
        <v/>
      </c>
      <c r="AC102" s="6" t="n"/>
      <c r="AD102" s="2" t="inlineStr">
        <is>
          <t>Win</t>
        </is>
      </c>
      <c r="AE102" s="6">
        <f>IF((COUNTIF($AD$2:AD102,"Win")+COUNTIF($AD$2:AD102,"Loss"))=0,0,COUNTIF($AD$2:AD102,"Win")/(COUNTIF($AD$2:AD102,"Win")+COUNTIF($AD$2:AD102,"Loss")))</f>
        <v/>
      </c>
      <c r="AF102" s="6">
        <f>SUM($Y$2:Y102)/SUM($X$2:X102)</f>
        <v/>
      </c>
      <c r="AG102" s="5">
        <f>SUM($Y$2:Y102)</f>
        <v/>
      </c>
      <c r="AH102" s="7">
        <f>10000.0+SUM($AA$2:AA102)</f>
        <v/>
      </c>
      <c r="AI102" s="2" t="n">
        <v>2025</v>
      </c>
      <c r="AJ102" s="2" t="inlineStr">
        <is>
          <t>2025-07</t>
        </is>
      </c>
      <c r="AK102" s="2" t="inlineStr">
        <is>
          <t>+100 to +120</t>
        </is>
      </c>
      <c r="AL102" s="2" t="inlineStr">
        <is>
          <t>2025 Validation</t>
        </is>
      </c>
      <c r="AM102" s="6" t="n">
        <v>0.1239999048260079</v>
      </c>
    </row>
    <row r="103">
      <c r="A103" s="2" t="inlineStr">
        <is>
          <t>KPROP-00102</t>
        </is>
      </c>
      <c r="B103" s="3" t="n">
        <v>45866.79560185185</v>
      </c>
      <c r="C103" s="3" t="n">
        <v>45866</v>
      </c>
      <c r="D103" s="2" t="inlineStr">
        <is>
          <t>Yoshinobu Yamamoto</t>
        </is>
      </c>
      <c r="E103" s="2" t="n">
        <v>119</v>
      </c>
      <c r="F103" s="2" t="n">
        <v>113</v>
      </c>
      <c r="G103" s="2" t="inlineStr">
        <is>
          <t>Away</t>
        </is>
      </c>
      <c r="H103" s="2" t="inlineStr">
        <is>
          <t>betrivers</t>
        </is>
      </c>
      <c r="I103" s="4" t="n"/>
      <c r="J103" s="4" t="n"/>
      <c r="K103" s="4" t="n">
        <v>165</v>
      </c>
      <c r="L103" s="4" t="n">
        <v>165</v>
      </c>
      <c r="M103" s="5" t="n">
        <v>5.5</v>
      </c>
      <c r="N103" s="5" t="n">
        <v>6.168457330932037</v>
      </c>
      <c r="O103" s="5" t="n">
        <v>5.5</v>
      </c>
      <c r="P103" s="5" t="n">
        <v>-0.6684573309320365</v>
      </c>
      <c r="Q103" s="6" t="n">
        <v>0.110389658012961</v>
      </c>
      <c r="R103" s="6" t="n">
        <v>0.4190149652879098</v>
      </c>
      <c r="S103" s="6" t="n">
        <v>0.3861003861003861</v>
      </c>
      <c r="T103" s="2" t="inlineStr">
        <is>
          <t>Under</t>
        </is>
      </c>
      <c r="U103" s="4" t="n">
        <v>165</v>
      </c>
      <c r="V103" s="2" t="n">
        <v>2.65</v>
      </c>
      <c r="W103" s="4" t="n">
        <v>165</v>
      </c>
      <c r="X103" s="2" t="n">
        <v>1</v>
      </c>
      <c r="Y103" s="5" t="n">
        <v>-1</v>
      </c>
      <c r="Z103" s="7" t="n">
        <v>100</v>
      </c>
      <c r="AA103" s="7">
        <f>Y103*Z103</f>
        <v/>
      </c>
      <c r="AB103" s="6">
        <f>IF(Z103=0,0,AA103/Z103)</f>
        <v/>
      </c>
      <c r="AC103" s="6" t="n"/>
      <c r="AD103" s="2" t="inlineStr">
        <is>
          <t>Loss</t>
        </is>
      </c>
      <c r="AE103" s="6">
        <f>IF((COUNTIF($AD$2:AD103,"Win")+COUNTIF($AD$2:AD103,"Loss"))=0,0,COUNTIF($AD$2:AD103,"Win")/(COUNTIF($AD$2:AD103,"Win")+COUNTIF($AD$2:AD103,"Loss")))</f>
        <v/>
      </c>
      <c r="AF103" s="6">
        <f>SUM($Y$2:Y103)/SUM($X$2:X103)</f>
        <v/>
      </c>
      <c r="AG103" s="5">
        <f>SUM($Y$2:Y103)</f>
        <v/>
      </c>
      <c r="AH103" s="7">
        <f>10000.0+SUM($AA$2:AA103)</f>
        <v/>
      </c>
      <c r="AI103" s="2" t="n">
        <v>2025</v>
      </c>
      <c r="AJ103" s="2" t="inlineStr">
        <is>
          <t>2025-07</t>
        </is>
      </c>
      <c r="AK103" s="2" t="inlineStr">
        <is>
          <t>&gt;= +151</t>
        </is>
      </c>
      <c r="AL103" s="2" t="inlineStr">
        <is>
          <t>2025 Validation</t>
        </is>
      </c>
      <c r="AM103" s="6" t="n">
        <v>0.06690282303815817</v>
      </c>
    </row>
    <row r="104">
      <c r="A104" s="2" t="inlineStr">
        <is>
          <t>KPROP-00103</t>
        </is>
      </c>
      <c r="B104" s="3" t="n">
        <v>45866.79560185185</v>
      </c>
      <c r="C104" s="3" t="n">
        <v>45866</v>
      </c>
      <c r="D104" s="2" t="inlineStr">
        <is>
          <t>Yoshinobu Yamamoto</t>
        </is>
      </c>
      <c r="E104" s="2" t="n">
        <v>119</v>
      </c>
      <c r="F104" s="2" t="n">
        <v>113</v>
      </c>
      <c r="G104" s="2" t="inlineStr">
        <is>
          <t>Away</t>
        </is>
      </c>
      <c r="H104" s="2" t="inlineStr">
        <is>
          <t>betrivers</t>
        </is>
      </c>
      <c r="I104" s="4" t="n"/>
      <c r="J104" s="4" t="n"/>
      <c r="K104" s="4" t="n">
        <v>-118</v>
      </c>
      <c r="L104" s="4" t="n">
        <v>-118</v>
      </c>
      <c r="M104" s="5" t="n">
        <v>6.5</v>
      </c>
      <c r="N104" s="5" t="n">
        <v>6.168457330932037</v>
      </c>
      <c r="O104" s="5" t="n">
        <v>6.5</v>
      </c>
      <c r="P104" s="5" t="n">
        <v>0.3315426690679635</v>
      </c>
      <c r="Q104" s="6" t="n">
        <v>0.07016875594949368</v>
      </c>
      <c r="R104" s="6" t="n">
        <v>0.5792656568900929</v>
      </c>
      <c r="S104" s="6" t="n">
        <v>0.5435510887772195</v>
      </c>
      <c r="T104" s="2" t="inlineStr">
        <is>
          <t>Under</t>
        </is>
      </c>
      <c r="U104" s="4" t="n">
        <v>-118</v>
      </c>
      <c r="V104" s="2" t="n">
        <v>1.847457627118644</v>
      </c>
      <c r="W104" s="4" t="n">
        <v>-118</v>
      </c>
      <c r="X104" s="2" t="n">
        <v>1</v>
      </c>
      <c r="Y104" s="5" t="n">
        <v>-1</v>
      </c>
      <c r="Z104" s="7" t="n">
        <v>100</v>
      </c>
      <c r="AA104" s="7">
        <f>Y104*Z104</f>
        <v/>
      </c>
      <c r="AB104" s="6">
        <f>IF(Z104=0,0,AA104/Z104)</f>
        <v/>
      </c>
      <c r="AC104" s="6" t="n"/>
      <c r="AD104" s="2" t="inlineStr">
        <is>
          <t>Loss</t>
        </is>
      </c>
      <c r="AE104" s="6">
        <f>IF((COUNTIF($AD$2:AD104,"Win")+COUNTIF($AD$2:AD104,"Loss"))=0,0,COUNTIF($AD$2:AD104,"Win")/(COUNTIF($AD$2:AD104,"Win")+COUNTIF($AD$2:AD104,"Loss")))</f>
        <v/>
      </c>
      <c r="AF104" s="6">
        <f>SUM($Y$2:Y104)/SUM($X$2:X104)</f>
        <v/>
      </c>
      <c r="AG104" s="5">
        <f>SUM($Y$2:Y104)</f>
        <v/>
      </c>
      <c r="AH104" s="7">
        <f>10000.0+SUM($AA$2:AA104)</f>
        <v/>
      </c>
      <c r="AI104" s="2" t="n">
        <v>2025</v>
      </c>
      <c r="AJ104" s="2" t="inlineStr">
        <is>
          <t>2025-07</t>
        </is>
      </c>
      <c r="AK104" s="2" t="inlineStr">
        <is>
          <t>-119 to -101</t>
        </is>
      </c>
      <c r="AL104" s="2" t="inlineStr">
        <is>
          <t>2025 Validation</t>
        </is>
      </c>
      <c r="AM104" s="6" t="n">
        <v>0.08279913202040254</v>
      </c>
    </row>
    <row r="105">
      <c r="A105" s="2" t="inlineStr">
        <is>
          <t>KPROP-00104</t>
        </is>
      </c>
      <c r="B105" s="3" t="n">
        <v>45866.77127314815</v>
      </c>
      <c r="C105" s="3" t="n">
        <v>45866</v>
      </c>
      <c r="D105" s="2" t="inlineStr">
        <is>
          <t>Zach Eflin</t>
        </is>
      </c>
      <c r="E105" s="2" t="n">
        <v>110</v>
      </c>
      <c r="F105" s="2" t="n">
        <v>141</v>
      </c>
      <c r="G105" s="2" t="inlineStr">
        <is>
          <t>Home</t>
        </is>
      </c>
      <c r="H105" s="2" t="inlineStr">
        <is>
          <t>bovada</t>
        </is>
      </c>
      <c r="I105" s="4" t="n"/>
      <c r="J105" s="4" t="n"/>
      <c r="K105" s="4" t="n">
        <v>100</v>
      </c>
      <c r="L105" s="4" t="n">
        <v>100</v>
      </c>
      <c r="M105" s="5" t="n">
        <v>3.5</v>
      </c>
      <c r="N105" s="5" t="n">
        <v>3.49593840733844</v>
      </c>
      <c r="O105" s="5" t="n">
        <v>3.5</v>
      </c>
      <c r="P105" s="5" t="n">
        <v>0.004061592661560365</v>
      </c>
      <c r="Q105" s="6" t="n">
        <v>0.0750187086038856</v>
      </c>
      <c r="R105" s="6" t="n">
        <v>0.5375093543019428</v>
      </c>
      <c r="S105" s="6" t="n">
        <v>0.4883720930232558</v>
      </c>
      <c r="T105" s="2" t="inlineStr">
        <is>
          <t>Under</t>
        </is>
      </c>
      <c r="U105" s="4" t="n">
        <v>100</v>
      </c>
      <c r="V105" s="2" t="n">
        <v>2</v>
      </c>
      <c r="W105" s="4" t="n">
        <v>100</v>
      </c>
      <c r="X105" s="2" t="n">
        <v>1</v>
      </c>
      <c r="Y105" s="5" t="n">
        <v>1</v>
      </c>
      <c r="Z105" s="7" t="n">
        <v>100</v>
      </c>
      <c r="AA105" s="7">
        <f>Y105*Z105</f>
        <v/>
      </c>
      <c r="AB105" s="6">
        <f>IF(Z105=0,0,AA105/Z105)</f>
        <v/>
      </c>
      <c r="AC105" s="6" t="n"/>
      <c r="AD105" s="2" t="inlineStr">
        <is>
          <t>Win</t>
        </is>
      </c>
      <c r="AE105" s="6">
        <f>IF((COUNTIF($AD$2:AD105,"Win")+COUNTIF($AD$2:AD105,"Loss"))=0,0,COUNTIF($AD$2:AD105,"Win")/(COUNTIF($AD$2:AD105,"Win")+COUNTIF($AD$2:AD105,"Loss")))</f>
        <v/>
      </c>
      <c r="AF105" s="6">
        <f>SUM($Y$2:Y105)/SUM($X$2:X105)</f>
        <v/>
      </c>
      <c r="AG105" s="5">
        <f>SUM($Y$2:Y105)</f>
        <v/>
      </c>
      <c r="AH105" s="7">
        <f>10000.0+SUM($AA$2:AA105)</f>
        <v/>
      </c>
      <c r="AI105" s="2" t="n">
        <v>2025</v>
      </c>
      <c r="AJ105" s="2" t="inlineStr">
        <is>
          <t>2025-07</t>
        </is>
      </c>
      <c r="AK105" s="2" t="inlineStr">
        <is>
          <t>+100 to +120</t>
        </is>
      </c>
      <c r="AL105" s="2" t="inlineStr">
        <is>
          <t>2025 Validation</t>
        </is>
      </c>
      <c r="AM105" s="6" t="n">
        <v>0.0750187086038856</v>
      </c>
    </row>
    <row r="106">
      <c r="A106" s="2" t="inlineStr">
        <is>
          <t>KPROP-00105</t>
        </is>
      </c>
      <c r="B106" s="3" t="n">
        <v>45867.77475694445</v>
      </c>
      <c r="C106" s="3" t="n">
        <v>45867</v>
      </c>
      <c r="D106" s="2" t="inlineStr">
        <is>
          <t>Brandon Pfaadt</t>
        </is>
      </c>
      <c r="E106" s="2" t="n">
        <v>109</v>
      </c>
      <c r="F106" s="2" t="n">
        <v>116</v>
      </c>
      <c r="G106" s="2" t="inlineStr">
        <is>
          <t>Away</t>
        </is>
      </c>
      <c r="H106" s="2" t="inlineStr">
        <is>
          <t>fanduel</t>
        </is>
      </c>
      <c r="I106" s="4" t="n"/>
      <c r="J106" s="4" t="n"/>
      <c r="K106" s="4" t="n">
        <v>130</v>
      </c>
      <c r="L106" s="4" t="n">
        <v>130</v>
      </c>
      <c r="M106" s="5" t="n">
        <v>4.5</v>
      </c>
      <c r="N106" s="5" t="n">
        <v>4.800379445095591</v>
      </c>
      <c r="O106" s="5" t="n">
        <v>4.5</v>
      </c>
      <c r="P106" s="5" t="n">
        <v>-0.300379445095591</v>
      </c>
      <c r="Q106" s="6" t="n">
        <v>0.09523627747884313</v>
      </c>
      <c r="R106" s="6" t="n">
        <v>0.4761896858603666</v>
      </c>
      <c r="S106" s="6" t="n">
        <v>0.4140127388535032</v>
      </c>
      <c r="T106" s="2" t="inlineStr">
        <is>
          <t>Under</t>
        </is>
      </c>
      <c r="U106" s="4" t="n">
        <v>130</v>
      </c>
      <c r="V106" s="2" t="n">
        <v>2.3</v>
      </c>
      <c r="W106" s="4" t="n">
        <v>130</v>
      </c>
      <c r="X106" s="2" t="n">
        <v>1</v>
      </c>
      <c r="Y106" s="5" t="n">
        <v>1.3</v>
      </c>
      <c r="Z106" s="7" t="n">
        <v>100</v>
      </c>
      <c r="AA106" s="7">
        <f>Y106*Z106</f>
        <v/>
      </c>
      <c r="AB106" s="6">
        <f>IF(Z106=0,0,AA106/Z106)</f>
        <v/>
      </c>
      <c r="AC106" s="6" t="n"/>
      <c r="AD106" s="2" t="inlineStr">
        <is>
          <t>Win</t>
        </is>
      </c>
      <c r="AE106" s="6">
        <f>IF((COUNTIF($AD$2:AD106,"Win")+COUNTIF($AD$2:AD106,"Loss"))=0,0,COUNTIF($AD$2:AD106,"Win")/(COUNTIF($AD$2:AD106,"Win")+COUNTIF($AD$2:AD106,"Loss")))</f>
        <v/>
      </c>
      <c r="AF106" s="6">
        <f>SUM($Y$2:Y106)/SUM($X$2:X106)</f>
        <v/>
      </c>
      <c r="AG106" s="5">
        <f>SUM($Y$2:Y106)</f>
        <v/>
      </c>
      <c r="AH106" s="7">
        <f>10000.0+SUM($AA$2:AA106)</f>
        <v/>
      </c>
      <c r="AI106" s="2" t="n">
        <v>2025</v>
      </c>
      <c r="AJ106" s="2" t="inlineStr">
        <is>
          <t>2025-07</t>
        </is>
      </c>
      <c r="AK106" s="2" t="inlineStr">
        <is>
          <t>+121 to +150</t>
        </is>
      </c>
      <c r="AL106" s="2" t="inlineStr">
        <is>
          <t>2025 Validation</t>
        </is>
      </c>
      <c r="AM106" s="6" t="n">
        <v>0.07325867498372549</v>
      </c>
    </row>
    <row r="107">
      <c r="A107" s="2" t="inlineStr">
        <is>
          <t>KPROP-00106</t>
        </is>
      </c>
      <c r="B107" s="3" t="n">
        <v>45867.79557870371</v>
      </c>
      <c r="C107" s="3" t="n">
        <v>45867</v>
      </c>
      <c r="D107" s="2" t="inlineStr">
        <is>
          <t>Max Fried</t>
        </is>
      </c>
      <c r="E107" s="2" t="n">
        <v>147</v>
      </c>
      <c r="F107" s="2" t="n">
        <v>139</v>
      </c>
      <c r="G107" s="2" t="inlineStr">
        <is>
          <t>Home</t>
        </is>
      </c>
      <c r="H107" s="2" t="inlineStr">
        <is>
          <t>fanduel</t>
        </is>
      </c>
      <c r="I107" s="4" t="n"/>
      <c r="J107" s="4" t="n"/>
      <c r="K107" s="4" t="n">
        <v>-108</v>
      </c>
      <c r="L107" s="4" t="n">
        <v>-108</v>
      </c>
      <c r="M107" s="5" t="n">
        <v>5.5</v>
      </c>
      <c r="N107" s="5" t="n">
        <v>5.071172239042789</v>
      </c>
      <c r="O107" s="5" t="n">
        <v>5.5</v>
      </c>
      <c r="P107" s="5" t="n">
        <v>0.4288277609572111</v>
      </c>
      <c r="Q107" s="6" t="n">
        <v>0.1622468822632523</v>
      </c>
      <c r="R107" s="6" t="n">
        <v>0.6034743427136118</v>
      </c>
      <c r="S107" s="6" t="n">
        <v>0.4925753075943997</v>
      </c>
      <c r="T107" s="2" t="inlineStr">
        <is>
          <t>Under</t>
        </is>
      </c>
      <c r="U107" s="4" t="n">
        <v>-108</v>
      </c>
      <c r="V107" s="2" t="n">
        <v>1.925925925925926</v>
      </c>
      <c r="W107" s="4" t="n">
        <v>-108</v>
      </c>
      <c r="X107" s="2" t="n">
        <v>1</v>
      </c>
      <c r="Y107" s="5" t="n">
        <v>-1</v>
      </c>
      <c r="Z107" s="7" t="n">
        <v>100</v>
      </c>
      <c r="AA107" s="7">
        <f>Y107*Z107</f>
        <v/>
      </c>
      <c r="AB107" s="6">
        <f>IF(Z107=0,0,AA107/Z107)</f>
        <v/>
      </c>
      <c r="AC107" s="6" t="n"/>
      <c r="AD107" s="2" t="inlineStr">
        <is>
          <t>Loss</t>
        </is>
      </c>
      <c r="AE107" s="6">
        <f>IF((COUNTIF($AD$2:AD107,"Win")+COUNTIF($AD$2:AD107,"Loss"))=0,0,COUNTIF($AD$2:AD107,"Win")/(COUNTIF($AD$2:AD107,"Win")+COUNTIF($AD$2:AD107,"Loss")))</f>
        <v/>
      </c>
      <c r="AF107" s="6">
        <f>SUM($Y$2:Y107)/SUM($X$2:X107)</f>
        <v/>
      </c>
      <c r="AG107" s="5">
        <f>SUM($Y$2:Y107)</f>
        <v/>
      </c>
      <c r="AH107" s="7">
        <f>10000.0+SUM($AA$2:AA107)</f>
        <v/>
      </c>
      <c r="AI107" s="2" t="n">
        <v>2025</v>
      </c>
      <c r="AJ107" s="2" t="inlineStr">
        <is>
          <t>2025-07</t>
        </is>
      </c>
      <c r="AK107" s="2" t="inlineStr">
        <is>
          <t>-119 to -101</t>
        </is>
      </c>
      <c r="AL107" s="2" t="inlineStr">
        <is>
          <t>2025 Validation</t>
        </is>
      </c>
      <c r="AM107" s="6" t="n">
        <v>0.1752266328443125</v>
      </c>
    </row>
    <row r="108">
      <c r="A108" s="2" t="inlineStr">
        <is>
          <t>KPROP-00107</t>
        </is>
      </c>
      <c r="B108" s="3" t="n">
        <v>45867.81988425926</v>
      </c>
      <c r="C108" s="3" t="n">
        <v>45867</v>
      </c>
      <c r="D108" s="2" t="inlineStr">
        <is>
          <t>Quinn Priester</t>
        </is>
      </c>
      <c r="E108" s="2" t="n">
        <v>158</v>
      </c>
      <c r="F108" s="2" t="n">
        <v>112</v>
      </c>
      <c r="G108" s="2" t="inlineStr">
        <is>
          <t>Home</t>
        </is>
      </c>
      <c r="H108" s="2" t="inlineStr">
        <is>
          <t>bovada</t>
        </is>
      </c>
      <c r="I108" s="4" t="n"/>
      <c r="J108" s="4" t="n"/>
      <c r="K108" s="4" t="n">
        <v>110</v>
      </c>
      <c r="L108" s="4" t="n">
        <v>110</v>
      </c>
      <c r="M108" s="5" t="n">
        <v>4.5</v>
      </c>
      <c r="N108" s="5" t="n">
        <v>4.593478892270768</v>
      </c>
      <c r="O108" s="5" t="n">
        <v>4.5</v>
      </c>
      <c r="P108" s="5" t="n">
        <v>-0.09347889227076767</v>
      </c>
      <c r="Q108" s="6" t="n">
        <v>0.08036055645179985</v>
      </c>
      <c r="R108" s="6" t="n">
        <v>0.5144574078341904</v>
      </c>
      <c r="S108" s="6" t="n">
        <v>0.468012022327179</v>
      </c>
      <c r="T108" s="2" t="inlineStr">
        <is>
          <t>Under</t>
        </is>
      </c>
      <c r="U108" s="4" t="n">
        <v>110</v>
      </c>
      <c r="V108" s="2" t="n">
        <v>2.1</v>
      </c>
      <c r="W108" s="4" t="n">
        <v>110</v>
      </c>
      <c r="X108" s="2" t="n">
        <v>1</v>
      </c>
      <c r="Y108" s="5" t="n">
        <v>1.1</v>
      </c>
      <c r="Z108" s="7" t="n">
        <v>100</v>
      </c>
      <c r="AA108" s="7">
        <f>Y108*Z108</f>
        <v/>
      </c>
      <c r="AB108" s="6">
        <f>IF(Z108=0,0,AA108/Z108)</f>
        <v/>
      </c>
      <c r="AC108" s="6" t="n"/>
      <c r="AD108" s="2" t="inlineStr">
        <is>
          <t>Win</t>
        </is>
      </c>
      <c r="AE108" s="6">
        <f>IF((COUNTIF($AD$2:AD108,"Win")+COUNTIF($AD$2:AD108,"Loss"))=0,0,COUNTIF($AD$2:AD108,"Win")/(COUNTIF($AD$2:AD108,"Win")+COUNTIF($AD$2:AD108,"Loss")))</f>
        <v/>
      </c>
      <c r="AF108" s="6">
        <f>SUM($Y$2:Y108)/SUM($X$2:X108)</f>
        <v/>
      </c>
      <c r="AG108" s="5">
        <f>SUM($Y$2:Y108)</f>
        <v/>
      </c>
      <c r="AH108" s="7">
        <f>10000.0+SUM($AA$2:AA108)</f>
        <v/>
      </c>
      <c r="AI108" s="2" t="n">
        <v>2025</v>
      </c>
      <c r="AJ108" s="2" t="inlineStr">
        <is>
          <t>2025-07</t>
        </is>
      </c>
      <c r="AK108" s="2" t="inlineStr">
        <is>
          <t>+100 to +120</t>
        </is>
      </c>
      <c r="AL108" s="2" t="inlineStr">
        <is>
          <t>2025 Validation</t>
        </is>
      </c>
      <c r="AM108" s="6" t="n">
        <v>0.07305505131981804</v>
      </c>
    </row>
    <row r="109">
      <c r="A109" s="2" t="inlineStr">
        <is>
          <t>KPROP-00108</t>
        </is>
      </c>
      <c r="B109" s="3" t="n">
        <v>45867.81988425926</v>
      </c>
      <c r="C109" s="3" t="n">
        <v>45867</v>
      </c>
      <c r="D109" s="2" t="inlineStr">
        <is>
          <t>Seth Lugo</t>
        </is>
      </c>
      <c r="E109" s="2" t="n">
        <v>118</v>
      </c>
      <c r="F109" s="2" t="n">
        <v>144</v>
      </c>
      <c r="G109" s="2" t="inlineStr">
        <is>
          <t>Home</t>
        </is>
      </c>
      <c r="H109" s="2" t="inlineStr">
        <is>
          <t>fanatics</t>
        </is>
      </c>
      <c r="I109" s="4" t="n"/>
      <c r="J109" s="4" t="n"/>
      <c r="K109" s="4" t="n">
        <v>120</v>
      </c>
      <c r="L109" s="4" t="n">
        <v>120</v>
      </c>
      <c r="M109" s="5" t="n">
        <v>4.5</v>
      </c>
      <c r="N109" s="5" t="n">
        <v>4.343433125056316</v>
      </c>
      <c r="O109" s="5" t="n">
        <v>4.5</v>
      </c>
      <c r="P109" s="5" t="n">
        <v>0.1565668749436844</v>
      </c>
      <c r="Q109" s="6" t="n">
        <v>0.2365241782444839</v>
      </c>
      <c r="R109" s="6" t="n">
        <v>0.5620564446565836</v>
      </c>
      <c r="S109" s="6" t="n">
        <v>0.4474097331240188</v>
      </c>
      <c r="T109" s="2" t="inlineStr">
        <is>
          <t>Under</t>
        </is>
      </c>
      <c r="U109" s="4" t="n">
        <v>120</v>
      </c>
      <c r="V109" s="2" t="n">
        <v>2.2</v>
      </c>
      <c r="W109" s="4" t="n">
        <v>120</v>
      </c>
      <c r="X109" s="2" t="n">
        <v>1</v>
      </c>
      <c r="Y109" s="5" t="n">
        <v>-1</v>
      </c>
      <c r="Z109" s="7" t="n">
        <v>100</v>
      </c>
      <c r="AA109" s="7">
        <f>Y109*Z109</f>
        <v/>
      </c>
      <c r="AB109" s="6">
        <f>IF(Z109=0,0,AA109/Z109)</f>
        <v/>
      </c>
      <c r="AC109" s="6" t="n"/>
      <c r="AD109" s="2" t="inlineStr">
        <is>
          <t>Loss</t>
        </is>
      </c>
      <c r="AE109" s="6">
        <f>IF((COUNTIF($AD$2:AD109,"Win")+COUNTIF($AD$2:AD109,"Loss"))=0,0,COUNTIF($AD$2:AD109,"Win")/(COUNTIF($AD$2:AD109,"Win")+COUNTIF($AD$2:AD109,"Loss")))</f>
        <v/>
      </c>
      <c r="AF109" s="6">
        <f>SUM($Y$2:Y109)/SUM($X$2:X109)</f>
        <v/>
      </c>
      <c r="AG109" s="5">
        <f>SUM($Y$2:Y109)</f>
        <v/>
      </c>
      <c r="AH109" s="7">
        <f>10000.0+SUM($AA$2:AA109)</f>
        <v/>
      </c>
      <c r="AI109" s="2" t="n">
        <v>2025</v>
      </c>
      <c r="AJ109" s="2" t="inlineStr">
        <is>
          <t>2025-07</t>
        </is>
      </c>
      <c r="AK109" s="2" t="inlineStr">
        <is>
          <t>+100 to +120</t>
        </is>
      </c>
      <c r="AL109" s="2" t="inlineStr">
        <is>
          <t>2025 Validation</t>
        </is>
      </c>
      <c r="AM109" s="6" t="n">
        <v>0.1971034818704032</v>
      </c>
    </row>
    <row r="110">
      <c r="A110" s="2" t="inlineStr">
        <is>
          <t>KPROP-00109</t>
        </is>
      </c>
      <c r="B110" s="3" t="n">
        <v>45867.82336805556</v>
      </c>
      <c r="C110" s="3" t="n">
        <v>45867</v>
      </c>
      <c r="D110" s="2" t="inlineStr">
        <is>
          <t>Sonny Gray</t>
        </is>
      </c>
      <c r="E110" s="2" t="n">
        <v>138</v>
      </c>
      <c r="F110" s="2" t="n">
        <v>146</v>
      </c>
      <c r="G110" s="2" t="inlineStr">
        <is>
          <t>Home</t>
        </is>
      </c>
      <c r="H110" s="2" t="inlineStr">
        <is>
          <t>betonlineag</t>
        </is>
      </c>
      <c r="I110" s="4" t="n"/>
      <c r="J110" s="4" t="n"/>
      <c r="K110" s="4" t="n">
        <v>-103</v>
      </c>
      <c r="L110" s="4" t="n">
        <v>-103</v>
      </c>
      <c r="M110" s="5" t="n">
        <v>5.5</v>
      </c>
      <c r="N110" s="5" t="n">
        <v>4.485327567853677</v>
      </c>
      <c r="O110" s="5" t="n">
        <v>5.5</v>
      </c>
      <c r="P110" s="5" t="n">
        <v>1.014672432146323</v>
      </c>
      <c r="Q110" s="6" t="n">
        <v>0.3903229871785048</v>
      </c>
      <c r="R110" s="6" t="n">
        <v>0.7054348161546108</v>
      </c>
      <c r="S110" s="6" t="n">
        <v>0.4953533757725013</v>
      </c>
      <c r="T110" s="2" t="inlineStr">
        <is>
          <t>Under</t>
        </is>
      </c>
      <c r="U110" s="4" t="n">
        <v>-103</v>
      </c>
      <c r="V110" s="2" t="n">
        <v>1.970873786407767</v>
      </c>
      <c r="W110" s="4" t="n">
        <v>-103</v>
      </c>
      <c r="X110" s="2" t="n">
        <v>1</v>
      </c>
      <c r="Y110" s="5" t="n">
        <v>0.970873786407767</v>
      </c>
      <c r="Z110" s="7" t="n">
        <v>100</v>
      </c>
      <c r="AA110" s="7">
        <f>Y110*Z110</f>
        <v/>
      </c>
      <c r="AB110" s="6">
        <f>IF(Z110=0,0,AA110/Z110)</f>
        <v/>
      </c>
      <c r="AC110" s="6" t="n"/>
      <c r="AD110" s="2" t="inlineStr">
        <is>
          <t>Win</t>
        </is>
      </c>
      <c r="AE110" s="6">
        <f>IF((COUNTIF($AD$2:AD110,"Win")+COUNTIF($AD$2:AD110,"Loss"))=0,0,COUNTIF($AD$2:AD110,"Win")/(COUNTIF($AD$2:AD110,"Win")+COUNTIF($AD$2:AD110,"Loss")))</f>
        <v/>
      </c>
      <c r="AF110" s="6">
        <f>SUM($Y$2:Y110)/SUM($X$2:X110)</f>
        <v/>
      </c>
      <c r="AG110" s="5">
        <f>SUM($Y$2:Y110)</f>
        <v/>
      </c>
      <c r="AH110" s="7">
        <f>10000.0+SUM($AA$2:AA110)</f>
        <v/>
      </c>
      <c r="AI110" s="2" t="n">
        <v>2025</v>
      </c>
      <c r="AJ110" s="2" t="inlineStr">
        <is>
          <t>2025-07</t>
        </is>
      </c>
      <c r="AK110" s="2" t="inlineStr">
        <is>
          <t>-119 to -101</t>
        </is>
      </c>
      <c r="AL110" s="2" t="inlineStr">
        <is>
          <t>2025 Validation</t>
        </is>
      </c>
      <c r="AM110" s="6" t="n">
        <v>0.4020326767938599</v>
      </c>
    </row>
    <row r="111">
      <c r="A111" s="2" t="inlineStr">
        <is>
          <t>KPROP-00110</t>
        </is>
      </c>
      <c r="B111" s="3" t="n">
        <v>45867.7990625</v>
      </c>
      <c r="C111" s="3" t="n">
        <v>45867</v>
      </c>
      <c r="D111" s="2" t="inlineStr">
        <is>
          <t>Tyler Glasnow</t>
        </is>
      </c>
      <c r="E111" s="2" t="n">
        <v>119</v>
      </c>
      <c r="F111" s="2" t="n">
        <v>113</v>
      </c>
      <c r="G111" s="2" t="inlineStr">
        <is>
          <t>Away</t>
        </is>
      </c>
      <c r="H111" s="2" t="inlineStr">
        <is>
          <t>betmgm</t>
        </is>
      </c>
      <c r="I111" s="4" t="n"/>
      <c r="J111" s="4" t="n"/>
      <c r="K111" s="4" t="n">
        <v>140</v>
      </c>
      <c r="L111" s="4" t="n">
        <v>140</v>
      </c>
      <c r="M111" s="5" t="n">
        <v>6.5</v>
      </c>
      <c r="N111" s="5" t="n">
        <v>6.378447562803811</v>
      </c>
      <c r="O111" s="5" t="n">
        <v>6.5</v>
      </c>
      <c r="P111" s="5" t="n">
        <v>0.1215524371961889</v>
      </c>
      <c r="Q111" s="6" t="n">
        <v>0.309797664571408</v>
      </c>
      <c r="R111" s="6" t="n">
        <v>0.5457490269047534</v>
      </c>
      <c r="S111" s="6" t="n">
        <v>0.4085603112840467</v>
      </c>
      <c r="T111" s="2" t="inlineStr">
        <is>
          <t>Under</t>
        </is>
      </c>
      <c r="U111" s="4" t="n">
        <v>140</v>
      </c>
      <c r="V111" s="2" t="n">
        <v>2.4</v>
      </c>
      <c r="W111" s="4" t="n">
        <v>140</v>
      </c>
      <c r="X111" s="2" t="n">
        <v>1</v>
      </c>
      <c r="Y111" s="5" t="n">
        <v>1.4</v>
      </c>
      <c r="Z111" s="7" t="n">
        <v>100</v>
      </c>
      <c r="AA111" s="7">
        <f>Y111*Z111</f>
        <v/>
      </c>
      <c r="AB111" s="6">
        <f>IF(Z111=0,0,AA111/Z111)</f>
        <v/>
      </c>
      <c r="AC111" s="6" t="n"/>
      <c r="AD111" s="2" t="inlineStr">
        <is>
          <t>Win</t>
        </is>
      </c>
      <c r="AE111" s="6">
        <f>IF((COUNTIF($AD$2:AD111,"Win")+COUNTIF($AD$2:AD111,"Loss"))=0,0,COUNTIF($AD$2:AD111,"Win")/(COUNTIF($AD$2:AD111,"Win")+COUNTIF($AD$2:AD111,"Loss")))</f>
        <v/>
      </c>
      <c r="AF111" s="6">
        <f>SUM($Y$2:Y111)/SUM($X$2:X111)</f>
        <v/>
      </c>
      <c r="AG111" s="5">
        <f>SUM($Y$2:Y111)</f>
        <v/>
      </c>
      <c r="AH111" s="7">
        <f>10000.0+SUM($AA$2:AA111)</f>
        <v/>
      </c>
      <c r="AI111" s="2" t="n">
        <v>2025</v>
      </c>
      <c r="AJ111" s="2" t="inlineStr">
        <is>
          <t>2025-07</t>
        </is>
      </c>
      <c r="AK111" s="2" t="inlineStr">
        <is>
          <t>+121 to +150</t>
        </is>
      </c>
      <c r="AL111" s="2" t="inlineStr">
        <is>
          <t>2025 Validation</t>
        </is>
      </c>
      <c r="AM111" s="6" t="n">
        <v>0.2212840461224343</v>
      </c>
    </row>
    <row r="112">
      <c r="A112" s="2" t="inlineStr">
        <is>
          <t>KPROP-00111</t>
        </is>
      </c>
      <c r="B112" s="3" t="n">
        <v>45867.7990625</v>
      </c>
      <c r="C112" s="3" t="n">
        <v>45867</v>
      </c>
      <c r="D112" s="2" t="inlineStr">
        <is>
          <t>Tyler Glasnow</t>
        </is>
      </c>
      <c r="E112" s="2" t="n">
        <v>119</v>
      </c>
      <c r="F112" s="2" t="n">
        <v>113</v>
      </c>
      <c r="G112" s="2" t="inlineStr">
        <is>
          <t>Away</t>
        </is>
      </c>
      <c r="H112" s="2" t="inlineStr">
        <is>
          <t>draftkings</t>
        </is>
      </c>
      <c r="I112" s="4" t="n"/>
      <c r="J112" s="4" t="n"/>
      <c r="K112" s="4" t="n">
        <v>-145</v>
      </c>
      <c r="L112" s="4" t="n">
        <v>-145</v>
      </c>
      <c r="M112" s="5" t="n">
        <v>7.5</v>
      </c>
      <c r="N112" s="5" t="n">
        <v>6.378447562803811</v>
      </c>
      <c r="O112" s="5" t="n">
        <v>7.5</v>
      </c>
      <c r="P112" s="5" t="n">
        <v>1.121552437196189</v>
      </c>
      <c r="Q112" s="6" t="n">
        <v>0.1666102308783971</v>
      </c>
      <c r="R112" s="6" t="n">
        <v>0.6904427897035411</v>
      </c>
      <c r="S112" s="6" t="n">
        <v>0.5711159737417943</v>
      </c>
      <c r="T112" s="2" t="inlineStr">
        <is>
          <t>Under</t>
        </is>
      </c>
      <c r="U112" s="4" t="n">
        <v>-145</v>
      </c>
      <c r="V112" s="2" t="n">
        <v>1.689655172413793</v>
      </c>
      <c r="W112" s="4" t="n">
        <v>-145</v>
      </c>
      <c r="X112" s="2" t="n">
        <v>1</v>
      </c>
      <c r="Y112" s="5" t="n">
        <v>0.6896551724137931</v>
      </c>
      <c r="Z112" s="7" t="n">
        <v>100</v>
      </c>
      <c r="AA112" s="7">
        <f>Y112*Z112</f>
        <v/>
      </c>
      <c r="AB112" s="6">
        <f>IF(Z112=0,0,AA112/Z112)</f>
        <v/>
      </c>
      <c r="AC112" s="6" t="n"/>
      <c r="AD112" s="2" t="inlineStr">
        <is>
          <t>Win</t>
        </is>
      </c>
      <c r="AE112" s="6">
        <f>IF((COUNTIF($AD$2:AD112,"Win")+COUNTIF($AD$2:AD112,"Loss"))=0,0,COUNTIF($AD$2:AD112,"Win")/(COUNTIF($AD$2:AD112,"Win")+COUNTIF($AD$2:AD112,"Loss")))</f>
        <v/>
      </c>
      <c r="AF112" s="6">
        <f>SUM($Y$2:Y112)/SUM($X$2:X112)</f>
        <v/>
      </c>
      <c r="AG112" s="5">
        <f>SUM($Y$2:Y112)</f>
        <v/>
      </c>
      <c r="AH112" s="7">
        <f>10000.0+SUM($AA$2:AA112)</f>
        <v/>
      </c>
      <c r="AI112" s="2" t="n">
        <v>2025</v>
      </c>
      <c r="AJ112" s="2" t="inlineStr">
        <is>
          <t>2025-07</t>
        </is>
      </c>
      <c r="AK112" s="2" t="inlineStr">
        <is>
          <t>-149 to -120</t>
        </is>
      </c>
      <c r="AL112" s="2" t="inlineStr">
        <is>
          <t>2025 Validation</t>
        </is>
      </c>
      <c r="AM112" s="6" t="n">
        <v>0.2415848347736758</v>
      </c>
    </row>
    <row r="113">
      <c r="A113" s="2" t="inlineStr">
        <is>
          <t>KPROP-00112</t>
        </is>
      </c>
      <c r="B113" s="3" t="n">
        <v>45868.59071759259</v>
      </c>
      <c r="C113" s="3" t="n">
        <v>45868</v>
      </c>
      <c r="D113" s="2" t="inlineStr">
        <is>
          <t>Freddy Peralta</t>
        </is>
      </c>
      <c r="E113" s="2" t="n">
        <v>158</v>
      </c>
      <c r="F113" s="2" t="n">
        <v>112</v>
      </c>
      <c r="G113" s="2" t="inlineStr">
        <is>
          <t>Home</t>
        </is>
      </c>
      <c r="H113" s="2" t="inlineStr">
        <is>
          <t>fanatics</t>
        </is>
      </c>
      <c r="I113" s="4" t="n"/>
      <c r="J113" s="4" t="n"/>
      <c r="K113" s="4" t="n">
        <v>-120</v>
      </c>
      <c r="L113" s="4" t="n">
        <v>-120</v>
      </c>
      <c r="M113" s="5" t="n">
        <v>6.5</v>
      </c>
      <c r="N113" s="5" t="n">
        <v>5.577709282925079</v>
      </c>
      <c r="O113" s="5" t="n">
        <v>6.5</v>
      </c>
      <c r="P113" s="5" t="n">
        <v>0.9222907170749206</v>
      </c>
      <c r="Q113" s="6" t="n">
        <v>0.2352738057343162</v>
      </c>
      <c r="R113" s="6" t="n">
        <v>0.6737857122187179</v>
      </c>
      <c r="S113" s="6" t="n">
        <v>0.5338983050847457</v>
      </c>
      <c r="T113" s="2" t="inlineStr">
        <is>
          <t>Under</t>
        </is>
      </c>
      <c r="U113" s="4" t="n">
        <v>-120</v>
      </c>
      <c r="V113" s="2" t="n">
        <v>1.833333333333333</v>
      </c>
      <c r="W113" s="4" t="n">
        <v>-120</v>
      </c>
      <c r="X113" s="2" t="n">
        <v>1</v>
      </c>
      <c r="Y113" s="5" t="n">
        <v>0.8333333333333335</v>
      </c>
      <c r="Z113" s="7" t="n">
        <v>100</v>
      </c>
      <c r="AA113" s="7">
        <f>Y113*Z113</f>
        <v/>
      </c>
      <c r="AB113" s="6">
        <f>IF(Z113=0,0,AA113/Z113)</f>
        <v/>
      </c>
      <c r="AC113" s="6" t="n"/>
      <c r="AD113" s="2" t="inlineStr">
        <is>
          <t>Win</t>
        </is>
      </c>
      <c r="AE113" s="6">
        <f>IF((COUNTIF($AD$2:AD113,"Win")+COUNTIF($AD$2:AD113,"Loss"))=0,0,COUNTIF($AD$2:AD113,"Win")/(COUNTIF($AD$2:AD113,"Win")+COUNTIF($AD$2:AD113,"Loss")))</f>
        <v/>
      </c>
      <c r="AF113" s="6">
        <f>SUM($Y$2:Y113)/SUM($X$2:X113)</f>
        <v/>
      </c>
      <c r="AG113" s="5">
        <f>SUM($Y$2:Y113)</f>
        <v/>
      </c>
      <c r="AH113" s="7">
        <f>10000.0+SUM($AA$2:AA113)</f>
        <v/>
      </c>
      <c r="AI113" s="2" t="n">
        <v>2025</v>
      </c>
      <c r="AJ113" s="2" t="inlineStr">
        <is>
          <t>2025-07</t>
        </is>
      </c>
      <c r="AK113" s="2" t="inlineStr">
        <is>
          <t>-149 to -120</t>
        </is>
      </c>
      <c r="AL113" s="2" t="inlineStr">
        <is>
          <t>2025 Validation</t>
        </is>
      </c>
      <c r="AM113" s="6" t="n">
        <v>0.2823285668811794</v>
      </c>
    </row>
    <row r="114">
      <c r="A114" s="2" t="inlineStr">
        <is>
          <t>KPROP-00113</t>
        </is>
      </c>
      <c r="B114" s="3" t="n">
        <v>45868.65668981482</v>
      </c>
      <c r="C114" s="3" t="n">
        <v>45868</v>
      </c>
      <c r="D114" s="2" t="inlineStr">
        <is>
          <t>Logan Webb</t>
        </is>
      </c>
      <c r="E114" s="2" t="n">
        <v>137</v>
      </c>
      <c r="F114" s="2" t="n">
        <v>134</v>
      </c>
      <c r="G114" s="2" t="inlineStr">
        <is>
          <t>Home</t>
        </is>
      </c>
      <c r="H114" s="2" t="inlineStr">
        <is>
          <t>betrivers</t>
        </is>
      </c>
      <c r="I114" s="4" t="n"/>
      <c r="J114" s="4" t="n"/>
      <c r="K114" s="4" t="n">
        <v>132</v>
      </c>
      <c r="L114" s="4" t="n">
        <v>132</v>
      </c>
      <c r="M114" s="5" t="n">
        <v>5.5</v>
      </c>
      <c r="N114" s="5" t="n">
        <v>5.518872471384635</v>
      </c>
      <c r="O114" s="5" t="n">
        <v>5.5</v>
      </c>
      <c r="P114" s="5" t="n">
        <v>-0.01887247138463533</v>
      </c>
      <c r="Q114" s="6" t="n">
        <v>0.2195932297884008</v>
      </c>
      <c r="R114" s="6" t="n">
        <v>0.5256867369777589</v>
      </c>
      <c r="S114" s="6" t="n">
        <v>0.4090768755788824</v>
      </c>
      <c r="T114" s="2" t="inlineStr">
        <is>
          <t>Under</t>
        </is>
      </c>
      <c r="U114" s="4" t="n">
        <v>132</v>
      </c>
      <c r="V114" s="2" t="n">
        <v>2.32</v>
      </c>
      <c r="W114" s="4" t="n">
        <v>132</v>
      </c>
      <c r="X114" s="2" t="n">
        <v>1</v>
      </c>
      <c r="Y114" s="5" t="n">
        <v>-1</v>
      </c>
      <c r="Z114" s="7" t="n">
        <v>100</v>
      </c>
      <c r="AA114" s="7">
        <f>Y114*Z114</f>
        <v/>
      </c>
      <c r="AB114" s="6">
        <f>IF(Z114=0,0,AA114/Z114)</f>
        <v/>
      </c>
      <c r="AC114" s="6" t="n"/>
      <c r="AD114" s="2" t="inlineStr">
        <is>
          <t>Loss</t>
        </is>
      </c>
      <c r="AE114" s="6">
        <f>IF((COUNTIF($AD$2:AD114,"Win")+COUNTIF($AD$2:AD114,"Loss"))=0,0,COUNTIF($AD$2:AD114,"Win")/(COUNTIF($AD$2:AD114,"Win")+COUNTIF($AD$2:AD114,"Loss")))</f>
        <v/>
      </c>
      <c r="AF114" s="6">
        <f>SUM($Y$2:Y114)/SUM($X$2:X114)</f>
        <v/>
      </c>
      <c r="AG114" s="5">
        <f>SUM($Y$2:Y114)</f>
        <v/>
      </c>
      <c r="AH114" s="7">
        <f>10000.0+SUM($AA$2:AA114)</f>
        <v/>
      </c>
      <c r="AI114" s="2" t="n">
        <v>2025</v>
      </c>
      <c r="AJ114" s="2" t="inlineStr">
        <is>
          <t>2025-07</t>
        </is>
      </c>
      <c r="AK114" s="2" t="inlineStr">
        <is>
          <t>+121 to +150</t>
        </is>
      </c>
      <c r="AL114" s="2" t="inlineStr">
        <is>
          <t>2025 Validation</t>
        </is>
      </c>
      <c r="AM114" s="6" t="n">
        <v>0.1663585074154551</v>
      </c>
    </row>
    <row r="115">
      <c r="A115" s="2" t="inlineStr">
        <is>
          <t>KPROP-00114</t>
        </is>
      </c>
      <c r="B115" s="3" t="n">
        <v>45868.65668981482</v>
      </c>
      <c r="C115" s="3" t="n">
        <v>45868</v>
      </c>
      <c r="D115" s="2" t="inlineStr">
        <is>
          <t>Logan Webb</t>
        </is>
      </c>
      <c r="E115" s="2" t="n">
        <v>137</v>
      </c>
      <c r="F115" s="2" t="n">
        <v>134</v>
      </c>
      <c r="G115" s="2" t="inlineStr">
        <is>
          <t>Home</t>
        </is>
      </c>
      <c r="H115" s="2" t="inlineStr">
        <is>
          <t>draftkings</t>
        </is>
      </c>
      <c r="I115" s="4" t="n"/>
      <c r="J115" s="4" t="n"/>
      <c r="K115" s="4" t="n">
        <v>-130</v>
      </c>
      <c r="L115" s="4" t="n">
        <v>-130</v>
      </c>
      <c r="M115" s="5" t="n">
        <v>6.5</v>
      </c>
      <c r="N115" s="5" t="n">
        <v>5.518872471384635</v>
      </c>
      <c r="O115" s="5" t="n">
        <v>6.5</v>
      </c>
      <c r="P115" s="5" t="n">
        <v>0.9811275286153647</v>
      </c>
      <c r="Q115" s="6" t="n">
        <v>0.2085054156931355</v>
      </c>
      <c r="R115" s="6" t="n">
        <v>0.6830682784352505</v>
      </c>
      <c r="S115" s="6" t="n">
        <v>0.5450949367088608</v>
      </c>
      <c r="T115" s="2" t="inlineStr">
        <is>
          <t>Under</t>
        </is>
      </c>
      <c r="U115" s="4" t="n">
        <v>-130</v>
      </c>
      <c r="V115" s="2" t="n">
        <v>1.769230769230769</v>
      </c>
      <c r="W115" s="4" t="n">
        <v>-130</v>
      </c>
      <c r="X115" s="2" t="n">
        <v>1</v>
      </c>
      <c r="Y115" s="5" t="n">
        <v>-1</v>
      </c>
      <c r="Z115" s="7" t="n">
        <v>100</v>
      </c>
      <c r="AA115" s="7">
        <f>Y115*Z115</f>
        <v/>
      </c>
      <c r="AB115" s="6">
        <f>IF(Z115=0,0,AA115/Z115)</f>
        <v/>
      </c>
      <c r="AC115" s="6" t="n"/>
      <c r="AD115" s="2" t="inlineStr">
        <is>
          <t>Loss</t>
        </is>
      </c>
      <c r="AE115" s="6">
        <f>IF((COUNTIF($AD$2:AD115,"Win")+COUNTIF($AD$2:AD115,"Loss"))=0,0,COUNTIF($AD$2:AD115,"Win")/(COUNTIF($AD$2:AD115,"Win")+COUNTIF($AD$2:AD115,"Loss")))</f>
        <v/>
      </c>
      <c r="AF115" s="6">
        <f>SUM($Y$2:Y115)/SUM($X$2:X115)</f>
        <v/>
      </c>
      <c r="AG115" s="5">
        <f>SUM($Y$2:Y115)</f>
        <v/>
      </c>
      <c r="AH115" s="7">
        <f>10000.0+SUM($AA$2:AA115)</f>
        <v/>
      </c>
      <c r="AI115" s="2" t="n">
        <v>2025</v>
      </c>
      <c r="AJ115" s="2" t="inlineStr">
        <is>
          <t>2025-07</t>
        </is>
      </c>
      <c r="AK115" s="2" t="inlineStr">
        <is>
          <t>-149 to -120</t>
        </is>
      </c>
      <c r="AL115" s="2" t="inlineStr">
        <is>
          <t>2025 Validation</t>
        </is>
      </c>
      <c r="AM115" s="6" t="n">
        <v>0.2710570404010762</v>
      </c>
    </row>
    <row r="116">
      <c r="A116" s="2" t="inlineStr">
        <is>
          <t>KPROP-00115</t>
        </is>
      </c>
      <c r="B116" s="3" t="n">
        <v>45868.59071759259</v>
      </c>
      <c r="C116" s="3" t="n">
        <v>45868</v>
      </c>
      <c r="D116" s="2" t="inlineStr">
        <is>
          <t>MacKenzie Gore</t>
        </is>
      </c>
      <c r="E116" s="2" t="n">
        <v>120</v>
      </c>
      <c r="F116" s="2" t="n">
        <v>117</v>
      </c>
      <c r="G116" s="2" t="inlineStr">
        <is>
          <t>Away</t>
        </is>
      </c>
      <c r="H116" s="2" t="inlineStr">
        <is>
          <t>bovada</t>
        </is>
      </c>
      <c r="I116" s="4" t="n"/>
      <c r="J116" s="4" t="n"/>
      <c r="K116" s="4" t="n">
        <v>-130</v>
      </c>
      <c r="L116" s="4" t="n">
        <v>-130</v>
      </c>
      <c r="M116" s="5" t="n">
        <v>6.5</v>
      </c>
      <c r="N116" s="5" t="n">
        <v>5.748692796713245</v>
      </c>
      <c r="O116" s="5" t="n">
        <v>6.5</v>
      </c>
      <c r="P116" s="5" t="n">
        <v>0.7513072032867552</v>
      </c>
      <c r="Q116" s="6" t="n">
        <v>0.1439780980317831</v>
      </c>
      <c r="R116" s="6" t="n">
        <v>0.646596316278834</v>
      </c>
      <c r="S116" s="6" t="n">
        <v>0.5485770363101079</v>
      </c>
      <c r="T116" s="2" t="inlineStr">
        <is>
          <t>Under</t>
        </is>
      </c>
      <c r="U116" s="4" t="n">
        <v>-130</v>
      </c>
      <c r="V116" s="2" t="n">
        <v>1.769230769230769</v>
      </c>
      <c r="W116" s="4" t="n">
        <v>-130</v>
      </c>
      <c r="X116" s="2" t="n">
        <v>1</v>
      </c>
      <c r="Y116" s="5" t="n">
        <v>0.7692307692307692</v>
      </c>
      <c r="Z116" s="7" t="n">
        <v>100</v>
      </c>
      <c r="AA116" s="7">
        <f>Y116*Z116</f>
        <v/>
      </c>
      <c r="AB116" s="6">
        <f>IF(Z116=0,0,AA116/Z116)</f>
        <v/>
      </c>
      <c r="AC116" s="6" t="n"/>
      <c r="AD116" s="2" t="inlineStr">
        <is>
          <t>Win</t>
        </is>
      </c>
      <c r="AE116" s="6">
        <f>IF((COUNTIF($AD$2:AD116,"Win")+COUNTIF($AD$2:AD116,"Loss"))=0,0,COUNTIF($AD$2:AD116,"Win")/(COUNTIF($AD$2:AD116,"Win")+COUNTIF($AD$2:AD116,"Loss")))</f>
        <v/>
      </c>
      <c r="AF116" s="6">
        <f>SUM($Y$2:Y116)/SUM($X$2:X116)</f>
        <v/>
      </c>
      <c r="AG116" s="5">
        <f>SUM($Y$2:Y116)</f>
        <v/>
      </c>
      <c r="AH116" s="7">
        <f>10000.0+SUM($AA$2:AA116)</f>
        <v/>
      </c>
      <c r="AI116" s="2" t="n">
        <v>2025</v>
      </c>
      <c r="AJ116" s="2" t="inlineStr">
        <is>
          <t>2025-07</t>
        </is>
      </c>
      <c r="AK116" s="2" t="inlineStr">
        <is>
          <t>-149 to -120</t>
        </is>
      </c>
      <c r="AL116" s="2" t="inlineStr">
        <is>
          <t>2025 Validation</t>
        </is>
      </c>
      <c r="AM116" s="6" t="n">
        <v>0.1871715274413181</v>
      </c>
    </row>
    <row r="117">
      <c r="A117" s="2" t="inlineStr">
        <is>
          <t>KPROP-00116</t>
        </is>
      </c>
      <c r="B117" s="3" t="n">
        <v>45868.59071759259</v>
      </c>
      <c r="C117" s="3" t="n">
        <v>45868</v>
      </c>
      <c r="D117" s="2" t="inlineStr">
        <is>
          <t>Shota Imanaga</t>
        </is>
      </c>
      <c r="E117" s="2" t="n">
        <v>112</v>
      </c>
      <c r="F117" s="2" t="n">
        <v>158</v>
      </c>
      <c r="G117" s="2" t="inlineStr">
        <is>
          <t>Away</t>
        </is>
      </c>
      <c r="H117" s="2" t="inlineStr">
        <is>
          <t>bovada</t>
        </is>
      </c>
      <c r="I117" s="4" t="n"/>
      <c r="J117" s="4" t="n"/>
      <c r="K117" s="4" t="n">
        <v>-130</v>
      </c>
      <c r="L117" s="4" t="n">
        <v>-130</v>
      </c>
      <c r="M117" s="5" t="n">
        <v>4.5</v>
      </c>
      <c r="N117" s="5" t="n">
        <v>3.995026572821108</v>
      </c>
      <c r="O117" s="5" t="n">
        <v>4.5</v>
      </c>
      <c r="P117" s="5" t="n">
        <v>0.5049734271788924</v>
      </c>
      <c r="Q117" s="6" t="n">
        <v>0.1142767128079585</v>
      </c>
      <c r="R117" s="6" t="n">
        <v>0.6298085768044983</v>
      </c>
      <c r="S117" s="6" t="n">
        <v>0.5485770363101079</v>
      </c>
      <c r="T117" s="2" t="inlineStr">
        <is>
          <t>Under</t>
        </is>
      </c>
      <c r="U117" s="4" t="n">
        <v>-130</v>
      </c>
      <c r="V117" s="2" t="n">
        <v>1.769230769230769</v>
      </c>
      <c r="W117" s="4" t="n">
        <v>-130</v>
      </c>
      <c r="X117" s="2" t="n">
        <v>1</v>
      </c>
      <c r="Y117" s="5" t="n">
        <v>-1</v>
      </c>
      <c r="Z117" s="7" t="n">
        <v>100</v>
      </c>
      <c r="AA117" s="7">
        <f>Y117*Z117</f>
        <v/>
      </c>
      <c r="AB117" s="6">
        <f>IF(Z117=0,0,AA117/Z117)</f>
        <v/>
      </c>
      <c r="AC117" s="6" t="n"/>
      <c r="AD117" s="2" t="inlineStr">
        <is>
          <t>Loss</t>
        </is>
      </c>
      <c r="AE117" s="6">
        <f>IF((COUNTIF($AD$2:AD117,"Win")+COUNTIF($AD$2:AD117,"Loss"))=0,0,COUNTIF($AD$2:AD117,"Win")/(COUNTIF($AD$2:AD117,"Win")+COUNTIF($AD$2:AD117,"Loss")))</f>
        <v/>
      </c>
      <c r="AF117" s="6">
        <f>SUM($Y$2:Y117)/SUM($X$2:X117)</f>
        <v/>
      </c>
      <c r="AG117" s="5">
        <f>SUM($Y$2:Y117)</f>
        <v/>
      </c>
      <c r="AH117" s="7">
        <f>10000.0+SUM($AA$2:AA117)</f>
        <v/>
      </c>
      <c r="AI117" s="2" t="n">
        <v>2025</v>
      </c>
      <c r="AJ117" s="2" t="inlineStr">
        <is>
          <t>2025-07</t>
        </is>
      </c>
      <c r="AK117" s="2" t="inlineStr">
        <is>
          <t>-149 to -120</t>
        </is>
      </c>
      <c r="AL117" s="2" t="inlineStr">
        <is>
          <t>2025 Validation</t>
        </is>
      </c>
      <c r="AM117" s="6" t="n">
        <v>0.148559726650346</v>
      </c>
    </row>
    <row r="118">
      <c r="A118" s="2" t="inlineStr">
        <is>
          <t>KPROP-00117</t>
        </is>
      </c>
      <c r="B118" s="3" t="n">
        <v>45868.6740625</v>
      </c>
      <c r="C118" s="3" t="n">
        <v>45868</v>
      </c>
      <c r="D118" s="2" t="inlineStr">
        <is>
          <t>Yu Darvish</t>
        </is>
      </c>
      <c r="E118" s="2" t="n">
        <v>135</v>
      </c>
      <c r="F118" s="2" t="n">
        <v>121</v>
      </c>
      <c r="G118" s="2" t="inlineStr">
        <is>
          <t>Home</t>
        </is>
      </c>
      <c r="H118" s="2" t="inlineStr">
        <is>
          <t>fanatics</t>
        </is>
      </c>
      <c r="I118" s="4" t="n"/>
      <c r="J118" s="4" t="n"/>
      <c r="K118" s="4" t="n">
        <v>105</v>
      </c>
      <c r="L118" s="4" t="n">
        <v>105</v>
      </c>
      <c r="M118" s="5" t="n">
        <v>4.5</v>
      </c>
      <c r="N118" s="5" t="n">
        <v>4.260021421593405</v>
      </c>
      <c r="O118" s="5" t="n">
        <v>4.5</v>
      </c>
      <c r="P118" s="5" t="n">
        <v>0.2399785784065953</v>
      </c>
      <c r="Q118" s="6" t="n">
        <v>0.1852601281358762</v>
      </c>
      <c r="R118" s="6" t="n">
        <v>0.5781756722614031</v>
      </c>
      <c r="S118" s="6" t="n">
        <v>0.4721030042918455</v>
      </c>
      <c r="T118" s="2" t="inlineStr">
        <is>
          <t>Under</t>
        </is>
      </c>
      <c r="U118" s="4" t="n">
        <v>105</v>
      </c>
      <c r="V118" s="2" t="n">
        <v>2.05</v>
      </c>
      <c r="W118" s="4" t="n">
        <v>105</v>
      </c>
      <c r="X118" s="2" t="n">
        <v>1</v>
      </c>
      <c r="Y118" s="5" t="n">
        <v>-1</v>
      </c>
      <c r="Z118" s="7" t="n">
        <v>100</v>
      </c>
      <c r="AA118" s="7">
        <f>Y118*Z118</f>
        <v/>
      </c>
      <c r="AB118" s="6">
        <f>IF(Z118=0,0,AA118/Z118)</f>
        <v/>
      </c>
      <c r="AC118" s="6" t="n"/>
      <c r="AD118" s="2" t="inlineStr">
        <is>
          <t>Loss</t>
        </is>
      </c>
      <c r="AE118" s="6">
        <f>IF((COUNTIF($AD$2:AD118,"Win")+COUNTIF($AD$2:AD118,"Loss"))=0,0,COUNTIF($AD$2:AD118,"Win")/(COUNTIF($AD$2:AD118,"Win")+COUNTIF($AD$2:AD118,"Loss")))</f>
        <v/>
      </c>
      <c r="AF118" s="6">
        <f>SUM($Y$2:Y118)/SUM($X$2:X118)</f>
        <v/>
      </c>
      <c r="AG118" s="5">
        <f>SUM($Y$2:Y118)</f>
        <v/>
      </c>
      <c r="AH118" s="7">
        <f>10000.0+SUM($AA$2:AA118)</f>
        <v/>
      </c>
      <c r="AI118" s="2" t="n">
        <v>2025</v>
      </c>
      <c r="AJ118" s="2" t="inlineStr">
        <is>
          <t>2025-07</t>
        </is>
      </c>
      <c r="AK118" s="2" t="inlineStr">
        <is>
          <t>+100 to +120</t>
        </is>
      </c>
      <c r="AL118" s="2" t="inlineStr">
        <is>
          <t>2025 Validation</t>
        </is>
      </c>
      <c r="AM118" s="6" t="n">
        <v>0.1764382172722631</v>
      </c>
    </row>
    <row r="119">
      <c r="A119" s="2" t="inlineStr">
        <is>
          <t>KPROP-00118</t>
        </is>
      </c>
      <c r="B119" s="3" t="n">
        <v>45870.52821759259</v>
      </c>
      <c r="C119" s="3" t="n">
        <v>45870</v>
      </c>
      <c r="D119" s="2" t="inlineStr">
        <is>
          <t>Brady Singer</t>
        </is>
      </c>
      <c r="E119" s="2" t="n">
        <v>113</v>
      </c>
      <c r="F119" s="2" t="n">
        <v>144</v>
      </c>
      <c r="G119" s="2" t="inlineStr">
        <is>
          <t>Home</t>
        </is>
      </c>
      <c r="H119" s="2" t="inlineStr">
        <is>
          <t>betrivers</t>
        </is>
      </c>
      <c r="I119" s="4" t="n"/>
      <c r="J119" s="4" t="n"/>
      <c r="K119" s="4" t="n">
        <v>138</v>
      </c>
      <c r="L119" s="4" t="n">
        <v>138</v>
      </c>
      <c r="M119" s="5" t="n">
        <v>4.5</v>
      </c>
      <c r="N119" s="5" t="n">
        <v>4.532023844399106</v>
      </c>
      <c r="O119" s="5" t="n">
        <v>4.5</v>
      </c>
      <c r="P119" s="5" t="n">
        <v>-0.03202384439910588</v>
      </c>
      <c r="Q119" s="6" t="n">
        <v>0.2519661841732957</v>
      </c>
      <c r="R119" s="6" t="n">
        <v>0.5260362118375193</v>
      </c>
      <c r="S119" s="6" t="n">
        <v>0.3907302613850714</v>
      </c>
      <c r="T119" s="2" t="inlineStr">
        <is>
          <t>Under</t>
        </is>
      </c>
      <c r="U119" s="4" t="n">
        <v>138</v>
      </c>
      <c r="V119" s="2" t="n">
        <v>2.38</v>
      </c>
      <c r="W119" s="4" t="n">
        <v>138</v>
      </c>
      <c r="X119" s="2" t="n">
        <v>1</v>
      </c>
      <c r="Y119" s="5" t="n">
        <v>-1</v>
      </c>
      <c r="Z119" s="7" t="n">
        <v>100</v>
      </c>
      <c r="AA119" s="7">
        <f>Y119*Z119</f>
        <v/>
      </c>
      <c r="AB119" s="6">
        <f>IF(Z119=0,0,AA119/Z119)</f>
        <v/>
      </c>
      <c r="AC119" s="6" t="n"/>
      <c r="AD119" s="2" t="inlineStr">
        <is>
          <t>Loss</t>
        </is>
      </c>
      <c r="AE119" s="6">
        <f>IF((COUNTIF($AD$2:AD119,"Win")+COUNTIF($AD$2:AD119,"Loss"))=0,0,COUNTIF($AD$2:AD119,"Win")/(COUNTIF($AD$2:AD119,"Win")+COUNTIF($AD$2:AD119,"Loss")))</f>
        <v/>
      </c>
      <c r="AF119" s="6">
        <f>SUM($Y$2:Y119)/SUM($X$2:X119)</f>
        <v/>
      </c>
      <c r="AG119" s="5">
        <f>SUM($Y$2:Y119)</f>
        <v/>
      </c>
      <c r="AH119" s="7">
        <f>10000.0+SUM($AA$2:AA119)</f>
        <v/>
      </c>
      <c r="AI119" s="2" t="n">
        <v>2025</v>
      </c>
      <c r="AJ119" s="2" t="inlineStr">
        <is>
          <t>2025-08</t>
        </is>
      </c>
      <c r="AK119" s="2" t="inlineStr">
        <is>
          <t>+121 to +150</t>
        </is>
      </c>
      <c r="AL119" s="2" t="inlineStr">
        <is>
          <t>2025 Validation</t>
        </is>
      </c>
      <c r="AM119" s="6" t="n">
        <v>0.1825841914299245</v>
      </c>
    </row>
    <row r="120">
      <c r="A120" s="2" t="inlineStr">
        <is>
          <t>KPROP-00119</t>
        </is>
      </c>
      <c r="B120" s="3" t="n">
        <v>45870.52821759259</v>
      </c>
      <c r="C120" s="3" t="n">
        <v>45870</v>
      </c>
      <c r="D120" s="2" t="inlineStr">
        <is>
          <t>Brady Singer</t>
        </is>
      </c>
      <c r="E120" s="2" t="n">
        <v>113</v>
      </c>
      <c r="F120" s="2" t="n">
        <v>144</v>
      </c>
      <c r="G120" s="2" t="inlineStr">
        <is>
          <t>Home</t>
        </is>
      </c>
      <c r="H120" s="2" t="inlineStr">
        <is>
          <t>betmgm</t>
        </is>
      </c>
      <c r="I120" s="4" t="n"/>
      <c r="J120" s="4" t="n"/>
      <c r="K120" s="4" t="n">
        <v>-145</v>
      </c>
      <c r="L120" s="4" t="n">
        <v>-145</v>
      </c>
      <c r="M120" s="5" t="n">
        <v>5.5</v>
      </c>
      <c r="N120" s="5" t="n">
        <v>4.532023844399106</v>
      </c>
      <c r="O120" s="5" t="n">
        <v>5.5</v>
      </c>
      <c r="P120" s="5" t="n">
        <v>0.9679761556008941</v>
      </c>
      <c r="Q120" s="6" t="n">
        <v>0.1784506565877731</v>
      </c>
      <c r="R120" s="6" t="n">
        <v>0.6974503885927636</v>
      </c>
      <c r="S120" s="6" t="n">
        <v>0.5656028368794326</v>
      </c>
      <c r="T120" s="2" t="inlineStr">
        <is>
          <t>Under</t>
        </is>
      </c>
      <c r="U120" s="4" t="n">
        <v>-145</v>
      </c>
      <c r="V120" s="2" t="n">
        <v>1.689655172413793</v>
      </c>
      <c r="W120" s="4" t="n">
        <v>-145</v>
      </c>
      <c r="X120" s="2" t="n">
        <v>1</v>
      </c>
      <c r="Y120" s="5" t="n">
        <v>-1</v>
      </c>
      <c r="Z120" s="7" t="n">
        <v>100</v>
      </c>
      <c r="AA120" s="7">
        <f>Y120*Z120</f>
        <v/>
      </c>
      <c r="AB120" s="6">
        <f>IF(Z120=0,0,AA120/Z120)</f>
        <v/>
      </c>
      <c r="AC120" s="6" t="n"/>
      <c r="AD120" s="2" t="inlineStr">
        <is>
          <t>Loss</t>
        </is>
      </c>
      <c r="AE120" s="6">
        <f>IF((COUNTIF($AD$2:AD120,"Win")+COUNTIF($AD$2:AD120,"Loss"))=0,0,COUNTIF($AD$2:AD120,"Win")/(COUNTIF($AD$2:AD120,"Win")+COUNTIF($AD$2:AD120,"Loss")))</f>
        <v/>
      </c>
      <c r="AF120" s="6">
        <f>SUM($Y$2:Y120)/SUM($X$2:X120)</f>
        <v/>
      </c>
      <c r="AG120" s="5">
        <f>SUM($Y$2:Y120)</f>
        <v/>
      </c>
      <c r="AH120" s="7">
        <f>10000.0+SUM($AA$2:AA120)</f>
        <v/>
      </c>
      <c r="AI120" s="2" t="n">
        <v>2025</v>
      </c>
      <c r="AJ120" s="2" t="inlineStr">
        <is>
          <t>2025-08</t>
        </is>
      </c>
      <c r="AK120" s="2" t="inlineStr">
        <is>
          <t>-149 to -120</t>
        </is>
      </c>
      <c r="AL120" s="2" t="inlineStr">
        <is>
          <t>2025 Validation</t>
        </is>
      </c>
      <c r="AM120" s="6" t="n">
        <v>0.258753452052271</v>
      </c>
    </row>
    <row r="121">
      <c r="A121" s="2" t="inlineStr">
        <is>
          <t>KPROP-00120</t>
        </is>
      </c>
      <c r="B121" s="3" t="n">
        <v>45870.81295138889</v>
      </c>
      <c r="C121" s="3" t="n">
        <v>45870</v>
      </c>
      <c r="D121" s="2" t="inlineStr">
        <is>
          <t>Clayton Kershaw</t>
        </is>
      </c>
      <c r="E121" s="2" t="n">
        <v>119</v>
      </c>
      <c r="F121" s="2" t="n">
        <v>139</v>
      </c>
      <c r="G121" s="2" t="inlineStr">
        <is>
          <t>Away</t>
        </is>
      </c>
      <c r="H121" s="2" t="inlineStr">
        <is>
          <t>fanduel</t>
        </is>
      </c>
      <c r="I121" s="4" t="n"/>
      <c r="J121" s="4" t="n"/>
      <c r="K121" s="4" t="n">
        <v>128</v>
      </c>
      <c r="L121" s="4" t="n">
        <v>128</v>
      </c>
      <c r="M121" s="5" t="n">
        <v>3.5</v>
      </c>
      <c r="N121" s="5" t="n">
        <v>3.565221619115904</v>
      </c>
      <c r="O121" s="5" t="n">
        <v>3.5</v>
      </c>
      <c r="P121" s="5" t="n">
        <v>-0.06522161911590407</v>
      </c>
      <c r="Q121" s="6" t="n">
        <v>0.1915885493472639</v>
      </c>
      <c r="R121" s="6" t="n">
        <v>0.522626556731256</v>
      </c>
      <c r="S121" s="6" t="n">
        <v>0.4222972972972973</v>
      </c>
      <c r="T121" s="2" t="inlineStr">
        <is>
          <t>Under</t>
        </is>
      </c>
      <c r="U121" s="4" t="n">
        <v>128</v>
      </c>
      <c r="V121" s="2" t="n">
        <v>2.28</v>
      </c>
      <c r="W121" s="4" t="n">
        <v>128</v>
      </c>
      <c r="X121" s="2" t="n">
        <v>1</v>
      </c>
      <c r="Y121" s="5" t="n">
        <v>1.28</v>
      </c>
      <c r="Z121" s="7" t="n">
        <v>100</v>
      </c>
      <c r="AA121" s="7">
        <f>Y121*Z121</f>
        <v/>
      </c>
      <c r="AB121" s="6">
        <f>IF(Z121=0,0,AA121/Z121)</f>
        <v/>
      </c>
      <c r="AC121" s="6" t="n"/>
      <c r="AD121" s="2" t="inlineStr">
        <is>
          <t>Win</t>
        </is>
      </c>
      <c r="AE121" s="6">
        <f>IF((COUNTIF($AD$2:AD121,"Win")+COUNTIF($AD$2:AD121,"Loss"))=0,0,COUNTIF($AD$2:AD121,"Win")/(COUNTIF($AD$2:AD121,"Win")+COUNTIF($AD$2:AD121,"Loss")))</f>
        <v/>
      </c>
      <c r="AF121" s="6">
        <f>SUM($Y$2:Y121)/SUM($X$2:X121)</f>
        <v/>
      </c>
      <c r="AG121" s="5">
        <f>SUM($Y$2:Y121)</f>
        <v/>
      </c>
      <c r="AH121" s="7">
        <f>10000.0+SUM($AA$2:AA121)</f>
        <v/>
      </c>
      <c r="AI121" s="2" t="n">
        <v>2025</v>
      </c>
      <c r="AJ121" s="2" t="inlineStr">
        <is>
          <t>2025-08</t>
        </is>
      </c>
      <c r="AK121" s="2" t="inlineStr">
        <is>
          <t>+121 to +150</t>
        </is>
      </c>
      <c r="AL121" s="2" t="inlineStr">
        <is>
          <t>2025 Validation</t>
        </is>
      </c>
      <c r="AM121" s="6" t="n">
        <v>0.1496785541775499</v>
      </c>
    </row>
    <row r="122">
      <c r="A122" s="2" t="inlineStr">
        <is>
          <t>KPROP-00121</t>
        </is>
      </c>
      <c r="B122" s="3" t="n">
        <v>45870.81295138889</v>
      </c>
      <c r="C122" s="3" t="n">
        <v>45870</v>
      </c>
      <c r="D122" s="2" t="inlineStr">
        <is>
          <t>Clayton Kershaw</t>
        </is>
      </c>
      <c r="E122" s="2" t="n">
        <v>119</v>
      </c>
      <c r="F122" s="2" t="n">
        <v>139</v>
      </c>
      <c r="G122" s="2" t="inlineStr">
        <is>
          <t>Away</t>
        </is>
      </c>
      <c r="H122" s="2" t="inlineStr">
        <is>
          <t>betmgm</t>
        </is>
      </c>
      <c r="I122" s="4" t="n"/>
      <c r="J122" s="4" t="n"/>
      <c r="K122" s="4" t="n">
        <v>-160</v>
      </c>
      <c r="L122" s="4" t="n">
        <v>-160</v>
      </c>
      <c r="M122" s="5" t="n">
        <v>4.5</v>
      </c>
      <c r="N122" s="5" t="n">
        <v>3.565221619115904</v>
      </c>
      <c r="O122" s="5" t="n">
        <v>4.5</v>
      </c>
      <c r="P122" s="5" t="n">
        <v>0.9347783808840959</v>
      </c>
      <c r="Q122" s="6" t="n">
        <v>0.1587478589353142</v>
      </c>
      <c r="R122" s="6" t="n">
        <v>0.7130756054986549</v>
      </c>
      <c r="S122" s="6" t="n">
        <v>0.5962732919254659</v>
      </c>
      <c r="T122" s="2" t="inlineStr">
        <is>
          <t>Under</t>
        </is>
      </c>
      <c r="U122" s="4" t="n">
        <v>-160</v>
      </c>
      <c r="V122" s="2" t="n">
        <v>1.625</v>
      </c>
      <c r="W122" s="4" t="n">
        <v>-160</v>
      </c>
      <c r="X122" s="2" t="n">
        <v>1</v>
      </c>
      <c r="Y122" s="5" t="n">
        <v>0.625</v>
      </c>
      <c r="Z122" s="7" t="n">
        <v>100</v>
      </c>
      <c r="AA122" s="7">
        <f>Y122*Z122</f>
        <v/>
      </c>
      <c r="AB122" s="6">
        <f>IF(Z122=0,0,AA122/Z122)</f>
        <v/>
      </c>
      <c r="AC122" s="6" t="n"/>
      <c r="AD122" s="2" t="inlineStr">
        <is>
          <t>Win</t>
        </is>
      </c>
      <c r="AE122" s="6">
        <f>IF((COUNTIF($AD$2:AD122,"Win")+COUNTIF($AD$2:AD122,"Loss"))=0,0,COUNTIF($AD$2:AD122,"Win")/(COUNTIF($AD$2:AD122,"Win")+COUNTIF($AD$2:AD122,"Loss")))</f>
        <v/>
      </c>
      <c r="AF122" s="6">
        <f>SUM($Y$2:Y122)/SUM($X$2:X122)</f>
        <v/>
      </c>
      <c r="AG122" s="5">
        <f>SUM($Y$2:Y122)</f>
        <v/>
      </c>
      <c r="AH122" s="7">
        <f>10000.0+SUM($AA$2:AA122)</f>
        <v/>
      </c>
      <c r="AI122" s="2" t="n">
        <v>2025</v>
      </c>
      <c r="AJ122" s="2" t="inlineStr">
        <is>
          <t>2025-08</t>
        </is>
      </c>
      <c r="AK122" s="2" t="inlineStr">
        <is>
          <t>&lt;= -150</t>
        </is>
      </c>
      <c r="AL122" s="2" t="inlineStr">
        <is>
          <t>2025 Validation</t>
        </is>
      </c>
      <c r="AM122" s="6" t="n">
        <v>0.2539965742965027</v>
      </c>
    </row>
    <row r="123">
      <c r="A123" s="2" t="inlineStr">
        <is>
          <t>KPROP-00122</t>
        </is>
      </c>
      <c r="B123" s="3" t="n">
        <v>45870.79557870371</v>
      </c>
      <c r="C123" s="3" t="n">
        <v>45870</v>
      </c>
      <c r="D123" s="2" t="inlineStr">
        <is>
          <t>Gavin Williams</t>
        </is>
      </c>
      <c r="E123" s="2" t="n">
        <v>114</v>
      </c>
      <c r="F123" s="2" t="n">
        <v>142</v>
      </c>
      <c r="G123" s="2" t="inlineStr">
        <is>
          <t>Home</t>
        </is>
      </c>
      <c r="H123" s="2" t="inlineStr">
        <is>
          <t>betonlineag</t>
        </is>
      </c>
      <c r="I123" s="4" t="n"/>
      <c r="J123" s="4" t="n"/>
      <c r="K123" s="4" t="n">
        <v>136</v>
      </c>
      <c r="L123" s="4" t="n">
        <v>136</v>
      </c>
      <c r="M123" s="5" t="n">
        <v>5.5</v>
      </c>
      <c r="N123" s="5" t="n">
        <v>5.466000295570465</v>
      </c>
      <c r="O123" s="5" t="n">
        <v>5.5</v>
      </c>
      <c r="P123" s="5" t="n">
        <v>0.03399970442953482</v>
      </c>
      <c r="Q123" s="6" t="n">
        <v>0.2620220076753862</v>
      </c>
      <c r="R123" s="6" t="n">
        <v>0.5347550879980449</v>
      </c>
      <c r="S123" s="6" t="n">
        <v>0.4077791718946047</v>
      </c>
      <c r="T123" s="2" t="inlineStr">
        <is>
          <t>Under</t>
        </is>
      </c>
      <c r="U123" s="4" t="n">
        <v>136</v>
      </c>
      <c r="V123" s="2" t="n">
        <v>2.36</v>
      </c>
      <c r="W123" s="4" t="n">
        <v>136</v>
      </c>
      <c r="X123" s="2" t="n">
        <v>1</v>
      </c>
      <c r="Y123" s="5" t="n">
        <v>-1</v>
      </c>
      <c r="Z123" s="7" t="n">
        <v>100</v>
      </c>
      <c r="AA123" s="7">
        <f>Y123*Z123</f>
        <v/>
      </c>
      <c r="AB123" s="6">
        <f>IF(Z123=0,0,AA123/Z123)</f>
        <v/>
      </c>
      <c r="AC123" s="6" t="n"/>
      <c r="AD123" s="2" t="inlineStr">
        <is>
          <t>Loss</t>
        </is>
      </c>
      <c r="AE123" s="6">
        <f>IF((COUNTIF($AD$2:AD123,"Win")+COUNTIF($AD$2:AD123,"Loss"))=0,0,COUNTIF($AD$2:AD123,"Win")/(COUNTIF($AD$2:AD123,"Win")+COUNTIF($AD$2:AD123,"Loss")))</f>
        <v/>
      </c>
      <c r="AF123" s="6">
        <f>SUM($Y$2:Y123)/SUM($X$2:X123)</f>
        <v/>
      </c>
      <c r="AG123" s="5">
        <f>SUM($Y$2:Y123)</f>
        <v/>
      </c>
      <c r="AH123" s="7">
        <f>10000.0+SUM($AA$2:AA123)</f>
        <v/>
      </c>
      <c r="AI123" s="2" t="n">
        <v>2025</v>
      </c>
      <c r="AJ123" s="2" t="inlineStr">
        <is>
          <t>2025-08</t>
        </is>
      </c>
      <c r="AK123" s="2" t="inlineStr">
        <is>
          <t>+121 to +150</t>
        </is>
      </c>
      <c r="AL123" s="2" t="inlineStr">
        <is>
          <t>2025 Validation</t>
        </is>
      </c>
      <c r="AM123" s="6" t="n">
        <v>0.1926632409377839</v>
      </c>
    </row>
    <row r="124">
      <c r="A124" s="2" t="inlineStr">
        <is>
          <t>KPROP-00123</t>
        </is>
      </c>
      <c r="B124" s="3" t="n">
        <v>45870.79557870371</v>
      </c>
      <c r="C124" s="3" t="n">
        <v>45870</v>
      </c>
      <c r="D124" s="2" t="inlineStr">
        <is>
          <t>Gavin Williams</t>
        </is>
      </c>
      <c r="E124" s="2" t="n">
        <v>114</v>
      </c>
      <c r="F124" s="2" t="n">
        <v>142</v>
      </c>
      <c r="G124" s="2" t="inlineStr">
        <is>
          <t>Home</t>
        </is>
      </c>
      <c r="H124" s="2" t="inlineStr">
        <is>
          <t>fanatics</t>
        </is>
      </c>
      <c r="I124" s="4" t="n"/>
      <c r="J124" s="4" t="n"/>
      <c r="K124" s="4" t="n">
        <v>-160</v>
      </c>
      <c r="L124" s="4" t="n">
        <v>-160</v>
      </c>
      <c r="M124" s="5" t="n">
        <v>6.5</v>
      </c>
      <c r="N124" s="5" t="n">
        <v>5.466000295570465</v>
      </c>
      <c r="O124" s="5" t="n">
        <v>6.5</v>
      </c>
      <c r="P124" s="5" t="n">
        <v>1.033999704429535</v>
      </c>
      <c r="Q124" s="6" t="n">
        <v>0.1234753893735973</v>
      </c>
      <c r="R124" s="6" t="n">
        <v>0.6913694703837522</v>
      </c>
      <c r="S124" s="6" t="n">
        <v>0.5751633986928104</v>
      </c>
      <c r="T124" s="2" t="inlineStr">
        <is>
          <t>Under</t>
        </is>
      </c>
      <c r="U124" s="4" t="n">
        <v>-160</v>
      </c>
      <c r="V124" s="2" t="n">
        <v>1.625</v>
      </c>
      <c r="W124" s="4" t="n">
        <v>-160</v>
      </c>
      <c r="X124" s="2" t="n">
        <v>1</v>
      </c>
      <c r="Y124" s="5" t="n">
        <v>-1</v>
      </c>
      <c r="Z124" s="7" t="n">
        <v>100</v>
      </c>
      <c r="AA124" s="7">
        <f>Y124*Z124</f>
        <v/>
      </c>
      <c r="AB124" s="6">
        <f>IF(Z124=0,0,AA124/Z124)</f>
        <v/>
      </c>
      <c r="AC124" s="6" t="n"/>
      <c r="AD124" s="2" t="inlineStr">
        <is>
          <t>Loss</t>
        </is>
      </c>
      <c r="AE124" s="6">
        <f>IF((COUNTIF($AD$2:AD124,"Win")+COUNTIF($AD$2:AD124,"Loss"))=0,0,COUNTIF($AD$2:AD124,"Win")/(COUNTIF($AD$2:AD124,"Win")+COUNTIF($AD$2:AD124,"Loss")))</f>
        <v/>
      </c>
      <c r="AF124" s="6">
        <f>SUM($Y$2:Y124)/SUM($X$2:X124)</f>
        <v/>
      </c>
      <c r="AG124" s="5">
        <f>SUM($Y$2:Y124)</f>
        <v/>
      </c>
      <c r="AH124" s="7">
        <f>10000.0+SUM($AA$2:AA124)</f>
        <v/>
      </c>
      <c r="AI124" s="2" t="n">
        <v>2025</v>
      </c>
      <c r="AJ124" s="2" t="inlineStr">
        <is>
          <t>2025-08</t>
        </is>
      </c>
      <c r="AK124" s="2" t="inlineStr">
        <is>
          <t>&lt;= -150</t>
        </is>
      </c>
      <c r="AL124" s="2" t="inlineStr">
        <is>
          <t>2025 Validation</t>
        </is>
      </c>
      <c r="AM124" s="6" t="n">
        <v>0.1975606229977557</v>
      </c>
    </row>
    <row r="125">
      <c r="A125" s="2" t="inlineStr">
        <is>
          <t>KPROP-00124</t>
        </is>
      </c>
      <c r="B125" s="3" t="n">
        <v>45870.77821759259</v>
      </c>
      <c r="C125" s="3" t="n">
        <v>45870</v>
      </c>
      <c r="D125" s="2" t="inlineStr">
        <is>
          <t>Jack Flaherty</t>
        </is>
      </c>
      <c r="E125" s="2" t="n">
        <v>116</v>
      </c>
      <c r="F125" s="2" t="n">
        <v>143</v>
      </c>
      <c r="G125" s="2" t="inlineStr">
        <is>
          <t>Away</t>
        </is>
      </c>
      <c r="H125" s="2" t="inlineStr">
        <is>
          <t>fanduel</t>
        </is>
      </c>
      <c r="I125" s="4" t="n"/>
      <c r="J125" s="4" t="n"/>
      <c r="K125" s="4" t="n">
        <v>-130</v>
      </c>
      <c r="L125" s="4" t="n">
        <v>-130</v>
      </c>
      <c r="M125" s="5" t="n">
        <v>6.5</v>
      </c>
      <c r="N125" s="5" t="n">
        <v>5.933528931354221</v>
      </c>
      <c r="O125" s="5" t="n">
        <v>6.5</v>
      </c>
      <c r="P125" s="5" t="n">
        <v>0.5664710686457788</v>
      </c>
      <c r="Q125" s="6" t="n">
        <v>0.09157691567779824</v>
      </c>
      <c r="R125" s="6" t="n">
        <v>0.6169782566874512</v>
      </c>
      <c r="S125" s="6" t="n">
        <v>0.5542635658914729</v>
      </c>
      <c r="T125" s="2" t="inlineStr">
        <is>
          <t>Under</t>
        </is>
      </c>
      <c r="U125" s="4" t="n">
        <v>-130</v>
      </c>
      <c r="V125" s="2" t="n">
        <v>1.769230769230769</v>
      </c>
      <c r="W125" s="4" t="n">
        <v>-130</v>
      </c>
      <c r="X125" s="2" t="n">
        <v>1</v>
      </c>
      <c r="Y125" s="5" t="n">
        <v>-1</v>
      </c>
      <c r="Z125" s="7" t="n">
        <v>100</v>
      </c>
      <c r="AA125" s="7">
        <f>Y125*Z125</f>
        <v/>
      </c>
      <c r="AB125" s="6">
        <f>IF(Z125=0,0,AA125/Z125)</f>
        <v/>
      </c>
      <c r="AC125" s="6" t="n"/>
      <c r="AD125" s="2" t="inlineStr">
        <is>
          <t>Loss</t>
        </is>
      </c>
      <c r="AE125" s="6">
        <f>IF((COUNTIF($AD$2:AD125,"Win")+COUNTIF($AD$2:AD125,"Loss"))=0,0,COUNTIF($AD$2:AD125,"Win")/(COUNTIF($AD$2:AD125,"Win")+COUNTIF($AD$2:AD125,"Loss")))</f>
        <v/>
      </c>
      <c r="AF125" s="6">
        <f>SUM($Y$2:Y125)/SUM($X$2:X125)</f>
        <v/>
      </c>
      <c r="AG125" s="5">
        <f>SUM($Y$2:Y125)</f>
        <v/>
      </c>
      <c r="AH125" s="7">
        <f>10000.0+SUM($AA$2:AA125)</f>
        <v/>
      </c>
      <c r="AI125" s="2" t="n">
        <v>2025</v>
      </c>
      <c r="AJ125" s="2" t="inlineStr">
        <is>
          <t>2025-08</t>
        </is>
      </c>
      <c r="AK125" s="2" t="inlineStr">
        <is>
          <t>-149 to -120</t>
        </is>
      </c>
      <c r="AL125" s="2" t="inlineStr">
        <is>
          <t>2025 Validation</t>
        </is>
      </c>
      <c r="AM125" s="6" t="n">
        <v>0.1190499903811377</v>
      </c>
    </row>
    <row r="126">
      <c r="A126" s="2" t="inlineStr">
        <is>
          <t>KPROP-00125</t>
        </is>
      </c>
      <c r="B126" s="3" t="n">
        <v>45870.77821759259</v>
      </c>
      <c r="C126" s="3" t="n">
        <v>45870</v>
      </c>
      <c r="D126" s="2" t="inlineStr">
        <is>
          <t>Ranger Suarez</t>
        </is>
      </c>
      <c r="E126" s="2" t="n">
        <v>143</v>
      </c>
      <c r="F126" s="2" t="n">
        <v>116</v>
      </c>
      <c r="G126" s="2" t="inlineStr">
        <is>
          <t>Home</t>
        </is>
      </c>
      <c r="H126" s="2" t="inlineStr">
        <is>
          <t>fanduel</t>
        </is>
      </c>
      <c r="I126" s="4" t="n"/>
      <c r="J126" s="4" t="n"/>
      <c r="K126" s="4" t="n">
        <v>128</v>
      </c>
      <c r="L126" s="4" t="n">
        <v>128</v>
      </c>
      <c r="M126" s="5" t="n">
        <v>5.5</v>
      </c>
      <c r="N126" s="5" t="n">
        <v>4.949998610623571</v>
      </c>
      <c r="O126" s="5" t="n">
        <v>5.5</v>
      </c>
      <c r="P126" s="5" t="n">
        <v>0.5500013893764288</v>
      </c>
      <c r="Q126" s="6" t="n">
        <v>0.4243924536761166</v>
      </c>
      <c r="R126" s="6" t="n">
        <v>0.6247335323140861</v>
      </c>
      <c r="S126" s="6" t="n">
        <v>0.4236130090188576</v>
      </c>
      <c r="T126" s="2" t="inlineStr">
        <is>
          <t>Under</t>
        </is>
      </c>
      <c r="U126" s="4" t="n">
        <v>128</v>
      </c>
      <c r="V126" s="2" t="n">
        <v>2.28</v>
      </c>
      <c r="W126" s="4" t="n">
        <v>128</v>
      </c>
      <c r="X126" s="2" t="n">
        <v>1</v>
      </c>
      <c r="Y126" s="5" t="n">
        <v>1.28</v>
      </c>
      <c r="Z126" s="7" t="n">
        <v>100</v>
      </c>
      <c r="AA126" s="7">
        <f>Y126*Z126</f>
        <v/>
      </c>
      <c r="AB126" s="6">
        <f>IF(Z126=0,0,AA126/Z126)</f>
        <v/>
      </c>
      <c r="AC126" s="6" t="n"/>
      <c r="AD126" s="2" t="inlineStr">
        <is>
          <t>Win</t>
        </is>
      </c>
      <c r="AE126" s="6">
        <f>IF((COUNTIF($AD$2:AD126,"Win")+COUNTIF($AD$2:AD126,"Loss"))=0,0,COUNTIF($AD$2:AD126,"Win")/(COUNTIF($AD$2:AD126,"Win")+COUNTIF($AD$2:AD126,"Loss")))</f>
        <v/>
      </c>
      <c r="AF126" s="6">
        <f>SUM($Y$2:Y126)/SUM($X$2:X126)</f>
        <v/>
      </c>
      <c r="AG126" s="5">
        <f>SUM($Y$2:Y126)</f>
        <v/>
      </c>
      <c r="AH126" s="7">
        <f>10000.0+SUM($AA$2:AA126)</f>
        <v/>
      </c>
      <c r="AI126" s="2" t="n">
        <v>2025</v>
      </c>
      <c r="AJ126" s="2" t="inlineStr">
        <is>
          <t>2025-08</t>
        </is>
      </c>
      <c r="AK126" s="2" t="inlineStr">
        <is>
          <t>+121 to +150</t>
        </is>
      </c>
      <c r="AL126" s="2" t="inlineStr">
        <is>
          <t>2025 Validation</t>
        </is>
      </c>
      <c r="AM126" s="6" t="n">
        <v>0.331556604434466</v>
      </c>
    </row>
    <row r="127">
      <c r="A127" s="2" t="inlineStr">
        <is>
          <t>KPROP-00126</t>
        </is>
      </c>
      <c r="B127" s="3" t="n">
        <v>45870.77821759259</v>
      </c>
      <c r="C127" s="3" t="n">
        <v>45870</v>
      </c>
      <c r="D127" s="2" t="inlineStr">
        <is>
          <t>Ranger Suarez</t>
        </is>
      </c>
      <c r="E127" s="2" t="n">
        <v>143</v>
      </c>
      <c r="F127" s="2" t="n">
        <v>116</v>
      </c>
      <c r="G127" s="2" t="inlineStr">
        <is>
          <t>Home</t>
        </is>
      </c>
      <c r="H127" s="2" t="inlineStr">
        <is>
          <t>fanatics</t>
        </is>
      </c>
      <c r="I127" s="4" t="n"/>
      <c r="J127" s="4" t="n"/>
      <c r="K127" s="4" t="n">
        <v>-150</v>
      </c>
      <c r="L127" s="4" t="n">
        <v>-150</v>
      </c>
      <c r="M127" s="5" t="n">
        <v>6.5</v>
      </c>
      <c r="N127" s="5" t="n">
        <v>4.949998610623571</v>
      </c>
      <c r="O127" s="5" t="n">
        <v>6.5</v>
      </c>
      <c r="P127" s="5" t="n">
        <v>1.550001389376429</v>
      </c>
      <c r="Q127" s="6" t="n">
        <v>0.2824294017793141</v>
      </c>
      <c r="R127" s="6" t="n">
        <v>0.7694576410675885</v>
      </c>
      <c r="S127" s="6" t="n">
        <v>0.5850622406639003</v>
      </c>
      <c r="T127" s="2" t="inlineStr">
        <is>
          <t>Under</t>
        </is>
      </c>
      <c r="U127" s="4" t="n">
        <v>-150</v>
      </c>
      <c r="V127" s="2" t="n">
        <v>1.666666666666667</v>
      </c>
      <c r="W127" s="4" t="n">
        <v>-150</v>
      </c>
      <c r="X127" s="2" t="n">
        <v>1</v>
      </c>
      <c r="Y127" s="5" t="n">
        <v>0.6666666666666665</v>
      </c>
      <c r="Z127" s="7" t="n">
        <v>100</v>
      </c>
      <c r="AA127" s="7">
        <f>Y127*Z127</f>
        <v/>
      </c>
      <c r="AB127" s="6">
        <f>IF(Z127=0,0,AA127/Z127)</f>
        <v/>
      </c>
      <c r="AC127" s="6" t="n"/>
      <c r="AD127" s="2" t="inlineStr">
        <is>
          <t>Win</t>
        </is>
      </c>
      <c r="AE127" s="6">
        <f>IF((COUNTIF($AD$2:AD127,"Win")+COUNTIF($AD$2:AD127,"Loss"))=0,0,COUNTIF($AD$2:AD127,"Win")/(COUNTIF($AD$2:AD127,"Win")+COUNTIF($AD$2:AD127,"Loss")))</f>
        <v/>
      </c>
      <c r="AF127" s="6">
        <f>SUM($Y$2:Y127)/SUM($X$2:X127)</f>
        <v/>
      </c>
      <c r="AG127" s="5">
        <f>SUM($Y$2:Y127)</f>
        <v/>
      </c>
      <c r="AH127" s="7">
        <f>10000.0+SUM($AA$2:AA127)</f>
        <v/>
      </c>
      <c r="AI127" s="2" t="n">
        <v>2025</v>
      </c>
      <c r="AJ127" s="2" t="inlineStr">
        <is>
          <t>2025-08</t>
        </is>
      </c>
      <c r="AK127" s="2" t="inlineStr">
        <is>
          <t>&lt;= -150</t>
        </is>
      </c>
      <c r="AL127" s="2" t="inlineStr">
        <is>
          <t>2025 Validation</t>
        </is>
      </c>
      <c r="AM127" s="6" t="n">
        <v>0.4236441026689712</v>
      </c>
    </row>
    <row r="128">
      <c r="A128" s="2" t="inlineStr">
        <is>
          <t>KPROP-00127</t>
        </is>
      </c>
      <c r="B128" s="3" t="n">
        <v>45870.7990625</v>
      </c>
      <c r="C128" s="3" t="n">
        <v>45870</v>
      </c>
      <c r="D128" s="2" t="inlineStr">
        <is>
          <t>Robbie Ray</t>
        </is>
      </c>
      <c r="E128" s="2" t="n">
        <v>137</v>
      </c>
      <c r="F128" s="2" t="n">
        <v>121</v>
      </c>
      <c r="G128" s="2" t="inlineStr">
        <is>
          <t>Away</t>
        </is>
      </c>
      <c r="H128" s="2" t="inlineStr">
        <is>
          <t>betrivers</t>
        </is>
      </c>
      <c r="I128" s="4" t="n"/>
      <c r="J128" s="4" t="n"/>
      <c r="K128" s="4" t="n">
        <v>123</v>
      </c>
      <c r="L128" s="4" t="n">
        <v>123</v>
      </c>
      <c r="M128" s="5" t="n">
        <v>5.5</v>
      </c>
      <c r="N128" s="5" t="n">
        <v>5.447075983821574</v>
      </c>
      <c r="O128" s="5" t="n">
        <v>5.5</v>
      </c>
      <c r="P128" s="5" t="n">
        <v>0.05292401617842568</v>
      </c>
      <c r="Q128" s="6" t="n">
        <v>0.1997646423068682</v>
      </c>
      <c r="R128" s="6" t="n">
        <v>0.5380110503618243</v>
      </c>
      <c r="S128" s="6" t="n">
        <v>0.4303859477238532</v>
      </c>
      <c r="T128" s="2" t="inlineStr">
        <is>
          <t>Under</t>
        </is>
      </c>
      <c r="U128" s="4" t="n">
        <v>123</v>
      </c>
      <c r="V128" s="2" t="n">
        <v>2.23</v>
      </c>
      <c r="W128" s="4" t="n">
        <v>123</v>
      </c>
      <c r="X128" s="2" t="n">
        <v>1</v>
      </c>
      <c r="Y128" s="5" t="n">
        <v>-1</v>
      </c>
      <c r="Z128" s="7" t="n">
        <v>100</v>
      </c>
      <c r="AA128" s="7">
        <f>Y128*Z128</f>
        <v/>
      </c>
      <c r="AB128" s="6">
        <f>IF(Z128=0,0,AA128/Z128)</f>
        <v/>
      </c>
      <c r="AC128" s="6" t="n"/>
      <c r="AD128" s="2" t="inlineStr">
        <is>
          <t>Loss</t>
        </is>
      </c>
      <c r="AE128" s="6">
        <f>IF((COUNTIF($AD$2:AD128,"Win")+COUNTIF($AD$2:AD128,"Loss"))=0,0,COUNTIF($AD$2:AD128,"Win")/(COUNTIF($AD$2:AD128,"Win")+COUNTIF($AD$2:AD128,"Loss")))</f>
        <v/>
      </c>
      <c r="AF128" s="6">
        <f>SUM($Y$2:Y128)/SUM($X$2:X128)</f>
        <v/>
      </c>
      <c r="AG128" s="5">
        <f>SUM($Y$2:Y128)</f>
        <v/>
      </c>
      <c r="AH128" s="7">
        <f>10000.0+SUM($AA$2:AA128)</f>
        <v/>
      </c>
      <c r="AI128" s="2" t="n">
        <v>2025</v>
      </c>
      <c r="AJ128" s="2" t="inlineStr">
        <is>
          <t>2025-08</t>
        </is>
      </c>
      <c r="AK128" s="2" t="inlineStr">
        <is>
          <t>+121 to +150</t>
        </is>
      </c>
      <c r="AL128" s="2" t="inlineStr">
        <is>
          <t>2025 Validation</t>
        </is>
      </c>
      <c r="AM128" s="6" t="n">
        <v>0.1624102782982668</v>
      </c>
    </row>
    <row r="129">
      <c r="A129" s="2" t="inlineStr">
        <is>
          <t>KPROP-00128</t>
        </is>
      </c>
      <c r="B129" s="3" t="n">
        <v>45870.7990625</v>
      </c>
      <c r="C129" s="3" t="n">
        <v>45870</v>
      </c>
      <c r="D129" s="2" t="inlineStr">
        <is>
          <t>Robbie Ray</t>
        </is>
      </c>
      <c r="E129" s="2" t="n">
        <v>137</v>
      </c>
      <c r="F129" s="2" t="n">
        <v>121</v>
      </c>
      <c r="G129" s="2" t="inlineStr">
        <is>
          <t>Away</t>
        </is>
      </c>
      <c r="H129" s="2" t="inlineStr">
        <is>
          <t>betmgm</t>
        </is>
      </c>
      <c r="I129" s="4" t="n"/>
      <c r="J129" s="4" t="n"/>
      <c r="K129" s="4" t="n">
        <v>-160</v>
      </c>
      <c r="L129" s="4" t="n">
        <v>-160</v>
      </c>
      <c r="M129" s="5" t="n">
        <v>6.5</v>
      </c>
      <c r="N129" s="5" t="n">
        <v>5.447075983821574</v>
      </c>
      <c r="O129" s="5" t="n">
        <v>6.5</v>
      </c>
      <c r="P129" s="5" t="n">
        <v>1.052924016178426</v>
      </c>
      <c r="Q129" s="6" t="n">
        <v>0.1282870887686164</v>
      </c>
      <c r="R129" s="6" t="n">
        <v>0.6943305161653024</v>
      </c>
      <c r="S129" s="6" t="n">
        <v>0.5859872611464969</v>
      </c>
      <c r="T129" s="2" t="inlineStr">
        <is>
          <t>Under</t>
        </is>
      </c>
      <c r="U129" s="4" t="n">
        <v>-160</v>
      </c>
      <c r="V129" s="2" t="n">
        <v>1.625</v>
      </c>
      <c r="W129" s="4" t="n">
        <v>-160</v>
      </c>
      <c r="X129" s="2" t="n">
        <v>1</v>
      </c>
      <c r="Y129" s="5" t="n">
        <v>0.625</v>
      </c>
      <c r="Z129" s="7" t="n">
        <v>100</v>
      </c>
      <c r="AA129" s="7">
        <f>Y129*Z129</f>
        <v/>
      </c>
      <c r="AB129" s="6">
        <f>IF(Z129=0,0,AA129/Z129)</f>
        <v/>
      </c>
      <c r="AC129" s="6" t="n"/>
      <c r="AD129" s="2" t="inlineStr">
        <is>
          <t>Win</t>
        </is>
      </c>
      <c r="AE129" s="6">
        <f>IF((COUNTIF($AD$2:AD129,"Win")+COUNTIF($AD$2:AD129,"Loss"))=0,0,COUNTIF($AD$2:AD129,"Win")/(COUNTIF($AD$2:AD129,"Win")+COUNTIF($AD$2:AD129,"Loss")))</f>
        <v/>
      </c>
      <c r="AF129" s="6">
        <f>SUM($Y$2:Y129)/SUM($X$2:X129)</f>
        <v/>
      </c>
      <c r="AG129" s="5">
        <f>SUM($Y$2:Y129)</f>
        <v/>
      </c>
      <c r="AH129" s="7">
        <f>10000.0+SUM($AA$2:AA129)</f>
        <v/>
      </c>
      <c r="AI129" s="2" t="n">
        <v>2025</v>
      </c>
      <c r="AJ129" s="2" t="inlineStr">
        <is>
          <t>2025-08</t>
        </is>
      </c>
      <c r="AK129" s="2" t="inlineStr">
        <is>
          <t>&lt;= -150</t>
        </is>
      </c>
      <c r="AL129" s="2" t="inlineStr">
        <is>
          <t>2025 Validation</t>
        </is>
      </c>
      <c r="AM129" s="6" t="n">
        <v>0.2052593420297862</v>
      </c>
    </row>
    <row r="130">
      <c r="A130" s="2" t="inlineStr">
        <is>
          <t>KPROP-00129</t>
        </is>
      </c>
      <c r="B130" s="3" t="n">
        <v>45871.67405092593</v>
      </c>
      <c r="C130" s="3" t="n">
        <v>45871</v>
      </c>
      <c r="D130" s="2" t="inlineStr">
        <is>
          <t>Kodai Senga</t>
        </is>
      </c>
      <c r="E130" s="2" t="n">
        <v>121</v>
      </c>
      <c r="F130" s="2" t="n">
        <v>137</v>
      </c>
      <c r="G130" s="2" t="inlineStr">
        <is>
          <t>Home</t>
        </is>
      </c>
      <c r="H130" s="2" t="inlineStr">
        <is>
          <t>betrivers</t>
        </is>
      </c>
      <c r="I130" s="4" t="n"/>
      <c r="J130" s="4" t="n"/>
      <c r="K130" s="4" t="n">
        <v>123</v>
      </c>
      <c r="L130" s="4" t="n">
        <v>123</v>
      </c>
      <c r="M130" s="5" t="n">
        <v>5.5</v>
      </c>
      <c r="N130" s="5" t="n">
        <v>5.348295220867496</v>
      </c>
      <c r="O130" s="5" t="n">
        <v>5.5</v>
      </c>
      <c r="P130" s="5" t="n">
        <v>0.1517047791325039</v>
      </c>
      <c r="Q130" s="6" t="n">
        <v>0.2378378528652196</v>
      </c>
      <c r="R130" s="6" t="n">
        <v>0.5550842389530133</v>
      </c>
      <c r="S130" s="6" t="n">
        <v>0.4310724025688397</v>
      </c>
      <c r="T130" s="2" t="inlineStr">
        <is>
          <t>Under</t>
        </is>
      </c>
      <c r="U130" s="4" t="n">
        <v>123</v>
      </c>
      <c r="V130" s="2" t="n">
        <v>2.23</v>
      </c>
      <c r="W130" s="4" t="n">
        <v>123</v>
      </c>
      <c r="X130" s="2" t="n">
        <v>1</v>
      </c>
      <c r="Y130" s="5" t="n">
        <v>1.23</v>
      </c>
      <c r="Z130" s="7" t="n">
        <v>100</v>
      </c>
      <c r="AA130" s="7">
        <f>Y130*Z130</f>
        <v/>
      </c>
      <c r="AB130" s="6">
        <f>IF(Z130=0,0,AA130/Z130)</f>
        <v/>
      </c>
      <c r="AC130" s="6" t="n"/>
      <c r="AD130" s="2" t="inlineStr">
        <is>
          <t>Win</t>
        </is>
      </c>
      <c r="AE130" s="6">
        <f>IF((COUNTIF($AD$2:AD130,"Win")+COUNTIF($AD$2:AD130,"Loss"))=0,0,COUNTIF($AD$2:AD130,"Win")/(COUNTIF($AD$2:AD130,"Win")+COUNTIF($AD$2:AD130,"Loss")))</f>
        <v/>
      </c>
      <c r="AF130" s="6">
        <f>SUM($Y$2:Y130)/SUM($X$2:X130)</f>
        <v/>
      </c>
      <c r="AG130" s="5">
        <f>SUM($Y$2:Y130)</f>
        <v/>
      </c>
      <c r="AH130" s="7">
        <f>10000.0+SUM($AA$2:AA130)</f>
        <v/>
      </c>
      <c r="AI130" s="2" t="n">
        <v>2025</v>
      </c>
      <c r="AJ130" s="2" t="inlineStr">
        <is>
          <t>2025-08</t>
        </is>
      </c>
      <c r="AK130" s="2" t="inlineStr">
        <is>
          <t>+121 to +150</t>
        </is>
      </c>
      <c r="AL130" s="2" t="inlineStr">
        <is>
          <t>2025 Validation</t>
        </is>
      </c>
      <c r="AM130" s="6" t="n">
        <v>0.1933641080205038</v>
      </c>
    </row>
    <row r="131">
      <c r="A131" s="2" t="inlineStr">
        <is>
          <t>KPROP-00130</t>
        </is>
      </c>
      <c r="B131" s="3" t="n">
        <v>45871.67405092593</v>
      </c>
      <c r="C131" s="3" t="n">
        <v>45871</v>
      </c>
      <c r="D131" s="2" t="inlineStr">
        <is>
          <t>Kodai Senga</t>
        </is>
      </c>
      <c r="E131" s="2" t="n">
        <v>121</v>
      </c>
      <c r="F131" s="2" t="n">
        <v>137</v>
      </c>
      <c r="G131" s="2" t="inlineStr">
        <is>
          <t>Home</t>
        </is>
      </c>
      <c r="H131" s="2" t="inlineStr">
        <is>
          <t>draftkings</t>
        </is>
      </c>
      <c r="I131" s="4" t="n"/>
      <c r="J131" s="4" t="n"/>
      <c r="K131" s="4" t="n">
        <v>-135</v>
      </c>
      <c r="L131" s="4" t="n">
        <v>-135</v>
      </c>
      <c r="M131" s="5" t="n">
        <v>6.5</v>
      </c>
      <c r="N131" s="5" t="n">
        <v>5.348295220867496</v>
      </c>
      <c r="O131" s="5" t="n">
        <v>6.5</v>
      </c>
      <c r="P131" s="5" t="n">
        <v>1.151704779132504</v>
      </c>
      <c r="Q131" s="6" t="n">
        <v>0.2353856518344751</v>
      </c>
      <c r="R131" s="6" t="n">
        <v>0.7096896297772517</v>
      </c>
      <c r="S131" s="6" t="n">
        <v>0.5582706766917294</v>
      </c>
      <c r="T131" s="2" t="inlineStr">
        <is>
          <t>Under</t>
        </is>
      </c>
      <c r="U131" s="4" t="n">
        <v>-135</v>
      </c>
      <c r="V131" s="2" t="n">
        <v>1.740740740740741</v>
      </c>
      <c r="W131" s="4" t="n">
        <v>-135</v>
      </c>
      <c r="X131" s="2" t="n">
        <v>1</v>
      </c>
      <c r="Y131" s="5" t="n">
        <v>0.7407407407407407</v>
      </c>
      <c r="Z131" s="7" t="n">
        <v>100</v>
      </c>
      <c r="AA131" s="7">
        <f>Y131*Z131</f>
        <v/>
      </c>
      <c r="AB131" s="6">
        <f>IF(Z131=0,0,AA131/Z131)</f>
        <v/>
      </c>
      <c r="AC131" s="6" t="n"/>
      <c r="AD131" s="2" t="inlineStr">
        <is>
          <t>Win</t>
        </is>
      </c>
      <c r="AE131" s="6">
        <f>IF((COUNTIF($AD$2:AD131,"Win")+COUNTIF($AD$2:AD131,"Loss"))=0,0,COUNTIF($AD$2:AD131,"Win")/(COUNTIF($AD$2:AD131,"Win")+COUNTIF($AD$2:AD131,"Loss")))</f>
        <v/>
      </c>
      <c r="AF131" s="6">
        <f>SUM($Y$2:Y131)/SUM($X$2:X131)</f>
        <v/>
      </c>
      <c r="AG131" s="5">
        <f>SUM($Y$2:Y131)</f>
        <v/>
      </c>
      <c r="AH131" s="7">
        <f>10000.0+SUM($AA$2:AA131)</f>
        <v/>
      </c>
      <c r="AI131" s="2" t="n">
        <v>2025</v>
      </c>
      <c r="AJ131" s="2" t="inlineStr">
        <is>
          <t>2025-08</t>
        </is>
      </c>
      <c r="AK131" s="2" t="inlineStr">
        <is>
          <t>-149 to -120</t>
        </is>
      </c>
      <c r="AL131" s="2" t="inlineStr">
        <is>
          <t>2025 Validation</t>
        </is>
      </c>
      <c r="AM131" s="6" t="n">
        <v>0.3177706299765414</v>
      </c>
    </row>
    <row r="132">
      <c r="A132" s="2" t="inlineStr">
        <is>
          <t>KPROP-00131</t>
        </is>
      </c>
      <c r="B132" s="3" t="n">
        <v>45871.67405092593</v>
      </c>
      <c r="C132" s="3" t="n">
        <v>45871</v>
      </c>
      <c r="D132" s="2" t="inlineStr">
        <is>
          <t>Luis Castillo</t>
        </is>
      </c>
      <c r="E132" s="2" t="n">
        <v>136</v>
      </c>
      <c r="F132" s="2" t="n">
        <v>140</v>
      </c>
      <c r="G132" s="2" t="inlineStr">
        <is>
          <t>Home</t>
        </is>
      </c>
      <c r="H132" s="2" t="inlineStr">
        <is>
          <t>fanduel</t>
        </is>
      </c>
      <c r="I132" s="4" t="n"/>
      <c r="J132" s="4" t="n"/>
      <c r="K132" s="4" t="n">
        <v>-112</v>
      </c>
      <c r="L132" s="4" t="n">
        <v>-112</v>
      </c>
      <c r="M132" s="5" t="n">
        <v>5.5</v>
      </c>
      <c r="N132" s="5" t="n">
        <v>5.183314964187366</v>
      </c>
      <c r="O132" s="5" t="n">
        <v>5.5</v>
      </c>
      <c r="P132" s="5" t="n">
        <v>0.3166850358126343</v>
      </c>
      <c r="Q132" s="6" t="n">
        <v>0.1051071821490981</v>
      </c>
      <c r="R132" s="6" t="n">
        <v>0.5838302094372594</v>
      </c>
      <c r="S132" s="6" t="n">
        <v>0.5199275362318841</v>
      </c>
      <c r="T132" s="2" t="inlineStr">
        <is>
          <t>Under</t>
        </is>
      </c>
      <c r="U132" s="4" t="n">
        <v>-112</v>
      </c>
      <c r="V132" s="2" t="n">
        <v>1.892857142857143</v>
      </c>
      <c r="W132" s="4" t="n">
        <v>-112</v>
      </c>
      <c r="X132" s="2" t="n">
        <v>1</v>
      </c>
      <c r="Y132" s="5" t="n">
        <v>0.8928571428571428</v>
      </c>
      <c r="Z132" s="7" t="n">
        <v>100</v>
      </c>
      <c r="AA132" s="7">
        <f>Y132*Z132</f>
        <v/>
      </c>
      <c r="AB132" s="6">
        <f>IF(Z132=0,0,AA132/Z132)</f>
        <v/>
      </c>
      <c r="AC132" s="6" t="n"/>
      <c r="AD132" s="2" t="inlineStr">
        <is>
          <t>Win</t>
        </is>
      </c>
      <c r="AE132" s="6">
        <f>IF((COUNTIF($AD$2:AD132,"Win")+COUNTIF($AD$2:AD132,"Loss"))=0,0,COUNTIF($AD$2:AD132,"Win")/(COUNTIF($AD$2:AD132,"Win")+COUNTIF($AD$2:AD132,"Loss")))</f>
        <v/>
      </c>
      <c r="AF132" s="6">
        <f>SUM($Y$2:Y132)/SUM($X$2:X132)</f>
        <v/>
      </c>
      <c r="AG132" s="5">
        <f>SUM($Y$2:Y132)</f>
        <v/>
      </c>
      <c r="AH132" s="7">
        <f>10000.0+SUM($AA$2:AA132)</f>
        <v/>
      </c>
      <c r="AI132" s="2" t="n">
        <v>2025</v>
      </c>
      <c r="AJ132" s="2" t="inlineStr">
        <is>
          <t>2025-08</t>
        </is>
      </c>
      <c r="AK132" s="2" t="inlineStr">
        <is>
          <t>-119 to -101</t>
        </is>
      </c>
      <c r="AL132" s="2" t="inlineStr">
        <is>
          <t>2025 Validation</t>
        </is>
      </c>
      <c r="AM132" s="6" t="n">
        <v>0.1177200440069899</v>
      </c>
    </row>
    <row r="133">
      <c r="A133" s="2" t="inlineStr">
        <is>
          <t>KPROP-00132</t>
        </is>
      </c>
      <c r="B133" s="3" t="n">
        <v>45871.62891203703</v>
      </c>
      <c r="C133" s="3" t="n">
        <v>45871</v>
      </c>
      <c r="D133" s="2" t="inlineStr">
        <is>
          <t>Max Scherzer</t>
        </is>
      </c>
      <c r="E133" s="2" t="n">
        <v>141</v>
      </c>
      <c r="F133" s="2" t="n">
        <v>118</v>
      </c>
      <c r="G133" s="2" t="inlineStr">
        <is>
          <t>Home</t>
        </is>
      </c>
      <c r="H133" s="2" t="inlineStr">
        <is>
          <t>bovada</t>
        </is>
      </c>
      <c r="I133" s="4" t="n"/>
      <c r="J133" s="4" t="n"/>
      <c r="K133" s="4" t="n">
        <v>-110</v>
      </c>
      <c r="L133" s="4" t="n">
        <v>-110</v>
      </c>
      <c r="M133" s="5" t="n">
        <v>5.5</v>
      </c>
      <c r="N133" s="5" t="n">
        <v>4.661303952402057</v>
      </c>
      <c r="O133" s="5" t="n">
        <v>5.5</v>
      </c>
      <c r="P133" s="5" t="n">
        <v>0.838696047597943</v>
      </c>
      <c r="Q133" s="6" t="n">
        <v>0.2889348051581545</v>
      </c>
      <c r="R133" s="6" t="n">
        <v>0.6751563265114142</v>
      </c>
      <c r="S133" s="6" t="n">
        <v>0.5177956371986223</v>
      </c>
      <c r="T133" s="2" t="inlineStr">
        <is>
          <t>Under</t>
        </is>
      </c>
      <c r="U133" s="4" t="n">
        <v>-110</v>
      </c>
      <c r="V133" s="2" t="n">
        <v>1.909090909090909</v>
      </c>
      <c r="W133" s="4" t="n">
        <v>-110</v>
      </c>
      <c r="X133" s="2" t="n">
        <v>1</v>
      </c>
      <c r="Y133" s="5" t="n">
        <v>0.9090909090909092</v>
      </c>
      <c r="Z133" s="7" t="n">
        <v>100</v>
      </c>
      <c r="AA133" s="7">
        <f>Y133*Z133</f>
        <v/>
      </c>
      <c r="AB133" s="6">
        <f>IF(Z133=0,0,AA133/Z133)</f>
        <v/>
      </c>
      <c r="AC133" s="6" t="n"/>
      <c r="AD133" s="2" t="inlineStr">
        <is>
          <t>Win</t>
        </is>
      </c>
      <c r="AE133" s="6">
        <f>IF((COUNTIF($AD$2:AD133,"Win")+COUNTIF($AD$2:AD133,"Loss"))=0,0,COUNTIF($AD$2:AD133,"Win")/(COUNTIF($AD$2:AD133,"Win")+COUNTIF($AD$2:AD133,"Loss")))</f>
        <v/>
      </c>
      <c r="AF133" s="6">
        <f>SUM($Y$2:Y133)/SUM($X$2:X133)</f>
        <v/>
      </c>
      <c r="AG133" s="5">
        <f>SUM($Y$2:Y133)</f>
        <v/>
      </c>
      <c r="AH133" s="7">
        <f>10000.0+SUM($AA$2:AA133)</f>
        <v/>
      </c>
      <c r="AI133" s="2" t="n">
        <v>2025</v>
      </c>
      <c r="AJ133" s="2" t="inlineStr">
        <is>
          <t>2025-08</t>
        </is>
      </c>
      <c r="AK133" s="2" t="inlineStr">
        <is>
          <t>-119 to -101</t>
        </is>
      </c>
      <c r="AL133" s="2" t="inlineStr">
        <is>
          <t>2025 Validation</t>
        </is>
      </c>
      <c r="AM133" s="6" t="n">
        <v>0.3178282856739699</v>
      </c>
    </row>
    <row r="134">
      <c r="A134" s="2" t="inlineStr">
        <is>
          <t>KPROP-00133</t>
        </is>
      </c>
      <c r="B134" s="3" t="n">
        <v>45871.67057870371</v>
      </c>
      <c r="C134" s="3" t="n">
        <v>45871</v>
      </c>
      <c r="D134" s="2" t="inlineStr">
        <is>
          <t>Zack Wheeler</t>
        </is>
      </c>
      <c r="E134" s="2" t="n">
        <v>143</v>
      </c>
      <c r="F134" s="2" t="n">
        <v>116</v>
      </c>
      <c r="G134" s="2" t="inlineStr">
        <is>
          <t>Home</t>
        </is>
      </c>
      <c r="H134" s="2" t="inlineStr">
        <is>
          <t>fanduel</t>
        </is>
      </c>
      <c r="I134" s="4" t="n"/>
      <c r="J134" s="4" t="n"/>
      <c r="K134" s="4" t="n">
        <v>126</v>
      </c>
      <c r="L134" s="4" t="n">
        <v>126</v>
      </c>
      <c r="M134" s="5" t="n">
        <v>7.5</v>
      </c>
      <c r="N134" s="5" t="n">
        <v>7.837786361489859</v>
      </c>
      <c r="O134" s="5" t="n">
        <v>7.5</v>
      </c>
      <c r="P134" s="5" t="n">
        <v>-0.3377863614898589</v>
      </c>
      <c r="Q134" s="6" t="n">
        <v>0.07536141121604412</v>
      </c>
      <c r="R134" s="6" t="n">
        <v>0.4758236332814355</v>
      </c>
      <c r="S134" s="6" t="n">
        <v>0.4313443565780015</v>
      </c>
      <c r="T134" s="2" t="inlineStr">
        <is>
          <t>Under</t>
        </is>
      </c>
      <c r="U134" s="4" t="n">
        <v>126</v>
      </c>
      <c r="V134" s="2" t="n">
        <v>2.26</v>
      </c>
      <c r="W134" s="4" t="n">
        <v>126</v>
      </c>
      <c r="X134" s="2" t="n">
        <v>1</v>
      </c>
      <c r="Y134" s="5" t="n">
        <v>-1</v>
      </c>
      <c r="Z134" s="7" t="n">
        <v>100</v>
      </c>
      <c r="AA134" s="7">
        <f>Y134*Z134</f>
        <v/>
      </c>
      <c r="AB134" s="6">
        <f>IF(Z134=0,0,AA134/Z134)</f>
        <v/>
      </c>
      <c r="AC134" s="6" t="n"/>
      <c r="AD134" s="2" t="inlineStr">
        <is>
          <t>Loss</t>
        </is>
      </c>
      <c r="AE134" s="6">
        <f>IF((COUNTIF($AD$2:AD134,"Win")+COUNTIF($AD$2:AD134,"Loss"))=0,0,COUNTIF($AD$2:AD134,"Win")/(COUNTIF($AD$2:AD134,"Win")+COUNTIF($AD$2:AD134,"Loss")))</f>
        <v/>
      </c>
      <c r="AF134" s="6">
        <f>SUM($Y$2:Y134)/SUM($X$2:X134)</f>
        <v/>
      </c>
      <c r="AG134" s="5">
        <f>SUM($Y$2:Y134)</f>
        <v/>
      </c>
      <c r="AH134" s="7">
        <f>10000.0+SUM($AA$2:AA134)</f>
        <v/>
      </c>
      <c r="AI134" s="2" t="n">
        <v>2025</v>
      </c>
      <c r="AJ134" s="2" t="inlineStr">
        <is>
          <t>2025-08</t>
        </is>
      </c>
      <c r="AK134" s="2" t="inlineStr">
        <is>
          <t>+121 to +150</t>
        </is>
      </c>
      <c r="AL134" s="2" t="inlineStr">
        <is>
          <t>2025 Validation</t>
        </is>
      </c>
      <c r="AM134" s="6" t="n">
        <v>0.05981064382225725</v>
      </c>
    </row>
    <row r="135">
      <c r="A135" s="2" t="inlineStr">
        <is>
          <t>KPROP-00134</t>
        </is>
      </c>
      <c r="B135" s="3" t="n">
        <v>45872.67405092593</v>
      </c>
      <c r="C135" s="3" t="n">
        <v>45872</v>
      </c>
      <c r="D135" s="2" t="inlineStr">
        <is>
          <t>Jacob deGrom</t>
        </is>
      </c>
      <c r="E135" s="2" t="n">
        <v>140</v>
      </c>
      <c r="F135" s="2" t="n">
        <v>136</v>
      </c>
      <c r="G135" s="2" t="inlineStr">
        <is>
          <t>Away</t>
        </is>
      </c>
      <c r="H135" s="2" t="inlineStr">
        <is>
          <t>draftkings</t>
        </is>
      </c>
      <c r="I135" s="4" t="n"/>
      <c r="J135" s="4" t="n"/>
      <c r="K135" s="4" t="n">
        <v>120</v>
      </c>
      <c r="L135" s="4" t="n">
        <v>120</v>
      </c>
      <c r="M135" s="5" t="n">
        <v>6.5</v>
      </c>
      <c r="N135" s="5" t="n">
        <v>6.430008231964148</v>
      </c>
      <c r="O135" s="5" t="n">
        <v>6.5</v>
      </c>
      <c r="P135" s="5" t="n">
        <v>0.06999176803585172</v>
      </c>
      <c r="Q135" s="6" t="n">
        <v>0.1826640487879553</v>
      </c>
      <c r="R135" s="6" t="n">
        <v>0.5375745676308887</v>
      </c>
      <c r="S135" s="6" t="n">
        <v>0.4457364341085271</v>
      </c>
      <c r="T135" s="2" t="inlineStr">
        <is>
          <t>Under</t>
        </is>
      </c>
      <c r="U135" s="4" t="n">
        <v>120</v>
      </c>
      <c r="V135" s="2" t="n">
        <v>2.2</v>
      </c>
      <c r="W135" s="4" t="n">
        <v>120</v>
      </c>
      <c r="X135" s="2" t="n">
        <v>1</v>
      </c>
      <c r="Y135" s="5" t="n">
        <v>1.2</v>
      </c>
      <c r="Z135" s="7" t="n">
        <v>100</v>
      </c>
      <c r="AA135" s="7">
        <f>Y135*Z135</f>
        <v/>
      </c>
      <c r="AB135" s="6">
        <f>IF(Z135=0,0,AA135/Z135)</f>
        <v/>
      </c>
      <c r="AC135" s="6" t="n"/>
      <c r="AD135" s="2" t="inlineStr">
        <is>
          <t>Win</t>
        </is>
      </c>
      <c r="AE135" s="6">
        <f>IF((COUNTIF($AD$2:AD135,"Win")+COUNTIF($AD$2:AD135,"Loss"))=0,0,COUNTIF($AD$2:AD135,"Win")/(COUNTIF($AD$2:AD135,"Win")+COUNTIF($AD$2:AD135,"Loss")))</f>
        <v/>
      </c>
      <c r="AF135" s="6">
        <f>SUM($Y$2:Y135)/SUM($X$2:X135)</f>
        <v/>
      </c>
      <c r="AG135" s="5">
        <f>SUM($Y$2:Y135)</f>
        <v/>
      </c>
      <c r="AH135" s="7">
        <f>10000.0+SUM($AA$2:AA135)</f>
        <v/>
      </c>
      <c r="AI135" s="2" t="n">
        <v>2025</v>
      </c>
      <c r="AJ135" s="2" t="inlineStr">
        <is>
          <t>2025-08</t>
        </is>
      </c>
      <c r="AK135" s="2" t="inlineStr">
        <is>
          <t>+100 to +120</t>
        </is>
      </c>
      <c r="AL135" s="2" t="inlineStr">
        <is>
          <t>2025 Validation</t>
        </is>
      </c>
      <c r="AM135" s="6" t="n">
        <v>0.1522200406566294</v>
      </c>
    </row>
    <row r="136">
      <c r="A136" s="2" t="inlineStr">
        <is>
          <t>KPROP-00135</t>
        </is>
      </c>
      <c r="B136" s="3" t="n">
        <v>45872.56641203703</v>
      </c>
      <c r="C136" s="3" t="n">
        <v>45872</v>
      </c>
      <c r="D136" s="2" t="inlineStr">
        <is>
          <t>Seth Lugo</t>
        </is>
      </c>
      <c r="E136" s="2" t="n">
        <v>118</v>
      </c>
      <c r="F136" s="2" t="n">
        <v>141</v>
      </c>
      <c r="G136" s="2" t="inlineStr">
        <is>
          <t>Away</t>
        </is>
      </c>
      <c r="H136" s="2" t="inlineStr">
        <is>
          <t>fanduel</t>
        </is>
      </c>
      <c r="I136" s="4" t="n"/>
      <c r="J136" s="4" t="n"/>
      <c r="K136" s="4" t="n">
        <v>-128</v>
      </c>
      <c r="L136" s="4" t="n">
        <v>-128</v>
      </c>
      <c r="M136" s="5" t="n">
        <v>4.5</v>
      </c>
      <c r="N136" s="5" t="n">
        <v>4.018693324457955</v>
      </c>
      <c r="O136" s="5" t="n">
        <v>4.5</v>
      </c>
      <c r="P136" s="5" t="n">
        <v>0.4813066755420445</v>
      </c>
      <c r="Q136" s="6" t="n">
        <v>0.1136106618557338</v>
      </c>
      <c r="R136" s="6" t="n">
        <v>0.62518493297164</v>
      </c>
      <c r="S136" s="6" t="n">
        <v>0.5581395348837209</v>
      </c>
      <c r="T136" s="2" t="inlineStr">
        <is>
          <t>Under</t>
        </is>
      </c>
      <c r="U136" s="4" t="n">
        <v>-128</v>
      </c>
      <c r="V136" s="2" t="n">
        <v>1.78125</v>
      </c>
      <c r="W136" s="4" t="n">
        <v>-128</v>
      </c>
      <c r="X136" s="2" t="n">
        <v>1</v>
      </c>
      <c r="Y136" s="5" t="n">
        <v>0.78125</v>
      </c>
      <c r="Z136" s="7" t="n">
        <v>100</v>
      </c>
      <c r="AA136" s="7">
        <f>Y136*Z136</f>
        <v/>
      </c>
      <c r="AB136" s="6">
        <f>IF(Z136=0,0,AA136/Z136)</f>
        <v/>
      </c>
      <c r="AC136" s="6" t="n"/>
      <c r="AD136" s="2" t="inlineStr">
        <is>
          <t>Win</t>
        </is>
      </c>
      <c r="AE136" s="6">
        <f>IF((COUNTIF($AD$2:AD136,"Win")+COUNTIF($AD$2:AD136,"Loss"))=0,0,COUNTIF($AD$2:AD136,"Win")/(COUNTIF($AD$2:AD136,"Win")+COUNTIF($AD$2:AD136,"Loss")))</f>
        <v/>
      </c>
      <c r="AF136" s="6">
        <f>SUM($Y$2:Y136)/SUM($X$2:X136)</f>
        <v/>
      </c>
      <c r="AG136" s="5">
        <f>SUM($Y$2:Y136)</f>
        <v/>
      </c>
      <c r="AH136" s="7">
        <f>10000.0+SUM($AA$2:AA136)</f>
        <v/>
      </c>
      <c r="AI136" s="2" t="n">
        <v>2025</v>
      </c>
      <c r="AJ136" s="2" t="inlineStr">
        <is>
          <t>2025-08</t>
        </is>
      </c>
      <c r="AK136" s="2" t="inlineStr">
        <is>
          <t>-149 to -120</t>
        </is>
      </c>
      <c r="AL136" s="2" t="inlineStr">
        <is>
          <t>2025 Validation</t>
        </is>
      </c>
      <c r="AM136" s="6" t="n">
        <v>0.1454216471753392</v>
      </c>
    </row>
    <row r="137">
      <c r="A137" s="2" t="inlineStr">
        <is>
          <t>KPROP-00136</t>
        </is>
      </c>
      <c r="B137" s="3" t="n">
        <v>45873.79905092593</v>
      </c>
      <c r="C137" s="3" t="n">
        <v>45873</v>
      </c>
      <c r="D137" s="2" t="inlineStr">
        <is>
          <t>Sean Manaea</t>
        </is>
      </c>
      <c r="E137" s="2" t="n">
        <v>121</v>
      </c>
      <c r="F137" s="2" t="n">
        <v>114</v>
      </c>
      <c r="G137" s="2" t="inlineStr">
        <is>
          <t>Home</t>
        </is>
      </c>
      <c r="H137" s="2" t="inlineStr">
        <is>
          <t>betonlineag</t>
        </is>
      </c>
      <c r="I137" s="4" t="n"/>
      <c r="J137" s="4" t="n"/>
      <c r="K137" s="4" t="n">
        <v>-119</v>
      </c>
      <c r="L137" s="4" t="n">
        <v>-119</v>
      </c>
      <c r="M137" s="5" t="n">
        <v>5.5</v>
      </c>
      <c r="N137" s="5" t="n">
        <v>4.915802823858166</v>
      </c>
      <c r="O137" s="5" t="n">
        <v>5.5</v>
      </c>
      <c r="P137" s="5" t="n">
        <v>0.5841971761418341</v>
      </c>
      <c r="Q137" s="6" t="n">
        <v>0.1607570353124655</v>
      </c>
      <c r="R137" s="6" t="n">
        <v>0.6307309917907917</v>
      </c>
      <c r="S137" s="6" t="n">
        <v>0.5329494561740244</v>
      </c>
      <c r="T137" s="2" t="inlineStr">
        <is>
          <t>Under</t>
        </is>
      </c>
      <c r="U137" s="4" t="n">
        <v>-119</v>
      </c>
      <c r="V137" s="2" t="n">
        <v>1.840336134453782</v>
      </c>
      <c r="W137" s="4" t="n">
        <v>-119</v>
      </c>
      <c r="X137" s="2" t="n">
        <v>1</v>
      </c>
      <c r="Y137" s="5" t="n">
        <v>0.8403361344537816</v>
      </c>
      <c r="Z137" s="7" t="n">
        <v>100</v>
      </c>
      <c r="AA137" s="7">
        <f>Y137*Z137</f>
        <v/>
      </c>
      <c r="AB137" s="6">
        <f>IF(Z137=0,0,AA137/Z137)</f>
        <v/>
      </c>
      <c r="AC137" s="6" t="n"/>
      <c r="AD137" s="2" t="inlineStr">
        <is>
          <t>Win</t>
        </is>
      </c>
      <c r="AE137" s="6">
        <f>IF((COUNTIF($AD$2:AD137,"Win")+COUNTIF($AD$2:AD137,"Loss"))=0,0,COUNTIF($AD$2:AD137,"Win")/(COUNTIF($AD$2:AD137,"Win")+COUNTIF($AD$2:AD137,"Loss")))</f>
        <v/>
      </c>
      <c r="AF137" s="6">
        <f>SUM($Y$2:Y137)/SUM($X$2:X137)</f>
        <v/>
      </c>
      <c r="AG137" s="5">
        <f>SUM($Y$2:Y137)</f>
        <v/>
      </c>
      <c r="AH137" s="7">
        <f>10000.0+SUM($AA$2:AA137)</f>
        <v/>
      </c>
      <c r="AI137" s="2" t="n">
        <v>2025</v>
      </c>
      <c r="AJ137" s="2" t="inlineStr">
        <is>
          <t>2025-08</t>
        </is>
      </c>
      <c r="AK137" s="2" t="inlineStr">
        <is>
          <t>-119 to -101</t>
        </is>
      </c>
      <c r="AL137" s="2" t="inlineStr">
        <is>
          <t>2025 Validation</t>
        </is>
      </c>
      <c r="AM137" s="6" t="n">
        <v>0.191300872021834</v>
      </c>
    </row>
    <row r="138">
      <c r="A138" s="2" t="inlineStr">
        <is>
          <t>KPROP-00137</t>
        </is>
      </c>
      <c r="B138" s="3" t="n">
        <v>45874.77821759259</v>
      </c>
      <c r="C138" s="3" t="n">
        <v>45874</v>
      </c>
      <c r="D138" s="2" t="inlineStr">
        <is>
          <t>Chris Paddack</t>
        </is>
      </c>
      <c r="E138" s="2" t="n">
        <v>116</v>
      </c>
      <c r="F138" s="2" t="n">
        <v>142</v>
      </c>
      <c r="G138" s="2" t="inlineStr">
        <is>
          <t>Home</t>
        </is>
      </c>
      <c r="H138" s="2" t="inlineStr">
        <is>
          <t>betmgm</t>
        </is>
      </c>
      <c r="I138" s="4" t="n"/>
      <c r="J138" s="4" t="n"/>
      <c r="K138" s="4" t="n">
        <v>-115</v>
      </c>
      <c r="L138" s="4" t="n">
        <v>-115</v>
      </c>
      <c r="M138" s="5" t="n">
        <v>4.5</v>
      </c>
      <c r="N138" s="5" t="n">
        <v>4.160437460222093</v>
      </c>
      <c r="O138" s="5" t="n">
        <v>4.5</v>
      </c>
      <c r="P138" s="5" t="n">
        <v>0.3395625397779067</v>
      </c>
      <c r="Q138" s="6" t="n">
        <v>0.117113278371214</v>
      </c>
      <c r="R138" s="6" t="n">
        <v>0.5975257070357657</v>
      </c>
      <c r="S138" s="6" t="n">
        <v>0.5168539325842696</v>
      </c>
      <c r="T138" s="2" t="inlineStr">
        <is>
          <t>Under</t>
        </is>
      </c>
      <c r="U138" s="4" t="n">
        <v>-115</v>
      </c>
      <c r="V138" s="2" t="n">
        <v>1.869565217391304</v>
      </c>
      <c r="W138" s="4" t="n">
        <v>-115</v>
      </c>
      <c r="X138" s="2" t="n">
        <v>1</v>
      </c>
      <c r="Y138" s="5" t="n">
        <v>0.8695652173913042</v>
      </c>
      <c r="Z138" s="7" t="n">
        <v>100</v>
      </c>
      <c r="AA138" s="7">
        <f>Y138*Z138</f>
        <v/>
      </c>
      <c r="AB138" s="6">
        <f>IF(Z138=0,0,AA138/Z138)</f>
        <v/>
      </c>
      <c r="AC138" s="6" t="n"/>
      <c r="AD138" s="2" t="inlineStr">
        <is>
          <t>Win</t>
        </is>
      </c>
      <c r="AE138" s="6">
        <f>IF((COUNTIF($AD$2:AD138,"Win")+COUNTIF($AD$2:AD138,"Loss"))=0,0,COUNTIF($AD$2:AD138,"Win")/(COUNTIF($AD$2:AD138,"Win")+COUNTIF($AD$2:AD138,"Loss")))</f>
        <v/>
      </c>
      <c r="AF138" s="6">
        <f>SUM($Y$2:Y138)/SUM($X$2:X138)</f>
        <v/>
      </c>
      <c r="AG138" s="5">
        <f>SUM($Y$2:Y138)</f>
        <v/>
      </c>
      <c r="AH138" s="7">
        <f>10000.0+SUM($AA$2:AA138)</f>
        <v/>
      </c>
      <c r="AI138" s="2" t="n">
        <v>2025</v>
      </c>
      <c r="AJ138" s="2" t="inlineStr">
        <is>
          <t>2025-08</t>
        </is>
      </c>
      <c r="AK138" s="2" t="inlineStr">
        <is>
          <t>-119 to -101</t>
        </is>
      </c>
      <c r="AL138" s="2" t="inlineStr">
        <is>
          <t>2025 Validation</t>
        </is>
      </c>
      <c r="AM138" s="6" t="n">
        <v>0.1346802701268961</v>
      </c>
    </row>
    <row r="139">
      <c r="A139" s="2" t="inlineStr">
        <is>
          <t>KPROP-00138</t>
        </is>
      </c>
      <c r="B139" s="3" t="n">
        <v>45874.80253472222</v>
      </c>
      <c r="C139" s="3" t="n">
        <v>45874</v>
      </c>
      <c r="D139" s="2" t="inlineStr">
        <is>
          <t>Joey Wentz</t>
        </is>
      </c>
      <c r="E139" s="2" t="n">
        <v>144</v>
      </c>
      <c r="F139" s="2" t="n">
        <v>158</v>
      </c>
      <c r="G139" s="2" t="inlineStr">
        <is>
          <t>Home</t>
        </is>
      </c>
      <c r="H139" s="2" t="inlineStr">
        <is>
          <t>draftkings</t>
        </is>
      </c>
      <c r="I139" s="4" t="n"/>
      <c r="J139" s="4" t="n"/>
      <c r="K139" s="4" t="n">
        <v>-155</v>
      </c>
      <c r="L139" s="4" t="n">
        <v>-155</v>
      </c>
      <c r="M139" s="5" t="n">
        <v>4.5</v>
      </c>
      <c r="N139" s="5" t="n">
        <v>3.888265099335304</v>
      </c>
      <c r="O139" s="5" t="n">
        <v>4.5</v>
      </c>
      <c r="P139" s="5" t="n">
        <v>0.6117349006646959</v>
      </c>
      <c r="Q139" s="6" t="n">
        <v>0.0704319513144771</v>
      </c>
      <c r="R139" s="6" t="n">
        <v>0.6506547155048783</v>
      </c>
      <c r="S139" s="6" t="n">
        <v>0.5850959973966807</v>
      </c>
      <c r="T139" s="2" t="inlineStr">
        <is>
          <t>Under</t>
        </is>
      </c>
      <c r="U139" s="4" t="n">
        <v>-155</v>
      </c>
      <c r="V139" s="2" t="n">
        <v>1.645161290322581</v>
      </c>
      <c r="W139" s="4" t="n">
        <v>-155</v>
      </c>
      <c r="X139" s="2" t="n">
        <v>1</v>
      </c>
      <c r="Y139" s="5" t="n">
        <v>0.6451612903225805</v>
      </c>
      <c r="Z139" s="7" t="n">
        <v>100</v>
      </c>
      <c r="AA139" s="7">
        <f>Y139*Z139</f>
        <v/>
      </c>
      <c r="AB139" s="6">
        <f>IF(Z139=0,0,AA139/Z139)</f>
        <v/>
      </c>
      <c r="AC139" s="6" t="n"/>
      <c r="AD139" s="2" t="inlineStr">
        <is>
          <t>Win</t>
        </is>
      </c>
      <c r="AE139" s="6">
        <f>IF((COUNTIF($AD$2:AD139,"Win")+COUNTIF($AD$2:AD139,"Loss"))=0,0,COUNTIF($AD$2:AD139,"Win")/(COUNTIF($AD$2:AD139,"Win")+COUNTIF($AD$2:AD139,"Loss")))</f>
        <v/>
      </c>
      <c r="AF139" s="6">
        <f>SUM($Y$2:Y139)/SUM($X$2:X139)</f>
        <v/>
      </c>
      <c r="AG139" s="5">
        <f>SUM($Y$2:Y139)</f>
        <v/>
      </c>
      <c r="AH139" s="7">
        <f>10000.0+SUM($AA$2:AA139)</f>
        <v/>
      </c>
      <c r="AI139" s="2" t="n">
        <v>2025</v>
      </c>
      <c r="AJ139" s="2" t="inlineStr">
        <is>
          <t>2025-08</t>
        </is>
      </c>
      <c r="AK139" s="2" t="inlineStr">
        <is>
          <t>&lt;= -150</t>
        </is>
      </c>
      <c r="AL139" s="2" t="inlineStr">
        <is>
          <t>2025 Validation</t>
        </is>
      </c>
      <c r="AM139" s="6" t="n">
        <v>0.1091695245374395</v>
      </c>
    </row>
    <row r="140">
      <c r="A140" s="2" t="inlineStr">
        <is>
          <t>KPROP-00139</t>
        </is>
      </c>
      <c r="B140" s="3" t="n">
        <v>45874.77821759259</v>
      </c>
      <c r="C140" s="3" t="n">
        <v>45874</v>
      </c>
      <c r="D140" s="2" t="inlineStr">
        <is>
          <t>Logan Webb</t>
        </is>
      </c>
      <c r="E140" s="2" t="n">
        <v>137</v>
      </c>
      <c r="F140" s="2" t="n">
        <v>134</v>
      </c>
      <c r="G140" s="2" t="inlineStr">
        <is>
          <t>Away</t>
        </is>
      </c>
      <c r="H140" s="2" t="inlineStr">
        <is>
          <t>betmgm</t>
        </is>
      </c>
      <c r="I140" s="4" t="n"/>
      <c r="J140" s="4" t="n"/>
      <c r="K140" s="4" t="n">
        <v>-135</v>
      </c>
      <c r="L140" s="4" t="n">
        <v>-135</v>
      </c>
      <c r="M140" s="5" t="n">
        <v>6.5</v>
      </c>
      <c r="N140" s="5" t="n">
        <v>5.672790766506145</v>
      </c>
      <c r="O140" s="5" t="n">
        <v>6.5</v>
      </c>
      <c r="P140" s="5" t="n">
        <v>0.8272092334938552</v>
      </c>
      <c r="Q140" s="6" t="n">
        <v>0.1466257277153276</v>
      </c>
      <c r="R140" s="6" t="n">
        <v>0.6586998861343372</v>
      </c>
      <c r="S140" s="6" t="n">
        <v>0.552594002855783</v>
      </c>
      <c r="T140" s="2" t="inlineStr">
        <is>
          <t>Under</t>
        </is>
      </c>
      <c r="U140" s="4" t="n">
        <v>-135</v>
      </c>
      <c r="V140" s="2" t="n">
        <v>1.740740740740741</v>
      </c>
      <c r="W140" s="4" t="n">
        <v>-135</v>
      </c>
      <c r="X140" s="2" t="n">
        <v>1</v>
      </c>
      <c r="Y140" s="5" t="n">
        <v>-1</v>
      </c>
      <c r="Z140" s="7" t="n">
        <v>100</v>
      </c>
      <c r="AA140" s="7">
        <f>Y140*Z140</f>
        <v/>
      </c>
      <c r="AB140" s="6">
        <f>IF(Z140=0,0,AA140/Z140)</f>
        <v/>
      </c>
      <c r="AC140" s="6" t="n"/>
      <c r="AD140" s="2" t="inlineStr">
        <is>
          <t>Loss</t>
        </is>
      </c>
      <c r="AE140" s="6">
        <f>IF((COUNTIF($AD$2:AD140,"Win")+COUNTIF($AD$2:AD140,"Loss"))=0,0,COUNTIF($AD$2:AD140,"Win")/(COUNTIF($AD$2:AD140,"Win")+COUNTIF($AD$2:AD140,"Loss")))</f>
        <v/>
      </c>
      <c r="AF140" s="6">
        <f>SUM($Y$2:Y140)/SUM($X$2:X140)</f>
        <v/>
      </c>
      <c r="AG140" s="5">
        <f>SUM($Y$2:Y140)</f>
        <v/>
      </c>
      <c r="AH140" s="7">
        <f>10000.0+SUM($AA$2:AA140)</f>
        <v/>
      </c>
      <c r="AI140" s="2" t="n">
        <v>2025</v>
      </c>
      <c r="AJ140" s="2" t="inlineStr">
        <is>
          <t>2025-08</t>
        </is>
      </c>
      <c r="AK140" s="2" t="inlineStr">
        <is>
          <t>-149 to -120</t>
        </is>
      </c>
      <c r="AL140" s="2" t="inlineStr">
        <is>
          <t>2025 Validation</t>
        </is>
      </c>
      <c r="AM140" s="6" t="n">
        <v>0.1979447324156923</v>
      </c>
    </row>
    <row r="141">
      <c r="A141" s="2" t="inlineStr">
        <is>
          <t>KPROP-00140</t>
        </is>
      </c>
      <c r="B141" s="3" t="n">
        <v>45874.78170138889</v>
      </c>
      <c r="C141" s="3" t="n">
        <v>45874</v>
      </c>
      <c r="D141" s="2" t="inlineStr">
        <is>
          <t>MacKenzie Gore</t>
        </is>
      </c>
      <c r="E141" s="2" t="n">
        <v>120</v>
      </c>
      <c r="F141" s="2" t="n">
        <v>133</v>
      </c>
      <c r="G141" s="2" t="inlineStr">
        <is>
          <t>Home</t>
        </is>
      </c>
      <c r="H141" s="2" t="inlineStr">
        <is>
          <t>betrivers</t>
        </is>
      </c>
      <c r="I141" s="4" t="n"/>
      <c r="J141" s="4" t="n"/>
      <c r="K141" s="4" t="n">
        <v>118</v>
      </c>
      <c r="L141" s="4" t="n">
        <v>118</v>
      </c>
      <c r="M141" s="5" t="n">
        <v>6.5</v>
      </c>
      <c r="N141" s="5" t="n">
        <v>6.462838832842501</v>
      </c>
      <c r="O141" s="5" t="n">
        <v>6.5</v>
      </c>
      <c r="P141" s="5" t="n">
        <v>0.03716116715749873</v>
      </c>
      <c r="Q141" s="6" t="n">
        <v>0.1605972345683777</v>
      </c>
      <c r="R141" s="6" t="n">
        <v>0.5323840525543018</v>
      </c>
      <c r="S141" s="6" t="n">
        <v>0.4439826185528055</v>
      </c>
      <c r="T141" s="2" t="inlineStr">
        <is>
          <t>Under</t>
        </is>
      </c>
      <c r="U141" s="4" t="n">
        <v>118</v>
      </c>
      <c r="V141" s="2" t="n">
        <v>2.18</v>
      </c>
      <c r="W141" s="4" t="n">
        <v>118</v>
      </c>
      <c r="X141" s="2" t="n">
        <v>1</v>
      </c>
      <c r="Y141" s="5" t="n">
        <v>1.18</v>
      </c>
      <c r="Z141" s="7" t="n">
        <v>100</v>
      </c>
      <c r="AA141" s="7">
        <f>Y141*Z141</f>
        <v/>
      </c>
      <c r="AB141" s="6">
        <f>IF(Z141=0,0,AA141/Z141)</f>
        <v/>
      </c>
      <c r="AC141" s="6" t="n"/>
      <c r="AD141" s="2" t="inlineStr">
        <is>
          <t>Win</t>
        </is>
      </c>
      <c r="AE141" s="6">
        <f>IF((COUNTIF($AD$2:AD141,"Win")+COUNTIF($AD$2:AD141,"Loss"))=0,0,COUNTIF($AD$2:AD141,"Win")/(COUNTIF($AD$2:AD141,"Win")+COUNTIF($AD$2:AD141,"Loss")))</f>
        <v/>
      </c>
      <c r="AF141" s="6">
        <f>SUM($Y$2:Y141)/SUM($X$2:X141)</f>
        <v/>
      </c>
      <c r="AG141" s="5">
        <f>SUM($Y$2:Y141)</f>
        <v/>
      </c>
      <c r="AH141" s="7">
        <f>10000.0+SUM($AA$2:AA141)</f>
        <v/>
      </c>
      <c r="AI141" s="2" t="n">
        <v>2025</v>
      </c>
      <c r="AJ141" s="2" t="inlineStr">
        <is>
          <t>2025-08</t>
        </is>
      </c>
      <c r="AK141" s="2" t="inlineStr">
        <is>
          <t>+100 to +120</t>
        </is>
      </c>
      <c r="AL141" s="2" t="inlineStr">
        <is>
          <t>2025 Validation</t>
        </is>
      </c>
      <c r="AM141" s="6" t="n">
        <v>0.1360993513291337</v>
      </c>
    </row>
    <row r="142">
      <c r="A142" s="2" t="inlineStr">
        <is>
          <t>KPROP-00141</t>
        </is>
      </c>
      <c r="B142" s="3" t="n">
        <v>45874.78170138889</v>
      </c>
      <c r="C142" s="3" t="n">
        <v>45874</v>
      </c>
      <c r="D142" s="2" t="inlineStr">
        <is>
          <t>MacKenzie Gore</t>
        </is>
      </c>
      <c r="E142" s="2" t="n">
        <v>120</v>
      </c>
      <c r="F142" s="2" t="n">
        <v>133</v>
      </c>
      <c r="G142" s="2" t="inlineStr">
        <is>
          <t>Home</t>
        </is>
      </c>
      <c r="H142" s="2" t="inlineStr">
        <is>
          <t>betrivers</t>
        </is>
      </c>
      <c r="I142" s="4" t="n"/>
      <c r="J142" s="4" t="n"/>
      <c r="K142" s="4" t="n">
        <v>-165</v>
      </c>
      <c r="L142" s="4" t="n">
        <v>-165</v>
      </c>
      <c r="M142" s="5" t="n">
        <v>7.5</v>
      </c>
      <c r="N142" s="5" t="n">
        <v>6.462838832842501</v>
      </c>
      <c r="O142" s="5" t="n">
        <v>7.5</v>
      </c>
      <c r="P142" s="5" t="n">
        <v>1.037161167157499</v>
      </c>
      <c r="Q142" s="6" t="n">
        <v>0.0892046785278523</v>
      </c>
      <c r="R142" s="6" t="n">
        <v>0.6781840451211156</v>
      </c>
      <c r="S142" s="6" t="n">
        <v>0.5780254777070064</v>
      </c>
      <c r="T142" s="2" t="inlineStr">
        <is>
          <t>Under</t>
        </is>
      </c>
      <c r="U142" s="4" t="n">
        <v>-165</v>
      </c>
      <c r="V142" s="2" t="n">
        <v>1.606060606060606</v>
      </c>
      <c r="W142" s="4" t="n">
        <v>-165</v>
      </c>
      <c r="X142" s="2" t="n">
        <v>1</v>
      </c>
      <c r="Y142" s="5" t="n">
        <v>0.606060606060606</v>
      </c>
      <c r="Z142" s="7" t="n">
        <v>100</v>
      </c>
      <c r="AA142" s="7">
        <f>Y142*Z142</f>
        <v/>
      </c>
      <c r="AB142" s="6">
        <f>IF(Z142=0,0,AA142/Z142)</f>
        <v/>
      </c>
      <c r="AC142" s="6" t="n"/>
      <c r="AD142" s="2" t="inlineStr">
        <is>
          <t>Win</t>
        </is>
      </c>
      <c r="AE142" s="6">
        <f>IF((COUNTIF($AD$2:AD142,"Win")+COUNTIF($AD$2:AD142,"Loss"))=0,0,COUNTIF($AD$2:AD142,"Win")/(COUNTIF($AD$2:AD142,"Win")+COUNTIF($AD$2:AD142,"Loss")))</f>
        <v/>
      </c>
      <c r="AF142" s="6">
        <f>SUM($Y$2:Y142)/SUM($X$2:X142)</f>
        <v/>
      </c>
      <c r="AG142" s="5">
        <f>SUM($Y$2:Y142)</f>
        <v/>
      </c>
      <c r="AH142" s="7">
        <f>10000.0+SUM($AA$2:AA142)</f>
        <v/>
      </c>
      <c r="AI142" s="2" t="n">
        <v>2025</v>
      </c>
      <c r="AJ142" s="2" t="inlineStr">
        <is>
          <t>2025-08</t>
        </is>
      </c>
      <c r="AK142" s="2" t="inlineStr">
        <is>
          <t>&lt;= -150</t>
        </is>
      </c>
      <c r="AL142" s="2" t="inlineStr">
        <is>
          <t>2025 Validation</t>
        </is>
      </c>
      <c r="AM142" s="6" t="n">
        <v>0.1471877195709563</v>
      </c>
    </row>
    <row r="143">
      <c r="A143" s="2" t="inlineStr">
        <is>
          <t>KPROP-00142</t>
        </is>
      </c>
      <c r="B143" s="3" t="n">
        <v>45875.54905092593</v>
      </c>
      <c r="C143" s="3" t="n">
        <v>45875</v>
      </c>
      <c r="D143" s="2" t="inlineStr">
        <is>
          <t>David Peterson</t>
        </is>
      </c>
      <c r="E143" s="2" t="n">
        <v>121</v>
      </c>
      <c r="F143" s="2" t="n">
        <v>114</v>
      </c>
      <c r="G143" s="2" t="inlineStr">
        <is>
          <t>Home</t>
        </is>
      </c>
      <c r="H143" s="2" t="inlineStr">
        <is>
          <t>bovada</t>
        </is>
      </c>
      <c r="I143" s="4" t="n"/>
      <c r="J143" s="4" t="n"/>
      <c r="K143" s="4" t="n">
        <v>130</v>
      </c>
      <c r="L143" s="4" t="n">
        <v>130</v>
      </c>
      <c r="M143" s="5" t="n">
        <v>4.5</v>
      </c>
      <c r="N143" s="5" t="n">
        <v>4.838191330157199</v>
      </c>
      <c r="O143" s="5" t="n">
        <v>4.5</v>
      </c>
      <c r="P143" s="5" t="n">
        <v>-0.3381913301571986</v>
      </c>
      <c r="Q143" s="6" t="n">
        <v>0.07945715871816328</v>
      </c>
      <c r="R143" s="6" t="n">
        <v>0.4693291994426797</v>
      </c>
      <c r="S143" s="6" t="n">
        <v>0.4214819850441876</v>
      </c>
      <c r="T143" s="2" t="inlineStr">
        <is>
          <t>Under</t>
        </is>
      </c>
      <c r="U143" s="4" t="n">
        <v>130</v>
      </c>
      <c r="V143" s="2" t="n">
        <v>2.3</v>
      </c>
      <c r="W143" s="4" t="n">
        <v>130</v>
      </c>
      <c r="X143" s="2" t="n">
        <v>1</v>
      </c>
      <c r="Y143" s="5" t="n">
        <v>-1</v>
      </c>
      <c r="Z143" s="7" t="n">
        <v>100</v>
      </c>
      <c r="AA143" s="7">
        <f>Y143*Z143</f>
        <v/>
      </c>
      <c r="AB143" s="6">
        <f>IF(Z143=0,0,AA143/Z143)</f>
        <v/>
      </c>
      <c r="AC143" s="6" t="n"/>
      <c r="AD143" s="2" t="inlineStr">
        <is>
          <t>Loss</t>
        </is>
      </c>
      <c r="AE143" s="6">
        <f>IF((COUNTIF($AD$2:AD143,"Win")+COUNTIF($AD$2:AD143,"Loss"))=0,0,COUNTIF($AD$2:AD143,"Win")/(COUNTIF($AD$2:AD143,"Win")+COUNTIF($AD$2:AD143,"Loss")))</f>
        <v/>
      </c>
      <c r="AF143" s="6">
        <f>SUM($Y$2:Y143)/SUM($X$2:X143)</f>
        <v/>
      </c>
      <c r="AG143" s="5">
        <f>SUM($Y$2:Y143)</f>
        <v/>
      </c>
      <c r="AH143" s="7">
        <f>10000.0+SUM($AA$2:AA143)</f>
        <v/>
      </c>
      <c r="AI143" s="2" t="n">
        <v>2025</v>
      </c>
      <c r="AJ143" s="2" t="inlineStr">
        <is>
          <t>2025-08</t>
        </is>
      </c>
      <c r="AK143" s="2" t="inlineStr">
        <is>
          <t>+121 to +150</t>
        </is>
      </c>
      <c r="AL143" s="2" t="inlineStr">
        <is>
          <t>2025 Validation</t>
        </is>
      </c>
      <c r="AM143" s="6" t="n">
        <v>0.06112089132166407</v>
      </c>
    </row>
    <row r="144">
      <c r="A144" s="2" t="inlineStr">
        <is>
          <t>KPROP-00143</t>
        </is>
      </c>
      <c r="B144" s="3" t="n">
        <v>45875.54905092593</v>
      </c>
      <c r="C144" s="3" t="n">
        <v>45875</v>
      </c>
      <c r="D144" s="2" t="inlineStr">
        <is>
          <t>Jack Flaherty</t>
        </is>
      </c>
      <c r="E144" s="2" t="n">
        <v>116</v>
      </c>
      <c r="F144" s="2" t="n">
        <v>142</v>
      </c>
      <c r="G144" s="2" t="inlineStr">
        <is>
          <t>Home</t>
        </is>
      </c>
      <c r="H144" s="2" t="inlineStr">
        <is>
          <t>bovada</t>
        </is>
      </c>
      <c r="I144" s="4" t="n"/>
      <c r="J144" s="4" t="n"/>
      <c r="K144" s="4" t="n">
        <v>-110</v>
      </c>
      <c r="L144" s="4" t="n">
        <v>-110</v>
      </c>
      <c r="M144" s="5" t="n">
        <v>6.5</v>
      </c>
      <c r="N144" s="5" t="n">
        <v>5.955247203130566</v>
      </c>
      <c r="O144" s="5" t="n">
        <v>6.5</v>
      </c>
      <c r="P144" s="5" t="n">
        <v>0.5447527968694343</v>
      </c>
      <c r="Q144" s="6" t="n">
        <v>0.1712095483929886</v>
      </c>
      <c r="R144" s="6" t="n">
        <v>0.6134907158248988</v>
      </c>
      <c r="S144" s="6" t="n">
        <v>0.5056053811659194</v>
      </c>
      <c r="T144" s="2" t="inlineStr">
        <is>
          <t>Under</t>
        </is>
      </c>
      <c r="U144" s="4" t="n">
        <v>-110</v>
      </c>
      <c r="V144" s="2" t="n">
        <v>1.909090909090909</v>
      </c>
      <c r="W144" s="4" t="n">
        <v>-110</v>
      </c>
      <c r="X144" s="2" t="n">
        <v>1</v>
      </c>
      <c r="Y144" s="5" t="n">
        <v>0.9090909090909092</v>
      </c>
      <c r="Z144" s="7" t="n">
        <v>100</v>
      </c>
      <c r="AA144" s="7">
        <f>Y144*Z144</f>
        <v/>
      </c>
      <c r="AB144" s="6">
        <f>IF(Z144=0,0,AA144/Z144)</f>
        <v/>
      </c>
      <c r="AC144" s="6" t="n"/>
      <c r="AD144" s="2" t="inlineStr">
        <is>
          <t>Win</t>
        </is>
      </c>
      <c r="AE144" s="6">
        <f>IF((COUNTIF($AD$2:AD144,"Win")+COUNTIF($AD$2:AD144,"Loss"))=0,0,COUNTIF($AD$2:AD144,"Win")/(COUNTIF($AD$2:AD144,"Win")+COUNTIF($AD$2:AD144,"Loss")))</f>
        <v/>
      </c>
      <c r="AF144" s="6">
        <f>SUM($Y$2:Y144)/SUM($X$2:X144)</f>
        <v/>
      </c>
      <c r="AG144" s="5">
        <f>SUM($Y$2:Y144)</f>
        <v/>
      </c>
      <c r="AH144" s="7">
        <f>10000.0+SUM($AA$2:AA144)</f>
        <v/>
      </c>
      <c r="AI144" s="2" t="n">
        <v>2025</v>
      </c>
      <c r="AJ144" s="2" t="inlineStr">
        <is>
          <t>2025-08</t>
        </is>
      </c>
      <c r="AK144" s="2" t="inlineStr">
        <is>
          <t>-119 to -101</t>
        </is>
      </c>
      <c r="AL144" s="2" t="inlineStr">
        <is>
          <t>2025 Validation</t>
        </is>
      </c>
      <c r="AM144" s="6" t="n">
        <v>0.1883305032322875</v>
      </c>
    </row>
    <row r="145">
      <c r="A145" s="2" t="inlineStr">
        <is>
          <t>KPROP-00144</t>
        </is>
      </c>
      <c r="B145" s="3" t="n">
        <v>45875.77821759259</v>
      </c>
      <c r="C145" s="3" t="n">
        <v>45875</v>
      </c>
      <c r="D145" s="2" t="inlineStr">
        <is>
          <t>Jeffrey Springs</t>
        </is>
      </c>
      <c r="E145" s="2" t="n">
        <v>133</v>
      </c>
      <c r="F145" s="2" t="n">
        <v>120</v>
      </c>
      <c r="G145" s="2" t="inlineStr">
        <is>
          <t>Away</t>
        </is>
      </c>
      <c r="H145" s="2" t="inlineStr">
        <is>
          <t>betrivers</t>
        </is>
      </c>
      <c r="I145" s="4" t="n"/>
      <c r="J145" s="4" t="n"/>
      <c r="K145" s="4" t="n">
        <v>128</v>
      </c>
      <c r="L145" s="4" t="n">
        <v>128</v>
      </c>
      <c r="M145" s="5" t="n">
        <v>4.5</v>
      </c>
      <c r="N145" s="5" t="n">
        <v>4.751704258142656</v>
      </c>
      <c r="O145" s="5" t="n">
        <v>4.5</v>
      </c>
      <c r="P145" s="5" t="n">
        <v>-0.2517042581426558</v>
      </c>
      <c r="Q145" s="6" t="n">
        <v>0.1059934536788661</v>
      </c>
      <c r="R145" s="6" t="n">
        <v>0.4850848481047658</v>
      </c>
      <c r="S145" s="6" t="n">
        <v>0.4132875857766687</v>
      </c>
      <c r="T145" s="2" t="inlineStr">
        <is>
          <t>Under</t>
        </is>
      </c>
      <c r="U145" s="4" t="n">
        <v>128</v>
      </c>
      <c r="V145" s="2" t="n">
        <v>2.28</v>
      </c>
      <c r="W145" s="4" t="n">
        <v>128</v>
      </c>
      <c r="X145" s="2" t="n">
        <v>1</v>
      </c>
      <c r="Y145" s="5" t="n">
        <v>-1</v>
      </c>
      <c r="Z145" s="7" t="n">
        <v>100</v>
      </c>
      <c r="AA145" s="7">
        <f>Y145*Z145</f>
        <v/>
      </c>
      <c r="AB145" s="6">
        <f>IF(Z145=0,0,AA145/Z145)</f>
        <v/>
      </c>
      <c r="AC145" s="6" t="n"/>
      <c r="AD145" s="2" t="inlineStr">
        <is>
          <t>Loss</t>
        </is>
      </c>
      <c r="AE145" s="6">
        <f>IF((COUNTIF($AD$2:AD145,"Win")+COUNTIF($AD$2:AD145,"Loss"))=0,0,COUNTIF($AD$2:AD145,"Win")/(COUNTIF($AD$2:AD145,"Win")+COUNTIF($AD$2:AD145,"Loss")))</f>
        <v/>
      </c>
      <c r="AF145" s="6">
        <f>SUM($Y$2:Y145)/SUM($X$2:X145)</f>
        <v/>
      </c>
      <c r="AG145" s="5">
        <f>SUM($Y$2:Y145)</f>
        <v/>
      </c>
      <c r="AH145" s="7">
        <f>10000.0+SUM($AA$2:AA145)</f>
        <v/>
      </c>
      <c r="AI145" s="2" t="n">
        <v>2025</v>
      </c>
      <c r="AJ145" s="2" t="inlineStr">
        <is>
          <t>2025-08</t>
        </is>
      </c>
      <c r="AK145" s="2" t="inlineStr">
        <is>
          <t>+121 to +150</t>
        </is>
      </c>
      <c r="AL145" s="2" t="inlineStr">
        <is>
          <t>2025 Validation</t>
        </is>
      </c>
      <c r="AM145" s="6" t="n">
        <v>0.08280738568661417</v>
      </c>
    </row>
    <row r="146">
      <c r="A146" s="2" t="inlineStr">
        <is>
          <t>KPROP-00145</t>
        </is>
      </c>
      <c r="B146" s="3" t="n">
        <v>45875.77821759259</v>
      </c>
      <c r="C146" s="3" t="n">
        <v>45875</v>
      </c>
      <c r="D146" s="2" t="inlineStr">
        <is>
          <t>Jeffrey Springs</t>
        </is>
      </c>
      <c r="E146" s="2" t="n">
        <v>133</v>
      </c>
      <c r="F146" s="2" t="n">
        <v>120</v>
      </c>
      <c r="G146" s="2" t="inlineStr">
        <is>
          <t>Away</t>
        </is>
      </c>
      <c r="H146" s="2" t="inlineStr">
        <is>
          <t>bovada</t>
        </is>
      </c>
      <c r="I146" s="4" t="n"/>
      <c r="J146" s="4" t="n"/>
      <c r="K146" s="4" t="n">
        <v>-160</v>
      </c>
      <c r="L146" s="4" t="n">
        <v>-160</v>
      </c>
      <c r="M146" s="5" t="n">
        <v>5.5</v>
      </c>
      <c r="N146" s="5" t="n">
        <v>4.751704258142656</v>
      </c>
      <c r="O146" s="5" t="n">
        <v>5.5</v>
      </c>
      <c r="P146" s="5" t="n">
        <v>0.7482957418573442</v>
      </c>
      <c r="Q146" s="6" t="n">
        <v>0.07158480967558972</v>
      </c>
      <c r="R146" s="6" t="n">
        <v>0.6594368059542091</v>
      </c>
      <c r="S146" s="6" t="n">
        <v>0.5880861850443601</v>
      </c>
      <c r="T146" s="2" t="inlineStr">
        <is>
          <t>Under</t>
        </is>
      </c>
      <c r="U146" s="4" t="n">
        <v>-160</v>
      </c>
      <c r="V146" s="2" t="n">
        <v>1.625</v>
      </c>
      <c r="W146" s="4" t="n">
        <v>-160</v>
      </c>
      <c r="X146" s="2" t="n">
        <v>1</v>
      </c>
      <c r="Y146" s="5" t="n">
        <v>0.625</v>
      </c>
      <c r="Z146" s="7" t="n">
        <v>100</v>
      </c>
      <c r="AA146" s="7">
        <f>Y146*Z146</f>
        <v/>
      </c>
      <c r="AB146" s="6">
        <f>IF(Z146=0,0,AA146/Z146)</f>
        <v/>
      </c>
      <c r="AC146" s="6" t="n"/>
      <c r="AD146" s="2" t="inlineStr">
        <is>
          <t>Win</t>
        </is>
      </c>
      <c r="AE146" s="6">
        <f>IF((COUNTIF($AD$2:AD146,"Win")+COUNTIF($AD$2:AD146,"Loss"))=0,0,COUNTIF($AD$2:AD146,"Win")/(COUNTIF($AD$2:AD146,"Win")+COUNTIF($AD$2:AD146,"Loss")))</f>
        <v/>
      </c>
      <c r="AF146" s="6">
        <f>SUM($Y$2:Y146)/SUM($X$2:X146)</f>
        <v/>
      </c>
      <c r="AG146" s="5">
        <f>SUM($Y$2:Y146)</f>
        <v/>
      </c>
      <c r="AH146" s="7">
        <f>10000.0+SUM($AA$2:AA146)</f>
        <v/>
      </c>
      <c r="AI146" s="2" t="n">
        <v>2025</v>
      </c>
      <c r="AJ146" s="2" t="inlineStr">
        <is>
          <t>2025-08</t>
        </is>
      </c>
      <c r="AK146" s="2" t="inlineStr">
        <is>
          <t>&lt;= -150</t>
        </is>
      </c>
      <c r="AL146" s="2" t="inlineStr">
        <is>
          <t>2025 Validation</t>
        </is>
      </c>
      <c r="AM146" s="6" t="n">
        <v>0.1145356954809436</v>
      </c>
    </row>
    <row r="147">
      <c r="A147" s="2" t="inlineStr">
        <is>
          <t>KPROP-00146</t>
        </is>
      </c>
      <c r="B147" s="3" t="n">
        <v>45875.52474537037</v>
      </c>
      <c r="C147" s="3" t="n">
        <v>45875</v>
      </c>
      <c r="D147" s="2" t="inlineStr">
        <is>
          <t>Ranger Suarez</t>
        </is>
      </c>
      <c r="E147" s="2" t="n">
        <v>143</v>
      </c>
      <c r="F147" s="2" t="n">
        <v>110</v>
      </c>
      <c r="G147" s="2" t="inlineStr">
        <is>
          <t>Home</t>
        </is>
      </c>
      <c r="H147" s="2" t="inlineStr">
        <is>
          <t>betrivers</t>
        </is>
      </c>
      <c r="I147" s="4" t="n"/>
      <c r="J147" s="4" t="n"/>
      <c r="K147" s="4" t="n">
        <v>123</v>
      </c>
      <c r="L147" s="4" t="n">
        <v>123</v>
      </c>
      <c r="M147" s="5" t="n">
        <v>5.5</v>
      </c>
      <c r="N147" s="5" t="n">
        <v>5.464794365390162</v>
      </c>
      <c r="O147" s="5" t="n">
        <v>5.5</v>
      </c>
      <c r="P147" s="5" t="n">
        <v>0.03520563460983794</v>
      </c>
      <c r="Q147" s="6" t="n">
        <v>0.1929661874151332</v>
      </c>
      <c r="R147" s="6" t="n">
        <v>0.5349624158812256</v>
      </c>
      <c r="S147" s="6" t="n">
        <v>0.4245400815782902</v>
      </c>
      <c r="T147" s="2" t="inlineStr">
        <is>
          <t>Under</t>
        </is>
      </c>
      <c r="U147" s="4" t="n">
        <v>123</v>
      </c>
      <c r="V147" s="2" t="n">
        <v>2.23</v>
      </c>
      <c r="W147" s="4" t="n">
        <v>123</v>
      </c>
      <c r="X147" s="2" t="n">
        <v>1</v>
      </c>
      <c r="Y147" s="5" t="n">
        <v>1.23</v>
      </c>
      <c r="Z147" s="7" t="n">
        <v>100</v>
      </c>
      <c r="AA147" s="7">
        <f>Y147*Z147</f>
        <v/>
      </c>
      <c r="AB147" s="6">
        <f>IF(Z147=0,0,AA147/Z147)</f>
        <v/>
      </c>
      <c r="AC147" s="6" t="n"/>
      <c r="AD147" s="2" t="inlineStr">
        <is>
          <t>Win</t>
        </is>
      </c>
      <c r="AE147" s="6">
        <f>IF((COUNTIF($AD$2:AD147,"Win")+COUNTIF($AD$2:AD147,"Loss"))=0,0,COUNTIF($AD$2:AD147,"Win")/(COUNTIF($AD$2:AD147,"Win")+COUNTIF($AD$2:AD147,"Loss")))</f>
        <v/>
      </c>
      <c r="AF147" s="6">
        <f>SUM($Y$2:Y147)/SUM($X$2:X147)</f>
        <v/>
      </c>
      <c r="AG147" s="5">
        <f>SUM($Y$2:Y147)</f>
        <v/>
      </c>
      <c r="AH147" s="7">
        <f>10000.0+SUM($AA$2:AA147)</f>
        <v/>
      </c>
      <c r="AI147" s="2" t="n">
        <v>2025</v>
      </c>
      <c r="AJ147" s="2" t="inlineStr">
        <is>
          <t>2025-08</t>
        </is>
      </c>
      <c r="AK147" s="2" t="inlineStr">
        <is>
          <t>+121 to +150</t>
        </is>
      </c>
      <c r="AL147" s="2" t="inlineStr">
        <is>
          <t>2025 Validation</t>
        </is>
      </c>
      <c r="AM147" s="6" t="n">
        <v>0.1568830791992953</v>
      </c>
    </row>
    <row r="148">
      <c r="A148" s="2" t="inlineStr">
        <is>
          <t>KPROP-00147</t>
        </is>
      </c>
      <c r="B148" s="3" t="n">
        <v>45875.52474537037</v>
      </c>
      <c r="C148" s="3" t="n">
        <v>45875</v>
      </c>
      <c r="D148" s="2" t="inlineStr">
        <is>
          <t>Ranger Suarez</t>
        </is>
      </c>
      <c r="E148" s="2" t="n">
        <v>143</v>
      </c>
      <c r="F148" s="2" t="n">
        <v>110</v>
      </c>
      <c r="G148" s="2" t="inlineStr">
        <is>
          <t>Home</t>
        </is>
      </c>
      <c r="H148" s="2" t="inlineStr">
        <is>
          <t>mybookieag</t>
        </is>
      </c>
      <c r="I148" s="4" t="n"/>
      <c r="J148" s="4" t="n"/>
      <c r="K148" s="4" t="n">
        <v>-133</v>
      </c>
      <c r="L148" s="4" t="n">
        <v>-133</v>
      </c>
      <c r="M148" s="5" t="n">
        <v>6.5</v>
      </c>
      <c r="N148" s="5" t="n">
        <v>5.464794365390162</v>
      </c>
      <c r="O148" s="5" t="n">
        <v>6.5</v>
      </c>
      <c r="P148" s="5" t="n">
        <v>1.035205634609838</v>
      </c>
      <c r="Q148" s="6" t="n">
        <v>0.2115269908689182</v>
      </c>
      <c r="R148" s="6" t="n">
        <v>0.6915583252599404</v>
      </c>
      <c r="S148" s="6" t="n">
        <v>0.5600370097622689</v>
      </c>
      <c r="T148" s="2" t="inlineStr">
        <is>
          <t>Under</t>
        </is>
      </c>
      <c r="U148" s="4" t="n">
        <v>-133</v>
      </c>
      <c r="V148" s="2" t="n">
        <v>1.75187969924812</v>
      </c>
      <c r="W148" s="4" t="n">
        <v>-133</v>
      </c>
      <c r="X148" s="2" t="n">
        <v>1</v>
      </c>
      <c r="Y148" s="5" t="n">
        <v>0.7518796992481203</v>
      </c>
      <c r="Z148" s="7" t="n">
        <v>100</v>
      </c>
      <c r="AA148" s="7">
        <f>Y148*Z148</f>
        <v/>
      </c>
      <c r="AB148" s="6">
        <f>IF(Z148=0,0,AA148/Z148)</f>
        <v/>
      </c>
      <c r="AC148" s="6" t="n"/>
      <c r="AD148" s="2" t="inlineStr">
        <is>
          <t>Win</t>
        </is>
      </c>
      <c r="AE148" s="6">
        <f>IF((COUNTIF($AD$2:AD148,"Win")+COUNTIF($AD$2:AD148,"Loss"))=0,0,COUNTIF($AD$2:AD148,"Win")/(COUNTIF($AD$2:AD148,"Win")+COUNTIF($AD$2:AD148,"Loss")))</f>
        <v/>
      </c>
      <c r="AF148" s="6">
        <f>SUM($Y$2:Y148)/SUM($X$2:X148)</f>
        <v/>
      </c>
      <c r="AG148" s="5">
        <f>SUM($Y$2:Y148)</f>
        <v/>
      </c>
      <c r="AH148" s="7">
        <f>10000.0+SUM($AA$2:AA148)</f>
        <v/>
      </c>
      <c r="AI148" s="2" t="n">
        <v>2025</v>
      </c>
      <c r="AJ148" s="2" t="inlineStr">
        <is>
          <t>2025-08</t>
        </is>
      </c>
      <c r="AK148" s="2" t="inlineStr">
        <is>
          <t>-149 to -120</t>
        </is>
      </c>
      <c r="AL148" s="2" t="inlineStr">
        <is>
          <t>2025 Validation</t>
        </is>
      </c>
      <c r="AM148" s="6" t="n">
        <v>0.2813308978556611</v>
      </c>
    </row>
    <row r="149">
      <c r="A149" s="2" t="inlineStr">
        <is>
          <t>KPROP-00148</t>
        </is>
      </c>
      <c r="B149" s="3" t="n">
        <v>45875.52474537037</v>
      </c>
      <c r="C149" s="3" t="n">
        <v>45875</v>
      </c>
      <c r="D149" s="2" t="inlineStr">
        <is>
          <t>Robbie Ray</t>
        </is>
      </c>
      <c r="E149" s="2" t="n">
        <v>137</v>
      </c>
      <c r="F149" s="2" t="n">
        <v>134</v>
      </c>
      <c r="G149" s="2" t="inlineStr">
        <is>
          <t>Away</t>
        </is>
      </c>
      <c r="H149" s="2" t="inlineStr">
        <is>
          <t>fanduel</t>
        </is>
      </c>
      <c r="I149" s="4" t="n"/>
      <c r="J149" s="4" t="n"/>
      <c r="K149" s="4" t="n">
        <v>108</v>
      </c>
      <c r="L149" s="4" t="n">
        <v>108</v>
      </c>
      <c r="M149" s="5" t="n">
        <v>6.5</v>
      </c>
      <c r="N149" s="5" t="n">
        <v>6.173286769211832</v>
      </c>
      <c r="O149" s="5" t="n">
        <v>6.5</v>
      </c>
      <c r="P149" s="5" t="n">
        <v>0.3267132307881679</v>
      </c>
      <c r="Q149" s="6" t="n">
        <v>0.2032629181531005</v>
      </c>
      <c r="R149" s="6" t="n">
        <v>0.578491787573606</v>
      </c>
      <c r="S149" s="6" t="n">
        <v>0.4639175257731958</v>
      </c>
      <c r="T149" s="2" t="inlineStr">
        <is>
          <t>Under</t>
        </is>
      </c>
      <c r="U149" s="4" t="n">
        <v>108</v>
      </c>
      <c r="V149" s="2" t="n">
        <v>2.08</v>
      </c>
      <c r="W149" s="4" t="n">
        <v>108</v>
      </c>
      <c r="X149" s="2" t="n">
        <v>1</v>
      </c>
      <c r="Y149" s="5" t="n">
        <v>-1</v>
      </c>
      <c r="Z149" s="7" t="n">
        <v>100</v>
      </c>
      <c r="AA149" s="7">
        <f>Y149*Z149</f>
        <v/>
      </c>
      <c r="AB149" s="6">
        <f>IF(Z149=0,0,AA149/Z149)</f>
        <v/>
      </c>
      <c r="AC149" s="6" t="n"/>
      <c r="AD149" s="2" t="inlineStr">
        <is>
          <t>Loss</t>
        </is>
      </c>
      <c r="AE149" s="6">
        <f>IF((COUNTIF($AD$2:AD149,"Win")+COUNTIF($AD$2:AD149,"Loss"))=0,0,COUNTIF($AD$2:AD149,"Win")/(COUNTIF($AD$2:AD149,"Win")+COUNTIF($AD$2:AD149,"Loss")))</f>
        <v/>
      </c>
      <c r="AF149" s="6">
        <f>SUM($Y$2:Y149)/SUM($X$2:X149)</f>
        <v/>
      </c>
      <c r="AG149" s="5">
        <f>SUM($Y$2:Y149)</f>
        <v/>
      </c>
      <c r="AH149" s="7">
        <f>10000.0+SUM($AA$2:AA149)</f>
        <v/>
      </c>
      <c r="AI149" s="2" t="n">
        <v>2025</v>
      </c>
      <c r="AJ149" s="2" t="inlineStr">
        <is>
          <t>2025-08</t>
        </is>
      </c>
      <c r="AK149" s="2" t="inlineStr">
        <is>
          <t>+100 to +120</t>
        </is>
      </c>
      <c r="AL149" s="2" t="inlineStr">
        <is>
          <t>2025 Validation</t>
        </is>
      </c>
      <c r="AM149" s="6" t="n">
        <v>0.1882064056973153</v>
      </c>
    </row>
    <row r="150">
      <c r="A150" s="2" t="inlineStr">
        <is>
          <t>KPROP-00149</t>
        </is>
      </c>
      <c r="B150" s="3" t="n">
        <v>45875.79905092593</v>
      </c>
      <c r="C150" s="3" t="n">
        <v>45875</v>
      </c>
      <c r="D150" s="2" t="inlineStr">
        <is>
          <t>Spencer Strider</t>
        </is>
      </c>
      <c r="E150" s="2" t="n">
        <v>144</v>
      </c>
      <c r="F150" s="2" t="n">
        <v>158</v>
      </c>
      <c r="G150" s="2" t="inlineStr">
        <is>
          <t>Home</t>
        </is>
      </c>
      <c r="H150" s="2" t="inlineStr">
        <is>
          <t>bovada</t>
        </is>
      </c>
      <c r="I150" s="4" t="n"/>
      <c r="J150" s="4" t="n"/>
      <c r="K150" s="4" t="n">
        <v>120</v>
      </c>
      <c r="L150" s="4" t="n">
        <v>120</v>
      </c>
      <c r="M150" s="5" t="n">
        <v>6.5</v>
      </c>
      <c r="N150" s="5" t="n">
        <v>5.905865200057663</v>
      </c>
      <c r="O150" s="5" t="n">
        <v>6.5</v>
      </c>
      <c r="P150" s="5" t="n">
        <v>0.5941347999423368</v>
      </c>
      <c r="Q150" s="6" t="n">
        <v>0.3671223702377141</v>
      </c>
      <c r="R150" s="6" t="n">
        <v>0.6214192591989609</v>
      </c>
      <c r="S150" s="6" t="n">
        <v>0.4343971631205674</v>
      </c>
      <c r="T150" s="2" t="inlineStr">
        <is>
          <t>Under</t>
        </is>
      </c>
      <c r="U150" s="4" t="n">
        <v>120</v>
      </c>
      <c r="V150" s="2" t="n">
        <v>2.2</v>
      </c>
      <c r="W150" s="4" t="n">
        <v>120</v>
      </c>
      <c r="X150" s="2" t="n">
        <v>1</v>
      </c>
      <c r="Y150" s="5" t="n">
        <v>1.2</v>
      </c>
      <c r="Z150" s="7" t="n">
        <v>100</v>
      </c>
      <c r="AA150" s="7">
        <f>Y150*Z150</f>
        <v/>
      </c>
      <c r="AB150" s="6">
        <f>IF(Z150=0,0,AA150/Z150)</f>
        <v/>
      </c>
      <c r="AC150" s="6" t="n"/>
      <c r="AD150" s="2" t="inlineStr">
        <is>
          <t>Win</t>
        </is>
      </c>
      <c r="AE150" s="6">
        <f>IF((COUNTIF($AD$2:AD150,"Win")+COUNTIF($AD$2:AD150,"Loss"))=0,0,COUNTIF($AD$2:AD150,"Win")/(COUNTIF($AD$2:AD150,"Win")+COUNTIF($AD$2:AD150,"Loss")))</f>
        <v/>
      </c>
      <c r="AF150" s="6">
        <f>SUM($Y$2:Y150)/SUM($X$2:X150)</f>
        <v/>
      </c>
      <c r="AG150" s="5">
        <f>SUM($Y$2:Y150)</f>
        <v/>
      </c>
      <c r="AH150" s="7">
        <f>10000.0+SUM($AA$2:AA150)</f>
        <v/>
      </c>
      <c r="AI150" s="2" t="n">
        <v>2025</v>
      </c>
      <c r="AJ150" s="2" t="inlineStr">
        <is>
          <t>2025-08</t>
        </is>
      </c>
      <c r="AK150" s="2" t="inlineStr">
        <is>
          <t>+100 to +120</t>
        </is>
      </c>
      <c r="AL150" s="2" t="inlineStr">
        <is>
          <t>2025 Validation</t>
        </is>
      </c>
      <c r="AM150" s="6" t="n">
        <v>0.3059353085314284</v>
      </c>
    </row>
    <row r="151">
      <c r="A151" s="2" t="inlineStr">
        <is>
          <t>KPROP-00150</t>
        </is>
      </c>
      <c r="B151" s="3" t="n">
        <v>45875.79905092593</v>
      </c>
      <c r="C151" s="3" t="n">
        <v>45875</v>
      </c>
      <c r="D151" s="2" t="inlineStr">
        <is>
          <t>Spencer Strider</t>
        </is>
      </c>
      <c r="E151" s="2" t="n">
        <v>144</v>
      </c>
      <c r="F151" s="2" t="n">
        <v>158</v>
      </c>
      <c r="G151" s="2" t="inlineStr">
        <is>
          <t>Home</t>
        </is>
      </c>
      <c r="H151" s="2" t="inlineStr">
        <is>
          <t>betrivers</t>
        </is>
      </c>
      <c r="I151" s="4" t="n"/>
      <c r="J151" s="4" t="n"/>
      <c r="K151" s="4" t="n">
        <v>-175</v>
      </c>
      <c r="L151" s="4" t="n">
        <v>-175</v>
      </c>
      <c r="M151" s="5" t="n">
        <v>7.5</v>
      </c>
      <c r="N151" s="5" t="n">
        <v>5.905865200057663</v>
      </c>
      <c r="O151" s="5" t="n">
        <v>7.5</v>
      </c>
      <c r="P151" s="5" t="n">
        <v>1.594134799942337</v>
      </c>
      <c r="Q151" s="6" t="n">
        <v>0.1893123177415235</v>
      </c>
      <c r="R151" s="6" t="n">
        <v>0.7568351112900604</v>
      </c>
      <c r="S151" s="6" t="n">
        <v>0.5887850467289719</v>
      </c>
      <c r="T151" s="2" t="inlineStr">
        <is>
          <t>Under</t>
        </is>
      </c>
      <c r="U151" s="4" t="n">
        <v>-175</v>
      </c>
      <c r="V151" s="2" t="n">
        <v>1.571428571428571</v>
      </c>
      <c r="W151" s="4" t="n">
        <v>-175</v>
      </c>
      <c r="X151" s="2" t="n">
        <v>1</v>
      </c>
      <c r="Y151" s="5" t="n">
        <v>0.5714285714285714</v>
      </c>
      <c r="Z151" s="7" t="n">
        <v>100</v>
      </c>
      <c r="AA151" s="7">
        <f>Y151*Z151</f>
        <v/>
      </c>
      <c r="AB151" s="6">
        <f>IF(Z151=0,0,AA151/Z151)</f>
        <v/>
      </c>
      <c r="AC151" s="6" t="n"/>
      <c r="AD151" s="2" t="inlineStr">
        <is>
          <t>Win</t>
        </is>
      </c>
      <c r="AE151" s="6">
        <f>IF((COUNTIF($AD$2:AD151,"Win")+COUNTIF($AD$2:AD151,"Loss"))=0,0,COUNTIF($AD$2:AD151,"Win")/(COUNTIF($AD$2:AD151,"Win")+COUNTIF($AD$2:AD151,"Loss")))</f>
        <v/>
      </c>
      <c r="AF151" s="6">
        <f>SUM($Y$2:Y151)/SUM($X$2:X151)</f>
        <v/>
      </c>
      <c r="AG151" s="5">
        <f>SUM($Y$2:Y151)</f>
        <v/>
      </c>
      <c r="AH151" s="7">
        <f>10000.0+SUM($AA$2:AA151)</f>
        <v/>
      </c>
      <c r="AI151" s="2" t="n">
        <v>2025</v>
      </c>
      <c r="AJ151" s="2" t="inlineStr">
        <is>
          <t>2025-08</t>
        </is>
      </c>
      <c r="AK151" s="2" t="inlineStr">
        <is>
          <t>&lt;= -150</t>
        </is>
      </c>
      <c r="AL151" s="2" t="inlineStr">
        <is>
          <t>2025 Validation</t>
        </is>
      </c>
      <c r="AM151" s="6" t="n">
        <v>0.3312965560476662</v>
      </c>
    </row>
    <row r="152">
      <c r="A152" s="2" t="inlineStr">
        <is>
          <t>KPROP-00151</t>
        </is>
      </c>
      <c r="B152" s="3" t="n">
        <v>45876.80253472222</v>
      </c>
      <c r="C152" s="3" t="n">
        <v>45876</v>
      </c>
      <c r="D152" s="2" t="inlineStr">
        <is>
          <t>Carlos Carrasco</t>
        </is>
      </c>
      <c r="E152" s="2" t="n">
        <v>144</v>
      </c>
      <c r="F152" s="2" t="n">
        <v>146</v>
      </c>
      <c r="G152" s="2" t="inlineStr">
        <is>
          <t>Home</t>
        </is>
      </c>
      <c r="H152" s="2" t="inlineStr">
        <is>
          <t>betmgm</t>
        </is>
      </c>
      <c r="I152" s="4" t="n"/>
      <c r="J152" s="4" t="n"/>
      <c r="K152" s="4" t="n">
        <v>120</v>
      </c>
      <c r="L152" s="4" t="n">
        <v>120</v>
      </c>
      <c r="M152" s="5" t="n">
        <v>3.5</v>
      </c>
      <c r="N152" s="5" t="n">
        <v>3.700972965566608</v>
      </c>
      <c r="O152" s="5" t="n">
        <v>3.5</v>
      </c>
      <c r="P152" s="5" t="n">
        <v>-0.2009729655666082</v>
      </c>
      <c r="Q152" s="6" t="n">
        <v>0.08669040776213022</v>
      </c>
      <c r="R152" s="6" t="n">
        <v>0.4939501853464228</v>
      </c>
      <c r="S152" s="6" t="n">
        <v>0.4417293233082706</v>
      </c>
      <c r="T152" s="2" t="inlineStr">
        <is>
          <t>Under</t>
        </is>
      </c>
      <c r="U152" s="4" t="n">
        <v>120</v>
      </c>
      <c r="V152" s="2" t="n">
        <v>2.2</v>
      </c>
      <c r="W152" s="4" t="n">
        <v>120</v>
      </c>
      <c r="X152" s="2" t="n">
        <v>1</v>
      </c>
      <c r="Y152" s="5" t="n">
        <v>1.2</v>
      </c>
      <c r="Z152" s="7" t="n">
        <v>100</v>
      </c>
      <c r="AA152" s="7">
        <f>Y152*Z152</f>
        <v/>
      </c>
      <c r="AB152" s="6">
        <f>IF(Z152=0,0,AA152/Z152)</f>
        <v/>
      </c>
      <c r="AC152" s="6" t="n"/>
      <c r="AD152" s="2" t="inlineStr">
        <is>
          <t>Win</t>
        </is>
      </c>
      <c r="AE152" s="6">
        <f>IF((COUNTIF($AD$2:AD152,"Win")+COUNTIF($AD$2:AD152,"Loss"))=0,0,COUNTIF($AD$2:AD152,"Win")/(COUNTIF($AD$2:AD152,"Win")+COUNTIF($AD$2:AD152,"Loss")))</f>
        <v/>
      </c>
      <c r="AF152" s="6">
        <f>SUM($Y$2:Y152)/SUM($X$2:X152)</f>
        <v/>
      </c>
      <c r="AG152" s="5">
        <f>SUM($Y$2:Y152)</f>
        <v/>
      </c>
      <c r="AH152" s="7">
        <f>10000.0+SUM($AA$2:AA152)</f>
        <v/>
      </c>
      <c r="AI152" s="2" t="n">
        <v>2025</v>
      </c>
      <c r="AJ152" s="2" t="inlineStr">
        <is>
          <t>2025-08</t>
        </is>
      </c>
      <c r="AK152" s="2" t="inlineStr">
        <is>
          <t>+100 to +120</t>
        </is>
      </c>
      <c r="AL152" s="2" t="inlineStr">
        <is>
          <t>2025 Validation</t>
        </is>
      </c>
      <c r="AM152" s="6" t="n">
        <v>0.07224200646844184</v>
      </c>
    </row>
    <row r="153">
      <c r="A153" s="2" t="inlineStr">
        <is>
          <t>KPROP-00152</t>
        </is>
      </c>
      <c r="B153" s="3" t="n">
        <v>45876.50391203703</v>
      </c>
      <c r="C153" s="3" t="n">
        <v>45876</v>
      </c>
      <c r="D153" s="2" t="inlineStr">
        <is>
          <t>Jacob Lopez</t>
        </is>
      </c>
      <c r="E153" s="2" t="n">
        <v>133</v>
      </c>
      <c r="F153" s="2" t="n">
        <v>120</v>
      </c>
      <c r="G153" s="2" t="inlineStr">
        <is>
          <t>Away</t>
        </is>
      </c>
      <c r="H153" s="2" t="inlineStr">
        <is>
          <t>betonlineag</t>
        </is>
      </c>
      <c r="I153" s="4" t="n"/>
      <c r="J153" s="4" t="n"/>
      <c r="K153" s="4" t="n">
        <v>128</v>
      </c>
      <c r="L153" s="4" t="n">
        <v>128</v>
      </c>
      <c r="M153" s="5" t="n">
        <v>5.5</v>
      </c>
      <c r="N153" s="5" t="n">
        <v>4.924534441442407</v>
      </c>
      <c r="O153" s="5" t="n">
        <v>5.5</v>
      </c>
      <c r="P153" s="5" t="n">
        <v>0.5754655585575934</v>
      </c>
      <c r="Q153" s="6" t="n">
        <v>0.4345756932208766</v>
      </c>
      <c r="R153" s="6" t="n">
        <v>0.6291998654477529</v>
      </c>
      <c r="S153" s="6" t="n">
        <v>0.4369300911854104</v>
      </c>
      <c r="T153" s="2" t="inlineStr">
        <is>
          <t>Under</t>
        </is>
      </c>
      <c r="U153" s="4" t="n">
        <v>128</v>
      </c>
      <c r="V153" s="2" t="n">
        <v>2.28</v>
      </c>
      <c r="W153" s="4" t="n">
        <v>128</v>
      </c>
      <c r="X153" s="2" t="n">
        <v>1</v>
      </c>
      <c r="Y153" s="5" t="n">
        <v>-1</v>
      </c>
      <c r="Z153" s="7" t="n">
        <v>100</v>
      </c>
      <c r="AA153" s="7">
        <f>Y153*Z153</f>
        <v/>
      </c>
      <c r="AB153" s="6">
        <f>IF(Z153=0,0,AA153/Z153)</f>
        <v/>
      </c>
      <c r="AC153" s="6" t="n"/>
      <c r="AD153" s="2" t="inlineStr">
        <is>
          <t>Loss</t>
        </is>
      </c>
      <c r="AE153" s="6">
        <f>IF((COUNTIF($AD$2:AD153,"Win")+COUNTIF($AD$2:AD153,"Loss"))=0,0,COUNTIF($AD$2:AD153,"Win")/(COUNTIF($AD$2:AD153,"Win")+COUNTIF($AD$2:AD153,"Loss")))</f>
        <v/>
      </c>
      <c r="AF153" s="6">
        <f>SUM($Y$2:Y153)/SUM($X$2:X153)</f>
        <v/>
      </c>
      <c r="AG153" s="5">
        <f>SUM($Y$2:Y153)</f>
        <v/>
      </c>
      <c r="AH153" s="7">
        <f>10000.0+SUM($AA$2:AA153)</f>
        <v/>
      </c>
      <c r="AI153" s="2" t="n">
        <v>2025</v>
      </c>
      <c r="AJ153" s="2" t="inlineStr">
        <is>
          <t>2025-08</t>
        </is>
      </c>
      <c r="AK153" s="2" t="inlineStr">
        <is>
          <t>+121 to +150</t>
        </is>
      </c>
      <c r="AL153" s="2" t="inlineStr">
        <is>
          <t>2025 Validation</t>
        </is>
      </c>
      <c r="AM153" s="6" t="n">
        <v>0.3395122603288098</v>
      </c>
    </row>
    <row r="154">
      <c r="A154" s="2" t="inlineStr">
        <is>
          <t>KPROP-00153</t>
        </is>
      </c>
      <c r="B154" s="3" t="n">
        <v>45876.50391203703</v>
      </c>
      <c r="C154" s="3" t="n">
        <v>45876</v>
      </c>
      <c r="D154" s="2" t="inlineStr">
        <is>
          <t>Jacob Lopez</t>
        </is>
      </c>
      <c r="E154" s="2" t="n">
        <v>133</v>
      </c>
      <c r="F154" s="2" t="n">
        <v>120</v>
      </c>
      <c r="G154" s="2" t="inlineStr">
        <is>
          <t>Away</t>
        </is>
      </c>
      <c r="H154" s="2" t="inlineStr">
        <is>
          <t>betrivers</t>
        </is>
      </c>
      <c r="I154" s="4" t="n"/>
      <c r="J154" s="4" t="n"/>
      <c r="K154" s="4" t="n">
        <v>-195</v>
      </c>
      <c r="L154" s="4" t="n">
        <v>-195</v>
      </c>
      <c r="M154" s="5" t="n">
        <v>6.5</v>
      </c>
      <c r="N154" s="5" t="n">
        <v>4.924534441442407</v>
      </c>
      <c r="O154" s="5" t="n">
        <v>6.5</v>
      </c>
      <c r="P154" s="5" t="n">
        <v>1.575465558557593</v>
      </c>
      <c r="Q154" s="6" t="n">
        <v>0.1696112917362847</v>
      </c>
      <c r="R154" s="6" t="n">
        <v>0.7731328877578831</v>
      </c>
      <c r="S154" s="6" t="n">
        <v>0.6113818996179686</v>
      </c>
      <c r="T154" s="2" t="inlineStr">
        <is>
          <t>Under</t>
        </is>
      </c>
      <c r="U154" s="4" t="n">
        <v>-195</v>
      </c>
      <c r="V154" s="2" t="n">
        <v>1.512820512820513</v>
      </c>
      <c r="W154" s="4" t="n">
        <v>-195</v>
      </c>
      <c r="X154" s="2" t="n">
        <v>1</v>
      </c>
      <c r="Y154" s="5" t="n">
        <v>-1</v>
      </c>
      <c r="Z154" s="7" t="n">
        <v>100</v>
      </c>
      <c r="AA154" s="7">
        <f>Y154*Z154</f>
        <v/>
      </c>
      <c r="AB154" s="6">
        <f>IF(Z154=0,0,AA154/Z154)</f>
        <v/>
      </c>
      <c r="AC154" s="6" t="n"/>
      <c r="AD154" s="2" t="inlineStr">
        <is>
          <t>Loss</t>
        </is>
      </c>
      <c r="AE154" s="6">
        <f>IF((COUNTIF($AD$2:AD154,"Win")+COUNTIF($AD$2:AD154,"Loss"))=0,0,COUNTIF($AD$2:AD154,"Win")/(COUNTIF($AD$2:AD154,"Win")+COUNTIF($AD$2:AD154,"Loss")))</f>
        <v/>
      </c>
      <c r="AF154" s="6">
        <f>SUM($Y$2:Y154)/SUM($X$2:X154)</f>
        <v/>
      </c>
      <c r="AG154" s="5">
        <f>SUM($Y$2:Y154)</f>
        <v/>
      </c>
      <c r="AH154" s="7">
        <f>10000.0+SUM($AA$2:AA154)</f>
        <v/>
      </c>
      <c r="AI154" s="2" t="n">
        <v>2025</v>
      </c>
      <c r="AJ154" s="2" t="inlineStr">
        <is>
          <t>2025-08</t>
        </is>
      </c>
      <c r="AK154" s="2" t="inlineStr">
        <is>
          <t>&lt;= -150</t>
        </is>
      </c>
      <c r="AL154" s="2" t="inlineStr">
        <is>
          <t>2025 Validation</t>
        </is>
      </c>
      <c r="AM154" s="6" t="n">
        <v>0.3307420188857552</v>
      </c>
    </row>
    <row r="155">
      <c r="A155" s="2" t="inlineStr">
        <is>
          <t>KPROP-00154</t>
        </is>
      </c>
      <c r="B155" s="3" t="n">
        <v>45876.6740625</v>
      </c>
      <c r="C155" s="3" t="n">
        <v>45876</v>
      </c>
      <c r="D155" s="2" t="inlineStr">
        <is>
          <t>Logan Gilbert</t>
        </is>
      </c>
      <c r="E155" s="2" t="n">
        <v>136</v>
      </c>
      <c r="F155" s="2" t="n">
        <v>145</v>
      </c>
      <c r="G155" s="2" t="inlineStr">
        <is>
          <t>Home</t>
        </is>
      </c>
      <c r="H155" s="2" t="inlineStr">
        <is>
          <t>betonlineag</t>
        </is>
      </c>
      <c r="I155" s="4" t="n"/>
      <c r="J155" s="4" t="n"/>
      <c r="K155" s="4" t="n">
        <v>128</v>
      </c>
      <c r="L155" s="4" t="n">
        <v>128</v>
      </c>
      <c r="M155" s="5" t="n">
        <v>7.5</v>
      </c>
      <c r="N155" s="5" t="n">
        <v>6.734332526261632</v>
      </c>
      <c r="O155" s="5" t="n">
        <v>7.5</v>
      </c>
      <c r="P155" s="5" t="n">
        <v>0.7656674737383682</v>
      </c>
      <c r="Q155" s="6" t="n">
        <v>0.4551674082639281</v>
      </c>
      <c r="R155" s="6" t="n">
        <v>0.6382313194140035</v>
      </c>
      <c r="S155" s="6" t="n">
        <v>0.4222972972972973</v>
      </c>
      <c r="T155" s="2" t="inlineStr">
        <is>
          <t>Under</t>
        </is>
      </c>
      <c r="U155" s="4" t="n">
        <v>128</v>
      </c>
      <c r="V155" s="2" t="n">
        <v>2.28</v>
      </c>
      <c r="W155" s="4" t="n">
        <v>128</v>
      </c>
      <c r="X155" s="2" t="n">
        <v>1</v>
      </c>
      <c r="Y155" s="5" t="n">
        <v>1.28</v>
      </c>
      <c r="Z155" s="7" t="n">
        <v>100</v>
      </c>
      <c r="AA155" s="7">
        <f>Y155*Z155</f>
        <v/>
      </c>
      <c r="AB155" s="6">
        <f>IF(Z155=0,0,AA155/Z155)</f>
        <v/>
      </c>
      <c r="AC155" s="6" t="n"/>
      <c r="AD155" s="2" t="inlineStr">
        <is>
          <t>Win</t>
        </is>
      </c>
      <c r="AE155" s="6">
        <f>IF((COUNTIF($AD$2:AD155,"Win")+COUNTIF($AD$2:AD155,"Loss"))=0,0,COUNTIF($AD$2:AD155,"Win")/(COUNTIF($AD$2:AD155,"Win")+COUNTIF($AD$2:AD155,"Loss")))</f>
        <v/>
      </c>
      <c r="AF155" s="6">
        <f>SUM($Y$2:Y155)/SUM($X$2:X155)</f>
        <v/>
      </c>
      <c r="AG155" s="5">
        <f>SUM($Y$2:Y155)</f>
        <v/>
      </c>
      <c r="AH155" s="7">
        <f>10000.0+SUM($AA$2:AA155)</f>
        <v/>
      </c>
      <c r="AI155" s="2" t="n">
        <v>2025</v>
      </c>
      <c r="AJ155" s="2" t="inlineStr">
        <is>
          <t>2025-08</t>
        </is>
      </c>
      <c r="AK155" s="2" t="inlineStr">
        <is>
          <t>+121 to +150</t>
        </is>
      </c>
      <c r="AL155" s="2" t="inlineStr">
        <is>
          <t>2025 Validation</t>
        </is>
      </c>
      <c r="AM155" s="6" t="n">
        <v>0.3555995377061937</v>
      </c>
    </row>
    <row r="156">
      <c r="A156" s="2" t="inlineStr">
        <is>
          <t>KPROP-00155</t>
        </is>
      </c>
      <c r="B156" s="3" t="n">
        <v>45876.6740625</v>
      </c>
      <c r="C156" s="3" t="n">
        <v>45876</v>
      </c>
      <c r="D156" s="2" t="inlineStr">
        <is>
          <t>Logan Gilbert</t>
        </is>
      </c>
      <c r="E156" s="2" t="n">
        <v>136</v>
      </c>
      <c r="F156" s="2" t="n">
        <v>145</v>
      </c>
      <c r="G156" s="2" t="inlineStr">
        <is>
          <t>Home</t>
        </is>
      </c>
      <c r="H156" s="2" t="inlineStr">
        <is>
          <t>betrivers</t>
        </is>
      </c>
      <c r="I156" s="4" t="n"/>
      <c r="J156" s="4" t="n"/>
      <c r="K156" s="4" t="n">
        <v>-150</v>
      </c>
      <c r="L156" s="4" t="n">
        <v>-150</v>
      </c>
      <c r="M156" s="5" t="n">
        <v>8.5</v>
      </c>
      <c r="N156" s="5" t="n">
        <v>6.734332526261632</v>
      </c>
      <c r="O156" s="5" t="n">
        <v>8.5</v>
      </c>
      <c r="P156" s="5" t="n">
        <v>1.765667473738368</v>
      </c>
      <c r="Q156" s="6" t="n">
        <v>0.2716891221094877</v>
      </c>
      <c r="R156" s="6" t="n">
        <v>0.7630134732656927</v>
      </c>
      <c r="S156" s="6" t="n">
        <v>0.5689655172413793</v>
      </c>
      <c r="T156" s="2" t="inlineStr">
        <is>
          <t>Under</t>
        </is>
      </c>
      <c r="U156" s="4" t="n">
        <v>-150</v>
      </c>
      <c r="V156" s="2" t="n">
        <v>1.666666666666667</v>
      </c>
      <c r="W156" s="4" t="n">
        <v>-150</v>
      </c>
      <c r="X156" s="2" t="n">
        <v>1</v>
      </c>
      <c r="Y156" s="5" t="n">
        <v>0.6666666666666665</v>
      </c>
      <c r="Z156" s="7" t="n">
        <v>100</v>
      </c>
      <c r="AA156" s="7">
        <f>Y156*Z156</f>
        <v/>
      </c>
      <c r="AB156" s="6">
        <f>IF(Z156=0,0,AA156/Z156)</f>
        <v/>
      </c>
      <c r="AC156" s="6" t="n"/>
      <c r="AD156" s="2" t="inlineStr">
        <is>
          <t>Win</t>
        </is>
      </c>
      <c r="AE156" s="6">
        <f>IF((COUNTIF($AD$2:AD156,"Win")+COUNTIF($AD$2:AD156,"Loss"))=0,0,COUNTIF($AD$2:AD156,"Win")/(COUNTIF($AD$2:AD156,"Win")+COUNTIF($AD$2:AD156,"Loss")))</f>
        <v/>
      </c>
      <c r="AF156" s="6">
        <f>SUM($Y$2:Y156)/SUM($X$2:X156)</f>
        <v/>
      </c>
      <c r="AG156" s="5">
        <f>SUM($Y$2:Y156)</f>
        <v/>
      </c>
      <c r="AH156" s="7">
        <f>10000.0+SUM($AA$2:AA156)</f>
        <v/>
      </c>
      <c r="AI156" s="2" t="n">
        <v>2025</v>
      </c>
      <c r="AJ156" s="2" t="inlineStr">
        <is>
          <t>2025-08</t>
        </is>
      </c>
      <c r="AK156" s="2" t="inlineStr">
        <is>
          <t>&lt;= -150</t>
        </is>
      </c>
      <c r="AL156" s="2" t="inlineStr">
        <is>
          <t>2025 Validation</t>
        </is>
      </c>
      <c r="AM156" s="6" t="n">
        <v>0.4075336831642317</v>
      </c>
    </row>
    <row r="157">
      <c r="A157" s="2" t="inlineStr">
        <is>
          <t>KPROP-00156</t>
        </is>
      </c>
      <c r="B157" s="3" t="n">
        <v>45876.77822916667</v>
      </c>
      <c r="C157" s="3" t="n">
        <v>45876</v>
      </c>
      <c r="D157" s="2" t="inlineStr">
        <is>
          <t>Paul Skenes</t>
        </is>
      </c>
      <c r="E157" s="2" t="n">
        <v>134</v>
      </c>
      <c r="F157" s="2" t="n">
        <v>113</v>
      </c>
      <c r="G157" s="2" t="inlineStr">
        <is>
          <t>Home</t>
        </is>
      </c>
      <c r="H157" s="2" t="inlineStr">
        <is>
          <t>draftkings</t>
        </is>
      </c>
      <c r="I157" s="4" t="n"/>
      <c r="J157" s="4" t="n"/>
      <c r="K157" s="4" t="n">
        <v>-105</v>
      </c>
      <c r="L157" s="4" t="n">
        <v>-105</v>
      </c>
      <c r="M157" s="5" t="n">
        <v>7.5</v>
      </c>
      <c r="N157" s="5" t="n">
        <v>7.046583016154973</v>
      </c>
      <c r="O157" s="5" t="n">
        <v>7.5</v>
      </c>
      <c r="P157" s="5" t="n">
        <v>0.4534169838450266</v>
      </c>
      <c r="Q157" s="6" t="n">
        <v>0.1553667121729881</v>
      </c>
      <c r="R157" s="6" t="n">
        <v>0.5917731940398232</v>
      </c>
      <c r="S157" s="6" t="n">
        <v>0.4943946188340808</v>
      </c>
      <c r="T157" s="2" t="inlineStr">
        <is>
          <t>Under</t>
        </is>
      </c>
      <c r="U157" s="4" t="n">
        <v>-105</v>
      </c>
      <c r="V157" s="2" t="n">
        <v>1.952380952380952</v>
      </c>
      <c r="W157" s="4" t="n">
        <v>-105</v>
      </c>
      <c r="X157" s="2" t="n">
        <v>1</v>
      </c>
      <c r="Y157" s="5" t="n">
        <v>-1</v>
      </c>
      <c r="Z157" s="7" t="n">
        <v>100</v>
      </c>
      <c r="AA157" s="7">
        <f>Y157*Z157</f>
        <v/>
      </c>
      <c r="AB157" s="6">
        <f>IF(Z157=0,0,AA157/Z157)</f>
        <v/>
      </c>
      <c r="AC157" s="6" t="n"/>
      <c r="AD157" s="2" t="inlineStr">
        <is>
          <t>Loss</t>
        </is>
      </c>
      <c r="AE157" s="6">
        <f>IF((COUNTIF($AD$2:AD157,"Win")+COUNTIF($AD$2:AD157,"Loss"))=0,0,COUNTIF($AD$2:AD157,"Win")/(COUNTIF($AD$2:AD157,"Win")+COUNTIF($AD$2:AD157,"Loss")))</f>
        <v/>
      </c>
      <c r="AF157" s="6">
        <f>SUM($Y$2:Y157)/SUM($X$2:X157)</f>
        <v/>
      </c>
      <c r="AG157" s="5">
        <f>SUM($Y$2:Y157)</f>
        <v/>
      </c>
      <c r="AH157" s="7">
        <f>10000.0+SUM($AA$2:AA157)</f>
        <v/>
      </c>
      <c r="AI157" s="2" t="n">
        <v>2025</v>
      </c>
      <c r="AJ157" s="2" t="inlineStr">
        <is>
          <t>2025-08</t>
        </is>
      </c>
      <c r="AK157" s="2" t="inlineStr">
        <is>
          <t>-119 to -101</t>
        </is>
      </c>
      <c r="AL157" s="2" t="inlineStr">
        <is>
          <t>2025 Validation</t>
        </is>
      </c>
      <c r="AM157" s="6" t="n">
        <v>0.1631350477816376</v>
      </c>
    </row>
    <row r="158">
      <c r="A158" s="2" t="inlineStr">
        <is>
          <t>KPROP-00157</t>
        </is>
      </c>
      <c r="B158" s="3" t="n">
        <v>45877.77822916667</v>
      </c>
      <c r="C158" s="3" t="n">
        <v>45877</v>
      </c>
      <c r="D158" s="2" t="inlineStr">
        <is>
          <t>Mitch Keller</t>
        </is>
      </c>
      <c r="E158" s="2" t="n">
        <v>134</v>
      </c>
      <c r="F158" s="2" t="n">
        <v>113</v>
      </c>
      <c r="G158" s="2" t="inlineStr">
        <is>
          <t>Home</t>
        </is>
      </c>
      <c r="H158" s="2" t="inlineStr">
        <is>
          <t>fanduel</t>
        </is>
      </c>
      <c r="I158" s="4" t="n"/>
      <c r="J158" s="4" t="n"/>
      <c r="K158" s="4" t="n">
        <v>128</v>
      </c>
      <c r="L158" s="4" t="n">
        <v>128</v>
      </c>
      <c r="M158" s="5" t="n">
        <v>4.5</v>
      </c>
      <c r="N158" s="5" t="n">
        <v>4.636876061587203</v>
      </c>
      <c r="O158" s="5" t="n">
        <v>4.5</v>
      </c>
      <c r="P158" s="5" t="n">
        <v>-0.1368760615872029</v>
      </c>
      <c r="Q158" s="6" t="n">
        <v>0.1544452033292159</v>
      </c>
      <c r="R158" s="6" t="n">
        <v>0.5063356154952701</v>
      </c>
      <c r="S158" s="6" t="n">
        <v>0.4222972972972973</v>
      </c>
      <c r="T158" s="2" t="inlineStr">
        <is>
          <t>Under</t>
        </is>
      </c>
      <c r="U158" s="4" t="n">
        <v>128</v>
      </c>
      <c r="V158" s="2" t="n">
        <v>2.28</v>
      </c>
      <c r="W158" s="4" t="n">
        <v>128</v>
      </c>
      <c r="X158" s="2" t="n">
        <v>1</v>
      </c>
      <c r="Y158" s="5" t="n">
        <v>1.28</v>
      </c>
      <c r="Z158" s="7" t="n">
        <v>100</v>
      </c>
      <c r="AA158" s="7">
        <f>Y158*Z158</f>
        <v/>
      </c>
      <c r="AB158" s="6">
        <f>IF(Z158=0,0,AA158/Z158)</f>
        <v/>
      </c>
      <c r="AC158" s="6" t="n"/>
      <c r="AD158" s="2" t="inlineStr">
        <is>
          <t>Win</t>
        </is>
      </c>
      <c r="AE158" s="6">
        <f>IF((COUNTIF($AD$2:AD158,"Win")+COUNTIF($AD$2:AD158,"Loss"))=0,0,COUNTIF($AD$2:AD158,"Win")/(COUNTIF($AD$2:AD158,"Win")+COUNTIF($AD$2:AD158,"Loss")))</f>
        <v/>
      </c>
      <c r="AF158" s="6">
        <f>SUM($Y$2:Y158)/SUM($X$2:X158)</f>
        <v/>
      </c>
      <c r="AG158" s="5">
        <f>SUM($Y$2:Y158)</f>
        <v/>
      </c>
      <c r="AH158" s="7">
        <f>10000.0+SUM($AA$2:AA158)</f>
        <v/>
      </c>
      <c r="AI158" s="2" t="n">
        <v>2025</v>
      </c>
      <c r="AJ158" s="2" t="inlineStr">
        <is>
          <t>2025-08</t>
        </is>
      </c>
      <c r="AK158" s="2" t="inlineStr">
        <is>
          <t>+121 to +150</t>
        </is>
      </c>
      <c r="AL158" s="2" t="inlineStr">
        <is>
          <t>2025 Validation</t>
        </is>
      </c>
      <c r="AM158" s="6" t="n">
        <v>0.1206603151009499</v>
      </c>
    </row>
    <row r="159">
      <c r="A159" s="2" t="inlineStr">
        <is>
          <t>KPROP-00158</t>
        </is>
      </c>
      <c r="B159" s="3" t="n">
        <v>45878.79905092593</v>
      </c>
      <c r="C159" s="3" t="n">
        <v>45878</v>
      </c>
      <c r="D159" s="2" t="inlineStr">
        <is>
          <t>Bailey Ober</t>
        </is>
      </c>
      <c r="E159" s="2" t="n">
        <v>142</v>
      </c>
      <c r="F159" s="2" t="n">
        <v>118</v>
      </c>
      <c r="G159" s="2" t="inlineStr">
        <is>
          <t>Home</t>
        </is>
      </c>
      <c r="H159" s="2" t="inlineStr">
        <is>
          <t>draftkings</t>
        </is>
      </c>
      <c r="I159" s="4" t="n"/>
      <c r="J159" s="4" t="n"/>
      <c r="K159" s="4" t="n">
        <v>-140</v>
      </c>
      <c r="L159" s="4" t="n">
        <v>-140</v>
      </c>
      <c r="M159" s="5" t="n">
        <v>4.5</v>
      </c>
      <c r="N159" s="5" t="n">
        <v>4.014558465553341</v>
      </c>
      <c r="O159" s="5" t="n">
        <v>4.5</v>
      </c>
      <c r="P159" s="5" t="n">
        <v>0.4854415344466592</v>
      </c>
      <c r="Q159" s="6" t="n">
        <v>0.07313037578585652</v>
      </c>
      <c r="R159" s="6" t="n">
        <v>0.6259927192084163</v>
      </c>
      <c r="S159" s="6" t="n">
        <v>0.5664739884393063</v>
      </c>
      <c r="T159" s="2" t="inlineStr">
        <is>
          <t>Under</t>
        </is>
      </c>
      <c r="U159" s="4" t="n">
        <v>-140</v>
      </c>
      <c r="V159" s="2" t="n">
        <v>1.714285714285714</v>
      </c>
      <c r="W159" s="4" t="n">
        <v>-140</v>
      </c>
      <c r="X159" s="2" t="n">
        <v>1</v>
      </c>
      <c r="Y159" s="5" t="n">
        <v>0.7142857142857144</v>
      </c>
      <c r="Z159" s="7" t="n">
        <v>100</v>
      </c>
      <c r="AA159" s="7">
        <f>Y159*Z159</f>
        <v/>
      </c>
      <c r="AB159" s="6">
        <f>IF(Z159=0,0,AA159/Z159)</f>
        <v/>
      </c>
      <c r="AC159" s="6" t="n"/>
      <c r="AD159" s="2" t="inlineStr">
        <is>
          <t>Win</t>
        </is>
      </c>
      <c r="AE159" s="6">
        <f>IF((COUNTIF($AD$2:AD159,"Win")+COUNTIF($AD$2:AD159,"Loss"))=0,0,COUNTIF($AD$2:AD159,"Win")/(COUNTIF($AD$2:AD159,"Win")+COUNTIF($AD$2:AD159,"Loss")))</f>
        <v/>
      </c>
      <c r="AF159" s="6">
        <f>SUM($Y$2:Y159)/SUM($X$2:X159)</f>
        <v/>
      </c>
      <c r="AG159" s="5">
        <f>SUM($Y$2:Y159)</f>
        <v/>
      </c>
      <c r="AH159" s="7">
        <f>10000.0+SUM($AA$2:AA159)</f>
        <v/>
      </c>
      <c r="AI159" s="2" t="n">
        <v>2025</v>
      </c>
      <c r="AJ159" s="2" t="inlineStr">
        <is>
          <t>2025-08</t>
        </is>
      </c>
      <c r="AK159" s="2" t="inlineStr">
        <is>
          <t>-149 to -120</t>
        </is>
      </c>
      <c r="AL159" s="2" t="inlineStr">
        <is>
          <t>2025 Validation</t>
        </is>
      </c>
      <c r="AM159" s="6" t="n">
        <v>0.1023825261001991</v>
      </c>
    </row>
    <row r="160">
      <c r="A160" s="2" t="inlineStr">
        <is>
          <t>KPROP-00159</t>
        </is>
      </c>
      <c r="B160" s="3" t="n">
        <v>45878.77821759259</v>
      </c>
      <c r="C160" s="3" t="n">
        <v>45878</v>
      </c>
      <c r="D160" s="2" t="inlineStr">
        <is>
          <t>Braxton Ashcraft</t>
        </is>
      </c>
      <c r="E160" s="2" t="n">
        <v>134</v>
      </c>
      <c r="F160" s="2" t="n">
        <v>113</v>
      </c>
      <c r="G160" s="2" t="inlineStr">
        <is>
          <t>Home</t>
        </is>
      </c>
      <c r="H160" s="2" t="inlineStr">
        <is>
          <t>bovada</t>
        </is>
      </c>
      <c r="I160" s="4" t="n"/>
      <c r="J160" s="4" t="n"/>
      <c r="K160" s="4" t="n">
        <v>130</v>
      </c>
      <c r="L160" s="4" t="n">
        <v>130</v>
      </c>
      <c r="M160" s="5" t="n">
        <v>2.5</v>
      </c>
      <c r="N160" s="5" t="n">
        <v>2.498370811182386</v>
      </c>
      <c r="O160" s="5" t="n">
        <v>2.5</v>
      </c>
      <c r="P160" s="5" t="n">
        <v>0.001629188817614313</v>
      </c>
      <c r="Q160" s="6" t="n">
        <v>0.2517315214857139</v>
      </c>
      <c r="R160" s="6" t="n">
        <v>0.5442310962981365</v>
      </c>
      <c r="S160" s="6" t="n">
        <v>0.4201680672268908</v>
      </c>
      <c r="T160" s="2" t="inlineStr">
        <is>
          <t>Under</t>
        </is>
      </c>
      <c r="U160" s="4" t="n">
        <v>130</v>
      </c>
      <c r="V160" s="2" t="n">
        <v>2.3</v>
      </c>
      <c r="W160" s="4" t="n">
        <v>130</v>
      </c>
      <c r="X160" s="2" t="n">
        <v>1</v>
      </c>
      <c r="Y160" s="5" t="n">
        <v>-1</v>
      </c>
      <c r="Z160" s="7" t="n">
        <v>100</v>
      </c>
      <c r="AA160" s="7">
        <f>Y160*Z160</f>
        <v/>
      </c>
      <c r="AB160" s="6">
        <f>IF(Z160=0,0,AA160/Z160)</f>
        <v/>
      </c>
      <c r="AC160" s="6" t="n"/>
      <c r="AD160" s="2" t="inlineStr">
        <is>
          <t>Loss</t>
        </is>
      </c>
      <c r="AE160" s="6">
        <f>IF((COUNTIF($AD$2:AD160,"Win")+COUNTIF($AD$2:AD160,"Loss"))=0,0,COUNTIF($AD$2:AD160,"Win")/(COUNTIF($AD$2:AD160,"Win")+COUNTIF($AD$2:AD160,"Loss")))</f>
        <v/>
      </c>
      <c r="AF160" s="6">
        <f>SUM($Y$2:Y160)/SUM($X$2:X160)</f>
        <v/>
      </c>
      <c r="AG160" s="5">
        <f>SUM($Y$2:Y160)</f>
        <v/>
      </c>
      <c r="AH160" s="7">
        <f>10000.0+SUM($AA$2:AA160)</f>
        <v/>
      </c>
      <c r="AI160" s="2" t="n">
        <v>2025</v>
      </c>
      <c r="AJ160" s="2" t="inlineStr">
        <is>
          <t>2025-08</t>
        </is>
      </c>
      <c r="AK160" s="2" t="inlineStr">
        <is>
          <t>+121 to +150</t>
        </is>
      </c>
      <c r="AL160" s="2" t="inlineStr">
        <is>
          <t>2025 Validation</t>
        </is>
      </c>
      <c r="AM160" s="6" t="n">
        <v>0.1936396319120876</v>
      </c>
    </row>
    <row r="161">
      <c r="A161" s="2" t="inlineStr">
        <is>
          <t>KPROP-00160</t>
        </is>
      </c>
      <c r="B161" s="3" t="n">
        <v>45878.67057870371</v>
      </c>
      <c r="C161" s="3" t="n">
        <v>45878</v>
      </c>
      <c r="D161" s="2" t="inlineStr">
        <is>
          <t>Carson Whisenhunt</t>
        </is>
      </c>
      <c r="E161" s="2" t="n">
        <v>137</v>
      </c>
      <c r="F161" s="2" t="n">
        <v>120</v>
      </c>
      <c r="G161" s="2" t="inlineStr">
        <is>
          <t>Home</t>
        </is>
      </c>
      <c r="H161" s="2" t="inlineStr">
        <is>
          <t>fanduel</t>
        </is>
      </c>
      <c r="I161" s="4" t="n"/>
      <c r="J161" s="4" t="n"/>
      <c r="K161" s="4" t="n">
        <v>-142</v>
      </c>
      <c r="L161" s="4" t="n">
        <v>-142</v>
      </c>
      <c r="M161" s="5" t="n">
        <v>4.5</v>
      </c>
      <c r="N161" s="5" t="n">
        <v>3.818164922147778</v>
      </c>
      <c r="O161" s="5" t="n">
        <v>4.5</v>
      </c>
      <c r="P161" s="5" t="n">
        <v>0.681835077852222</v>
      </c>
      <c r="Q161" s="6" t="n">
        <v>0.132136422152318</v>
      </c>
      <c r="R161" s="6" t="n">
        <v>0.6643114543207816</v>
      </c>
      <c r="S161" s="6" t="n">
        <v>0.5634920634920635</v>
      </c>
      <c r="T161" s="2" t="inlineStr">
        <is>
          <t>Under</t>
        </is>
      </c>
      <c r="U161" s="4" t="n">
        <v>-142</v>
      </c>
      <c r="V161" s="2" t="n">
        <v>1.704225352112676</v>
      </c>
      <c r="W161" s="4" t="n">
        <v>-142</v>
      </c>
      <c r="X161" s="2" t="n">
        <v>1</v>
      </c>
      <c r="Y161" s="5" t="n">
        <v>-1</v>
      </c>
      <c r="Z161" s="7" t="n">
        <v>100</v>
      </c>
      <c r="AA161" s="7">
        <f>Y161*Z161</f>
        <v/>
      </c>
      <c r="AB161" s="6">
        <f>IF(Z161=0,0,AA161/Z161)</f>
        <v/>
      </c>
      <c r="AC161" s="6" t="n"/>
      <c r="AD161" s="2" t="inlineStr">
        <is>
          <t>Loss</t>
        </is>
      </c>
      <c r="AE161" s="6">
        <f>IF((COUNTIF($AD$2:AD161,"Win")+COUNTIF($AD$2:AD161,"Loss"))=0,0,COUNTIF($AD$2:AD161,"Win")/(COUNTIF($AD$2:AD161,"Win")+COUNTIF($AD$2:AD161,"Loss")))</f>
        <v/>
      </c>
      <c r="AF161" s="6">
        <f>SUM($Y$2:Y161)/SUM($X$2:X161)</f>
        <v/>
      </c>
      <c r="AG161" s="5">
        <f>SUM($Y$2:Y161)</f>
        <v/>
      </c>
      <c r="AH161" s="7">
        <f>10000.0+SUM($AA$2:AA161)</f>
        <v/>
      </c>
      <c r="AI161" s="2" t="n">
        <v>2025</v>
      </c>
      <c r="AJ161" s="2" t="inlineStr">
        <is>
          <t>2025-08</t>
        </is>
      </c>
      <c r="AK161" s="2" t="inlineStr">
        <is>
          <t>-149 to -120</t>
        </is>
      </c>
      <c r="AL161" s="2" t="inlineStr">
        <is>
          <t>2025 Validation</t>
        </is>
      </c>
      <c r="AM161" s="6" t="n">
        <v>0.1876337194562915</v>
      </c>
    </row>
    <row r="162">
      <c r="A162" s="2" t="inlineStr">
        <is>
          <t>KPROP-00161</t>
        </is>
      </c>
      <c r="B162" s="3" t="n">
        <v>45878.80252314815</v>
      </c>
      <c r="C162" s="3" t="n">
        <v>45878</v>
      </c>
      <c r="D162" s="2" t="inlineStr">
        <is>
          <t>Erick Fedde</t>
        </is>
      </c>
      <c r="E162" s="2" t="n">
        <v>144</v>
      </c>
      <c r="F162" s="2" t="n">
        <v>146</v>
      </c>
      <c r="G162" s="2" t="inlineStr">
        <is>
          <t>Home</t>
        </is>
      </c>
      <c r="H162" s="2" t="inlineStr">
        <is>
          <t>fanduel</t>
        </is>
      </c>
      <c r="I162" s="4" t="n"/>
      <c r="J162" s="4" t="n"/>
      <c r="K162" s="4" t="n">
        <v>-158</v>
      </c>
      <c r="L162" s="4" t="n">
        <v>-158</v>
      </c>
      <c r="M162" s="5" t="n">
        <v>4.5</v>
      </c>
      <c r="N162" s="5" t="n">
        <v>3.672153475545996</v>
      </c>
      <c r="O162" s="5" t="n">
        <v>4.5</v>
      </c>
      <c r="P162" s="5" t="n">
        <v>0.8278465244540043</v>
      </c>
      <c r="Q162" s="6" t="n">
        <v>0.1309369871110976</v>
      </c>
      <c r="R162" s="6" t="n">
        <v>0.6925893176881915</v>
      </c>
      <c r="S162" s="6" t="n">
        <v>0.5783762583344229</v>
      </c>
      <c r="T162" s="2" t="inlineStr">
        <is>
          <t>Under</t>
        </is>
      </c>
      <c r="U162" s="4" t="n">
        <v>-158</v>
      </c>
      <c r="V162" s="2" t="n">
        <v>1.632911392405063</v>
      </c>
      <c r="W162" s="4" t="n">
        <v>-158</v>
      </c>
      <c r="X162" s="2" t="n">
        <v>1</v>
      </c>
      <c r="Y162" s="5" t="n">
        <v>0.6329113924050633</v>
      </c>
      <c r="Z162" s="7" t="n">
        <v>100</v>
      </c>
      <c r="AA162" s="7">
        <f>Y162*Z162</f>
        <v/>
      </c>
      <c r="AB162" s="6">
        <f>IF(Z162=0,0,AA162/Z162)</f>
        <v/>
      </c>
      <c r="AC162" s="6" t="n"/>
      <c r="AD162" s="2" t="inlineStr">
        <is>
          <t>Win</t>
        </is>
      </c>
      <c r="AE162" s="6">
        <f>IF((COUNTIF($AD$2:AD162,"Win")+COUNTIF($AD$2:AD162,"Loss"))=0,0,COUNTIF($AD$2:AD162,"Win")/(COUNTIF($AD$2:AD162,"Win")+COUNTIF($AD$2:AD162,"Loss")))</f>
        <v/>
      </c>
      <c r="AF162" s="6">
        <f>SUM($Y$2:Y162)/SUM($X$2:X162)</f>
        <v/>
      </c>
      <c r="AG162" s="5">
        <f>SUM($Y$2:Y162)</f>
        <v/>
      </c>
      <c r="AH162" s="7">
        <f>10000.0+SUM($AA$2:AA162)</f>
        <v/>
      </c>
      <c r="AI162" s="2" t="n">
        <v>2025</v>
      </c>
      <c r="AJ162" s="2" t="inlineStr">
        <is>
          <t>2025-08</t>
        </is>
      </c>
      <c r="AK162" s="2" t="inlineStr">
        <is>
          <t>&lt;= -150</t>
        </is>
      </c>
      <c r="AL162" s="2" t="inlineStr">
        <is>
          <t>2025 Validation</t>
        </is>
      </c>
      <c r="AM162" s="6" t="n">
        <v>0.2068804396355343</v>
      </c>
    </row>
    <row r="163">
      <c r="A163" s="2" t="inlineStr">
        <is>
          <t>KPROP-00162</t>
        </is>
      </c>
      <c r="B163" s="3" t="n">
        <v>45878.5490625</v>
      </c>
      <c r="C163" s="3" t="n">
        <v>45878</v>
      </c>
      <c r="D163" s="2" t="inlineStr">
        <is>
          <t>Hurston Waldrep</t>
        </is>
      </c>
      <c r="E163" s="2" t="n">
        <v>144</v>
      </c>
      <c r="F163" s="2" t="n">
        <v>146</v>
      </c>
      <c r="G163" s="2" t="inlineStr">
        <is>
          <t>Home</t>
        </is>
      </c>
      <c r="H163" s="2" t="inlineStr">
        <is>
          <t>betrivers</t>
        </is>
      </c>
      <c r="I163" s="4" t="n"/>
      <c r="J163" s="4" t="n"/>
      <c r="K163" s="4" t="n">
        <v>132</v>
      </c>
      <c r="L163" s="4" t="n">
        <v>132</v>
      </c>
      <c r="M163" s="5" t="n">
        <v>3.5</v>
      </c>
      <c r="N163" s="5" t="n">
        <v>3.701584053950443</v>
      </c>
      <c r="O163" s="5" t="n">
        <v>3.5</v>
      </c>
      <c r="P163" s="5" t="n">
        <v>-0.2015840539504432</v>
      </c>
      <c r="Q163" s="6" t="n">
        <v>0.1456685938647627</v>
      </c>
      <c r="R163" s="6" t="n">
        <v>0.4938226697692942</v>
      </c>
      <c r="S163" s="6" t="n">
        <v>0.4119138149556401</v>
      </c>
      <c r="T163" s="2" t="inlineStr">
        <is>
          <t>Under</t>
        </is>
      </c>
      <c r="U163" s="4" t="n">
        <v>132</v>
      </c>
      <c r="V163" s="2" t="n">
        <v>2.32</v>
      </c>
      <c r="W163" s="4" t="n">
        <v>132</v>
      </c>
      <c r="X163" s="2" t="n">
        <v>1</v>
      </c>
      <c r="Y163" s="5" t="n">
        <v>-1</v>
      </c>
      <c r="Z163" s="7" t="n">
        <v>100</v>
      </c>
      <c r="AA163" s="7">
        <f>Y163*Z163</f>
        <v/>
      </c>
      <c r="AB163" s="6">
        <f>IF(Z163=0,0,AA163/Z163)</f>
        <v/>
      </c>
      <c r="AC163" s="6" t="n"/>
      <c r="AD163" s="2" t="inlineStr">
        <is>
          <t>Loss</t>
        </is>
      </c>
      <c r="AE163" s="6">
        <f>IF((COUNTIF($AD$2:AD163,"Win")+COUNTIF($AD$2:AD163,"Loss"))=0,0,COUNTIF($AD$2:AD163,"Win")/(COUNTIF($AD$2:AD163,"Win")+COUNTIF($AD$2:AD163,"Loss")))</f>
        <v/>
      </c>
      <c r="AF163" s="6">
        <f>SUM($Y$2:Y163)/SUM($X$2:X163)</f>
        <v/>
      </c>
      <c r="AG163" s="5">
        <f>SUM($Y$2:Y163)</f>
        <v/>
      </c>
      <c r="AH163" s="7">
        <f>10000.0+SUM($AA$2:AA163)</f>
        <v/>
      </c>
      <c r="AI163" s="2" t="n">
        <v>2025</v>
      </c>
      <c r="AJ163" s="2" t="inlineStr">
        <is>
          <t>2025-08</t>
        </is>
      </c>
      <c r="AK163" s="2" t="inlineStr">
        <is>
          <t>+121 to +150</t>
        </is>
      </c>
      <c r="AL163" s="2" t="inlineStr">
        <is>
          <t>2025 Validation</t>
        </is>
      </c>
      <c r="AM163" s="6" t="n">
        <v>0.1103549953520929</v>
      </c>
    </row>
    <row r="164">
      <c r="A164" s="2" t="inlineStr">
        <is>
          <t>KPROP-00163</t>
        </is>
      </c>
      <c r="B164" s="3" t="n">
        <v>45878.5490625</v>
      </c>
      <c r="C164" s="3" t="n">
        <v>45878</v>
      </c>
      <c r="D164" s="2" t="inlineStr">
        <is>
          <t>Hurston Waldrep</t>
        </is>
      </c>
      <c r="E164" s="2" t="n">
        <v>144</v>
      </c>
      <c r="F164" s="2" t="n">
        <v>146</v>
      </c>
      <c r="G164" s="2" t="inlineStr">
        <is>
          <t>Home</t>
        </is>
      </c>
      <c r="H164" s="2" t="inlineStr">
        <is>
          <t>draftkings</t>
        </is>
      </c>
      <c r="I164" s="4" t="n"/>
      <c r="J164" s="4" t="n"/>
      <c r="K164" s="4" t="n">
        <v>-140</v>
      </c>
      <c r="L164" s="4" t="n">
        <v>-140</v>
      </c>
      <c r="M164" s="5" t="n">
        <v>4.5</v>
      </c>
      <c r="N164" s="5" t="n">
        <v>3.701584053950443</v>
      </c>
      <c r="O164" s="5" t="n">
        <v>4.5</v>
      </c>
      <c r="P164" s="5" t="n">
        <v>0.7984159460495568</v>
      </c>
      <c r="Q164" s="6" t="n">
        <v>0.1775660319144595</v>
      </c>
      <c r="R164" s="6" t="n">
        <v>0.686913518616768</v>
      </c>
      <c r="S164" s="6" t="n">
        <v>0.5675675675675677</v>
      </c>
      <c r="T164" s="2" t="inlineStr">
        <is>
          <t>Under</t>
        </is>
      </c>
      <c r="U164" s="4" t="n">
        <v>-140</v>
      </c>
      <c r="V164" s="2" t="n">
        <v>1.714285714285714</v>
      </c>
      <c r="W164" s="4" t="n">
        <v>-140</v>
      </c>
      <c r="X164" s="2" t="n">
        <v>1</v>
      </c>
      <c r="Y164" s="5" t="n">
        <v>-1</v>
      </c>
      <c r="Z164" s="7" t="n">
        <v>100</v>
      </c>
      <c r="AA164" s="7">
        <f>Y164*Z164</f>
        <v/>
      </c>
      <c r="AB164" s="6">
        <f>IF(Z164=0,0,AA164/Z164)</f>
        <v/>
      </c>
      <c r="AC164" s="6" t="n"/>
      <c r="AD164" s="2" t="inlineStr">
        <is>
          <t>Loss</t>
        </is>
      </c>
      <c r="AE164" s="6">
        <f>IF((COUNTIF($AD$2:AD164,"Win")+COUNTIF($AD$2:AD164,"Loss"))=0,0,COUNTIF($AD$2:AD164,"Win")/(COUNTIF($AD$2:AD164,"Win")+COUNTIF($AD$2:AD164,"Loss")))</f>
        <v/>
      </c>
      <c r="AF164" s="6">
        <f>SUM($Y$2:Y164)/SUM($X$2:X164)</f>
        <v/>
      </c>
      <c r="AG164" s="5">
        <f>SUM($Y$2:Y164)</f>
        <v/>
      </c>
      <c r="AH164" s="7">
        <f>10000.0+SUM($AA$2:AA164)</f>
        <v/>
      </c>
      <c r="AI164" s="2" t="n">
        <v>2025</v>
      </c>
      <c r="AJ164" s="2" t="inlineStr">
        <is>
          <t>2025-08</t>
        </is>
      </c>
      <c r="AK164" s="2" t="inlineStr">
        <is>
          <t>-149 to -120</t>
        </is>
      </c>
      <c r="AL164" s="2" t="inlineStr">
        <is>
          <t>2025 Validation</t>
        </is>
      </c>
      <c r="AM164" s="6" t="n">
        <v>0.2485924446802432</v>
      </c>
    </row>
    <row r="165">
      <c r="A165" s="2" t="inlineStr">
        <is>
          <t>KPROP-00164</t>
        </is>
      </c>
      <c r="B165" s="3" t="n">
        <v>45878.80252314815</v>
      </c>
      <c r="C165" s="3" t="n">
        <v>45878</v>
      </c>
      <c r="D165" s="2" t="inlineStr">
        <is>
          <t>Jacob deGrom</t>
        </is>
      </c>
      <c r="E165" s="2" t="n">
        <v>140</v>
      </c>
      <c r="F165" s="2" t="n">
        <v>143</v>
      </c>
      <c r="G165" s="2" t="inlineStr">
        <is>
          <t>Home</t>
        </is>
      </c>
      <c r="H165" s="2" t="inlineStr">
        <is>
          <t>betonlineag</t>
        </is>
      </c>
      <c r="I165" s="4" t="n"/>
      <c r="J165" s="4" t="n"/>
      <c r="K165" s="4" t="n">
        <v>100</v>
      </c>
      <c r="L165" s="4" t="n">
        <v>100</v>
      </c>
      <c r="M165" s="5" t="n">
        <v>6.5</v>
      </c>
      <c r="N165" s="5" t="n">
        <v>6.329820494627465</v>
      </c>
      <c r="O165" s="5" t="n">
        <v>6.5</v>
      </c>
      <c r="P165" s="5" t="n">
        <v>0.170179505372535</v>
      </c>
      <c r="Q165" s="6" t="n">
        <v>0.1069627802027378</v>
      </c>
      <c r="R165" s="6" t="n">
        <v>0.5534813901013689</v>
      </c>
      <c r="S165" s="6" t="n">
        <v>0.4862385321100918</v>
      </c>
      <c r="T165" s="2" t="inlineStr">
        <is>
          <t>Under</t>
        </is>
      </c>
      <c r="U165" s="4" t="n">
        <v>100</v>
      </c>
      <c r="V165" s="2" t="n">
        <v>2</v>
      </c>
      <c r="W165" s="4" t="n">
        <v>100</v>
      </c>
      <c r="X165" s="2" t="n">
        <v>1</v>
      </c>
      <c r="Y165" s="5" t="n">
        <v>-1</v>
      </c>
      <c r="Z165" s="7" t="n">
        <v>100</v>
      </c>
      <c r="AA165" s="7">
        <f>Y165*Z165</f>
        <v/>
      </c>
      <c r="AB165" s="6">
        <f>IF(Z165=0,0,AA165/Z165)</f>
        <v/>
      </c>
      <c r="AC165" s="6" t="n"/>
      <c r="AD165" s="2" t="inlineStr">
        <is>
          <t>Loss</t>
        </is>
      </c>
      <c r="AE165" s="6">
        <f>IF((COUNTIF($AD$2:AD165,"Win")+COUNTIF($AD$2:AD165,"Loss"))=0,0,COUNTIF($AD$2:AD165,"Win")/(COUNTIF($AD$2:AD165,"Win")+COUNTIF($AD$2:AD165,"Loss")))</f>
        <v/>
      </c>
      <c r="AF165" s="6">
        <f>SUM($Y$2:Y165)/SUM($X$2:X165)</f>
        <v/>
      </c>
      <c r="AG165" s="5">
        <f>SUM($Y$2:Y165)</f>
        <v/>
      </c>
      <c r="AH165" s="7">
        <f>10000.0+SUM($AA$2:AA165)</f>
        <v/>
      </c>
      <c r="AI165" s="2" t="n">
        <v>2025</v>
      </c>
      <c r="AJ165" s="2" t="inlineStr">
        <is>
          <t>2025-08</t>
        </is>
      </c>
      <c r="AK165" s="2" t="inlineStr">
        <is>
          <t>+100 to +120</t>
        </is>
      </c>
      <c r="AL165" s="2" t="inlineStr">
        <is>
          <t>2025 Validation</t>
        </is>
      </c>
      <c r="AM165" s="6" t="n">
        <v>0.1069627802027378</v>
      </c>
    </row>
    <row r="166">
      <c r="A166" s="2" t="inlineStr">
        <is>
          <t>KPROP-00165</t>
        </is>
      </c>
      <c r="B166" s="3" t="n">
        <v>45879.67405092593</v>
      </c>
      <c r="C166" s="3" t="n">
        <v>45879</v>
      </c>
      <c r="D166" s="2" t="inlineStr">
        <is>
          <t>Brandon Pfaadt</t>
        </is>
      </c>
      <c r="E166" s="2" t="n">
        <v>109</v>
      </c>
      <c r="F166" s="2" t="n">
        <v>115</v>
      </c>
      <c r="G166" s="2" t="inlineStr">
        <is>
          <t>Home</t>
        </is>
      </c>
      <c r="H166" s="2" t="inlineStr">
        <is>
          <t>betonlineag</t>
        </is>
      </c>
      <c r="I166" s="4" t="n"/>
      <c r="J166" s="4" t="n"/>
      <c r="K166" s="4" t="n">
        <v>103</v>
      </c>
      <c r="L166" s="4" t="n">
        <v>103</v>
      </c>
      <c r="M166" s="5" t="n">
        <v>5.5</v>
      </c>
      <c r="N166" s="5" t="n">
        <v>5.500867880024021</v>
      </c>
      <c r="O166" s="5" t="n">
        <v>5.5</v>
      </c>
      <c r="P166" s="5" t="n">
        <v>-0.0008678800240211615</v>
      </c>
      <c r="Q166" s="6" t="n">
        <v>0.07340297244945826</v>
      </c>
      <c r="R166" s="6" t="n">
        <v>0.5287699371672208</v>
      </c>
      <c r="S166" s="6" t="n">
        <v>0.4774372401047282</v>
      </c>
      <c r="T166" s="2" t="inlineStr">
        <is>
          <t>Under</t>
        </is>
      </c>
      <c r="U166" s="4" t="n">
        <v>103</v>
      </c>
      <c r="V166" s="2" t="n">
        <v>2.03</v>
      </c>
      <c r="W166" s="4" t="n">
        <v>103</v>
      </c>
      <c r="X166" s="2" t="n">
        <v>1</v>
      </c>
      <c r="Y166" s="5" t="n">
        <v>1.03</v>
      </c>
      <c r="Z166" s="7" t="n">
        <v>100</v>
      </c>
      <c r="AA166" s="7">
        <f>Y166*Z166</f>
        <v/>
      </c>
      <c r="AB166" s="6">
        <f>IF(Z166=0,0,AA166/Z166)</f>
        <v/>
      </c>
      <c r="AC166" s="6" t="n"/>
      <c r="AD166" s="2" t="inlineStr">
        <is>
          <t>Win</t>
        </is>
      </c>
      <c r="AE166" s="6">
        <f>IF((COUNTIF($AD$2:AD166,"Win")+COUNTIF($AD$2:AD166,"Loss"))=0,0,COUNTIF($AD$2:AD166,"Win")/(COUNTIF($AD$2:AD166,"Win")+COUNTIF($AD$2:AD166,"Loss")))</f>
        <v/>
      </c>
      <c r="AF166" s="6">
        <f>SUM($Y$2:Y166)/SUM($X$2:X166)</f>
        <v/>
      </c>
      <c r="AG166" s="5">
        <f>SUM($Y$2:Y166)</f>
        <v/>
      </c>
      <c r="AH166" s="7">
        <f>10000.0+SUM($AA$2:AA166)</f>
        <v/>
      </c>
      <c r="AI166" s="2" t="n">
        <v>2025</v>
      </c>
      <c r="AJ166" s="2" t="inlineStr">
        <is>
          <t>2025-08</t>
        </is>
      </c>
      <c r="AK166" s="2" t="inlineStr">
        <is>
          <t>+100 to +120</t>
        </is>
      </c>
      <c r="AL166" s="2" t="inlineStr">
        <is>
          <t>2025 Validation</t>
        </is>
      </c>
      <c r="AM166" s="6" t="n">
        <v>0.07126502179559052</v>
      </c>
    </row>
    <row r="167">
      <c r="A167" s="2" t="inlineStr">
        <is>
          <t>KPROP-00166</t>
        </is>
      </c>
      <c r="B167" s="3" t="n">
        <v>45879.67405092593</v>
      </c>
      <c r="C167" s="3" t="n">
        <v>45879</v>
      </c>
      <c r="D167" s="2" t="inlineStr">
        <is>
          <t>Dylan Cease</t>
        </is>
      </c>
      <c r="E167" s="2" t="n">
        <v>135</v>
      </c>
      <c r="F167" s="2" t="n">
        <v>111</v>
      </c>
      <c r="G167" s="2" t="inlineStr">
        <is>
          <t>Home</t>
        </is>
      </c>
      <c r="H167" s="2" t="inlineStr">
        <is>
          <t>draftkings</t>
        </is>
      </c>
      <c r="I167" s="4" t="n"/>
      <c r="J167" s="4" t="n"/>
      <c r="K167" s="4" t="n">
        <v>-125</v>
      </c>
      <c r="L167" s="4" t="n">
        <v>-125</v>
      </c>
      <c r="M167" s="5" t="n">
        <v>7.5</v>
      </c>
      <c r="N167" s="5" t="n">
        <v>7.005267656059794</v>
      </c>
      <c r="O167" s="5" t="n">
        <v>7.5</v>
      </c>
      <c r="P167" s="5" t="n">
        <v>0.494732343940206</v>
      </c>
      <c r="Q167" s="6" t="n">
        <v>0.07627209316301903</v>
      </c>
      <c r="R167" s="6" t="n">
        <v>0.5979289406461217</v>
      </c>
      <c r="S167" s="6" t="n">
        <v>0.5384615384615385</v>
      </c>
      <c r="T167" s="2" t="inlineStr">
        <is>
          <t>Under</t>
        </is>
      </c>
      <c r="U167" s="4" t="n">
        <v>-125</v>
      </c>
      <c r="V167" s="2" t="n">
        <v>1.8</v>
      </c>
      <c r="W167" s="4" t="n">
        <v>-125</v>
      </c>
      <c r="X167" s="2" t="n">
        <v>1</v>
      </c>
      <c r="Y167" s="5" t="n">
        <v>0.8</v>
      </c>
      <c r="Z167" s="7" t="n">
        <v>100</v>
      </c>
      <c r="AA167" s="7">
        <f>Y167*Z167</f>
        <v/>
      </c>
      <c r="AB167" s="6">
        <f>IF(Z167=0,0,AA167/Z167)</f>
        <v/>
      </c>
      <c r="AC167" s="6" t="n"/>
      <c r="AD167" s="2" t="inlineStr">
        <is>
          <t>Win</t>
        </is>
      </c>
      <c r="AE167" s="6">
        <f>IF((COUNTIF($AD$2:AD167,"Win")+COUNTIF($AD$2:AD167,"Loss"))=0,0,COUNTIF($AD$2:AD167,"Win")/(COUNTIF($AD$2:AD167,"Win")+COUNTIF($AD$2:AD167,"Loss")))</f>
        <v/>
      </c>
      <c r="AF167" s="6">
        <f>SUM($Y$2:Y167)/SUM($X$2:X167)</f>
        <v/>
      </c>
      <c r="AG167" s="5">
        <f>SUM($Y$2:Y167)</f>
        <v/>
      </c>
      <c r="AH167" s="7">
        <f>10000.0+SUM($AA$2:AA167)</f>
        <v/>
      </c>
      <c r="AI167" s="2" t="n">
        <v>2025</v>
      </c>
      <c r="AJ167" s="2" t="inlineStr">
        <is>
          <t>2025-08</t>
        </is>
      </c>
      <c r="AK167" s="2" t="inlineStr">
        <is>
          <t>-149 to -120</t>
        </is>
      </c>
      <c r="AL167" s="2" t="inlineStr">
        <is>
          <t>2025 Validation</t>
        </is>
      </c>
      <c r="AM167" s="6" t="n">
        <v>0.09534011645377378</v>
      </c>
    </row>
    <row r="168">
      <c r="A168" s="2" t="inlineStr">
        <is>
          <t>KPROP-00167</t>
        </is>
      </c>
      <c r="B168" s="3" t="n">
        <v>45879.56642361111</v>
      </c>
      <c r="C168" s="3" t="n">
        <v>45879</v>
      </c>
      <c r="D168" s="2" t="inlineStr">
        <is>
          <t>Max Fried</t>
        </is>
      </c>
      <c r="E168" s="2" t="n">
        <v>147</v>
      </c>
      <c r="F168" s="2" t="n">
        <v>117</v>
      </c>
      <c r="G168" s="2" t="inlineStr">
        <is>
          <t>Home</t>
        </is>
      </c>
      <c r="H168" s="2" t="inlineStr">
        <is>
          <t>betmgm</t>
        </is>
      </c>
      <c r="I168" s="4" t="n"/>
      <c r="J168" s="4" t="n"/>
      <c r="K168" s="4" t="n">
        <v>-120</v>
      </c>
      <c r="L168" s="4" t="n">
        <v>-120</v>
      </c>
      <c r="M168" s="5" t="n">
        <v>5.5</v>
      </c>
      <c r="N168" s="5" t="n">
        <v>5.089510308650998</v>
      </c>
      <c r="O168" s="5" t="n">
        <v>5.5</v>
      </c>
      <c r="P168" s="5" t="n">
        <v>0.4104896913490022</v>
      </c>
      <c r="Q168" s="6" t="n">
        <v>0.1004742336625136</v>
      </c>
      <c r="R168" s="6" t="n">
        <v>0.6002586729068256</v>
      </c>
      <c r="S168" s="6" t="n">
        <v>0.5315161839863713</v>
      </c>
      <c r="T168" s="2" t="inlineStr">
        <is>
          <t>Under</t>
        </is>
      </c>
      <c r="U168" s="4" t="n">
        <v>-120</v>
      </c>
      <c r="V168" s="2" t="n">
        <v>1.833333333333333</v>
      </c>
      <c r="W168" s="4" t="n">
        <v>-120</v>
      </c>
      <c r="X168" s="2" t="n">
        <v>1</v>
      </c>
      <c r="Y168" s="5" t="n">
        <v>0.8333333333333335</v>
      </c>
      <c r="Z168" s="7" t="n">
        <v>100</v>
      </c>
      <c r="AA168" s="7">
        <f>Y168*Z168</f>
        <v/>
      </c>
      <c r="AB168" s="6">
        <f>IF(Z168=0,0,AA168/Z168)</f>
        <v/>
      </c>
      <c r="AC168" s="6" t="n"/>
      <c r="AD168" s="2" t="inlineStr">
        <is>
          <t>Win</t>
        </is>
      </c>
      <c r="AE168" s="6">
        <f>IF((COUNTIF($AD$2:AD168,"Win")+COUNTIF($AD$2:AD168,"Loss"))=0,0,COUNTIF($AD$2:AD168,"Win")/(COUNTIF($AD$2:AD168,"Win")+COUNTIF($AD$2:AD168,"Loss")))</f>
        <v/>
      </c>
      <c r="AF168" s="6">
        <f>SUM($Y$2:Y168)/SUM($X$2:X168)</f>
        <v/>
      </c>
      <c r="AG168" s="5">
        <f>SUM($Y$2:Y168)</f>
        <v/>
      </c>
      <c r="AH168" s="7">
        <f>10000.0+SUM($AA$2:AA168)</f>
        <v/>
      </c>
      <c r="AI168" s="2" t="n">
        <v>2025</v>
      </c>
      <c r="AJ168" s="2" t="inlineStr">
        <is>
          <t>2025-08</t>
        </is>
      </c>
      <c r="AK168" s="2" t="inlineStr">
        <is>
          <t>-149 to -120</t>
        </is>
      </c>
      <c r="AL168" s="2" t="inlineStr">
        <is>
          <t>2025 Validation</t>
        </is>
      </c>
      <c r="AM168" s="6" t="n">
        <v>0.1205690803950163</v>
      </c>
    </row>
    <row r="169">
      <c r="A169" s="2" t="inlineStr">
        <is>
          <t>KPROP-00168</t>
        </is>
      </c>
      <c r="B169" s="3" t="n">
        <v>45879.60807870371</v>
      </c>
      <c r="C169" s="3" t="n">
        <v>45879</v>
      </c>
      <c r="D169" s="2" t="inlineStr">
        <is>
          <t>Patrick Corbin</t>
        </is>
      </c>
      <c r="E169" s="2" t="n">
        <v>140</v>
      </c>
      <c r="F169" s="2" t="n">
        <v>143</v>
      </c>
      <c r="G169" s="2" t="inlineStr">
        <is>
          <t>Home</t>
        </is>
      </c>
      <c r="H169" s="2" t="inlineStr">
        <is>
          <t>betrivers</t>
        </is>
      </c>
      <c r="I169" s="4" t="n"/>
      <c r="J169" s="4" t="n"/>
      <c r="K169" s="4" t="n">
        <v>140</v>
      </c>
      <c r="L169" s="4" t="n">
        <v>140</v>
      </c>
      <c r="M169" s="5" t="n">
        <v>4.5</v>
      </c>
      <c r="N169" s="5" t="n">
        <v>4.718490405627429</v>
      </c>
      <c r="O169" s="5" t="n">
        <v>4.5</v>
      </c>
      <c r="P169" s="5" t="n">
        <v>-0.2184904056274295</v>
      </c>
      <c r="Q169" s="6" t="n">
        <v>0.1788660391336166</v>
      </c>
      <c r="R169" s="6" t="n">
        <v>0.4911941829723403</v>
      </c>
      <c r="S169" s="6" t="n">
        <v>0.3866317169069463</v>
      </c>
      <c r="T169" s="2" t="inlineStr">
        <is>
          <t>Under</t>
        </is>
      </c>
      <c r="U169" s="4" t="n">
        <v>140</v>
      </c>
      <c r="V169" s="2" t="n">
        <v>2.4</v>
      </c>
      <c r="W169" s="4" t="n">
        <v>140</v>
      </c>
      <c r="X169" s="2" t="n">
        <v>1</v>
      </c>
      <c r="Y169" s="5" t="n">
        <v>1.4</v>
      </c>
      <c r="Z169" s="7" t="n">
        <v>100</v>
      </c>
      <c r="AA169" s="7">
        <f>Y169*Z169</f>
        <v/>
      </c>
      <c r="AB169" s="6">
        <f>IF(Z169=0,0,AA169/Z169)</f>
        <v/>
      </c>
      <c r="AC169" s="6" t="n"/>
      <c r="AD169" s="2" t="inlineStr">
        <is>
          <t>Win</t>
        </is>
      </c>
      <c r="AE169" s="6">
        <f>IF((COUNTIF($AD$2:AD169,"Win")+COUNTIF($AD$2:AD169,"Loss"))=0,0,COUNTIF($AD$2:AD169,"Win")/(COUNTIF($AD$2:AD169,"Win")+COUNTIF($AD$2:AD169,"Loss")))</f>
        <v/>
      </c>
      <c r="AF169" s="6">
        <f>SUM($Y$2:Y169)/SUM($X$2:X169)</f>
        <v/>
      </c>
      <c r="AG169" s="5">
        <f>SUM($Y$2:Y169)</f>
        <v/>
      </c>
      <c r="AH169" s="7">
        <f>10000.0+SUM($AA$2:AA169)</f>
        <v/>
      </c>
      <c r="AI169" s="2" t="n">
        <v>2025</v>
      </c>
      <c r="AJ169" s="2" t="inlineStr">
        <is>
          <t>2025-08</t>
        </is>
      </c>
      <c r="AK169" s="2" t="inlineStr">
        <is>
          <t>+121 to +150</t>
        </is>
      </c>
      <c r="AL169" s="2" t="inlineStr">
        <is>
          <t>2025 Validation</t>
        </is>
      </c>
      <c r="AM169" s="6" t="n">
        <v>0.1277614565240119</v>
      </c>
    </row>
    <row r="170">
      <c r="A170" s="2" t="inlineStr">
        <is>
          <t>KPROP-00169</t>
        </is>
      </c>
      <c r="B170" s="3" t="n">
        <v>45879.60807870371</v>
      </c>
      <c r="C170" s="3" t="n">
        <v>45879</v>
      </c>
      <c r="D170" s="2" t="inlineStr">
        <is>
          <t>Patrick Corbin</t>
        </is>
      </c>
      <c r="E170" s="2" t="n">
        <v>140</v>
      </c>
      <c r="F170" s="2" t="n">
        <v>143</v>
      </c>
      <c r="G170" s="2" t="inlineStr">
        <is>
          <t>Home</t>
        </is>
      </c>
      <c r="H170" s="2" t="inlineStr">
        <is>
          <t>betmgm</t>
        </is>
      </c>
      <c r="I170" s="4" t="n"/>
      <c r="J170" s="4" t="n"/>
      <c r="K170" s="4" t="n">
        <v>-130</v>
      </c>
      <c r="L170" s="4" t="n">
        <v>-130</v>
      </c>
      <c r="M170" s="5" t="n">
        <v>5.5</v>
      </c>
      <c r="N170" s="5" t="n">
        <v>4.718490405627429</v>
      </c>
      <c r="O170" s="5" t="n">
        <v>5.5</v>
      </c>
      <c r="P170" s="5" t="n">
        <v>0.7815095943725705</v>
      </c>
      <c r="Q170" s="6" t="n">
        <v>0.1769320226110281</v>
      </c>
      <c r="R170" s="6" t="n">
        <v>0.6652224475627551</v>
      </c>
      <c r="S170" s="6" t="n">
        <v>0.5542635658914729</v>
      </c>
      <c r="T170" s="2" t="inlineStr">
        <is>
          <t>Under</t>
        </is>
      </c>
      <c r="U170" s="4" t="n">
        <v>-130</v>
      </c>
      <c r="V170" s="2" t="n">
        <v>1.769230769230769</v>
      </c>
      <c r="W170" s="4" t="n">
        <v>-130</v>
      </c>
      <c r="X170" s="2" t="n">
        <v>1</v>
      </c>
      <c r="Y170" s="5" t="n">
        <v>0.7692307692307692</v>
      </c>
      <c r="Z170" s="7" t="n">
        <v>100</v>
      </c>
      <c r="AA170" s="7">
        <f>Y170*Z170</f>
        <v/>
      </c>
      <c r="AB170" s="6">
        <f>IF(Z170=0,0,AA170/Z170)</f>
        <v/>
      </c>
      <c r="AC170" s="6" t="n"/>
      <c r="AD170" s="2" t="inlineStr">
        <is>
          <t>Win</t>
        </is>
      </c>
      <c r="AE170" s="6">
        <f>IF((COUNTIF($AD$2:AD170,"Win")+COUNTIF($AD$2:AD170,"Loss"))=0,0,COUNTIF($AD$2:AD170,"Win")/(COUNTIF($AD$2:AD170,"Win")+COUNTIF($AD$2:AD170,"Loss")))</f>
        <v/>
      </c>
      <c r="AF170" s="6">
        <f>SUM($Y$2:Y170)/SUM($X$2:X170)</f>
        <v/>
      </c>
      <c r="AG170" s="5">
        <f>SUM($Y$2:Y170)</f>
        <v/>
      </c>
      <c r="AH170" s="7">
        <f>10000.0+SUM($AA$2:AA170)</f>
        <v/>
      </c>
      <c r="AI170" s="2" t="n">
        <v>2025</v>
      </c>
      <c r="AJ170" s="2" t="inlineStr">
        <is>
          <t>2025-08</t>
        </is>
      </c>
      <c r="AK170" s="2" t="inlineStr">
        <is>
          <t>-149 to -120</t>
        </is>
      </c>
      <c r="AL170" s="2" t="inlineStr">
        <is>
          <t>2025 Validation</t>
        </is>
      </c>
      <c r="AM170" s="6" t="n">
        <v>0.2300116293943366</v>
      </c>
    </row>
    <row r="171">
      <c r="A171" s="2" t="inlineStr">
        <is>
          <t>KPROP-00170</t>
        </is>
      </c>
      <c r="B171" s="3" t="n">
        <v>45879.54557870371</v>
      </c>
      <c r="C171" s="3" t="n">
        <v>45879</v>
      </c>
      <c r="D171" s="2" t="inlineStr">
        <is>
          <t>Ryan Bergert</t>
        </is>
      </c>
      <c r="E171" s="2" t="n">
        <v>118</v>
      </c>
      <c r="F171" s="2" t="n">
        <v>142</v>
      </c>
      <c r="G171" s="2" t="inlineStr">
        <is>
          <t>Away</t>
        </is>
      </c>
      <c r="H171" s="2" t="inlineStr">
        <is>
          <t>betrivers</t>
        </is>
      </c>
      <c r="I171" s="4" t="n"/>
      <c r="J171" s="4" t="n"/>
      <c r="K171" s="4" t="n">
        <v>130</v>
      </c>
      <c r="L171" s="4" t="n">
        <v>130</v>
      </c>
      <c r="M171" s="5" t="n">
        <v>3.5</v>
      </c>
      <c r="N171" s="5" t="n">
        <v>3.736593147831211</v>
      </c>
      <c r="O171" s="5" t="n">
        <v>3.5</v>
      </c>
      <c r="P171" s="5" t="n">
        <v>-0.2365931478312109</v>
      </c>
      <c r="Q171" s="6" t="n">
        <v>0.1190472083259705</v>
      </c>
      <c r="R171" s="6" t="n">
        <v>0.4865422644895524</v>
      </c>
      <c r="S171" s="6" t="n">
        <v>0.4034582132564841</v>
      </c>
      <c r="T171" s="2" t="inlineStr">
        <is>
          <t>Under</t>
        </is>
      </c>
      <c r="U171" s="4" t="n">
        <v>130</v>
      </c>
      <c r="V171" s="2" t="n">
        <v>2.3</v>
      </c>
      <c r="W171" s="4" t="n">
        <v>130</v>
      </c>
      <c r="X171" s="2" t="n">
        <v>1</v>
      </c>
      <c r="Y171" s="5" t="n">
        <v>-1</v>
      </c>
      <c r="Z171" s="7" t="n">
        <v>100</v>
      </c>
      <c r="AA171" s="7">
        <f>Y171*Z171</f>
        <v/>
      </c>
      <c r="AB171" s="6">
        <f>IF(Z171=0,0,AA171/Z171)</f>
        <v/>
      </c>
      <c r="AC171" s="6" t="n"/>
      <c r="AD171" s="2" t="inlineStr">
        <is>
          <t>Loss</t>
        </is>
      </c>
      <c r="AE171" s="6">
        <f>IF((COUNTIF($AD$2:AD171,"Win")+COUNTIF($AD$2:AD171,"Loss"))=0,0,COUNTIF($AD$2:AD171,"Win")/(COUNTIF($AD$2:AD171,"Win")+COUNTIF($AD$2:AD171,"Loss")))</f>
        <v/>
      </c>
      <c r="AF171" s="6">
        <f>SUM($Y$2:Y171)/SUM($X$2:X171)</f>
        <v/>
      </c>
      <c r="AG171" s="5">
        <f>SUM($Y$2:Y171)</f>
        <v/>
      </c>
      <c r="AH171" s="7">
        <f>10000.0+SUM($AA$2:AA171)</f>
        <v/>
      </c>
      <c r="AI171" s="2" t="n">
        <v>2025</v>
      </c>
      <c r="AJ171" s="2" t="inlineStr">
        <is>
          <t>2025-08</t>
        </is>
      </c>
      <c r="AK171" s="2" t="inlineStr">
        <is>
          <t>+121 to +150</t>
        </is>
      </c>
      <c r="AL171" s="2" t="inlineStr">
        <is>
          <t>2025 Validation</t>
        </is>
      </c>
      <c r="AM171" s="6" t="n">
        <v>0.09157477563536193</v>
      </c>
    </row>
    <row r="172">
      <c r="A172" s="2" t="inlineStr">
        <is>
          <t>KPROP-00171</t>
        </is>
      </c>
      <c r="B172" s="3" t="n">
        <v>45879.54557870371</v>
      </c>
      <c r="C172" s="3" t="n">
        <v>45879</v>
      </c>
      <c r="D172" s="2" t="inlineStr">
        <is>
          <t>Ryan Bergert</t>
        </is>
      </c>
      <c r="E172" s="2" t="n">
        <v>118</v>
      </c>
      <c r="F172" s="2" t="n">
        <v>142</v>
      </c>
      <c r="G172" s="2" t="inlineStr">
        <is>
          <t>Away</t>
        </is>
      </c>
      <c r="H172" s="2" t="inlineStr">
        <is>
          <t>bovada</t>
        </is>
      </c>
      <c r="I172" s="4" t="n"/>
      <c r="J172" s="4" t="n"/>
      <c r="K172" s="4" t="n">
        <v>-150</v>
      </c>
      <c r="L172" s="4" t="n">
        <v>-150</v>
      </c>
      <c r="M172" s="5" t="n">
        <v>4.5</v>
      </c>
      <c r="N172" s="5" t="n">
        <v>3.736593147831211</v>
      </c>
      <c r="O172" s="5" t="n">
        <v>4.5</v>
      </c>
      <c r="P172" s="5" t="n">
        <v>0.7634068521687891</v>
      </c>
      <c r="Q172" s="6" t="n">
        <v>0.133574060813249</v>
      </c>
      <c r="R172" s="6" t="n">
        <v>0.6801444364879494</v>
      </c>
      <c r="S172" s="6" t="n">
        <v>0.5840266222961731</v>
      </c>
      <c r="T172" s="2" t="inlineStr">
        <is>
          <t>Under</t>
        </is>
      </c>
      <c r="U172" s="4" t="n">
        <v>-150</v>
      </c>
      <c r="V172" s="2" t="n">
        <v>1.666666666666667</v>
      </c>
      <c r="W172" s="4" t="n">
        <v>-150</v>
      </c>
      <c r="X172" s="2" t="n">
        <v>1</v>
      </c>
      <c r="Y172" s="5" t="n">
        <v>-1</v>
      </c>
      <c r="Z172" s="7" t="n">
        <v>100</v>
      </c>
      <c r="AA172" s="7">
        <f>Y172*Z172</f>
        <v/>
      </c>
      <c r="AB172" s="6">
        <f>IF(Z172=0,0,AA172/Z172)</f>
        <v/>
      </c>
      <c r="AC172" s="6" t="n"/>
      <c r="AD172" s="2" t="inlineStr">
        <is>
          <t>Loss</t>
        </is>
      </c>
      <c r="AE172" s="6">
        <f>IF((COUNTIF($AD$2:AD172,"Win")+COUNTIF($AD$2:AD172,"Loss"))=0,0,COUNTIF($AD$2:AD172,"Win")/(COUNTIF($AD$2:AD172,"Win")+COUNTIF($AD$2:AD172,"Loss")))</f>
        <v/>
      </c>
      <c r="AF172" s="6">
        <f>SUM($Y$2:Y172)/SUM($X$2:X172)</f>
        <v/>
      </c>
      <c r="AG172" s="5">
        <f>SUM($Y$2:Y172)</f>
        <v/>
      </c>
      <c r="AH172" s="7">
        <f>10000.0+SUM($AA$2:AA172)</f>
        <v/>
      </c>
      <c r="AI172" s="2" t="n">
        <v>2025</v>
      </c>
      <c r="AJ172" s="2" t="inlineStr">
        <is>
          <t>2025-08</t>
        </is>
      </c>
      <c r="AK172" s="2" t="inlineStr">
        <is>
          <t>&lt;= -150</t>
        </is>
      </c>
      <c r="AL172" s="2" t="inlineStr">
        <is>
          <t>2025 Validation</t>
        </is>
      </c>
      <c r="AM172" s="6" t="n">
        <v>0.2003610912198735</v>
      </c>
    </row>
    <row r="173">
      <c r="A173" s="2" t="inlineStr">
        <is>
          <t>KPROP-00172</t>
        </is>
      </c>
      <c r="B173" s="3" t="n">
        <v>45879.59071759259</v>
      </c>
      <c r="C173" s="3" t="n">
        <v>45879</v>
      </c>
      <c r="D173" s="2" t="inlineStr">
        <is>
          <t>Sean Manaea</t>
        </is>
      </c>
      <c r="E173" s="2" t="n">
        <v>121</v>
      </c>
      <c r="F173" s="2" t="n">
        <v>158</v>
      </c>
      <c r="G173" s="2" t="inlineStr">
        <is>
          <t>Away</t>
        </is>
      </c>
      <c r="H173" s="2" t="inlineStr">
        <is>
          <t>betmgm</t>
        </is>
      </c>
      <c r="I173" s="4" t="n"/>
      <c r="J173" s="4" t="n"/>
      <c r="K173" s="4" t="n">
        <v>105</v>
      </c>
      <c r="L173" s="4" t="n">
        <v>105</v>
      </c>
      <c r="M173" s="5" t="n">
        <v>4.5</v>
      </c>
      <c r="N173" s="5" t="n">
        <v>4.438351823848639</v>
      </c>
      <c r="O173" s="5" t="n">
        <v>4.5</v>
      </c>
      <c r="P173" s="5" t="n">
        <v>0.06164817615136098</v>
      </c>
      <c r="Q173" s="6" t="n">
        <v>0.1148792894063669</v>
      </c>
      <c r="R173" s="6" t="n">
        <v>0.5438435558079839</v>
      </c>
      <c r="S173" s="6" t="n">
        <v>0.4702393560686294</v>
      </c>
      <c r="T173" s="2" t="inlineStr">
        <is>
          <t>Under</t>
        </is>
      </c>
      <c r="U173" s="4" t="n">
        <v>105</v>
      </c>
      <c r="V173" s="2" t="n">
        <v>2.05</v>
      </c>
      <c r="W173" s="4" t="n">
        <v>105</v>
      </c>
      <c r="X173" s="2" t="n">
        <v>1</v>
      </c>
      <c r="Y173" s="5" t="n">
        <v>-1</v>
      </c>
      <c r="Z173" s="7" t="n">
        <v>100</v>
      </c>
      <c r="AA173" s="7">
        <f>Y173*Z173</f>
        <v/>
      </c>
      <c r="AB173" s="6">
        <f>IF(Z173=0,0,AA173/Z173)</f>
        <v/>
      </c>
      <c r="AC173" s="6" t="n"/>
      <c r="AD173" s="2" t="inlineStr">
        <is>
          <t>Loss</t>
        </is>
      </c>
      <c r="AE173" s="6">
        <f>IF((COUNTIF($AD$2:AD173,"Win")+COUNTIF($AD$2:AD173,"Loss"))=0,0,COUNTIF($AD$2:AD173,"Win")/(COUNTIF($AD$2:AD173,"Win")+COUNTIF($AD$2:AD173,"Loss")))</f>
        <v/>
      </c>
      <c r="AF173" s="6">
        <f>SUM($Y$2:Y173)/SUM($X$2:X173)</f>
        <v/>
      </c>
      <c r="AG173" s="5">
        <f>SUM($Y$2:Y173)</f>
        <v/>
      </c>
      <c r="AH173" s="7">
        <f>10000.0+SUM($AA$2:AA173)</f>
        <v/>
      </c>
      <c r="AI173" s="2" t="n">
        <v>2025</v>
      </c>
      <c r="AJ173" s="2" t="inlineStr">
        <is>
          <t>2025-08</t>
        </is>
      </c>
      <c r="AK173" s="2" t="inlineStr">
        <is>
          <t>+100 to +120</t>
        </is>
      </c>
      <c r="AL173" s="2" t="inlineStr">
        <is>
          <t>2025 Validation</t>
        </is>
      </c>
      <c r="AM173" s="6" t="n">
        <v>0.1094088470536828</v>
      </c>
    </row>
    <row r="174">
      <c r="A174" s="2" t="inlineStr">
        <is>
          <t>KPROP-00173</t>
        </is>
      </c>
      <c r="B174" s="3" t="n">
        <v>45879.79905092593</v>
      </c>
      <c r="C174" s="3" t="n">
        <v>45879</v>
      </c>
      <c r="D174" s="2" t="inlineStr">
        <is>
          <t>Sonny Gray</t>
        </is>
      </c>
      <c r="E174" s="2" t="n">
        <v>138</v>
      </c>
      <c r="F174" s="2" t="n">
        <v>112</v>
      </c>
      <c r="G174" s="2" t="inlineStr">
        <is>
          <t>Home</t>
        </is>
      </c>
      <c r="H174" s="2" t="inlineStr">
        <is>
          <t>fanduel</t>
        </is>
      </c>
      <c r="I174" s="4" t="n"/>
      <c r="J174" s="4" t="n"/>
      <c r="K174" s="4" t="n">
        <v>-104</v>
      </c>
      <c r="L174" s="4" t="n">
        <v>-104</v>
      </c>
      <c r="M174" s="5" t="n">
        <v>5.5</v>
      </c>
      <c r="N174" s="5" t="n">
        <v>4.877867267459892</v>
      </c>
      <c r="O174" s="5" t="n">
        <v>5.5</v>
      </c>
      <c r="P174" s="5" t="n">
        <v>0.6221327325401083</v>
      </c>
      <c r="Q174" s="6" t="n">
        <v>0.2502457407483194</v>
      </c>
      <c r="R174" s="6" t="n">
        <v>0.6373801815579667</v>
      </c>
      <c r="S174" s="6" t="n">
        <v>0.4932249322493225</v>
      </c>
      <c r="T174" s="2" t="inlineStr">
        <is>
          <t>Under</t>
        </is>
      </c>
      <c r="U174" s="4" t="n">
        <v>-104</v>
      </c>
      <c r="V174" s="2" t="n">
        <v>1.961538461538462</v>
      </c>
      <c r="W174" s="4" t="n">
        <v>-104</v>
      </c>
      <c r="X174" s="2" t="n">
        <v>1</v>
      </c>
      <c r="Y174" s="5" t="n">
        <v>-1</v>
      </c>
      <c r="Z174" s="7" t="n">
        <v>100</v>
      </c>
      <c r="AA174" s="7">
        <f>Y174*Z174</f>
        <v/>
      </c>
      <c r="AB174" s="6">
        <f>IF(Z174=0,0,AA174/Z174)</f>
        <v/>
      </c>
      <c r="AC174" s="6" t="n"/>
      <c r="AD174" s="2" t="inlineStr">
        <is>
          <t>Loss</t>
        </is>
      </c>
      <c r="AE174" s="6">
        <f>IF((COUNTIF($AD$2:AD174,"Win")+COUNTIF($AD$2:AD174,"Loss"))=0,0,COUNTIF($AD$2:AD174,"Win")/(COUNTIF($AD$2:AD174,"Win")+COUNTIF($AD$2:AD174,"Loss")))</f>
        <v/>
      </c>
      <c r="AF174" s="6">
        <f>SUM($Y$2:Y174)/SUM($X$2:X174)</f>
        <v/>
      </c>
      <c r="AG174" s="5">
        <f>SUM($Y$2:Y174)</f>
        <v/>
      </c>
      <c r="AH174" s="7">
        <f>10000.0+SUM($AA$2:AA174)</f>
        <v/>
      </c>
      <c r="AI174" s="2" t="n">
        <v>2025</v>
      </c>
      <c r="AJ174" s="2" t="inlineStr">
        <is>
          <t>2025-08</t>
        </is>
      </c>
      <c r="AK174" s="2" t="inlineStr">
        <is>
          <t>-119 to -101</t>
        </is>
      </c>
      <c r="AL174" s="2" t="inlineStr">
        <is>
          <t>2025 Validation</t>
        </is>
      </c>
      <c r="AM174" s="6" t="n">
        <v>0.2602555703782521</v>
      </c>
    </row>
    <row r="175">
      <c r="A175" s="2" t="inlineStr">
        <is>
          <t>KPROP-00174</t>
        </is>
      </c>
      <c r="B175" s="3" t="n">
        <v>45879.67405092593</v>
      </c>
      <c r="C175" s="3" t="n">
        <v>45879</v>
      </c>
      <c r="D175" s="2" t="inlineStr">
        <is>
          <t>Tyler Glasnow</t>
        </is>
      </c>
      <c r="E175" s="2" t="n">
        <v>119</v>
      </c>
      <c r="F175" s="2" t="n">
        <v>141</v>
      </c>
      <c r="G175" s="2" t="inlineStr">
        <is>
          <t>Home</t>
        </is>
      </c>
      <c r="H175" s="2" t="inlineStr">
        <is>
          <t>betmgm</t>
        </is>
      </c>
      <c r="I175" s="4" t="n"/>
      <c r="J175" s="4" t="n"/>
      <c r="K175" s="4" t="n">
        <v>100</v>
      </c>
      <c r="L175" s="4" t="n">
        <v>100</v>
      </c>
      <c r="M175" s="5" t="n">
        <v>5.5</v>
      </c>
      <c r="N175" s="5" t="n">
        <v>5.420511037310474</v>
      </c>
      <c r="O175" s="5" t="n">
        <v>5.5</v>
      </c>
      <c r="P175" s="5" t="n">
        <v>0.07948896268952588</v>
      </c>
      <c r="Q175" s="6" t="n">
        <v>0.08518018700348806</v>
      </c>
      <c r="R175" s="6" t="n">
        <v>0.542590093501744</v>
      </c>
      <c r="S175" s="6" t="n">
        <v>0.4883720930232558</v>
      </c>
      <c r="T175" s="2" t="inlineStr">
        <is>
          <t>Under</t>
        </is>
      </c>
      <c r="U175" s="4" t="n">
        <v>100</v>
      </c>
      <c r="V175" s="2" t="n">
        <v>2</v>
      </c>
      <c r="W175" s="4" t="n">
        <v>100</v>
      </c>
      <c r="X175" s="2" t="n">
        <v>1</v>
      </c>
      <c r="Y175" s="5" t="n">
        <v>-1</v>
      </c>
      <c r="Z175" s="7" t="n">
        <v>100</v>
      </c>
      <c r="AA175" s="7">
        <f>Y175*Z175</f>
        <v/>
      </c>
      <c r="AB175" s="6">
        <f>IF(Z175=0,0,AA175/Z175)</f>
        <v/>
      </c>
      <c r="AC175" s="6" t="n"/>
      <c r="AD175" s="2" t="inlineStr">
        <is>
          <t>Loss</t>
        </is>
      </c>
      <c r="AE175" s="6">
        <f>IF((COUNTIF($AD$2:AD175,"Win")+COUNTIF($AD$2:AD175,"Loss"))=0,0,COUNTIF($AD$2:AD175,"Win")/(COUNTIF($AD$2:AD175,"Win")+COUNTIF($AD$2:AD175,"Loss")))</f>
        <v/>
      </c>
      <c r="AF175" s="6">
        <f>SUM($Y$2:Y175)/SUM($X$2:X175)</f>
        <v/>
      </c>
      <c r="AG175" s="5">
        <f>SUM($Y$2:Y175)</f>
        <v/>
      </c>
      <c r="AH175" s="7">
        <f>10000.0+SUM($AA$2:AA175)</f>
        <v/>
      </c>
      <c r="AI175" s="2" t="n">
        <v>2025</v>
      </c>
      <c r="AJ175" s="2" t="inlineStr">
        <is>
          <t>2025-08</t>
        </is>
      </c>
      <c r="AK175" s="2" t="inlineStr">
        <is>
          <t>+100 to +120</t>
        </is>
      </c>
      <c r="AL175" s="2" t="inlineStr">
        <is>
          <t>2025 Validation</t>
        </is>
      </c>
      <c r="AM175" s="6" t="n">
        <v>0.08518018700348806</v>
      </c>
    </row>
    <row r="176">
      <c r="A176" s="2" t="inlineStr">
        <is>
          <t>KPROP-00175</t>
        </is>
      </c>
      <c r="B176" s="3" t="n">
        <v>45880.81988425926</v>
      </c>
      <c r="C176" s="3" t="n">
        <v>45880</v>
      </c>
      <c r="D176" s="2" t="inlineStr">
        <is>
          <t>Andrew Heaney</t>
        </is>
      </c>
      <c r="E176" s="2" t="n">
        <v>134</v>
      </c>
      <c r="F176" s="2" t="n">
        <v>158</v>
      </c>
      <c r="G176" s="2" t="inlineStr">
        <is>
          <t>Away</t>
        </is>
      </c>
      <c r="H176" s="2" t="inlineStr">
        <is>
          <t>betrivers</t>
        </is>
      </c>
      <c r="I176" s="4" t="n"/>
      <c r="J176" s="4" t="n"/>
      <c r="K176" s="4" t="n">
        <v>-129</v>
      </c>
      <c r="L176" s="4" t="n">
        <v>-129</v>
      </c>
      <c r="M176" s="5" t="n">
        <v>3.5</v>
      </c>
      <c r="N176" s="5" t="n">
        <v>2.942787380503248</v>
      </c>
      <c r="O176" s="5" t="n">
        <v>3.5</v>
      </c>
      <c r="P176" s="5" t="n">
        <v>0.5572126194967524</v>
      </c>
      <c r="Q176" s="6" t="n">
        <v>0.1717123253153483</v>
      </c>
      <c r="R176" s="6" t="n">
        <v>0.6600475544352835</v>
      </c>
      <c r="S176" s="6" t="n">
        <v>0.5477436555742076</v>
      </c>
      <c r="T176" s="2" t="inlineStr">
        <is>
          <t>Under</t>
        </is>
      </c>
      <c r="U176" s="4" t="n">
        <v>-129</v>
      </c>
      <c r="V176" s="2" t="n">
        <v>1.775193798449612</v>
      </c>
      <c r="W176" s="4" t="n">
        <v>-129</v>
      </c>
      <c r="X176" s="2" t="n">
        <v>1</v>
      </c>
      <c r="Y176" s="5" t="n">
        <v>0.7751937984496124</v>
      </c>
      <c r="Z176" s="7" t="n">
        <v>100</v>
      </c>
      <c r="AA176" s="7">
        <f>Y176*Z176</f>
        <v/>
      </c>
      <c r="AB176" s="6">
        <f>IF(Z176=0,0,AA176/Z176)</f>
        <v/>
      </c>
      <c r="AC176" s="6" t="n"/>
      <c r="AD176" s="2" t="inlineStr">
        <is>
          <t>Win</t>
        </is>
      </c>
      <c r="AE176" s="6">
        <f>IF((COUNTIF($AD$2:AD176,"Win")+COUNTIF($AD$2:AD176,"Loss"))=0,0,COUNTIF($AD$2:AD176,"Win")/(COUNTIF($AD$2:AD176,"Win")+COUNTIF($AD$2:AD176,"Loss")))</f>
        <v/>
      </c>
      <c r="AF176" s="6">
        <f>SUM($Y$2:Y176)/SUM($X$2:X176)</f>
        <v/>
      </c>
      <c r="AG176" s="5">
        <f>SUM($Y$2:Y176)</f>
        <v/>
      </c>
      <c r="AH176" s="7">
        <f>10000.0+SUM($AA$2:AA176)</f>
        <v/>
      </c>
      <c r="AI176" s="2" t="n">
        <v>2025</v>
      </c>
      <c r="AJ176" s="2" t="inlineStr">
        <is>
          <t>2025-08</t>
        </is>
      </c>
      <c r="AK176" s="2" t="inlineStr">
        <is>
          <t>-149 to -120</t>
        </is>
      </c>
      <c r="AL176" s="2" t="inlineStr">
        <is>
          <t>2025 Validation</t>
        </is>
      </c>
      <c r="AM176" s="6" t="n">
        <v>0.2215088996567993</v>
      </c>
    </row>
    <row r="177">
      <c r="A177" s="2" t="inlineStr">
        <is>
          <t>KPROP-00176</t>
        </is>
      </c>
      <c r="B177" s="3" t="n">
        <v>45880.81988425926</v>
      </c>
      <c r="C177" s="3" t="n">
        <v>45880</v>
      </c>
      <c r="D177" s="2" t="inlineStr">
        <is>
          <t>Bailey Falter</t>
        </is>
      </c>
      <c r="E177" s="2" t="n">
        <v>118</v>
      </c>
      <c r="F177" s="2" t="n">
        <v>120</v>
      </c>
      <c r="G177" s="2" t="inlineStr">
        <is>
          <t>Home</t>
        </is>
      </c>
      <c r="H177" s="2" t="inlineStr">
        <is>
          <t>fanatics</t>
        </is>
      </c>
      <c r="I177" s="4" t="n"/>
      <c r="J177" s="4" t="n"/>
      <c r="K177" s="4" t="n">
        <v>125</v>
      </c>
      <c r="L177" s="4" t="n">
        <v>125</v>
      </c>
      <c r="M177" s="5" t="n">
        <v>3.5</v>
      </c>
      <c r="N177" s="5" t="n">
        <v>3.748882573050933</v>
      </c>
      <c r="O177" s="5" t="n">
        <v>3.5</v>
      </c>
      <c r="P177" s="5" t="n">
        <v>-0.2488825730509325</v>
      </c>
      <c r="Q177" s="6" t="n">
        <v>0.08899635121672667</v>
      </c>
      <c r="R177" s="6" t="n">
        <v>0.4839983783185452</v>
      </c>
      <c r="S177" s="6" t="n">
        <v>0.4288840262582057</v>
      </c>
      <c r="T177" s="2" t="inlineStr">
        <is>
          <t>Under</t>
        </is>
      </c>
      <c r="U177" s="4" t="n">
        <v>125</v>
      </c>
      <c r="V177" s="2" t="n">
        <v>2.25</v>
      </c>
      <c r="W177" s="4" t="n">
        <v>125</v>
      </c>
      <c r="X177" s="2" t="n">
        <v>1</v>
      </c>
      <c r="Y177" s="5" t="n">
        <v>-1</v>
      </c>
      <c r="Z177" s="7" t="n">
        <v>100</v>
      </c>
      <c r="AA177" s="7">
        <f>Y177*Z177</f>
        <v/>
      </c>
      <c r="AB177" s="6">
        <f>IF(Z177=0,0,AA177/Z177)</f>
        <v/>
      </c>
      <c r="AC177" s="6" t="n"/>
      <c r="AD177" s="2" t="inlineStr">
        <is>
          <t>Loss</t>
        </is>
      </c>
      <c r="AE177" s="6">
        <f>IF((COUNTIF($AD$2:AD177,"Win")+COUNTIF($AD$2:AD177,"Loss"))=0,0,COUNTIF($AD$2:AD177,"Win")/(COUNTIF($AD$2:AD177,"Win")+COUNTIF($AD$2:AD177,"Loss")))</f>
        <v/>
      </c>
      <c r="AF177" s="6">
        <f>SUM($Y$2:Y177)/SUM($X$2:X177)</f>
        <v/>
      </c>
      <c r="AG177" s="5">
        <f>SUM($Y$2:Y177)</f>
        <v/>
      </c>
      <c r="AH177" s="7">
        <f>10000.0+SUM($AA$2:AA177)</f>
        <v/>
      </c>
      <c r="AI177" s="2" t="n">
        <v>2025</v>
      </c>
      <c r="AJ177" s="2" t="inlineStr">
        <is>
          <t>2025-08</t>
        </is>
      </c>
      <c r="AK177" s="2" t="inlineStr">
        <is>
          <t>+121 to +150</t>
        </is>
      </c>
      <c r="AL177" s="2" t="inlineStr">
        <is>
          <t>2025 Validation</t>
        </is>
      </c>
      <c r="AM177" s="6" t="n">
        <v>0.07119708097338133</v>
      </c>
    </row>
    <row r="178">
      <c r="A178" s="2" t="inlineStr">
        <is>
          <t>KPROP-00177</t>
        </is>
      </c>
      <c r="B178" s="3" t="n">
        <v>45880.79557870371</v>
      </c>
      <c r="C178" s="3" t="n">
        <v>45880</v>
      </c>
      <c r="D178" s="2" t="inlineStr">
        <is>
          <t>Will Warren</t>
        </is>
      </c>
      <c r="E178" s="2" t="n">
        <v>147</v>
      </c>
      <c r="F178" s="2" t="n">
        <v>142</v>
      </c>
      <c r="G178" s="2" t="inlineStr">
        <is>
          <t>Home</t>
        </is>
      </c>
      <c r="H178" s="2" t="inlineStr">
        <is>
          <t>draftkings</t>
        </is>
      </c>
      <c r="I178" s="4" t="n"/>
      <c r="J178" s="4" t="n"/>
      <c r="K178" s="4" t="n">
        <v>-125</v>
      </c>
      <c r="L178" s="4" t="n">
        <v>-125</v>
      </c>
      <c r="M178" s="5" t="n">
        <v>5.5</v>
      </c>
      <c r="N178" s="5" t="n">
        <v>4.802538954995953</v>
      </c>
      <c r="O178" s="5" t="n">
        <v>5.5</v>
      </c>
      <c r="P178" s="5" t="n">
        <v>0.6974610450040473</v>
      </c>
      <c r="Q178" s="6" t="n">
        <v>0.1710129273190085</v>
      </c>
      <c r="R178" s="6" t="n">
        <v>0.6505627373994491</v>
      </c>
      <c r="S178" s="6" t="n">
        <v>0.5336787564766839</v>
      </c>
      <c r="T178" s="2" t="inlineStr">
        <is>
          <t>Under</t>
        </is>
      </c>
      <c r="U178" s="4" t="n">
        <v>-125</v>
      </c>
      <c r="V178" s="2" t="n">
        <v>1.8</v>
      </c>
      <c r="W178" s="4" t="n">
        <v>-125</v>
      </c>
      <c r="X178" s="2" t="n">
        <v>1</v>
      </c>
      <c r="Y178" s="5" t="n">
        <v>-1</v>
      </c>
      <c r="Z178" s="7" t="n">
        <v>100</v>
      </c>
      <c r="AA178" s="7">
        <f>Y178*Z178</f>
        <v/>
      </c>
      <c r="AB178" s="6">
        <f>IF(Z178=0,0,AA178/Z178)</f>
        <v/>
      </c>
      <c r="AC178" s="6" t="n"/>
      <c r="AD178" s="2" t="inlineStr">
        <is>
          <t>Loss</t>
        </is>
      </c>
      <c r="AE178" s="6">
        <f>IF((COUNTIF($AD$2:AD178,"Win")+COUNTIF($AD$2:AD178,"Loss"))=0,0,COUNTIF($AD$2:AD178,"Win")/(COUNTIF($AD$2:AD178,"Win")+COUNTIF($AD$2:AD178,"Loss")))</f>
        <v/>
      </c>
      <c r="AF178" s="6">
        <f>SUM($Y$2:Y178)/SUM($X$2:X178)</f>
        <v/>
      </c>
      <c r="AG178" s="5">
        <f>SUM($Y$2:Y178)</f>
        <v/>
      </c>
      <c r="AH178" s="7">
        <f>10000.0+SUM($AA$2:AA178)</f>
        <v/>
      </c>
      <c r="AI178" s="2" t="n">
        <v>2025</v>
      </c>
      <c r="AJ178" s="2" t="inlineStr">
        <is>
          <t>2025-08</t>
        </is>
      </c>
      <c r="AK178" s="2" t="inlineStr">
        <is>
          <t>-149 to -120</t>
        </is>
      </c>
      <c r="AL178" s="2" t="inlineStr">
        <is>
          <t>2025 Validation</t>
        </is>
      </c>
      <c r="AM178" s="6" t="n">
        <v>0.2137661591487607</v>
      </c>
    </row>
    <row r="179">
      <c r="A179" s="2" t="inlineStr">
        <is>
          <t>KPROP-00178</t>
        </is>
      </c>
      <c r="B179" s="3" t="n">
        <v>45881.7990625</v>
      </c>
      <c r="C179" s="3" t="n">
        <v>45881</v>
      </c>
      <c r="D179" s="2" t="inlineStr">
        <is>
          <t>Clay Holmes</t>
        </is>
      </c>
      <c r="E179" s="2" t="n">
        <v>121</v>
      </c>
      <c r="F179" s="2" t="n">
        <v>144</v>
      </c>
      <c r="G179" s="2" t="inlineStr">
        <is>
          <t>Home</t>
        </is>
      </c>
      <c r="H179" s="2" t="inlineStr">
        <is>
          <t>betrivers</t>
        </is>
      </c>
      <c r="I179" s="4" t="n"/>
      <c r="J179" s="4" t="n"/>
      <c r="K179" s="4" t="n">
        <v>123</v>
      </c>
      <c r="L179" s="4" t="n">
        <v>123</v>
      </c>
      <c r="M179" s="5" t="n">
        <v>3.5</v>
      </c>
      <c r="N179" s="5" t="n">
        <v>3.684015054076732</v>
      </c>
      <c r="O179" s="5" t="n">
        <v>3.5</v>
      </c>
      <c r="P179" s="5" t="n">
        <v>-0.184015054076732</v>
      </c>
      <c r="Q179" s="6" t="n">
        <v>0.1094130536195541</v>
      </c>
      <c r="R179" s="6" t="n">
        <v>0.4974946428787238</v>
      </c>
      <c r="S179" s="6" t="n">
        <v>0.4175724496019769</v>
      </c>
      <c r="T179" s="2" t="inlineStr">
        <is>
          <t>Under</t>
        </is>
      </c>
      <c r="U179" s="4" t="n">
        <v>123</v>
      </c>
      <c r="V179" s="2" t="n">
        <v>2.23</v>
      </c>
      <c r="W179" s="4" t="n">
        <v>123</v>
      </c>
      <c r="X179" s="2" t="n">
        <v>1</v>
      </c>
      <c r="Y179" s="5" t="n">
        <v>-1</v>
      </c>
      <c r="Z179" s="7" t="n">
        <v>100</v>
      </c>
      <c r="AA179" s="7">
        <f>Y179*Z179</f>
        <v/>
      </c>
      <c r="AB179" s="6">
        <f>IF(Z179=0,0,AA179/Z179)</f>
        <v/>
      </c>
      <c r="AC179" s="6" t="n"/>
      <c r="AD179" s="2" t="inlineStr">
        <is>
          <t>Loss</t>
        </is>
      </c>
      <c r="AE179" s="6">
        <f>IF((COUNTIF($AD$2:AD179,"Win")+COUNTIF($AD$2:AD179,"Loss"))=0,0,COUNTIF($AD$2:AD179,"Win")/(COUNTIF($AD$2:AD179,"Win")+COUNTIF($AD$2:AD179,"Loss")))</f>
        <v/>
      </c>
      <c r="AF179" s="6">
        <f>SUM($Y$2:Y179)/SUM($X$2:X179)</f>
        <v/>
      </c>
      <c r="AG179" s="5">
        <f>SUM($Y$2:Y179)</f>
        <v/>
      </c>
      <c r="AH179" s="7">
        <f>10000.0+SUM($AA$2:AA179)</f>
        <v/>
      </c>
      <c r="AI179" s="2" t="n">
        <v>2025</v>
      </c>
      <c r="AJ179" s="2" t="inlineStr">
        <is>
          <t>2025-08</t>
        </is>
      </c>
      <c r="AK179" s="2" t="inlineStr">
        <is>
          <t>+121 to +150</t>
        </is>
      </c>
      <c r="AL179" s="2" t="inlineStr">
        <is>
          <t>2025 Validation</t>
        </is>
      </c>
      <c r="AM179" s="6" t="n">
        <v>0.08895370212971879</v>
      </c>
    </row>
    <row r="180">
      <c r="A180" s="2" t="inlineStr">
        <is>
          <t>KPROP-00179</t>
        </is>
      </c>
      <c r="B180" s="3" t="n">
        <v>45881.7990625</v>
      </c>
      <c r="C180" s="3" t="n">
        <v>45881</v>
      </c>
      <c r="D180" s="2" t="inlineStr">
        <is>
          <t>Clay Holmes</t>
        </is>
      </c>
      <c r="E180" s="2" t="n">
        <v>121</v>
      </c>
      <c r="F180" s="2" t="n">
        <v>144</v>
      </c>
      <c r="G180" s="2" t="inlineStr">
        <is>
          <t>Home</t>
        </is>
      </c>
      <c r="H180" s="2" t="inlineStr">
        <is>
          <t>draftkings</t>
        </is>
      </c>
      <c r="I180" s="4" t="n"/>
      <c r="J180" s="4" t="n"/>
      <c r="K180" s="4" t="n">
        <v>-155</v>
      </c>
      <c r="L180" s="4" t="n">
        <v>-155</v>
      </c>
      <c r="M180" s="5" t="n">
        <v>4.5</v>
      </c>
      <c r="N180" s="5" t="n">
        <v>3.684015054076732</v>
      </c>
      <c r="O180" s="5" t="n">
        <v>4.5</v>
      </c>
      <c r="P180" s="5" t="n">
        <v>0.815984945923268</v>
      </c>
      <c r="Q180" s="6" t="n">
        <v>0.1356605628049177</v>
      </c>
      <c r="R180" s="6" t="n">
        <v>0.6903034793520089</v>
      </c>
      <c r="S180" s="6" t="n">
        <v>0.5829926410466066</v>
      </c>
      <c r="T180" s="2" t="inlineStr">
        <is>
          <t>Under</t>
        </is>
      </c>
      <c r="U180" s="4" t="n">
        <v>-155</v>
      </c>
      <c r="V180" s="2" t="n">
        <v>1.645161290322581</v>
      </c>
      <c r="W180" s="4" t="n">
        <v>-155</v>
      </c>
      <c r="X180" s="2" t="n">
        <v>1</v>
      </c>
      <c r="Y180" s="5" t="n">
        <v>0.6451612903225805</v>
      </c>
      <c r="Z180" s="7" t="n">
        <v>100</v>
      </c>
      <c r="AA180" s="7">
        <f>Y180*Z180</f>
        <v/>
      </c>
      <c r="AB180" s="6">
        <f>IF(Z180=0,0,AA180/Z180)</f>
        <v/>
      </c>
      <c r="AC180" s="6" t="n"/>
      <c r="AD180" s="2" t="inlineStr">
        <is>
          <t>Win</t>
        </is>
      </c>
      <c r="AE180" s="6">
        <f>IF((COUNTIF($AD$2:AD180,"Win")+COUNTIF($AD$2:AD180,"Loss"))=0,0,COUNTIF($AD$2:AD180,"Win")/(COUNTIF($AD$2:AD180,"Win")+COUNTIF($AD$2:AD180,"Loss")))</f>
        <v/>
      </c>
      <c r="AF180" s="6">
        <f>SUM($Y$2:Y180)/SUM($X$2:X180)</f>
        <v/>
      </c>
      <c r="AG180" s="5">
        <f>SUM($Y$2:Y180)</f>
        <v/>
      </c>
      <c r="AH180" s="7">
        <f>10000.0+SUM($AA$2:AA180)</f>
        <v/>
      </c>
      <c r="AI180" s="2" t="n">
        <v>2025</v>
      </c>
      <c r="AJ180" s="2" t="inlineStr">
        <is>
          <t>2025-08</t>
        </is>
      </c>
      <c r="AK180" s="2" t="inlineStr">
        <is>
          <t>&lt;= -150</t>
        </is>
      </c>
      <c r="AL180" s="2" t="inlineStr">
        <is>
          <t>2025 Validation</t>
        </is>
      </c>
      <c r="AM180" s="6" t="n">
        <v>0.2102738723476225</v>
      </c>
    </row>
    <row r="181">
      <c r="A181" s="2" t="inlineStr">
        <is>
          <t>KPROP-00180</t>
        </is>
      </c>
      <c r="B181" s="3" t="n">
        <v>45881.81989583333</v>
      </c>
      <c r="C181" s="3" t="n">
        <v>45881</v>
      </c>
      <c r="D181" s="2" t="inlineStr">
        <is>
          <t>Freddy Peralta</t>
        </is>
      </c>
      <c r="E181" s="2" t="n">
        <v>158</v>
      </c>
      <c r="F181" s="2" t="n">
        <v>134</v>
      </c>
      <c r="G181" s="2" t="inlineStr">
        <is>
          <t>Home</t>
        </is>
      </c>
      <c r="H181" s="2" t="inlineStr">
        <is>
          <t>fanduel</t>
        </is>
      </c>
      <c r="I181" s="4" t="n"/>
      <c r="J181" s="4" t="n"/>
      <c r="K181" s="4" t="n">
        <v>118</v>
      </c>
      <c r="L181" s="4" t="n">
        <v>118</v>
      </c>
      <c r="M181" s="5" t="n">
        <v>6.5</v>
      </c>
      <c r="N181" s="5" t="n">
        <v>6.5263706167763</v>
      </c>
      <c r="O181" s="5" t="n">
        <v>6.5</v>
      </c>
      <c r="P181" s="5" t="n">
        <v>-0.02637061677630026</v>
      </c>
      <c r="Q181" s="6" t="n">
        <v>0.1387774513219568</v>
      </c>
      <c r="R181" s="6" t="n">
        <v>0.5223749776706225</v>
      </c>
      <c r="S181" s="6" t="n">
        <v>0.4439826185528055</v>
      </c>
      <c r="T181" s="2" t="inlineStr">
        <is>
          <t>Under</t>
        </is>
      </c>
      <c r="U181" s="4" t="n">
        <v>118</v>
      </c>
      <c r="V181" s="2" t="n">
        <v>2.18</v>
      </c>
      <c r="W181" s="4" t="n">
        <v>118</v>
      </c>
      <c r="X181" s="2" t="n">
        <v>1</v>
      </c>
      <c r="Y181" s="5" t="n">
        <v>-1</v>
      </c>
      <c r="Z181" s="7" t="n">
        <v>100</v>
      </c>
      <c r="AA181" s="7">
        <f>Y181*Z181</f>
        <v/>
      </c>
      <c r="AB181" s="6">
        <f>IF(Z181=0,0,AA181/Z181)</f>
        <v/>
      </c>
      <c r="AC181" s="6" t="n"/>
      <c r="AD181" s="2" t="inlineStr">
        <is>
          <t>Loss</t>
        </is>
      </c>
      <c r="AE181" s="6">
        <f>IF((COUNTIF($AD$2:AD181,"Win")+COUNTIF($AD$2:AD181,"Loss"))=0,0,COUNTIF($AD$2:AD181,"Win")/(COUNTIF($AD$2:AD181,"Win")+COUNTIF($AD$2:AD181,"Loss")))</f>
        <v/>
      </c>
      <c r="AF181" s="6">
        <f>SUM($Y$2:Y181)/SUM($X$2:X181)</f>
        <v/>
      </c>
      <c r="AG181" s="5">
        <f>SUM($Y$2:Y181)</f>
        <v/>
      </c>
      <c r="AH181" s="7">
        <f>10000.0+SUM($AA$2:AA181)</f>
        <v/>
      </c>
      <c r="AI181" s="2" t="n">
        <v>2025</v>
      </c>
      <c r="AJ181" s="2" t="inlineStr">
        <is>
          <t>2025-08</t>
        </is>
      </c>
      <c r="AK181" s="2" t="inlineStr">
        <is>
          <t>+100 to +120</t>
        </is>
      </c>
      <c r="AL181" s="2" t="inlineStr">
        <is>
          <t>2025 Validation</t>
        </is>
      </c>
      <c r="AM181" s="6" t="n">
        <v>0.1176080095948787</v>
      </c>
    </row>
    <row r="182">
      <c r="A182" s="2" t="inlineStr">
        <is>
          <t>KPROP-00181</t>
        </is>
      </c>
      <c r="B182" s="3" t="n">
        <v>45881.81989583333</v>
      </c>
      <c r="C182" s="3" t="n">
        <v>45881</v>
      </c>
      <c r="D182" s="2" t="inlineStr">
        <is>
          <t>Freddy Peralta</t>
        </is>
      </c>
      <c r="E182" s="2" t="n">
        <v>158</v>
      </c>
      <c r="F182" s="2" t="n">
        <v>134</v>
      </c>
      <c r="G182" s="2" t="inlineStr">
        <is>
          <t>Home</t>
        </is>
      </c>
      <c r="H182" s="2" t="inlineStr">
        <is>
          <t>draftkings</t>
        </is>
      </c>
      <c r="I182" s="4" t="n"/>
      <c r="J182" s="4" t="n"/>
      <c r="K182" s="4" t="n">
        <v>-150</v>
      </c>
      <c r="L182" s="4" t="n">
        <v>-150</v>
      </c>
      <c r="M182" s="5" t="n">
        <v>7.5</v>
      </c>
      <c r="N182" s="5" t="n">
        <v>6.5263706167763</v>
      </c>
      <c r="O182" s="5" t="n">
        <v>7.5</v>
      </c>
      <c r="P182" s="5" t="n">
        <v>0.9736293832236997</v>
      </c>
      <c r="Q182" s="6" t="n">
        <v>0.114829425520705</v>
      </c>
      <c r="R182" s="6" t="n">
        <v>0.6688976553124231</v>
      </c>
      <c r="S182" s="6" t="n">
        <v>0.5901639344262295</v>
      </c>
      <c r="T182" s="2" t="inlineStr">
        <is>
          <t>Under</t>
        </is>
      </c>
      <c r="U182" s="4" t="n">
        <v>-150</v>
      </c>
      <c r="V182" s="2" t="n">
        <v>1.666666666666667</v>
      </c>
      <c r="W182" s="4" t="n">
        <v>-150</v>
      </c>
      <c r="X182" s="2" t="n">
        <v>1</v>
      </c>
      <c r="Y182" s="5" t="n">
        <v>0.6666666666666665</v>
      </c>
      <c r="Z182" s="7" t="n">
        <v>100</v>
      </c>
      <c r="AA182" s="7">
        <f>Y182*Z182</f>
        <v/>
      </c>
      <c r="AB182" s="6">
        <f>IF(Z182=0,0,AA182/Z182)</f>
        <v/>
      </c>
      <c r="AC182" s="6" t="n"/>
      <c r="AD182" s="2" t="inlineStr">
        <is>
          <t>Win</t>
        </is>
      </c>
      <c r="AE182" s="6">
        <f>IF((COUNTIF($AD$2:AD182,"Win")+COUNTIF($AD$2:AD182,"Loss"))=0,0,COUNTIF($AD$2:AD182,"Win")/(COUNTIF($AD$2:AD182,"Win")+COUNTIF($AD$2:AD182,"Loss")))</f>
        <v/>
      </c>
      <c r="AF182" s="6">
        <f>SUM($Y$2:Y182)/SUM($X$2:X182)</f>
        <v/>
      </c>
      <c r="AG182" s="5">
        <f>SUM($Y$2:Y182)</f>
        <v/>
      </c>
      <c r="AH182" s="7">
        <f>10000.0+SUM($AA$2:AA182)</f>
        <v/>
      </c>
      <c r="AI182" s="2" t="n">
        <v>2025</v>
      </c>
      <c r="AJ182" s="2" t="inlineStr">
        <is>
          <t>2025-08</t>
        </is>
      </c>
      <c r="AK182" s="2" t="inlineStr">
        <is>
          <t>&lt;= -150</t>
        </is>
      </c>
      <c r="AL182" s="2" t="inlineStr">
        <is>
          <t>2025 Validation</t>
        </is>
      </c>
      <c r="AM182" s="6" t="n">
        <v>0.1722441382810576</v>
      </c>
    </row>
    <row r="183">
      <c r="A183" s="2" t="inlineStr">
        <is>
          <t>KPROP-00182</t>
        </is>
      </c>
      <c r="B183" s="3" t="n">
        <v>45881.81989583333</v>
      </c>
      <c r="C183" s="3" t="n">
        <v>45881</v>
      </c>
      <c r="D183" s="2" t="inlineStr">
        <is>
          <t>Jack Flaherty</t>
        </is>
      </c>
      <c r="E183" s="2" t="n">
        <v>116</v>
      </c>
      <c r="F183" s="2" t="n">
        <v>145</v>
      </c>
      <c r="G183" s="2" t="inlineStr">
        <is>
          <t>Away</t>
        </is>
      </c>
      <c r="H183" s="2" t="inlineStr">
        <is>
          <t>bovada</t>
        </is>
      </c>
      <c r="I183" s="4" t="n"/>
      <c r="J183" s="4" t="n"/>
      <c r="K183" s="4" t="n">
        <v>-105</v>
      </c>
      <c r="L183" s="4" t="n">
        <v>-105</v>
      </c>
      <c r="M183" s="5" t="n">
        <v>6.5</v>
      </c>
      <c r="N183" s="5" t="n">
        <v>5.595179720201328</v>
      </c>
      <c r="O183" s="5" t="n">
        <v>6.5</v>
      </c>
      <c r="P183" s="5" t="n">
        <v>0.9048202797986722</v>
      </c>
      <c r="Q183" s="6" t="n">
        <v>0.3100889766543627</v>
      </c>
      <c r="R183" s="6" t="n">
        <v>0.6710211831644297</v>
      </c>
      <c r="S183" s="6" t="n">
        <v>0.5</v>
      </c>
      <c r="T183" s="2" t="inlineStr">
        <is>
          <t>Under</t>
        </is>
      </c>
      <c r="U183" s="4" t="n">
        <v>-105</v>
      </c>
      <c r="V183" s="2" t="n">
        <v>1.952380952380952</v>
      </c>
      <c r="W183" s="4" t="n">
        <v>-105</v>
      </c>
      <c r="X183" s="2" t="n">
        <v>1</v>
      </c>
      <c r="Y183" s="5" t="n">
        <v>0.9523809523809523</v>
      </c>
      <c r="Z183" s="7" t="n">
        <v>100</v>
      </c>
      <c r="AA183" s="7">
        <f>Y183*Z183</f>
        <v/>
      </c>
      <c r="AB183" s="6">
        <f>IF(Z183=0,0,AA183/Z183)</f>
        <v/>
      </c>
      <c r="AC183" s="6" t="n"/>
      <c r="AD183" s="2" t="inlineStr">
        <is>
          <t>Win</t>
        </is>
      </c>
      <c r="AE183" s="6">
        <f>IF((COUNTIF($AD$2:AD183,"Win")+COUNTIF($AD$2:AD183,"Loss"))=0,0,COUNTIF($AD$2:AD183,"Win")/(COUNTIF($AD$2:AD183,"Win")+COUNTIF($AD$2:AD183,"Loss")))</f>
        <v/>
      </c>
      <c r="AF183" s="6">
        <f>SUM($Y$2:Y183)/SUM($X$2:X183)</f>
        <v/>
      </c>
      <c r="AG183" s="5">
        <f>SUM($Y$2:Y183)</f>
        <v/>
      </c>
      <c r="AH183" s="7">
        <f>10000.0+SUM($AA$2:AA183)</f>
        <v/>
      </c>
      <c r="AI183" s="2" t="n">
        <v>2025</v>
      </c>
      <c r="AJ183" s="2" t="inlineStr">
        <is>
          <t>2025-08</t>
        </is>
      </c>
      <c r="AK183" s="2" t="inlineStr">
        <is>
          <t>-119 to -101</t>
        </is>
      </c>
      <c r="AL183" s="2" t="inlineStr">
        <is>
          <t>2025 Validation</t>
        </is>
      </c>
      <c r="AM183" s="6" t="n">
        <v>0.3255934254870809</v>
      </c>
    </row>
    <row r="184">
      <c r="A184" s="2" t="inlineStr">
        <is>
          <t>KPROP-00183</t>
        </is>
      </c>
      <c r="B184" s="3" t="n">
        <v>45881.82335648148</v>
      </c>
      <c r="C184" s="3" t="n">
        <v>45881</v>
      </c>
      <c r="D184" s="2" t="inlineStr">
        <is>
          <t>Matthew Liberatore</t>
        </is>
      </c>
      <c r="E184" s="2" t="n">
        <v>138</v>
      </c>
      <c r="F184" s="2" t="n">
        <v>115</v>
      </c>
      <c r="G184" s="2" t="inlineStr">
        <is>
          <t>Home</t>
        </is>
      </c>
      <c r="H184" s="2" t="inlineStr">
        <is>
          <t>betrivers</t>
        </is>
      </c>
      <c r="I184" s="4" t="n"/>
      <c r="J184" s="4" t="n"/>
      <c r="K184" s="4" t="n">
        <v>138</v>
      </c>
      <c r="L184" s="4" t="n">
        <v>138</v>
      </c>
      <c r="M184" s="5" t="n">
        <v>3.5</v>
      </c>
      <c r="N184" s="5" t="n">
        <v>3.659807892393603</v>
      </c>
      <c r="O184" s="5" t="n">
        <v>3.5</v>
      </c>
      <c r="P184" s="5" t="n">
        <v>-0.1598078923936033</v>
      </c>
      <c r="Q184" s="6" t="n">
        <v>0.1961252176969472</v>
      </c>
      <c r="R184" s="6" t="n">
        <v>0.5025736208810703</v>
      </c>
      <c r="S184" s="6" t="n">
        <v>0.3907302613850714</v>
      </c>
      <c r="T184" s="2" t="inlineStr">
        <is>
          <t>Under</t>
        </is>
      </c>
      <c r="U184" s="4" t="n">
        <v>138</v>
      </c>
      <c r="V184" s="2" t="n">
        <v>2.38</v>
      </c>
      <c r="W184" s="4" t="n">
        <v>138</v>
      </c>
      <c r="X184" s="2" t="n">
        <v>1</v>
      </c>
      <c r="Y184" s="5" t="n">
        <v>1.38</v>
      </c>
      <c r="Z184" s="7" t="n">
        <v>100</v>
      </c>
      <c r="AA184" s="7">
        <f>Y184*Z184</f>
        <v/>
      </c>
      <c r="AB184" s="6">
        <f>IF(Z184=0,0,AA184/Z184)</f>
        <v/>
      </c>
      <c r="AC184" s="6" t="n"/>
      <c r="AD184" s="2" t="inlineStr">
        <is>
          <t>Win</t>
        </is>
      </c>
      <c r="AE184" s="6">
        <f>IF((COUNTIF($AD$2:AD184,"Win")+COUNTIF($AD$2:AD184,"Loss"))=0,0,COUNTIF($AD$2:AD184,"Win")/(COUNTIF($AD$2:AD184,"Win")+COUNTIF($AD$2:AD184,"Loss")))</f>
        <v/>
      </c>
      <c r="AF184" s="6">
        <f>SUM($Y$2:Y184)/SUM($X$2:X184)</f>
        <v/>
      </c>
      <c r="AG184" s="5">
        <f>SUM($Y$2:Y184)</f>
        <v/>
      </c>
      <c r="AH184" s="7">
        <f>10000.0+SUM($AA$2:AA184)</f>
        <v/>
      </c>
      <c r="AI184" s="2" t="n">
        <v>2025</v>
      </c>
      <c r="AJ184" s="2" t="inlineStr">
        <is>
          <t>2025-08</t>
        </is>
      </c>
      <c r="AK184" s="2" t="inlineStr">
        <is>
          <t>+121 to +150</t>
        </is>
      </c>
      <c r="AL184" s="2" t="inlineStr">
        <is>
          <t>2025 Validation</t>
        </is>
      </c>
      <c r="AM184" s="6" t="n">
        <v>0.1421197229688023</v>
      </c>
    </row>
    <row r="185">
      <c r="A185" s="2" t="inlineStr">
        <is>
          <t>KPROP-00184</t>
        </is>
      </c>
      <c r="B185" s="3" t="n">
        <v>45881.82335648148</v>
      </c>
      <c r="C185" s="3" t="n">
        <v>45881</v>
      </c>
      <c r="D185" s="2" t="inlineStr">
        <is>
          <t>Matthew Liberatore</t>
        </is>
      </c>
      <c r="E185" s="2" t="n">
        <v>138</v>
      </c>
      <c r="F185" s="2" t="n">
        <v>115</v>
      </c>
      <c r="G185" s="2" t="inlineStr">
        <is>
          <t>Home</t>
        </is>
      </c>
      <c r="H185" s="2" t="inlineStr">
        <is>
          <t>betonlineag</t>
        </is>
      </c>
      <c r="I185" s="4" t="n"/>
      <c r="J185" s="4" t="n"/>
      <c r="K185" s="4" t="n">
        <v>-143</v>
      </c>
      <c r="L185" s="4" t="n">
        <v>-143</v>
      </c>
      <c r="M185" s="5" t="n">
        <v>4.5</v>
      </c>
      <c r="N185" s="5" t="n">
        <v>3.659807892393603</v>
      </c>
      <c r="O185" s="5" t="n">
        <v>4.5</v>
      </c>
      <c r="P185" s="5" t="n">
        <v>0.8401921076063967</v>
      </c>
      <c r="Q185" s="6" t="n">
        <v>0.1809559674800496</v>
      </c>
      <c r="R185" s="6" t="n">
        <v>0.6949658574059552</v>
      </c>
      <c r="S185" s="6" t="n">
        <v>0.5642037302725968</v>
      </c>
      <c r="T185" s="2" t="inlineStr">
        <is>
          <t>Under</t>
        </is>
      </c>
      <c r="U185" s="4" t="n">
        <v>-143</v>
      </c>
      <c r="V185" s="2" t="n">
        <v>1.699300699300699</v>
      </c>
      <c r="W185" s="4" t="n">
        <v>-143</v>
      </c>
      <c r="X185" s="2" t="n">
        <v>1</v>
      </c>
      <c r="Y185" s="5" t="n">
        <v>0.6993006993006992</v>
      </c>
      <c r="Z185" s="7" t="n">
        <v>100</v>
      </c>
      <c r="AA185" s="7">
        <f>Y185*Z185</f>
        <v/>
      </c>
      <c r="AB185" s="6">
        <f>IF(Z185=0,0,AA185/Z185)</f>
        <v/>
      </c>
      <c r="AC185" s="6" t="n"/>
      <c r="AD185" s="2" t="inlineStr">
        <is>
          <t>Win</t>
        </is>
      </c>
      <c r="AE185" s="6">
        <f>IF((COUNTIF($AD$2:AD185,"Win")+COUNTIF($AD$2:AD185,"Loss"))=0,0,COUNTIF($AD$2:AD185,"Win")/(COUNTIF($AD$2:AD185,"Win")+COUNTIF($AD$2:AD185,"Loss")))</f>
        <v/>
      </c>
      <c r="AF185" s="6">
        <f>SUM($Y$2:Y185)/SUM($X$2:X185)</f>
        <v/>
      </c>
      <c r="AG185" s="5">
        <f>SUM($Y$2:Y185)</f>
        <v/>
      </c>
      <c r="AH185" s="7">
        <f>10000.0+SUM($AA$2:AA185)</f>
        <v/>
      </c>
      <c r="AI185" s="2" t="n">
        <v>2025</v>
      </c>
      <c r="AJ185" s="2" t="inlineStr">
        <is>
          <t>2025-08</t>
        </is>
      </c>
      <c r="AK185" s="2" t="inlineStr">
        <is>
          <t>-149 to -120</t>
        </is>
      </c>
      <c r="AL185" s="2" t="inlineStr">
        <is>
          <t>2025 Validation</t>
        </is>
      </c>
      <c r="AM185" s="6" t="n">
        <v>0.258767033496471</v>
      </c>
    </row>
    <row r="186">
      <c r="A186" s="2" t="inlineStr">
        <is>
          <t>KPROP-00185</t>
        </is>
      </c>
      <c r="B186" s="3" t="n">
        <v>45881.81989583333</v>
      </c>
      <c r="C186" s="3" t="n">
        <v>45881</v>
      </c>
      <c r="D186" s="2" t="inlineStr">
        <is>
          <t>Paul Skenes</t>
        </is>
      </c>
      <c r="E186" s="2" t="n">
        <v>134</v>
      </c>
      <c r="F186" s="2" t="n">
        <v>158</v>
      </c>
      <c r="G186" s="2" t="inlineStr">
        <is>
          <t>Away</t>
        </is>
      </c>
      <c r="H186" s="2" t="inlineStr">
        <is>
          <t>bovada</t>
        </is>
      </c>
      <c r="I186" s="4" t="n"/>
      <c r="J186" s="4" t="n"/>
      <c r="K186" s="4" t="n">
        <v>115</v>
      </c>
      <c r="L186" s="4" t="n">
        <v>115</v>
      </c>
      <c r="M186" s="5" t="n">
        <v>6.5</v>
      </c>
      <c r="N186" s="5" t="n">
        <v>6.45992406139731</v>
      </c>
      <c r="O186" s="5" t="n">
        <v>6.5</v>
      </c>
      <c r="P186" s="5" t="n">
        <v>0.04007593860268965</v>
      </c>
      <c r="Q186" s="6" t="n">
        <v>0.1456154513965279</v>
      </c>
      <c r="R186" s="6" t="n">
        <v>0.5328443959983851</v>
      </c>
      <c r="S186" s="6" t="n">
        <v>0.4451094071441929</v>
      </c>
      <c r="T186" s="2" t="inlineStr">
        <is>
          <t>Under</t>
        </is>
      </c>
      <c r="U186" s="4" t="n">
        <v>115</v>
      </c>
      <c r="V186" s="2" t="n">
        <v>2.15</v>
      </c>
      <c r="W186" s="4" t="n">
        <v>115</v>
      </c>
      <c r="X186" s="2" t="n">
        <v>1</v>
      </c>
      <c r="Y186" s="5" t="n">
        <v>1.15</v>
      </c>
      <c r="Z186" s="7" t="n">
        <v>100</v>
      </c>
      <c r="AA186" s="7">
        <f>Y186*Z186</f>
        <v/>
      </c>
      <c r="AB186" s="6">
        <f>IF(Z186=0,0,AA186/Z186)</f>
        <v/>
      </c>
      <c r="AC186" s="6" t="n"/>
      <c r="AD186" s="2" t="inlineStr">
        <is>
          <t>Win</t>
        </is>
      </c>
      <c r="AE186" s="6">
        <f>IF((COUNTIF($AD$2:AD186,"Win")+COUNTIF($AD$2:AD186,"Loss"))=0,0,COUNTIF($AD$2:AD186,"Win")/(COUNTIF($AD$2:AD186,"Win")+COUNTIF($AD$2:AD186,"Loss")))</f>
        <v/>
      </c>
      <c r="AF186" s="6">
        <f>SUM($Y$2:Y186)/SUM($X$2:X186)</f>
        <v/>
      </c>
      <c r="AG186" s="5">
        <f>SUM($Y$2:Y186)</f>
        <v/>
      </c>
      <c r="AH186" s="7">
        <f>10000.0+SUM($AA$2:AA186)</f>
        <v/>
      </c>
      <c r="AI186" s="2" t="n">
        <v>2025</v>
      </c>
      <c r="AJ186" s="2" t="inlineStr">
        <is>
          <t>2025-08</t>
        </is>
      </c>
      <c r="AK186" s="2" t="inlineStr">
        <is>
          <t>+100 to +120</t>
        </is>
      </c>
      <c r="AL186" s="2" t="inlineStr">
        <is>
          <t>2025 Validation</t>
        </is>
      </c>
      <c r="AM186" s="6" t="n">
        <v>0.1266221316491547</v>
      </c>
    </row>
    <row r="187">
      <c r="A187" s="2" t="inlineStr">
        <is>
          <t>KPROP-00186</t>
        </is>
      </c>
      <c r="B187" s="3" t="n">
        <v>45881.77822916667</v>
      </c>
      <c r="C187" s="3" t="n">
        <v>45881</v>
      </c>
      <c r="D187" s="2" t="inlineStr">
        <is>
          <t>Ranger Suarez</t>
        </is>
      </c>
      <c r="E187" s="2" t="n">
        <v>143</v>
      </c>
      <c r="F187" s="2" t="n">
        <v>113</v>
      </c>
      <c r="G187" s="2" t="inlineStr">
        <is>
          <t>Away</t>
        </is>
      </c>
      <c r="H187" s="2" t="inlineStr">
        <is>
          <t>betmgm</t>
        </is>
      </c>
      <c r="I187" s="4" t="n"/>
      <c r="J187" s="4" t="n"/>
      <c r="K187" s="4" t="n">
        <v>125</v>
      </c>
      <c r="L187" s="4" t="n">
        <v>125</v>
      </c>
      <c r="M187" s="5" t="n">
        <v>4.5</v>
      </c>
      <c r="N187" s="5" t="n">
        <v>4.438165004016662</v>
      </c>
      <c r="O187" s="5" t="n">
        <v>4.5</v>
      </c>
      <c r="P187" s="5" t="n">
        <v>0.06183499598333775</v>
      </c>
      <c r="Q187" s="6" t="n">
        <v>0.2237283038795468</v>
      </c>
      <c r="R187" s="6" t="n">
        <v>0.5438792461686874</v>
      </c>
      <c r="S187" s="6" t="n">
        <v>0.4199432509120389</v>
      </c>
      <c r="T187" s="2" t="inlineStr">
        <is>
          <t>Under</t>
        </is>
      </c>
      <c r="U187" s="4" t="n">
        <v>125</v>
      </c>
      <c r="V187" s="2" t="n">
        <v>2.25</v>
      </c>
      <c r="W187" s="4" t="n">
        <v>125</v>
      </c>
      <c r="X187" s="2" t="n">
        <v>1</v>
      </c>
      <c r="Y187" s="5" t="n">
        <v>1.25</v>
      </c>
      <c r="Z187" s="7" t="n">
        <v>100</v>
      </c>
      <c r="AA187" s="7">
        <f>Y187*Z187</f>
        <v/>
      </c>
      <c r="AB187" s="6">
        <f>IF(Z187=0,0,AA187/Z187)</f>
        <v/>
      </c>
      <c r="AC187" s="6" t="n"/>
      <c r="AD187" s="2" t="inlineStr">
        <is>
          <t>Win</t>
        </is>
      </c>
      <c r="AE187" s="6">
        <f>IF((COUNTIF($AD$2:AD187,"Win")+COUNTIF($AD$2:AD187,"Loss"))=0,0,COUNTIF($AD$2:AD187,"Win")/(COUNTIF($AD$2:AD187,"Win")+COUNTIF($AD$2:AD187,"Loss")))</f>
        <v/>
      </c>
      <c r="AF187" s="6">
        <f>SUM($Y$2:Y187)/SUM($X$2:X187)</f>
        <v/>
      </c>
      <c r="AG187" s="5">
        <f>SUM($Y$2:Y187)</f>
        <v/>
      </c>
      <c r="AH187" s="7">
        <f>10000.0+SUM($AA$2:AA187)</f>
        <v/>
      </c>
      <c r="AI187" s="2" t="n">
        <v>2025</v>
      </c>
      <c r="AJ187" s="2" t="inlineStr">
        <is>
          <t>2025-08</t>
        </is>
      </c>
      <c r="AK187" s="2" t="inlineStr">
        <is>
          <t>+121 to +150</t>
        </is>
      </c>
      <c r="AL187" s="2" t="inlineStr">
        <is>
          <t>2025 Validation</t>
        </is>
      </c>
      <c r="AM187" s="6" t="n">
        <v>0.1789826431036374</v>
      </c>
    </row>
    <row r="188">
      <c r="A188" s="2" t="inlineStr">
        <is>
          <t>KPROP-00187</t>
        </is>
      </c>
      <c r="B188" s="3" t="n">
        <v>45881.77822916667</v>
      </c>
      <c r="C188" s="3" t="n">
        <v>45881</v>
      </c>
      <c r="D188" s="2" t="inlineStr">
        <is>
          <t>Ranger Suarez</t>
        </is>
      </c>
      <c r="E188" s="2" t="n">
        <v>143</v>
      </c>
      <c r="F188" s="2" t="n">
        <v>113</v>
      </c>
      <c r="G188" s="2" t="inlineStr">
        <is>
          <t>Away</t>
        </is>
      </c>
      <c r="H188" s="2" t="inlineStr">
        <is>
          <t>fanatics</t>
        </is>
      </c>
      <c r="I188" s="4" t="n"/>
      <c r="J188" s="4" t="n"/>
      <c r="K188" s="4" t="n">
        <v>-150</v>
      </c>
      <c r="L188" s="4" t="n">
        <v>-150</v>
      </c>
      <c r="M188" s="5" t="n">
        <v>5.5</v>
      </c>
      <c r="N188" s="5" t="n">
        <v>4.438165004016662</v>
      </c>
      <c r="O188" s="5" t="n">
        <v>5.5</v>
      </c>
      <c r="P188" s="5" t="n">
        <v>1.061834995983338</v>
      </c>
      <c r="Q188" s="6" t="n">
        <v>0.1890927401155703</v>
      </c>
      <c r="R188" s="6" t="n">
        <v>0.7134556440693423</v>
      </c>
      <c r="S188" s="6" t="n">
        <v>0.5850622406639003</v>
      </c>
      <c r="T188" s="2" t="inlineStr">
        <is>
          <t>Under</t>
        </is>
      </c>
      <c r="U188" s="4" t="n">
        <v>-150</v>
      </c>
      <c r="V188" s="2" t="n">
        <v>1.666666666666667</v>
      </c>
      <c r="W188" s="4" t="n">
        <v>-150</v>
      </c>
      <c r="X188" s="2" t="n">
        <v>1</v>
      </c>
      <c r="Y188" s="5" t="n">
        <v>0.6666666666666665</v>
      </c>
      <c r="Z188" s="7" t="n">
        <v>100</v>
      </c>
      <c r="AA188" s="7">
        <f>Y188*Z188</f>
        <v/>
      </c>
      <c r="AB188" s="6">
        <f>IF(Z188=0,0,AA188/Z188)</f>
        <v/>
      </c>
      <c r="AC188" s="6" t="n"/>
      <c r="AD188" s="2" t="inlineStr">
        <is>
          <t>Win</t>
        </is>
      </c>
      <c r="AE188" s="6">
        <f>IF((COUNTIF($AD$2:AD188,"Win")+COUNTIF($AD$2:AD188,"Loss"))=0,0,COUNTIF($AD$2:AD188,"Win")/(COUNTIF($AD$2:AD188,"Win")+COUNTIF($AD$2:AD188,"Loss")))</f>
        <v/>
      </c>
      <c r="AF188" s="6">
        <f>SUM($Y$2:Y188)/SUM($X$2:X188)</f>
        <v/>
      </c>
      <c r="AG188" s="5">
        <f>SUM($Y$2:Y188)</f>
        <v/>
      </c>
      <c r="AH188" s="7">
        <f>10000.0+SUM($AA$2:AA188)</f>
        <v/>
      </c>
      <c r="AI188" s="2" t="n">
        <v>2025</v>
      </c>
      <c r="AJ188" s="2" t="inlineStr">
        <is>
          <t>2025-08</t>
        </is>
      </c>
      <c r="AK188" s="2" t="inlineStr">
        <is>
          <t>&lt;= -150</t>
        </is>
      </c>
      <c r="AL188" s="2" t="inlineStr">
        <is>
          <t>2025 Validation</t>
        </is>
      </c>
      <c r="AM188" s="6" t="n">
        <v>0.2836391101733555</v>
      </c>
    </row>
    <row r="189">
      <c r="A189" s="2" t="inlineStr">
        <is>
          <t>KPROP-00188</t>
        </is>
      </c>
      <c r="B189" s="3" t="n">
        <v>45881.7990625</v>
      </c>
      <c r="C189" s="3" t="n">
        <v>45881</v>
      </c>
      <c r="D189" s="2" t="inlineStr">
        <is>
          <t>Spencer Strider</t>
        </is>
      </c>
      <c r="E189" s="2" t="n">
        <v>144</v>
      </c>
      <c r="F189" s="2" t="n">
        <v>121</v>
      </c>
      <c r="G189" s="2" t="inlineStr">
        <is>
          <t>Away</t>
        </is>
      </c>
      <c r="H189" s="2" t="inlineStr">
        <is>
          <t>betonlineag</t>
        </is>
      </c>
      <c r="I189" s="4" t="n"/>
      <c r="J189" s="4" t="n"/>
      <c r="K189" s="4" t="n">
        <v>100</v>
      </c>
      <c r="L189" s="4" t="n">
        <v>100</v>
      </c>
      <c r="M189" s="5" t="n">
        <v>6.5</v>
      </c>
      <c r="N189" s="5" t="n">
        <v>5.883026325969513</v>
      </c>
      <c r="O189" s="5" t="n">
        <v>6.5</v>
      </c>
      <c r="P189" s="5" t="n">
        <v>0.6169736740304872</v>
      </c>
      <c r="Q189" s="6" t="n">
        <v>0.2501685044700257</v>
      </c>
      <c r="R189" s="6" t="n">
        <v>0.6250842522350128</v>
      </c>
      <c r="S189" s="6" t="n">
        <v>0.4883720930232558</v>
      </c>
      <c r="T189" s="2" t="inlineStr">
        <is>
          <t>Under</t>
        </is>
      </c>
      <c r="U189" s="4" t="n">
        <v>100</v>
      </c>
      <c r="V189" s="2" t="n">
        <v>2</v>
      </c>
      <c r="W189" s="4" t="n">
        <v>100</v>
      </c>
      <c r="X189" s="2" t="n">
        <v>1</v>
      </c>
      <c r="Y189" s="5" t="n">
        <v>1</v>
      </c>
      <c r="Z189" s="7" t="n">
        <v>100</v>
      </c>
      <c r="AA189" s="7">
        <f>Y189*Z189</f>
        <v/>
      </c>
      <c r="AB189" s="6">
        <f>IF(Z189=0,0,AA189/Z189)</f>
        <v/>
      </c>
      <c r="AC189" s="6" t="n"/>
      <c r="AD189" s="2" t="inlineStr">
        <is>
          <t>Win</t>
        </is>
      </c>
      <c r="AE189" s="6">
        <f>IF((COUNTIF($AD$2:AD189,"Win")+COUNTIF($AD$2:AD189,"Loss"))=0,0,COUNTIF($AD$2:AD189,"Win")/(COUNTIF($AD$2:AD189,"Win")+COUNTIF($AD$2:AD189,"Loss")))</f>
        <v/>
      </c>
      <c r="AF189" s="6">
        <f>SUM($Y$2:Y189)/SUM($X$2:X189)</f>
        <v/>
      </c>
      <c r="AG189" s="5">
        <f>SUM($Y$2:Y189)</f>
        <v/>
      </c>
      <c r="AH189" s="7">
        <f>10000.0+SUM($AA$2:AA189)</f>
        <v/>
      </c>
      <c r="AI189" s="2" t="n">
        <v>2025</v>
      </c>
      <c r="AJ189" s="2" t="inlineStr">
        <is>
          <t>2025-08</t>
        </is>
      </c>
      <c r="AK189" s="2" t="inlineStr">
        <is>
          <t>+100 to +120</t>
        </is>
      </c>
      <c r="AL189" s="2" t="inlineStr">
        <is>
          <t>2025 Validation</t>
        </is>
      </c>
      <c r="AM189" s="6" t="n">
        <v>0.2501685044700257</v>
      </c>
    </row>
    <row r="190">
      <c r="A190" s="2" t="inlineStr">
        <is>
          <t>KPROP-00189</t>
        </is>
      </c>
      <c r="B190" s="3" t="n">
        <v>45882.58725694445</v>
      </c>
      <c r="C190" s="3" t="n">
        <v>45882</v>
      </c>
      <c r="D190" s="2" t="inlineStr">
        <is>
          <t>Brandon Woodruff</t>
        </is>
      </c>
      <c r="E190" s="2" t="n">
        <v>158</v>
      </c>
      <c r="F190" s="2" t="n">
        <v>134</v>
      </c>
      <c r="G190" s="2" t="inlineStr">
        <is>
          <t>Home</t>
        </is>
      </c>
      <c r="H190" s="2" t="inlineStr">
        <is>
          <t>bovada</t>
        </is>
      </c>
      <c r="I190" s="4" t="n"/>
      <c r="J190" s="4" t="n"/>
      <c r="K190" s="4" t="n">
        <v>135</v>
      </c>
      <c r="L190" s="4" t="n">
        <v>135</v>
      </c>
      <c r="M190" s="5" t="n">
        <v>6.5</v>
      </c>
      <c r="N190" s="5" t="n">
        <v>6.194597278349824</v>
      </c>
      <c r="O190" s="5" t="n">
        <v>6.5</v>
      </c>
      <c r="P190" s="5" t="n">
        <v>0.305402721650176</v>
      </c>
      <c r="Q190" s="6" t="n">
        <v>0.3514339628971787</v>
      </c>
      <c r="R190" s="6" t="n">
        <v>0.5750782820839058</v>
      </c>
      <c r="S190" s="6" t="n">
        <v>0.4088050314465409</v>
      </c>
      <c r="T190" s="2" t="inlineStr">
        <is>
          <t>Under</t>
        </is>
      </c>
      <c r="U190" s="4" t="n">
        <v>135</v>
      </c>
      <c r="V190" s="2" t="n">
        <v>2.35</v>
      </c>
      <c r="W190" s="4" t="n">
        <v>135</v>
      </c>
      <c r="X190" s="2" t="n">
        <v>1</v>
      </c>
      <c r="Y190" s="5" t="n">
        <v>1.35</v>
      </c>
      <c r="Z190" s="7" t="n">
        <v>100</v>
      </c>
      <c r="AA190" s="7">
        <f>Y190*Z190</f>
        <v/>
      </c>
      <c r="AB190" s="6">
        <f>IF(Z190=0,0,AA190/Z190)</f>
        <v/>
      </c>
      <c r="AC190" s="6" t="n"/>
      <c r="AD190" s="2" t="inlineStr">
        <is>
          <t>Win</t>
        </is>
      </c>
      <c r="AE190" s="6">
        <f>IF((COUNTIF($AD$2:AD190,"Win")+COUNTIF($AD$2:AD190,"Loss"))=0,0,COUNTIF($AD$2:AD190,"Win")/(COUNTIF($AD$2:AD190,"Win")+COUNTIF($AD$2:AD190,"Loss")))</f>
        <v/>
      </c>
      <c r="AF190" s="6">
        <f>SUM($Y$2:Y190)/SUM($X$2:X190)</f>
        <v/>
      </c>
      <c r="AG190" s="5">
        <f>SUM($Y$2:Y190)</f>
        <v/>
      </c>
      <c r="AH190" s="7">
        <f>10000.0+SUM($AA$2:AA190)</f>
        <v/>
      </c>
      <c r="AI190" s="2" t="n">
        <v>2025</v>
      </c>
      <c r="AJ190" s="2" t="inlineStr">
        <is>
          <t>2025-08</t>
        </is>
      </c>
      <c r="AK190" s="2" t="inlineStr">
        <is>
          <t>+121 to +150</t>
        </is>
      </c>
      <c r="AL190" s="2" t="inlineStr">
        <is>
          <t>2025 Validation</t>
        </is>
      </c>
      <c r="AM190" s="6" t="n">
        <v>0.2603214539979101</v>
      </c>
    </row>
    <row r="191">
      <c r="A191" s="2" t="inlineStr">
        <is>
          <t>KPROP-00190</t>
        </is>
      </c>
      <c r="B191" s="3" t="n">
        <v>45882.58725694445</v>
      </c>
      <c r="C191" s="3" t="n">
        <v>45882</v>
      </c>
      <c r="D191" s="2" t="inlineStr">
        <is>
          <t>Brandon Woodruff</t>
        </is>
      </c>
      <c r="E191" s="2" t="n">
        <v>158</v>
      </c>
      <c r="F191" s="2" t="n">
        <v>134</v>
      </c>
      <c r="G191" s="2" t="inlineStr">
        <is>
          <t>Home</t>
        </is>
      </c>
      <c r="H191" s="2" t="inlineStr">
        <is>
          <t>fanatics</t>
        </is>
      </c>
      <c r="I191" s="4" t="n"/>
      <c r="J191" s="4" t="n"/>
      <c r="K191" s="4" t="n">
        <v>-150</v>
      </c>
      <c r="L191" s="4" t="n">
        <v>-150</v>
      </c>
      <c r="M191" s="5" t="n">
        <v>7.5</v>
      </c>
      <c r="N191" s="5" t="n">
        <v>6.194597278349824</v>
      </c>
      <c r="O191" s="5" t="n">
        <v>7.5</v>
      </c>
      <c r="P191" s="5" t="n">
        <v>1.305402721650176</v>
      </c>
      <c r="Q191" s="6" t="n">
        <v>0.1946368540317912</v>
      </c>
      <c r="R191" s="6" t="n">
        <v>0.7167821124190747</v>
      </c>
      <c r="S191" s="6" t="n">
        <v>0.5689655172413793</v>
      </c>
      <c r="T191" s="2" t="inlineStr">
        <is>
          <t>Under</t>
        </is>
      </c>
      <c r="U191" s="4" t="n">
        <v>-150</v>
      </c>
      <c r="V191" s="2" t="n">
        <v>1.666666666666667</v>
      </c>
      <c r="W191" s="4" t="n">
        <v>-150</v>
      </c>
      <c r="X191" s="2" t="n">
        <v>1</v>
      </c>
      <c r="Y191" s="5" t="n">
        <v>0.6666666666666665</v>
      </c>
      <c r="Z191" s="7" t="n">
        <v>100</v>
      </c>
      <c r="AA191" s="7">
        <f>Y191*Z191</f>
        <v/>
      </c>
      <c r="AB191" s="6">
        <f>IF(Z191=0,0,AA191/Z191)</f>
        <v/>
      </c>
      <c r="AC191" s="6" t="n"/>
      <c r="AD191" s="2" t="inlineStr">
        <is>
          <t>Win</t>
        </is>
      </c>
      <c r="AE191" s="6">
        <f>IF((COUNTIF($AD$2:AD191,"Win")+COUNTIF($AD$2:AD191,"Loss"))=0,0,COUNTIF($AD$2:AD191,"Win")/(COUNTIF($AD$2:AD191,"Win")+COUNTIF($AD$2:AD191,"Loss")))</f>
        <v/>
      </c>
      <c r="AF191" s="6">
        <f>SUM($Y$2:Y191)/SUM($X$2:X191)</f>
        <v/>
      </c>
      <c r="AG191" s="5">
        <f>SUM($Y$2:Y191)</f>
        <v/>
      </c>
      <c r="AH191" s="7">
        <f>10000.0+SUM($AA$2:AA191)</f>
        <v/>
      </c>
      <c r="AI191" s="2" t="n">
        <v>2025</v>
      </c>
      <c r="AJ191" s="2" t="inlineStr">
        <is>
          <t>2025-08</t>
        </is>
      </c>
      <c r="AK191" s="2" t="inlineStr">
        <is>
          <t>&lt;= -150</t>
        </is>
      </c>
      <c r="AL191" s="2" t="inlineStr">
        <is>
          <t>2025 Validation</t>
        </is>
      </c>
      <c r="AM191" s="6" t="n">
        <v>0.2919552810476868</v>
      </c>
    </row>
    <row r="192">
      <c r="A192" s="2" t="inlineStr">
        <is>
          <t>KPROP-00191</t>
        </is>
      </c>
      <c r="B192" s="3" t="n">
        <v>45882.79211805556</v>
      </c>
      <c r="C192" s="3" t="n">
        <v>45882</v>
      </c>
      <c r="D192" s="2" t="inlineStr">
        <is>
          <t>Joe Ryan</t>
        </is>
      </c>
      <c r="E192" s="2" t="n">
        <v>142</v>
      </c>
      <c r="F192" s="2" t="n">
        <v>147</v>
      </c>
      <c r="G192" s="2" t="inlineStr">
        <is>
          <t>Away</t>
        </is>
      </c>
      <c r="H192" s="2" t="inlineStr">
        <is>
          <t>bovada</t>
        </is>
      </c>
      <c r="I192" s="4" t="n"/>
      <c r="J192" s="4" t="n"/>
      <c r="K192" s="4" t="n">
        <v>100</v>
      </c>
      <c r="L192" s="4" t="n">
        <v>100</v>
      </c>
      <c r="M192" s="5" t="n">
        <v>6.5</v>
      </c>
      <c r="N192" s="5" t="n">
        <v>6.356837108036529</v>
      </c>
      <c r="O192" s="5" t="n">
        <v>6.5</v>
      </c>
      <c r="P192" s="5" t="n">
        <v>0.1431628919634713</v>
      </c>
      <c r="Q192" s="6" t="n">
        <v>0.09836557839803861</v>
      </c>
      <c r="R192" s="6" t="n">
        <v>0.5491827891990193</v>
      </c>
      <c r="S192" s="6" t="n">
        <v>0.4939759036144578</v>
      </c>
      <c r="T192" s="2" t="inlineStr">
        <is>
          <t>Under</t>
        </is>
      </c>
      <c r="U192" s="4" t="n">
        <v>100</v>
      </c>
      <c r="V192" s="2" t="n">
        <v>2</v>
      </c>
      <c r="W192" s="4" t="n">
        <v>100</v>
      </c>
      <c r="X192" s="2" t="n">
        <v>1</v>
      </c>
      <c r="Y192" s="5" t="n">
        <v>-1</v>
      </c>
      <c r="Z192" s="7" t="n">
        <v>100</v>
      </c>
      <c r="AA192" s="7">
        <f>Y192*Z192</f>
        <v/>
      </c>
      <c r="AB192" s="6">
        <f>IF(Z192=0,0,AA192/Z192)</f>
        <v/>
      </c>
      <c r="AC192" s="6" t="n"/>
      <c r="AD192" s="2" t="inlineStr">
        <is>
          <t>Loss</t>
        </is>
      </c>
      <c r="AE192" s="6">
        <f>IF((COUNTIF($AD$2:AD192,"Win")+COUNTIF($AD$2:AD192,"Loss"))=0,0,COUNTIF($AD$2:AD192,"Win")/(COUNTIF($AD$2:AD192,"Win")+COUNTIF($AD$2:AD192,"Loss")))</f>
        <v/>
      </c>
      <c r="AF192" s="6">
        <f>SUM($Y$2:Y192)/SUM($X$2:X192)</f>
        <v/>
      </c>
      <c r="AG192" s="5">
        <f>SUM($Y$2:Y192)</f>
        <v/>
      </c>
      <c r="AH192" s="7">
        <f>10000.0+SUM($AA$2:AA192)</f>
        <v/>
      </c>
      <c r="AI192" s="2" t="n">
        <v>2025</v>
      </c>
      <c r="AJ192" s="2" t="inlineStr">
        <is>
          <t>2025-08</t>
        </is>
      </c>
      <c r="AK192" s="2" t="inlineStr">
        <is>
          <t>+100 to +120</t>
        </is>
      </c>
      <c r="AL192" s="2" t="inlineStr">
        <is>
          <t>2025 Validation</t>
        </is>
      </c>
      <c r="AM192" s="6" t="n">
        <v>0.09836557839803861</v>
      </c>
    </row>
    <row r="193">
      <c r="A193" s="2" t="inlineStr">
        <is>
          <t>KPROP-00192</t>
        </is>
      </c>
      <c r="B193" s="3" t="n">
        <v>45882.60461805556</v>
      </c>
      <c r="C193" s="3" t="n">
        <v>45882</v>
      </c>
      <c r="D193" s="2" t="inlineStr">
        <is>
          <t>Merrill Kelly</t>
        </is>
      </c>
      <c r="E193" s="2" t="n">
        <v>140</v>
      </c>
      <c r="F193" s="2" t="n">
        <v>109</v>
      </c>
      <c r="G193" s="2" t="inlineStr">
        <is>
          <t>Home</t>
        </is>
      </c>
      <c r="H193" s="2" t="inlineStr">
        <is>
          <t>draftkings</t>
        </is>
      </c>
      <c r="I193" s="4" t="n"/>
      <c r="J193" s="4" t="n"/>
      <c r="K193" s="4" t="n">
        <v>-105</v>
      </c>
      <c r="L193" s="4" t="n">
        <v>-105</v>
      </c>
      <c r="M193" s="5" t="n">
        <v>5.5</v>
      </c>
      <c r="N193" s="5" t="n">
        <v>5.262306438237396</v>
      </c>
      <c r="O193" s="5" t="n">
        <v>5.5</v>
      </c>
      <c r="P193" s="5" t="n">
        <v>0.2376935617626037</v>
      </c>
      <c r="Q193" s="6" t="n">
        <v>0.1129295849930648</v>
      </c>
      <c r="R193" s="6" t="n">
        <v>0.570037104508643</v>
      </c>
      <c r="S193" s="6" t="n">
        <v>0.4943946188340808</v>
      </c>
      <c r="T193" s="2" t="inlineStr">
        <is>
          <t>Under</t>
        </is>
      </c>
      <c r="U193" s="4" t="n">
        <v>-105</v>
      </c>
      <c r="V193" s="2" t="n">
        <v>1.952380952380952</v>
      </c>
      <c r="W193" s="4" t="n">
        <v>-105</v>
      </c>
      <c r="X193" s="2" t="n">
        <v>1</v>
      </c>
      <c r="Y193" s="5" t="n">
        <v>0.9523809523809523</v>
      </c>
      <c r="Z193" s="7" t="n">
        <v>100</v>
      </c>
      <c r="AA193" s="7">
        <f>Y193*Z193</f>
        <v/>
      </c>
      <c r="AB193" s="6">
        <f>IF(Z193=0,0,AA193/Z193)</f>
        <v/>
      </c>
      <c r="AC193" s="6" t="n"/>
      <c r="AD193" s="2" t="inlineStr">
        <is>
          <t>Win</t>
        </is>
      </c>
      <c r="AE193" s="6">
        <f>IF((COUNTIF($AD$2:AD193,"Win")+COUNTIF($AD$2:AD193,"Loss"))=0,0,COUNTIF($AD$2:AD193,"Win")/(COUNTIF($AD$2:AD193,"Win")+COUNTIF($AD$2:AD193,"Loss")))</f>
        <v/>
      </c>
      <c r="AF193" s="6">
        <f>SUM($Y$2:Y193)/SUM($X$2:X193)</f>
        <v/>
      </c>
      <c r="AG193" s="5">
        <f>SUM($Y$2:Y193)</f>
        <v/>
      </c>
      <c r="AH193" s="7">
        <f>10000.0+SUM($AA$2:AA193)</f>
        <v/>
      </c>
      <c r="AI193" s="2" t="n">
        <v>2025</v>
      </c>
      <c r="AJ193" s="2" t="inlineStr">
        <is>
          <t>2025-08</t>
        </is>
      </c>
      <c r="AK193" s="2" t="inlineStr">
        <is>
          <t>-119 to -101</t>
        </is>
      </c>
      <c r="AL193" s="2" t="inlineStr">
        <is>
          <t>2025 Validation</t>
        </is>
      </c>
      <c r="AM193" s="6" t="n">
        <v>0.1185760642427181</v>
      </c>
    </row>
    <row r="194">
      <c r="A194" s="2" t="inlineStr">
        <is>
          <t>KPROP-00193</t>
        </is>
      </c>
      <c r="B194" s="3" t="n">
        <v>45882.58725694445</v>
      </c>
      <c r="C194" s="3" t="n">
        <v>45882</v>
      </c>
      <c r="D194" s="2" t="inlineStr">
        <is>
          <t>Seth Lugo</t>
        </is>
      </c>
      <c r="E194" s="2" t="n">
        <v>118</v>
      </c>
      <c r="F194" s="2" t="n">
        <v>120</v>
      </c>
      <c r="G194" s="2" t="inlineStr">
        <is>
          <t>Home</t>
        </is>
      </c>
      <c r="H194" s="2" t="inlineStr">
        <is>
          <t>draftkings</t>
        </is>
      </c>
      <c r="I194" s="4" t="n"/>
      <c r="J194" s="4" t="n"/>
      <c r="K194" s="4" t="n">
        <v>120</v>
      </c>
      <c r="L194" s="4" t="n">
        <v>120</v>
      </c>
      <c r="M194" s="5" t="n">
        <v>4.5</v>
      </c>
      <c r="N194" s="5" t="n">
        <v>4.351976238726007</v>
      </c>
      <c r="O194" s="5" t="n">
        <v>4.5</v>
      </c>
      <c r="P194" s="5" t="n">
        <v>0.1480237612739925</v>
      </c>
      <c r="Q194" s="6" t="n">
        <v>0.2329043884738239</v>
      </c>
      <c r="R194" s="6" t="n">
        <v>0.5604110856699199</v>
      </c>
      <c r="S194" s="6" t="n">
        <v>0.4323570432357043</v>
      </c>
      <c r="T194" s="2" t="inlineStr">
        <is>
          <t>Under</t>
        </is>
      </c>
      <c r="U194" s="4" t="n">
        <v>120</v>
      </c>
      <c r="V194" s="2" t="n">
        <v>2.2</v>
      </c>
      <c r="W194" s="4" t="n">
        <v>120</v>
      </c>
      <c r="X194" s="2" t="n">
        <v>1</v>
      </c>
      <c r="Y194" s="5" t="n">
        <v>1.2</v>
      </c>
      <c r="Z194" s="7" t="n">
        <v>100</v>
      </c>
      <c r="AA194" s="7">
        <f>Y194*Z194</f>
        <v/>
      </c>
      <c r="AB194" s="6">
        <f>IF(Z194=0,0,AA194/Z194)</f>
        <v/>
      </c>
      <c r="AC194" s="6" t="n"/>
      <c r="AD194" s="2" t="inlineStr">
        <is>
          <t>Win</t>
        </is>
      </c>
      <c r="AE194" s="6">
        <f>IF((COUNTIF($AD$2:AD194,"Win")+COUNTIF($AD$2:AD194,"Loss"))=0,0,COUNTIF($AD$2:AD194,"Win")/(COUNTIF($AD$2:AD194,"Win")+COUNTIF($AD$2:AD194,"Loss")))</f>
        <v/>
      </c>
      <c r="AF194" s="6">
        <f>SUM($Y$2:Y194)/SUM($X$2:X194)</f>
        <v/>
      </c>
      <c r="AG194" s="5">
        <f>SUM($Y$2:Y194)</f>
        <v/>
      </c>
      <c r="AH194" s="7">
        <f>10000.0+SUM($AA$2:AA194)</f>
        <v/>
      </c>
      <c r="AI194" s="2" t="n">
        <v>2025</v>
      </c>
      <c r="AJ194" s="2" t="inlineStr">
        <is>
          <t>2025-08</t>
        </is>
      </c>
      <c r="AK194" s="2" t="inlineStr">
        <is>
          <t>+100 to +120</t>
        </is>
      </c>
      <c r="AL194" s="2" t="inlineStr">
        <is>
          <t>2025 Validation</t>
        </is>
      </c>
      <c r="AM194" s="6" t="n">
        <v>0.1940869903948532</v>
      </c>
    </row>
    <row r="195">
      <c r="A195" s="2" t="inlineStr">
        <is>
          <t>KPROP-00194</t>
        </is>
      </c>
      <c r="B195" s="3" t="n">
        <v>45882.60461805556</v>
      </c>
      <c r="C195" s="3" t="n">
        <v>45882</v>
      </c>
      <c r="D195" s="2" t="inlineStr">
        <is>
          <t>Zac Gallen</t>
        </is>
      </c>
      <c r="E195" s="2" t="n">
        <v>109</v>
      </c>
      <c r="F195" s="2" t="n">
        <v>140</v>
      </c>
      <c r="G195" s="2" t="inlineStr">
        <is>
          <t>Away</t>
        </is>
      </c>
      <c r="H195" s="2" t="inlineStr">
        <is>
          <t>bovada</t>
        </is>
      </c>
      <c r="I195" s="4" t="n"/>
      <c r="J195" s="4" t="n"/>
      <c r="K195" s="4" t="n">
        <v>-145</v>
      </c>
      <c r="L195" s="4" t="n">
        <v>-145</v>
      </c>
      <c r="M195" s="5" t="n">
        <v>5.5</v>
      </c>
      <c r="N195" s="5" t="n">
        <v>4.898657424720551</v>
      </c>
      <c r="O195" s="5" t="n">
        <v>5.5</v>
      </c>
      <c r="P195" s="5" t="n">
        <v>0.6013425752794488</v>
      </c>
      <c r="Q195" s="6" t="n">
        <v>0.07079669883434359</v>
      </c>
      <c r="R195" s="6" t="n">
        <v>0.6337368217591013</v>
      </c>
      <c r="S195" s="6" t="n">
        <v>0.5711159737417943</v>
      </c>
      <c r="T195" s="2" t="inlineStr">
        <is>
          <t>Under</t>
        </is>
      </c>
      <c r="U195" s="4" t="n">
        <v>-145</v>
      </c>
      <c r="V195" s="2" t="n">
        <v>1.689655172413793</v>
      </c>
      <c r="W195" s="4" t="n">
        <v>-145</v>
      </c>
      <c r="X195" s="2" t="n">
        <v>1</v>
      </c>
      <c r="Y195" s="5" t="n">
        <v>0.6896551724137931</v>
      </c>
      <c r="Z195" s="7" t="n">
        <v>100</v>
      </c>
      <c r="AA195" s="7">
        <f>Y195*Z195</f>
        <v/>
      </c>
      <c r="AB195" s="6">
        <f>IF(Z195=0,0,AA195/Z195)</f>
        <v/>
      </c>
      <c r="AC195" s="6" t="n"/>
      <c r="AD195" s="2" t="inlineStr">
        <is>
          <t>Win</t>
        </is>
      </c>
      <c r="AE195" s="6">
        <f>IF((COUNTIF($AD$2:AD195,"Win")+COUNTIF($AD$2:AD195,"Loss"))=0,0,COUNTIF($AD$2:AD195,"Win")/(COUNTIF($AD$2:AD195,"Win")+COUNTIF($AD$2:AD195,"Loss")))</f>
        <v/>
      </c>
      <c r="AF195" s="6">
        <f>SUM($Y$2:Y195)/SUM($X$2:X195)</f>
        <v/>
      </c>
      <c r="AG195" s="5">
        <f>SUM($Y$2:Y195)</f>
        <v/>
      </c>
      <c r="AH195" s="7">
        <f>10000.0+SUM($AA$2:AA195)</f>
        <v/>
      </c>
      <c r="AI195" s="2" t="n">
        <v>2025</v>
      </c>
      <c r="AJ195" s="2" t="inlineStr">
        <is>
          <t>2025-08</t>
        </is>
      </c>
      <c r="AK195" s="2" t="inlineStr">
        <is>
          <t>-149 to -120</t>
        </is>
      </c>
      <c r="AL195" s="2" t="inlineStr">
        <is>
          <t>2025 Validation</t>
        </is>
      </c>
      <c r="AM195" s="6" t="n">
        <v>0.1026552133097982</v>
      </c>
    </row>
    <row r="196">
      <c r="A196" s="2" t="inlineStr">
        <is>
          <t>KPROP-00195</t>
        </is>
      </c>
      <c r="B196" s="3" t="n">
        <v>45883.81989583333</v>
      </c>
      <c r="C196" s="3" t="n">
        <v>45883</v>
      </c>
      <c r="D196" s="2" t="inlineStr">
        <is>
          <t>Bailey Ober</t>
        </is>
      </c>
      <c r="E196" s="2" t="n">
        <v>142</v>
      </c>
      <c r="F196" s="2" t="n">
        <v>116</v>
      </c>
      <c r="G196" s="2" t="inlineStr">
        <is>
          <t>Home</t>
        </is>
      </c>
      <c r="H196" s="2" t="inlineStr">
        <is>
          <t>bovada</t>
        </is>
      </c>
      <c r="I196" s="4" t="n"/>
      <c r="J196" s="4" t="n"/>
      <c r="K196" s="4" t="n">
        <v>130</v>
      </c>
      <c r="L196" s="4" t="n">
        <v>130</v>
      </c>
      <c r="M196" s="5" t="n">
        <v>4.5</v>
      </c>
      <c r="N196" s="5" t="n">
        <v>4.716697063455242</v>
      </c>
      <c r="O196" s="5" t="n">
        <v>4.5</v>
      </c>
      <c r="P196" s="5" t="n">
        <v>-0.2166970634552419</v>
      </c>
      <c r="Q196" s="6" t="n">
        <v>0.1305073620968529</v>
      </c>
      <c r="R196" s="6" t="n">
        <v>0.49152494004211</v>
      </c>
      <c r="S196" s="6" t="n">
        <v>0.4145990075236113</v>
      </c>
      <c r="T196" s="2" t="inlineStr">
        <is>
          <t>Under</t>
        </is>
      </c>
      <c r="U196" s="4" t="n">
        <v>130</v>
      </c>
      <c r="V196" s="2" t="n">
        <v>2.3</v>
      </c>
      <c r="W196" s="4" t="n">
        <v>130</v>
      </c>
      <c r="X196" s="2" t="n">
        <v>1</v>
      </c>
      <c r="Y196" s="5" t="n">
        <v>1.3</v>
      </c>
      <c r="Z196" s="7" t="n">
        <v>100</v>
      </c>
      <c r="AA196" s="7">
        <f>Y196*Z196</f>
        <v/>
      </c>
      <c r="AB196" s="6">
        <f>IF(Z196=0,0,AA196/Z196)</f>
        <v/>
      </c>
      <c r="AC196" s="6" t="n"/>
      <c r="AD196" s="2" t="inlineStr">
        <is>
          <t>Win</t>
        </is>
      </c>
      <c r="AE196" s="6">
        <f>IF((COUNTIF($AD$2:AD196,"Win")+COUNTIF($AD$2:AD196,"Loss"))=0,0,COUNTIF($AD$2:AD196,"Win")/(COUNTIF($AD$2:AD196,"Win")+COUNTIF($AD$2:AD196,"Loss")))</f>
        <v/>
      </c>
      <c r="AF196" s="6">
        <f>SUM($Y$2:Y196)/SUM($X$2:X196)</f>
        <v/>
      </c>
      <c r="AG196" s="5">
        <f>SUM($Y$2:Y196)</f>
        <v/>
      </c>
      <c r="AH196" s="7">
        <f>10000.0+SUM($AA$2:AA196)</f>
        <v/>
      </c>
      <c r="AI196" s="2" t="n">
        <v>2025</v>
      </c>
      <c r="AJ196" s="2" t="inlineStr">
        <is>
          <t>2025-08</t>
        </is>
      </c>
      <c r="AK196" s="2" t="inlineStr">
        <is>
          <t>+121 to +150</t>
        </is>
      </c>
      <c r="AL196" s="2" t="inlineStr">
        <is>
          <t>2025 Validation</t>
        </is>
      </c>
      <c r="AM196" s="6" t="n">
        <v>0.1003902785360407</v>
      </c>
    </row>
    <row r="197">
      <c r="A197" s="2" t="inlineStr">
        <is>
          <t>KPROP-00196</t>
        </is>
      </c>
      <c r="B197" s="3" t="n">
        <v>45883.81989583333</v>
      </c>
      <c r="C197" s="3" t="n">
        <v>45883</v>
      </c>
      <c r="D197" s="2" t="inlineStr">
        <is>
          <t>Bailey Ober</t>
        </is>
      </c>
      <c r="E197" s="2" t="n">
        <v>142</v>
      </c>
      <c r="F197" s="2" t="n">
        <v>116</v>
      </c>
      <c r="G197" s="2" t="inlineStr">
        <is>
          <t>Home</t>
        </is>
      </c>
      <c r="H197" s="2" t="inlineStr">
        <is>
          <t>draftkings</t>
        </is>
      </c>
      <c r="I197" s="4" t="n"/>
      <c r="J197" s="4" t="n"/>
      <c r="K197" s="4" t="n">
        <v>-160</v>
      </c>
      <c r="L197" s="4" t="n">
        <v>-160</v>
      </c>
      <c r="M197" s="5" t="n">
        <v>5.5</v>
      </c>
      <c r="N197" s="5" t="n">
        <v>4.716697063455242</v>
      </c>
      <c r="O197" s="5" t="n">
        <v>5.5</v>
      </c>
      <c r="P197" s="5" t="n">
        <v>0.7833029365447581</v>
      </c>
      <c r="Q197" s="6" t="n">
        <v>0.08149359996609584</v>
      </c>
      <c r="R197" s="6" t="n">
        <v>0.665534523056059</v>
      </c>
      <c r="S197" s="6" t="n">
        <v>0.5859872611464969</v>
      </c>
      <c r="T197" s="2" t="inlineStr">
        <is>
          <t>Under</t>
        </is>
      </c>
      <c r="U197" s="4" t="n">
        <v>-160</v>
      </c>
      <c r="V197" s="2" t="n">
        <v>1.625</v>
      </c>
      <c r="W197" s="4" t="n">
        <v>-160</v>
      </c>
      <c r="X197" s="2" t="n">
        <v>1</v>
      </c>
      <c r="Y197" s="5" t="n">
        <v>0.625</v>
      </c>
      <c r="Z197" s="7" t="n">
        <v>100</v>
      </c>
      <c r="AA197" s="7">
        <f>Y197*Z197</f>
        <v/>
      </c>
      <c r="AB197" s="6">
        <f>IF(Z197=0,0,AA197/Z197)</f>
        <v/>
      </c>
      <c r="AC197" s="6" t="n"/>
      <c r="AD197" s="2" t="inlineStr">
        <is>
          <t>Win</t>
        </is>
      </c>
      <c r="AE197" s="6">
        <f>IF((COUNTIF($AD$2:AD197,"Win")+COUNTIF($AD$2:AD197,"Loss"))=0,0,COUNTIF($AD$2:AD197,"Win")/(COUNTIF($AD$2:AD197,"Win")+COUNTIF($AD$2:AD197,"Loss")))</f>
        <v/>
      </c>
      <c r="AF197" s="6">
        <f>SUM($Y$2:Y197)/SUM($X$2:X197)</f>
        <v/>
      </c>
      <c r="AG197" s="5">
        <f>SUM($Y$2:Y197)</f>
        <v/>
      </c>
      <c r="AH197" s="7">
        <f>10000.0+SUM($AA$2:AA197)</f>
        <v/>
      </c>
      <c r="AI197" s="2" t="n">
        <v>2025</v>
      </c>
      <c r="AJ197" s="2" t="inlineStr">
        <is>
          <t>2025-08</t>
        </is>
      </c>
      <c r="AK197" s="2" t="inlineStr">
        <is>
          <t>&lt;= -150</t>
        </is>
      </c>
      <c r="AL197" s="2" t="inlineStr">
        <is>
          <t>2025 Validation</t>
        </is>
      </c>
      <c r="AM197" s="6" t="n">
        <v>0.1303897599457534</v>
      </c>
    </row>
    <row r="198">
      <c r="A198" s="2" t="inlineStr">
        <is>
          <t>KPROP-00197</t>
        </is>
      </c>
      <c r="B198" s="3" t="n">
        <v>45883.79557870371</v>
      </c>
      <c r="C198" s="3" t="n">
        <v>45883</v>
      </c>
      <c r="D198" s="2" t="inlineStr">
        <is>
          <t>Kodai Senga</t>
        </is>
      </c>
      <c r="E198" s="2" t="n">
        <v>121</v>
      </c>
      <c r="F198" s="2" t="n">
        <v>144</v>
      </c>
      <c r="G198" s="2" t="inlineStr">
        <is>
          <t>Home</t>
        </is>
      </c>
      <c r="H198" s="2" t="inlineStr">
        <is>
          <t>fanatics</t>
        </is>
      </c>
      <c r="I198" s="4" t="n"/>
      <c r="J198" s="4" t="n"/>
      <c r="K198" s="4" t="n">
        <v>120</v>
      </c>
      <c r="L198" s="4" t="n">
        <v>120</v>
      </c>
      <c r="M198" s="5" t="n">
        <v>4.5</v>
      </c>
      <c r="N198" s="5" t="n">
        <v>4.348001589155507</v>
      </c>
      <c r="O198" s="5" t="n">
        <v>4.5</v>
      </c>
      <c r="P198" s="5" t="n">
        <v>0.1519984108444934</v>
      </c>
      <c r="Q198" s="6" t="n">
        <v>0.2345881735039596</v>
      </c>
      <c r="R198" s="6" t="n">
        <v>0.5611764425017998</v>
      </c>
      <c r="S198" s="6" t="n">
        <v>0.4278523489932886</v>
      </c>
      <c r="T198" s="2" t="inlineStr">
        <is>
          <t>Under</t>
        </is>
      </c>
      <c r="U198" s="4" t="n">
        <v>120</v>
      </c>
      <c r="V198" s="2" t="n">
        <v>2.2</v>
      </c>
      <c r="W198" s="4" t="n">
        <v>120</v>
      </c>
      <c r="X198" s="2" t="n">
        <v>1</v>
      </c>
      <c r="Y198" s="5" t="n">
        <v>-1</v>
      </c>
      <c r="Z198" s="7" t="n">
        <v>100</v>
      </c>
      <c r="AA198" s="7">
        <f>Y198*Z198</f>
        <v/>
      </c>
      <c r="AB198" s="6">
        <f>IF(Z198=0,0,AA198/Z198)</f>
        <v/>
      </c>
      <c r="AC198" s="6" t="n"/>
      <c r="AD198" s="2" t="inlineStr">
        <is>
          <t>Loss</t>
        </is>
      </c>
      <c r="AE198" s="6">
        <f>IF((COUNTIF($AD$2:AD198,"Win")+COUNTIF($AD$2:AD198,"Loss"))=0,0,COUNTIF($AD$2:AD198,"Win")/(COUNTIF($AD$2:AD198,"Win")+COUNTIF($AD$2:AD198,"Loss")))</f>
        <v/>
      </c>
      <c r="AF198" s="6">
        <f>SUM($Y$2:Y198)/SUM($X$2:X198)</f>
        <v/>
      </c>
      <c r="AG198" s="5">
        <f>SUM($Y$2:Y198)</f>
        <v/>
      </c>
      <c r="AH198" s="7">
        <f>10000.0+SUM($AA$2:AA198)</f>
        <v/>
      </c>
      <c r="AI198" s="2" t="n">
        <v>2025</v>
      </c>
      <c r="AJ198" s="2" t="inlineStr">
        <is>
          <t>2025-08</t>
        </is>
      </c>
      <c r="AK198" s="2" t="inlineStr">
        <is>
          <t>+100 to +120</t>
        </is>
      </c>
      <c r="AL198" s="2" t="inlineStr">
        <is>
          <t>2025 Validation</t>
        </is>
      </c>
      <c r="AM198" s="6" t="n">
        <v>0.1954901445866329</v>
      </c>
    </row>
    <row r="199">
      <c r="A199" s="2" t="inlineStr">
        <is>
          <t>KPROP-00198</t>
        </is>
      </c>
      <c r="B199" s="3" t="n">
        <v>45883.79557870371</v>
      </c>
      <c r="C199" s="3" t="n">
        <v>45883</v>
      </c>
      <c r="D199" s="2" t="inlineStr">
        <is>
          <t>Kodai Senga</t>
        </is>
      </c>
      <c r="E199" s="2" t="n">
        <v>121</v>
      </c>
      <c r="F199" s="2" t="n">
        <v>144</v>
      </c>
      <c r="G199" s="2" t="inlineStr">
        <is>
          <t>Home</t>
        </is>
      </c>
      <c r="H199" s="2" t="inlineStr">
        <is>
          <t>betmgm</t>
        </is>
      </c>
      <c r="I199" s="4" t="n"/>
      <c r="J199" s="4" t="n"/>
      <c r="K199" s="4" t="n">
        <v>-155</v>
      </c>
      <c r="L199" s="4" t="n">
        <v>-155</v>
      </c>
      <c r="M199" s="5" t="n">
        <v>5.5</v>
      </c>
      <c r="N199" s="5" t="n">
        <v>4.348001589155507</v>
      </c>
      <c r="O199" s="5" t="n">
        <v>5.5</v>
      </c>
      <c r="P199" s="5" t="n">
        <v>1.151998410844493</v>
      </c>
      <c r="Q199" s="6" t="n">
        <v>0.1987517743045057</v>
      </c>
      <c r="R199" s="6" t="n">
        <v>0.728653039283131</v>
      </c>
      <c r="S199" s="6" t="n">
        <v>0.5882115462252725</v>
      </c>
      <c r="T199" s="2" t="inlineStr">
        <is>
          <t>Under</t>
        </is>
      </c>
      <c r="U199" s="4" t="n">
        <v>-155</v>
      </c>
      <c r="V199" s="2" t="n">
        <v>1.645161290322581</v>
      </c>
      <c r="W199" s="4" t="n">
        <v>-155</v>
      </c>
      <c r="X199" s="2" t="n">
        <v>1</v>
      </c>
      <c r="Y199" s="5" t="n">
        <v>-1</v>
      </c>
      <c r="Z199" s="7" t="n">
        <v>100</v>
      </c>
      <c r="AA199" s="7">
        <f>Y199*Z199</f>
        <v/>
      </c>
      <c r="AB199" s="6">
        <f>IF(Z199=0,0,AA199/Z199)</f>
        <v/>
      </c>
      <c r="AC199" s="6" t="n"/>
      <c r="AD199" s="2" t="inlineStr">
        <is>
          <t>Loss</t>
        </is>
      </c>
      <c r="AE199" s="6">
        <f>IF((COUNTIF($AD$2:AD199,"Win")+COUNTIF($AD$2:AD199,"Loss"))=0,0,COUNTIF($AD$2:AD199,"Win")/(COUNTIF($AD$2:AD199,"Win")+COUNTIF($AD$2:AD199,"Loss")))</f>
        <v/>
      </c>
      <c r="AF199" s="6">
        <f>SUM($Y$2:Y199)/SUM($X$2:X199)</f>
        <v/>
      </c>
      <c r="AG199" s="5">
        <f>SUM($Y$2:Y199)</f>
        <v/>
      </c>
      <c r="AH199" s="7">
        <f>10000.0+SUM($AA$2:AA199)</f>
        <v/>
      </c>
      <c r="AI199" s="2" t="n">
        <v>2025</v>
      </c>
      <c r="AJ199" s="2" t="inlineStr">
        <is>
          <t>2025-08</t>
        </is>
      </c>
      <c r="AK199" s="2" t="inlineStr">
        <is>
          <t>&lt;= -150</t>
        </is>
      </c>
      <c r="AL199" s="2" t="inlineStr">
        <is>
          <t>2025 Validation</t>
        </is>
      </c>
      <c r="AM199" s="6" t="n">
        <v>0.3080652501719839</v>
      </c>
    </row>
    <row r="200">
      <c r="A200" s="2" t="inlineStr">
        <is>
          <t>KPROP-00199</t>
        </is>
      </c>
      <c r="B200" s="3" t="n">
        <v>45883.62892361111</v>
      </c>
      <c r="C200" s="3" t="n">
        <v>45883</v>
      </c>
      <c r="D200" s="2" t="inlineStr">
        <is>
          <t>Max Scherzer</t>
        </is>
      </c>
      <c r="E200" s="2" t="n">
        <v>141</v>
      </c>
      <c r="F200" s="2" t="n">
        <v>112</v>
      </c>
      <c r="G200" s="2" t="inlineStr">
        <is>
          <t>Home</t>
        </is>
      </c>
      <c r="H200" s="2" t="inlineStr">
        <is>
          <t>betmgm</t>
        </is>
      </c>
      <c r="I200" s="4" t="n"/>
      <c r="J200" s="4" t="n"/>
      <c r="K200" s="4" t="n">
        <v>-110</v>
      </c>
      <c r="L200" s="4" t="n">
        <v>-110</v>
      </c>
      <c r="M200" s="5" t="n">
        <v>5.5</v>
      </c>
      <c r="N200" s="5" t="n">
        <v>4.924284810934568</v>
      </c>
      <c r="O200" s="5" t="n">
        <v>5.5</v>
      </c>
      <c r="P200" s="5" t="n">
        <v>0.5757151890654315</v>
      </c>
      <c r="Q200" s="6" t="n">
        <v>0.2012833168899558</v>
      </c>
      <c r="R200" s="6" t="n">
        <v>0.629243642180453</v>
      </c>
      <c r="S200" s="6" t="n">
        <v>0.5</v>
      </c>
      <c r="T200" s="2" t="inlineStr">
        <is>
          <t>Under</t>
        </is>
      </c>
      <c r="U200" s="4" t="n">
        <v>-110</v>
      </c>
      <c r="V200" s="2" t="n">
        <v>1.909090909090909</v>
      </c>
      <c r="W200" s="4" t="n">
        <v>-110</v>
      </c>
      <c r="X200" s="2" t="n">
        <v>1</v>
      </c>
      <c r="Y200" s="5" t="n">
        <v>0.9090909090909092</v>
      </c>
      <c r="Z200" s="7" t="n">
        <v>100</v>
      </c>
      <c r="AA200" s="7">
        <f>Y200*Z200</f>
        <v/>
      </c>
      <c r="AB200" s="6">
        <f>IF(Z200=0,0,AA200/Z200)</f>
        <v/>
      </c>
      <c r="AC200" s="6" t="n"/>
      <c r="AD200" s="2" t="inlineStr">
        <is>
          <t>Win</t>
        </is>
      </c>
      <c r="AE200" s="6">
        <f>IF((COUNTIF($AD$2:AD200,"Win")+COUNTIF($AD$2:AD200,"Loss"))=0,0,COUNTIF($AD$2:AD200,"Win")/(COUNTIF($AD$2:AD200,"Win")+COUNTIF($AD$2:AD200,"Loss")))</f>
        <v/>
      </c>
      <c r="AF200" s="6">
        <f>SUM($Y$2:Y200)/SUM($X$2:X200)</f>
        <v/>
      </c>
      <c r="AG200" s="5">
        <f>SUM($Y$2:Y200)</f>
        <v/>
      </c>
      <c r="AH200" s="7">
        <f>10000.0+SUM($AA$2:AA200)</f>
        <v/>
      </c>
      <c r="AI200" s="2" t="n">
        <v>2025</v>
      </c>
      <c r="AJ200" s="2" t="inlineStr">
        <is>
          <t>2025-08</t>
        </is>
      </c>
      <c r="AK200" s="2" t="inlineStr">
        <is>
          <t>-119 to -101</t>
        </is>
      </c>
      <c r="AL200" s="2" t="inlineStr">
        <is>
          <t>2025 Validation</t>
        </is>
      </c>
      <c r="AM200" s="6" t="n">
        <v>0.2214116485789514</v>
      </c>
    </row>
    <row r="201">
      <c r="A201" s="2" t="inlineStr">
        <is>
          <t>KPROP-00200</t>
        </is>
      </c>
      <c r="B201" s="3" t="n">
        <v>45883.77821759259</v>
      </c>
      <c r="C201" s="3" t="n">
        <v>45883</v>
      </c>
      <c r="D201" s="2" t="inlineStr">
        <is>
          <t>Tanner Bibee</t>
        </is>
      </c>
      <c r="E201" s="2" t="n">
        <v>114</v>
      </c>
      <c r="F201" s="2" t="n">
        <v>146</v>
      </c>
      <c r="G201" s="2" t="inlineStr">
        <is>
          <t>Home</t>
        </is>
      </c>
      <c r="H201" s="2" t="inlineStr">
        <is>
          <t>betmgm</t>
        </is>
      </c>
      <c r="I201" s="4" t="n"/>
      <c r="J201" s="4" t="n"/>
      <c r="K201" s="4" t="n">
        <v>-135</v>
      </c>
      <c r="L201" s="4" t="n">
        <v>-135</v>
      </c>
      <c r="M201" s="5" t="n">
        <v>5.5</v>
      </c>
      <c r="N201" s="5" t="n">
        <v>4.905229552268969</v>
      </c>
      <c r="O201" s="5" t="n">
        <v>5.5</v>
      </c>
      <c r="P201" s="5" t="n">
        <v>0.5947704477310314</v>
      </c>
      <c r="Q201" s="6" t="n">
        <v>0.1011660484311009</v>
      </c>
      <c r="R201" s="6" t="n">
        <v>0.6325847512263771</v>
      </c>
      <c r="S201" s="6" t="n">
        <v>0.5467695274831245</v>
      </c>
      <c r="T201" s="2" t="inlineStr">
        <is>
          <t>Under</t>
        </is>
      </c>
      <c r="U201" s="4" t="n">
        <v>-135</v>
      </c>
      <c r="V201" s="2" t="n">
        <v>1.740740740740741</v>
      </c>
      <c r="W201" s="4" t="n">
        <v>-135</v>
      </c>
      <c r="X201" s="2" t="n">
        <v>1</v>
      </c>
      <c r="Y201" s="5" t="n">
        <v>0.7407407407407407</v>
      </c>
      <c r="Z201" s="7" t="n">
        <v>100</v>
      </c>
      <c r="AA201" s="7">
        <f>Y201*Z201</f>
        <v/>
      </c>
      <c r="AB201" s="6">
        <f>IF(Z201=0,0,AA201/Z201)</f>
        <v/>
      </c>
      <c r="AC201" s="6" t="n"/>
      <c r="AD201" s="2" t="inlineStr">
        <is>
          <t>Win</t>
        </is>
      </c>
      <c r="AE201" s="6">
        <f>IF((COUNTIF($AD$2:AD201,"Win")+COUNTIF($AD$2:AD201,"Loss"))=0,0,COUNTIF($AD$2:AD201,"Win")/(COUNTIF($AD$2:AD201,"Win")+COUNTIF($AD$2:AD201,"Loss")))</f>
        <v/>
      </c>
      <c r="AF201" s="6">
        <f>SUM($Y$2:Y201)/SUM($X$2:X201)</f>
        <v/>
      </c>
      <c r="AG201" s="5">
        <f>SUM($Y$2:Y201)</f>
        <v/>
      </c>
      <c r="AH201" s="7">
        <f>10000.0+SUM($AA$2:AA201)</f>
        <v/>
      </c>
      <c r="AI201" s="2" t="n">
        <v>2025</v>
      </c>
      <c r="AJ201" s="2" t="inlineStr">
        <is>
          <t>2025-08</t>
        </is>
      </c>
      <c r="AK201" s="2" t="inlineStr">
        <is>
          <t>-149 to -120</t>
        </is>
      </c>
      <c r="AL201" s="2" t="inlineStr">
        <is>
          <t>2025 Validation</t>
        </is>
      </c>
      <c r="AM201" s="6" t="n">
        <v>0.1365741653819863</v>
      </c>
    </row>
    <row r="202">
      <c r="A202" s="2" t="inlineStr">
        <is>
          <t>KPROP-00201</t>
        </is>
      </c>
      <c r="B202" s="3" t="n">
        <v>45884.79559027778</v>
      </c>
      <c r="C202" s="3" t="n">
        <v>45884</v>
      </c>
      <c r="D202" s="2" t="inlineStr">
        <is>
          <t>Chris Bassitt</t>
        </is>
      </c>
      <c r="E202" s="2" t="n">
        <v>141</v>
      </c>
      <c r="F202" s="2" t="n">
        <v>140</v>
      </c>
      <c r="G202" s="2" t="inlineStr">
        <is>
          <t>Home</t>
        </is>
      </c>
      <c r="H202" s="2" t="inlineStr">
        <is>
          <t>fanduel</t>
        </is>
      </c>
      <c r="I202" s="4" t="n"/>
      <c r="J202" s="4" t="n"/>
      <c r="K202" s="4" t="n">
        <v>122</v>
      </c>
      <c r="L202" s="4" t="n">
        <v>122</v>
      </c>
      <c r="M202" s="5" t="n">
        <v>4.5</v>
      </c>
      <c r="N202" s="5" t="n">
        <v>4.750197722683267</v>
      </c>
      <c r="O202" s="5" t="n">
        <v>4.5</v>
      </c>
      <c r="P202" s="5" t="n">
        <v>-0.250197722683267</v>
      </c>
      <c r="Q202" s="6" t="n">
        <v>0.07750202798038064</v>
      </c>
      <c r="R202" s="6" t="n">
        <v>0.4853612738650364</v>
      </c>
      <c r="S202" s="6" t="n">
        <v>0.4357298474945534</v>
      </c>
      <c r="T202" s="2" t="inlineStr">
        <is>
          <t>Under</t>
        </is>
      </c>
      <c r="U202" s="4" t="n">
        <v>122</v>
      </c>
      <c r="V202" s="2" t="n">
        <v>2.22</v>
      </c>
      <c r="W202" s="4" t="n">
        <v>122</v>
      </c>
      <c r="X202" s="2" t="n">
        <v>1</v>
      </c>
      <c r="Y202" s="5" t="n">
        <v>1.22</v>
      </c>
      <c r="Z202" s="7" t="n">
        <v>100</v>
      </c>
      <c r="AA202" s="7">
        <f>Y202*Z202</f>
        <v/>
      </c>
      <c r="AB202" s="6">
        <f>IF(Z202=0,0,AA202/Z202)</f>
        <v/>
      </c>
      <c r="AC202" s="6" t="n"/>
      <c r="AD202" s="2" t="inlineStr">
        <is>
          <t>Win</t>
        </is>
      </c>
      <c r="AE202" s="6">
        <f>IF((COUNTIF($AD$2:AD202,"Win")+COUNTIF($AD$2:AD202,"Loss"))=0,0,COUNTIF($AD$2:AD202,"Win")/(COUNTIF($AD$2:AD202,"Win")+COUNTIF($AD$2:AD202,"Loss")))</f>
        <v/>
      </c>
      <c r="AF202" s="6">
        <f>SUM($Y$2:Y202)/SUM($X$2:X202)</f>
        <v/>
      </c>
      <c r="AG202" s="5">
        <f>SUM($Y$2:Y202)</f>
        <v/>
      </c>
      <c r="AH202" s="7">
        <f>10000.0+SUM($AA$2:AA202)</f>
        <v/>
      </c>
      <c r="AI202" s="2" t="n">
        <v>2025</v>
      </c>
      <c r="AJ202" s="2" t="inlineStr">
        <is>
          <t>2025-08</t>
        </is>
      </c>
      <c r="AK202" s="2" t="inlineStr">
        <is>
          <t>+121 to +150</t>
        </is>
      </c>
      <c r="AL202" s="2" t="inlineStr">
        <is>
          <t>2025 Validation</t>
        </is>
      </c>
      <c r="AM202" s="6" t="n">
        <v>0.06352625244293496</v>
      </c>
    </row>
    <row r="203">
      <c r="A203" s="2" t="inlineStr">
        <is>
          <t>KPROP-00202</t>
        </is>
      </c>
      <c r="B203" s="3" t="n">
        <v>45884.59766203703</v>
      </c>
      <c r="C203" s="3" t="n">
        <v>45884</v>
      </c>
      <c r="D203" s="2" t="inlineStr">
        <is>
          <t>Colin Rea</t>
        </is>
      </c>
      <c r="E203" s="2" t="n">
        <v>112</v>
      </c>
      <c r="F203" s="2" t="n">
        <v>134</v>
      </c>
      <c r="G203" s="2" t="inlineStr">
        <is>
          <t>Home</t>
        </is>
      </c>
      <c r="H203" s="2" t="inlineStr">
        <is>
          <t>bovada</t>
        </is>
      </c>
      <c r="I203" s="4" t="n"/>
      <c r="J203" s="4" t="n"/>
      <c r="K203" s="4" t="n">
        <v>-135</v>
      </c>
      <c r="L203" s="4" t="n">
        <v>-135</v>
      </c>
      <c r="M203" s="5" t="n">
        <v>4.5</v>
      </c>
      <c r="N203" s="5" t="n">
        <v>4.069804546118533</v>
      </c>
      <c r="O203" s="5" t="n">
        <v>4.5</v>
      </c>
      <c r="P203" s="5" t="n">
        <v>0.430195453881467</v>
      </c>
      <c r="Q203" s="6" t="n">
        <v>0.07090751198135603</v>
      </c>
      <c r="R203" s="6" t="n">
        <v>0.6152021877339705</v>
      </c>
      <c r="S203" s="6" t="n">
        <v>0.5537409798708697</v>
      </c>
      <c r="T203" s="2" t="inlineStr">
        <is>
          <t>Under</t>
        </is>
      </c>
      <c r="U203" s="4" t="n">
        <v>-135</v>
      </c>
      <c r="V203" s="2" t="n">
        <v>1.740740740740741</v>
      </c>
      <c r="W203" s="4" t="n">
        <v>-135</v>
      </c>
      <c r="X203" s="2" t="n">
        <v>1</v>
      </c>
      <c r="Y203" s="5" t="n">
        <v>-1</v>
      </c>
      <c r="Z203" s="7" t="n">
        <v>100</v>
      </c>
      <c r="AA203" s="7">
        <f>Y203*Z203</f>
        <v/>
      </c>
      <c r="AB203" s="6">
        <f>IF(Z203=0,0,AA203/Z203)</f>
        <v/>
      </c>
      <c r="AC203" s="6" t="n"/>
      <c r="AD203" s="2" t="inlineStr">
        <is>
          <t>Loss</t>
        </is>
      </c>
      <c r="AE203" s="6">
        <f>IF((COUNTIF($AD$2:AD203,"Win")+COUNTIF($AD$2:AD203,"Loss"))=0,0,COUNTIF($AD$2:AD203,"Win")/(COUNTIF($AD$2:AD203,"Win")+COUNTIF($AD$2:AD203,"Loss")))</f>
        <v/>
      </c>
      <c r="AF203" s="6">
        <f>SUM($Y$2:Y203)/SUM($X$2:X203)</f>
        <v/>
      </c>
      <c r="AG203" s="5">
        <f>SUM($Y$2:Y203)</f>
        <v/>
      </c>
      <c r="AH203" s="7">
        <f>10000.0+SUM($AA$2:AA203)</f>
        <v/>
      </c>
      <c r="AI203" s="2" t="n">
        <v>2025</v>
      </c>
      <c r="AJ203" s="2" t="inlineStr">
        <is>
          <t>2025-08</t>
        </is>
      </c>
      <c r="AK203" s="2" t="inlineStr">
        <is>
          <t>-149 to -120</t>
        </is>
      </c>
      <c r="AL203" s="2" t="inlineStr">
        <is>
          <t>2025 Validation</t>
        </is>
      </c>
      <c r="AM203" s="6" t="n">
        <v>0.09572514117483065</v>
      </c>
    </row>
    <row r="204">
      <c r="A204" s="2" t="inlineStr">
        <is>
          <t>KPROP-00203</t>
        </is>
      </c>
      <c r="B204" s="3" t="n">
        <v>45884.79905092593</v>
      </c>
      <c r="C204" s="3" t="n">
        <v>45884</v>
      </c>
      <c r="D204" s="2" t="inlineStr">
        <is>
          <t>Lucas Giolito</t>
        </is>
      </c>
      <c r="E204" s="2" t="n">
        <v>111</v>
      </c>
      <c r="F204" s="2" t="n">
        <v>146</v>
      </c>
      <c r="G204" s="2" t="inlineStr">
        <is>
          <t>Home</t>
        </is>
      </c>
      <c r="H204" s="2" t="inlineStr">
        <is>
          <t>draftkings</t>
        </is>
      </c>
      <c r="I204" s="4" t="n"/>
      <c r="J204" s="4" t="n"/>
      <c r="K204" s="4" t="n">
        <v>125</v>
      </c>
      <c r="L204" s="4" t="n">
        <v>125</v>
      </c>
      <c r="M204" s="5" t="n">
        <v>4.5</v>
      </c>
      <c r="N204" s="5" t="n">
        <v>4.577961563125667</v>
      </c>
      <c r="O204" s="5" t="n">
        <v>4.5</v>
      </c>
      <c r="P204" s="5" t="n">
        <v>-0.07796156312566715</v>
      </c>
      <c r="Q204" s="6" t="n">
        <v>0.1640885767722662</v>
      </c>
      <c r="R204" s="6" t="n">
        <v>0.5173727007876738</v>
      </c>
      <c r="S204" s="6" t="n">
        <v>0.4255319148936171</v>
      </c>
      <c r="T204" s="2" t="inlineStr">
        <is>
          <t>Under</t>
        </is>
      </c>
      <c r="U204" s="4" t="n">
        <v>125</v>
      </c>
      <c r="V204" s="2" t="n">
        <v>2.25</v>
      </c>
      <c r="W204" s="4" t="n">
        <v>125</v>
      </c>
      <c r="X204" s="2" t="n">
        <v>1</v>
      </c>
      <c r="Y204" s="5" t="n">
        <v>-1</v>
      </c>
      <c r="Z204" s="7" t="n">
        <v>100</v>
      </c>
      <c r="AA204" s="7">
        <f>Y204*Z204</f>
        <v/>
      </c>
      <c r="AB204" s="6">
        <f>IF(Z204=0,0,AA204/Z204)</f>
        <v/>
      </c>
      <c r="AC204" s="6" t="n"/>
      <c r="AD204" s="2" t="inlineStr">
        <is>
          <t>Loss</t>
        </is>
      </c>
      <c r="AE204" s="6">
        <f>IF((COUNTIF($AD$2:AD204,"Win")+COUNTIF($AD$2:AD204,"Loss"))=0,0,COUNTIF($AD$2:AD204,"Win")/(COUNTIF($AD$2:AD204,"Win")+COUNTIF($AD$2:AD204,"Loss")))</f>
        <v/>
      </c>
      <c r="AF204" s="6">
        <f>SUM($Y$2:Y204)/SUM($X$2:X204)</f>
        <v/>
      </c>
      <c r="AG204" s="5">
        <f>SUM($Y$2:Y204)</f>
        <v/>
      </c>
      <c r="AH204" s="7">
        <f>10000.0+SUM($AA$2:AA204)</f>
        <v/>
      </c>
      <c r="AI204" s="2" t="n">
        <v>2025</v>
      </c>
      <c r="AJ204" s="2" t="inlineStr">
        <is>
          <t>2025-08</t>
        </is>
      </c>
      <c r="AK204" s="2" t="inlineStr">
        <is>
          <t>+121 to +150</t>
        </is>
      </c>
      <c r="AL204" s="2" t="inlineStr">
        <is>
          <t>2025 Validation</t>
        </is>
      </c>
      <c r="AM204" s="6" t="n">
        <v>0.1312708614178129</v>
      </c>
    </row>
    <row r="205">
      <c r="A205" s="2" t="inlineStr">
        <is>
          <t>KPROP-00204</t>
        </is>
      </c>
      <c r="B205" s="3" t="n">
        <v>45884.79905092593</v>
      </c>
      <c r="C205" s="3" t="n">
        <v>45884</v>
      </c>
      <c r="D205" s="2" t="inlineStr">
        <is>
          <t>Lucas Giolito</t>
        </is>
      </c>
      <c r="E205" s="2" t="n">
        <v>111</v>
      </c>
      <c r="F205" s="2" t="n">
        <v>146</v>
      </c>
      <c r="G205" s="2" t="inlineStr">
        <is>
          <t>Home</t>
        </is>
      </c>
      <c r="H205" s="2" t="inlineStr">
        <is>
          <t>betrivers</t>
        </is>
      </c>
      <c r="I205" s="4" t="n"/>
      <c r="J205" s="4" t="n"/>
      <c r="K205" s="4" t="n">
        <v>-175</v>
      </c>
      <c r="L205" s="4" t="n">
        <v>-175</v>
      </c>
      <c r="M205" s="5" t="n">
        <v>5.5</v>
      </c>
      <c r="N205" s="5" t="n">
        <v>4.577961563125667</v>
      </c>
      <c r="O205" s="5" t="n">
        <v>5.5</v>
      </c>
      <c r="P205" s="5" t="n">
        <v>0.9220384368743328</v>
      </c>
      <c r="Q205" s="6" t="n">
        <v>0.08359111110317724</v>
      </c>
      <c r="R205" s="6" t="n">
        <v>0.689557979792931</v>
      </c>
      <c r="S205" s="6" t="n">
        <v>0.5887850467289719</v>
      </c>
      <c r="T205" s="2" t="inlineStr">
        <is>
          <t>Under</t>
        </is>
      </c>
      <c r="U205" s="4" t="n">
        <v>-175</v>
      </c>
      <c r="V205" s="2" t="n">
        <v>1.571428571428571</v>
      </c>
      <c r="W205" s="4" t="n">
        <v>-175</v>
      </c>
      <c r="X205" s="2" t="n">
        <v>1</v>
      </c>
      <c r="Y205" s="5" t="n">
        <v>0.5714285714285714</v>
      </c>
      <c r="Z205" s="7" t="n">
        <v>100</v>
      </c>
      <c r="AA205" s="7">
        <f>Y205*Z205</f>
        <v/>
      </c>
      <c r="AB205" s="6">
        <f>IF(Z205=0,0,AA205/Z205)</f>
        <v/>
      </c>
      <c r="AC205" s="6" t="n"/>
      <c r="AD205" s="2" t="inlineStr">
        <is>
          <t>Win</t>
        </is>
      </c>
      <c r="AE205" s="6">
        <f>IF((COUNTIF($AD$2:AD205,"Win")+COUNTIF($AD$2:AD205,"Loss"))=0,0,COUNTIF($AD$2:AD205,"Win")/(COUNTIF($AD$2:AD205,"Win")+COUNTIF($AD$2:AD205,"Loss")))</f>
        <v/>
      </c>
      <c r="AF205" s="6">
        <f>SUM($Y$2:Y205)/SUM($X$2:X205)</f>
        <v/>
      </c>
      <c r="AG205" s="5">
        <f>SUM($Y$2:Y205)</f>
        <v/>
      </c>
      <c r="AH205" s="7">
        <f>10000.0+SUM($AA$2:AA205)</f>
        <v/>
      </c>
      <c r="AI205" s="2" t="n">
        <v>2025</v>
      </c>
      <c r="AJ205" s="2" t="inlineStr">
        <is>
          <t>2025-08</t>
        </is>
      </c>
      <c r="AK205" s="2" t="inlineStr">
        <is>
          <t>&lt;= -150</t>
        </is>
      </c>
      <c r="AL205" s="2" t="inlineStr">
        <is>
          <t>2025 Validation</t>
        </is>
      </c>
      <c r="AM205" s="6" t="n">
        <v>0.1462844444305602</v>
      </c>
    </row>
    <row r="206">
      <c r="A206" s="2" t="inlineStr">
        <is>
          <t>KPROP-00205</t>
        </is>
      </c>
      <c r="B206" s="3" t="n">
        <v>45884.78170138889</v>
      </c>
      <c r="C206" s="3" t="n">
        <v>45884</v>
      </c>
      <c r="D206" s="2" t="inlineStr">
        <is>
          <t>MacKenzie Gore</t>
        </is>
      </c>
      <c r="E206" s="2" t="n">
        <v>120</v>
      </c>
      <c r="F206" s="2" t="n">
        <v>143</v>
      </c>
      <c r="G206" s="2" t="inlineStr">
        <is>
          <t>Home</t>
        </is>
      </c>
      <c r="H206" s="2" t="inlineStr">
        <is>
          <t>draftkings</t>
        </is>
      </c>
      <c r="I206" s="4" t="n"/>
      <c r="J206" s="4" t="n"/>
      <c r="K206" s="4" t="n">
        <v>105</v>
      </c>
      <c r="L206" s="4" t="n">
        <v>105</v>
      </c>
      <c r="M206" s="5" t="n">
        <v>6.5</v>
      </c>
      <c r="N206" s="5" t="n">
        <v>5.944380274519782</v>
      </c>
      <c r="O206" s="5" t="n">
        <v>6.5</v>
      </c>
      <c r="P206" s="5" t="n">
        <v>0.5556197254802182</v>
      </c>
      <c r="Q206" s="6" t="n">
        <v>0.2612334437185934</v>
      </c>
      <c r="R206" s="6" t="n">
        <v>0.6152358262041919</v>
      </c>
      <c r="S206" s="6" t="n">
        <v>0.4769828064337215</v>
      </c>
      <c r="T206" s="2" t="inlineStr">
        <is>
          <t>Under</t>
        </is>
      </c>
      <c r="U206" s="4" t="n">
        <v>105</v>
      </c>
      <c r="V206" s="2" t="n">
        <v>2.05</v>
      </c>
      <c r="W206" s="4" t="n">
        <v>105</v>
      </c>
      <c r="X206" s="2" t="n">
        <v>1</v>
      </c>
      <c r="Y206" s="5" t="n">
        <v>-1</v>
      </c>
      <c r="Z206" s="7" t="n">
        <v>100</v>
      </c>
      <c r="AA206" s="7">
        <f>Y206*Z206</f>
        <v/>
      </c>
      <c r="AB206" s="6">
        <f>IF(Z206=0,0,AA206/Z206)</f>
        <v/>
      </c>
      <c r="AC206" s="6" t="n"/>
      <c r="AD206" s="2" t="inlineStr">
        <is>
          <t>Loss</t>
        </is>
      </c>
      <c r="AE206" s="6">
        <f>IF((COUNTIF($AD$2:AD206,"Win")+COUNTIF($AD$2:AD206,"Loss"))=0,0,COUNTIF($AD$2:AD206,"Win")/(COUNTIF($AD$2:AD206,"Win")+COUNTIF($AD$2:AD206,"Loss")))</f>
        <v/>
      </c>
      <c r="AF206" s="6">
        <f>SUM($Y$2:Y206)/SUM($X$2:X206)</f>
        <v/>
      </c>
      <c r="AG206" s="5">
        <f>SUM($Y$2:Y206)</f>
        <v/>
      </c>
      <c r="AH206" s="7">
        <f>10000.0+SUM($AA$2:AA206)</f>
        <v/>
      </c>
      <c r="AI206" s="2" t="n">
        <v>2025</v>
      </c>
      <c r="AJ206" s="2" t="inlineStr">
        <is>
          <t>2025-08</t>
        </is>
      </c>
      <c r="AK206" s="2" t="inlineStr">
        <is>
          <t>+100 to +120</t>
        </is>
      </c>
      <c r="AL206" s="2" t="inlineStr">
        <is>
          <t>2025 Validation</t>
        </is>
      </c>
      <c r="AM206" s="6" t="n">
        <v>0.2487937559224699</v>
      </c>
    </row>
    <row r="207">
      <c r="A207" s="2" t="inlineStr">
        <is>
          <t>KPROP-00206</t>
        </is>
      </c>
      <c r="B207" s="3" t="n">
        <v>45885.59774305556</v>
      </c>
      <c r="C207" s="3" t="n">
        <v>45885</v>
      </c>
      <c r="D207" s="2" t="inlineStr">
        <is>
          <t>Shota Imanaga</t>
        </is>
      </c>
      <c r="E207" s="2" t="n">
        <v>112</v>
      </c>
      <c r="F207" s="2" t="n">
        <v>134</v>
      </c>
      <c r="G207" s="2" t="inlineStr">
        <is>
          <t>Home</t>
        </is>
      </c>
      <c r="H207" s="2" t="inlineStr">
        <is>
          <t>bovada</t>
        </is>
      </c>
      <c r="I207" s="4" t="n"/>
      <c r="J207" s="4" t="n"/>
      <c r="K207" s="4" t="n">
        <v>110</v>
      </c>
      <c r="L207" s="4" t="n">
        <v>110</v>
      </c>
      <c r="M207" s="5" t="n">
        <v>5.5</v>
      </c>
      <c r="N207" s="5" t="n">
        <v>4.90304220837675</v>
      </c>
      <c r="O207" s="5" t="n">
        <v>5.5</v>
      </c>
      <c r="P207" s="5" t="n">
        <v>0.5969577916232502</v>
      </c>
      <c r="Q207" s="6" t="n">
        <v>0.3292332232880268</v>
      </c>
      <c r="R207" s="6" t="n">
        <v>0.632968201565727</v>
      </c>
      <c r="S207" s="6" t="n">
        <v>0.4661016949152542</v>
      </c>
      <c r="T207" s="2" t="inlineStr">
        <is>
          <t>Under</t>
        </is>
      </c>
      <c r="U207" s="4" t="n">
        <v>110</v>
      </c>
      <c r="V207" s="2" t="n">
        <v>2.1</v>
      </c>
      <c r="W207" s="4" t="n">
        <v>110</v>
      </c>
      <c r="X207" s="2" t="n">
        <v>1</v>
      </c>
      <c r="Y207" s="5" t="n">
        <v>-1</v>
      </c>
      <c r="Z207" s="7" t="n">
        <v>100</v>
      </c>
      <c r="AA207" s="7">
        <f>Y207*Z207</f>
        <v/>
      </c>
      <c r="AB207" s="6">
        <f>IF(Z207=0,0,AA207/Z207)</f>
        <v/>
      </c>
      <c r="AC207" s="6" t="n"/>
      <c r="AD207" s="2" t="inlineStr">
        <is>
          <t>Loss</t>
        </is>
      </c>
      <c r="AE207" s="6">
        <f>IF((COUNTIF($AD$2:AD207,"Win")+COUNTIF($AD$2:AD207,"Loss"))=0,0,COUNTIF($AD$2:AD207,"Win")/(COUNTIF($AD$2:AD207,"Win")+COUNTIF($AD$2:AD207,"Loss")))</f>
        <v/>
      </c>
      <c r="AF207" s="6">
        <f>SUM($Y$2:Y207)/SUM($X$2:X207)</f>
        <v/>
      </c>
      <c r="AG207" s="5">
        <f>SUM($Y$2:Y207)</f>
        <v/>
      </c>
      <c r="AH207" s="7">
        <f>10000.0+SUM($AA$2:AA207)</f>
        <v/>
      </c>
      <c r="AI207" s="2" t="n">
        <v>2025</v>
      </c>
      <c r="AJ207" s="2" t="inlineStr">
        <is>
          <t>2025-08</t>
        </is>
      </c>
      <c r="AK207" s="2" t="inlineStr">
        <is>
          <t>+100 to +120</t>
        </is>
      </c>
      <c r="AL207" s="2" t="inlineStr">
        <is>
          <t>2025 Validation</t>
        </is>
      </c>
      <c r="AM207" s="6" t="n">
        <v>0.2993029302618425</v>
      </c>
    </row>
    <row r="208">
      <c r="A208" s="2" t="inlineStr">
        <is>
          <t>KPROP-00207</t>
        </is>
      </c>
      <c r="B208" s="3" t="n">
        <v>45886.56641203703</v>
      </c>
      <c r="C208" s="3" t="n">
        <v>45886</v>
      </c>
      <c r="D208" s="2" t="inlineStr">
        <is>
          <t>Garrett Crochet</t>
        </is>
      </c>
      <c r="E208" s="2" t="n">
        <v>111</v>
      </c>
      <c r="F208" s="2" t="n">
        <v>146</v>
      </c>
      <c r="G208" s="2" t="inlineStr">
        <is>
          <t>Home</t>
        </is>
      </c>
      <c r="H208" s="2" t="inlineStr">
        <is>
          <t>betrivers</t>
        </is>
      </c>
      <c r="I208" s="4" t="n"/>
      <c r="J208" s="4" t="n"/>
      <c r="K208" s="4" t="n">
        <v>135</v>
      </c>
      <c r="L208" s="4" t="n">
        <v>135</v>
      </c>
      <c r="M208" s="5" t="n">
        <v>6.5</v>
      </c>
      <c r="N208" s="5" t="n">
        <v>6.926289779915026</v>
      </c>
      <c r="O208" s="5" t="n">
        <v>6.5</v>
      </c>
      <c r="P208" s="5" t="n">
        <v>-0.4262897799150256</v>
      </c>
      <c r="Q208" s="6" t="n">
        <v>0.08276456563361745</v>
      </c>
      <c r="R208" s="6" t="n">
        <v>0.4607508789930287</v>
      </c>
      <c r="S208" s="6" t="n">
        <v>0.3937542430414121</v>
      </c>
      <c r="T208" s="2" t="inlineStr">
        <is>
          <t>Under</t>
        </is>
      </c>
      <c r="U208" s="4" t="n">
        <v>135</v>
      </c>
      <c r="V208" s="2" t="n">
        <v>2.35</v>
      </c>
      <c r="W208" s="4" t="n">
        <v>135</v>
      </c>
      <c r="X208" s="2" t="n">
        <v>1</v>
      </c>
      <c r="Y208" s="5" t="n">
        <v>-1</v>
      </c>
      <c r="Z208" s="7" t="n">
        <v>100</v>
      </c>
      <c r="AA208" s="7">
        <f>Y208*Z208</f>
        <v/>
      </c>
      <c r="AB208" s="6">
        <f>IF(Z208=0,0,AA208/Z208)</f>
        <v/>
      </c>
      <c r="AC208" s="6" t="n"/>
      <c r="AD208" s="2" t="inlineStr">
        <is>
          <t>Loss</t>
        </is>
      </c>
      <c r="AE208" s="6">
        <f>IF((COUNTIF($AD$2:AD208,"Win")+COUNTIF($AD$2:AD208,"Loss"))=0,0,COUNTIF($AD$2:AD208,"Win")/(COUNTIF($AD$2:AD208,"Win")+COUNTIF($AD$2:AD208,"Loss")))</f>
        <v/>
      </c>
      <c r="AF208" s="6">
        <f>SUM($Y$2:Y208)/SUM($X$2:X208)</f>
        <v/>
      </c>
      <c r="AG208" s="5">
        <f>SUM($Y$2:Y208)</f>
        <v/>
      </c>
      <c r="AH208" s="7">
        <f>10000.0+SUM($AA$2:AA208)</f>
        <v/>
      </c>
      <c r="AI208" s="2" t="n">
        <v>2025</v>
      </c>
      <c r="AJ208" s="2" t="inlineStr">
        <is>
          <t>2025-08</t>
        </is>
      </c>
      <c r="AK208" s="2" t="inlineStr">
        <is>
          <t>+121 to +150</t>
        </is>
      </c>
      <c r="AL208" s="2" t="inlineStr">
        <is>
          <t>2025 Validation</t>
        </is>
      </c>
      <c r="AM208" s="6" t="n">
        <v>0.06130708565453144</v>
      </c>
    </row>
    <row r="209">
      <c r="A209" s="2" t="inlineStr">
        <is>
          <t>KPROP-00208</t>
        </is>
      </c>
      <c r="B209" s="3" t="n">
        <v>45886.56641203703</v>
      </c>
      <c r="C209" s="3" t="n">
        <v>45886</v>
      </c>
      <c r="D209" s="2" t="inlineStr">
        <is>
          <t>Garrett Crochet</t>
        </is>
      </c>
      <c r="E209" s="2" t="n">
        <v>111</v>
      </c>
      <c r="F209" s="2" t="n">
        <v>146</v>
      </c>
      <c r="G209" s="2" t="inlineStr">
        <is>
          <t>Home</t>
        </is>
      </c>
      <c r="H209" s="2" t="inlineStr">
        <is>
          <t>draftkings</t>
        </is>
      </c>
      <c r="I209" s="4" t="n"/>
      <c r="J209" s="4" t="n"/>
      <c r="K209" s="4" t="n">
        <v>-125</v>
      </c>
      <c r="L209" s="4" t="n">
        <v>-125</v>
      </c>
      <c r="M209" s="5" t="n">
        <v>7.5</v>
      </c>
      <c r="N209" s="5" t="n">
        <v>6.926289779915026</v>
      </c>
      <c r="O209" s="5" t="n">
        <v>7.5</v>
      </c>
      <c r="P209" s="5" t="n">
        <v>0.5737102200849744</v>
      </c>
      <c r="Q209" s="6" t="n">
        <v>0.09745178310967989</v>
      </c>
      <c r="R209" s="6" t="n">
        <v>0.6096954350609333</v>
      </c>
      <c r="S209" s="6" t="n">
        <v>0.5384615384615385</v>
      </c>
      <c r="T209" s="2" t="inlineStr">
        <is>
          <t>Under</t>
        </is>
      </c>
      <c r="U209" s="4" t="n">
        <v>-125</v>
      </c>
      <c r="V209" s="2" t="n">
        <v>1.8</v>
      </c>
      <c r="W209" s="4" t="n">
        <v>-125</v>
      </c>
      <c r="X209" s="2" t="n">
        <v>1</v>
      </c>
      <c r="Y209" s="5" t="n">
        <v>-1</v>
      </c>
      <c r="Z209" s="7" t="n">
        <v>100</v>
      </c>
      <c r="AA209" s="7">
        <f>Y209*Z209</f>
        <v/>
      </c>
      <c r="AB209" s="6">
        <f>IF(Z209=0,0,AA209/Z209)</f>
        <v/>
      </c>
      <c r="AC209" s="6" t="n"/>
      <c r="AD209" s="2" t="inlineStr">
        <is>
          <t>Loss</t>
        </is>
      </c>
      <c r="AE209" s="6">
        <f>IF((COUNTIF($AD$2:AD209,"Win")+COUNTIF($AD$2:AD209,"Loss"))=0,0,COUNTIF($AD$2:AD209,"Win")/(COUNTIF($AD$2:AD209,"Win")+COUNTIF($AD$2:AD209,"Loss")))</f>
        <v/>
      </c>
      <c r="AF209" s="6">
        <f>SUM($Y$2:Y209)/SUM($X$2:X209)</f>
        <v/>
      </c>
      <c r="AG209" s="5">
        <f>SUM($Y$2:Y209)</f>
        <v/>
      </c>
      <c r="AH209" s="7">
        <f>10000.0+SUM($AA$2:AA209)</f>
        <v/>
      </c>
      <c r="AI209" s="2" t="n">
        <v>2025</v>
      </c>
      <c r="AJ209" s="2" t="inlineStr">
        <is>
          <t>2025-08</t>
        </is>
      </c>
      <c r="AK209" s="2" t="inlineStr">
        <is>
          <t>-149 to -120</t>
        </is>
      </c>
      <c r="AL209" s="2" t="inlineStr">
        <is>
          <t>2025 Validation</t>
        </is>
      </c>
      <c r="AM209" s="6" t="n">
        <v>0.1218147288870999</v>
      </c>
    </row>
    <row r="210">
      <c r="A210" s="2" t="inlineStr">
        <is>
          <t>KPROP-00209</t>
        </is>
      </c>
      <c r="B210" s="3" t="n">
        <v>45886.59766203703</v>
      </c>
      <c r="C210" s="3" t="n">
        <v>45886</v>
      </c>
      <c r="D210" s="2" t="inlineStr">
        <is>
          <t>Javier Assad</t>
        </is>
      </c>
      <c r="E210" s="2" t="n">
        <v>112</v>
      </c>
      <c r="F210" s="2" t="n">
        <v>134</v>
      </c>
      <c r="G210" s="2" t="inlineStr">
        <is>
          <t>Home</t>
        </is>
      </c>
      <c r="H210" s="2" t="inlineStr">
        <is>
          <t>draftkings</t>
        </is>
      </c>
      <c r="I210" s="4" t="n"/>
      <c r="J210" s="4" t="n"/>
      <c r="K210" s="4" t="n">
        <v>-145</v>
      </c>
      <c r="L210" s="4" t="n">
        <v>-145</v>
      </c>
      <c r="M210" s="5" t="n">
        <v>4.5</v>
      </c>
      <c r="N210" s="5" t="n">
        <v>3.976195423862747</v>
      </c>
      <c r="O210" s="5" t="n">
        <v>4.5</v>
      </c>
      <c r="P210" s="5" t="n">
        <v>0.5238045761372532</v>
      </c>
      <c r="Q210" s="6" t="n">
        <v>0.07037534531411271</v>
      </c>
      <c r="R210" s="6" t="n">
        <v>0.6334874492675361</v>
      </c>
      <c r="S210" s="6" t="n">
        <v>0.5764909248055315</v>
      </c>
      <c r="T210" s="2" t="inlineStr">
        <is>
          <t>Under</t>
        </is>
      </c>
      <c r="U210" s="4" t="n">
        <v>-145</v>
      </c>
      <c r="V210" s="2" t="n">
        <v>1.689655172413793</v>
      </c>
      <c r="W210" s="4" t="n">
        <v>-145</v>
      </c>
      <c r="X210" s="2" t="n">
        <v>1</v>
      </c>
      <c r="Y210" s="5" t="n">
        <v>0.6896551724137931</v>
      </c>
      <c r="Z210" s="7" t="n">
        <v>100</v>
      </c>
      <c r="AA210" s="7">
        <f>Y210*Z210</f>
        <v/>
      </c>
      <c r="AB210" s="6">
        <f>IF(Z210=0,0,AA210/Z210)</f>
        <v/>
      </c>
      <c r="AC210" s="6" t="n"/>
      <c r="AD210" s="2" t="inlineStr">
        <is>
          <t>Win</t>
        </is>
      </c>
      <c r="AE210" s="6">
        <f>IF((COUNTIF($AD$2:AD210,"Win")+COUNTIF($AD$2:AD210,"Loss"))=0,0,COUNTIF($AD$2:AD210,"Win")/(COUNTIF($AD$2:AD210,"Win")+COUNTIF($AD$2:AD210,"Loss")))</f>
        <v/>
      </c>
      <c r="AF210" s="6">
        <f>SUM($Y$2:Y210)/SUM($X$2:X210)</f>
        <v/>
      </c>
      <c r="AG210" s="5">
        <f>SUM($Y$2:Y210)</f>
        <v/>
      </c>
      <c r="AH210" s="7">
        <f>10000.0+SUM($AA$2:AA210)</f>
        <v/>
      </c>
      <c r="AI210" s="2" t="n">
        <v>2025</v>
      </c>
      <c r="AJ210" s="2" t="inlineStr">
        <is>
          <t>2025-08</t>
        </is>
      </c>
      <c r="AK210" s="2" t="inlineStr">
        <is>
          <t>-149 to -120</t>
        </is>
      </c>
      <c r="AL210" s="2" t="inlineStr">
        <is>
          <t>2025 Validation</t>
        </is>
      </c>
      <c r="AM210" s="6" t="n">
        <v>0.1020442507054634</v>
      </c>
    </row>
    <row r="211">
      <c r="A211" s="2" t="inlineStr">
        <is>
          <t>KPROP-00210</t>
        </is>
      </c>
      <c r="B211" s="3" t="n">
        <v>45886.67059027778</v>
      </c>
      <c r="C211" s="3" t="n">
        <v>45886</v>
      </c>
      <c r="D211" s="2" t="inlineStr">
        <is>
          <t>Logan Webb</t>
        </is>
      </c>
      <c r="E211" s="2" t="n">
        <v>137</v>
      </c>
      <c r="F211" s="2" t="n">
        <v>139</v>
      </c>
      <c r="G211" s="2" t="inlineStr">
        <is>
          <t>Home</t>
        </is>
      </c>
      <c r="H211" s="2" t="inlineStr">
        <is>
          <t>betonlineag</t>
        </is>
      </c>
      <c r="I211" s="4" t="n"/>
      <c r="J211" s="4" t="n"/>
      <c r="K211" s="4" t="n">
        <v>128</v>
      </c>
      <c r="L211" s="4" t="n">
        <v>128</v>
      </c>
      <c r="M211" s="5" t="n">
        <v>5.5</v>
      </c>
      <c r="N211" s="5" t="n">
        <v>5.567401206884329</v>
      </c>
      <c r="O211" s="5" t="n">
        <v>5.5</v>
      </c>
      <c r="P211" s="5" t="n">
        <v>-0.0674012068843286</v>
      </c>
      <c r="Q211" s="6" t="n">
        <v>0.1796784416372819</v>
      </c>
      <c r="R211" s="6" t="n">
        <v>0.5174028252795095</v>
      </c>
      <c r="S211" s="6" t="n">
        <v>0.4291845493562232</v>
      </c>
      <c r="T211" s="2" t="inlineStr">
        <is>
          <t>Under</t>
        </is>
      </c>
      <c r="U211" s="4" t="n">
        <v>128</v>
      </c>
      <c r="V211" s="2" t="n">
        <v>2.28</v>
      </c>
      <c r="W211" s="4" t="n">
        <v>128</v>
      </c>
      <c r="X211" s="2" t="n">
        <v>1</v>
      </c>
      <c r="Y211" s="5" t="n">
        <v>-1</v>
      </c>
      <c r="Z211" s="7" t="n">
        <v>100</v>
      </c>
      <c r="AA211" s="7">
        <f>Y211*Z211</f>
        <v/>
      </c>
      <c r="AB211" s="6">
        <f>IF(Z211=0,0,AA211/Z211)</f>
        <v/>
      </c>
      <c r="AC211" s="6" t="n"/>
      <c r="AD211" s="2" t="inlineStr">
        <is>
          <t>Loss</t>
        </is>
      </c>
      <c r="AE211" s="6">
        <f>IF((COUNTIF($AD$2:AD211,"Win")+COUNTIF($AD$2:AD211,"Loss"))=0,0,COUNTIF($AD$2:AD211,"Win")/(COUNTIF($AD$2:AD211,"Win")+COUNTIF($AD$2:AD211,"Loss")))</f>
        <v/>
      </c>
      <c r="AF211" s="6">
        <f>SUM($Y$2:Y211)/SUM($X$2:X211)</f>
        <v/>
      </c>
      <c r="AG211" s="5">
        <f>SUM($Y$2:Y211)</f>
        <v/>
      </c>
      <c r="AH211" s="7">
        <f>10000.0+SUM($AA$2:AA211)</f>
        <v/>
      </c>
      <c r="AI211" s="2" t="n">
        <v>2025</v>
      </c>
      <c r="AJ211" s="2" t="inlineStr">
        <is>
          <t>2025-08</t>
        </is>
      </c>
      <c r="AK211" s="2" t="inlineStr">
        <is>
          <t>+121 to +150</t>
        </is>
      </c>
      <c r="AL211" s="2" t="inlineStr">
        <is>
          <t>2025 Validation</t>
        </is>
      </c>
      <c r="AM211" s="6" t="n">
        <v>0.1403737825291264</v>
      </c>
    </row>
    <row r="212">
      <c r="A212" s="2" t="inlineStr">
        <is>
          <t>KPROP-00211</t>
        </is>
      </c>
      <c r="B212" s="3" t="n">
        <v>45886.67059027778</v>
      </c>
      <c r="C212" s="3" t="n">
        <v>45886</v>
      </c>
      <c r="D212" s="2" t="inlineStr">
        <is>
          <t>Logan Webb</t>
        </is>
      </c>
      <c r="E212" s="2" t="n">
        <v>137</v>
      </c>
      <c r="F212" s="2" t="n">
        <v>139</v>
      </c>
      <c r="G212" s="2" t="inlineStr">
        <is>
          <t>Home</t>
        </is>
      </c>
      <c r="H212" s="2" t="inlineStr">
        <is>
          <t>draftkings</t>
        </is>
      </c>
      <c r="I212" s="4" t="n"/>
      <c r="J212" s="4" t="n"/>
      <c r="K212" s="4" t="n">
        <v>-155</v>
      </c>
      <c r="L212" s="4" t="n">
        <v>-155</v>
      </c>
      <c r="M212" s="5" t="n">
        <v>6.5</v>
      </c>
      <c r="N212" s="5" t="n">
        <v>5.567401206884329</v>
      </c>
      <c r="O212" s="5" t="n">
        <v>6.5</v>
      </c>
      <c r="P212" s="5" t="n">
        <v>0.9325987931156714</v>
      </c>
      <c r="Q212" s="6" t="n">
        <v>0.1111668799111029</v>
      </c>
      <c r="R212" s="6" t="n">
        <v>0.6754151622989057</v>
      </c>
      <c r="S212" s="6" t="n">
        <v>0.5962954167656138</v>
      </c>
      <c r="T212" s="2" t="inlineStr">
        <is>
          <t>Under</t>
        </is>
      </c>
      <c r="U212" s="4" t="n">
        <v>-155</v>
      </c>
      <c r="V212" s="2" t="n">
        <v>1.645161290322581</v>
      </c>
      <c r="W212" s="4" t="n">
        <v>-155</v>
      </c>
      <c r="X212" s="2" t="n">
        <v>1</v>
      </c>
      <c r="Y212" s="5" t="n">
        <v>-1</v>
      </c>
      <c r="Z212" s="7" t="n">
        <v>100</v>
      </c>
      <c r="AA212" s="7">
        <f>Y212*Z212</f>
        <v/>
      </c>
      <c r="AB212" s="6">
        <f>IF(Z212=0,0,AA212/Z212)</f>
        <v/>
      </c>
      <c r="AC212" s="6" t="n"/>
      <c r="AD212" s="2" t="inlineStr">
        <is>
          <t>Loss</t>
        </is>
      </c>
      <c r="AE212" s="6">
        <f>IF((COUNTIF($AD$2:AD212,"Win")+COUNTIF($AD$2:AD212,"Loss"))=0,0,COUNTIF($AD$2:AD212,"Win")/(COUNTIF($AD$2:AD212,"Win")+COUNTIF($AD$2:AD212,"Loss")))</f>
        <v/>
      </c>
      <c r="AF212" s="6">
        <f>SUM($Y$2:Y212)/SUM($X$2:X212)</f>
        <v/>
      </c>
      <c r="AG212" s="5">
        <f>SUM($Y$2:Y212)</f>
        <v/>
      </c>
      <c r="AH212" s="7">
        <f>10000.0+SUM($AA$2:AA212)</f>
        <v/>
      </c>
      <c r="AI212" s="2" t="n">
        <v>2025</v>
      </c>
      <c r="AJ212" s="2" t="inlineStr">
        <is>
          <t>2025-08</t>
        </is>
      </c>
      <c r="AK212" s="2" t="inlineStr">
        <is>
          <t>&lt;= -150</t>
        </is>
      </c>
      <c r="AL212" s="2" t="inlineStr">
        <is>
          <t>2025 Validation</t>
        </is>
      </c>
      <c r="AM212" s="6" t="n">
        <v>0.1723086638622096</v>
      </c>
    </row>
    <row r="213">
      <c r="A213" s="2" t="inlineStr">
        <is>
          <t>KPROP-00212</t>
        </is>
      </c>
      <c r="B213" s="3" t="n">
        <v>45886.56641203703</v>
      </c>
      <c r="C213" s="3" t="n">
        <v>45886</v>
      </c>
      <c r="D213" s="2" t="inlineStr">
        <is>
          <t>Nathan Eovaldi</t>
        </is>
      </c>
      <c r="E213" s="2" t="n">
        <v>140</v>
      </c>
      <c r="F213" s="2" t="n">
        <v>141</v>
      </c>
      <c r="G213" s="2" t="inlineStr">
        <is>
          <t>Away</t>
        </is>
      </c>
      <c r="H213" s="2" t="inlineStr">
        <is>
          <t>bovada</t>
        </is>
      </c>
      <c r="I213" s="4" t="n"/>
      <c r="J213" s="4" t="n"/>
      <c r="K213" s="4" t="n">
        <v>-115</v>
      </c>
      <c r="L213" s="4" t="n">
        <v>-115</v>
      </c>
      <c r="M213" s="5" t="n">
        <v>4.5</v>
      </c>
      <c r="N213" s="5" t="n">
        <v>4.196589629160992</v>
      </c>
      <c r="O213" s="5" t="n">
        <v>4.5</v>
      </c>
      <c r="P213" s="5" t="n">
        <v>0.3034103708390079</v>
      </c>
      <c r="Q213" s="6" t="n">
        <v>0.1039598112780403</v>
      </c>
      <c r="R213" s="6" t="n">
        <v>0.5904901316138356</v>
      </c>
      <c r="S213" s="6" t="n">
        <v>0.5168539325842696</v>
      </c>
      <c r="T213" s="2" t="inlineStr">
        <is>
          <t>Under</t>
        </is>
      </c>
      <c r="U213" s="4" t="n">
        <v>-115</v>
      </c>
      <c r="V213" s="2" t="n">
        <v>1.869565217391304</v>
      </c>
      <c r="W213" s="4" t="n">
        <v>-115</v>
      </c>
      <c r="X213" s="2" t="n">
        <v>1</v>
      </c>
      <c r="Y213" s="5" t="n">
        <v>-1</v>
      </c>
      <c r="Z213" s="7" t="n">
        <v>100</v>
      </c>
      <c r="AA213" s="7">
        <f>Y213*Z213</f>
        <v/>
      </c>
      <c r="AB213" s="6">
        <f>IF(Z213=0,0,AA213/Z213)</f>
        <v/>
      </c>
      <c r="AC213" s="6" t="n"/>
      <c r="AD213" s="2" t="inlineStr">
        <is>
          <t>Loss</t>
        </is>
      </c>
      <c r="AE213" s="6">
        <f>IF((COUNTIF($AD$2:AD213,"Win")+COUNTIF($AD$2:AD213,"Loss"))=0,0,COUNTIF($AD$2:AD213,"Win")/(COUNTIF($AD$2:AD213,"Win")+COUNTIF($AD$2:AD213,"Loss")))</f>
        <v/>
      </c>
      <c r="AF213" s="6">
        <f>SUM($Y$2:Y213)/SUM($X$2:X213)</f>
        <v/>
      </c>
      <c r="AG213" s="5">
        <f>SUM($Y$2:Y213)</f>
        <v/>
      </c>
      <c r="AH213" s="7">
        <f>10000.0+SUM($AA$2:AA213)</f>
        <v/>
      </c>
      <c r="AI213" s="2" t="n">
        <v>2025</v>
      </c>
      <c r="AJ213" s="2" t="inlineStr">
        <is>
          <t>2025-08</t>
        </is>
      </c>
      <c r="AK213" s="2" t="inlineStr">
        <is>
          <t>-119 to -101</t>
        </is>
      </c>
      <c r="AL213" s="2" t="inlineStr">
        <is>
          <t>2025 Validation</t>
        </is>
      </c>
      <c r="AM213" s="6" t="n">
        <v>0.1195537829697464</v>
      </c>
    </row>
    <row r="214">
      <c r="A214" s="2" t="inlineStr">
        <is>
          <t>KPROP-00213</t>
        </is>
      </c>
      <c r="B214" s="3" t="n">
        <v>45886.67405092593</v>
      </c>
      <c r="C214" s="3" t="n">
        <v>45886</v>
      </c>
      <c r="D214" s="2" t="inlineStr">
        <is>
          <t>Tyler Glasnow</t>
        </is>
      </c>
      <c r="E214" s="2" t="n">
        <v>119</v>
      </c>
      <c r="F214" s="2" t="n">
        <v>135</v>
      </c>
      <c r="G214" s="2" t="inlineStr">
        <is>
          <t>Home</t>
        </is>
      </c>
      <c r="H214" s="2" t="inlineStr">
        <is>
          <t>fanduel</t>
        </is>
      </c>
      <c r="I214" s="4" t="n"/>
      <c r="J214" s="4" t="n"/>
      <c r="K214" s="4" t="n">
        <v>102</v>
      </c>
      <c r="L214" s="4" t="n">
        <v>102</v>
      </c>
      <c r="M214" s="5" t="n">
        <v>5.5</v>
      </c>
      <c r="N214" s="5" t="n">
        <v>5.297572059102222</v>
      </c>
      <c r="O214" s="5" t="n">
        <v>5.5</v>
      </c>
      <c r="P214" s="5" t="n">
        <v>0.2024279408977785</v>
      </c>
      <c r="Q214" s="6" t="n">
        <v>0.1390694637148829</v>
      </c>
      <c r="R214" s="6" t="n">
        <v>0.5638957741162787</v>
      </c>
      <c r="S214" s="6" t="n">
        <v>0.4806617482673821</v>
      </c>
      <c r="T214" s="2" t="inlineStr">
        <is>
          <t>Under</t>
        </is>
      </c>
      <c r="U214" s="4" t="n">
        <v>102</v>
      </c>
      <c r="V214" s="2" t="n">
        <v>2.02</v>
      </c>
      <c r="W214" s="4" t="n">
        <v>102</v>
      </c>
      <c r="X214" s="2" t="n">
        <v>1</v>
      </c>
      <c r="Y214" s="5" t="n">
        <v>-1</v>
      </c>
      <c r="Z214" s="7" t="n">
        <v>100</v>
      </c>
      <c r="AA214" s="7">
        <f>Y214*Z214</f>
        <v/>
      </c>
      <c r="AB214" s="6">
        <f>IF(Z214=0,0,AA214/Z214)</f>
        <v/>
      </c>
      <c r="AC214" s="6" t="n"/>
      <c r="AD214" s="2" t="inlineStr">
        <is>
          <t>Loss</t>
        </is>
      </c>
      <c r="AE214" s="6">
        <f>IF((COUNTIF($AD$2:AD214,"Win")+COUNTIF($AD$2:AD214,"Loss"))=0,0,COUNTIF($AD$2:AD214,"Win")/(COUNTIF($AD$2:AD214,"Win")+COUNTIF($AD$2:AD214,"Loss")))</f>
        <v/>
      </c>
      <c r="AF214" s="6">
        <f>SUM($Y$2:Y214)/SUM($X$2:X214)</f>
        <v/>
      </c>
      <c r="AG214" s="5">
        <f>SUM($Y$2:Y214)</f>
        <v/>
      </c>
      <c r="AH214" s="7">
        <f>10000.0+SUM($AA$2:AA214)</f>
        <v/>
      </c>
      <c r="AI214" s="2" t="n">
        <v>2025</v>
      </c>
      <c r="AJ214" s="2" t="inlineStr">
        <is>
          <t>2025-08</t>
        </is>
      </c>
      <c r="AK214" s="2" t="inlineStr">
        <is>
          <t>+100 to +120</t>
        </is>
      </c>
      <c r="AL214" s="2" t="inlineStr">
        <is>
          <t>2025 Validation</t>
        </is>
      </c>
      <c r="AM214" s="6" t="n">
        <v>0.1363426114851793</v>
      </c>
    </row>
    <row r="215">
      <c r="A215" s="2" t="inlineStr">
        <is>
          <t>KPROP-00214</t>
        </is>
      </c>
      <c r="B215" s="3" t="n">
        <v>45887.77475694445</v>
      </c>
      <c r="C215" s="3" t="n">
        <v>45887</v>
      </c>
      <c r="D215" s="2" t="inlineStr">
        <is>
          <t>Jack Flaherty</t>
        </is>
      </c>
      <c r="E215" s="2" t="n">
        <v>116</v>
      </c>
      <c r="F215" s="2" t="n">
        <v>117</v>
      </c>
      <c r="G215" s="2" t="inlineStr">
        <is>
          <t>Home</t>
        </is>
      </c>
      <c r="H215" s="2" t="inlineStr">
        <is>
          <t>betonlineag</t>
        </is>
      </c>
      <c r="I215" s="4" t="n"/>
      <c r="J215" s="4" t="n"/>
      <c r="K215" s="4" t="n">
        <v>-130</v>
      </c>
      <c r="L215" s="4" t="n">
        <v>-130</v>
      </c>
      <c r="M215" s="5" t="n">
        <v>6.5</v>
      </c>
      <c r="N215" s="5" t="n">
        <v>5.667569260522157</v>
      </c>
      <c r="O215" s="5" t="n">
        <v>6.5</v>
      </c>
      <c r="P215" s="5" t="n">
        <v>0.832430739477843</v>
      </c>
      <c r="Q215" s="6" t="n">
        <v>0.1668620504976032</v>
      </c>
      <c r="R215" s="6" t="n">
        <v>0.6595307241942975</v>
      </c>
      <c r="S215" s="6" t="n">
        <v>0.5427435387673957</v>
      </c>
      <c r="T215" s="2" t="inlineStr">
        <is>
          <t>Under</t>
        </is>
      </c>
      <c r="U215" s="4" t="n">
        <v>-130</v>
      </c>
      <c r="V215" s="2" t="n">
        <v>1.769230769230769</v>
      </c>
      <c r="W215" s="4" t="n">
        <v>-130</v>
      </c>
      <c r="X215" s="2" t="n">
        <v>1</v>
      </c>
      <c r="Y215" s="5" t="n">
        <v>-1</v>
      </c>
      <c r="Z215" s="7" t="n">
        <v>100</v>
      </c>
      <c r="AA215" s="7">
        <f>Y215*Z215</f>
        <v/>
      </c>
      <c r="AB215" s="6">
        <f>IF(Z215=0,0,AA215/Z215)</f>
        <v/>
      </c>
      <c r="AC215" s="6" t="n"/>
      <c r="AD215" s="2" t="inlineStr">
        <is>
          <t>Loss</t>
        </is>
      </c>
      <c r="AE215" s="6">
        <f>IF((COUNTIF($AD$2:AD215,"Win")+COUNTIF($AD$2:AD215,"Loss"))=0,0,COUNTIF($AD$2:AD215,"Win")/(COUNTIF($AD$2:AD215,"Win")+COUNTIF($AD$2:AD215,"Loss")))</f>
        <v/>
      </c>
      <c r="AF215" s="6">
        <f>SUM($Y$2:Y215)/SUM($X$2:X215)</f>
        <v/>
      </c>
      <c r="AG215" s="5">
        <f>SUM($Y$2:Y215)</f>
        <v/>
      </c>
      <c r="AH215" s="7">
        <f>10000.0+SUM($AA$2:AA215)</f>
        <v/>
      </c>
      <c r="AI215" s="2" t="n">
        <v>2025</v>
      </c>
      <c r="AJ215" s="2" t="inlineStr">
        <is>
          <t>2025-08</t>
        </is>
      </c>
      <c r="AK215" s="2" t="inlineStr">
        <is>
          <t>-149 to -120</t>
        </is>
      </c>
      <c r="AL215" s="2" t="inlineStr">
        <is>
          <t>2025 Validation</t>
        </is>
      </c>
      <c r="AM215" s="6" t="n">
        <v>0.2169206656468841</v>
      </c>
    </row>
    <row r="216">
      <c r="A216" s="2" t="inlineStr">
        <is>
          <t>KPROP-00215</t>
        </is>
      </c>
      <c r="B216" s="3" t="n">
        <v>45887.77475694445</v>
      </c>
      <c r="C216" s="3" t="n">
        <v>45887</v>
      </c>
      <c r="D216" s="2" t="inlineStr">
        <is>
          <t>Matthew Liberatore</t>
        </is>
      </c>
      <c r="E216" s="2" t="n">
        <v>138</v>
      </c>
      <c r="F216" s="2" t="n">
        <v>146</v>
      </c>
      <c r="G216" s="2" t="inlineStr">
        <is>
          <t>Away</t>
        </is>
      </c>
      <c r="H216" s="2" t="inlineStr">
        <is>
          <t>betmgm</t>
        </is>
      </c>
      <c r="I216" s="4" t="n"/>
      <c r="J216" s="4" t="n"/>
      <c r="K216" s="4" t="n">
        <v>115</v>
      </c>
      <c r="L216" s="4" t="n">
        <v>115</v>
      </c>
      <c r="M216" s="5" t="n">
        <v>3.5</v>
      </c>
      <c r="N216" s="5" t="n">
        <v>3.207490188457284</v>
      </c>
      <c r="O216" s="5" t="n">
        <v>3.5</v>
      </c>
      <c r="P216" s="5" t="n">
        <v>0.2925098115427156</v>
      </c>
      <c r="Q216" s="6" t="n">
        <v>0.2918332695910925</v>
      </c>
      <c r="R216" s="6" t="n">
        <v>0.6008526835307407</v>
      </c>
      <c r="S216" s="6" t="n">
        <v>0.451422963689892</v>
      </c>
      <c r="T216" s="2" t="inlineStr">
        <is>
          <t>Under</t>
        </is>
      </c>
      <c r="U216" s="4" t="n">
        <v>115</v>
      </c>
      <c r="V216" s="2" t="n">
        <v>2.15</v>
      </c>
      <c r="W216" s="4" t="n">
        <v>115</v>
      </c>
      <c r="X216" s="2" t="n">
        <v>1</v>
      </c>
      <c r="Y216" s="5" t="n">
        <v>-1</v>
      </c>
      <c r="Z216" s="7" t="n">
        <v>100</v>
      </c>
      <c r="AA216" s="7">
        <f>Y216*Z216</f>
        <v/>
      </c>
      <c r="AB216" s="6">
        <f>IF(Z216=0,0,AA216/Z216)</f>
        <v/>
      </c>
      <c r="AC216" s="6" t="n"/>
      <c r="AD216" s="2" t="inlineStr">
        <is>
          <t>Loss</t>
        </is>
      </c>
      <c r="AE216" s="6">
        <f>IF((COUNTIF($AD$2:AD216,"Win")+COUNTIF($AD$2:AD216,"Loss"))=0,0,COUNTIF($AD$2:AD216,"Win")/(COUNTIF($AD$2:AD216,"Win")+COUNTIF($AD$2:AD216,"Loss")))</f>
        <v/>
      </c>
      <c r="AF216" s="6">
        <f>SUM($Y$2:Y216)/SUM($X$2:X216)</f>
        <v/>
      </c>
      <c r="AG216" s="5">
        <f>SUM($Y$2:Y216)</f>
        <v/>
      </c>
      <c r="AH216" s="7">
        <f>10000.0+SUM($AA$2:AA216)</f>
        <v/>
      </c>
      <c r="AI216" s="2" t="n">
        <v>2025</v>
      </c>
      <c r="AJ216" s="2" t="inlineStr">
        <is>
          <t>2025-08</t>
        </is>
      </c>
      <c r="AK216" s="2" t="inlineStr">
        <is>
          <t>+100 to +120</t>
        </is>
      </c>
      <c r="AL216" s="2" t="inlineStr">
        <is>
          <t>2025 Validation</t>
        </is>
      </c>
      <c r="AM216" s="6" t="n">
        <v>0.2537680605139935</v>
      </c>
    </row>
    <row r="217">
      <c r="A217" s="2" t="inlineStr">
        <is>
          <t>KPROP-00216</t>
        </is>
      </c>
      <c r="B217" s="3" t="n">
        <v>45887.78168981482</v>
      </c>
      <c r="C217" s="3" t="n">
        <v>45887</v>
      </c>
      <c r="D217" s="2" t="inlineStr">
        <is>
          <t>Ranger Suarez</t>
        </is>
      </c>
      <c r="E217" s="2" t="n">
        <v>143</v>
      </c>
      <c r="F217" s="2" t="n">
        <v>136</v>
      </c>
      <c r="G217" s="2" t="inlineStr">
        <is>
          <t>Home</t>
        </is>
      </c>
      <c r="H217" s="2" t="inlineStr">
        <is>
          <t>betonlineag</t>
        </is>
      </c>
      <c r="I217" s="4" t="n"/>
      <c r="J217" s="4" t="n"/>
      <c r="K217" s="4" t="n">
        <v>-114</v>
      </c>
      <c r="L217" s="4" t="n">
        <v>-114</v>
      </c>
      <c r="M217" s="5" t="n">
        <v>5.5</v>
      </c>
      <c r="N217" s="5" t="n">
        <v>4.743508131919579</v>
      </c>
      <c r="O217" s="5" t="n">
        <v>5.5</v>
      </c>
      <c r="P217" s="5" t="n">
        <v>0.7564918680804213</v>
      </c>
      <c r="Q217" s="6" t="n">
        <v>0.2405720922714901</v>
      </c>
      <c r="R217" s="6" t="n">
        <v>0.6608655070978966</v>
      </c>
      <c r="S217" s="6" t="n">
        <v>0.5098167539267016</v>
      </c>
      <c r="T217" s="2" t="inlineStr">
        <is>
          <t>Under</t>
        </is>
      </c>
      <c r="U217" s="4" t="n">
        <v>-114</v>
      </c>
      <c r="V217" s="2" t="n">
        <v>1.87719298245614</v>
      </c>
      <c r="W217" s="4" t="n">
        <v>-114</v>
      </c>
      <c r="X217" s="2" t="n">
        <v>1</v>
      </c>
      <c r="Y217" s="5" t="n">
        <v>-1</v>
      </c>
      <c r="Z217" s="7" t="n">
        <v>100</v>
      </c>
      <c r="AA217" s="7">
        <f>Y217*Z217</f>
        <v/>
      </c>
      <c r="AB217" s="6">
        <f>IF(Z217=0,0,AA217/Z217)</f>
        <v/>
      </c>
      <c r="AC217" s="6" t="n"/>
      <c r="AD217" s="2" t="inlineStr">
        <is>
          <t>Loss</t>
        </is>
      </c>
      <c r="AE217" s="6">
        <f>IF((COUNTIF($AD$2:AD217,"Win")+COUNTIF($AD$2:AD217,"Loss"))=0,0,COUNTIF($AD$2:AD217,"Win")/(COUNTIF($AD$2:AD217,"Win")+COUNTIF($AD$2:AD217,"Loss")))</f>
        <v/>
      </c>
      <c r="AF217" s="6">
        <f>SUM($Y$2:Y217)/SUM($X$2:X217)</f>
        <v/>
      </c>
      <c r="AG217" s="5">
        <f>SUM($Y$2:Y217)</f>
        <v/>
      </c>
      <c r="AH217" s="7">
        <f>10000.0+SUM($AA$2:AA217)</f>
        <v/>
      </c>
      <c r="AI217" s="2" t="n">
        <v>2025</v>
      </c>
      <c r="AJ217" s="2" t="inlineStr">
        <is>
          <t>2025-08</t>
        </is>
      </c>
      <c r="AK217" s="2" t="inlineStr">
        <is>
          <t>-119 to -101</t>
        </is>
      </c>
      <c r="AL217" s="2" t="inlineStr">
        <is>
          <t>2025 Validation</t>
        </is>
      </c>
      <c r="AM217" s="6" t="n">
        <v>0.2742521851894987</v>
      </c>
    </row>
    <row r="218">
      <c r="A218" s="2" t="inlineStr">
        <is>
          <t>KPROP-00217</t>
        </is>
      </c>
      <c r="B218" s="3" t="n">
        <v>45887.79905092593</v>
      </c>
      <c r="C218" s="3" t="n">
        <v>45887</v>
      </c>
      <c r="D218" s="2" t="inlineStr">
        <is>
          <t>Spencer Strider</t>
        </is>
      </c>
      <c r="E218" s="2" t="n">
        <v>144</v>
      </c>
      <c r="F218" s="2" t="n">
        <v>145</v>
      </c>
      <c r="G218" s="2" t="inlineStr">
        <is>
          <t>Home</t>
        </is>
      </c>
      <c r="H218" s="2" t="inlineStr">
        <is>
          <t>fanduel</t>
        </is>
      </c>
      <c r="I218" s="4" t="n"/>
      <c r="J218" s="4" t="n"/>
      <c r="K218" s="4" t="n">
        <v>-134</v>
      </c>
      <c r="L218" s="4" t="n">
        <v>-134</v>
      </c>
      <c r="M218" s="5" t="n">
        <v>7.5</v>
      </c>
      <c r="N218" s="5" t="n">
        <v>5.678975663381873</v>
      </c>
      <c r="O218" s="5" t="n">
        <v>7.5</v>
      </c>
      <c r="P218" s="5" t="n">
        <v>1.821024336618127</v>
      </c>
      <c r="Q218" s="6" t="n">
        <v>0.3740874304162608</v>
      </c>
      <c r="R218" s="6" t="n">
        <v>0.7868705798110212</v>
      </c>
      <c r="S218" s="6" t="n">
        <v>0.5630252100840336</v>
      </c>
      <c r="T218" s="2" t="inlineStr">
        <is>
          <t>Under</t>
        </is>
      </c>
      <c r="U218" s="4" t="n">
        <v>-134</v>
      </c>
      <c r="V218" s="2" t="n">
        <v>1.746268656716418</v>
      </c>
      <c r="W218" s="4" t="n">
        <v>-134</v>
      </c>
      <c r="X218" s="2" t="n">
        <v>1</v>
      </c>
      <c r="Y218" s="5" t="n">
        <v>0.7462686567164178</v>
      </c>
      <c r="Z218" s="7" t="n">
        <v>100</v>
      </c>
      <c r="AA218" s="7">
        <f>Y218*Z218</f>
        <v/>
      </c>
      <c r="AB218" s="6">
        <f>IF(Z218=0,0,AA218/Z218)</f>
        <v/>
      </c>
      <c r="AC218" s="6" t="n"/>
      <c r="AD218" s="2" t="inlineStr">
        <is>
          <t>Win</t>
        </is>
      </c>
      <c r="AE218" s="6">
        <f>IF((COUNTIF($AD$2:AD218,"Win")+COUNTIF($AD$2:AD218,"Loss"))=0,0,COUNTIF($AD$2:AD218,"Win")/(COUNTIF($AD$2:AD218,"Win")+COUNTIF($AD$2:AD218,"Loss")))</f>
        <v/>
      </c>
      <c r="AF218" s="6">
        <f>SUM($Y$2:Y218)/SUM($X$2:X218)</f>
        <v/>
      </c>
      <c r="AG218" s="5">
        <f>SUM($Y$2:Y218)</f>
        <v/>
      </c>
      <c r="AH218" s="7">
        <f>10000.0+SUM($AA$2:AA218)</f>
        <v/>
      </c>
      <c r="AI218" s="2" t="n">
        <v>2025</v>
      </c>
      <c r="AJ218" s="2" t="inlineStr">
        <is>
          <t>2025-08</t>
        </is>
      </c>
      <c r="AK218" s="2" t="inlineStr">
        <is>
          <t>-149 to -120</t>
        </is>
      </c>
      <c r="AL218" s="2" t="inlineStr">
        <is>
          <t>2025 Validation</t>
        </is>
      </c>
      <c r="AM218" s="6" t="n">
        <v>0.5012771567577895</v>
      </c>
    </row>
    <row r="219">
      <c r="A219" s="2" t="inlineStr">
        <is>
          <t>KPROP-00218</t>
        </is>
      </c>
      <c r="B219" s="3" t="n">
        <v>45888.79907407407</v>
      </c>
      <c r="C219" s="3" t="n">
        <v>45888</v>
      </c>
      <c r="D219" s="2" t="inlineStr">
        <is>
          <t>Bryce Elder</t>
        </is>
      </c>
      <c r="E219" s="2" t="n">
        <v>144</v>
      </c>
      <c r="F219" s="2" t="n">
        <v>145</v>
      </c>
      <c r="G219" s="2" t="inlineStr">
        <is>
          <t>Home</t>
        </is>
      </c>
      <c r="H219" s="2" t="inlineStr">
        <is>
          <t>bovada</t>
        </is>
      </c>
      <c r="I219" s="4" t="n"/>
      <c r="J219" s="4" t="n"/>
      <c r="K219" s="4" t="n">
        <v>-110</v>
      </c>
      <c r="L219" s="4" t="n">
        <v>-110</v>
      </c>
      <c r="M219" s="5" t="n">
        <v>4.5</v>
      </c>
      <c r="N219" s="5" t="n">
        <v>4.14331164645254</v>
      </c>
      <c r="O219" s="5" t="n">
        <v>4.5</v>
      </c>
      <c r="P219" s="5" t="n">
        <v>0.3566883535474599</v>
      </c>
      <c r="Q219" s="6" t="n">
        <v>0.147100405556861</v>
      </c>
      <c r="R219" s="6" t="n">
        <v>0.600862117196451</v>
      </c>
      <c r="S219" s="6" t="n">
        <v>0.5177956371986223</v>
      </c>
      <c r="T219" s="2" t="inlineStr">
        <is>
          <t>Under</t>
        </is>
      </c>
      <c r="U219" s="4" t="n">
        <v>-110</v>
      </c>
      <c r="V219" s="2" t="n">
        <v>1.909090909090909</v>
      </c>
      <c r="W219" s="4" t="n">
        <v>-110</v>
      </c>
      <c r="X219" s="2" t="n">
        <v>1</v>
      </c>
      <c r="Y219" s="5" t="n">
        <v>0.9090909090909092</v>
      </c>
      <c r="Z219" s="7" t="n">
        <v>100</v>
      </c>
      <c r="AA219" s="7">
        <f>Y219*Z219</f>
        <v/>
      </c>
      <c r="AB219" s="6">
        <f>IF(Z219=0,0,AA219/Z219)</f>
        <v/>
      </c>
      <c r="AC219" s="6" t="n"/>
      <c r="AD219" s="2" t="inlineStr">
        <is>
          <t>Win</t>
        </is>
      </c>
      <c r="AE219" s="6">
        <f>IF((COUNTIF($AD$2:AD219,"Win")+COUNTIF($AD$2:AD219,"Loss"))=0,0,COUNTIF($AD$2:AD219,"Win")/(COUNTIF($AD$2:AD219,"Win")+COUNTIF($AD$2:AD219,"Loss")))</f>
        <v/>
      </c>
      <c r="AF219" s="6">
        <f>SUM($Y$2:Y219)/SUM($X$2:X219)</f>
        <v/>
      </c>
      <c r="AG219" s="5">
        <f>SUM($Y$2:Y219)</f>
        <v/>
      </c>
      <c r="AH219" s="7">
        <f>10000.0+SUM($AA$2:AA219)</f>
        <v/>
      </c>
      <c r="AI219" s="2" t="n">
        <v>2025</v>
      </c>
      <c r="AJ219" s="2" t="inlineStr">
        <is>
          <t>2025-08</t>
        </is>
      </c>
      <c r="AK219" s="2" t="inlineStr">
        <is>
          <t>-119 to -101</t>
        </is>
      </c>
      <c r="AL219" s="2" t="inlineStr">
        <is>
          <t>2025 Validation</t>
        </is>
      </c>
      <c r="AM219" s="6" t="n">
        <v>0.1618104461125471</v>
      </c>
    </row>
    <row r="220">
      <c r="A220" s="2" t="inlineStr">
        <is>
          <t>KPROP-00219</t>
        </is>
      </c>
      <c r="B220" s="3" t="n">
        <v>45888.78170138889</v>
      </c>
      <c r="C220" s="3" t="n">
        <v>45888</v>
      </c>
      <c r="D220" s="2" t="inlineStr">
        <is>
          <t>David Peterson</t>
        </is>
      </c>
      <c r="E220" s="2" t="n">
        <v>121</v>
      </c>
      <c r="F220" s="2" t="n">
        <v>120</v>
      </c>
      <c r="G220" s="2" t="inlineStr">
        <is>
          <t>Away</t>
        </is>
      </c>
      <c r="H220" s="2" t="inlineStr">
        <is>
          <t>bovada</t>
        </is>
      </c>
      <c r="I220" s="4" t="n"/>
      <c r="J220" s="4" t="n"/>
      <c r="K220" s="4" t="n">
        <v>100</v>
      </c>
      <c r="L220" s="4" t="n">
        <v>100</v>
      </c>
      <c r="M220" s="5" t="n">
        <v>5.5</v>
      </c>
      <c r="N220" s="5" t="n">
        <v>5.01881955266589</v>
      </c>
      <c r="O220" s="5" t="n">
        <v>5.5</v>
      </c>
      <c r="P220" s="5" t="n">
        <v>0.4811804473341104</v>
      </c>
      <c r="Q220" s="6" t="n">
        <v>0.2253169526768919</v>
      </c>
      <c r="R220" s="6" t="n">
        <v>0.6126584763384459</v>
      </c>
      <c r="S220" s="6" t="n">
        <v>0.4883720930232558</v>
      </c>
      <c r="T220" s="2" t="inlineStr">
        <is>
          <t>Under</t>
        </is>
      </c>
      <c r="U220" s="4" t="n">
        <v>100</v>
      </c>
      <c r="V220" s="2" t="n">
        <v>2</v>
      </c>
      <c r="W220" s="4" t="n">
        <v>100</v>
      </c>
      <c r="X220" s="2" t="n">
        <v>1</v>
      </c>
      <c r="Y220" s="5" t="n">
        <v>-1</v>
      </c>
      <c r="Z220" s="7" t="n">
        <v>100</v>
      </c>
      <c r="AA220" s="7">
        <f>Y220*Z220</f>
        <v/>
      </c>
      <c r="AB220" s="6">
        <f>IF(Z220=0,0,AA220/Z220)</f>
        <v/>
      </c>
      <c r="AC220" s="6" t="n"/>
      <c r="AD220" s="2" t="inlineStr">
        <is>
          <t>Loss</t>
        </is>
      </c>
      <c r="AE220" s="6">
        <f>IF((COUNTIF($AD$2:AD220,"Win")+COUNTIF($AD$2:AD220,"Loss"))=0,0,COUNTIF($AD$2:AD220,"Win")/(COUNTIF($AD$2:AD220,"Win")+COUNTIF($AD$2:AD220,"Loss")))</f>
        <v/>
      </c>
      <c r="AF220" s="6">
        <f>SUM($Y$2:Y220)/SUM($X$2:X220)</f>
        <v/>
      </c>
      <c r="AG220" s="5">
        <f>SUM($Y$2:Y220)</f>
        <v/>
      </c>
      <c r="AH220" s="7">
        <f>10000.0+SUM($AA$2:AA220)</f>
        <v/>
      </c>
      <c r="AI220" s="2" t="n">
        <v>2025</v>
      </c>
      <c r="AJ220" s="2" t="inlineStr">
        <is>
          <t>2025-08</t>
        </is>
      </c>
      <c r="AK220" s="2" t="inlineStr">
        <is>
          <t>+100 to +120</t>
        </is>
      </c>
      <c r="AL220" s="2" t="inlineStr">
        <is>
          <t>2025 Validation</t>
        </is>
      </c>
      <c r="AM220" s="6" t="n">
        <v>0.2253169526768919</v>
      </c>
    </row>
    <row r="221">
      <c r="A221" s="2" t="inlineStr">
        <is>
          <t>KPROP-00220</t>
        </is>
      </c>
      <c r="B221" s="3" t="n">
        <v>45888.81642361111</v>
      </c>
      <c r="C221" s="3" t="n">
        <v>45888</v>
      </c>
      <c r="D221" s="2" t="inlineStr">
        <is>
          <t>Joe Ryan</t>
        </is>
      </c>
      <c r="E221" s="2" t="n">
        <v>142</v>
      </c>
      <c r="F221" s="2" t="n">
        <v>133</v>
      </c>
      <c r="G221" s="2" t="inlineStr">
        <is>
          <t>Home</t>
        </is>
      </c>
      <c r="H221" s="2" t="inlineStr">
        <is>
          <t>bovada</t>
        </is>
      </c>
      <c r="I221" s="4" t="n"/>
      <c r="J221" s="4" t="n"/>
      <c r="K221" s="4" t="n">
        <v>115</v>
      </c>
      <c r="L221" s="4" t="n">
        <v>115</v>
      </c>
      <c r="M221" s="5" t="n">
        <v>6.5</v>
      </c>
      <c r="N221" s="5" t="n">
        <v>6.218319444758083</v>
      </c>
      <c r="O221" s="5" t="n">
        <v>6.5</v>
      </c>
      <c r="P221" s="5" t="n">
        <v>0.281680555241917</v>
      </c>
      <c r="Q221" s="6" t="n">
        <v>0.2282545283220423</v>
      </c>
      <c r="R221" s="6" t="n">
        <v>0.5712811759637406</v>
      </c>
      <c r="S221" s="6" t="n">
        <v>0.4443618109138236</v>
      </c>
      <c r="T221" s="2" t="inlineStr">
        <is>
          <t>Under</t>
        </is>
      </c>
      <c r="U221" s="4" t="n">
        <v>115</v>
      </c>
      <c r="V221" s="2" t="n">
        <v>2.15</v>
      </c>
      <c r="W221" s="4" t="n">
        <v>115</v>
      </c>
      <c r="X221" s="2" t="n">
        <v>1</v>
      </c>
      <c r="Y221" s="5" t="n">
        <v>1.15</v>
      </c>
      <c r="Z221" s="7" t="n">
        <v>100</v>
      </c>
      <c r="AA221" s="7">
        <f>Y221*Z221</f>
        <v/>
      </c>
      <c r="AB221" s="6">
        <f>IF(Z221=0,0,AA221/Z221)</f>
        <v/>
      </c>
      <c r="AC221" s="6" t="n"/>
      <c r="AD221" s="2" t="inlineStr">
        <is>
          <t>Win</t>
        </is>
      </c>
      <c r="AE221" s="6">
        <f>IF((COUNTIF($AD$2:AD221,"Win")+COUNTIF($AD$2:AD221,"Loss"))=0,0,COUNTIF($AD$2:AD221,"Win")/(COUNTIF($AD$2:AD221,"Win")+COUNTIF($AD$2:AD221,"Loss")))</f>
        <v/>
      </c>
      <c r="AF221" s="6">
        <f>SUM($Y$2:Y221)/SUM($X$2:X221)</f>
        <v/>
      </c>
      <c r="AG221" s="5">
        <f>SUM($Y$2:Y221)</f>
        <v/>
      </c>
      <c r="AH221" s="7">
        <f>10000.0+SUM($AA$2:AA221)</f>
        <v/>
      </c>
      <c r="AI221" s="2" t="n">
        <v>2025</v>
      </c>
      <c r="AJ221" s="2" t="inlineStr">
        <is>
          <t>2025-08</t>
        </is>
      </c>
      <c r="AK221" s="2" t="inlineStr">
        <is>
          <t>+100 to +120</t>
        </is>
      </c>
      <c r="AL221" s="2" t="inlineStr">
        <is>
          <t>2025 Validation</t>
        </is>
      </c>
      <c r="AM221" s="6" t="n">
        <v>0.1984821985409063</v>
      </c>
    </row>
    <row r="222">
      <c r="A222" s="2" t="inlineStr">
        <is>
          <t>KPROP-00221</t>
        </is>
      </c>
      <c r="B222" s="3" t="n">
        <v>45888.81642361111</v>
      </c>
      <c r="C222" s="3" t="n">
        <v>45888</v>
      </c>
      <c r="D222" s="2" t="inlineStr">
        <is>
          <t>Joe Ryan</t>
        </is>
      </c>
      <c r="E222" s="2" t="n">
        <v>142</v>
      </c>
      <c r="F222" s="2" t="n">
        <v>133</v>
      </c>
      <c r="G222" s="2" t="inlineStr">
        <is>
          <t>Home</t>
        </is>
      </c>
      <c r="H222" s="2" t="inlineStr">
        <is>
          <t>betrivers</t>
        </is>
      </c>
      <c r="I222" s="4" t="n"/>
      <c r="J222" s="4" t="n"/>
      <c r="K222" s="4" t="n">
        <v>-190</v>
      </c>
      <c r="L222" s="4" t="n">
        <v>-190</v>
      </c>
      <c r="M222" s="5" t="n">
        <v>7.5</v>
      </c>
      <c r="N222" s="5" t="n">
        <v>6.218319444758083</v>
      </c>
      <c r="O222" s="5" t="n">
        <v>7.5</v>
      </c>
      <c r="P222" s="5" t="n">
        <v>1.281680555241917</v>
      </c>
      <c r="Q222" s="6" t="n">
        <v>0.08889727927066765</v>
      </c>
      <c r="R222" s="6" t="n">
        <v>0.7134154588325065</v>
      </c>
      <c r="S222" s="6" t="n">
        <v>0.606245756958588</v>
      </c>
      <c r="T222" s="2" t="inlineStr">
        <is>
          <t>Under</t>
        </is>
      </c>
      <c r="U222" s="4" t="n">
        <v>-190</v>
      </c>
      <c r="V222" s="2" t="n">
        <v>1.526315789473684</v>
      </c>
      <c r="W222" s="4" t="n">
        <v>-190</v>
      </c>
      <c r="X222" s="2" t="n">
        <v>1</v>
      </c>
      <c r="Y222" s="5" t="n">
        <v>0.5263157894736841</v>
      </c>
      <c r="Z222" s="7" t="n">
        <v>100</v>
      </c>
      <c r="AA222" s="7">
        <f>Y222*Z222</f>
        <v/>
      </c>
      <c r="AB222" s="6">
        <f>IF(Z222=0,0,AA222/Z222)</f>
        <v/>
      </c>
      <c r="AC222" s="6" t="n"/>
      <c r="AD222" s="2" t="inlineStr">
        <is>
          <t>Win</t>
        </is>
      </c>
      <c r="AE222" s="6">
        <f>IF((COUNTIF($AD$2:AD222,"Win")+COUNTIF($AD$2:AD222,"Loss"))=0,0,COUNTIF($AD$2:AD222,"Win")/(COUNTIF($AD$2:AD222,"Win")+COUNTIF($AD$2:AD222,"Loss")))</f>
        <v/>
      </c>
      <c r="AF222" s="6">
        <f>SUM($Y$2:Y222)/SUM($X$2:X222)</f>
        <v/>
      </c>
      <c r="AG222" s="5">
        <f>SUM($Y$2:Y222)</f>
        <v/>
      </c>
      <c r="AH222" s="7">
        <f>10000.0+SUM($AA$2:AA222)</f>
        <v/>
      </c>
      <c r="AI222" s="2" t="n">
        <v>2025</v>
      </c>
      <c r="AJ222" s="2" t="inlineStr">
        <is>
          <t>2025-08</t>
        </is>
      </c>
      <c r="AK222" s="2" t="inlineStr">
        <is>
          <t>&lt;= -150</t>
        </is>
      </c>
      <c r="AL222" s="2" t="inlineStr">
        <is>
          <t>2025 Validation</t>
        </is>
      </c>
      <c r="AM222" s="6" t="n">
        <v>0.1689048306142686</v>
      </c>
    </row>
    <row r="223">
      <c r="A223" s="2" t="inlineStr">
        <is>
          <t>KPROP-00222</t>
        </is>
      </c>
      <c r="B223" s="3" t="n">
        <v>45888.59766203703</v>
      </c>
      <c r="C223" s="3" t="n">
        <v>45888</v>
      </c>
      <c r="D223" s="2" t="inlineStr">
        <is>
          <t>Matthew Boyd</t>
        </is>
      </c>
      <c r="E223" s="2" t="n">
        <v>112</v>
      </c>
      <c r="F223" s="2" t="n">
        <v>158</v>
      </c>
      <c r="G223" s="2" t="inlineStr">
        <is>
          <t>Home</t>
        </is>
      </c>
      <c r="H223" s="2" t="inlineStr">
        <is>
          <t>betrivers</t>
        </is>
      </c>
      <c r="I223" s="4" t="n"/>
      <c r="J223" s="4" t="n"/>
      <c r="K223" s="4" t="n">
        <v>123</v>
      </c>
      <c r="L223" s="4" t="n">
        <v>123</v>
      </c>
      <c r="M223" s="5" t="n">
        <v>4.5</v>
      </c>
      <c r="N223" s="5" t="n">
        <v>4.492721540109783</v>
      </c>
      <c r="O223" s="5" t="n">
        <v>4.5</v>
      </c>
      <c r="P223" s="5" t="n">
        <v>0.007278459890216915</v>
      </c>
      <c r="Q223" s="6" t="n">
        <v>0.1896729769550015</v>
      </c>
      <c r="R223" s="6" t="n">
        <v>0.5334856398901352</v>
      </c>
      <c r="S223" s="6" t="n">
        <v>0.4361051049950526</v>
      </c>
      <c r="T223" s="2" t="inlineStr">
        <is>
          <t>Under</t>
        </is>
      </c>
      <c r="U223" s="4" t="n">
        <v>123</v>
      </c>
      <c r="V223" s="2" t="n">
        <v>2.23</v>
      </c>
      <c r="W223" s="4" t="n">
        <v>123</v>
      </c>
      <c r="X223" s="2" t="n">
        <v>1</v>
      </c>
      <c r="Y223" s="5" t="n">
        <v>1.23</v>
      </c>
      <c r="Z223" s="7" t="n">
        <v>100</v>
      </c>
      <c r="AA223" s="7">
        <f>Y223*Z223</f>
        <v/>
      </c>
      <c r="AB223" s="6">
        <f>IF(Z223=0,0,AA223/Z223)</f>
        <v/>
      </c>
      <c r="AC223" s="6" t="n"/>
      <c r="AD223" s="2" t="inlineStr">
        <is>
          <t>Win</t>
        </is>
      </c>
      <c r="AE223" s="6">
        <f>IF((COUNTIF($AD$2:AD223,"Win")+COUNTIF($AD$2:AD223,"Loss"))=0,0,COUNTIF($AD$2:AD223,"Win")/(COUNTIF($AD$2:AD223,"Win")+COUNTIF($AD$2:AD223,"Loss")))</f>
        <v/>
      </c>
      <c r="AF223" s="6">
        <f>SUM($Y$2:Y223)/SUM($X$2:X223)</f>
        <v/>
      </c>
      <c r="AG223" s="5">
        <f>SUM($Y$2:Y223)</f>
        <v/>
      </c>
      <c r="AH223" s="7">
        <f>10000.0+SUM($AA$2:AA223)</f>
        <v/>
      </c>
      <c r="AI223" s="2" t="n">
        <v>2025</v>
      </c>
      <c r="AJ223" s="2" t="inlineStr">
        <is>
          <t>2025-08</t>
        </is>
      </c>
      <c r="AK223" s="2" t="inlineStr">
        <is>
          <t>+121 to +150</t>
        </is>
      </c>
      <c r="AL223" s="2" t="inlineStr">
        <is>
          <t>2025 Validation</t>
        </is>
      </c>
      <c r="AM223" s="6" t="n">
        <v>0.1542056723211394</v>
      </c>
    </row>
    <row r="224">
      <c r="A224" s="2" t="inlineStr">
        <is>
          <t>KPROP-00223</t>
        </is>
      </c>
      <c r="B224" s="3" t="n">
        <v>45888.59766203703</v>
      </c>
      <c r="C224" s="3" t="n">
        <v>45888</v>
      </c>
      <c r="D224" s="2" t="inlineStr">
        <is>
          <t>Matthew Boyd</t>
        </is>
      </c>
      <c r="E224" s="2" t="n">
        <v>112</v>
      </c>
      <c r="F224" s="2" t="n">
        <v>158</v>
      </c>
      <c r="G224" s="2" t="inlineStr">
        <is>
          <t>Home</t>
        </is>
      </c>
      <c r="H224" s="2" t="inlineStr">
        <is>
          <t>draftkings</t>
        </is>
      </c>
      <c r="I224" s="4" t="n"/>
      <c r="J224" s="4" t="n"/>
      <c r="K224" s="4" t="n">
        <v>-165</v>
      </c>
      <c r="L224" s="4" t="n">
        <v>-165</v>
      </c>
      <c r="M224" s="5" t="n">
        <v>5.5</v>
      </c>
      <c r="N224" s="5" t="n">
        <v>4.492721540109783</v>
      </c>
      <c r="O224" s="5" t="n">
        <v>5.5</v>
      </c>
      <c r="P224" s="5" t="n">
        <v>1.007278459890217</v>
      </c>
      <c r="Q224" s="6" t="n">
        <v>0.1309449744215882</v>
      </c>
      <c r="R224" s="6" t="n">
        <v>0.7041732859606116</v>
      </c>
      <c r="S224" s="6" t="n">
        <v>0.5888285492629945</v>
      </c>
      <c r="T224" s="2" t="inlineStr">
        <is>
          <t>Under</t>
        </is>
      </c>
      <c r="U224" s="4" t="n">
        <v>-165</v>
      </c>
      <c r="V224" s="2" t="n">
        <v>1.606060606060606</v>
      </c>
      <c r="W224" s="4" t="n">
        <v>-165</v>
      </c>
      <c r="X224" s="2" t="n">
        <v>1</v>
      </c>
      <c r="Y224" s="5" t="n">
        <v>0.606060606060606</v>
      </c>
      <c r="Z224" s="7" t="n">
        <v>100</v>
      </c>
      <c r="AA224" s="7">
        <f>Y224*Z224</f>
        <v/>
      </c>
      <c r="AB224" s="6">
        <f>IF(Z224=0,0,AA224/Z224)</f>
        <v/>
      </c>
      <c r="AC224" s="6" t="n"/>
      <c r="AD224" s="2" t="inlineStr">
        <is>
          <t>Win</t>
        </is>
      </c>
      <c r="AE224" s="6">
        <f>IF((COUNTIF($AD$2:AD224,"Win")+COUNTIF($AD$2:AD224,"Loss"))=0,0,COUNTIF($AD$2:AD224,"Win")/(COUNTIF($AD$2:AD224,"Win")+COUNTIF($AD$2:AD224,"Loss")))</f>
        <v/>
      </c>
      <c r="AF224" s="6">
        <f>SUM($Y$2:Y224)/SUM($X$2:X224)</f>
        <v/>
      </c>
      <c r="AG224" s="5">
        <f>SUM($Y$2:Y224)</f>
        <v/>
      </c>
      <c r="AH224" s="7">
        <f>10000.0+SUM($AA$2:AA224)</f>
        <v/>
      </c>
      <c r="AI224" s="2" t="n">
        <v>2025</v>
      </c>
      <c r="AJ224" s="2" t="inlineStr">
        <is>
          <t>2025-08</t>
        </is>
      </c>
      <c r="AK224" s="2" t="inlineStr">
        <is>
          <t>&lt;= -150</t>
        </is>
      </c>
      <c r="AL224" s="2" t="inlineStr">
        <is>
          <t>2025 Validation</t>
        </is>
      </c>
      <c r="AM224" s="6" t="n">
        <v>0.2160592077956206</v>
      </c>
    </row>
    <row r="225">
      <c r="A225" s="2" t="inlineStr">
        <is>
          <t>KPROP-00224</t>
        </is>
      </c>
      <c r="B225" s="3" t="n">
        <v>45888.77822916667</v>
      </c>
      <c r="C225" s="3" t="n">
        <v>45888</v>
      </c>
      <c r="D225" s="2" t="inlineStr">
        <is>
          <t>Max Scherzer</t>
        </is>
      </c>
      <c r="E225" s="2" t="n">
        <v>141</v>
      </c>
      <c r="F225" s="2" t="n">
        <v>134</v>
      </c>
      <c r="G225" s="2" t="inlineStr">
        <is>
          <t>Away</t>
        </is>
      </c>
      <c r="H225" s="2" t="inlineStr">
        <is>
          <t>betonlineag</t>
        </is>
      </c>
      <c r="I225" s="4" t="n"/>
      <c r="J225" s="4" t="n"/>
      <c r="K225" s="4" t="n">
        <v>110</v>
      </c>
      <c r="L225" s="4" t="n">
        <v>110</v>
      </c>
      <c r="M225" s="5" t="n">
        <v>5.5</v>
      </c>
      <c r="N225" s="5" t="n">
        <v>4.994377736357911</v>
      </c>
      <c r="O225" s="5" t="n">
        <v>5.5</v>
      </c>
      <c r="P225" s="5" t="n">
        <v>0.5056222636420893</v>
      </c>
      <c r="Q225" s="6" t="n">
        <v>0.295589072973515</v>
      </c>
      <c r="R225" s="6" t="n">
        <v>0.6169471776064357</v>
      </c>
      <c r="S225" s="6" t="n">
        <v>0.4615384615384616</v>
      </c>
      <c r="T225" s="2" t="inlineStr">
        <is>
          <t>Under</t>
        </is>
      </c>
      <c r="U225" s="4" t="n">
        <v>110</v>
      </c>
      <c r="V225" s="2" t="n">
        <v>2.1</v>
      </c>
      <c r="W225" s="4" t="n">
        <v>110</v>
      </c>
      <c r="X225" s="2" t="n">
        <v>1</v>
      </c>
      <c r="Y225" s="5" t="n">
        <v>1.1</v>
      </c>
      <c r="Z225" s="7" t="n">
        <v>100</v>
      </c>
      <c r="AA225" s="7">
        <f>Y225*Z225</f>
        <v/>
      </c>
      <c r="AB225" s="6">
        <f>IF(Z225=0,0,AA225/Z225)</f>
        <v/>
      </c>
      <c r="AC225" s="6" t="n"/>
      <c r="AD225" s="2" t="inlineStr">
        <is>
          <t>Win</t>
        </is>
      </c>
      <c r="AE225" s="6">
        <f>IF((COUNTIF($AD$2:AD225,"Win")+COUNTIF($AD$2:AD225,"Loss"))=0,0,COUNTIF($AD$2:AD225,"Win")/(COUNTIF($AD$2:AD225,"Win")+COUNTIF($AD$2:AD225,"Loss")))</f>
        <v/>
      </c>
      <c r="AF225" s="6">
        <f>SUM($Y$2:Y225)/SUM($X$2:X225)</f>
        <v/>
      </c>
      <c r="AG225" s="5">
        <f>SUM($Y$2:Y225)</f>
        <v/>
      </c>
      <c r="AH225" s="7">
        <f>10000.0+SUM($AA$2:AA225)</f>
        <v/>
      </c>
      <c r="AI225" s="2" t="n">
        <v>2025</v>
      </c>
      <c r="AJ225" s="2" t="inlineStr">
        <is>
          <t>2025-08</t>
        </is>
      </c>
      <c r="AK225" s="2" t="inlineStr">
        <is>
          <t>+100 to +120</t>
        </is>
      </c>
      <c r="AL225" s="2" t="inlineStr">
        <is>
          <t>2025 Validation</t>
        </is>
      </c>
      <c r="AM225" s="6" t="n">
        <v>0.2687173390668318</v>
      </c>
    </row>
    <row r="226">
      <c r="A226" s="2" t="inlineStr">
        <is>
          <t>KPROP-00225</t>
        </is>
      </c>
      <c r="B226" s="3" t="n">
        <v>45888.81642361111</v>
      </c>
      <c r="C226" s="3" t="n">
        <v>45888</v>
      </c>
      <c r="D226" s="2" t="inlineStr">
        <is>
          <t>Seth Lugo</t>
        </is>
      </c>
      <c r="E226" s="2" t="n">
        <v>118</v>
      </c>
      <c r="F226" s="2" t="n">
        <v>140</v>
      </c>
      <c r="G226" s="2" t="inlineStr">
        <is>
          <t>Home</t>
        </is>
      </c>
      <c r="H226" s="2" t="inlineStr">
        <is>
          <t>fanduel</t>
        </is>
      </c>
      <c r="I226" s="4" t="n"/>
      <c r="J226" s="4" t="n"/>
      <c r="K226" s="4" t="n">
        <v>-108</v>
      </c>
      <c r="L226" s="4" t="n">
        <v>-108</v>
      </c>
      <c r="M226" s="5" t="n">
        <v>4.5</v>
      </c>
      <c r="N226" s="5" t="n">
        <v>3.97706261873209</v>
      </c>
      <c r="O226" s="5" t="n">
        <v>4.5</v>
      </c>
      <c r="P226" s="5" t="n">
        <v>0.5229373812679099</v>
      </c>
      <c r="Q226" s="6" t="n">
        <v>0.2197236321719149</v>
      </c>
      <c r="R226" s="6" t="n">
        <v>0.6333180397815712</v>
      </c>
      <c r="S226" s="6" t="n">
        <v>0.4978050921861282</v>
      </c>
      <c r="T226" s="2" t="inlineStr">
        <is>
          <t>Under</t>
        </is>
      </c>
      <c r="U226" s="4" t="n">
        <v>-108</v>
      </c>
      <c r="V226" s="2" t="n">
        <v>1.925925925925926</v>
      </c>
      <c r="W226" s="4" t="n">
        <v>-108</v>
      </c>
      <c r="X226" s="2" t="n">
        <v>1</v>
      </c>
      <c r="Y226" s="5" t="n">
        <v>-1</v>
      </c>
      <c r="Z226" s="7" t="n">
        <v>100</v>
      </c>
      <c r="AA226" s="7">
        <f>Y226*Z226</f>
        <v/>
      </c>
      <c r="AB226" s="6">
        <f>IF(Z226=0,0,AA226/Z226)</f>
        <v/>
      </c>
      <c r="AC226" s="6" t="n"/>
      <c r="AD226" s="2" t="inlineStr">
        <is>
          <t>Loss</t>
        </is>
      </c>
      <c r="AE226" s="6">
        <f>IF((COUNTIF($AD$2:AD226,"Win")+COUNTIF($AD$2:AD226,"Loss"))=0,0,COUNTIF($AD$2:AD226,"Win")/(COUNTIF($AD$2:AD226,"Win")+COUNTIF($AD$2:AD226,"Loss")))</f>
        <v/>
      </c>
      <c r="AF226" s="6">
        <f>SUM($Y$2:Y226)/SUM($X$2:X226)</f>
        <v/>
      </c>
      <c r="AG226" s="5">
        <f>SUM($Y$2:Y226)</f>
        <v/>
      </c>
      <c r="AH226" s="7">
        <f>10000.0+SUM($AA$2:AA226)</f>
        <v/>
      </c>
      <c r="AI226" s="2" t="n">
        <v>2025</v>
      </c>
      <c r="AJ226" s="2" t="inlineStr">
        <is>
          <t>2025-08</t>
        </is>
      </c>
      <c r="AK226" s="2" t="inlineStr">
        <is>
          <t>-119 to -101</t>
        </is>
      </c>
      <c r="AL226" s="2" t="inlineStr">
        <is>
          <t>2025 Validation</t>
        </is>
      </c>
      <c r="AM226" s="6" t="n">
        <v>0.2373015227456681</v>
      </c>
    </row>
    <row r="227">
      <c r="A227" s="2" t="inlineStr">
        <is>
          <t>KPROP-00226</t>
        </is>
      </c>
      <c r="B227" s="3" t="n">
        <v>45889.81642361111</v>
      </c>
      <c r="C227" s="3" t="n">
        <v>45889</v>
      </c>
      <c r="D227" s="2" t="inlineStr">
        <is>
          <t>Bailey Ober</t>
        </is>
      </c>
      <c r="E227" s="2" t="n">
        <v>142</v>
      </c>
      <c r="F227" s="2" t="n">
        <v>133</v>
      </c>
      <c r="G227" s="2" t="inlineStr">
        <is>
          <t>Home</t>
        </is>
      </c>
      <c r="H227" s="2" t="inlineStr">
        <is>
          <t>betrivers</t>
        </is>
      </c>
      <c r="I227" s="4" t="n"/>
      <c r="J227" s="4" t="n"/>
      <c r="K227" s="4" t="n">
        <v>135</v>
      </c>
      <c r="L227" s="4" t="n">
        <v>135</v>
      </c>
      <c r="M227" s="5" t="n">
        <v>4.5</v>
      </c>
      <c r="N227" s="5" t="n">
        <v>4.691027923549782</v>
      </c>
      <c r="O227" s="5" t="n">
        <v>4.5</v>
      </c>
      <c r="P227" s="5" t="n">
        <v>-0.1910279235497825</v>
      </c>
      <c r="Q227" s="6" t="n">
        <v>0.1662322774200411</v>
      </c>
      <c r="R227" s="6" t="n">
        <v>0.4962690542212941</v>
      </c>
      <c r="S227" s="6" t="n">
        <v>0.4088050314465409</v>
      </c>
      <c r="T227" s="2" t="inlineStr">
        <is>
          <t>Under</t>
        </is>
      </c>
      <c r="U227" s="4" t="n">
        <v>135</v>
      </c>
      <c r="V227" s="2" t="n">
        <v>2.35</v>
      </c>
      <c r="W227" s="4" t="n">
        <v>135</v>
      </c>
      <c r="X227" s="2" t="n">
        <v>1</v>
      </c>
      <c r="Y227" s="5" t="n">
        <v>-1</v>
      </c>
      <c r="Z227" s="7" t="n">
        <v>100</v>
      </c>
      <c r="AA227" s="7">
        <f>Y227*Z227</f>
        <v/>
      </c>
      <c r="AB227" s="6">
        <f>IF(Z227=0,0,AA227/Z227)</f>
        <v/>
      </c>
      <c r="AC227" s="6" t="n"/>
      <c r="AD227" s="2" t="inlineStr">
        <is>
          <t>Loss</t>
        </is>
      </c>
      <c r="AE227" s="6">
        <f>IF((COUNTIF($AD$2:AD227,"Win")+COUNTIF($AD$2:AD227,"Loss"))=0,0,COUNTIF($AD$2:AD227,"Win")/(COUNTIF($AD$2:AD227,"Win")+COUNTIF($AD$2:AD227,"Loss")))</f>
        <v/>
      </c>
      <c r="AF227" s="6">
        <f>SUM($Y$2:Y227)/SUM($X$2:X227)</f>
        <v/>
      </c>
      <c r="AG227" s="5">
        <f>SUM($Y$2:Y227)</f>
        <v/>
      </c>
      <c r="AH227" s="7">
        <f>10000.0+SUM($AA$2:AA227)</f>
        <v/>
      </c>
      <c r="AI227" s="2" t="n">
        <v>2025</v>
      </c>
      <c r="AJ227" s="2" t="inlineStr">
        <is>
          <t>2025-08</t>
        </is>
      </c>
      <c r="AK227" s="2" t="inlineStr">
        <is>
          <t>+121 to +150</t>
        </is>
      </c>
      <c r="AL227" s="2" t="inlineStr">
        <is>
          <t>2025 Validation</t>
        </is>
      </c>
      <c r="AM227" s="6" t="n">
        <v>0.1231350203111415</v>
      </c>
    </row>
    <row r="228">
      <c r="A228" s="2" t="inlineStr">
        <is>
          <t>KPROP-00227</t>
        </is>
      </c>
      <c r="B228" s="3" t="n">
        <v>45889.81642361111</v>
      </c>
      <c r="C228" s="3" t="n">
        <v>45889</v>
      </c>
      <c r="D228" s="2" t="inlineStr">
        <is>
          <t>Bailey Ober</t>
        </is>
      </c>
      <c r="E228" s="2" t="n">
        <v>142</v>
      </c>
      <c r="F228" s="2" t="n">
        <v>133</v>
      </c>
      <c r="G228" s="2" t="inlineStr">
        <is>
          <t>Home</t>
        </is>
      </c>
      <c r="H228" s="2" t="inlineStr">
        <is>
          <t>fanduel</t>
        </is>
      </c>
      <c r="I228" s="4" t="n"/>
      <c r="J228" s="4" t="n"/>
      <c r="K228" s="4" t="n">
        <v>-152</v>
      </c>
      <c r="L228" s="4" t="n">
        <v>-152</v>
      </c>
      <c r="M228" s="5" t="n">
        <v>5.5</v>
      </c>
      <c r="N228" s="5" t="n">
        <v>4.691027923549782</v>
      </c>
      <c r="O228" s="5" t="n">
        <v>5.5</v>
      </c>
      <c r="P228" s="5" t="n">
        <v>0.8089720764502175</v>
      </c>
      <c r="Q228" s="6" t="n">
        <v>0.1107855733390345</v>
      </c>
      <c r="R228" s="6" t="n">
        <v>0.6699976474108462</v>
      </c>
      <c r="S228" s="6" t="n">
        <v>0.5702592087312415</v>
      </c>
      <c r="T228" s="2" t="inlineStr">
        <is>
          <t>Under</t>
        </is>
      </c>
      <c r="U228" s="4" t="n">
        <v>-152</v>
      </c>
      <c r="V228" s="2" t="n">
        <v>1.657894736842105</v>
      </c>
      <c r="W228" s="4" t="n">
        <v>-152</v>
      </c>
      <c r="X228" s="2" t="n">
        <v>1</v>
      </c>
      <c r="Y228" s="5" t="n">
        <v>-1</v>
      </c>
      <c r="Z228" s="7" t="n">
        <v>100</v>
      </c>
      <c r="AA228" s="7">
        <f>Y228*Z228</f>
        <v/>
      </c>
      <c r="AB228" s="6">
        <f>IF(Z228=0,0,AA228/Z228)</f>
        <v/>
      </c>
      <c r="AC228" s="6" t="n"/>
      <c r="AD228" s="2" t="inlineStr">
        <is>
          <t>Loss</t>
        </is>
      </c>
      <c r="AE228" s="6">
        <f>IF((COUNTIF($AD$2:AD228,"Win")+COUNTIF($AD$2:AD228,"Loss"))=0,0,COUNTIF($AD$2:AD228,"Win")/(COUNTIF($AD$2:AD228,"Win")+COUNTIF($AD$2:AD228,"Loss")))</f>
        <v/>
      </c>
      <c r="AF228" s="6">
        <f>SUM($Y$2:Y228)/SUM($X$2:X228)</f>
        <v/>
      </c>
      <c r="AG228" s="5">
        <f>SUM($Y$2:Y228)</f>
        <v/>
      </c>
      <c r="AH228" s="7">
        <f>10000.0+SUM($AA$2:AA228)</f>
        <v/>
      </c>
      <c r="AI228" s="2" t="n">
        <v>2025</v>
      </c>
      <c r="AJ228" s="2" t="inlineStr">
        <is>
          <t>2025-08</t>
        </is>
      </c>
      <c r="AK228" s="2" t="inlineStr">
        <is>
          <t>&lt;= -150</t>
        </is>
      </c>
      <c r="AL228" s="2" t="inlineStr">
        <is>
          <t>2025 Validation</t>
        </is>
      </c>
      <c r="AM228" s="6" t="n">
        <v>0.1683940714753325</v>
      </c>
    </row>
    <row r="229">
      <c r="A229" s="2" t="inlineStr">
        <is>
          <t>KPROP-00228</t>
        </is>
      </c>
      <c r="B229" s="3" t="n">
        <v>45889.80253472222</v>
      </c>
      <c r="C229" s="3" t="n">
        <v>45889</v>
      </c>
      <c r="D229" s="2" t="inlineStr">
        <is>
          <t>Hurston Waldrep</t>
        </is>
      </c>
      <c r="E229" s="2" t="n">
        <v>144</v>
      </c>
      <c r="F229" s="2" t="n">
        <v>145</v>
      </c>
      <c r="G229" s="2" t="inlineStr">
        <is>
          <t>Home</t>
        </is>
      </c>
      <c r="H229" s="2" t="inlineStr">
        <is>
          <t>betmgm</t>
        </is>
      </c>
      <c r="I229" s="4" t="n"/>
      <c r="J229" s="4" t="n"/>
      <c r="K229" s="4" t="n">
        <v>115</v>
      </c>
      <c r="L229" s="4" t="n">
        <v>115</v>
      </c>
      <c r="M229" s="5" t="n">
        <v>4.5</v>
      </c>
      <c r="N229" s="5" t="n">
        <v>4.52516181659231</v>
      </c>
      <c r="O229" s="5" t="n">
        <v>4.5</v>
      </c>
      <c r="P229" s="5" t="n">
        <v>-0.02516181659230998</v>
      </c>
      <c r="Q229" s="6" t="n">
        <v>0.1337690477535349</v>
      </c>
      <c r="R229" s="6" t="n">
        <v>0.5273344408155977</v>
      </c>
      <c r="S229" s="6" t="n">
        <v>0.44362292051756</v>
      </c>
      <c r="T229" s="2" t="inlineStr">
        <is>
          <t>Under</t>
        </is>
      </c>
      <c r="U229" s="4" t="n">
        <v>115</v>
      </c>
      <c r="V229" s="2" t="n">
        <v>2.15</v>
      </c>
      <c r="W229" s="4" t="n">
        <v>115</v>
      </c>
      <c r="X229" s="2" t="n">
        <v>1</v>
      </c>
      <c r="Y229" s="5" t="n">
        <v>-1</v>
      </c>
      <c r="Z229" s="7" t="n">
        <v>100</v>
      </c>
      <c r="AA229" s="7">
        <f>Y229*Z229</f>
        <v/>
      </c>
      <c r="AB229" s="6">
        <f>IF(Z229=0,0,AA229/Z229)</f>
        <v/>
      </c>
      <c r="AC229" s="6" t="n"/>
      <c r="AD229" s="2" t="inlineStr">
        <is>
          <t>Loss</t>
        </is>
      </c>
      <c r="AE229" s="6">
        <f>IF((COUNTIF($AD$2:AD229,"Win")+COUNTIF($AD$2:AD229,"Loss"))=0,0,COUNTIF($AD$2:AD229,"Win")/(COUNTIF($AD$2:AD229,"Win")+COUNTIF($AD$2:AD229,"Loss")))</f>
        <v/>
      </c>
      <c r="AF229" s="6">
        <f>SUM($Y$2:Y229)/SUM($X$2:X229)</f>
        <v/>
      </c>
      <c r="AG229" s="5">
        <f>SUM($Y$2:Y229)</f>
        <v/>
      </c>
      <c r="AH229" s="7">
        <f>10000.0+SUM($AA$2:AA229)</f>
        <v/>
      </c>
      <c r="AI229" s="2" t="n">
        <v>2025</v>
      </c>
      <c r="AJ229" s="2" t="inlineStr">
        <is>
          <t>2025-08</t>
        </is>
      </c>
      <c r="AK229" s="2" t="inlineStr">
        <is>
          <t>+100 to +120</t>
        </is>
      </c>
      <c r="AL229" s="2" t="inlineStr">
        <is>
          <t>2025 Validation</t>
        </is>
      </c>
      <c r="AM229" s="6" t="n">
        <v>0.1163209110900304</v>
      </c>
    </row>
    <row r="230">
      <c r="A230" s="2" t="inlineStr">
        <is>
          <t>KPROP-00229</t>
        </is>
      </c>
      <c r="B230" s="3" t="n">
        <v>45889.80253472222</v>
      </c>
      <c r="C230" s="3" t="n">
        <v>45889</v>
      </c>
      <c r="D230" s="2" t="inlineStr">
        <is>
          <t>Hurston Waldrep</t>
        </is>
      </c>
      <c r="E230" s="2" t="n">
        <v>144</v>
      </c>
      <c r="F230" s="2" t="n">
        <v>145</v>
      </c>
      <c r="G230" s="2" t="inlineStr">
        <is>
          <t>Home</t>
        </is>
      </c>
      <c r="H230" s="2" t="inlineStr">
        <is>
          <t>betrivers</t>
        </is>
      </c>
      <c r="I230" s="4" t="n"/>
      <c r="J230" s="4" t="n"/>
      <c r="K230" s="4" t="n">
        <v>-186</v>
      </c>
      <c r="L230" s="4" t="n">
        <v>-186</v>
      </c>
      <c r="M230" s="5" t="n">
        <v>5.5</v>
      </c>
      <c r="N230" s="5" t="n">
        <v>4.52516181659231</v>
      </c>
      <c r="O230" s="5" t="n">
        <v>5.5</v>
      </c>
      <c r="P230" s="5" t="n">
        <v>0.97483818340769</v>
      </c>
      <c r="Q230" s="6" t="n">
        <v>0.07423171241305321</v>
      </c>
      <c r="R230" s="6" t="n">
        <v>0.6986262185623353</v>
      </c>
      <c r="S230" s="6" t="n">
        <v>0.6044807080625086</v>
      </c>
      <c r="T230" s="2" t="inlineStr">
        <is>
          <t>Under</t>
        </is>
      </c>
      <c r="U230" s="4" t="n">
        <v>-186</v>
      </c>
      <c r="V230" s="2" t="n">
        <v>1.537634408602151</v>
      </c>
      <c r="W230" s="4" t="n">
        <v>-186</v>
      </c>
      <c r="X230" s="2" t="n">
        <v>1</v>
      </c>
      <c r="Y230" s="5" t="n">
        <v>-1</v>
      </c>
      <c r="Z230" s="7" t="n">
        <v>100</v>
      </c>
      <c r="AA230" s="7">
        <f>Y230*Z230</f>
        <v/>
      </c>
      <c r="AB230" s="6">
        <f>IF(Z230=0,0,AA230/Z230)</f>
        <v/>
      </c>
      <c r="AC230" s="6" t="n"/>
      <c r="AD230" s="2" t="inlineStr">
        <is>
          <t>Loss</t>
        </is>
      </c>
      <c r="AE230" s="6">
        <f>IF((COUNTIF($AD$2:AD230,"Win")+COUNTIF($AD$2:AD230,"Loss"))=0,0,COUNTIF($AD$2:AD230,"Win")/(COUNTIF($AD$2:AD230,"Win")+COUNTIF($AD$2:AD230,"Loss")))</f>
        <v/>
      </c>
      <c r="AF230" s="6">
        <f>SUM($Y$2:Y230)/SUM($X$2:X230)</f>
        <v/>
      </c>
      <c r="AG230" s="5">
        <f>SUM($Y$2:Y230)</f>
        <v/>
      </c>
      <c r="AH230" s="7">
        <f>10000.0+SUM($AA$2:AA230)</f>
        <v/>
      </c>
      <c r="AI230" s="2" t="n">
        <v>2025</v>
      </c>
      <c r="AJ230" s="2" t="inlineStr">
        <is>
          <t>2025-08</t>
        </is>
      </c>
      <c r="AK230" s="2" t="inlineStr">
        <is>
          <t>&lt;= -150</t>
        </is>
      </c>
      <c r="AL230" s="2" t="inlineStr">
        <is>
          <t>2025 Validation</t>
        </is>
      </c>
      <c r="AM230" s="6" t="n">
        <v>0.138070985088279</v>
      </c>
    </row>
    <row r="231">
      <c r="A231" s="2" t="inlineStr">
        <is>
          <t>KPROP-00230</t>
        </is>
      </c>
      <c r="B231" s="3" t="n">
        <v>45889.78170138889</v>
      </c>
      <c r="C231" s="3" t="n">
        <v>45889</v>
      </c>
      <c r="D231" s="2" t="inlineStr">
        <is>
          <t>Kodai Senga</t>
        </is>
      </c>
      <c r="E231" s="2" t="n">
        <v>121</v>
      </c>
      <c r="F231" s="2" t="n">
        <v>120</v>
      </c>
      <c r="G231" s="2" t="inlineStr">
        <is>
          <t>Away</t>
        </is>
      </c>
      <c r="H231" s="2" t="inlineStr">
        <is>
          <t>betrivers</t>
        </is>
      </c>
      <c r="I231" s="4" t="n"/>
      <c r="J231" s="4" t="n"/>
      <c r="K231" s="4" t="n">
        <v>143</v>
      </c>
      <c r="L231" s="4" t="n">
        <v>143</v>
      </c>
      <c r="M231" s="5" t="n">
        <v>4.5</v>
      </c>
      <c r="N231" s="5" t="n">
        <v>4.6389295069757</v>
      </c>
      <c r="O231" s="5" t="n">
        <v>4.5</v>
      </c>
      <c r="P231" s="5" t="n">
        <v>-0.1389295069756997</v>
      </c>
      <c r="Q231" s="6" t="n">
        <v>0.2294645467833206</v>
      </c>
      <c r="R231" s="6" t="n">
        <v>0.5059524883881978</v>
      </c>
      <c r="S231" s="6" t="n">
        <v>0.4037045832343862</v>
      </c>
      <c r="T231" s="2" t="inlineStr">
        <is>
          <t>Under</t>
        </is>
      </c>
      <c r="U231" s="4" t="n">
        <v>143</v>
      </c>
      <c r="V231" s="2" t="n">
        <v>2.43</v>
      </c>
      <c r="W231" s="4" t="n">
        <v>143</v>
      </c>
      <c r="X231" s="2" t="n">
        <v>1</v>
      </c>
      <c r="Y231" s="5" t="n">
        <v>1.43</v>
      </c>
      <c r="Z231" s="7" t="n">
        <v>100</v>
      </c>
      <c r="AA231" s="7">
        <f>Y231*Z231</f>
        <v/>
      </c>
      <c r="AB231" s="6">
        <f>IF(Z231=0,0,AA231/Z231)</f>
        <v/>
      </c>
      <c r="AC231" s="6" t="n"/>
      <c r="AD231" s="2" t="inlineStr">
        <is>
          <t>Win</t>
        </is>
      </c>
      <c r="AE231" s="6">
        <f>IF((COUNTIF($AD$2:AD231,"Win")+COUNTIF($AD$2:AD231,"Loss"))=0,0,COUNTIF($AD$2:AD231,"Win")/(COUNTIF($AD$2:AD231,"Win")+COUNTIF($AD$2:AD231,"Loss")))</f>
        <v/>
      </c>
      <c r="AF231" s="6">
        <f>SUM($Y$2:Y231)/SUM($X$2:X231)</f>
        <v/>
      </c>
      <c r="AG231" s="5">
        <f>SUM($Y$2:Y231)</f>
        <v/>
      </c>
      <c r="AH231" s="7">
        <f>10000.0+SUM($AA$2:AA231)</f>
        <v/>
      </c>
      <c r="AI231" s="2" t="n">
        <v>2025</v>
      </c>
      <c r="AJ231" s="2" t="inlineStr">
        <is>
          <t>2025-08</t>
        </is>
      </c>
      <c r="AK231" s="2" t="inlineStr">
        <is>
          <t>+121 to +150</t>
        </is>
      </c>
      <c r="AL231" s="2" t="inlineStr">
        <is>
          <t>2025 Validation</t>
        </is>
      </c>
      <c r="AM231" s="6" t="n">
        <v>0.1604647180302942</v>
      </c>
    </row>
    <row r="232">
      <c r="A232" s="2" t="inlineStr">
        <is>
          <t>KPROP-00231</t>
        </is>
      </c>
      <c r="B232" s="3" t="n">
        <v>45889.78170138889</v>
      </c>
      <c r="C232" s="3" t="n">
        <v>45889</v>
      </c>
      <c r="D232" s="2" t="inlineStr">
        <is>
          <t>Kodai Senga</t>
        </is>
      </c>
      <c r="E232" s="2" t="n">
        <v>121</v>
      </c>
      <c r="F232" s="2" t="n">
        <v>120</v>
      </c>
      <c r="G232" s="2" t="inlineStr">
        <is>
          <t>Away</t>
        </is>
      </c>
      <c r="H232" s="2" t="inlineStr">
        <is>
          <t>betrivers</t>
        </is>
      </c>
      <c r="I232" s="4" t="n"/>
      <c r="J232" s="4" t="n"/>
      <c r="K232" s="4" t="n">
        <v>-143</v>
      </c>
      <c r="L232" s="4" t="n">
        <v>-143</v>
      </c>
      <c r="M232" s="5" t="n">
        <v>5.5</v>
      </c>
      <c r="N232" s="5" t="n">
        <v>4.6389295069757</v>
      </c>
      <c r="O232" s="5" t="n">
        <v>5.5</v>
      </c>
      <c r="P232" s="5" t="n">
        <v>0.8610704930243003</v>
      </c>
      <c r="Q232" s="6" t="n">
        <v>0.1538798716219638</v>
      </c>
      <c r="R232" s="6" t="n">
        <v>0.679032187826917</v>
      </c>
      <c r="S232" s="6" t="n">
        <v>0.5642037302725968</v>
      </c>
      <c r="T232" s="2" t="inlineStr">
        <is>
          <t>Under</t>
        </is>
      </c>
      <c r="U232" s="4" t="n">
        <v>-143</v>
      </c>
      <c r="V232" s="2" t="n">
        <v>1.699300699300699</v>
      </c>
      <c r="W232" s="4" t="n">
        <v>-143</v>
      </c>
      <c r="X232" s="2" t="n">
        <v>1</v>
      </c>
      <c r="Y232" s="5" t="n">
        <v>0.6993006993006992</v>
      </c>
      <c r="Z232" s="7" t="n">
        <v>100</v>
      </c>
      <c r="AA232" s="7">
        <f>Y232*Z232</f>
        <v/>
      </c>
      <c r="AB232" s="6">
        <f>IF(Z232=0,0,AA232/Z232)</f>
        <v/>
      </c>
      <c r="AC232" s="6" t="n"/>
      <c r="AD232" s="2" t="inlineStr">
        <is>
          <t>Win</t>
        </is>
      </c>
      <c r="AE232" s="6">
        <f>IF((COUNTIF($AD$2:AD232,"Win")+COUNTIF($AD$2:AD232,"Loss"))=0,0,COUNTIF($AD$2:AD232,"Win")/(COUNTIF($AD$2:AD232,"Win")+COUNTIF($AD$2:AD232,"Loss")))</f>
        <v/>
      </c>
      <c r="AF232" s="6">
        <f>SUM($Y$2:Y232)/SUM($X$2:X232)</f>
        <v/>
      </c>
      <c r="AG232" s="5">
        <f>SUM($Y$2:Y232)</f>
        <v/>
      </c>
      <c r="AH232" s="7">
        <f>10000.0+SUM($AA$2:AA232)</f>
        <v/>
      </c>
      <c r="AI232" s="2" t="n">
        <v>2025</v>
      </c>
      <c r="AJ232" s="2" t="inlineStr">
        <is>
          <t>2025-08</t>
        </is>
      </c>
      <c r="AK232" s="2" t="inlineStr">
        <is>
          <t>-149 to -120</t>
        </is>
      </c>
      <c r="AL232" s="2" t="inlineStr">
        <is>
          <t>2025 Validation</t>
        </is>
      </c>
      <c r="AM232" s="6" t="n">
        <v>0.2200482164194082</v>
      </c>
    </row>
    <row r="233">
      <c r="A233" s="2" t="inlineStr">
        <is>
          <t>KPROP-00232</t>
        </is>
      </c>
      <c r="B233" s="3" t="n">
        <v>45890.6740625</v>
      </c>
      <c r="C233" s="3" t="n">
        <v>45890</v>
      </c>
      <c r="D233" s="2" t="inlineStr">
        <is>
          <t>Dylan Cease</t>
        </is>
      </c>
      <c r="E233" s="2" t="n">
        <v>135</v>
      </c>
      <c r="F233" s="2" t="n">
        <v>137</v>
      </c>
      <c r="G233" s="2" t="inlineStr">
        <is>
          <t>Home</t>
        </is>
      </c>
      <c r="H233" s="2" t="inlineStr">
        <is>
          <t>fanduel</t>
        </is>
      </c>
      <c r="I233" s="4" t="n"/>
      <c r="J233" s="4" t="n"/>
      <c r="K233" s="4" t="n">
        <v>132</v>
      </c>
      <c r="L233" s="4" t="n">
        <v>132</v>
      </c>
      <c r="M233" s="5" t="n">
        <v>6.5</v>
      </c>
      <c r="N233" s="5" t="n">
        <v>6.697583547582225</v>
      </c>
      <c r="O233" s="5" t="n">
        <v>6.5</v>
      </c>
      <c r="P233" s="5" t="n">
        <v>-0.1975835475822247</v>
      </c>
      <c r="Q233" s="6" t="n">
        <v>0.1499563310681437</v>
      </c>
      <c r="R233" s="6" t="n">
        <v>0.4956708323569584</v>
      </c>
      <c r="S233" s="6" t="n">
        <v>0.4249291784702549</v>
      </c>
      <c r="T233" s="2" t="inlineStr">
        <is>
          <t>Under</t>
        </is>
      </c>
      <c r="U233" s="4" t="n">
        <v>132</v>
      </c>
      <c r="V233" s="2" t="n">
        <v>2.32</v>
      </c>
      <c r="W233" s="4" t="n">
        <v>132</v>
      </c>
      <c r="X233" s="2" t="n">
        <v>1</v>
      </c>
      <c r="Y233" s="5" t="n">
        <v>-1</v>
      </c>
      <c r="Z233" s="7" t="n">
        <v>100</v>
      </c>
      <c r="AA233" s="7">
        <f>Y233*Z233</f>
        <v/>
      </c>
      <c r="AB233" s="6">
        <f>IF(Z233=0,0,AA233/Z233)</f>
        <v/>
      </c>
      <c r="AC233" s="6" t="n"/>
      <c r="AD233" s="2" t="inlineStr">
        <is>
          <t>Loss</t>
        </is>
      </c>
      <c r="AE233" s="6">
        <f>IF((COUNTIF($AD$2:AD233,"Win")+COUNTIF($AD$2:AD233,"Loss"))=0,0,COUNTIF($AD$2:AD233,"Win")/(COUNTIF($AD$2:AD233,"Win")+COUNTIF($AD$2:AD233,"Loss")))</f>
        <v/>
      </c>
      <c r="AF233" s="6">
        <f>SUM($Y$2:Y233)/SUM($X$2:X233)</f>
        <v/>
      </c>
      <c r="AG233" s="5">
        <f>SUM($Y$2:Y233)</f>
        <v/>
      </c>
      <c r="AH233" s="7">
        <f>10000.0+SUM($AA$2:AA233)</f>
        <v/>
      </c>
      <c r="AI233" s="2" t="n">
        <v>2025</v>
      </c>
      <c r="AJ233" s="2" t="inlineStr">
        <is>
          <t>2025-08</t>
        </is>
      </c>
      <c r="AK233" s="2" t="inlineStr">
        <is>
          <t>+121 to +150</t>
        </is>
      </c>
      <c r="AL233" s="2" t="inlineStr">
        <is>
          <t>2025 Validation</t>
        </is>
      </c>
      <c r="AM233" s="6" t="n">
        <v>0.11360328111223</v>
      </c>
    </row>
    <row r="234">
      <c r="A234" s="2" t="inlineStr">
        <is>
          <t>KPROP-00233</t>
        </is>
      </c>
      <c r="B234" s="3" t="n">
        <v>45890.67059027778</v>
      </c>
      <c r="C234" s="3" t="n">
        <v>45890</v>
      </c>
      <c r="D234" s="2" t="inlineStr">
        <is>
          <t>MacKenzie Gore</t>
        </is>
      </c>
      <c r="E234" s="2" t="n">
        <v>120</v>
      </c>
      <c r="F234" s="2" t="n">
        <v>121</v>
      </c>
      <c r="G234" s="2" t="inlineStr">
        <is>
          <t>Home</t>
        </is>
      </c>
      <c r="H234" s="2" t="inlineStr">
        <is>
          <t>betmgm</t>
        </is>
      </c>
      <c r="I234" s="4" t="n"/>
      <c r="J234" s="4" t="n"/>
      <c r="K234" s="4" t="n">
        <v>120</v>
      </c>
      <c r="L234" s="4" t="n">
        <v>120</v>
      </c>
      <c r="M234" s="5" t="n">
        <v>5.5</v>
      </c>
      <c r="N234" s="5" t="n">
        <v>5.551063863956657</v>
      </c>
      <c r="O234" s="5" t="n">
        <v>5.5</v>
      </c>
      <c r="P234" s="5" t="n">
        <v>-0.05106386395665652</v>
      </c>
      <c r="Q234" s="6" t="n">
        <v>0.1444118675418653</v>
      </c>
      <c r="R234" s="6" t="n">
        <v>0.5201872125190297</v>
      </c>
      <c r="S234" s="6" t="n">
        <v>0.45</v>
      </c>
      <c r="T234" s="2" t="inlineStr">
        <is>
          <t>Under</t>
        </is>
      </c>
      <c r="U234" s="4" t="n">
        <v>120</v>
      </c>
      <c r="V234" s="2" t="n">
        <v>2.2</v>
      </c>
      <c r="W234" s="4" t="n">
        <v>120</v>
      </c>
      <c r="X234" s="2" t="n">
        <v>1</v>
      </c>
      <c r="Y234" s="5" t="n">
        <v>1.2</v>
      </c>
      <c r="Z234" s="7" t="n">
        <v>100</v>
      </c>
      <c r="AA234" s="7">
        <f>Y234*Z234</f>
        <v/>
      </c>
      <c r="AB234" s="6">
        <f>IF(Z234=0,0,AA234/Z234)</f>
        <v/>
      </c>
      <c r="AC234" s="6" t="n"/>
      <c r="AD234" s="2" t="inlineStr">
        <is>
          <t>Win</t>
        </is>
      </c>
      <c r="AE234" s="6">
        <f>IF((COUNTIF($AD$2:AD234,"Win")+COUNTIF($AD$2:AD234,"Loss"))=0,0,COUNTIF($AD$2:AD234,"Win")/(COUNTIF($AD$2:AD234,"Win")+COUNTIF($AD$2:AD234,"Loss")))</f>
        <v/>
      </c>
      <c r="AF234" s="6">
        <f>SUM($Y$2:Y234)/SUM($X$2:X234)</f>
        <v/>
      </c>
      <c r="AG234" s="5">
        <f>SUM($Y$2:Y234)</f>
        <v/>
      </c>
      <c r="AH234" s="7">
        <f>10000.0+SUM($AA$2:AA234)</f>
        <v/>
      </c>
      <c r="AI234" s="2" t="n">
        <v>2025</v>
      </c>
      <c r="AJ234" s="2" t="inlineStr">
        <is>
          <t>2025-08</t>
        </is>
      </c>
      <c r="AK234" s="2" t="inlineStr">
        <is>
          <t>+100 to +120</t>
        </is>
      </c>
      <c r="AL234" s="2" t="inlineStr">
        <is>
          <t>2025 Validation</t>
        </is>
      </c>
      <c r="AM234" s="6" t="n">
        <v>0.1203432229515544</v>
      </c>
    </row>
    <row r="235">
      <c r="A235" s="2" t="inlineStr">
        <is>
          <t>KPROP-00234</t>
        </is>
      </c>
      <c r="B235" s="3" t="n">
        <v>45890.67059027778</v>
      </c>
      <c r="C235" s="3" t="n">
        <v>45890</v>
      </c>
      <c r="D235" s="2" t="inlineStr">
        <is>
          <t>MacKenzie Gore</t>
        </is>
      </c>
      <c r="E235" s="2" t="n">
        <v>120</v>
      </c>
      <c r="F235" s="2" t="n">
        <v>121</v>
      </c>
      <c r="G235" s="2" t="inlineStr">
        <is>
          <t>Home</t>
        </is>
      </c>
      <c r="H235" s="2" t="inlineStr">
        <is>
          <t>draftkings</t>
        </is>
      </c>
      <c r="I235" s="4" t="n"/>
      <c r="J235" s="4" t="n"/>
      <c r="K235" s="4" t="n">
        <v>-160</v>
      </c>
      <c r="L235" s="4" t="n">
        <v>-160</v>
      </c>
      <c r="M235" s="5" t="n">
        <v>6.5</v>
      </c>
      <c r="N235" s="5" t="n">
        <v>5.551063863956657</v>
      </c>
      <c r="O235" s="5" t="n">
        <v>6.5</v>
      </c>
      <c r="P235" s="5" t="n">
        <v>0.9489361360433435</v>
      </c>
      <c r="Q235" s="6" t="n">
        <v>0.1017418814178315</v>
      </c>
      <c r="R235" s="6" t="n">
        <v>0.6779950039494348</v>
      </c>
      <c r="S235" s="6" t="n">
        <v>0.6107784431137725</v>
      </c>
      <c r="T235" s="2" t="inlineStr">
        <is>
          <t>Under</t>
        </is>
      </c>
      <c r="U235" s="4" t="n">
        <v>-160</v>
      </c>
      <c r="V235" s="2" t="n">
        <v>1.625</v>
      </c>
      <c r="W235" s="4" t="n">
        <v>-160</v>
      </c>
      <c r="X235" s="2" t="n">
        <v>1</v>
      </c>
      <c r="Y235" s="5" t="n">
        <v>0.625</v>
      </c>
      <c r="Z235" s="7" t="n">
        <v>100</v>
      </c>
      <c r="AA235" s="7">
        <f>Y235*Z235</f>
        <v/>
      </c>
      <c r="AB235" s="6">
        <f>IF(Z235=0,0,AA235/Z235)</f>
        <v/>
      </c>
      <c r="AC235" s="6" t="n"/>
      <c r="AD235" s="2" t="inlineStr">
        <is>
          <t>Win</t>
        </is>
      </c>
      <c r="AE235" s="6">
        <f>IF((COUNTIF($AD$2:AD235,"Win")+COUNTIF($AD$2:AD235,"Loss"))=0,0,COUNTIF($AD$2:AD235,"Win")/(COUNTIF($AD$2:AD235,"Win")+COUNTIF($AD$2:AD235,"Loss")))</f>
        <v/>
      </c>
      <c r="AF235" s="6">
        <f>SUM($Y$2:Y235)/SUM($X$2:X235)</f>
        <v/>
      </c>
      <c r="AG235" s="5">
        <f>SUM($Y$2:Y235)</f>
        <v/>
      </c>
      <c r="AH235" s="7">
        <f>10000.0+SUM($AA$2:AA235)</f>
        <v/>
      </c>
      <c r="AI235" s="2" t="n">
        <v>2025</v>
      </c>
      <c r="AJ235" s="2" t="inlineStr">
        <is>
          <t>2025-08</t>
        </is>
      </c>
      <c r="AK235" s="2" t="inlineStr">
        <is>
          <t>&lt;= -150</t>
        </is>
      </c>
      <c r="AL235" s="2" t="inlineStr">
        <is>
          <t>2025 Validation</t>
        </is>
      </c>
      <c r="AM235" s="6" t="n">
        <v>0.1627870102685304</v>
      </c>
    </row>
    <row r="236">
      <c r="A236" s="2" t="inlineStr">
        <is>
          <t>KPROP-00235</t>
        </is>
      </c>
      <c r="B236" s="3" t="n">
        <v>45890.67059027778</v>
      </c>
      <c r="C236" s="3" t="n">
        <v>45890</v>
      </c>
      <c r="D236" s="2" t="inlineStr">
        <is>
          <t>Sean Manaea</t>
        </is>
      </c>
      <c r="E236" s="2" t="n">
        <v>121</v>
      </c>
      <c r="F236" s="2" t="n">
        <v>120</v>
      </c>
      <c r="G236" s="2" t="inlineStr">
        <is>
          <t>Away</t>
        </is>
      </c>
      <c r="H236" s="2" t="inlineStr">
        <is>
          <t>bovada</t>
        </is>
      </c>
      <c r="I236" s="4" t="n"/>
      <c r="J236" s="4" t="n"/>
      <c r="K236" s="4" t="n">
        <v>125</v>
      </c>
      <c r="L236" s="4" t="n">
        <v>125</v>
      </c>
      <c r="M236" s="5" t="n">
        <v>5.5</v>
      </c>
      <c r="N236" s="5" t="n">
        <v>5.176365981157595</v>
      </c>
      <c r="O236" s="5" t="n">
        <v>5.5</v>
      </c>
      <c r="P236" s="5" t="n">
        <v>0.3236340188424052</v>
      </c>
      <c r="Q236" s="6" t="n">
        <v>0.3163527874744383</v>
      </c>
      <c r="R236" s="6" t="n">
        <v>0.5850456833219726</v>
      </c>
      <c r="S236" s="6" t="n">
        <v>0.4324324324324325</v>
      </c>
      <c r="T236" s="2" t="inlineStr">
        <is>
          <t>Under</t>
        </is>
      </c>
      <c r="U236" s="4" t="n">
        <v>125</v>
      </c>
      <c r="V236" s="2" t="n">
        <v>2.25</v>
      </c>
      <c r="W236" s="4" t="n">
        <v>125</v>
      </c>
      <c r="X236" s="2" t="n">
        <v>1</v>
      </c>
      <c r="Y236" s="5" t="n">
        <v>-1</v>
      </c>
      <c r="Z236" s="7" t="n">
        <v>100</v>
      </c>
      <c r="AA236" s="7">
        <f>Y236*Z236</f>
        <v/>
      </c>
      <c r="AB236" s="6">
        <f>IF(Z236=0,0,AA236/Z236)</f>
        <v/>
      </c>
      <c r="AC236" s="6" t="n"/>
      <c r="AD236" s="2" t="inlineStr">
        <is>
          <t>Loss</t>
        </is>
      </c>
      <c r="AE236" s="6">
        <f>IF((COUNTIF($AD$2:AD236,"Win")+COUNTIF($AD$2:AD236,"Loss"))=0,0,COUNTIF($AD$2:AD236,"Win")/(COUNTIF($AD$2:AD236,"Win")+COUNTIF($AD$2:AD236,"Loss")))</f>
        <v/>
      </c>
      <c r="AF236" s="6">
        <f>SUM($Y$2:Y236)/SUM($X$2:X236)</f>
        <v/>
      </c>
      <c r="AG236" s="5">
        <f>SUM($Y$2:Y236)</f>
        <v/>
      </c>
      <c r="AH236" s="7">
        <f>10000.0+SUM($AA$2:AA236)</f>
        <v/>
      </c>
      <c r="AI236" s="2" t="n">
        <v>2025</v>
      </c>
      <c r="AJ236" s="2" t="inlineStr">
        <is>
          <t>2025-08</t>
        </is>
      </c>
      <c r="AK236" s="2" t="inlineStr">
        <is>
          <t>+121 to +150</t>
        </is>
      </c>
      <c r="AL236" s="2" t="inlineStr">
        <is>
          <t>2025 Validation</t>
        </is>
      </c>
      <c r="AM236" s="6" t="n">
        <v>0.2530822299795507</v>
      </c>
    </row>
    <row r="237">
      <c r="A237" s="2" t="inlineStr">
        <is>
          <t>KPROP-00236</t>
        </is>
      </c>
      <c r="B237" s="3" t="n">
        <v>45890.67059027778</v>
      </c>
      <c r="C237" s="3" t="n">
        <v>45890</v>
      </c>
      <c r="D237" s="2" t="inlineStr">
        <is>
          <t>Sean Manaea</t>
        </is>
      </c>
      <c r="E237" s="2" t="n">
        <v>121</v>
      </c>
      <c r="F237" s="2" t="n">
        <v>120</v>
      </c>
      <c r="G237" s="2" t="inlineStr">
        <is>
          <t>Away</t>
        </is>
      </c>
      <c r="H237" s="2" t="inlineStr">
        <is>
          <t>betrivers</t>
        </is>
      </c>
      <c r="I237" s="4" t="n"/>
      <c r="J237" s="4" t="n"/>
      <c r="K237" s="4" t="n">
        <v>-182</v>
      </c>
      <c r="L237" s="4" t="n">
        <v>-182</v>
      </c>
      <c r="M237" s="5" t="n">
        <v>6.5</v>
      </c>
      <c r="N237" s="5" t="n">
        <v>5.176365981157595</v>
      </c>
      <c r="O237" s="5" t="n">
        <v>6.5</v>
      </c>
      <c r="P237" s="5" t="n">
        <v>1.323634018842405</v>
      </c>
      <c r="Q237" s="6" t="n">
        <v>0.1403442477103377</v>
      </c>
      <c r="R237" s="6" t="n">
        <v>0.7359668549052534</v>
      </c>
      <c r="S237" s="6" t="n">
        <v>0.5974878675421068</v>
      </c>
      <c r="T237" s="2" t="inlineStr">
        <is>
          <t>Under</t>
        </is>
      </c>
      <c r="U237" s="4" t="n">
        <v>-182</v>
      </c>
      <c r="V237" s="2" t="n">
        <v>1.549450549450549</v>
      </c>
      <c r="W237" s="4" t="n">
        <v>-182</v>
      </c>
      <c r="X237" s="2" t="n">
        <v>1</v>
      </c>
      <c r="Y237" s="5" t="n">
        <v>-1</v>
      </c>
      <c r="Z237" s="7" t="n">
        <v>100</v>
      </c>
      <c r="AA237" s="7">
        <f>Y237*Z237</f>
        <v/>
      </c>
      <c r="AB237" s="6">
        <f>IF(Z237=0,0,AA237/Z237)</f>
        <v/>
      </c>
      <c r="AC237" s="6" t="n"/>
      <c r="AD237" s="2" t="inlineStr">
        <is>
          <t>Loss</t>
        </is>
      </c>
      <c r="AE237" s="6">
        <f>IF((COUNTIF($AD$2:AD237,"Win")+COUNTIF($AD$2:AD237,"Loss"))=0,0,COUNTIF($AD$2:AD237,"Win")/(COUNTIF($AD$2:AD237,"Win")+COUNTIF($AD$2:AD237,"Loss")))</f>
        <v/>
      </c>
      <c r="AF237" s="6">
        <f>SUM($Y$2:Y237)/SUM($X$2:X237)</f>
        <v/>
      </c>
      <c r="AG237" s="5">
        <f>SUM($Y$2:Y237)</f>
        <v/>
      </c>
      <c r="AH237" s="7">
        <f>10000.0+SUM($AA$2:AA237)</f>
        <v/>
      </c>
      <c r="AI237" s="2" t="n">
        <v>2025</v>
      </c>
      <c r="AJ237" s="2" t="inlineStr">
        <is>
          <t>2025-08</t>
        </is>
      </c>
      <c r="AK237" s="2" t="inlineStr">
        <is>
          <t>&lt;= -150</t>
        </is>
      </c>
      <c r="AL237" s="2" t="inlineStr">
        <is>
          <t>2025 Validation</t>
        </is>
      </c>
      <c r="AM237" s="6" t="n">
        <v>0.2554265308328145</v>
      </c>
    </row>
    <row r="238">
      <c r="A238" s="2" t="inlineStr">
        <is>
          <t>KPROP-00237</t>
        </is>
      </c>
      <c r="B238" s="3" t="n">
        <v>45890.59767361111</v>
      </c>
      <c r="C238" s="3" t="n">
        <v>45890</v>
      </c>
      <c r="D238" s="2" t="inlineStr">
        <is>
          <t>Shota Imanaga</t>
        </is>
      </c>
      <c r="E238" s="2" t="n">
        <v>112</v>
      </c>
      <c r="F238" s="2" t="n">
        <v>158</v>
      </c>
      <c r="G238" s="2" t="inlineStr">
        <is>
          <t>Home</t>
        </is>
      </c>
      <c r="H238" s="2" t="inlineStr">
        <is>
          <t>betonlineag</t>
        </is>
      </c>
      <c r="I238" s="4" t="n"/>
      <c r="J238" s="4" t="n"/>
      <c r="K238" s="4" t="n">
        <v>100</v>
      </c>
      <c r="L238" s="4" t="n">
        <v>100</v>
      </c>
      <c r="M238" s="5" t="n">
        <v>4.5</v>
      </c>
      <c r="N238" s="5" t="n">
        <v>4.33601718169774</v>
      </c>
      <c r="O238" s="5" t="n">
        <v>4.5</v>
      </c>
      <c r="P238" s="5" t="n">
        <v>0.1639828183022596</v>
      </c>
      <c r="Q238" s="6" t="n">
        <v>0.1269712377381638</v>
      </c>
      <c r="R238" s="6" t="n">
        <v>0.5634856188690819</v>
      </c>
      <c r="S238" s="6" t="n">
        <v>0.4831460674157303</v>
      </c>
      <c r="T238" s="2" t="inlineStr">
        <is>
          <t>Under</t>
        </is>
      </c>
      <c r="U238" s="4" t="n">
        <v>100</v>
      </c>
      <c r="V238" s="2" t="n">
        <v>2</v>
      </c>
      <c r="W238" s="4" t="n">
        <v>100</v>
      </c>
      <c r="X238" s="2" t="n">
        <v>1</v>
      </c>
      <c r="Y238" s="5" t="n">
        <v>-1</v>
      </c>
      <c r="Z238" s="7" t="n">
        <v>100</v>
      </c>
      <c r="AA238" s="7">
        <f>Y238*Z238</f>
        <v/>
      </c>
      <c r="AB238" s="6">
        <f>IF(Z238=0,0,AA238/Z238)</f>
        <v/>
      </c>
      <c r="AC238" s="6" t="n"/>
      <c r="AD238" s="2" t="inlineStr">
        <is>
          <t>Loss</t>
        </is>
      </c>
      <c r="AE238" s="6">
        <f>IF((COUNTIF($AD$2:AD238,"Win")+COUNTIF($AD$2:AD238,"Loss"))=0,0,COUNTIF($AD$2:AD238,"Win")/(COUNTIF($AD$2:AD238,"Win")+COUNTIF($AD$2:AD238,"Loss")))</f>
        <v/>
      </c>
      <c r="AF238" s="6">
        <f>SUM($Y$2:Y238)/SUM($X$2:X238)</f>
        <v/>
      </c>
      <c r="AG238" s="5">
        <f>SUM($Y$2:Y238)</f>
        <v/>
      </c>
      <c r="AH238" s="7">
        <f>10000.0+SUM($AA$2:AA238)</f>
        <v/>
      </c>
      <c r="AI238" s="2" t="n">
        <v>2025</v>
      </c>
      <c r="AJ238" s="2" t="inlineStr">
        <is>
          <t>2025-08</t>
        </is>
      </c>
      <c r="AK238" s="2" t="inlineStr">
        <is>
          <t>+100 to +120</t>
        </is>
      </c>
      <c r="AL238" s="2" t="inlineStr">
        <is>
          <t>2025 Validation</t>
        </is>
      </c>
      <c r="AM238" s="6" t="n">
        <v>0.1269712377381638</v>
      </c>
    </row>
    <row r="239">
      <c r="A239" s="2" t="inlineStr">
        <is>
          <t>KPROP-00238</t>
        </is>
      </c>
      <c r="B239" s="3" t="n">
        <v>45891.77822916667</v>
      </c>
      <c r="C239" s="3" t="n">
        <v>45891</v>
      </c>
      <c r="D239" s="2" t="inlineStr">
        <is>
          <t>Braxton Ashcraft</t>
        </is>
      </c>
      <c r="E239" s="2" t="n">
        <v>134</v>
      </c>
      <c r="F239" s="2" t="n">
        <v>115</v>
      </c>
      <c r="G239" s="2" t="inlineStr">
        <is>
          <t>Home</t>
        </is>
      </c>
      <c r="H239" s="2" t="inlineStr">
        <is>
          <t>betonlineag</t>
        </is>
      </c>
      <c r="I239" s="4" t="n"/>
      <c r="J239" s="4" t="n"/>
      <c r="K239" s="4" t="n">
        <v>121</v>
      </c>
      <c r="L239" s="4" t="n">
        <v>121</v>
      </c>
      <c r="M239" s="5" t="n">
        <v>3.5</v>
      </c>
      <c r="N239" s="5" t="n">
        <v>3.675081410804959</v>
      </c>
      <c r="O239" s="5" t="n">
        <v>3.5</v>
      </c>
      <c r="P239" s="5" t="n">
        <v>-0.1750814108049594</v>
      </c>
      <c r="Q239" s="6" t="n">
        <v>0.1035997782766394</v>
      </c>
      <c r="R239" s="6" t="n">
        <v>0.4993664155097916</v>
      </c>
      <c r="S239" s="6" t="n">
        <v>0.4332832257494031</v>
      </c>
      <c r="T239" s="2" t="inlineStr">
        <is>
          <t>Under</t>
        </is>
      </c>
      <c r="U239" s="4" t="n">
        <v>121</v>
      </c>
      <c r="V239" s="2" t="n">
        <v>2.21</v>
      </c>
      <c r="W239" s="4" t="n">
        <v>121</v>
      </c>
      <c r="X239" s="2" t="n">
        <v>1</v>
      </c>
      <c r="Y239" s="5" t="n">
        <v>-1</v>
      </c>
      <c r="Z239" s="7" t="n">
        <v>100</v>
      </c>
      <c r="AA239" s="7">
        <f>Y239*Z239</f>
        <v/>
      </c>
      <c r="AB239" s="6">
        <f>IF(Z239=0,0,AA239/Z239)</f>
        <v/>
      </c>
      <c r="AC239" s="6" t="n"/>
      <c r="AD239" s="2" t="inlineStr">
        <is>
          <t>Loss</t>
        </is>
      </c>
      <c r="AE239" s="6">
        <f>IF((COUNTIF($AD$2:AD239,"Win")+COUNTIF($AD$2:AD239,"Loss"))=0,0,COUNTIF($AD$2:AD239,"Win")/(COUNTIF($AD$2:AD239,"Win")+COUNTIF($AD$2:AD239,"Loss")))</f>
        <v/>
      </c>
      <c r="AF239" s="6">
        <f>SUM($Y$2:Y239)/SUM($X$2:X239)</f>
        <v/>
      </c>
      <c r="AG239" s="5">
        <f>SUM($Y$2:Y239)</f>
        <v/>
      </c>
      <c r="AH239" s="7">
        <f>10000.0+SUM($AA$2:AA239)</f>
        <v/>
      </c>
      <c r="AI239" s="2" t="n">
        <v>2025</v>
      </c>
      <c r="AJ239" s="2" t="inlineStr">
        <is>
          <t>2025-08</t>
        </is>
      </c>
      <c r="AK239" s="2" t="inlineStr">
        <is>
          <t>+121 to +150</t>
        </is>
      </c>
      <c r="AL239" s="2" t="inlineStr">
        <is>
          <t>2025 Validation</t>
        </is>
      </c>
      <c r="AM239" s="6" t="n">
        <v>0.08561965146829699</v>
      </c>
    </row>
    <row r="240">
      <c r="A240" s="2" t="inlineStr">
        <is>
          <t>KPROP-00239</t>
        </is>
      </c>
      <c r="B240" s="3" t="n">
        <v>45891.77822916667</v>
      </c>
      <c r="C240" s="3" t="n">
        <v>45891</v>
      </c>
      <c r="D240" s="2" t="inlineStr">
        <is>
          <t>Braxton Ashcraft</t>
        </is>
      </c>
      <c r="E240" s="2" t="n">
        <v>134</v>
      </c>
      <c r="F240" s="2" t="n">
        <v>115</v>
      </c>
      <c r="G240" s="2" t="inlineStr">
        <is>
          <t>Home</t>
        </is>
      </c>
      <c r="H240" s="2" t="inlineStr">
        <is>
          <t>fanduel</t>
        </is>
      </c>
      <c r="I240" s="4" t="n"/>
      <c r="J240" s="4" t="n"/>
      <c r="K240" s="4" t="n">
        <v>-164</v>
      </c>
      <c r="L240" s="4" t="n">
        <v>-164</v>
      </c>
      <c r="M240" s="5" t="n">
        <v>4.5</v>
      </c>
      <c r="N240" s="5" t="n">
        <v>3.675081410804959</v>
      </c>
      <c r="O240" s="5" t="n">
        <v>4.5</v>
      </c>
      <c r="P240" s="5" t="n">
        <v>0.8249185891950406</v>
      </c>
      <c r="Q240" s="6" t="n">
        <v>0.1139919434379187</v>
      </c>
      <c r="R240" s="6" t="n">
        <v>0.6920252981962828</v>
      </c>
      <c r="S240" s="6" t="n">
        <v>0.5882719900187149</v>
      </c>
      <c r="T240" s="2" t="inlineStr">
        <is>
          <t>Under</t>
        </is>
      </c>
      <c r="U240" s="4" t="n">
        <v>-164</v>
      </c>
      <c r="V240" s="2" t="n">
        <v>1.609756097560976</v>
      </c>
      <c r="W240" s="4" t="n">
        <v>-164</v>
      </c>
      <c r="X240" s="2" t="n">
        <v>1</v>
      </c>
      <c r="Y240" s="5" t="n">
        <v>-1</v>
      </c>
      <c r="Z240" s="7" t="n">
        <v>100</v>
      </c>
      <c r="AA240" s="7">
        <f>Y240*Z240</f>
        <v/>
      </c>
      <c r="AB240" s="6">
        <f>IF(Z240=0,0,AA240/Z240)</f>
        <v/>
      </c>
      <c r="AC240" s="6" t="n"/>
      <c r="AD240" s="2" t="inlineStr">
        <is>
          <t>Loss</t>
        </is>
      </c>
      <c r="AE240" s="6">
        <f>IF((COUNTIF($AD$2:AD240,"Win")+COUNTIF($AD$2:AD240,"Loss"))=0,0,COUNTIF($AD$2:AD240,"Win")/(COUNTIF($AD$2:AD240,"Win")+COUNTIF($AD$2:AD240,"Loss")))</f>
        <v/>
      </c>
      <c r="AF240" s="6">
        <f>SUM($Y$2:Y240)/SUM($X$2:X240)</f>
        <v/>
      </c>
      <c r="AG240" s="5">
        <f>SUM($Y$2:Y240)</f>
        <v/>
      </c>
      <c r="AH240" s="7">
        <f>10000.0+SUM($AA$2:AA240)</f>
        <v/>
      </c>
      <c r="AI240" s="2" t="n">
        <v>2025</v>
      </c>
      <c r="AJ240" s="2" t="inlineStr">
        <is>
          <t>2025-08</t>
        </is>
      </c>
      <c r="AK240" s="2" t="inlineStr">
        <is>
          <t>&lt;= -150</t>
        </is>
      </c>
      <c r="AL240" s="2" t="inlineStr">
        <is>
          <t>2025 Validation</t>
        </is>
      </c>
      <c r="AM240" s="6" t="n">
        <v>0.1869467872381866</v>
      </c>
    </row>
    <row r="241">
      <c r="A241" s="2" t="inlineStr">
        <is>
          <t>KPROP-00240</t>
        </is>
      </c>
      <c r="B241" s="3" t="n">
        <v>45891.79559027778</v>
      </c>
      <c r="C241" s="3" t="n">
        <v>45891</v>
      </c>
      <c r="D241" s="2" t="inlineStr">
        <is>
          <t>Max Fried</t>
        </is>
      </c>
      <c r="E241" s="2" t="n">
        <v>147</v>
      </c>
      <c r="F241" s="2" t="n">
        <v>111</v>
      </c>
      <c r="G241" s="2" t="inlineStr">
        <is>
          <t>Home</t>
        </is>
      </c>
      <c r="H241" s="2" t="inlineStr">
        <is>
          <t>bovada</t>
        </is>
      </c>
      <c r="I241" s="4" t="n"/>
      <c r="J241" s="4" t="n"/>
      <c r="K241" s="4" t="n">
        <v>-130</v>
      </c>
      <c r="L241" s="4" t="n">
        <v>-130</v>
      </c>
      <c r="M241" s="5" t="n">
        <v>6.5</v>
      </c>
      <c r="N241" s="5" t="n">
        <v>5.637591234414152</v>
      </c>
      <c r="O241" s="5" t="n">
        <v>6.5</v>
      </c>
      <c r="P241" s="5" t="n">
        <v>0.8624087655858483</v>
      </c>
      <c r="Q241" s="6" t="n">
        <v>0.1752924477146737</v>
      </c>
      <c r="R241" s="6" t="n">
        <v>0.6642957313169895</v>
      </c>
      <c r="S241" s="6" t="n">
        <v>0.5542635658914729</v>
      </c>
      <c r="T241" s="2" t="inlineStr">
        <is>
          <t>Under</t>
        </is>
      </c>
      <c r="U241" s="4" t="n">
        <v>-130</v>
      </c>
      <c r="V241" s="2" t="n">
        <v>1.769230769230769</v>
      </c>
      <c r="W241" s="4" t="n">
        <v>-130</v>
      </c>
      <c r="X241" s="2" t="n">
        <v>1</v>
      </c>
      <c r="Y241" s="5" t="n">
        <v>-1</v>
      </c>
      <c r="Z241" s="7" t="n">
        <v>100</v>
      </c>
      <c r="AA241" s="7">
        <f>Y241*Z241</f>
        <v/>
      </c>
      <c r="AB241" s="6">
        <f>IF(Z241=0,0,AA241/Z241)</f>
        <v/>
      </c>
      <c r="AC241" s="6" t="n"/>
      <c r="AD241" s="2" t="inlineStr">
        <is>
          <t>Loss</t>
        </is>
      </c>
      <c r="AE241" s="6">
        <f>IF((COUNTIF($AD$2:AD241,"Win")+COUNTIF($AD$2:AD241,"Loss"))=0,0,COUNTIF($AD$2:AD241,"Win")/(COUNTIF($AD$2:AD241,"Win")+COUNTIF($AD$2:AD241,"Loss")))</f>
        <v/>
      </c>
      <c r="AF241" s="6">
        <f>SUM($Y$2:Y241)/SUM($X$2:X241)</f>
        <v/>
      </c>
      <c r="AG241" s="5">
        <f>SUM($Y$2:Y241)</f>
        <v/>
      </c>
      <c r="AH241" s="7">
        <f>10000.0+SUM($AA$2:AA241)</f>
        <v/>
      </c>
      <c r="AI241" s="2" t="n">
        <v>2025</v>
      </c>
      <c r="AJ241" s="2" t="inlineStr">
        <is>
          <t>2025-08</t>
        </is>
      </c>
      <c r="AK241" s="2" t="inlineStr">
        <is>
          <t>-149 to -120</t>
        </is>
      </c>
      <c r="AL241" s="2" t="inlineStr">
        <is>
          <t>2025 Validation</t>
        </is>
      </c>
      <c r="AM241" s="6" t="n">
        <v>0.2278801820290758</v>
      </c>
    </row>
    <row r="242">
      <c r="A242" s="2" t="inlineStr">
        <is>
          <t>KPROP-00241</t>
        </is>
      </c>
      <c r="B242" s="3" t="n">
        <v>45892.75392361111</v>
      </c>
      <c r="C242" s="3" t="n">
        <v>45892</v>
      </c>
      <c r="D242" s="2" t="inlineStr">
        <is>
          <t>Aaron Nola</t>
        </is>
      </c>
      <c r="E242" s="2" t="n">
        <v>143</v>
      </c>
      <c r="F242" s="2" t="n">
        <v>120</v>
      </c>
      <c r="G242" s="2" t="inlineStr">
        <is>
          <t>Home</t>
        </is>
      </c>
      <c r="H242" s="2" t="inlineStr">
        <is>
          <t>fanduel</t>
        </is>
      </c>
      <c r="I242" s="4" t="n"/>
      <c r="J242" s="4" t="n"/>
      <c r="K242" s="4" t="n">
        <v>106</v>
      </c>
      <c r="L242" s="4" t="n">
        <v>106</v>
      </c>
      <c r="M242" s="5" t="n">
        <v>5.5</v>
      </c>
      <c r="N242" s="5" t="n">
        <v>4.857139285410188</v>
      </c>
      <c r="O242" s="5" t="n">
        <v>5.5</v>
      </c>
      <c r="P242" s="5" t="n">
        <v>0.642860714589812</v>
      </c>
      <c r="Q242" s="6" t="n">
        <v>0.3204821615932817</v>
      </c>
      <c r="R242" s="6" t="n">
        <v>0.6410107580549911</v>
      </c>
      <c r="S242" s="6" t="n">
        <v>0.4663212435233161</v>
      </c>
      <c r="T242" s="2" t="inlineStr">
        <is>
          <t>Under</t>
        </is>
      </c>
      <c r="U242" s="4" t="n">
        <v>106</v>
      </c>
      <c r="V242" s="2" t="n">
        <v>2.06</v>
      </c>
      <c r="W242" s="4" t="n">
        <v>106</v>
      </c>
      <c r="X242" s="2" t="n">
        <v>1</v>
      </c>
      <c r="Y242" s="5" t="n">
        <v>-1</v>
      </c>
      <c r="Z242" s="7" t="n">
        <v>100</v>
      </c>
      <c r="AA242" s="7">
        <f>Y242*Z242</f>
        <v/>
      </c>
      <c r="AB242" s="6">
        <f>IF(Z242=0,0,AA242/Z242)</f>
        <v/>
      </c>
      <c r="AC242" s="6" t="n"/>
      <c r="AD242" s="2" t="inlineStr">
        <is>
          <t>Loss</t>
        </is>
      </c>
      <c r="AE242" s="6">
        <f>IF((COUNTIF($AD$2:AD242,"Win")+COUNTIF($AD$2:AD242,"Loss"))=0,0,COUNTIF($AD$2:AD242,"Win")/(COUNTIF($AD$2:AD242,"Win")+COUNTIF($AD$2:AD242,"Loss")))</f>
        <v/>
      </c>
      <c r="AF242" s="6">
        <f>SUM($Y$2:Y242)/SUM($X$2:X242)</f>
        <v/>
      </c>
      <c r="AG242" s="5">
        <f>SUM($Y$2:Y242)</f>
        <v/>
      </c>
      <c r="AH242" s="7">
        <f>10000.0+SUM($AA$2:AA242)</f>
        <v/>
      </c>
      <c r="AI242" s="2" t="n">
        <v>2025</v>
      </c>
      <c r="AJ242" s="2" t="inlineStr">
        <is>
          <t>2025-08</t>
        </is>
      </c>
      <c r="AK242" s="2" t="inlineStr">
        <is>
          <t>+100 to +120</t>
        </is>
      </c>
      <c r="AL242" s="2" t="inlineStr">
        <is>
          <t>2025 Validation</t>
        </is>
      </c>
      <c r="AM242" s="6" t="n">
        <v>0.3023416618804544</v>
      </c>
    </row>
    <row r="243">
      <c r="A243" s="2" t="inlineStr">
        <is>
          <t>KPROP-00242</t>
        </is>
      </c>
      <c r="B243" s="3" t="n">
        <v>45892.80253472222</v>
      </c>
      <c r="C243" s="3" t="n">
        <v>45892</v>
      </c>
      <c r="D243" s="2" t="inlineStr">
        <is>
          <t>Clay Holmes</t>
        </is>
      </c>
      <c r="E243" s="2" t="n">
        <v>121</v>
      </c>
      <c r="F243" s="2" t="n">
        <v>144</v>
      </c>
      <c r="G243" s="2" t="inlineStr">
        <is>
          <t>Away</t>
        </is>
      </c>
      <c r="H243" s="2" t="inlineStr">
        <is>
          <t>fanatics</t>
        </is>
      </c>
      <c r="I243" s="4" t="n"/>
      <c r="J243" s="4" t="n"/>
      <c r="K243" s="4" t="n">
        <v>125</v>
      </c>
      <c r="L243" s="4" t="n">
        <v>125</v>
      </c>
      <c r="M243" s="5" t="n">
        <v>3.5</v>
      </c>
      <c r="N243" s="5" t="n">
        <v>3.656314324141493</v>
      </c>
      <c r="O243" s="5" t="n">
        <v>3.5</v>
      </c>
      <c r="P243" s="5" t="n">
        <v>-0.1563143241414928</v>
      </c>
      <c r="Q243" s="6" t="n">
        <v>0.1324440456078597</v>
      </c>
      <c r="R243" s="6" t="n">
        <v>0.5033084647146043</v>
      </c>
      <c r="S243" s="6" t="n">
        <v>0.4261874197689345</v>
      </c>
      <c r="T243" s="2" t="inlineStr">
        <is>
          <t>Under</t>
        </is>
      </c>
      <c r="U243" s="4" t="n">
        <v>125</v>
      </c>
      <c r="V243" s="2" t="n">
        <v>2.25</v>
      </c>
      <c r="W243" s="4" t="n">
        <v>125</v>
      </c>
      <c r="X243" s="2" t="n">
        <v>1</v>
      </c>
      <c r="Y243" s="5" t="n">
        <v>-1</v>
      </c>
      <c r="Z243" s="7" t="n">
        <v>100</v>
      </c>
      <c r="AA243" s="7">
        <f>Y243*Z243</f>
        <v/>
      </c>
      <c r="AB243" s="6">
        <f>IF(Z243=0,0,AA243/Z243)</f>
        <v/>
      </c>
      <c r="AC243" s="6" t="n"/>
      <c r="AD243" s="2" t="inlineStr">
        <is>
          <t>Loss</t>
        </is>
      </c>
      <c r="AE243" s="6">
        <f>IF((COUNTIF($AD$2:AD243,"Win")+COUNTIF($AD$2:AD243,"Loss"))=0,0,COUNTIF($AD$2:AD243,"Win")/(COUNTIF($AD$2:AD243,"Win")+COUNTIF($AD$2:AD243,"Loss")))</f>
        <v/>
      </c>
      <c r="AF243" s="6">
        <f>SUM($Y$2:Y243)/SUM($X$2:X243)</f>
        <v/>
      </c>
      <c r="AG243" s="5">
        <f>SUM($Y$2:Y243)</f>
        <v/>
      </c>
      <c r="AH243" s="7">
        <f>10000.0+SUM($AA$2:AA243)</f>
        <v/>
      </c>
      <c r="AI243" s="2" t="n">
        <v>2025</v>
      </c>
      <c r="AJ243" s="2" t="inlineStr">
        <is>
          <t>2025-08</t>
        </is>
      </c>
      <c r="AK243" s="2" t="inlineStr">
        <is>
          <t>+121 to +150</t>
        </is>
      </c>
      <c r="AL243" s="2" t="inlineStr">
        <is>
          <t>2025 Validation</t>
        </is>
      </c>
      <c r="AM243" s="6" t="n">
        <v>0.1059552364862878</v>
      </c>
    </row>
    <row r="244">
      <c r="A244" s="2" t="inlineStr">
        <is>
          <t>KPROP-00243</t>
        </is>
      </c>
      <c r="B244" s="3" t="n">
        <v>45892.7990625</v>
      </c>
      <c r="C244" s="3" t="n">
        <v>45892</v>
      </c>
      <c r="D244" s="2" t="inlineStr">
        <is>
          <t>Freddy Peralta</t>
        </is>
      </c>
      <c r="E244" s="2" t="n">
        <v>158</v>
      </c>
      <c r="F244" s="2" t="n">
        <v>137</v>
      </c>
      <c r="G244" s="2" t="inlineStr">
        <is>
          <t>Home</t>
        </is>
      </c>
      <c r="H244" s="2" t="inlineStr">
        <is>
          <t>draftkings</t>
        </is>
      </c>
      <c r="I244" s="4" t="n"/>
      <c r="J244" s="4" t="n"/>
      <c r="K244" s="4" t="n">
        <v>-115</v>
      </c>
      <c r="L244" s="4" t="n">
        <v>-115</v>
      </c>
      <c r="M244" s="5" t="n">
        <v>6.5</v>
      </c>
      <c r="N244" s="5" t="n">
        <v>6.038027088884815</v>
      </c>
      <c r="O244" s="5" t="n">
        <v>6.5</v>
      </c>
      <c r="P244" s="5" t="n">
        <v>0.4619729111151853</v>
      </c>
      <c r="Q244" s="6" t="n">
        <v>0.1221036891404066</v>
      </c>
      <c r="R244" s="6" t="n">
        <v>0.6001949965169617</v>
      </c>
      <c r="S244" s="6" t="n">
        <v>0.5193382517326178</v>
      </c>
      <c r="T244" s="2" t="inlineStr">
        <is>
          <t>Under</t>
        </is>
      </c>
      <c r="U244" s="4" t="n">
        <v>-115</v>
      </c>
      <c r="V244" s="2" t="n">
        <v>1.869565217391304</v>
      </c>
      <c r="W244" s="4" t="n">
        <v>-115</v>
      </c>
      <c r="X244" s="2" t="n">
        <v>1</v>
      </c>
      <c r="Y244" s="5" t="n">
        <v>0.8695652173913042</v>
      </c>
      <c r="Z244" s="7" t="n">
        <v>100</v>
      </c>
      <c r="AA244" s="7">
        <f>Y244*Z244</f>
        <v/>
      </c>
      <c r="AB244" s="6">
        <f>IF(Z244=0,0,AA244/Z244)</f>
        <v/>
      </c>
      <c r="AC244" s="6" t="n"/>
      <c r="AD244" s="2" t="inlineStr">
        <is>
          <t>Win</t>
        </is>
      </c>
      <c r="AE244" s="6">
        <f>IF((COUNTIF($AD$2:AD244,"Win")+COUNTIF($AD$2:AD244,"Loss"))=0,0,COUNTIF($AD$2:AD244,"Win")/(COUNTIF($AD$2:AD244,"Win")+COUNTIF($AD$2:AD244,"Loss")))</f>
        <v/>
      </c>
      <c r="AF244" s="6">
        <f>SUM($Y$2:Y244)/SUM($X$2:X244)</f>
        <v/>
      </c>
      <c r="AG244" s="5">
        <f>SUM($Y$2:Y244)</f>
        <v/>
      </c>
      <c r="AH244" s="7">
        <f>10000.0+SUM($AA$2:AA244)</f>
        <v/>
      </c>
      <c r="AI244" s="2" t="n">
        <v>2025</v>
      </c>
      <c r="AJ244" s="2" t="inlineStr">
        <is>
          <t>2025-08</t>
        </is>
      </c>
      <c r="AK244" s="2" t="inlineStr">
        <is>
          <t>-119 to -101</t>
        </is>
      </c>
      <c r="AL244" s="2" t="inlineStr">
        <is>
          <t>2025 Validation</t>
        </is>
      </c>
      <c r="AM244" s="6" t="n">
        <v>0.1404192425114676</v>
      </c>
    </row>
    <row r="245">
      <c r="A245" s="2" t="inlineStr">
        <is>
          <t>KPROP-00244</t>
        </is>
      </c>
      <c r="B245" s="3" t="n">
        <v>45892.54559027778</v>
      </c>
      <c r="C245" s="3" t="n">
        <v>45892</v>
      </c>
      <c r="D245" s="2" t="inlineStr">
        <is>
          <t>Garrett Crochet</t>
        </is>
      </c>
      <c r="E245" s="2" t="n">
        <v>111</v>
      </c>
      <c r="F245" s="2" t="n">
        <v>147</v>
      </c>
      <c r="G245" s="2" t="inlineStr">
        <is>
          <t>Away</t>
        </is>
      </c>
      <c r="H245" s="2" t="inlineStr">
        <is>
          <t>betrivers</t>
        </is>
      </c>
      <c r="I245" s="4" t="n"/>
      <c r="J245" s="4" t="n"/>
      <c r="K245" s="4" t="n">
        <v>107</v>
      </c>
      <c r="L245" s="4" t="n">
        <v>107</v>
      </c>
      <c r="M245" s="5" t="n">
        <v>7.5</v>
      </c>
      <c r="N245" s="5" t="n">
        <v>7.379779609355828</v>
      </c>
      <c r="O245" s="5" t="n">
        <v>7.5</v>
      </c>
      <c r="P245" s="5" t="n">
        <v>0.1202203906441719</v>
      </c>
      <c r="Q245" s="6" t="n">
        <v>0.1225905540981939</v>
      </c>
      <c r="R245" s="6" t="n">
        <v>0.5423142773421226</v>
      </c>
      <c r="S245" s="6" t="n">
        <v>0.4696840307429548</v>
      </c>
      <c r="T245" s="2" t="inlineStr">
        <is>
          <t>Under</t>
        </is>
      </c>
      <c r="U245" s="4" t="n">
        <v>107</v>
      </c>
      <c r="V245" s="2" t="n">
        <v>2.07</v>
      </c>
      <c r="W245" s="4" t="n">
        <v>107</v>
      </c>
      <c r="X245" s="2" t="n">
        <v>1</v>
      </c>
      <c r="Y245" s="5" t="n">
        <v>-1</v>
      </c>
      <c r="Z245" s="7" t="n">
        <v>100</v>
      </c>
      <c r="AA245" s="7">
        <f>Y245*Z245</f>
        <v/>
      </c>
      <c r="AB245" s="6">
        <f>IF(Z245=0,0,AA245/Z245)</f>
        <v/>
      </c>
      <c r="AC245" s="6" t="n"/>
      <c r="AD245" s="2" t="inlineStr">
        <is>
          <t>Loss</t>
        </is>
      </c>
      <c r="AE245" s="6">
        <f>IF((COUNTIF($AD$2:AD245,"Win")+COUNTIF($AD$2:AD245,"Loss"))=0,0,COUNTIF($AD$2:AD245,"Win")/(COUNTIF($AD$2:AD245,"Win")+COUNTIF($AD$2:AD245,"Loss")))</f>
        <v/>
      </c>
      <c r="AF245" s="6">
        <f>SUM($Y$2:Y245)/SUM($X$2:X245)</f>
        <v/>
      </c>
      <c r="AG245" s="5">
        <f>SUM($Y$2:Y245)</f>
        <v/>
      </c>
      <c r="AH245" s="7">
        <f>10000.0+SUM($AA$2:AA245)</f>
        <v/>
      </c>
      <c r="AI245" s="2" t="n">
        <v>2025</v>
      </c>
      <c r="AJ245" s="2" t="inlineStr">
        <is>
          <t>2025-08</t>
        </is>
      </c>
      <c r="AK245" s="2" t="inlineStr">
        <is>
          <t>+100 to +120</t>
        </is>
      </c>
      <c r="AL245" s="2" t="inlineStr">
        <is>
          <t>2025 Validation</t>
        </is>
      </c>
      <c r="AM245" s="6" t="n">
        <v>0.1145706113067232</v>
      </c>
    </row>
    <row r="246">
      <c r="A246" s="2" t="inlineStr">
        <is>
          <t>KPROP-00245</t>
        </is>
      </c>
      <c r="B246" s="3" t="n">
        <v>45892.7990625</v>
      </c>
      <c r="C246" s="3" t="n">
        <v>45892</v>
      </c>
      <c r="D246" s="2" t="inlineStr">
        <is>
          <t>Logan Webb</t>
        </is>
      </c>
      <c r="E246" s="2" t="n">
        <v>137</v>
      </c>
      <c r="F246" s="2" t="n">
        <v>158</v>
      </c>
      <c r="G246" s="2" t="inlineStr">
        <is>
          <t>Away</t>
        </is>
      </c>
      <c r="H246" s="2" t="inlineStr">
        <is>
          <t>fanduel</t>
        </is>
      </c>
      <c r="I246" s="4" t="n"/>
      <c r="J246" s="4" t="n"/>
      <c r="K246" s="4" t="n">
        <v>100</v>
      </c>
      <c r="L246" s="4" t="n">
        <v>100</v>
      </c>
      <c r="M246" s="5" t="n">
        <v>5.5</v>
      </c>
      <c r="N246" s="5" t="n">
        <v>5.283294422522476</v>
      </c>
      <c r="O246" s="5" t="n">
        <v>5.5</v>
      </c>
      <c r="P246" s="5" t="n">
        <v>0.2167055774775237</v>
      </c>
      <c r="Q246" s="6" t="n">
        <v>0.13276152838064</v>
      </c>
      <c r="R246" s="6" t="n">
        <v>0.56638076419032</v>
      </c>
      <c r="S246" s="6" t="n">
        <v>0.4883720930232558</v>
      </c>
      <c r="T246" s="2" t="inlineStr">
        <is>
          <t>Under</t>
        </is>
      </c>
      <c r="U246" s="4" t="n">
        <v>100</v>
      </c>
      <c r="V246" s="2" t="n">
        <v>2</v>
      </c>
      <c r="W246" s="4" t="n">
        <v>100</v>
      </c>
      <c r="X246" s="2" t="n">
        <v>1</v>
      </c>
      <c r="Y246" s="5" t="n">
        <v>1</v>
      </c>
      <c r="Z246" s="7" t="n">
        <v>100</v>
      </c>
      <c r="AA246" s="7">
        <f>Y246*Z246</f>
        <v/>
      </c>
      <c r="AB246" s="6">
        <f>IF(Z246=0,0,AA246/Z246)</f>
        <v/>
      </c>
      <c r="AC246" s="6" t="n"/>
      <c r="AD246" s="2" t="inlineStr">
        <is>
          <t>Win</t>
        </is>
      </c>
      <c r="AE246" s="6">
        <f>IF((COUNTIF($AD$2:AD246,"Win")+COUNTIF($AD$2:AD246,"Loss"))=0,0,COUNTIF($AD$2:AD246,"Win")/(COUNTIF($AD$2:AD246,"Win")+COUNTIF($AD$2:AD246,"Loss")))</f>
        <v/>
      </c>
      <c r="AF246" s="6">
        <f>SUM($Y$2:Y246)/SUM($X$2:X246)</f>
        <v/>
      </c>
      <c r="AG246" s="5">
        <f>SUM($Y$2:Y246)</f>
        <v/>
      </c>
      <c r="AH246" s="7">
        <f>10000.0+SUM($AA$2:AA246)</f>
        <v/>
      </c>
      <c r="AI246" s="2" t="n">
        <v>2025</v>
      </c>
      <c r="AJ246" s="2" t="inlineStr">
        <is>
          <t>2025-08</t>
        </is>
      </c>
      <c r="AK246" s="2" t="inlineStr">
        <is>
          <t>+100 to +120</t>
        </is>
      </c>
      <c r="AL246" s="2" t="inlineStr">
        <is>
          <t>2025 Validation</t>
        </is>
      </c>
      <c r="AM246" s="6" t="n">
        <v>0.13276152838064</v>
      </c>
    </row>
    <row r="247">
      <c r="A247" s="2" t="inlineStr">
        <is>
          <t>KPROP-00246</t>
        </is>
      </c>
      <c r="B247" s="3" t="n">
        <v>45892.54559027778</v>
      </c>
      <c r="C247" s="3" t="n">
        <v>45892</v>
      </c>
      <c r="D247" s="2" t="inlineStr">
        <is>
          <t>Will Warren</t>
        </is>
      </c>
      <c r="E247" s="2" t="n">
        <v>147</v>
      </c>
      <c r="F247" s="2" t="n">
        <v>111</v>
      </c>
      <c r="G247" s="2" t="inlineStr">
        <is>
          <t>Home</t>
        </is>
      </c>
      <c r="H247" s="2" t="inlineStr">
        <is>
          <t>betmgm</t>
        </is>
      </c>
      <c r="I247" s="4" t="n"/>
      <c r="J247" s="4" t="n"/>
      <c r="K247" s="4" t="n">
        <v>-110</v>
      </c>
      <c r="L247" s="4" t="n">
        <v>-110</v>
      </c>
      <c r="M247" s="5" t="n">
        <v>5.5</v>
      </c>
      <c r="N247" s="5" t="n">
        <v>5.314994705123926</v>
      </c>
      <c r="O247" s="5" t="n">
        <v>5.5</v>
      </c>
      <c r="P247" s="5" t="n">
        <v>0.1850052948760741</v>
      </c>
      <c r="Q247" s="6" t="n">
        <v>0.07074439137361554</v>
      </c>
      <c r="R247" s="6" t="n">
        <v>0.5608661097671319</v>
      </c>
      <c r="S247" s="6" t="n">
        <v>0.5116279069767442</v>
      </c>
      <c r="T247" s="2" t="inlineStr">
        <is>
          <t>Under</t>
        </is>
      </c>
      <c r="U247" s="4" t="n">
        <v>-110</v>
      </c>
      <c r="V247" s="2" t="n">
        <v>1.909090909090909</v>
      </c>
      <c r="W247" s="4" t="n">
        <v>-110</v>
      </c>
      <c r="X247" s="2" t="n">
        <v>1</v>
      </c>
      <c r="Y247" s="5" t="n">
        <v>0.9090909090909092</v>
      </c>
      <c r="Z247" s="7" t="n">
        <v>100</v>
      </c>
      <c r="AA247" s="7">
        <f>Y247*Z247</f>
        <v/>
      </c>
      <c r="AB247" s="6">
        <f>IF(Z247=0,0,AA247/Z247)</f>
        <v/>
      </c>
      <c r="AC247" s="6" t="n"/>
      <c r="AD247" s="2" t="inlineStr">
        <is>
          <t>Win</t>
        </is>
      </c>
      <c r="AE247" s="6">
        <f>IF((COUNTIF($AD$2:AD247,"Win")+COUNTIF($AD$2:AD247,"Loss"))=0,0,COUNTIF($AD$2:AD247,"Win")/(COUNTIF($AD$2:AD247,"Win")+COUNTIF($AD$2:AD247,"Loss")))</f>
        <v/>
      </c>
      <c r="AF247" s="6">
        <f>SUM($Y$2:Y247)/SUM($X$2:X247)</f>
        <v/>
      </c>
      <c r="AG247" s="5">
        <f>SUM($Y$2:Y247)</f>
        <v/>
      </c>
      <c r="AH247" s="7">
        <f>10000.0+SUM($AA$2:AA247)</f>
        <v/>
      </c>
      <c r="AI247" s="2" t="n">
        <v>2025</v>
      </c>
      <c r="AJ247" s="2" t="inlineStr">
        <is>
          <t>2025-08</t>
        </is>
      </c>
      <c r="AK247" s="2" t="inlineStr">
        <is>
          <t>-119 to -101</t>
        </is>
      </c>
      <c r="AL247" s="2" t="inlineStr">
        <is>
          <t>2025 Validation</t>
        </is>
      </c>
      <c r="AM247" s="6" t="n">
        <v>0.0778188305109771</v>
      </c>
    </row>
    <row r="248">
      <c r="A248" s="2" t="inlineStr">
        <is>
          <t>KPROP-00247</t>
        </is>
      </c>
      <c r="B248" s="3" t="n">
        <v>45893.67405092593</v>
      </c>
      <c r="C248" s="3" t="n">
        <v>45893</v>
      </c>
      <c r="D248" s="2" t="inlineStr">
        <is>
          <t>Brady Singer</t>
        </is>
      </c>
      <c r="E248" s="2" t="n">
        <v>113</v>
      </c>
      <c r="F248" s="2" t="n">
        <v>109</v>
      </c>
      <c r="G248" s="2" t="inlineStr">
        <is>
          <t>Away</t>
        </is>
      </c>
      <c r="H248" s="2" t="inlineStr">
        <is>
          <t>betmgm</t>
        </is>
      </c>
      <c r="I248" s="4" t="n"/>
      <c r="J248" s="4" t="n"/>
      <c r="K248" s="4" t="n">
        <v>110</v>
      </c>
      <c r="L248" s="4" t="n">
        <v>110</v>
      </c>
      <c r="M248" s="5" t="n">
        <v>4.5</v>
      </c>
      <c r="N248" s="5" t="n">
        <v>4.18418749595411</v>
      </c>
      <c r="O248" s="5" t="n">
        <v>4.5</v>
      </c>
      <c r="P248" s="5" t="n">
        <v>0.3158125040458897</v>
      </c>
      <c r="Q248" s="6" t="n">
        <v>0.245095196881251</v>
      </c>
      <c r="R248" s="6" t="n">
        <v>0.5929024747053576</v>
      </c>
      <c r="S248" s="6" t="n">
        <v>0.4572564612326044</v>
      </c>
      <c r="T248" s="2" t="inlineStr">
        <is>
          <t>Under</t>
        </is>
      </c>
      <c r="U248" s="4" t="n">
        <v>110</v>
      </c>
      <c r="V248" s="2" t="n">
        <v>2.1</v>
      </c>
      <c r="W248" s="4" t="n">
        <v>110</v>
      </c>
      <c r="X248" s="2" t="n">
        <v>1</v>
      </c>
      <c r="Y248" s="5" t="n">
        <v>-1</v>
      </c>
      <c r="Z248" s="7" t="n">
        <v>100</v>
      </c>
      <c r="AA248" s="7">
        <f>Y248*Z248</f>
        <v/>
      </c>
      <c r="AB248" s="6">
        <f>IF(Z248=0,0,AA248/Z248)</f>
        <v/>
      </c>
      <c r="AC248" s="6" t="n"/>
      <c r="AD248" s="2" t="inlineStr">
        <is>
          <t>Loss</t>
        </is>
      </c>
      <c r="AE248" s="6">
        <f>IF((COUNTIF($AD$2:AD248,"Win")+COUNTIF($AD$2:AD248,"Loss"))=0,0,COUNTIF($AD$2:AD248,"Win")/(COUNTIF($AD$2:AD248,"Win")+COUNTIF($AD$2:AD248,"Loss")))</f>
        <v/>
      </c>
      <c r="AF248" s="6">
        <f>SUM($Y$2:Y248)/SUM($X$2:X248)</f>
        <v/>
      </c>
      <c r="AG248" s="5">
        <f>SUM($Y$2:Y248)</f>
        <v/>
      </c>
      <c r="AH248" s="7">
        <f>10000.0+SUM($AA$2:AA248)</f>
        <v/>
      </c>
      <c r="AI248" s="2" t="n">
        <v>2025</v>
      </c>
      <c r="AJ248" s="2" t="inlineStr">
        <is>
          <t>2025-08</t>
        </is>
      </c>
      <c r="AK248" s="2" t="inlineStr">
        <is>
          <t>+100 to +120</t>
        </is>
      </c>
      <c r="AL248" s="2" t="inlineStr">
        <is>
          <t>2025 Validation</t>
        </is>
      </c>
      <c r="AM248" s="6" t="n">
        <v>0.2228138153465918</v>
      </c>
    </row>
    <row r="249">
      <c r="A249" s="2" t="inlineStr">
        <is>
          <t>KPROP-00248</t>
        </is>
      </c>
      <c r="B249" s="3" t="n">
        <v>45893.56988425926</v>
      </c>
      <c r="C249" s="3" t="n">
        <v>45893</v>
      </c>
      <c r="D249" s="2" t="inlineStr">
        <is>
          <t>Jack Flaherty</t>
        </is>
      </c>
      <c r="E249" s="2" t="n">
        <v>116</v>
      </c>
      <c r="F249" s="2" t="n">
        <v>118</v>
      </c>
      <c r="G249" s="2" t="inlineStr">
        <is>
          <t>Home</t>
        </is>
      </c>
      <c r="H249" s="2" t="inlineStr">
        <is>
          <t>bovada</t>
        </is>
      </c>
      <c r="I249" s="4" t="n"/>
      <c r="J249" s="4" t="n"/>
      <c r="K249" s="4" t="n">
        <v>100</v>
      </c>
      <c r="L249" s="4" t="n">
        <v>100</v>
      </c>
      <c r="M249" s="5" t="n">
        <v>5.5</v>
      </c>
      <c r="N249" s="5" t="n">
        <v>5.267229884750114</v>
      </c>
      <c r="O249" s="5" t="n">
        <v>5.5</v>
      </c>
      <c r="P249" s="5" t="n">
        <v>0.2327701152498856</v>
      </c>
      <c r="Q249" s="6" t="n">
        <v>0.1383580623872076</v>
      </c>
      <c r="R249" s="6" t="n">
        <v>0.5691790311936038</v>
      </c>
      <c r="S249" s="6" t="n">
        <v>0.4862385321100918</v>
      </c>
      <c r="T249" s="2" t="inlineStr">
        <is>
          <t>Under</t>
        </is>
      </c>
      <c r="U249" s="4" t="n">
        <v>100</v>
      </c>
      <c r="V249" s="2" t="n">
        <v>2</v>
      </c>
      <c r="W249" s="4" t="n">
        <v>100</v>
      </c>
      <c r="X249" s="2" t="n">
        <v>1</v>
      </c>
      <c r="Y249" s="5" t="n">
        <v>1</v>
      </c>
      <c r="Z249" s="7" t="n">
        <v>100</v>
      </c>
      <c r="AA249" s="7">
        <f>Y249*Z249</f>
        <v/>
      </c>
      <c r="AB249" s="6">
        <f>IF(Z249=0,0,AA249/Z249)</f>
        <v/>
      </c>
      <c r="AC249" s="6" t="n"/>
      <c r="AD249" s="2" t="inlineStr">
        <is>
          <t>Win</t>
        </is>
      </c>
      <c r="AE249" s="6">
        <f>IF((COUNTIF($AD$2:AD249,"Win")+COUNTIF($AD$2:AD249,"Loss"))=0,0,COUNTIF($AD$2:AD249,"Win")/(COUNTIF($AD$2:AD249,"Win")+COUNTIF($AD$2:AD249,"Loss")))</f>
        <v/>
      </c>
      <c r="AF249" s="6">
        <f>SUM($Y$2:Y249)/SUM($X$2:X249)</f>
        <v/>
      </c>
      <c r="AG249" s="5">
        <f>SUM($Y$2:Y249)</f>
        <v/>
      </c>
      <c r="AH249" s="7">
        <f>10000.0+SUM($AA$2:AA249)</f>
        <v/>
      </c>
      <c r="AI249" s="2" t="n">
        <v>2025</v>
      </c>
      <c r="AJ249" s="2" t="inlineStr">
        <is>
          <t>2025-08</t>
        </is>
      </c>
      <c r="AK249" s="2" t="inlineStr">
        <is>
          <t>+100 to +120</t>
        </is>
      </c>
      <c r="AL249" s="2" t="inlineStr">
        <is>
          <t>2025 Validation</t>
        </is>
      </c>
      <c r="AM249" s="6" t="n">
        <v>0.1383580623872076</v>
      </c>
    </row>
    <row r="250">
      <c r="A250" s="2" t="inlineStr">
        <is>
          <t>KPROP-00249</t>
        </is>
      </c>
      <c r="B250" s="3" t="n">
        <v>45893.67405092593</v>
      </c>
      <c r="C250" s="3" t="n">
        <v>45893</v>
      </c>
      <c r="D250" s="2" t="inlineStr">
        <is>
          <t>Jacob Lopez</t>
        </is>
      </c>
      <c r="E250" s="2" t="n">
        <v>133</v>
      </c>
      <c r="F250" s="2" t="n">
        <v>136</v>
      </c>
      <c r="G250" s="2" t="inlineStr">
        <is>
          <t>Away</t>
        </is>
      </c>
      <c r="H250" s="2" t="inlineStr">
        <is>
          <t>fanatics</t>
        </is>
      </c>
      <c r="I250" s="4" t="n"/>
      <c r="J250" s="4" t="n"/>
      <c r="K250" s="4" t="n">
        <v>-115</v>
      </c>
      <c r="L250" s="4" t="n">
        <v>-115</v>
      </c>
      <c r="M250" s="5" t="n">
        <v>6.5</v>
      </c>
      <c r="N250" s="5" t="n">
        <v>6.013622836990441</v>
      </c>
      <c r="O250" s="5" t="n">
        <v>6.5</v>
      </c>
      <c r="P250" s="5" t="n">
        <v>0.4863771630095588</v>
      </c>
      <c r="Q250" s="6" t="n">
        <v>0.1294317384752456</v>
      </c>
      <c r="R250" s="6" t="n">
        <v>0.6041146508123407</v>
      </c>
      <c r="S250" s="6" t="n">
        <v>0.5230171935662784</v>
      </c>
      <c r="T250" s="2" t="inlineStr">
        <is>
          <t>Under</t>
        </is>
      </c>
      <c r="U250" s="4" t="n">
        <v>-115</v>
      </c>
      <c r="V250" s="2" t="n">
        <v>1.869565217391304</v>
      </c>
      <c r="W250" s="4" t="n">
        <v>-115</v>
      </c>
      <c r="X250" s="2" t="n">
        <v>1</v>
      </c>
      <c r="Y250" s="5" t="n">
        <v>0.8695652173913042</v>
      </c>
      <c r="Z250" s="7" t="n">
        <v>100</v>
      </c>
      <c r="AA250" s="7">
        <f>Y250*Z250</f>
        <v/>
      </c>
      <c r="AB250" s="6">
        <f>IF(Z250=0,0,AA250/Z250)</f>
        <v/>
      </c>
      <c r="AC250" s="6" t="n"/>
      <c r="AD250" s="2" t="inlineStr">
        <is>
          <t>Win</t>
        </is>
      </c>
      <c r="AE250" s="6">
        <f>IF((COUNTIF($AD$2:AD250,"Win")+COUNTIF($AD$2:AD250,"Loss"))=0,0,COUNTIF($AD$2:AD250,"Win")/(COUNTIF($AD$2:AD250,"Win")+COUNTIF($AD$2:AD250,"Loss")))</f>
        <v/>
      </c>
      <c r="AF250" s="6">
        <f>SUM($Y$2:Y250)/SUM($X$2:X250)</f>
        <v/>
      </c>
      <c r="AG250" s="5">
        <f>SUM($Y$2:Y250)</f>
        <v/>
      </c>
      <c r="AH250" s="7">
        <f>10000.0+SUM($AA$2:AA250)</f>
        <v/>
      </c>
      <c r="AI250" s="2" t="n">
        <v>2025</v>
      </c>
      <c r="AJ250" s="2" t="inlineStr">
        <is>
          <t>2025-08</t>
        </is>
      </c>
      <c r="AK250" s="2" t="inlineStr">
        <is>
          <t>-119 to -101</t>
        </is>
      </c>
      <c r="AL250" s="2" t="inlineStr">
        <is>
          <t>2025 Validation</t>
        </is>
      </c>
      <c r="AM250" s="6" t="n">
        <v>0.1488464992465325</v>
      </c>
    </row>
    <row r="251">
      <c r="A251" s="2" t="inlineStr">
        <is>
          <t>KPROP-00250</t>
        </is>
      </c>
      <c r="B251" s="3" t="n">
        <v>45893.56988425926</v>
      </c>
      <c r="C251" s="3" t="n">
        <v>45893</v>
      </c>
      <c r="D251" s="2" t="inlineStr">
        <is>
          <t>Kevin Gausman</t>
        </is>
      </c>
      <c r="E251" s="2" t="n">
        <v>141</v>
      </c>
      <c r="F251" s="2" t="n">
        <v>146</v>
      </c>
      <c r="G251" s="2" t="inlineStr">
        <is>
          <t>Away</t>
        </is>
      </c>
      <c r="H251" s="2" t="inlineStr">
        <is>
          <t>draftkings</t>
        </is>
      </c>
      <c r="I251" s="4" t="n"/>
      <c r="J251" s="4" t="n"/>
      <c r="K251" s="4" t="n">
        <v>-135</v>
      </c>
      <c r="L251" s="4" t="n">
        <v>-135</v>
      </c>
      <c r="M251" s="5" t="n">
        <v>5.5</v>
      </c>
      <c r="N251" s="5" t="n">
        <v>5.005159235564281</v>
      </c>
      <c r="O251" s="5" t="n">
        <v>5.5</v>
      </c>
      <c r="P251" s="5" t="n">
        <v>0.4948407644357191</v>
      </c>
      <c r="Q251" s="6" t="n">
        <v>0.07065195454241169</v>
      </c>
      <c r="R251" s="6" t="n">
        <v>0.6150553781413854</v>
      </c>
      <c r="S251" s="6" t="n">
        <v>0.552594002855783</v>
      </c>
      <c r="T251" s="2" t="inlineStr">
        <is>
          <t>Under</t>
        </is>
      </c>
      <c r="U251" s="4" t="n">
        <v>-135</v>
      </c>
      <c r="V251" s="2" t="n">
        <v>1.740740740740741</v>
      </c>
      <c r="W251" s="4" t="n">
        <v>-135</v>
      </c>
      <c r="X251" s="2" t="n">
        <v>1</v>
      </c>
      <c r="Y251" s="5" t="n">
        <v>-1</v>
      </c>
      <c r="Z251" s="7" t="n">
        <v>100</v>
      </c>
      <c r="AA251" s="7">
        <f>Y251*Z251</f>
        <v/>
      </c>
      <c r="AB251" s="6">
        <f>IF(Z251=0,0,AA251/Z251)</f>
        <v/>
      </c>
      <c r="AC251" s="6" t="n"/>
      <c r="AD251" s="2" t="inlineStr">
        <is>
          <t>Loss</t>
        </is>
      </c>
      <c r="AE251" s="6">
        <f>IF((COUNTIF($AD$2:AD251,"Win")+COUNTIF($AD$2:AD251,"Loss"))=0,0,COUNTIF($AD$2:AD251,"Win")/(COUNTIF($AD$2:AD251,"Win")+COUNTIF($AD$2:AD251,"Loss")))</f>
        <v/>
      </c>
      <c r="AF251" s="6">
        <f>SUM($Y$2:Y251)/SUM($X$2:X251)</f>
        <v/>
      </c>
      <c r="AG251" s="5">
        <f>SUM($Y$2:Y251)</f>
        <v/>
      </c>
      <c r="AH251" s="7">
        <f>10000.0+SUM($AA$2:AA251)</f>
        <v/>
      </c>
      <c r="AI251" s="2" t="n">
        <v>2025</v>
      </c>
      <c r="AJ251" s="2" t="inlineStr">
        <is>
          <t>2025-08</t>
        </is>
      </c>
      <c r="AK251" s="2" t="inlineStr">
        <is>
          <t>-149 to -120</t>
        </is>
      </c>
      <c r="AL251" s="2" t="inlineStr">
        <is>
          <t>2025 Validation</t>
        </is>
      </c>
      <c r="AM251" s="6" t="n">
        <v>0.09538013863225578</v>
      </c>
    </row>
    <row r="252">
      <c r="A252" s="2" t="inlineStr">
        <is>
          <t>KPROP-00251</t>
        </is>
      </c>
      <c r="B252" s="3" t="n">
        <v>45893.67405092593</v>
      </c>
      <c r="C252" s="3" t="n">
        <v>45893</v>
      </c>
      <c r="D252" s="2" t="inlineStr">
        <is>
          <t>Logan Gilbert</t>
        </is>
      </c>
      <c r="E252" s="2" t="n">
        <v>136</v>
      </c>
      <c r="F252" s="2" t="n">
        <v>133</v>
      </c>
      <c r="G252" s="2" t="inlineStr">
        <is>
          <t>Home</t>
        </is>
      </c>
      <c r="H252" s="2" t="inlineStr">
        <is>
          <t>bovada</t>
        </is>
      </c>
      <c r="I252" s="4" t="n"/>
      <c r="J252" s="4" t="n"/>
      <c r="K252" s="4" t="n">
        <v>125</v>
      </c>
      <c r="L252" s="4" t="n">
        <v>125</v>
      </c>
      <c r="M252" s="5" t="n">
        <v>6.5</v>
      </c>
      <c r="N252" s="5" t="n">
        <v>5.613472547850177</v>
      </c>
      <c r="O252" s="5" t="n">
        <v>6.5</v>
      </c>
      <c r="P252" s="5" t="n">
        <v>0.8865274521498234</v>
      </c>
      <c r="Q252" s="6" t="n">
        <v>0.5032762413088081</v>
      </c>
      <c r="R252" s="6" t="n">
        <v>0.6681227739150258</v>
      </c>
      <c r="S252" s="6" t="n">
        <v>0.4288840262582057</v>
      </c>
      <c r="T252" s="2" t="inlineStr">
        <is>
          <t>Under</t>
        </is>
      </c>
      <c r="U252" s="4" t="n">
        <v>125</v>
      </c>
      <c r="V252" s="2" t="n">
        <v>2.25</v>
      </c>
      <c r="W252" s="4" t="n">
        <v>125</v>
      </c>
      <c r="X252" s="2" t="n">
        <v>1</v>
      </c>
      <c r="Y252" s="5" t="n">
        <v>-1</v>
      </c>
      <c r="Z252" s="7" t="n">
        <v>100</v>
      </c>
      <c r="AA252" s="7">
        <f>Y252*Z252</f>
        <v/>
      </c>
      <c r="AB252" s="6">
        <f>IF(Z252=0,0,AA252/Z252)</f>
        <v/>
      </c>
      <c r="AC252" s="6" t="n"/>
      <c r="AD252" s="2" t="inlineStr">
        <is>
          <t>Loss</t>
        </is>
      </c>
      <c r="AE252" s="6">
        <f>IF((COUNTIF($AD$2:AD252,"Win")+COUNTIF($AD$2:AD252,"Loss"))=0,0,COUNTIF($AD$2:AD252,"Win")/(COUNTIF($AD$2:AD252,"Win")+COUNTIF($AD$2:AD252,"Loss")))</f>
        <v/>
      </c>
      <c r="AF252" s="6">
        <f>SUM($Y$2:Y252)/SUM($X$2:X252)</f>
        <v/>
      </c>
      <c r="AG252" s="5">
        <f>SUM($Y$2:Y252)</f>
        <v/>
      </c>
      <c r="AH252" s="7">
        <f>10000.0+SUM($AA$2:AA252)</f>
        <v/>
      </c>
      <c r="AI252" s="2" t="n">
        <v>2025</v>
      </c>
      <c r="AJ252" s="2" t="inlineStr">
        <is>
          <t>2025-08</t>
        </is>
      </c>
      <c r="AK252" s="2" t="inlineStr">
        <is>
          <t>+121 to +150</t>
        </is>
      </c>
      <c r="AL252" s="2" t="inlineStr">
        <is>
          <t>2025 Validation</t>
        </is>
      </c>
      <c r="AM252" s="6" t="n">
        <v>0.4026209930470465</v>
      </c>
    </row>
    <row r="253">
      <c r="A253" s="2" t="inlineStr">
        <is>
          <t>KPROP-00252</t>
        </is>
      </c>
      <c r="B253" s="3" t="n">
        <v>45893.67405092593</v>
      </c>
      <c r="C253" s="3" t="n">
        <v>45893</v>
      </c>
      <c r="D253" s="2" t="inlineStr">
        <is>
          <t>Logan Gilbert</t>
        </is>
      </c>
      <c r="E253" s="2" t="n">
        <v>136</v>
      </c>
      <c r="F253" s="2" t="n">
        <v>133</v>
      </c>
      <c r="G253" s="2" t="inlineStr">
        <is>
          <t>Home</t>
        </is>
      </c>
      <c r="H253" s="2" t="inlineStr">
        <is>
          <t>betrivers</t>
        </is>
      </c>
      <c r="I253" s="4" t="n"/>
      <c r="J253" s="4" t="n"/>
      <c r="K253" s="4" t="n">
        <v>-167</v>
      </c>
      <c r="L253" s="4" t="n">
        <v>-167</v>
      </c>
      <c r="M253" s="5" t="n">
        <v>7.5</v>
      </c>
      <c r="N253" s="5" t="n">
        <v>5.613472547850177</v>
      </c>
      <c r="O253" s="5" t="n">
        <v>7.5</v>
      </c>
      <c r="P253" s="5" t="n">
        <v>1.886527452149823</v>
      </c>
      <c r="Q253" s="6" t="n">
        <v>0.2714719249660695</v>
      </c>
      <c r="R253" s="6" t="n">
        <v>0.7952652114956316</v>
      </c>
      <c r="S253" s="6" t="n">
        <v>0.5791298865069356</v>
      </c>
      <c r="T253" s="2" t="inlineStr">
        <is>
          <t>Under</t>
        </is>
      </c>
      <c r="U253" s="4" t="n">
        <v>-167</v>
      </c>
      <c r="V253" s="2" t="n">
        <v>1.598802395209581</v>
      </c>
      <c r="W253" s="4" t="n">
        <v>-167</v>
      </c>
      <c r="X253" s="2" t="n">
        <v>1</v>
      </c>
      <c r="Y253" s="5" t="n">
        <v>-1</v>
      </c>
      <c r="Z253" s="7" t="n">
        <v>100</v>
      </c>
      <c r="AA253" s="7">
        <f>Y253*Z253</f>
        <v/>
      </c>
      <c r="AB253" s="6">
        <f>IF(Z253=0,0,AA253/Z253)</f>
        <v/>
      </c>
      <c r="AC253" s="6" t="n"/>
      <c r="AD253" s="2" t="inlineStr">
        <is>
          <t>Loss</t>
        </is>
      </c>
      <c r="AE253" s="6">
        <f>IF((COUNTIF($AD$2:AD253,"Win")+COUNTIF($AD$2:AD253,"Loss"))=0,0,COUNTIF($AD$2:AD253,"Win")/(COUNTIF($AD$2:AD253,"Win")+COUNTIF($AD$2:AD253,"Loss")))</f>
        <v/>
      </c>
      <c r="AF253" s="6">
        <f>SUM($Y$2:Y253)/SUM($X$2:X253)</f>
        <v/>
      </c>
      <c r="AG253" s="5">
        <f>SUM($Y$2:Y253)</f>
        <v/>
      </c>
      <c r="AH253" s="7">
        <f>10000.0+SUM($AA$2:AA253)</f>
        <v/>
      </c>
      <c r="AI253" s="2" t="n">
        <v>2025</v>
      </c>
      <c r="AJ253" s="2" t="inlineStr">
        <is>
          <t>2025-08</t>
        </is>
      </c>
      <c r="AK253" s="2" t="inlineStr">
        <is>
          <t>&lt;= -150</t>
        </is>
      </c>
      <c r="AL253" s="2" t="inlineStr">
        <is>
          <t>2025 Validation</t>
        </is>
      </c>
      <c r="AM253" s="6" t="n">
        <v>0.4533581146933361</v>
      </c>
    </row>
    <row r="254">
      <c r="A254" s="2" t="inlineStr">
        <is>
          <t>KPROP-00253</t>
        </is>
      </c>
      <c r="B254" s="3" t="n">
        <v>45893.50739583333</v>
      </c>
      <c r="C254" s="3" t="n">
        <v>45893</v>
      </c>
      <c r="D254" s="2" t="inlineStr">
        <is>
          <t>Matthew Liberatore</t>
        </is>
      </c>
      <c r="E254" s="2" t="n">
        <v>138</v>
      </c>
      <c r="F254" s="2" t="n">
        <v>139</v>
      </c>
      <c r="G254" s="2" t="inlineStr">
        <is>
          <t>Away</t>
        </is>
      </c>
      <c r="H254" s="2" t="inlineStr">
        <is>
          <t>bovada</t>
        </is>
      </c>
      <c r="I254" s="4" t="n"/>
      <c r="J254" s="4" t="n"/>
      <c r="K254" s="4" t="n">
        <v>-130</v>
      </c>
      <c r="L254" s="4" t="n">
        <v>-130</v>
      </c>
      <c r="M254" s="5" t="n">
        <v>4.5</v>
      </c>
      <c r="N254" s="5" t="n">
        <v>3.665444478216291</v>
      </c>
      <c r="O254" s="5" t="n">
        <v>4.5</v>
      </c>
      <c r="P254" s="5" t="n">
        <v>0.8345555217837086</v>
      </c>
      <c r="Q254" s="6" t="n">
        <v>0.227635862418568</v>
      </c>
      <c r="R254" s="6" t="n">
        <v>0.6938811396278863</v>
      </c>
      <c r="S254" s="6" t="n">
        <v>0.5427435387673957</v>
      </c>
      <c r="T254" s="2" t="inlineStr">
        <is>
          <t>Under</t>
        </is>
      </c>
      <c r="U254" s="4" t="n">
        <v>-130</v>
      </c>
      <c r="V254" s="2" t="n">
        <v>1.769230769230769</v>
      </c>
      <c r="W254" s="4" t="n">
        <v>-130</v>
      </c>
      <c r="X254" s="2" t="n">
        <v>1</v>
      </c>
      <c r="Y254" s="5" t="n">
        <v>-1</v>
      </c>
      <c r="Z254" s="7" t="n">
        <v>100</v>
      </c>
      <c r="AA254" s="7">
        <f>Y254*Z254</f>
        <v/>
      </c>
      <c r="AB254" s="6">
        <f>IF(Z254=0,0,AA254/Z254)</f>
        <v/>
      </c>
      <c r="AC254" s="6" t="n"/>
      <c r="AD254" s="2" t="inlineStr">
        <is>
          <t>Loss</t>
        </is>
      </c>
      <c r="AE254" s="6">
        <f>IF((COUNTIF($AD$2:AD254,"Win")+COUNTIF($AD$2:AD254,"Loss"))=0,0,COUNTIF($AD$2:AD254,"Win")/(COUNTIF($AD$2:AD254,"Win")+COUNTIF($AD$2:AD254,"Loss")))</f>
        <v/>
      </c>
      <c r="AF254" s="6">
        <f>SUM($Y$2:Y254)/SUM($X$2:X254)</f>
        <v/>
      </c>
      <c r="AG254" s="5">
        <f>SUM($Y$2:Y254)</f>
        <v/>
      </c>
      <c r="AH254" s="7">
        <f>10000.0+SUM($AA$2:AA254)</f>
        <v/>
      </c>
      <c r="AI254" s="2" t="n">
        <v>2025</v>
      </c>
      <c r="AJ254" s="2" t="inlineStr">
        <is>
          <t>2025-08</t>
        </is>
      </c>
      <c r="AK254" s="2" t="inlineStr">
        <is>
          <t>-149 to -120</t>
        </is>
      </c>
      <c r="AL254" s="2" t="inlineStr">
        <is>
          <t>2025 Validation</t>
        </is>
      </c>
      <c r="AM254" s="6" t="n">
        <v>0.2959266211441385</v>
      </c>
    </row>
    <row r="255">
      <c r="A255" s="2" t="inlineStr">
        <is>
          <t>KPROP-00254</t>
        </is>
      </c>
      <c r="B255" s="3" t="n">
        <v>45893.60809027778</v>
      </c>
      <c r="C255" s="3" t="n">
        <v>45893</v>
      </c>
      <c r="D255" s="2" t="inlineStr">
        <is>
          <t>Merrill Kelly</t>
        </is>
      </c>
      <c r="E255" s="2" t="n">
        <v>140</v>
      </c>
      <c r="F255" s="2" t="n">
        <v>114</v>
      </c>
      <c r="G255" s="2" t="inlineStr">
        <is>
          <t>Home</t>
        </is>
      </c>
      <c r="H255" s="2" t="inlineStr">
        <is>
          <t>betonlineag</t>
        </is>
      </c>
      <c r="I255" s="4" t="n"/>
      <c r="J255" s="4" t="n"/>
      <c r="K255" s="4" t="n">
        <v>141</v>
      </c>
      <c r="L255" s="4" t="n">
        <v>141</v>
      </c>
      <c r="M255" s="5" t="n">
        <v>4.5</v>
      </c>
      <c r="N255" s="5" t="n">
        <v>4.891884247385573</v>
      </c>
      <c r="O255" s="5" t="n">
        <v>4.5</v>
      </c>
      <c r="P255" s="5" t="n">
        <v>-0.3918842473855726</v>
      </c>
      <c r="Q255" s="6" t="n">
        <v>0.1077916571209935</v>
      </c>
      <c r="R255" s="6" t="n">
        <v>0.4596645880170097</v>
      </c>
      <c r="S255" s="6" t="n">
        <v>0.4121456808814871</v>
      </c>
      <c r="T255" s="2" t="inlineStr">
        <is>
          <t>Under</t>
        </is>
      </c>
      <c r="U255" s="4" t="n">
        <v>141</v>
      </c>
      <c r="V255" s="2" t="n">
        <v>2.41</v>
      </c>
      <c r="W255" s="4" t="n">
        <v>141</v>
      </c>
      <c r="X255" s="2" t="n">
        <v>1</v>
      </c>
      <c r="Y255" s="5" t="n">
        <v>-1</v>
      </c>
      <c r="Z255" s="7" t="n">
        <v>100</v>
      </c>
      <c r="AA255" s="7">
        <f>Y255*Z255</f>
        <v/>
      </c>
      <c r="AB255" s="6">
        <f>IF(Z255=0,0,AA255/Z255)</f>
        <v/>
      </c>
      <c r="AC255" s="6" t="n"/>
      <c r="AD255" s="2" t="inlineStr">
        <is>
          <t>Loss</t>
        </is>
      </c>
      <c r="AE255" s="6">
        <f>IF((COUNTIF($AD$2:AD255,"Win")+COUNTIF($AD$2:AD255,"Loss"))=0,0,COUNTIF($AD$2:AD255,"Win")/(COUNTIF($AD$2:AD255,"Win")+COUNTIF($AD$2:AD255,"Loss")))</f>
        <v/>
      </c>
      <c r="AF255" s="6">
        <f>SUM($Y$2:Y255)/SUM($X$2:X255)</f>
        <v/>
      </c>
      <c r="AG255" s="5">
        <f>SUM($Y$2:Y255)</f>
        <v/>
      </c>
      <c r="AH255" s="7">
        <f>10000.0+SUM($AA$2:AA255)</f>
        <v/>
      </c>
      <c r="AI255" s="2" t="n">
        <v>2025</v>
      </c>
      <c r="AJ255" s="2" t="inlineStr">
        <is>
          <t>2025-08</t>
        </is>
      </c>
      <c r="AK255" s="2" t="inlineStr">
        <is>
          <t>+121 to +150</t>
        </is>
      </c>
      <c r="AL255" s="2" t="inlineStr">
        <is>
          <t>2025 Validation</t>
        </is>
      </c>
      <c r="AM255" s="6" t="n">
        <v>0.07644798377375424</v>
      </c>
    </row>
    <row r="256">
      <c r="A256" s="2" t="inlineStr">
        <is>
          <t>KPROP-00255</t>
        </is>
      </c>
      <c r="B256" s="3" t="n">
        <v>45893.50391203703</v>
      </c>
      <c r="C256" s="3" t="n">
        <v>45893</v>
      </c>
      <c r="D256" s="2" t="inlineStr">
        <is>
          <t>Paul Skenes</t>
        </is>
      </c>
      <c r="E256" s="2" t="n">
        <v>134</v>
      </c>
      <c r="F256" s="2" t="n">
        <v>115</v>
      </c>
      <c r="G256" s="2" t="inlineStr">
        <is>
          <t>Home</t>
        </is>
      </c>
      <c r="H256" s="2" t="inlineStr">
        <is>
          <t>draftkings</t>
        </is>
      </c>
      <c r="I256" s="4" t="n"/>
      <c r="J256" s="4" t="n"/>
      <c r="K256" s="4" t="n">
        <v>120</v>
      </c>
      <c r="L256" s="4" t="n">
        <v>120</v>
      </c>
      <c r="M256" s="5" t="n">
        <v>7.5</v>
      </c>
      <c r="N256" s="5" t="n">
        <v>7.747973549157048</v>
      </c>
      <c r="O256" s="5" t="n">
        <v>7.5</v>
      </c>
      <c r="P256" s="5" t="n">
        <v>-0.2479735491570478</v>
      </c>
      <c r="Q256" s="6" t="n">
        <v>0.07504754421814308</v>
      </c>
      <c r="R256" s="6" t="n">
        <v>0.4886579746446105</v>
      </c>
      <c r="S256" s="6" t="n">
        <v>0.4425113464447806</v>
      </c>
      <c r="T256" s="2" t="inlineStr">
        <is>
          <t>Under</t>
        </is>
      </c>
      <c r="U256" s="4" t="n">
        <v>120</v>
      </c>
      <c r="V256" s="2" t="n">
        <v>2.2</v>
      </c>
      <c r="W256" s="4" t="n">
        <v>120</v>
      </c>
      <c r="X256" s="2" t="n">
        <v>1</v>
      </c>
      <c r="Y256" s="5" t="n">
        <v>1.2</v>
      </c>
      <c r="Z256" s="7" t="n">
        <v>100</v>
      </c>
      <c r="AA256" s="7">
        <f>Y256*Z256</f>
        <v/>
      </c>
      <c r="AB256" s="6">
        <f>IF(Z256=0,0,AA256/Z256)</f>
        <v/>
      </c>
      <c r="AC256" s="6" t="n"/>
      <c r="AD256" s="2" t="inlineStr">
        <is>
          <t>Win</t>
        </is>
      </c>
      <c r="AE256" s="6">
        <f>IF((COUNTIF($AD$2:AD256,"Win")+COUNTIF($AD$2:AD256,"Loss"))=0,0,COUNTIF($AD$2:AD256,"Win")/(COUNTIF($AD$2:AD256,"Win")+COUNTIF($AD$2:AD256,"Loss")))</f>
        <v/>
      </c>
      <c r="AF256" s="6">
        <f>SUM($Y$2:Y256)/SUM($X$2:X256)</f>
        <v/>
      </c>
      <c r="AG256" s="5">
        <f>SUM($Y$2:Y256)</f>
        <v/>
      </c>
      <c r="AH256" s="7">
        <f>10000.0+SUM($AA$2:AA256)</f>
        <v/>
      </c>
      <c r="AI256" s="2" t="n">
        <v>2025</v>
      </c>
      <c r="AJ256" s="2" t="inlineStr">
        <is>
          <t>2025-08</t>
        </is>
      </c>
      <c r="AK256" s="2" t="inlineStr">
        <is>
          <t>+100 to +120</t>
        </is>
      </c>
      <c r="AL256" s="2" t="inlineStr">
        <is>
          <t>2025 Validation</t>
        </is>
      </c>
      <c r="AM256" s="6" t="n">
        <v>0.0625396201817859</v>
      </c>
    </row>
    <row r="257">
      <c r="A257" s="2" t="inlineStr">
        <is>
          <t>KPROP-00256</t>
        </is>
      </c>
      <c r="B257" s="3" t="n">
        <v>45893.56642361111</v>
      </c>
      <c r="C257" s="3" t="n">
        <v>45893</v>
      </c>
      <c r="D257" s="2" t="inlineStr">
        <is>
          <t>Ranger Suarez</t>
        </is>
      </c>
      <c r="E257" s="2" t="n">
        <v>143</v>
      </c>
      <c r="F257" s="2" t="n">
        <v>120</v>
      </c>
      <c r="G257" s="2" t="inlineStr">
        <is>
          <t>Home</t>
        </is>
      </c>
      <c r="H257" s="2" t="inlineStr">
        <is>
          <t>draftkings</t>
        </is>
      </c>
      <c r="I257" s="4" t="n"/>
      <c r="J257" s="4" t="n"/>
      <c r="K257" s="4" t="n">
        <v>-125</v>
      </c>
      <c r="L257" s="4" t="n">
        <v>-125</v>
      </c>
      <c r="M257" s="5" t="n">
        <v>6.5</v>
      </c>
      <c r="N257" s="5" t="n">
        <v>5.165604015444984</v>
      </c>
      <c r="O257" s="5" t="n">
        <v>6.5</v>
      </c>
      <c r="P257" s="5" t="n">
        <v>1.334395984555016</v>
      </c>
      <c r="Q257" s="6" t="n">
        <v>0.3276613997363763</v>
      </c>
      <c r="R257" s="6" t="n">
        <v>0.7375896665202091</v>
      </c>
      <c r="S257" s="6" t="n">
        <v>0.5384615384615385</v>
      </c>
      <c r="T257" s="2" t="inlineStr">
        <is>
          <t>Under</t>
        </is>
      </c>
      <c r="U257" s="4" t="n">
        <v>-125</v>
      </c>
      <c r="V257" s="2" t="n">
        <v>1.8</v>
      </c>
      <c r="W257" s="4" t="n">
        <v>-125</v>
      </c>
      <c r="X257" s="2" t="n">
        <v>1</v>
      </c>
      <c r="Y257" s="5" t="n">
        <v>-1</v>
      </c>
      <c r="Z257" s="7" t="n">
        <v>100</v>
      </c>
      <c r="AA257" s="7">
        <f>Y257*Z257</f>
        <v/>
      </c>
      <c r="AB257" s="6">
        <f>IF(Z257=0,0,AA257/Z257)</f>
        <v/>
      </c>
      <c r="AC257" s="6" t="n"/>
      <c r="AD257" s="2" t="inlineStr">
        <is>
          <t>Loss</t>
        </is>
      </c>
      <c r="AE257" s="6">
        <f>IF((COUNTIF($AD$2:AD257,"Win")+COUNTIF($AD$2:AD257,"Loss"))=0,0,COUNTIF($AD$2:AD257,"Win")/(COUNTIF($AD$2:AD257,"Win")+COUNTIF($AD$2:AD257,"Loss")))</f>
        <v/>
      </c>
      <c r="AF257" s="6">
        <f>SUM($Y$2:Y257)/SUM($X$2:X257)</f>
        <v/>
      </c>
      <c r="AG257" s="5">
        <f>SUM($Y$2:Y257)</f>
        <v/>
      </c>
      <c r="AH257" s="7">
        <f>10000.0+SUM($AA$2:AA257)</f>
        <v/>
      </c>
      <c r="AI257" s="2" t="n">
        <v>2025</v>
      </c>
      <c r="AJ257" s="2" t="inlineStr">
        <is>
          <t>2025-08</t>
        </is>
      </c>
      <c r="AK257" s="2" t="inlineStr">
        <is>
          <t>-149 to -120</t>
        </is>
      </c>
      <c r="AL257" s="2" t="inlineStr">
        <is>
          <t>2025 Validation</t>
        </is>
      </c>
      <c r="AM257" s="6" t="n">
        <v>0.4095767496704704</v>
      </c>
    </row>
    <row r="258">
      <c r="A258" s="2" t="inlineStr">
        <is>
          <t>KPROP-00257</t>
        </is>
      </c>
      <c r="B258" s="3" t="n">
        <v>45893.58724537037</v>
      </c>
      <c r="C258" s="3" t="n">
        <v>45893</v>
      </c>
      <c r="D258" s="2" t="inlineStr">
        <is>
          <t>Robbie Ray</t>
        </is>
      </c>
      <c r="E258" s="2" t="n">
        <v>137</v>
      </c>
      <c r="F258" s="2" t="n">
        <v>158</v>
      </c>
      <c r="G258" s="2" t="inlineStr">
        <is>
          <t>Away</t>
        </is>
      </c>
      <c r="H258" s="2" t="inlineStr">
        <is>
          <t>betmgm</t>
        </is>
      </c>
      <c r="I258" s="4" t="n"/>
      <c r="J258" s="4" t="n"/>
      <c r="K258" s="4" t="n">
        <v>115</v>
      </c>
      <c r="L258" s="4" t="n">
        <v>115</v>
      </c>
      <c r="M258" s="5" t="n">
        <v>5.5</v>
      </c>
      <c r="N258" s="5" t="n">
        <v>5.325644287156472</v>
      </c>
      <c r="O258" s="5" t="n">
        <v>5.5</v>
      </c>
      <c r="P258" s="5" t="n">
        <v>0.1743557128435285</v>
      </c>
      <c r="Q258" s="6" t="n">
        <v>0.2018838812524927</v>
      </c>
      <c r="R258" s="6" t="n">
        <v>0.5590157587220896</v>
      </c>
      <c r="S258" s="6" t="n">
        <v>0.44362292051756</v>
      </c>
      <c r="T258" s="2" t="inlineStr">
        <is>
          <t>Under</t>
        </is>
      </c>
      <c r="U258" s="4" t="n">
        <v>115</v>
      </c>
      <c r="V258" s="2" t="n">
        <v>2.15</v>
      </c>
      <c r="W258" s="4" t="n">
        <v>115</v>
      </c>
      <c r="X258" s="2" t="n">
        <v>1</v>
      </c>
      <c r="Y258" s="5" t="n">
        <v>1.15</v>
      </c>
      <c r="Z258" s="7" t="n">
        <v>100</v>
      </c>
      <c r="AA258" s="7">
        <f>Y258*Z258</f>
        <v/>
      </c>
      <c r="AB258" s="6">
        <f>IF(Z258=0,0,AA258/Z258)</f>
        <v/>
      </c>
      <c r="AC258" s="6" t="n"/>
      <c r="AD258" s="2" t="inlineStr">
        <is>
          <t>Win</t>
        </is>
      </c>
      <c r="AE258" s="6">
        <f>IF((COUNTIF($AD$2:AD258,"Win")+COUNTIF($AD$2:AD258,"Loss"))=0,0,COUNTIF($AD$2:AD258,"Win")/(COUNTIF($AD$2:AD258,"Win")+COUNTIF($AD$2:AD258,"Loss")))</f>
        <v/>
      </c>
      <c r="AF258" s="6">
        <f>SUM($Y$2:Y258)/SUM($X$2:X258)</f>
        <v/>
      </c>
      <c r="AG258" s="5">
        <f>SUM($Y$2:Y258)</f>
        <v/>
      </c>
      <c r="AH258" s="7">
        <f>10000.0+SUM($AA$2:AA258)</f>
        <v/>
      </c>
      <c r="AI258" s="2" t="n">
        <v>2025</v>
      </c>
      <c r="AJ258" s="2" t="inlineStr">
        <is>
          <t>2025-08</t>
        </is>
      </c>
      <c r="AK258" s="2" t="inlineStr">
        <is>
          <t>+100 to +120</t>
        </is>
      </c>
      <c r="AL258" s="2" t="inlineStr">
        <is>
          <t>2025 Validation</t>
        </is>
      </c>
      <c r="AM258" s="6" t="n">
        <v>0.1755512010891241</v>
      </c>
    </row>
    <row r="259">
      <c r="A259" s="2" t="inlineStr">
        <is>
          <t>KPROP-00258</t>
        </is>
      </c>
      <c r="B259" s="3" t="n">
        <v>45893.56988425926</v>
      </c>
      <c r="C259" s="3" t="n">
        <v>45893</v>
      </c>
      <c r="D259" s="2" t="inlineStr">
        <is>
          <t>Seth Lugo</t>
        </is>
      </c>
      <c r="E259" s="2" t="n">
        <v>118</v>
      </c>
      <c r="F259" s="2" t="n">
        <v>116</v>
      </c>
      <c r="G259" s="2" t="inlineStr">
        <is>
          <t>Away</t>
        </is>
      </c>
      <c r="H259" s="2" t="inlineStr">
        <is>
          <t>betonlineag</t>
        </is>
      </c>
      <c r="I259" s="4" t="n"/>
      <c r="J259" s="4" t="n"/>
      <c r="K259" s="4" t="n">
        <v>128</v>
      </c>
      <c r="L259" s="4" t="n">
        <v>128</v>
      </c>
      <c r="M259" s="5" t="n">
        <v>4.5</v>
      </c>
      <c r="N259" s="5" t="n">
        <v>4.586034685616952</v>
      </c>
      <c r="O259" s="5" t="n">
        <v>4.5</v>
      </c>
      <c r="P259" s="5" t="n">
        <v>-0.08603468561695227</v>
      </c>
      <c r="Q259" s="6" t="n">
        <v>0.176149981105438</v>
      </c>
      <c r="R259" s="6" t="n">
        <v>0.5158552548708061</v>
      </c>
      <c r="S259" s="6" t="n">
        <v>0.4256428075052119</v>
      </c>
      <c r="T259" s="2" t="inlineStr">
        <is>
          <t>Under</t>
        </is>
      </c>
      <c r="U259" s="4" t="n">
        <v>128</v>
      </c>
      <c r="V259" s="2" t="n">
        <v>2.28</v>
      </c>
      <c r="W259" s="4" t="n">
        <v>128</v>
      </c>
      <c r="X259" s="2" t="n">
        <v>1</v>
      </c>
      <c r="Y259" s="5" t="n">
        <v>-1</v>
      </c>
      <c r="Z259" s="7" t="n">
        <v>100</v>
      </c>
      <c r="AA259" s="7">
        <f>Y259*Z259</f>
        <v/>
      </c>
      <c r="AB259" s="6">
        <f>IF(Z259=0,0,AA259/Z259)</f>
        <v/>
      </c>
      <c r="AC259" s="6" t="n"/>
      <c r="AD259" s="2" t="inlineStr">
        <is>
          <t>Loss</t>
        </is>
      </c>
      <c r="AE259" s="6">
        <f>IF((COUNTIF($AD$2:AD259,"Win")+COUNTIF($AD$2:AD259,"Loss"))=0,0,COUNTIF($AD$2:AD259,"Win")/(COUNTIF($AD$2:AD259,"Win")+COUNTIF($AD$2:AD259,"Loss")))</f>
        <v/>
      </c>
      <c r="AF259" s="6">
        <f>SUM($Y$2:Y259)/SUM($X$2:X259)</f>
        <v/>
      </c>
      <c r="AG259" s="5">
        <f>SUM($Y$2:Y259)</f>
        <v/>
      </c>
      <c r="AH259" s="7">
        <f>10000.0+SUM($AA$2:AA259)</f>
        <v/>
      </c>
      <c r="AI259" s="2" t="n">
        <v>2025</v>
      </c>
      <c r="AJ259" s="2" t="inlineStr">
        <is>
          <t>2025-08</t>
        </is>
      </c>
      <c r="AK259" s="2" t="inlineStr">
        <is>
          <t>+121 to +150</t>
        </is>
      </c>
      <c r="AL259" s="2" t="inlineStr">
        <is>
          <t>2025 Validation</t>
        </is>
      </c>
      <c r="AM259" s="6" t="n">
        <v>0.1376171727386234</v>
      </c>
    </row>
    <row r="260">
      <c r="A260" s="2" t="inlineStr">
        <is>
          <t>KPROP-00259</t>
        </is>
      </c>
      <c r="B260" s="3" t="n">
        <v>45893.67405092593</v>
      </c>
      <c r="C260" s="3" t="n">
        <v>45893</v>
      </c>
      <c r="D260" s="2" t="inlineStr">
        <is>
          <t>Zac Gallen</t>
        </is>
      </c>
      <c r="E260" s="2" t="n">
        <v>109</v>
      </c>
      <c r="F260" s="2" t="n">
        <v>113</v>
      </c>
      <c r="G260" s="2" t="inlineStr">
        <is>
          <t>Home</t>
        </is>
      </c>
      <c r="H260" s="2" t="inlineStr">
        <is>
          <t>draftkings</t>
        </is>
      </c>
      <c r="I260" s="4" t="n"/>
      <c r="J260" s="4" t="n"/>
      <c r="K260" s="4" t="n">
        <v>125</v>
      </c>
      <c r="L260" s="4" t="n">
        <v>125</v>
      </c>
      <c r="M260" s="5" t="n">
        <v>4.5</v>
      </c>
      <c r="N260" s="5" t="n">
        <v>4.6439556162283</v>
      </c>
      <c r="O260" s="5" t="n">
        <v>4.5</v>
      </c>
      <c r="P260" s="5" t="n">
        <v>-0.1439556162283004</v>
      </c>
      <c r="Q260" s="6" t="n">
        <v>0.1362841689267802</v>
      </c>
      <c r="R260" s="6" t="n">
        <v>0.5050151861896801</v>
      </c>
      <c r="S260" s="6" t="n">
        <v>0.4255319148936171</v>
      </c>
      <c r="T260" s="2" t="inlineStr">
        <is>
          <t>Under</t>
        </is>
      </c>
      <c r="U260" s="4" t="n">
        <v>125</v>
      </c>
      <c r="V260" s="2" t="n">
        <v>2.25</v>
      </c>
      <c r="W260" s="4" t="n">
        <v>125</v>
      </c>
      <c r="X260" s="2" t="n">
        <v>1</v>
      </c>
      <c r="Y260" s="5" t="n">
        <v>-1</v>
      </c>
      <c r="Z260" s="7" t="n">
        <v>100</v>
      </c>
      <c r="AA260" s="7">
        <f>Y260*Z260</f>
        <v/>
      </c>
      <c r="AB260" s="6">
        <f>IF(Z260=0,0,AA260/Z260)</f>
        <v/>
      </c>
      <c r="AC260" s="6" t="n"/>
      <c r="AD260" s="2" t="inlineStr">
        <is>
          <t>Loss</t>
        </is>
      </c>
      <c r="AE260" s="6">
        <f>IF((COUNTIF($AD$2:AD260,"Win")+COUNTIF($AD$2:AD260,"Loss"))=0,0,COUNTIF($AD$2:AD260,"Win")/(COUNTIF($AD$2:AD260,"Win")+COUNTIF($AD$2:AD260,"Loss")))</f>
        <v/>
      </c>
      <c r="AF260" s="6">
        <f>SUM($Y$2:Y260)/SUM($X$2:X260)</f>
        <v/>
      </c>
      <c r="AG260" s="5">
        <f>SUM($Y$2:Y260)</f>
        <v/>
      </c>
      <c r="AH260" s="7">
        <f>10000.0+SUM($AA$2:AA260)</f>
        <v/>
      </c>
      <c r="AI260" s="2" t="n">
        <v>2025</v>
      </c>
      <c r="AJ260" s="2" t="inlineStr">
        <is>
          <t>2025-08</t>
        </is>
      </c>
      <c r="AK260" s="2" t="inlineStr">
        <is>
          <t>+121 to +150</t>
        </is>
      </c>
      <c r="AL260" s="2" t="inlineStr">
        <is>
          <t>2025 Validation</t>
        </is>
      </c>
      <c r="AM260" s="6" t="n">
        <v>0.1090273351414242</v>
      </c>
    </row>
    <row r="261">
      <c r="A261" s="2" t="inlineStr">
        <is>
          <t>KPROP-00260</t>
        </is>
      </c>
      <c r="B261" s="3" t="n">
        <v>45894.81642361111</v>
      </c>
      <c r="C261" s="3" t="n">
        <v>45894</v>
      </c>
      <c r="D261" s="2" t="inlineStr">
        <is>
          <t>Brandon Woodruff</t>
        </is>
      </c>
      <c r="E261" s="2" t="n">
        <v>158</v>
      </c>
      <c r="F261" s="2" t="n">
        <v>109</v>
      </c>
      <c r="G261" s="2" t="inlineStr">
        <is>
          <t>Home</t>
        </is>
      </c>
      <c r="H261" s="2" t="inlineStr">
        <is>
          <t>betrivers</t>
        </is>
      </c>
      <c r="I261" s="4" t="n"/>
      <c r="J261" s="4" t="n"/>
      <c r="K261" s="4" t="n">
        <v>130</v>
      </c>
      <c r="L261" s="4" t="n">
        <v>130</v>
      </c>
      <c r="M261" s="5" t="n">
        <v>5.5</v>
      </c>
      <c r="N261" s="5" t="n">
        <v>5.501401776462046</v>
      </c>
      <c r="O261" s="5" t="n">
        <v>5.5</v>
      </c>
      <c r="P261" s="5" t="n">
        <v>-0.0014017764620462</v>
      </c>
      <c r="Q261" s="6" t="n">
        <v>0.2159604037261833</v>
      </c>
      <c r="R261" s="6" t="n">
        <v>0.5286784364026884</v>
      </c>
      <c r="S261" s="6" t="n">
        <v>0.4025121324578932</v>
      </c>
      <c r="T261" s="2" t="inlineStr">
        <is>
          <t>Under</t>
        </is>
      </c>
      <c r="U261" s="4" t="n">
        <v>130</v>
      </c>
      <c r="V261" s="2" t="n">
        <v>2.3</v>
      </c>
      <c r="W261" s="4" t="n">
        <v>130</v>
      </c>
      <c r="X261" s="2" t="n">
        <v>1</v>
      </c>
      <c r="Y261" s="5" t="n">
        <v>-1</v>
      </c>
      <c r="Z261" s="7" t="n">
        <v>100</v>
      </c>
      <c r="AA261" s="7">
        <f>Y261*Z261</f>
        <v/>
      </c>
      <c r="AB261" s="6">
        <f>IF(Z261=0,0,AA261/Z261)</f>
        <v/>
      </c>
      <c r="AC261" s="6" t="n"/>
      <c r="AD261" s="2" t="inlineStr">
        <is>
          <t>Loss</t>
        </is>
      </c>
      <c r="AE261" s="6">
        <f>IF((COUNTIF($AD$2:AD261,"Win")+COUNTIF($AD$2:AD261,"Loss"))=0,0,COUNTIF($AD$2:AD261,"Win")/(COUNTIF($AD$2:AD261,"Win")+COUNTIF($AD$2:AD261,"Loss")))</f>
        <v/>
      </c>
      <c r="AF261" s="6">
        <f>SUM($Y$2:Y261)/SUM($X$2:X261)</f>
        <v/>
      </c>
      <c r="AG261" s="5">
        <f>SUM($Y$2:Y261)</f>
        <v/>
      </c>
      <c r="AH261" s="7">
        <f>10000.0+SUM($AA$2:AA261)</f>
        <v/>
      </c>
      <c r="AI261" s="2" t="n">
        <v>2025</v>
      </c>
      <c r="AJ261" s="2" t="inlineStr">
        <is>
          <t>2025-08</t>
        </is>
      </c>
      <c r="AK261" s="2" t="inlineStr">
        <is>
          <t>+121 to +150</t>
        </is>
      </c>
      <c r="AL261" s="2" t="inlineStr">
        <is>
          <t>2025 Validation</t>
        </is>
      </c>
      <c r="AM261" s="6" t="n">
        <v>0.1661233874816795</v>
      </c>
    </row>
    <row r="262">
      <c r="A262" s="2" t="inlineStr">
        <is>
          <t>KPROP-00261</t>
        </is>
      </c>
      <c r="B262" s="3" t="n">
        <v>45894.81642361111</v>
      </c>
      <c r="C262" s="3" t="n">
        <v>45894</v>
      </c>
      <c r="D262" s="2" t="inlineStr">
        <is>
          <t>Brandon Woodruff</t>
        </is>
      </c>
      <c r="E262" s="2" t="n">
        <v>158</v>
      </c>
      <c r="F262" s="2" t="n">
        <v>109</v>
      </c>
      <c r="G262" s="2" t="inlineStr">
        <is>
          <t>Home</t>
        </is>
      </c>
      <c r="H262" s="2" t="inlineStr">
        <is>
          <t>draftkings</t>
        </is>
      </c>
      <c r="I262" s="4" t="n"/>
      <c r="J262" s="4" t="n"/>
      <c r="K262" s="4" t="n">
        <v>-120</v>
      </c>
      <c r="L262" s="4" t="n">
        <v>-120</v>
      </c>
      <c r="M262" s="5" t="n">
        <v>6.5</v>
      </c>
      <c r="N262" s="5" t="n">
        <v>5.501401776462046</v>
      </c>
      <c r="O262" s="5" t="n">
        <v>6.5</v>
      </c>
      <c r="P262" s="5" t="n">
        <v>0.9985982235379538</v>
      </c>
      <c r="Q262" s="6" t="n">
        <v>0.2573288253873914</v>
      </c>
      <c r="R262" s="6" t="n">
        <v>0.6858157229385771</v>
      </c>
      <c r="S262" s="6" t="n">
        <v>0.5338983050847457</v>
      </c>
      <c r="T262" s="2" t="inlineStr">
        <is>
          <t>Under</t>
        </is>
      </c>
      <c r="U262" s="4" t="n">
        <v>-120</v>
      </c>
      <c r="V262" s="2" t="n">
        <v>1.833333333333333</v>
      </c>
      <c r="W262" s="4" t="n">
        <v>-120</v>
      </c>
      <c r="X262" s="2" t="n">
        <v>1</v>
      </c>
      <c r="Y262" s="5" t="n">
        <v>-1</v>
      </c>
      <c r="Z262" s="7" t="n">
        <v>100</v>
      </c>
      <c r="AA262" s="7">
        <f>Y262*Z262</f>
        <v/>
      </c>
      <c r="AB262" s="6">
        <f>IF(Z262=0,0,AA262/Z262)</f>
        <v/>
      </c>
      <c r="AC262" s="6" t="n"/>
      <c r="AD262" s="2" t="inlineStr">
        <is>
          <t>Loss</t>
        </is>
      </c>
      <c r="AE262" s="6">
        <f>IF((COUNTIF($AD$2:AD262,"Win")+COUNTIF($AD$2:AD262,"Loss"))=0,0,COUNTIF($AD$2:AD262,"Win")/(COUNTIF($AD$2:AD262,"Win")+COUNTIF($AD$2:AD262,"Loss")))</f>
        <v/>
      </c>
      <c r="AF262" s="6">
        <f>SUM($Y$2:Y262)/SUM($X$2:X262)</f>
        <v/>
      </c>
      <c r="AG262" s="5">
        <f>SUM($Y$2:Y262)</f>
        <v/>
      </c>
      <c r="AH262" s="7">
        <f>10000.0+SUM($AA$2:AA262)</f>
        <v/>
      </c>
      <c r="AI262" s="2" t="n">
        <v>2025</v>
      </c>
      <c r="AJ262" s="2" t="inlineStr">
        <is>
          <t>2025-08</t>
        </is>
      </c>
      <c r="AK262" s="2" t="inlineStr">
        <is>
          <t>-149 to -120</t>
        </is>
      </c>
      <c r="AL262" s="2" t="inlineStr">
        <is>
          <t>2025 Validation</t>
        </is>
      </c>
      <c r="AM262" s="6" t="n">
        <v>0.3087945904648697</v>
      </c>
    </row>
    <row r="263">
      <c r="A263" s="2" t="inlineStr">
        <is>
          <t>KPROP-00262</t>
        </is>
      </c>
      <c r="B263" s="3" t="n">
        <v>45894.79559027778</v>
      </c>
      <c r="C263" s="3" t="n">
        <v>45894</v>
      </c>
      <c r="D263" s="2" t="inlineStr">
        <is>
          <t>Joe Ryan</t>
        </is>
      </c>
      <c r="E263" s="2" t="n">
        <v>142</v>
      </c>
      <c r="F263" s="2" t="n">
        <v>141</v>
      </c>
      <c r="G263" s="2" t="inlineStr">
        <is>
          <t>Away</t>
        </is>
      </c>
      <c r="H263" s="2" t="inlineStr">
        <is>
          <t>draftkings</t>
        </is>
      </c>
      <c r="I263" s="4" t="n"/>
      <c r="J263" s="4" t="n"/>
      <c r="K263" s="4" t="n">
        <v>130</v>
      </c>
      <c r="L263" s="4" t="n">
        <v>130</v>
      </c>
      <c r="M263" s="5" t="n">
        <v>4.5</v>
      </c>
      <c r="N263" s="5" t="n">
        <v>4.75448680440456</v>
      </c>
      <c r="O263" s="5" t="n">
        <v>4.5</v>
      </c>
      <c r="P263" s="5" t="n">
        <v>-0.2544868044045598</v>
      </c>
      <c r="Q263" s="6" t="n">
        <v>0.1145212753046078</v>
      </c>
      <c r="R263" s="6" t="n">
        <v>0.4845744675237426</v>
      </c>
      <c r="S263" s="6" t="n">
        <v>0.4140127388535032</v>
      </c>
      <c r="T263" s="2" t="inlineStr">
        <is>
          <t>Under</t>
        </is>
      </c>
      <c r="U263" s="4" t="n">
        <v>130</v>
      </c>
      <c r="V263" s="2" t="n">
        <v>2.3</v>
      </c>
      <c r="W263" s="4" t="n">
        <v>130</v>
      </c>
      <c r="X263" s="2" t="n">
        <v>1</v>
      </c>
      <c r="Y263" s="5" t="n">
        <v>-1</v>
      </c>
      <c r="Z263" s="7" t="n">
        <v>100</v>
      </c>
      <c r="AA263" s="7">
        <f>Y263*Z263</f>
        <v/>
      </c>
      <c r="AB263" s="6">
        <f>IF(Z263=0,0,AA263/Z263)</f>
        <v/>
      </c>
      <c r="AC263" s="6" t="n"/>
      <c r="AD263" s="2" t="inlineStr">
        <is>
          <t>Loss</t>
        </is>
      </c>
      <c r="AE263" s="6">
        <f>IF((COUNTIF($AD$2:AD263,"Win")+COUNTIF($AD$2:AD263,"Loss"))=0,0,COUNTIF($AD$2:AD263,"Win")/(COUNTIF($AD$2:AD263,"Win")+COUNTIF($AD$2:AD263,"Loss")))</f>
        <v/>
      </c>
      <c r="AF263" s="6">
        <f>SUM($Y$2:Y263)/SUM($X$2:X263)</f>
        <v/>
      </c>
      <c r="AG263" s="5">
        <f>SUM($Y$2:Y263)</f>
        <v/>
      </c>
      <c r="AH263" s="7">
        <f>10000.0+SUM($AA$2:AA263)</f>
        <v/>
      </c>
      <c r="AI263" s="2" t="n">
        <v>2025</v>
      </c>
      <c r="AJ263" s="2" t="inlineStr">
        <is>
          <t>2025-08</t>
        </is>
      </c>
      <c r="AK263" s="2" t="inlineStr">
        <is>
          <t>+121 to +150</t>
        </is>
      </c>
      <c r="AL263" s="2" t="inlineStr">
        <is>
          <t>2025 Validation</t>
        </is>
      </c>
      <c r="AM263" s="6" t="n">
        <v>0.08809328869585213</v>
      </c>
    </row>
    <row r="264">
      <c r="A264" s="2" t="inlineStr">
        <is>
          <t>KPROP-00263</t>
        </is>
      </c>
      <c r="B264" s="3" t="n">
        <v>45894.79559027778</v>
      </c>
      <c r="C264" s="3" t="n">
        <v>45894</v>
      </c>
      <c r="D264" s="2" t="inlineStr">
        <is>
          <t>Joe Ryan</t>
        </is>
      </c>
      <c r="E264" s="2" t="n">
        <v>142</v>
      </c>
      <c r="F264" s="2" t="n">
        <v>141</v>
      </c>
      <c r="G264" s="2" t="inlineStr">
        <is>
          <t>Away</t>
        </is>
      </c>
      <c r="H264" s="2" t="inlineStr">
        <is>
          <t>bovada</t>
        </is>
      </c>
      <c r="I264" s="4" t="n"/>
      <c r="J264" s="4" t="n"/>
      <c r="K264" s="4" t="n">
        <v>-150</v>
      </c>
      <c r="L264" s="4" t="n">
        <v>-150</v>
      </c>
      <c r="M264" s="5" t="n">
        <v>5.5</v>
      </c>
      <c r="N264" s="5" t="n">
        <v>4.75448680440456</v>
      </c>
      <c r="O264" s="5" t="n">
        <v>5.5</v>
      </c>
      <c r="P264" s="5" t="n">
        <v>0.7455131955954402</v>
      </c>
      <c r="Q264" s="6" t="n">
        <v>0.09825271405476999</v>
      </c>
      <c r="R264" s="6" t="n">
        <v>0.658951628432862</v>
      </c>
      <c r="S264" s="6" t="n">
        <v>0.5755517826825127</v>
      </c>
      <c r="T264" s="2" t="inlineStr">
        <is>
          <t>Under</t>
        </is>
      </c>
      <c r="U264" s="4" t="n">
        <v>-150</v>
      </c>
      <c r="V264" s="2" t="n">
        <v>1.666666666666667</v>
      </c>
      <c r="W264" s="4" t="n">
        <v>-150</v>
      </c>
      <c r="X264" s="2" t="n">
        <v>1</v>
      </c>
      <c r="Y264" s="5" t="n">
        <v>-1</v>
      </c>
      <c r="Z264" s="7" t="n">
        <v>100</v>
      </c>
      <c r="AA264" s="7">
        <f>Y264*Z264</f>
        <v/>
      </c>
      <c r="AB264" s="6">
        <f>IF(Z264=0,0,AA264/Z264)</f>
        <v/>
      </c>
      <c r="AC264" s="6" t="n"/>
      <c r="AD264" s="2" t="inlineStr">
        <is>
          <t>Loss</t>
        </is>
      </c>
      <c r="AE264" s="6">
        <f>IF((COUNTIF($AD$2:AD264,"Win")+COUNTIF($AD$2:AD264,"Loss"))=0,0,COUNTIF($AD$2:AD264,"Win")/(COUNTIF($AD$2:AD264,"Win")+COUNTIF($AD$2:AD264,"Loss")))</f>
        <v/>
      </c>
      <c r="AF264" s="6">
        <f>SUM($Y$2:Y264)/SUM($X$2:X264)</f>
        <v/>
      </c>
      <c r="AG264" s="5">
        <f>SUM($Y$2:Y264)</f>
        <v/>
      </c>
      <c r="AH264" s="7">
        <f>10000.0+SUM($AA$2:AA264)</f>
        <v/>
      </c>
      <c r="AI264" s="2" t="n">
        <v>2025</v>
      </c>
      <c r="AJ264" s="2" t="inlineStr">
        <is>
          <t>2025-08</t>
        </is>
      </c>
      <c r="AK264" s="2" t="inlineStr">
        <is>
          <t>&lt;= -150</t>
        </is>
      </c>
      <c r="AL264" s="2" t="inlineStr">
        <is>
          <t>2025 Validation</t>
        </is>
      </c>
      <c r="AM264" s="6" t="n">
        <v>0.147379071082155</v>
      </c>
    </row>
    <row r="265">
      <c r="A265" s="2" t="inlineStr">
        <is>
          <t>KPROP-00264</t>
        </is>
      </c>
      <c r="B265" s="3" t="n">
        <v>45894.79559027778</v>
      </c>
      <c r="C265" s="3" t="n">
        <v>45894</v>
      </c>
      <c r="D265" s="2" t="inlineStr">
        <is>
          <t>Kodai Senga</t>
        </is>
      </c>
      <c r="E265" s="2" t="n">
        <v>121</v>
      </c>
      <c r="F265" s="2" t="n">
        <v>143</v>
      </c>
      <c r="G265" s="2" t="inlineStr">
        <is>
          <t>Home</t>
        </is>
      </c>
      <c r="H265" s="2" t="inlineStr">
        <is>
          <t>draftkings</t>
        </is>
      </c>
      <c r="I265" s="4" t="n"/>
      <c r="J265" s="4" t="n"/>
      <c r="K265" s="4" t="n">
        <v>130</v>
      </c>
      <c r="L265" s="4" t="n">
        <v>130</v>
      </c>
      <c r="M265" s="5" t="n">
        <v>4.5</v>
      </c>
      <c r="N265" s="5" t="n">
        <v>4.68580826918885</v>
      </c>
      <c r="O265" s="5" t="n">
        <v>4.5</v>
      </c>
      <c r="P265" s="5" t="n">
        <v>-0.1858082691888496</v>
      </c>
      <c r="Q265" s="6" t="n">
        <v>0.1436426951731077</v>
      </c>
      <c r="R265" s="6" t="n">
        <v>0.4972359544230903</v>
      </c>
      <c r="S265" s="6" t="n">
        <v>0.4117280099812851</v>
      </c>
      <c r="T265" s="2" t="inlineStr">
        <is>
          <t>Under</t>
        </is>
      </c>
      <c r="U265" s="4" t="n">
        <v>130</v>
      </c>
      <c r="V265" s="2" t="n">
        <v>2.3</v>
      </c>
      <c r="W265" s="4" t="n">
        <v>130</v>
      </c>
      <c r="X265" s="2" t="n">
        <v>1</v>
      </c>
      <c r="Y265" s="5" t="n">
        <v>1.3</v>
      </c>
      <c r="Z265" s="7" t="n">
        <v>100</v>
      </c>
      <c r="AA265" s="7">
        <f>Y265*Z265</f>
        <v/>
      </c>
      <c r="AB265" s="6">
        <f>IF(Z265=0,0,AA265/Z265)</f>
        <v/>
      </c>
      <c r="AC265" s="6" t="n"/>
      <c r="AD265" s="2" t="inlineStr">
        <is>
          <t>Win</t>
        </is>
      </c>
      <c r="AE265" s="6">
        <f>IF((COUNTIF($AD$2:AD265,"Win")+COUNTIF($AD$2:AD265,"Loss"))=0,0,COUNTIF($AD$2:AD265,"Win")/(COUNTIF($AD$2:AD265,"Win")+COUNTIF($AD$2:AD265,"Loss")))</f>
        <v/>
      </c>
      <c r="AF265" s="6">
        <f>SUM($Y$2:Y265)/SUM($X$2:X265)</f>
        <v/>
      </c>
      <c r="AG265" s="5">
        <f>SUM($Y$2:Y265)</f>
        <v/>
      </c>
      <c r="AH265" s="7">
        <f>10000.0+SUM($AA$2:AA265)</f>
        <v/>
      </c>
      <c r="AI265" s="2" t="n">
        <v>2025</v>
      </c>
      <c r="AJ265" s="2" t="inlineStr">
        <is>
          <t>2025-08</t>
        </is>
      </c>
      <c r="AK265" s="2" t="inlineStr">
        <is>
          <t>+121 to +150</t>
        </is>
      </c>
      <c r="AL265" s="2" t="inlineStr">
        <is>
          <t>2025 Validation</t>
        </is>
      </c>
      <c r="AM265" s="6" t="n">
        <v>0.1104943809023905</v>
      </c>
    </row>
    <row r="266">
      <c r="A266" s="2" t="inlineStr">
        <is>
          <t>KPROP-00265</t>
        </is>
      </c>
      <c r="B266" s="3" t="n">
        <v>45894.79559027778</v>
      </c>
      <c r="C266" s="3" t="n">
        <v>45894</v>
      </c>
      <c r="D266" s="2" t="inlineStr">
        <is>
          <t>Kodai Senga</t>
        </is>
      </c>
      <c r="E266" s="2" t="n">
        <v>121</v>
      </c>
      <c r="F266" s="2" t="n">
        <v>143</v>
      </c>
      <c r="G266" s="2" t="inlineStr">
        <is>
          <t>Home</t>
        </is>
      </c>
      <c r="H266" s="2" t="inlineStr">
        <is>
          <t>betonlineag</t>
        </is>
      </c>
      <c r="I266" s="4" t="n"/>
      <c r="J266" s="4" t="n"/>
      <c r="K266" s="4" t="n">
        <v>-161</v>
      </c>
      <c r="L266" s="4" t="n">
        <v>-161</v>
      </c>
      <c r="M266" s="5" t="n">
        <v>5.5</v>
      </c>
      <c r="N266" s="5" t="n">
        <v>4.68580826918885</v>
      </c>
      <c r="O266" s="5" t="n">
        <v>5.5</v>
      </c>
      <c r="P266" s="5" t="n">
        <v>0.8141917308111504</v>
      </c>
      <c r="Q266" s="6" t="n">
        <v>0.08761503533457676</v>
      </c>
      <c r="R266" s="6" t="n">
        <v>0.6709042938270762</v>
      </c>
      <c r="S266" s="6" t="n">
        <v>0.5865674006019325</v>
      </c>
      <c r="T266" s="2" t="inlineStr">
        <is>
          <t>Under</t>
        </is>
      </c>
      <c r="U266" s="4" t="n">
        <v>-161</v>
      </c>
      <c r="V266" s="2" t="n">
        <v>1.62111801242236</v>
      </c>
      <c r="W266" s="4" t="n">
        <v>-161</v>
      </c>
      <c r="X266" s="2" t="n">
        <v>1</v>
      </c>
      <c r="Y266" s="5" t="n">
        <v>0.6211180124223601</v>
      </c>
      <c r="Z266" s="7" t="n">
        <v>100</v>
      </c>
      <c r="AA266" s="7">
        <f>Y266*Z266</f>
        <v/>
      </c>
      <c r="AB266" s="6">
        <f>IF(Z266=0,0,AA266/Z266)</f>
        <v/>
      </c>
      <c r="AC266" s="6" t="n"/>
      <c r="AD266" s="2" t="inlineStr">
        <is>
          <t>Win</t>
        </is>
      </c>
      <c r="AE266" s="6">
        <f>IF((COUNTIF($AD$2:AD266,"Win")+COUNTIF($AD$2:AD266,"Loss"))=0,0,COUNTIF($AD$2:AD266,"Win")/(COUNTIF($AD$2:AD266,"Win")+COUNTIF($AD$2:AD266,"Loss")))</f>
        <v/>
      </c>
      <c r="AF266" s="6">
        <f>SUM($Y$2:Y266)/SUM($X$2:X266)</f>
        <v/>
      </c>
      <c r="AG266" s="5">
        <f>SUM($Y$2:Y266)</f>
        <v/>
      </c>
      <c r="AH266" s="7">
        <f>10000.0+SUM($AA$2:AA266)</f>
        <v/>
      </c>
      <c r="AI266" s="2" t="n">
        <v>2025</v>
      </c>
      <c r="AJ266" s="2" t="inlineStr">
        <is>
          <t>2025-08</t>
        </is>
      </c>
      <c r="AK266" s="2" t="inlineStr">
        <is>
          <t>&lt;= -150</t>
        </is>
      </c>
      <c r="AL266" s="2" t="inlineStr">
        <is>
          <t>2025 Validation</t>
        </is>
      </c>
      <c r="AM266" s="6" t="n">
        <v>0.1410602068886686</v>
      </c>
    </row>
    <row r="267">
      <c r="A267" s="2" t="inlineStr">
        <is>
          <t>KPROP-00266</t>
        </is>
      </c>
      <c r="B267" s="3" t="n">
        <v>45894.77476851852</v>
      </c>
      <c r="C267" s="3" t="n">
        <v>45894</v>
      </c>
      <c r="D267" s="2" t="inlineStr">
        <is>
          <t>Spencer Strider</t>
        </is>
      </c>
      <c r="E267" s="2" t="n">
        <v>144</v>
      </c>
      <c r="F267" s="2" t="n">
        <v>146</v>
      </c>
      <c r="G267" s="2" t="inlineStr">
        <is>
          <t>Away</t>
        </is>
      </c>
      <c r="H267" s="2" t="inlineStr">
        <is>
          <t>betmgm</t>
        </is>
      </c>
      <c r="I267" s="4" t="n"/>
      <c r="J267" s="4" t="n"/>
      <c r="K267" s="4" t="n">
        <v>120</v>
      </c>
      <c r="L267" s="4" t="n">
        <v>120</v>
      </c>
      <c r="M267" s="5" t="n">
        <v>5.5</v>
      </c>
      <c r="N267" s="5" t="n">
        <v>5.079970966365717</v>
      </c>
      <c r="O267" s="5" t="n">
        <v>5.5</v>
      </c>
      <c r="P267" s="5" t="n">
        <v>0.4200290336342833</v>
      </c>
      <c r="Q267" s="6" t="n">
        <v>0.324248919030162</v>
      </c>
      <c r="R267" s="6" t="n">
        <v>0.6019313268318918</v>
      </c>
      <c r="S267" s="6" t="n">
        <v>0.4310344827586207</v>
      </c>
      <c r="T267" s="2" t="inlineStr">
        <is>
          <t>Under</t>
        </is>
      </c>
      <c r="U267" s="4" t="n">
        <v>120</v>
      </c>
      <c r="V267" s="2" t="n">
        <v>2.2</v>
      </c>
      <c r="W267" s="4" t="n">
        <v>120</v>
      </c>
      <c r="X267" s="2" t="n">
        <v>1</v>
      </c>
      <c r="Y267" s="5" t="n">
        <v>1.2</v>
      </c>
      <c r="Z267" s="7" t="n">
        <v>100</v>
      </c>
      <c r="AA267" s="7">
        <f>Y267*Z267</f>
        <v/>
      </c>
      <c r="AB267" s="6">
        <f>IF(Z267=0,0,AA267/Z267)</f>
        <v/>
      </c>
      <c r="AC267" s="6" t="n"/>
      <c r="AD267" s="2" t="inlineStr">
        <is>
          <t>Win</t>
        </is>
      </c>
      <c r="AE267" s="6">
        <f>IF((COUNTIF($AD$2:AD267,"Win")+COUNTIF($AD$2:AD267,"Loss"))=0,0,COUNTIF($AD$2:AD267,"Win")/(COUNTIF($AD$2:AD267,"Win")+COUNTIF($AD$2:AD267,"Loss")))</f>
        <v/>
      </c>
      <c r="AF267" s="6">
        <f>SUM($Y$2:Y267)/SUM($X$2:X267)</f>
        <v/>
      </c>
      <c r="AG267" s="5">
        <f>SUM($Y$2:Y267)</f>
        <v/>
      </c>
      <c r="AH267" s="7">
        <f>10000.0+SUM($AA$2:AA267)</f>
        <v/>
      </c>
      <c r="AI267" s="2" t="n">
        <v>2025</v>
      </c>
      <c r="AJ267" s="2" t="inlineStr">
        <is>
          <t>2025-08</t>
        </is>
      </c>
      <c r="AK267" s="2" t="inlineStr">
        <is>
          <t>+100 to +120</t>
        </is>
      </c>
      <c r="AL267" s="2" t="inlineStr">
        <is>
          <t>2025 Validation</t>
        </is>
      </c>
      <c r="AM267" s="6" t="n">
        <v>0.2702074325251349</v>
      </c>
    </row>
    <row r="268">
      <c r="A268" s="2" t="inlineStr">
        <is>
          <t>KPROP-00267</t>
        </is>
      </c>
      <c r="B268" s="3" t="n">
        <v>45894.77476851852</v>
      </c>
      <c r="C268" s="3" t="n">
        <v>45894</v>
      </c>
      <c r="D268" s="2" t="inlineStr">
        <is>
          <t>Spencer Strider</t>
        </is>
      </c>
      <c r="E268" s="2" t="n">
        <v>144</v>
      </c>
      <c r="F268" s="2" t="n">
        <v>146</v>
      </c>
      <c r="G268" s="2" t="inlineStr">
        <is>
          <t>Away</t>
        </is>
      </c>
      <c r="H268" s="2" t="inlineStr">
        <is>
          <t>betrivers</t>
        </is>
      </c>
      <c r="I268" s="4" t="n"/>
      <c r="J268" s="4" t="n"/>
      <c r="K268" s="4" t="n">
        <v>-175</v>
      </c>
      <c r="L268" s="4" t="n">
        <v>-175</v>
      </c>
      <c r="M268" s="5" t="n">
        <v>6.5</v>
      </c>
      <c r="N268" s="5" t="n">
        <v>5.079970966365717</v>
      </c>
      <c r="O268" s="5" t="n">
        <v>6.5</v>
      </c>
      <c r="P268" s="5" t="n">
        <v>1.420029033634283</v>
      </c>
      <c r="Q268" s="6" t="n">
        <v>0.1791982262751415</v>
      </c>
      <c r="R268" s="6" t="n">
        <v>0.7503988712659991</v>
      </c>
      <c r="S268" s="6" t="n">
        <v>0.5887850467289719</v>
      </c>
      <c r="T268" s="2" t="inlineStr">
        <is>
          <t>Under</t>
        </is>
      </c>
      <c r="U268" s="4" t="n">
        <v>-175</v>
      </c>
      <c r="V268" s="2" t="n">
        <v>1.571428571428571</v>
      </c>
      <c r="W268" s="4" t="n">
        <v>-175</v>
      </c>
      <c r="X268" s="2" t="n">
        <v>1</v>
      </c>
      <c r="Y268" s="5" t="n">
        <v>0.5714285714285714</v>
      </c>
      <c r="Z268" s="7" t="n">
        <v>100</v>
      </c>
      <c r="AA268" s="7">
        <f>Y268*Z268</f>
        <v/>
      </c>
      <c r="AB268" s="6">
        <f>IF(Z268=0,0,AA268/Z268)</f>
        <v/>
      </c>
      <c r="AC268" s="6" t="n"/>
      <c r="AD268" s="2" t="inlineStr">
        <is>
          <t>Win</t>
        </is>
      </c>
      <c r="AE268" s="6">
        <f>IF((COUNTIF($AD$2:AD268,"Win")+COUNTIF($AD$2:AD268,"Loss"))=0,0,COUNTIF($AD$2:AD268,"Win")/(COUNTIF($AD$2:AD268,"Win")+COUNTIF($AD$2:AD268,"Loss")))</f>
        <v/>
      </c>
      <c r="AF268" s="6">
        <f>SUM($Y$2:Y268)/SUM($X$2:X268)</f>
        <v/>
      </c>
      <c r="AG268" s="5">
        <f>SUM($Y$2:Y268)</f>
        <v/>
      </c>
      <c r="AH268" s="7">
        <f>10000.0+SUM($AA$2:AA268)</f>
        <v/>
      </c>
      <c r="AI268" s="2" t="n">
        <v>2025</v>
      </c>
      <c r="AJ268" s="2" t="inlineStr">
        <is>
          <t>2025-08</t>
        </is>
      </c>
      <c r="AK268" s="2" t="inlineStr">
        <is>
          <t>&lt;= -150</t>
        </is>
      </c>
      <c r="AL268" s="2" t="inlineStr">
        <is>
          <t>2025 Validation</t>
        </is>
      </c>
      <c r="AM268" s="6" t="n">
        <v>0.3135968959814976</v>
      </c>
    </row>
    <row r="269">
      <c r="A269" s="2" t="inlineStr">
        <is>
          <t>KPROP-00268</t>
        </is>
      </c>
      <c r="B269" s="3" t="n">
        <v>45894.77476851852</v>
      </c>
      <c r="C269" s="3" t="n">
        <v>45894</v>
      </c>
      <c r="D269" s="2" t="inlineStr">
        <is>
          <t>Tanner Bibee</t>
        </is>
      </c>
      <c r="E269" s="2" t="n">
        <v>114</v>
      </c>
      <c r="F269" s="2" t="n">
        <v>139</v>
      </c>
      <c r="G269" s="2" t="inlineStr">
        <is>
          <t>Home</t>
        </is>
      </c>
      <c r="H269" s="2" t="inlineStr">
        <is>
          <t>bovada</t>
        </is>
      </c>
      <c r="I269" s="4" t="n"/>
      <c r="J269" s="4" t="n"/>
      <c r="K269" s="4" t="n">
        <v>115</v>
      </c>
      <c r="L269" s="4" t="n">
        <v>115</v>
      </c>
      <c r="M269" s="5" t="n">
        <v>5.5</v>
      </c>
      <c r="N269" s="5" t="n">
        <v>5.406572409506541</v>
      </c>
      <c r="O269" s="5" t="n">
        <v>5.5</v>
      </c>
      <c r="P269" s="5" t="n">
        <v>0.09342759049345872</v>
      </c>
      <c r="Q269" s="6" t="n">
        <v>0.1717425387127988</v>
      </c>
      <c r="R269" s="6" t="n">
        <v>0.5449965296338599</v>
      </c>
      <c r="S269" s="6" t="n">
        <v>0.4556962025316456</v>
      </c>
      <c r="T269" s="2" t="inlineStr">
        <is>
          <t>Under</t>
        </is>
      </c>
      <c r="U269" s="4" t="n">
        <v>115</v>
      </c>
      <c r="V269" s="2" t="n">
        <v>2.15</v>
      </c>
      <c r="W269" s="4" t="n">
        <v>115</v>
      </c>
      <c r="X269" s="2" t="n">
        <v>1</v>
      </c>
      <c r="Y269" s="5" t="n">
        <v>1.15</v>
      </c>
      <c r="Z269" s="7" t="n">
        <v>100</v>
      </c>
      <c r="AA269" s="7">
        <f>Y269*Z269</f>
        <v/>
      </c>
      <c r="AB269" s="6">
        <f>IF(Z269=0,0,AA269/Z269)</f>
        <v/>
      </c>
      <c r="AC269" s="6" t="n"/>
      <c r="AD269" s="2" t="inlineStr">
        <is>
          <t>Win</t>
        </is>
      </c>
      <c r="AE269" s="6">
        <f>IF((COUNTIF($AD$2:AD269,"Win")+COUNTIF($AD$2:AD269,"Loss"))=0,0,COUNTIF($AD$2:AD269,"Win")/(COUNTIF($AD$2:AD269,"Win")+COUNTIF($AD$2:AD269,"Loss")))</f>
        <v/>
      </c>
      <c r="AF269" s="6">
        <f>SUM($Y$2:Y269)/SUM($X$2:X269)</f>
        <v/>
      </c>
      <c r="AG269" s="5">
        <f>SUM($Y$2:Y269)</f>
        <v/>
      </c>
      <c r="AH269" s="7">
        <f>10000.0+SUM($AA$2:AA269)</f>
        <v/>
      </c>
      <c r="AI269" s="2" t="n">
        <v>2025</v>
      </c>
      <c r="AJ269" s="2" t="inlineStr">
        <is>
          <t>2025-08</t>
        </is>
      </c>
      <c r="AK269" s="2" t="inlineStr">
        <is>
          <t>+100 to +120</t>
        </is>
      </c>
      <c r="AL269" s="2" t="inlineStr">
        <is>
          <t>2025 Validation</t>
        </is>
      </c>
      <c r="AM269" s="6" t="n">
        <v>0.1493413380111294</v>
      </c>
    </row>
    <row r="270">
      <c r="A270" s="2" t="inlineStr">
        <is>
          <t>KPROP-00269</t>
        </is>
      </c>
      <c r="B270" s="3" t="n">
        <v>45895.79559027778</v>
      </c>
      <c r="C270" s="3" t="n">
        <v>45895</v>
      </c>
      <c r="D270" s="2" t="inlineStr">
        <is>
          <t>Bailey Ober</t>
        </is>
      </c>
      <c r="E270" s="2" t="n">
        <v>142</v>
      </c>
      <c r="F270" s="2" t="n">
        <v>141</v>
      </c>
      <c r="G270" s="2" t="inlineStr">
        <is>
          <t>Away</t>
        </is>
      </c>
      <c r="H270" s="2" t="inlineStr">
        <is>
          <t>betmgm</t>
        </is>
      </c>
      <c r="I270" s="4" t="n"/>
      <c r="J270" s="4" t="n"/>
      <c r="K270" s="4" t="n">
        <v>125</v>
      </c>
      <c r="L270" s="4" t="n">
        <v>125</v>
      </c>
      <c r="M270" s="5" t="n">
        <v>3.5</v>
      </c>
      <c r="N270" s="5" t="n">
        <v>3.654036264692456</v>
      </c>
      <c r="O270" s="5" t="n">
        <v>3.5</v>
      </c>
      <c r="P270" s="5" t="n">
        <v>-0.1540362646924556</v>
      </c>
      <c r="Q270" s="6" t="n">
        <v>0.1335227401247787</v>
      </c>
      <c r="R270" s="6" t="n">
        <v>0.5037878844999016</v>
      </c>
      <c r="S270" s="6" t="n">
        <v>0.4324324324324325</v>
      </c>
      <c r="T270" s="2" t="inlineStr">
        <is>
          <t>Under</t>
        </is>
      </c>
      <c r="U270" s="4" t="n">
        <v>125</v>
      </c>
      <c r="V270" s="2" t="n">
        <v>2.25</v>
      </c>
      <c r="W270" s="4" t="n">
        <v>125</v>
      </c>
      <c r="X270" s="2" t="n">
        <v>1</v>
      </c>
      <c r="Y270" s="5" t="n">
        <v>1.25</v>
      </c>
      <c r="Z270" s="7" t="n">
        <v>100</v>
      </c>
      <c r="AA270" s="7">
        <f>Y270*Z270</f>
        <v/>
      </c>
      <c r="AB270" s="6">
        <f>IF(Z270=0,0,AA270/Z270)</f>
        <v/>
      </c>
      <c r="AC270" s="6" t="n"/>
      <c r="AD270" s="2" t="inlineStr">
        <is>
          <t>Win</t>
        </is>
      </c>
      <c r="AE270" s="6">
        <f>IF((COUNTIF($AD$2:AD270,"Win")+COUNTIF($AD$2:AD270,"Loss"))=0,0,COUNTIF($AD$2:AD270,"Win")/(COUNTIF($AD$2:AD270,"Win")+COUNTIF($AD$2:AD270,"Loss")))</f>
        <v/>
      </c>
      <c r="AF270" s="6">
        <f>SUM($Y$2:Y270)/SUM($X$2:X270)</f>
        <v/>
      </c>
      <c r="AG270" s="5">
        <f>SUM($Y$2:Y270)</f>
        <v/>
      </c>
      <c r="AH270" s="7">
        <f>10000.0+SUM($AA$2:AA270)</f>
        <v/>
      </c>
      <c r="AI270" s="2" t="n">
        <v>2025</v>
      </c>
      <c r="AJ270" s="2" t="inlineStr">
        <is>
          <t>2025-08</t>
        </is>
      </c>
      <c r="AK270" s="2" t="inlineStr">
        <is>
          <t>+121 to +150</t>
        </is>
      </c>
      <c r="AL270" s="2" t="inlineStr">
        <is>
          <t>2025 Validation</t>
        </is>
      </c>
      <c r="AM270" s="6" t="n">
        <v>0.106818192099823</v>
      </c>
    </row>
    <row r="271">
      <c r="A271" s="2" t="inlineStr">
        <is>
          <t>KPROP-00270</t>
        </is>
      </c>
      <c r="B271" s="3" t="n">
        <v>45895.81989583333</v>
      </c>
      <c r="C271" s="3" t="n">
        <v>45895</v>
      </c>
      <c r="D271" s="2" t="inlineStr">
        <is>
          <t>Brandon Pfaadt</t>
        </is>
      </c>
      <c r="E271" s="2" t="n">
        <v>109</v>
      </c>
      <c r="F271" s="2" t="n">
        <v>158</v>
      </c>
      <c r="G271" s="2" t="inlineStr">
        <is>
          <t>Away</t>
        </is>
      </c>
      <c r="H271" s="2" t="inlineStr">
        <is>
          <t>betrivers</t>
        </is>
      </c>
      <c r="I271" s="4" t="n"/>
      <c r="J271" s="4" t="n"/>
      <c r="K271" s="4" t="n">
        <v>-113</v>
      </c>
      <c r="L271" s="4" t="n">
        <v>-113</v>
      </c>
      <c r="M271" s="5" t="n">
        <v>4.5</v>
      </c>
      <c r="N271" s="5" t="n">
        <v>4.266417811761188</v>
      </c>
      <c r="O271" s="5" t="n">
        <v>4.5</v>
      </c>
      <c r="P271" s="5" t="n">
        <v>0.2335821882388123</v>
      </c>
      <c r="Q271" s="6" t="n">
        <v>0.08749950578219712</v>
      </c>
      <c r="R271" s="6" t="n">
        <v>0.5769363575276445</v>
      </c>
      <c r="S271" s="6" t="n">
        <v>0.513566680233347</v>
      </c>
      <c r="T271" s="2" t="inlineStr">
        <is>
          <t>Under</t>
        </is>
      </c>
      <c r="U271" s="4" t="n">
        <v>-113</v>
      </c>
      <c r="V271" s="2" t="n">
        <v>1.884955752212389</v>
      </c>
      <c r="W271" s="4" t="n">
        <v>-113</v>
      </c>
      <c r="X271" s="2" t="n">
        <v>1</v>
      </c>
      <c r="Y271" s="5" t="n">
        <v>0.8849557522123894</v>
      </c>
      <c r="Z271" s="7" t="n">
        <v>100</v>
      </c>
      <c r="AA271" s="7">
        <f>Y271*Z271</f>
        <v/>
      </c>
      <c r="AB271" s="6">
        <f>IF(Z271=0,0,AA271/Z271)</f>
        <v/>
      </c>
      <c r="AC271" s="6" t="n"/>
      <c r="AD271" s="2" t="inlineStr">
        <is>
          <t>Win</t>
        </is>
      </c>
      <c r="AE271" s="6">
        <f>IF((COUNTIF($AD$2:AD271,"Win")+COUNTIF($AD$2:AD271,"Loss"))=0,0,COUNTIF($AD$2:AD271,"Win")/(COUNTIF($AD$2:AD271,"Win")+COUNTIF($AD$2:AD271,"Loss")))</f>
        <v/>
      </c>
      <c r="AF271" s="6">
        <f>SUM($Y$2:Y271)/SUM($X$2:X271)</f>
        <v/>
      </c>
      <c r="AG271" s="5">
        <f>SUM($Y$2:Y271)</f>
        <v/>
      </c>
      <c r="AH271" s="7">
        <f>10000.0+SUM($AA$2:AA271)</f>
        <v/>
      </c>
      <c r="AI271" s="2" t="n">
        <v>2025</v>
      </c>
      <c r="AJ271" s="2" t="inlineStr">
        <is>
          <t>2025-08</t>
        </is>
      </c>
      <c r="AK271" s="2" t="inlineStr">
        <is>
          <t>-119 to -101</t>
        </is>
      </c>
      <c r="AL271" s="2" t="inlineStr">
        <is>
          <t>2025 Validation</t>
        </is>
      </c>
      <c r="AM271" s="6" t="n">
        <v>0.09887444153388274</v>
      </c>
    </row>
    <row r="272">
      <c r="A272" s="2" t="inlineStr">
        <is>
          <t>KPROP-00271</t>
        </is>
      </c>
      <c r="B272" s="3" t="n">
        <v>45895.79559027778</v>
      </c>
      <c r="C272" s="3" t="n">
        <v>45895</v>
      </c>
      <c r="D272" s="2" t="inlineStr">
        <is>
          <t>Chris Bassitt</t>
        </is>
      </c>
      <c r="E272" s="2" t="n">
        <v>141</v>
      </c>
      <c r="F272" s="2" t="n">
        <v>142</v>
      </c>
      <c r="G272" s="2" t="inlineStr">
        <is>
          <t>Home</t>
        </is>
      </c>
      <c r="H272" s="2" t="inlineStr">
        <is>
          <t>betmgm</t>
        </is>
      </c>
      <c r="I272" s="4" t="n"/>
      <c r="J272" s="4" t="n"/>
      <c r="K272" s="4" t="n">
        <v>115</v>
      </c>
      <c r="L272" s="4" t="n">
        <v>115</v>
      </c>
      <c r="M272" s="5" t="n">
        <v>5.5</v>
      </c>
      <c r="N272" s="5" t="n">
        <v>5.282559033993815</v>
      </c>
      <c r="O272" s="5" t="n">
        <v>5.5</v>
      </c>
      <c r="P272" s="5" t="n">
        <v>0.2174409660061851</v>
      </c>
      <c r="Q272" s="6" t="n">
        <v>0.2179939397520396</v>
      </c>
      <c r="R272" s="6" t="n">
        <v>0.5665088091869952</v>
      </c>
      <c r="S272" s="6" t="n">
        <v>0.4593162215525304</v>
      </c>
      <c r="T272" s="2" t="inlineStr">
        <is>
          <t>Under</t>
        </is>
      </c>
      <c r="U272" s="4" t="n">
        <v>115</v>
      </c>
      <c r="V272" s="2" t="n">
        <v>2.15</v>
      </c>
      <c r="W272" s="4" t="n">
        <v>115</v>
      </c>
      <c r="X272" s="2" t="n">
        <v>1</v>
      </c>
      <c r="Y272" s="5" t="n">
        <v>-1</v>
      </c>
      <c r="Z272" s="7" t="n">
        <v>100</v>
      </c>
      <c r="AA272" s="7">
        <f>Y272*Z272</f>
        <v/>
      </c>
      <c r="AB272" s="6">
        <f>IF(Z272=0,0,AA272/Z272)</f>
        <v/>
      </c>
      <c r="AC272" s="6" t="n"/>
      <c r="AD272" s="2" t="inlineStr">
        <is>
          <t>Loss</t>
        </is>
      </c>
      <c r="AE272" s="6">
        <f>IF((COUNTIF($AD$2:AD272,"Win")+COUNTIF($AD$2:AD272,"Loss"))=0,0,COUNTIF($AD$2:AD272,"Win")/(COUNTIF($AD$2:AD272,"Win")+COUNTIF($AD$2:AD272,"Loss")))</f>
        <v/>
      </c>
      <c r="AF272" s="6">
        <f>SUM($Y$2:Y272)/SUM($X$2:X272)</f>
        <v/>
      </c>
      <c r="AG272" s="5">
        <f>SUM($Y$2:Y272)</f>
        <v/>
      </c>
      <c r="AH272" s="7">
        <f>10000.0+SUM($AA$2:AA272)</f>
        <v/>
      </c>
      <c r="AI272" s="2" t="n">
        <v>2025</v>
      </c>
      <c r="AJ272" s="2" t="inlineStr">
        <is>
          <t>2025-08</t>
        </is>
      </c>
      <c r="AK272" s="2" t="inlineStr">
        <is>
          <t>+100 to +120</t>
        </is>
      </c>
      <c r="AL272" s="2" t="inlineStr">
        <is>
          <t>2025 Validation</t>
        </is>
      </c>
      <c r="AM272" s="6" t="n">
        <v>0.1895599476104693</v>
      </c>
    </row>
    <row r="273">
      <c r="A273" s="2" t="inlineStr">
        <is>
          <t>KPROP-00272</t>
        </is>
      </c>
      <c r="B273" s="3" t="n">
        <v>45895.82336805556</v>
      </c>
      <c r="C273" s="3" t="n">
        <v>45895</v>
      </c>
      <c r="D273" s="2" t="inlineStr">
        <is>
          <t>Mitch Keller</t>
        </is>
      </c>
      <c r="E273" s="2" t="n">
        <v>134</v>
      </c>
      <c r="F273" s="2" t="n">
        <v>138</v>
      </c>
      <c r="G273" s="2" t="inlineStr">
        <is>
          <t>Away</t>
        </is>
      </c>
      <c r="H273" s="2" t="inlineStr">
        <is>
          <t>betrivers</t>
        </is>
      </c>
      <c r="I273" s="4" t="n"/>
      <c r="J273" s="4" t="n"/>
      <c r="K273" s="4" t="n">
        <v>100</v>
      </c>
      <c r="L273" s="4" t="n">
        <v>100</v>
      </c>
      <c r="M273" s="5" t="n">
        <v>4.5</v>
      </c>
      <c r="N273" s="5" t="n">
        <v>4.357827010476045</v>
      </c>
      <c r="O273" s="5" t="n">
        <v>4.5</v>
      </c>
      <c r="P273" s="5" t="n">
        <v>0.1421729895239547</v>
      </c>
      <c r="Q273" s="6" t="n">
        <v>0.1185698236413084</v>
      </c>
      <c r="R273" s="6" t="n">
        <v>0.5592849118206542</v>
      </c>
      <c r="S273" s="6" t="n">
        <v>0.4883720930232558</v>
      </c>
      <c r="T273" s="2" t="inlineStr">
        <is>
          <t>Under</t>
        </is>
      </c>
      <c r="U273" s="4" t="n">
        <v>100</v>
      </c>
      <c r="V273" s="2" t="n">
        <v>2</v>
      </c>
      <c r="W273" s="4" t="n">
        <v>100</v>
      </c>
      <c r="X273" s="2" t="n">
        <v>1</v>
      </c>
      <c r="Y273" s="5" t="n">
        <v>-1</v>
      </c>
      <c r="Z273" s="7" t="n">
        <v>100</v>
      </c>
      <c r="AA273" s="7">
        <f>Y273*Z273</f>
        <v/>
      </c>
      <c r="AB273" s="6">
        <f>IF(Z273=0,0,AA273/Z273)</f>
        <v/>
      </c>
      <c r="AC273" s="6" t="n"/>
      <c r="AD273" s="2" t="inlineStr">
        <is>
          <t>Loss</t>
        </is>
      </c>
      <c r="AE273" s="6">
        <f>IF((COUNTIF($AD$2:AD273,"Win")+COUNTIF($AD$2:AD273,"Loss"))=0,0,COUNTIF($AD$2:AD273,"Win")/(COUNTIF($AD$2:AD273,"Win")+COUNTIF($AD$2:AD273,"Loss")))</f>
        <v/>
      </c>
      <c r="AF273" s="6">
        <f>SUM($Y$2:Y273)/SUM($X$2:X273)</f>
        <v/>
      </c>
      <c r="AG273" s="5">
        <f>SUM($Y$2:Y273)</f>
        <v/>
      </c>
      <c r="AH273" s="7">
        <f>10000.0+SUM($AA$2:AA273)</f>
        <v/>
      </c>
      <c r="AI273" s="2" t="n">
        <v>2025</v>
      </c>
      <c r="AJ273" s="2" t="inlineStr">
        <is>
          <t>2025-08</t>
        </is>
      </c>
      <c r="AK273" s="2" t="inlineStr">
        <is>
          <t>+100 to +120</t>
        </is>
      </c>
      <c r="AL273" s="2" t="inlineStr">
        <is>
          <t>2025 Validation</t>
        </is>
      </c>
      <c r="AM273" s="6" t="n">
        <v>0.1185698236413084</v>
      </c>
    </row>
    <row r="274">
      <c r="A274" s="2" t="inlineStr">
        <is>
          <t>KPROP-00273</t>
        </is>
      </c>
      <c r="B274" s="3" t="n">
        <v>45895.7990625</v>
      </c>
      <c r="C274" s="3" t="n">
        <v>45895</v>
      </c>
      <c r="D274" s="2" t="inlineStr">
        <is>
          <t>Sean Manaea</t>
        </is>
      </c>
      <c r="E274" s="2" t="n">
        <v>121</v>
      </c>
      <c r="F274" s="2" t="n">
        <v>143</v>
      </c>
      <c r="G274" s="2" t="inlineStr">
        <is>
          <t>Home</t>
        </is>
      </c>
      <c r="H274" s="2" t="inlineStr">
        <is>
          <t>bovada</t>
        </is>
      </c>
      <c r="I274" s="4" t="n"/>
      <c r="J274" s="4" t="n"/>
      <c r="K274" s="4" t="n">
        <v>120</v>
      </c>
      <c r="L274" s="4" t="n">
        <v>120</v>
      </c>
      <c r="M274" s="5" t="n">
        <v>5.5</v>
      </c>
      <c r="N274" s="5" t="n">
        <v>5.020816368653813</v>
      </c>
      <c r="O274" s="5" t="n">
        <v>5.5</v>
      </c>
      <c r="P274" s="5" t="n">
        <v>0.4791836313461868</v>
      </c>
      <c r="Q274" s="6" t="n">
        <v>0.3470778508555159</v>
      </c>
      <c r="R274" s="6" t="n">
        <v>0.6123081140252344</v>
      </c>
      <c r="S274" s="6" t="n">
        <v>0.4401931649331352</v>
      </c>
      <c r="T274" s="2" t="inlineStr">
        <is>
          <t>Under</t>
        </is>
      </c>
      <c r="U274" s="4" t="n">
        <v>120</v>
      </c>
      <c r="V274" s="2" t="n">
        <v>2.2</v>
      </c>
      <c r="W274" s="4" t="n">
        <v>120</v>
      </c>
      <c r="X274" s="2" t="n">
        <v>1</v>
      </c>
      <c r="Y274" s="5" t="n">
        <v>-1</v>
      </c>
      <c r="Z274" s="7" t="n">
        <v>100</v>
      </c>
      <c r="AA274" s="7">
        <f>Y274*Z274</f>
        <v/>
      </c>
      <c r="AB274" s="6">
        <f>IF(Z274=0,0,AA274/Z274)</f>
        <v/>
      </c>
      <c r="AC274" s="6" t="n"/>
      <c r="AD274" s="2" t="inlineStr">
        <is>
          <t>Loss</t>
        </is>
      </c>
      <c r="AE274" s="6">
        <f>IF((COUNTIF($AD$2:AD274,"Win")+COUNTIF($AD$2:AD274,"Loss"))=0,0,COUNTIF($AD$2:AD274,"Win")/(COUNTIF($AD$2:AD274,"Win")+COUNTIF($AD$2:AD274,"Loss")))</f>
        <v/>
      </c>
      <c r="AF274" s="6">
        <f>SUM($Y$2:Y274)/SUM($X$2:X274)</f>
        <v/>
      </c>
      <c r="AG274" s="5">
        <f>SUM($Y$2:Y274)</f>
        <v/>
      </c>
      <c r="AH274" s="7">
        <f>10000.0+SUM($AA$2:AA274)</f>
        <v/>
      </c>
      <c r="AI274" s="2" t="n">
        <v>2025</v>
      </c>
      <c r="AJ274" s="2" t="inlineStr">
        <is>
          <t>2025-08</t>
        </is>
      </c>
      <c r="AK274" s="2" t="inlineStr">
        <is>
          <t>+100 to +120</t>
        </is>
      </c>
      <c r="AL274" s="2" t="inlineStr">
        <is>
          <t>2025 Validation</t>
        </is>
      </c>
      <c r="AM274" s="6" t="n">
        <v>0.2892315423795965</v>
      </c>
    </row>
    <row r="275">
      <c r="A275" s="2" t="inlineStr">
        <is>
          <t>KPROP-00274</t>
        </is>
      </c>
      <c r="B275" s="3" t="n">
        <v>45896.54559027778</v>
      </c>
      <c r="C275" s="3" t="n">
        <v>45896</v>
      </c>
      <c r="D275" s="2" t="inlineStr">
        <is>
          <t>Max Fried</t>
        </is>
      </c>
      <c r="E275" s="2" t="n">
        <v>147</v>
      </c>
      <c r="F275" s="2" t="n">
        <v>120</v>
      </c>
      <c r="G275" s="2" t="inlineStr">
        <is>
          <t>Home</t>
        </is>
      </c>
      <c r="H275" s="2" t="inlineStr">
        <is>
          <t>draftkings</t>
        </is>
      </c>
      <c r="I275" s="4" t="n"/>
      <c r="J275" s="4" t="n"/>
      <c r="K275" s="4" t="n">
        <v>110</v>
      </c>
      <c r="L275" s="4" t="n">
        <v>110</v>
      </c>
      <c r="M275" s="5" t="n">
        <v>6.5</v>
      </c>
      <c r="N275" s="5" t="n">
        <v>5.595936646029129</v>
      </c>
      <c r="O275" s="5" t="n">
        <v>6.5</v>
      </c>
      <c r="P275" s="5" t="n">
        <v>0.9040633539708711</v>
      </c>
      <c r="Q275" s="6" t="n">
        <v>0.4088927861760369</v>
      </c>
      <c r="R275" s="6" t="n">
        <v>0.6709013267504937</v>
      </c>
      <c r="S275" s="6" t="n">
        <v>0.4719894133215704</v>
      </c>
      <c r="T275" s="2" t="inlineStr">
        <is>
          <t>Under</t>
        </is>
      </c>
      <c r="U275" s="4" t="n">
        <v>110</v>
      </c>
      <c r="V275" s="2" t="n">
        <v>2.1</v>
      </c>
      <c r="W275" s="4" t="n">
        <v>110</v>
      </c>
      <c r="X275" s="2" t="n">
        <v>1</v>
      </c>
      <c r="Y275" s="5" t="n">
        <v>1.1</v>
      </c>
      <c r="Z275" s="7" t="n">
        <v>100</v>
      </c>
      <c r="AA275" s="7">
        <f>Y275*Z275</f>
        <v/>
      </c>
      <c r="AB275" s="6">
        <f>IF(Z275=0,0,AA275/Z275)</f>
        <v/>
      </c>
      <c r="AC275" s="6" t="n"/>
      <c r="AD275" s="2" t="inlineStr">
        <is>
          <t>Win</t>
        </is>
      </c>
      <c r="AE275" s="6">
        <f>IF((COUNTIF($AD$2:AD275,"Win")+COUNTIF($AD$2:AD275,"Loss"))=0,0,COUNTIF($AD$2:AD275,"Win")/(COUNTIF($AD$2:AD275,"Win")+COUNTIF($AD$2:AD275,"Loss")))</f>
        <v/>
      </c>
      <c r="AF275" s="6">
        <f>SUM($Y$2:Y275)/SUM($X$2:X275)</f>
        <v/>
      </c>
      <c r="AG275" s="5">
        <f>SUM($Y$2:Y275)</f>
        <v/>
      </c>
      <c r="AH275" s="7">
        <f>10000.0+SUM($AA$2:AA275)</f>
        <v/>
      </c>
      <c r="AI275" s="2" t="n">
        <v>2025</v>
      </c>
      <c r="AJ275" s="2" t="inlineStr">
        <is>
          <t>2025-08</t>
        </is>
      </c>
      <c r="AK275" s="2" t="inlineStr">
        <is>
          <t>+100 to +120</t>
        </is>
      </c>
      <c r="AL275" s="2" t="inlineStr">
        <is>
          <t>2025 Validation</t>
        </is>
      </c>
      <c r="AM275" s="6" t="n">
        <v>0.3717207147054881</v>
      </c>
    </row>
    <row r="276">
      <c r="A276" s="2" t="inlineStr">
        <is>
          <t>KPROP-00275</t>
        </is>
      </c>
      <c r="B276" s="3" t="n">
        <v>45896.82336805556</v>
      </c>
      <c r="C276" s="3" t="n">
        <v>45896</v>
      </c>
      <c r="D276" s="2" t="inlineStr">
        <is>
          <t>Sonny Gray</t>
        </is>
      </c>
      <c r="E276" s="2" t="n">
        <v>138</v>
      </c>
      <c r="F276" s="2" t="n">
        <v>134</v>
      </c>
      <c r="G276" s="2" t="inlineStr">
        <is>
          <t>Home</t>
        </is>
      </c>
      <c r="H276" s="2" t="inlineStr">
        <is>
          <t>fanduel</t>
        </is>
      </c>
      <c r="I276" s="4" t="n"/>
      <c r="J276" s="4" t="n"/>
      <c r="K276" s="4" t="n">
        <v>-128</v>
      </c>
      <c r="L276" s="4" t="n">
        <v>-128</v>
      </c>
      <c r="M276" s="5" t="n">
        <v>6.5</v>
      </c>
      <c r="N276" s="5" t="n">
        <v>5.712525839227937</v>
      </c>
      <c r="O276" s="5" t="n">
        <v>6.5</v>
      </c>
      <c r="P276" s="5" t="n">
        <v>0.7874741607720628</v>
      </c>
      <c r="Q276" s="6" t="n">
        <v>0.1620329974480074</v>
      </c>
      <c r="R276" s="6" t="n">
        <v>0.6523694020760743</v>
      </c>
      <c r="S276" s="6" t="n">
        <v>0.5581395348837209</v>
      </c>
      <c r="T276" s="2" t="inlineStr">
        <is>
          <t>Under</t>
        </is>
      </c>
      <c r="U276" s="4" t="n">
        <v>-128</v>
      </c>
      <c r="V276" s="2" t="n">
        <v>1.78125</v>
      </c>
      <c r="W276" s="4" t="n">
        <v>-128</v>
      </c>
      <c r="X276" s="2" t="n">
        <v>1</v>
      </c>
      <c r="Y276" s="5" t="n">
        <v>-1</v>
      </c>
      <c r="Z276" s="7" t="n">
        <v>100</v>
      </c>
      <c r="AA276" s="7">
        <f>Y276*Z276</f>
        <v/>
      </c>
      <c r="AB276" s="6">
        <f>IF(Z276=0,0,AA276/Z276)</f>
        <v/>
      </c>
      <c r="AC276" s="6" t="n"/>
      <c r="AD276" s="2" t="inlineStr">
        <is>
          <t>Loss</t>
        </is>
      </c>
      <c r="AE276" s="6">
        <f>IF((COUNTIF($AD$2:AD276,"Win")+COUNTIF($AD$2:AD276,"Loss"))=0,0,COUNTIF($AD$2:AD276,"Win")/(COUNTIF($AD$2:AD276,"Win")+COUNTIF($AD$2:AD276,"Loss")))</f>
        <v/>
      </c>
      <c r="AF276" s="6">
        <f>SUM($Y$2:Y276)/SUM($X$2:X276)</f>
        <v/>
      </c>
      <c r="AG276" s="5">
        <f>SUM($Y$2:Y276)</f>
        <v/>
      </c>
      <c r="AH276" s="7">
        <f>10000.0+SUM($AA$2:AA276)</f>
        <v/>
      </c>
      <c r="AI276" s="2" t="n">
        <v>2025</v>
      </c>
      <c r="AJ276" s="2" t="inlineStr">
        <is>
          <t>2025-08</t>
        </is>
      </c>
      <c r="AK276" s="2" t="inlineStr">
        <is>
          <t>-149 to -120</t>
        </is>
      </c>
      <c r="AL276" s="2" t="inlineStr">
        <is>
          <t>2025 Validation</t>
        </is>
      </c>
      <c r="AM276" s="6" t="n">
        <v>0.2074022367334494</v>
      </c>
    </row>
    <row r="277">
      <c r="A277" s="2" t="inlineStr">
        <is>
          <t>KPROP-00276</t>
        </is>
      </c>
      <c r="B277" s="3" t="n">
        <v>45897.78170138889</v>
      </c>
      <c r="C277" s="3" t="n">
        <v>45897</v>
      </c>
      <c r="D277" s="2" t="inlineStr">
        <is>
          <t>Aaron Nola</t>
        </is>
      </c>
      <c r="E277" s="2" t="n">
        <v>143</v>
      </c>
      <c r="F277" s="2" t="n">
        <v>144</v>
      </c>
      <c r="G277" s="2" t="inlineStr">
        <is>
          <t>Home</t>
        </is>
      </c>
      <c r="H277" s="2" t="inlineStr">
        <is>
          <t>betrivers</t>
        </is>
      </c>
      <c r="I277" s="4" t="n"/>
      <c r="J277" s="4" t="n"/>
      <c r="K277" s="4" t="n">
        <v>102</v>
      </c>
      <c r="L277" s="4" t="n">
        <v>102</v>
      </c>
      <c r="M277" s="5" t="n">
        <v>5.5</v>
      </c>
      <c r="N277" s="5" t="n">
        <v>4.755122886223969</v>
      </c>
      <c r="O277" s="5" t="n">
        <v>5.5</v>
      </c>
      <c r="P277" s="5" t="n">
        <v>0.7448771137760311</v>
      </c>
      <c r="Q277" s="6" t="n">
        <v>0.3308582311116348</v>
      </c>
      <c r="R277" s="6" t="n">
        <v>0.6588407084711063</v>
      </c>
      <c r="S277" s="6" t="n">
        <v>0.4757785467128028</v>
      </c>
      <c r="T277" s="2" t="inlineStr">
        <is>
          <t>Under</t>
        </is>
      </c>
      <c r="U277" s="4" t="n">
        <v>102</v>
      </c>
      <c r="V277" s="2" t="n">
        <v>2.02</v>
      </c>
      <c r="W277" s="4" t="n">
        <v>102</v>
      </c>
      <c r="X277" s="2" t="n">
        <v>1</v>
      </c>
      <c r="Y277" s="5" t="n">
        <v>1.02</v>
      </c>
      <c r="Z277" s="7" t="n">
        <v>100</v>
      </c>
      <c r="AA277" s="7">
        <f>Y277*Z277</f>
        <v/>
      </c>
      <c r="AB277" s="6">
        <f>IF(Z277=0,0,AA277/Z277)</f>
        <v/>
      </c>
      <c r="AC277" s="6" t="n"/>
      <c r="AD277" s="2" t="inlineStr">
        <is>
          <t>Win</t>
        </is>
      </c>
      <c r="AE277" s="6">
        <f>IF((COUNTIF($AD$2:AD277,"Win")+COUNTIF($AD$2:AD277,"Loss"))=0,0,COUNTIF($AD$2:AD277,"Win")/(COUNTIF($AD$2:AD277,"Win")+COUNTIF($AD$2:AD277,"Loss")))</f>
        <v/>
      </c>
      <c r="AF277" s="6">
        <f>SUM($Y$2:Y277)/SUM($X$2:X277)</f>
        <v/>
      </c>
      <c r="AG277" s="5">
        <f>SUM($Y$2:Y277)</f>
        <v/>
      </c>
      <c r="AH277" s="7">
        <f>10000.0+SUM($AA$2:AA277)</f>
        <v/>
      </c>
      <c r="AI277" s="2" t="n">
        <v>2025</v>
      </c>
      <c r="AJ277" s="2" t="inlineStr">
        <is>
          <t>2025-08</t>
        </is>
      </c>
      <c r="AK277" s="2" t="inlineStr">
        <is>
          <t>+100 to +120</t>
        </is>
      </c>
      <c r="AL277" s="2" t="inlineStr">
        <is>
          <t>2025 Validation</t>
        </is>
      </c>
      <c r="AM277" s="6" t="n">
        <v>0.3243708148153283</v>
      </c>
    </row>
    <row r="278">
      <c r="A278" s="2" t="inlineStr">
        <is>
          <t>KPROP-00277</t>
        </is>
      </c>
      <c r="B278" s="3" t="n">
        <v>45897.59420138889</v>
      </c>
      <c r="C278" s="3" t="n">
        <v>45897</v>
      </c>
      <c r="D278" s="2" t="inlineStr">
        <is>
          <t>Braxton Ashcraft</t>
        </is>
      </c>
      <c r="E278" s="2" t="n">
        <v>134</v>
      </c>
      <c r="F278" s="2" t="n">
        <v>138</v>
      </c>
      <c r="G278" s="2" t="inlineStr">
        <is>
          <t>Away</t>
        </is>
      </c>
      <c r="H278" s="2" t="inlineStr">
        <is>
          <t>betrivers</t>
        </is>
      </c>
      <c r="I278" s="4" t="n"/>
      <c r="J278" s="4" t="n"/>
      <c r="K278" s="4" t="n">
        <v>133</v>
      </c>
      <c r="L278" s="4" t="n">
        <v>133</v>
      </c>
      <c r="M278" s="5" t="n">
        <v>3.5</v>
      </c>
      <c r="N278" s="5" t="n">
        <v>3.527604924650488</v>
      </c>
      <c r="O278" s="5" t="n">
        <v>3.5</v>
      </c>
      <c r="P278" s="5" t="n">
        <v>-0.02760492465048836</v>
      </c>
      <c r="Q278" s="6" t="n">
        <v>0.2365026677739649</v>
      </c>
      <c r="R278" s="6" t="n">
        <v>0.5306878402463369</v>
      </c>
      <c r="S278" s="6" t="n">
        <v>0.4170141784820685</v>
      </c>
      <c r="T278" s="2" t="inlineStr">
        <is>
          <t>Under</t>
        </is>
      </c>
      <c r="U278" s="4" t="n">
        <v>133</v>
      </c>
      <c r="V278" s="2" t="n">
        <v>2.33</v>
      </c>
      <c r="W278" s="4" t="n">
        <v>133</v>
      </c>
      <c r="X278" s="2" t="n">
        <v>1</v>
      </c>
      <c r="Y278" s="5" t="n">
        <v>-1</v>
      </c>
      <c r="Z278" s="7" t="n">
        <v>100</v>
      </c>
      <c r="AA278" s="7">
        <f>Y278*Z278</f>
        <v/>
      </c>
      <c r="AB278" s="6">
        <f>IF(Z278=0,0,AA278/Z278)</f>
        <v/>
      </c>
      <c r="AC278" s="6" t="n"/>
      <c r="AD278" s="2" t="inlineStr">
        <is>
          <t>Loss</t>
        </is>
      </c>
      <c r="AE278" s="6">
        <f>IF((COUNTIF($AD$2:AD278,"Win")+COUNTIF($AD$2:AD278,"Loss"))=0,0,COUNTIF($AD$2:AD278,"Win")/(COUNTIF($AD$2:AD278,"Win")+COUNTIF($AD$2:AD278,"Loss")))</f>
        <v/>
      </c>
      <c r="AF278" s="6">
        <f>SUM($Y$2:Y278)/SUM($X$2:X278)</f>
        <v/>
      </c>
      <c r="AG278" s="5">
        <f>SUM($Y$2:Y278)</f>
        <v/>
      </c>
      <c r="AH278" s="7">
        <f>10000.0+SUM($AA$2:AA278)</f>
        <v/>
      </c>
      <c r="AI278" s="2" t="n">
        <v>2025</v>
      </c>
      <c r="AJ278" s="2" t="inlineStr">
        <is>
          <t>2025-08</t>
        </is>
      </c>
      <c r="AK278" s="2" t="inlineStr">
        <is>
          <t>+121 to +150</t>
        </is>
      </c>
      <c r="AL278" s="2" t="inlineStr">
        <is>
          <t>2025 Validation</t>
        </is>
      </c>
      <c r="AM278" s="6" t="n">
        <v>0.1778215547172668</v>
      </c>
    </row>
    <row r="279">
      <c r="A279" s="2" t="inlineStr">
        <is>
          <t>KPROP-00278</t>
        </is>
      </c>
      <c r="B279" s="3" t="n">
        <v>45897.7990625</v>
      </c>
      <c r="C279" s="3" t="n">
        <v>45897</v>
      </c>
      <c r="D279" s="2" t="inlineStr">
        <is>
          <t>Clay Holmes</t>
        </is>
      </c>
      <c r="E279" s="2" t="n">
        <v>121</v>
      </c>
      <c r="F279" s="2" t="n">
        <v>146</v>
      </c>
      <c r="G279" s="2" t="inlineStr">
        <is>
          <t>Home</t>
        </is>
      </c>
      <c r="H279" s="2" t="inlineStr">
        <is>
          <t>bovada</t>
        </is>
      </c>
      <c r="I279" s="4" t="n"/>
      <c r="J279" s="4" t="n"/>
      <c r="K279" s="4" t="n">
        <v>130</v>
      </c>
      <c r="L279" s="4" t="n">
        <v>130</v>
      </c>
      <c r="M279" s="5" t="n">
        <v>3.5</v>
      </c>
      <c r="N279" s="5" t="n">
        <v>3.805672254831525</v>
      </c>
      <c r="O279" s="5" t="n">
        <v>3.5</v>
      </c>
      <c r="P279" s="5" t="n">
        <v>-0.3056722548315252</v>
      </c>
      <c r="Q279" s="6" t="n">
        <v>0.0863476402096184</v>
      </c>
      <c r="R279" s="6" t="n">
        <v>0.4723250609607037</v>
      </c>
      <c r="S279" s="6" t="n">
        <v>0.4140127388535032</v>
      </c>
      <c r="T279" s="2" t="inlineStr">
        <is>
          <t>Under</t>
        </is>
      </c>
      <c r="U279" s="4" t="n">
        <v>130</v>
      </c>
      <c r="V279" s="2" t="n">
        <v>2.3</v>
      </c>
      <c r="W279" s="4" t="n">
        <v>130</v>
      </c>
      <c r="X279" s="2" t="n">
        <v>1</v>
      </c>
      <c r="Y279" s="5" t="n">
        <v>1.3</v>
      </c>
      <c r="Z279" s="7" t="n">
        <v>100</v>
      </c>
      <c r="AA279" s="7">
        <f>Y279*Z279</f>
        <v/>
      </c>
      <c r="AB279" s="6">
        <f>IF(Z279=0,0,AA279/Z279)</f>
        <v/>
      </c>
      <c r="AC279" s="6" t="n"/>
      <c r="AD279" s="2" t="inlineStr">
        <is>
          <t>Win</t>
        </is>
      </c>
      <c r="AE279" s="6">
        <f>IF((COUNTIF($AD$2:AD279,"Win")+COUNTIF($AD$2:AD279,"Loss"))=0,0,COUNTIF($AD$2:AD279,"Win")/(COUNTIF($AD$2:AD279,"Win")+COUNTIF($AD$2:AD279,"Loss")))</f>
        <v/>
      </c>
      <c r="AF279" s="6">
        <f>SUM($Y$2:Y279)/SUM($X$2:X279)</f>
        <v/>
      </c>
      <c r="AG279" s="5">
        <f>SUM($Y$2:Y279)</f>
        <v/>
      </c>
      <c r="AH279" s="7">
        <f>10000.0+SUM($AA$2:AA279)</f>
        <v/>
      </c>
      <c r="AI279" s="2" t="n">
        <v>2025</v>
      </c>
      <c r="AJ279" s="2" t="inlineStr">
        <is>
          <t>2025-08</t>
        </is>
      </c>
      <c r="AK279" s="2" t="inlineStr">
        <is>
          <t>+121 to +150</t>
        </is>
      </c>
      <c r="AL279" s="2" t="inlineStr">
        <is>
          <t>2025 Validation</t>
        </is>
      </c>
      <c r="AM279" s="6" t="n">
        <v>0.06642126169970645</v>
      </c>
    </row>
    <row r="280">
      <c r="A280" s="2" t="inlineStr">
        <is>
          <t>KPROP-00279</t>
        </is>
      </c>
      <c r="B280" s="3" t="n">
        <v>45897.65670138889</v>
      </c>
      <c r="C280" s="3" t="n">
        <v>45897</v>
      </c>
      <c r="D280" s="2" t="inlineStr">
        <is>
          <t>Logan Webb</t>
        </is>
      </c>
      <c r="E280" s="2" t="n">
        <v>137</v>
      </c>
      <c r="F280" s="2" t="n">
        <v>112</v>
      </c>
      <c r="G280" s="2" t="inlineStr">
        <is>
          <t>Home</t>
        </is>
      </c>
      <c r="H280" s="2" t="inlineStr">
        <is>
          <t>draftkings</t>
        </is>
      </c>
      <c r="I280" s="4" t="n"/>
      <c r="J280" s="4" t="n"/>
      <c r="K280" s="4" t="n">
        <v>105</v>
      </c>
      <c r="L280" s="4" t="n">
        <v>105</v>
      </c>
      <c r="M280" s="5" t="n">
        <v>5.5</v>
      </c>
      <c r="N280" s="5" t="n">
        <v>5.132951093578044</v>
      </c>
      <c r="O280" s="5" t="n">
        <v>5.5</v>
      </c>
      <c r="P280" s="5" t="n">
        <v>0.3670489064219558</v>
      </c>
      <c r="Q280" s="6" t="n">
        <v>0.2149235504661702</v>
      </c>
      <c r="R280" s="6" t="n">
        <v>0.5926456343737416</v>
      </c>
      <c r="S280" s="6" t="n">
        <v>0.4740160904544466</v>
      </c>
      <c r="T280" s="2" t="inlineStr">
        <is>
          <t>Under</t>
        </is>
      </c>
      <c r="U280" s="4" t="n">
        <v>105</v>
      </c>
      <c r="V280" s="2" t="n">
        <v>2.05</v>
      </c>
      <c r="W280" s="4" t="n">
        <v>105</v>
      </c>
      <c r="X280" s="2" t="n">
        <v>1</v>
      </c>
      <c r="Y280" s="5" t="n">
        <v>-1</v>
      </c>
      <c r="Z280" s="7" t="n">
        <v>100</v>
      </c>
      <c r="AA280" s="7">
        <f>Y280*Z280</f>
        <v/>
      </c>
      <c r="AB280" s="6">
        <f>IF(Z280=0,0,AA280/Z280)</f>
        <v/>
      </c>
      <c r="AC280" s="6" t="n"/>
      <c r="AD280" s="2" t="inlineStr">
        <is>
          <t>Loss</t>
        </is>
      </c>
      <c r="AE280" s="6">
        <f>IF((COUNTIF($AD$2:AD280,"Win")+COUNTIF($AD$2:AD280,"Loss"))=0,0,COUNTIF($AD$2:AD280,"Win")/(COUNTIF($AD$2:AD280,"Win")+COUNTIF($AD$2:AD280,"Loss")))</f>
        <v/>
      </c>
      <c r="AF280" s="6">
        <f>SUM($Y$2:Y280)/SUM($X$2:X280)</f>
        <v/>
      </c>
      <c r="AG280" s="5">
        <f>SUM($Y$2:Y280)</f>
        <v/>
      </c>
      <c r="AH280" s="7">
        <f>10000.0+SUM($AA$2:AA280)</f>
        <v/>
      </c>
      <c r="AI280" s="2" t="n">
        <v>2025</v>
      </c>
      <c r="AJ280" s="2" t="inlineStr">
        <is>
          <t>2025-08</t>
        </is>
      </c>
      <c r="AK280" s="2" t="inlineStr">
        <is>
          <t>+100 to +120</t>
        </is>
      </c>
      <c r="AL280" s="2" t="inlineStr">
        <is>
          <t>2025 Validation</t>
        </is>
      </c>
      <c r="AM280" s="6" t="n">
        <v>0.2046890956820669</v>
      </c>
    </row>
    <row r="281">
      <c r="A281" s="2" t="inlineStr">
        <is>
          <t>KPROP-00280</t>
        </is>
      </c>
      <c r="B281" s="3" t="n">
        <v>45897.65670138889</v>
      </c>
      <c r="C281" s="3" t="n">
        <v>45897</v>
      </c>
      <c r="D281" s="2" t="inlineStr">
        <is>
          <t>Shota Imanaga</t>
        </is>
      </c>
      <c r="E281" s="2" t="n">
        <v>112</v>
      </c>
      <c r="F281" s="2" t="n">
        <v>137</v>
      </c>
      <c r="G281" s="2" t="inlineStr">
        <is>
          <t>Away</t>
        </is>
      </c>
      <c r="H281" s="2" t="inlineStr">
        <is>
          <t>betrivers</t>
        </is>
      </c>
      <c r="I281" s="4" t="n"/>
      <c r="J281" s="4" t="n"/>
      <c r="K281" s="4" t="n">
        <v>128</v>
      </c>
      <c r="L281" s="4" t="n">
        <v>128</v>
      </c>
      <c r="M281" s="5" t="n">
        <v>4.5</v>
      </c>
      <c r="N281" s="5" t="n">
        <v>4.655758563336184</v>
      </c>
      <c r="O281" s="5" t="n">
        <v>4.5</v>
      </c>
      <c r="P281" s="5" t="n">
        <v>-0.1557585633361835</v>
      </c>
      <c r="Q281" s="6" t="n">
        <v>0.1464220043719623</v>
      </c>
      <c r="R281" s="6" t="n">
        <v>0.5028166685841939</v>
      </c>
      <c r="S281" s="6" t="n">
        <v>0.4070177500881627</v>
      </c>
      <c r="T281" s="2" t="inlineStr">
        <is>
          <t>Under</t>
        </is>
      </c>
      <c r="U281" s="4" t="n">
        <v>128</v>
      </c>
      <c r="V281" s="2" t="n">
        <v>2.28</v>
      </c>
      <c r="W281" s="4" t="n">
        <v>128</v>
      </c>
      <c r="X281" s="2" t="n">
        <v>1</v>
      </c>
      <c r="Y281" s="5" t="n">
        <v>-1</v>
      </c>
      <c r="Z281" s="7" t="n">
        <v>100</v>
      </c>
      <c r="AA281" s="7">
        <f>Y281*Z281</f>
        <v/>
      </c>
      <c r="AB281" s="6">
        <f>IF(Z281=0,0,AA281/Z281)</f>
        <v/>
      </c>
      <c r="AC281" s="6" t="n"/>
      <c r="AD281" s="2" t="inlineStr">
        <is>
          <t>Loss</t>
        </is>
      </c>
      <c r="AE281" s="6">
        <f>IF((COUNTIF($AD$2:AD281,"Win")+COUNTIF($AD$2:AD281,"Loss"))=0,0,COUNTIF($AD$2:AD281,"Win")/(COUNTIF($AD$2:AD281,"Win")+COUNTIF($AD$2:AD281,"Loss")))</f>
        <v/>
      </c>
      <c r="AF281" s="6">
        <f>SUM($Y$2:Y281)/SUM($X$2:X281)</f>
        <v/>
      </c>
      <c r="AG281" s="5">
        <f>SUM($Y$2:Y281)</f>
        <v/>
      </c>
      <c r="AH281" s="7">
        <f>10000.0+SUM($AA$2:AA281)</f>
        <v/>
      </c>
      <c r="AI281" s="2" t="n">
        <v>2025</v>
      </c>
      <c r="AJ281" s="2" t="inlineStr">
        <is>
          <t>2025-08</t>
        </is>
      </c>
      <c r="AK281" s="2" t="inlineStr">
        <is>
          <t>+121 to +150</t>
        </is>
      </c>
      <c r="AL281" s="2" t="inlineStr">
        <is>
          <t>2025 Validation</t>
        </is>
      </c>
      <c r="AM281" s="6" t="n">
        <v>0.1143921909155955</v>
      </c>
    </row>
    <row r="282">
      <c r="A282" s="2" t="inlineStr">
        <is>
          <t>KPROP-00281</t>
        </is>
      </c>
      <c r="B282" s="3" t="n">
        <v>45897.65670138889</v>
      </c>
      <c r="C282" s="3" t="n">
        <v>45897</v>
      </c>
      <c r="D282" s="2" t="inlineStr">
        <is>
          <t>Shota Imanaga</t>
        </is>
      </c>
      <c r="E282" s="2" t="n">
        <v>112</v>
      </c>
      <c r="F282" s="2" t="n">
        <v>137</v>
      </c>
      <c r="G282" s="2" t="inlineStr">
        <is>
          <t>Away</t>
        </is>
      </c>
      <c r="H282" s="2" t="inlineStr">
        <is>
          <t>fanatics</t>
        </is>
      </c>
      <c r="I282" s="4" t="n"/>
      <c r="J282" s="4" t="n"/>
      <c r="K282" s="4" t="n">
        <v>-140</v>
      </c>
      <c r="L282" s="4" t="n">
        <v>-140</v>
      </c>
      <c r="M282" s="5" t="n">
        <v>5.5</v>
      </c>
      <c r="N282" s="5" t="n">
        <v>4.655758563336184</v>
      </c>
      <c r="O282" s="5" t="n">
        <v>5.5</v>
      </c>
      <c r="P282" s="5" t="n">
        <v>0.8442414366638165</v>
      </c>
      <c r="Q282" s="6" t="n">
        <v>0.1590586454795904</v>
      </c>
      <c r="R282" s="6" t="n">
        <v>0.6761175431964277</v>
      </c>
      <c r="S282" s="6" t="n">
        <v>0.562043795620438</v>
      </c>
      <c r="T282" s="2" t="inlineStr">
        <is>
          <t>Under</t>
        </is>
      </c>
      <c r="U282" s="4" t="n">
        <v>-140</v>
      </c>
      <c r="V282" s="2" t="n">
        <v>1.714285714285714</v>
      </c>
      <c r="W282" s="4" t="n">
        <v>-140</v>
      </c>
      <c r="X282" s="2" t="n">
        <v>1</v>
      </c>
      <c r="Y282" s="5" t="n">
        <v>0.7142857142857144</v>
      </c>
      <c r="Z282" s="7" t="n">
        <v>100</v>
      </c>
      <c r="AA282" s="7">
        <f>Y282*Z282</f>
        <v/>
      </c>
      <c r="AB282" s="6">
        <f>IF(Z282=0,0,AA282/Z282)</f>
        <v/>
      </c>
      <c r="AC282" s="6" t="n"/>
      <c r="AD282" s="2" t="inlineStr">
        <is>
          <t>Win</t>
        </is>
      </c>
      <c r="AE282" s="6">
        <f>IF((COUNTIF($AD$2:AD282,"Win")+COUNTIF($AD$2:AD282,"Loss"))=0,0,COUNTIF($AD$2:AD282,"Win")/(COUNTIF($AD$2:AD282,"Win")+COUNTIF($AD$2:AD282,"Loss")))</f>
        <v/>
      </c>
      <c r="AF282" s="6">
        <f>SUM($Y$2:Y282)/SUM($X$2:X282)</f>
        <v/>
      </c>
      <c r="AG282" s="5">
        <f>SUM($Y$2:Y282)</f>
        <v/>
      </c>
      <c r="AH282" s="7">
        <f>10000.0+SUM($AA$2:AA282)</f>
        <v/>
      </c>
      <c r="AI282" s="2" t="n">
        <v>2025</v>
      </c>
      <c r="AJ282" s="2" t="inlineStr">
        <is>
          <t>2025-08</t>
        </is>
      </c>
      <c r="AK282" s="2" t="inlineStr">
        <is>
          <t>-149 to -120</t>
        </is>
      </c>
      <c r="AL282" s="2" t="inlineStr">
        <is>
          <t>2025 Validation</t>
        </is>
      </c>
      <c r="AM282" s="6" t="n">
        <v>0.2226821036714265</v>
      </c>
    </row>
    <row r="283">
      <c r="A283" s="2" t="inlineStr">
        <is>
          <t>KPROP-00282</t>
        </is>
      </c>
      <c r="B283" s="3" t="n">
        <v>45898.7990625</v>
      </c>
      <c r="C283" s="3" t="n">
        <v>45898</v>
      </c>
      <c r="D283" s="2" t="inlineStr">
        <is>
          <t>Jonah Tong</t>
        </is>
      </c>
      <c r="E283" s="2" t="n">
        <v>121</v>
      </c>
      <c r="F283" s="2" t="n">
        <v>146</v>
      </c>
      <c r="G283" s="2" t="inlineStr">
        <is>
          <t>Home</t>
        </is>
      </c>
      <c r="H283" s="2" t="inlineStr">
        <is>
          <t>bovada</t>
        </is>
      </c>
      <c r="I283" s="4" t="n"/>
      <c r="J283" s="4" t="n"/>
      <c r="K283" s="4" t="n">
        <v>130</v>
      </c>
      <c r="L283" s="4" t="n">
        <v>130</v>
      </c>
      <c r="M283" s="5" t="n">
        <v>5.5</v>
      </c>
      <c r="N283" s="5" t="n">
        <v>4.362477986665666</v>
      </c>
      <c r="O283" s="5" t="n">
        <v>5.5</v>
      </c>
      <c r="P283" s="5" t="n">
        <v>1.137522013334334</v>
      </c>
      <c r="Q283" s="6" t="n">
        <v>0.6703197321340287</v>
      </c>
      <c r="R283" s="6" t="n">
        <v>0.726225970493056</v>
      </c>
      <c r="S283" s="6" t="n">
        <v>0.4201680672268908</v>
      </c>
      <c r="T283" s="2" t="inlineStr">
        <is>
          <t>Under</t>
        </is>
      </c>
      <c r="U283" s="4" t="n">
        <v>130</v>
      </c>
      <c r="V283" s="2" t="n">
        <v>2.3</v>
      </c>
      <c r="W283" s="4" t="n">
        <v>130</v>
      </c>
      <c r="X283" s="2" t="n">
        <v>1</v>
      </c>
      <c r="Y283" s="5" t="n">
        <v>-1</v>
      </c>
      <c r="Z283" s="7" t="n">
        <v>100</v>
      </c>
      <c r="AA283" s="7">
        <f>Y283*Z283</f>
        <v/>
      </c>
      <c r="AB283" s="6">
        <f>IF(Z283=0,0,AA283/Z283)</f>
        <v/>
      </c>
      <c r="AC283" s="6" t="n"/>
      <c r="AD283" s="2" t="inlineStr">
        <is>
          <t>Loss</t>
        </is>
      </c>
      <c r="AE283" s="6">
        <f>IF((COUNTIF($AD$2:AD283,"Win")+COUNTIF($AD$2:AD283,"Loss"))=0,0,COUNTIF($AD$2:AD283,"Win")/(COUNTIF($AD$2:AD283,"Win")+COUNTIF($AD$2:AD283,"Loss")))</f>
        <v/>
      </c>
      <c r="AF283" s="6">
        <f>SUM($Y$2:Y283)/SUM($X$2:X283)</f>
        <v/>
      </c>
      <c r="AG283" s="5">
        <f>SUM($Y$2:Y283)</f>
        <v/>
      </c>
      <c r="AH283" s="7">
        <f>10000.0+SUM($AA$2:AA283)</f>
        <v/>
      </c>
      <c r="AI283" s="2" t="n">
        <v>2025</v>
      </c>
      <c r="AJ283" s="2" t="inlineStr">
        <is>
          <t>2025-08</t>
        </is>
      </c>
      <c r="AK283" s="2" t="inlineStr">
        <is>
          <t>+121 to +150</t>
        </is>
      </c>
      <c r="AL283" s="2" t="inlineStr">
        <is>
          <t>2025 Validation</t>
        </is>
      </c>
      <c r="AM283" s="6" t="n">
        <v>0.5156305631800222</v>
      </c>
    </row>
    <row r="284">
      <c r="A284" s="2" t="inlineStr">
        <is>
          <t>KPROP-00283</t>
        </is>
      </c>
      <c r="B284" s="3" t="n">
        <v>45898.7990625</v>
      </c>
      <c r="C284" s="3" t="n">
        <v>45898</v>
      </c>
      <c r="D284" s="2" t="inlineStr">
        <is>
          <t>Jonah Tong</t>
        </is>
      </c>
      <c r="E284" s="2" t="n">
        <v>121</v>
      </c>
      <c r="F284" s="2" t="n">
        <v>146</v>
      </c>
      <c r="G284" s="2" t="inlineStr">
        <is>
          <t>Home</t>
        </is>
      </c>
      <c r="H284" s="2" t="inlineStr">
        <is>
          <t>betrivers</t>
        </is>
      </c>
      <c r="I284" s="4" t="n"/>
      <c r="J284" s="4" t="n"/>
      <c r="K284" s="4" t="n">
        <v>-165</v>
      </c>
      <c r="L284" s="4" t="n">
        <v>-165</v>
      </c>
      <c r="M284" s="5" t="n">
        <v>6.5</v>
      </c>
      <c r="N284" s="5" t="n">
        <v>4.362477986665666</v>
      </c>
      <c r="O284" s="5" t="n">
        <v>6.5</v>
      </c>
      <c r="P284" s="5" t="n">
        <v>2.137522013334334</v>
      </c>
      <c r="Q284" s="6" t="n">
        <v>0.3623506182125452</v>
      </c>
      <c r="R284" s="6" t="n">
        <v>0.8482560453021508</v>
      </c>
      <c r="S284" s="6" t="n">
        <v>0.5990922844175491</v>
      </c>
      <c r="T284" s="2" t="inlineStr">
        <is>
          <t>Under</t>
        </is>
      </c>
      <c r="U284" s="4" t="n">
        <v>-165</v>
      </c>
      <c r="V284" s="2" t="n">
        <v>1.606060606060606</v>
      </c>
      <c r="W284" s="4" t="n">
        <v>-165</v>
      </c>
      <c r="X284" s="2" t="n">
        <v>1</v>
      </c>
      <c r="Y284" s="5" t="n">
        <v>0.606060606060606</v>
      </c>
      <c r="Z284" s="7" t="n">
        <v>100</v>
      </c>
      <c r="AA284" s="7">
        <f>Y284*Z284</f>
        <v/>
      </c>
      <c r="AB284" s="6">
        <f>IF(Z284=0,0,AA284/Z284)</f>
        <v/>
      </c>
      <c r="AC284" s="6" t="n"/>
      <c r="AD284" s="2" t="inlineStr">
        <is>
          <t>Win</t>
        </is>
      </c>
      <c r="AE284" s="6">
        <f>IF((COUNTIF($AD$2:AD284,"Win")+COUNTIF($AD$2:AD284,"Loss"))=0,0,COUNTIF($AD$2:AD284,"Win")/(COUNTIF($AD$2:AD284,"Win")+COUNTIF($AD$2:AD284,"Loss")))</f>
        <v/>
      </c>
      <c r="AF284" s="6">
        <f>SUM($Y$2:Y284)/SUM($X$2:X284)</f>
        <v/>
      </c>
      <c r="AG284" s="5">
        <f>SUM($Y$2:Y284)</f>
        <v/>
      </c>
      <c r="AH284" s="7">
        <f>10000.0+SUM($AA$2:AA284)</f>
        <v/>
      </c>
      <c r="AI284" s="2" t="n">
        <v>2025</v>
      </c>
      <c r="AJ284" s="2" t="inlineStr">
        <is>
          <t>2025-08</t>
        </is>
      </c>
      <c r="AK284" s="2" t="inlineStr">
        <is>
          <t>&lt;= -150</t>
        </is>
      </c>
      <c r="AL284" s="2" t="inlineStr">
        <is>
          <t>2025 Validation</t>
        </is>
      </c>
      <c r="AM284" s="6" t="n">
        <v>0.5978785200506997</v>
      </c>
    </row>
    <row r="285">
      <c r="A285" s="2" t="inlineStr">
        <is>
          <t>KPROP-00284</t>
        </is>
      </c>
      <c r="B285" s="3" t="n">
        <v>45898.77824074074</v>
      </c>
      <c r="C285" s="3" t="n">
        <v>45898</v>
      </c>
      <c r="D285" s="2" t="inlineStr">
        <is>
          <t>Matthew Liberatore</t>
        </is>
      </c>
      <c r="E285" s="2" t="n">
        <v>138</v>
      </c>
      <c r="F285" s="2" t="n">
        <v>113</v>
      </c>
      <c r="G285" s="2" t="inlineStr">
        <is>
          <t>Away</t>
        </is>
      </c>
      <c r="H285" s="2" t="inlineStr">
        <is>
          <t>draftkings</t>
        </is>
      </c>
      <c r="I285" s="4" t="n"/>
      <c r="J285" s="4" t="n"/>
      <c r="K285" s="4" t="n">
        <v>125</v>
      </c>
      <c r="L285" s="4" t="n">
        <v>125</v>
      </c>
      <c r="M285" s="5" t="n">
        <v>3.5</v>
      </c>
      <c r="N285" s="5" t="n">
        <v>3.321354083453057</v>
      </c>
      <c r="O285" s="5" t="n">
        <v>3.5</v>
      </c>
      <c r="P285" s="5" t="n">
        <v>0.1786459165469432</v>
      </c>
      <c r="Q285" s="6" t="n">
        <v>0.2951573843121389</v>
      </c>
      <c r="R285" s="6" t="n">
        <v>0.5756255041387284</v>
      </c>
      <c r="S285" s="6" t="n">
        <v>0.4255319148936171</v>
      </c>
      <c r="T285" s="2" t="inlineStr">
        <is>
          <t>Under</t>
        </is>
      </c>
      <c r="U285" s="4" t="n">
        <v>125</v>
      </c>
      <c r="V285" s="2" t="n">
        <v>2.25</v>
      </c>
      <c r="W285" s="4" t="n">
        <v>125</v>
      </c>
      <c r="X285" s="2" t="n">
        <v>1</v>
      </c>
      <c r="Y285" s="5" t="n">
        <v>-1</v>
      </c>
      <c r="Z285" s="7" t="n">
        <v>100</v>
      </c>
      <c r="AA285" s="7">
        <f>Y285*Z285</f>
        <v/>
      </c>
      <c r="AB285" s="6">
        <f>IF(Z285=0,0,AA285/Z285)</f>
        <v/>
      </c>
      <c r="AC285" s="6" t="n"/>
      <c r="AD285" s="2" t="inlineStr">
        <is>
          <t>Loss</t>
        </is>
      </c>
      <c r="AE285" s="6">
        <f>IF((COUNTIF($AD$2:AD285,"Win")+COUNTIF($AD$2:AD285,"Loss"))=0,0,COUNTIF($AD$2:AD285,"Win")/(COUNTIF($AD$2:AD285,"Win")+COUNTIF($AD$2:AD285,"Loss")))</f>
        <v/>
      </c>
      <c r="AF285" s="6">
        <f>SUM($Y$2:Y285)/SUM($X$2:X285)</f>
        <v/>
      </c>
      <c r="AG285" s="5">
        <f>SUM($Y$2:Y285)</f>
        <v/>
      </c>
      <c r="AH285" s="7">
        <f>10000.0+SUM($AA$2:AA285)</f>
        <v/>
      </c>
      <c r="AI285" s="2" t="n">
        <v>2025</v>
      </c>
      <c r="AJ285" s="2" t="inlineStr">
        <is>
          <t>2025-08</t>
        </is>
      </c>
      <c r="AK285" s="2" t="inlineStr">
        <is>
          <t>+121 to +150</t>
        </is>
      </c>
      <c r="AL285" s="2" t="inlineStr">
        <is>
          <t>2025 Validation</t>
        </is>
      </c>
      <c r="AM285" s="6" t="n">
        <v>0.2361259074497111</v>
      </c>
    </row>
    <row r="286">
      <c r="A286" s="2" t="inlineStr">
        <is>
          <t>KPROP-00285</t>
        </is>
      </c>
      <c r="B286" s="3" t="n">
        <v>45898.77824074074</v>
      </c>
      <c r="C286" s="3" t="n">
        <v>45898</v>
      </c>
      <c r="D286" s="2" t="inlineStr">
        <is>
          <t>Matthew Liberatore</t>
        </is>
      </c>
      <c r="E286" s="2" t="n">
        <v>138</v>
      </c>
      <c r="F286" s="2" t="n">
        <v>113</v>
      </c>
      <c r="G286" s="2" t="inlineStr">
        <is>
          <t>Away</t>
        </is>
      </c>
      <c r="H286" s="2" t="inlineStr">
        <is>
          <t>mybookieag</t>
        </is>
      </c>
      <c r="I286" s="4" t="n"/>
      <c r="J286" s="4" t="n"/>
      <c r="K286" s="4" t="n">
        <v>-171</v>
      </c>
      <c r="L286" s="4" t="n">
        <v>-171</v>
      </c>
      <c r="M286" s="5" t="n">
        <v>4.5</v>
      </c>
      <c r="N286" s="5" t="n">
        <v>3.321354083453057</v>
      </c>
      <c r="O286" s="5" t="n">
        <v>4.5</v>
      </c>
      <c r="P286" s="5" t="n">
        <v>1.178645916546943</v>
      </c>
      <c r="Q286" s="6" t="n">
        <v>0.2023680907274556</v>
      </c>
      <c r="R286" s="6" t="n">
        <v>0.7586898284664019</v>
      </c>
      <c r="S286" s="6" t="n">
        <v>0.5972356394441555</v>
      </c>
      <c r="T286" s="2" t="inlineStr">
        <is>
          <t>Under</t>
        </is>
      </c>
      <c r="U286" s="4" t="n">
        <v>-171</v>
      </c>
      <c r="V286" s="2" t="n">
        <v>1.584795321637427</v>
      </c>
      <c r="W286" s="4" t="n">
        <v>-171</v>
      </c>
      <c r="X286" s="2" t="n">
        <v>1</v>
      </c>
      <c r="Y286" s="5" t="n">
        <v>0.5847953216374269</v>
      </c>
      <c r="Z286" s="7" t="n">
        <v>100</v>
      </c>
      <c r="AA286" s="7">
        <f>Y286*Z286</f>
        <v/>
      </c>
      <c r="AB286" s="6">
        <f>IF(Z286=0,0,AA286/Z286)</f>
        <v/>
      </c>
      <c r="AC286" s="6" t="n"/>
      <c r="AD286" s="2" t="inlineStr">
        <is>
          <t>Win</t>
        </is>
      </c>
      <c r="AE286" s="6">
        <f>IF((COUNTIF($AD$2:AD286,"Win")+COUNTIF($AD$2:AD286,"Loss"))=0,0,COUNTIF($AD$2:AD286,"Win")/(COUNTIF($AD$2:AD286,"Win")+COUNTIF($AD$2:AD286,"Loss")))</f>
        <v/>
      </c>
      <c r="AF286" s="6">
        <f>SUM($Y$2:Y286)/SUM($X$2:X286)</f>
        <v/>
      </c>
      <c r="AG286" s="5">
        <f>SUM($Y$2:Y286)</f>
        <v/>
      </c>
      <c r="AH286" s="7">
        <f>10000.0+SUM($AA$2:AA286)</f>
        <v/>
      </c>
      <c r="AI286" s="2" t="n">
        <v>2025</v>
      </c>
      <c r="AJ286" s="2" t="inlineStr">
        <is>
          <t>2025-08</t>
        </is>
      </c>
      <c r="AK286" s="2" t="inlineStr">
        <is>
          <t>&lt;= -150</t>
        </is>
      </c>
      <c r="AL286" s="2" t="inlineStr">
        <is>
          <t>2025 Validation</t>
        </is>
      </c>
      <c r="AM286" s="6" t="n">
        <v>0.3460494351439491</v>
      </c>
    </row>
    <row r="287">
      <c r="A287" s="2" t="inlineStr">
        <is>
          <t>KPROP-00286</t>
        </is>
      </c>
      <c r="B287" s="3" t="n">
        <v>45898.78170138889</v>
      </c>
      <c r="C287" s="3" t="n">
        <v>45898</v>
      </c>
      <c r="D287" s="2" t="inlineStr">
        <is>
          <t>Ranger Suarez</t>
        </is>
      </c>
      <c r="E287" s="2" t="n">
        <v>143</v>
      </c>
      <c r="F287" s="2" t="n">
        <v>144</v>
      </c>
      <c r="G287" s="2" t="inlineStr">
        <is>
          <t>Home</t>
        </is>
      </c>
      <c r="H287" s="2" t="inlineStr">
        <is>
          <t>bovada</t>
        </is>
      </c>
      <c r="I287" s="4" t="n"/>
      <c r="J287" s="4" t="n"/>
      <c r="K287" s="4" t="n">
        <v>-120</v>
      </c>
      <c r="L287" s="4" t="n">
        <v>-120</v>
      </c>
      <c r="M287" s="5" t="n">
        <v>5.5</v>
      </c>
      <c r="N287" s="5" t="n">
        <v>4.685780243751766</v>
      </c>
      <c r="O287" s="5" t="n">
        <v>5.5</v>
      </c>
      <c r="P287" s="5" t="n">
        <v>0.8142197562482343</v>
      </c>
      <c r="Q287" s="6" t="n">
        <v>0.2300001284149745</v>
      </c>
      <c r="R287" s="6" t="n">
        <v>0.6709091609536224</v>
      </c>
      <c r="S287" s="6" t="n">
        <v>0.5291095890410958</v>
      </c>
      <c r="T287" s="2" t="inlineStr">
        <is>
          <t>Under</t>
        </is>
      </c>
      <c r="U287" s="4" t="n">
        <v>-120</v>
      </c>
      <c r="V287" s="2" t="n">
        <v>1.833333333333333</v>
      </c>
      <c r="W287" s="4" t="n">
        <v>-120</v>
      </c>
      <c r="X287" s="2" t="n">
        <v>1</v>
      </c>
      <c r="Y287" s="5" t="n">
        <v>0.8333333333333335</v>
      </c>
      <c r="Z287" s="7" t="n">
        <v>100</v>
      </c>
      <c r="AA287" s="7">
        <f>Y287*Z287</f>
        <v/>
      </c>
      <c r="AB287" s="6">
        <f>IF(Z287=0,0,AA287/Z287)</f>
        <v/>
      </c>
      <c r="AC287" s="6" t="n"/>
      <c r="AD287" s="2" t="inlineStr">
        <is>
          <t>Win</t>
        </is>
      </c>
      <c r="AE287" s="6">
        <f>IF((COUNTIF($AD$2:AD287,"Win")+COUNTIF($AD$2:AD287,"Loss"))=0,0,COUNTIF($AD$2:AD287,"Win")/(COUNTIF($AD$2:AD287,"Win")+COUNTIF($AD$2:AD287,"Loss")))</f>
        <v/>
      </c>
      <c r="AF287" s="6">
        <f>SUM($Y$2:Y287)/SUM($X$2:X287)</f>
        <v/>
      </c>
      <c r="AG287" s="5">
        <f>SUM($Y$2:Y287)</f>
        <v/>
      </c>
      <c r="AH287" s="7">
        <f>10000.0+SUM($AA$2:AA287)</f>
        <v/>
      </c>
      <c r="AI287" s="2" t="n">
        <v>2025</v>
      </c>
      <c r="AJ287" s="2" t="inlineStr">
        <is>
          <t>2025-08</t>
        </is>
      </c>
      <c r="AK287" s="2" t="inlineStr">
        <is>
          <t>-149 to -120</t>
        </is>
      </c>
      <c r="AL287" s="2" t="inlineStr">
        <is>
          <t>2025 Validation</t>
        </is>
      </c>
      <c r="AM287" s="6" t="n">
        <v>0.2760001540979694</v>
      </c>
    </row>
    <row r="288">
      <c r="A288" s="2" t="inlineStr">
        <is>
          <t>KPROP-00287</t>
        </is>
      </c>
      <c r="B288" s="3" t="n">
        <v>45898.77824074074</v>
      </c>
      <c r="C288" s="3" t="n">
        <v>45898</v>
      </c>
      <c r="D288" s="2" t="inlineStr">
        <is>
          <t>Zack Littell</t>
        </is>
      </c>
      <c r="E288" s="2" t="n">
        <v>113</v>
      </c>
      <c r="F288" s="2" t="n">
        <v>138</v>
      </c>
      <c r="G288" s="2" t="inlineStr">
        <is>
          <t>Home</t>
        </is>
      </c>
      <c r="H288" s="2" t="inlineStr">
        <is>
          <t>draftkings</t>
        </is>
      </c>
      <c r="I288" s="4" t="n"/>
      <c r="J288" s="4" t="n"/>
      <c r="K288" s="4" t="n">
        <v>-130</v>
      </c>
      <c r="L288" s="4" t="n">
        <v>-130</v>
      </c>
      <c r="M288" s="5" t="n">
        <v>4.5</v>
      </c>
      <c r="N288" s="5" t="n">
        <v>4.077915141748649</v>
      </c>
      <c r="O288" s="5" t="n">
        <v>4.5</v>
      </c>
      <c r="P288" s="5" t="n">
        <v>0.4220848582513508</v>
      </c>
      <c r="Q288" s="6" t="n">
        <v>0.08563311040886434</v>
      </c>
      <c r="R288" s="6" t="n">
        <v>0.6136187145789234</v>
      </c>
      <c r="S288" s="6" t="n">
        <v>0.5427435387673957</v>
      </c>
      <c r="T288" s="2" t="inlineStr">
        <is>
          <t>Under</t>
        </is>
      </c>
      <c r="U288" s="4" t="n">
        <v>-130</v>
      </c>
      <c r="V288" s="2" t="n">
        <v>1.769230769230769</v>
      </c>
      <c r="W288" s="4" t="n">
        <v>-130</v>
      </c>
      <c r="X288" s="2" t="n">
        <v>1</v>
      </c>
      <c r="Y288" s="5" t="n">
        <v>0.7692307692307692</v>
      </c>
      <c r="Z288" s="7" t="n">
        <v>100</v>
      </c>
      <c r="AA288" s="7">
        <f>Y288*Z288</f>
        <v/>
      </c>
      <c r="AB288" s="6">
        <f>IF(Z288=0,0,AA288/Z288)</f>
        <v/>
      </c>
      <c r="AC288" s="6" t="n"/>
      <c r="AD288" s="2" t="inlineStr">
        <is>
          <t>Win</t>
        </is>
      </c>
      <c r="AE288" s="6">
        <f>IF((COUNTIF($AD$2:AD288,"Win")+COUNTIF($AD$2:AD288,"Loss"))=0,0,COUNTIF($AD$2:AD288,"Win")/(COUNTIF($AD$2:AD288,"Win")+COUNTIF($AD$2:AD288,"Loss")))</f>
        <v/>
      </c>
      <c r="AF288" s="6">
        <f>SUM($Y$2:Y288)/SUM($X$2:X288)</f>
        <v/>
      </c>
      <c r="AG288" s="5">
        <f>SUM($Y$2:Y288)</f>
        <v/>
      </c>
      <c r="AH288" s="7">
        <f>10000.0+SUM($AA$2:AA288)</f>
        <v/>
      </c>
      <c r="AI288" s="2" t="n">
        <v>2025</v>
      </c>
      <c r="AJ288" s="2" t="inlineStr">
        <is>
          <t>2025-08</t>
        </is>
      </c>
      <c r="AK288" s="2" t="inlineStr">
        <is>
          <t>-149 to -120</t>
        </is>
      </c>
      <c r="AL288" s="2" t="inlineStr">
        <is>
          <t>2025 Validation</t>
        </is>
      </c>
      <c r="AM288" s="6" t="n">
        <v>0.1113230435315237</v>
      </c>
    </row>
    <row r="289">
      <c r="A289" s="2" t="inlineStr">
        <is>
          <t>KPROP-00288</t>
        </is>
      </c>
      <c r="B289" s="3" t="n">
        <v>45899.67405092593</v>
      </c>
      <c r="C289" s="3" t="n">
        <v>45899</v>
      </c>
      <c r="D289" s="2" t="inlineStr">
        <is>
          <t>David Peterson</t>
        </is>
      </c>
      <c r="E289" s="2" t="n">
        <v>121</v>
      </c>
      <c r="F289" s="2" t="n">
        <v>146</v>
      </c>
      <c r="G289" s="2" t="inlineStr">
        <is>
          <t>Home</t>
        </is>
      </c>
      <c r="H289" s="2" t="inlineStr">
        <is>
          <t>draftkings</t>
        </is>
      </c>
      <c r="I289" s="4" t="n"/>
      <c r="J289" s="4" t="n"/>
      <c r="K289" s="4" t="n">
        <v>100</v>
      </c>
      <c r="L289" s="4" t="n">
        <v>100</v>
      </c>
      <c r="M289" s="5" t="n">
        <v>5.5</v>
      </c>
      <c r="N289" s="5" t="n">
        <v>5.373525972085767</v>
      </c>
      <c r="O289" s="5" t="n">
        <v>5.5</v>
      </c>
      <c r="P289" s="5" t="n">
        <v>0.1264740279142327</v>
      </c>
      <c r="Q289" s="6" t="n">
        <v>0.1014235564737866</v>
      </c>
      <c r="R289" s="6" t="n">
        <v>0.5507117782368933</v>
      </c>
      <c r="S289" s="6" t="n">
        <v>0.4801762114537445</v>
      </c>
      <c r="T289" s="2" t="inlineStr">
        <is>
          <t>Under</t>
        </is>
      </c>
      <c r="U289" s="4" t="n">
        <v>100</v>
      </c>
      <c r="V289" s="2" t="n">
        <v>2</v>
      </c>
      <c r="W289" s="4" t="n">
        <v>100</v>
      </c>
      <c r="X289" s="2" t="n">
        <v>1</v>
      </c>
      <c r="Y289" s="5" t="n">
        <v>1</v>
      </c>
      <c r="Z289" s="7" t="n">
        <v>100</v>
      </c>
      <c r="AA289" s="7">
        <f>Y289*Z289</f>
        <v/>
      </c>
      <c r="AB289" s="6">
        <f>IF(Z289=0,0,AA289/Z289)</f>
        <v/>
      </c>
      <c r="AC289" s="6" t="n"/>
      <c r="AD289" s="2" t="inlineStr">
        <is>
          <t>Win</t>
        </is>
      </c>
      <c r="AE289" s="6">
        <f>IF((COUNTIF($AD$2:AD289,"Win")+COUNTIF($AD$2:AD289,"Loss"))=0,0,COUNTIF($AD$2:AD289,"Win")/(COUNTIF($AD$2:AD289,"Win")+COUNTIF($AD$2:AD289,"Loss")))</f>
        <v/>
      </c>
      <c r="AF289" s="6">
        <f>SUM($Y$2:Y289)/SUM($X$2:X289)</f>
        <v/>
      </c>
      <c r="AG289" s="5">
        <f>SUM($Y$2:Y289)</f>
        <v/>
      </c>
      <c r="AH289" s="7">
        <f>10000.0+SUM($AA$2:AA289)</f>
        <v/>
      </c>
      <c r="AI289" s="2" t="n">
        <v>2025</v>
      </c>
      <c r="AJ289" s="2" t="inlineStr">
        <is>
          <t>2025-08</t>
        </is>
      </c>
      <c r="AK289" s="2" t="inlineStr">
        <is>
          <t>+100 to +120</t>
        </is>
      </c>
      <c r="AL289" s="2" t="inlineStr">
        <is>
          <t>2025 Validation</t>
        </is>
      </c>
      <c r="AM289" s="6" t="n">
        <v>0.1014235564737866</v>
      </c>
    </row>
    <row r="290">
      <c r="A290" s="2" t="inlineStr">
        <is>
          <t>KPROP-00289</t>
        </is>
      </c>
      <c r="B290" s="3" t="n">
        <v>45899.62891203703</v>
      </c>
      <c r="C290" s="3" t="n">
        <v>45899</v>
      </c>
      <c r="D290" s="2" t="inlineStr">
        <is>
          <t>Kevin Gausman</t>
        </is>
      </c>
      <c r="E290" s="2" t="n">
        <v>141</v>
      </c>
      <c r="F290" s="2" t="n">
        <v>158</v>
      </c>
      <c r="G290" s="2" t="inlineStr">
        <is>
          <t>Home</t>
        </is>
      </c>
      <c r="H290" s="2" t="inlineStr">
        <is>
          <t>betrivers</t>
        </is>
      </c>
      <c r="I290" s="4" t="n"/>
      <c r="J290" s="4" t="n"/>
      <c r="K290" s="4" t="n">
        <v>-125</v>
      </c>
      <c r="L290" s="4" t="n">
        <v>-125</v>
      </c>
      <c r="M290" s="5" t="n">
        <v>5.5</v>
      </c>
      <c r="N290" s="5" t="n">
        <v>5.05543256598438</v>
      </c>
      <c r="O290" s="5" t="n">
        <v>5.5</v>
      </c>
      <c r="P290" s="5" t="n">
        <v>0.44456743401562</v>
      </c>
      <c r="Q290" s="6" t="n">
        <v>0.09122307012353792</v>
      </c>
      <c r="R290" s="6" t="n">
        <v>0.6062350389575211</v>
      </c>
      <c r="S290" s="6" t="n">
        <v>0.5384615384615385</v>
      </c>
      <c r="T290" s="2" t="inlineStr">
        <is>
          <t>Under</t>
        </is>
      </c>
      <c r="U290" s="4" t="n">
        <v>-125</v>
      </c>
      <c r="V290" s="2" t="n">
        <v>1.8</v>
      </c>
      <c r="W290" s="4" t="n">
        <v>-125</v>
      </c>
      <c r="X290" s="2" t="n">
        <v>1</v>
      </c>
      <c r="Y290" s="5" t="n">
        <v>-1</v>
      </c>
      <c r="Z290" s="7" t="n">
        <v>100</v>
      </c>
      <c r="AA290" s="7">
        <f>Y290*Z290</f>
        <v/>
      </c>
      <c r="AB290" s="6">
        <f>IF(Z290=0,0,AA290/Z290)</f>
        <v/>
      </c>
      <c r="AC290" s="6" t="n"/>
      <c r="AD290" s="2" t="inlineStr">
        <is>
          <t>Loss</t>
        </is>
      </c>
      <c r="AE290" s="6">
        <f>IF((COUNTIF($AD$2:AD290,"Win")+COUNTIF($AD$2:AD290,"Loss"))=0,0,COUNTIF($AD$2:AD290,"Win")/(COUNTIF($AD$2:AD290,"Win")+COUNTIF($AD$2:AD290,"Loss")))</f>
        <v/>
      </c>
      <c r="AF290" s="6">
        <f>SUM($Y$2:Y290)/SUM($X$2:X290)</f>
        <v/>
      </c>
      <c r="AG290" s="5">
        <f>SUM($Y$2:Y290)</f>
        <v/>
      </c>
      <c r="AH290" s="7">
        <f>10000.0+SUM($AA$2:AA290)</f>
        <v/>
      </c>
      <c r="AI290" s="2" t="n">
        <v>2025</v>
      </c>
      <c r="AJ290" s="2" t="inlineStr">
        <is>
          <t>2025-08</t>
        </is>
      </c>
      <c r="AK290" s="2" t="inlineStr">
        <is>
          <t>-149 to -120</t>
        </is>
      </c>
      <c r="AL290" s="2" t="inlineStr">
        <is>
          <t>2025 Validation</t>
        </is>
      </c>
      <c r="AM290" s="6" t="n">
        <v>0.1140288376544224</v>
      </c>
    </row>
    <row r="291">
      <c r="A291" s="2" t="inlineStr">
        <is>
          <t>KPROP-00290</t>
        </is>
      </c>
      <c r="B291" s="3" t="n">
        <v>45899.80252314815</v>
      </c>
      <c r="C291" s="3" t="n">
        <v>45899</v>
      </c>
      <c r="D291" s="2" t="inlineStr">
        <is>
          <t>Logan Gilbert</t>
        </is>
      </c>
      <c r="E291" s="2" t="n">
        <v>136</v>
      </c>
      <c r="F291" s="2" t="n">
        <v>114</v>
      </c>
      <c r="G291" s="2" t="inlineStr">
        <is>
          <t>Away</t>
        </is>
      </c>
      <c r="H291" s="2" t="inlineStr">
        <is>
          <t>fanduel</t>
        </is>
      </c>
      <c r="I291" s="4" t="n"/>
      <c r="J291" s="4" t="n"/>
      <c r="K291" s="4" t="n">
        <v>106</v>
      </c>
      <c r="L291" s="4" t="n">
        <v>106</v>
      </c>
      <c r="M291" s="5" t="n">
        <v>6.5</v>
      </c>
      <c r="N291" s="5" t="n">
        <v>5.870060867559659</v>
      </c>
      <c r="O291" s="5" t="n">
        <v>6.5</v>
      </c>
      <c r="P291" s="5" t="n">
        <v>0.6299391324403407</v>
      </c>
      <c r="Q291" s="6" t="n">
        <v>0.2919580916063288</v>
      </c>
      <c r="R291" s="6" t="n">
        <v>0.6271641221389945</v>
      </c>
      <c r="S291" s="6" t="n">
        <v>0.4728029842977358</v>
      </c>
      <c r="T291" s="2" t="inlineStr">
        <is>
          <t>Under</t>
        </is>
      </c>
      <c r="U291" s="4" t="n">
        <v>106</v>
      </c>
      <c r="V291" s="2" t="n">
        <v>2.06</v>
      </c>
      <c r="W291" s="4" t="n">
        <v>106</v>
      </c>
      <c r="X291" s="2" t="n">
        <v>1</v>
      </c>
      <c r="Y291" s="5" t="n">
        <v>1.06</v>
      </c>
      <c r="Z291" s="7" t="n">
        <v>100</v>
      </c>
      <c r="AA291" s="7">
        <f>Y291*Z291</f>
        <v/>
      </c>
      <c r="AB291" s="6">
        <f>IF(Z291=0,0,AA291/Z291)</f>
        <v/>
      </c>
      <c r="AC291" s="6" t="n"/>
      <c r="AD291" s="2" t="inlineStr">
        <is>
          <t>Win</t>
        </is>
      </c>
      <c r="AE291" s="6">
        <f>IF((COUNTIF($AD$2:AD291,"Win")+COUNTIF($AD$2:AD291,"Loss"))=0,0,COUNTIF($AD$2:AD291,"Win")/(COUNTIF($AD$2:AD291,"Win")+COUNTIF($AD$2:AD291,"Loss")))</f>
        <v/>
      </c>
      <c r="AF291" s="6">
        <f>SUM($Y$2:Y291)/SUM($X$2:X291)</f>
        <v/>
      </c>
      <c r="AG291" s="5">
        <f>SUM($Y$2:Y291)</f>
        <v/>
      </c>
      <c r="AH291" s="7">
        <f>10000.0+SUM($AA$2:AA291)</f>
        <v/>
      </c>
      <c r="AI291" s="2" t="n">
        <v>2025</v>
      </c>
      <c r="AJ291" s="2" t="inlineStr">
        <is>
          <t>2025-08</t>
        </is>
      </c>
      <c r="AK291" s="2" t="inlineStr">
        <is>
          <t>+100 to +120</t>
        </is>
      </c>
      <c r="AL291" s="2" t="inlineStr">
        <is>
          <t>2025 Validation</t>
        </is>
      </c>
      <c r="AM291" s="6" t="n">
        <v>0.275432161892763</v>
      </c>
    </row>
    <row r="292">
      <c r="A292" s="2" t="inlineStr">
        <is>
          <t>KPROP-00291</t>
        </is>
      </c>
      <c r="B292" s="3" t="n">
        <v>45900.54557870371</v>
      </c>
      <c r="C292" s="3" t="n">
        <v>45900</v>
      </c>
      <c r="D292" s="2" t="inlineStr">
        <is>
          <t>Joe Ryan</t>
        </is>
      </c>
      <c r="E292" s="2" t="n">
        <v>142</v>
      </c>
      <c r="F292" s="2" t="n">
        <v>135</v>
      </c>
      <c r="G292" s="2" t="inlineStr">
        <is>
          <t>Home</t>
        </is>
      </c>
      <c r="H292" s="2" t="inlineStr">
        <is>
          <t>fanduel</t>
        </is>
      </c>
      <c r="I292" s="4" t="n"/>
      <c r="J292" s="4" t="n"/>
      <c r="K292" s="4" t="n">
        <v>-128</v>
      </c>
      <c r="L292" s="4" t="n">
        <v>-128</v>
      </c>
      <c r="M292" s="5" t="n">
        <v>5.5</v>
      </c>
      <c r="N292" s="5" t="n">
        <v>4.905280251345177</v>
      </c>
      <c r="O292" s="5" t="n">
        <v>5.5</v>
      </c>
      <c r="P292" s="5" t="n">
        <v>0.594719748654823</v>
      </c>
      <c r="Q292" s="6" t="n">
        <v>0.126775756462386</v>
      </c>
      <c r="R292" s="6" t="n">
        <v>0.632575863277129</v>
      </c>
      <c r="S292" s="6" t="n">
        <v>0.5362837617962902</v>
      </c>
      <c r="T292" s="2" t="inlineStr">
        <is>
          <t>Under</t>
        </is>
      </c>
      <c r="U292" s="4" t="n">
        <v>-128</v>
      </c>
      <c r="V292" s="2" t="n">
        <v>1.78125</v>
      </c>
      <c r="W292" s="4" t="n">
        <v>-128</v>
      </c>
      <c r="X292" s="2" t="n">
        <v>1</v>
      </c>
      <c r="Y292" s="5" t="n">
        <v>-1</v>
      </c>
      <c r="Z292" s="7" t="n">
        <v>100</v>
      </c>
      <c r="AA292" s="7">
        <f>Y292*Z292</f>
        <v/>
      </c>
      <c r="AB292" s="6">
        <f>IF(Z292=0,0,AA292/Z292)</f>
        <v/>
      </c>
      <c r="AC292" s="6" t="n"/>
      <c r="AD292" s="2" t="inlineStr">
        <is>
          <t>Loss</t>
        </is>
      </c>
      <c r="AE292" s="6">
        <f>IF((COUNTIF($AD$2:AD292,"Win")+COUNTIF($AD$2:AD292,"Loss"))=0,0,COUNTIF($AD$2:AD292,"Win")/(COUNTIF($AD$2:AD292,"Win")+COUNTIF($AD$2:AD292,"Loss")))</f>
        <v/>
      </c>
      <c r="AF292" s="6">
        <f>SUM($Y$2:Y292)/SUM($X$2:X292)</f>
        <v/>
      </c>
      <c r="AG292" s="5">
        <f>SUM($Y$2:Y292)</f>
        <v/>
      </c>
      <c r="AH292" s="7">
        <f>10000.0+SUM($AA$2:AA292)</f>
        <v/>
      </c>
      <c r="AI292" s="2" t="n">
        <v>2025</v>
      </c>
      <c r="AJ292" s="2" t="inlineStr">
        <is>
          <t>2025-08</t>
        </is>
      </c>
      <c r="AK292" s="2" t="inlineStr">
        <is>
          <t>-149 to -120</t>
        </is>
      </c>
      <c r="AL292" s="2" t="inlineStr">
        <is>
          <t>2025 Validation</t>
        </is>
      </c>
      <c r="AM292" s="6" t="n">
        <v>0.1622729682718541</v>
      </c>
    </row>
    <row r="293">
      <c r="A293" s="2" t="inlineStr">
        <is>
          <t>KPROP-00292</t>
        </is>
      </c>
      <c r="B293" s="3" t="n">
        <v>45900.56988425926</v>
      </c>
      <c r="C293" s="3" t="n">
        <v>45900</v>
      </c>
      <c r="D293" s="2" t="inlineStr">
        <is>
          <t>Kodai Senga</t>
        </is>
      </c>
      <c r="E293" s="2" t="n">
        <v>121</v>
      </c>
      <c r="F293" s="2" t="n">
        <v>146</v>
      </c>
      <c r="G293" s="2" t="inlineStr">
        <is>
          <t>Home</t>
        </is>
      </c>
      <c r="H293" s="2" t="inlineStr">
        <is>
          <t>fanduel</t>
        </is>
      </c>
      <c r="I293" s="4" t="n"/>
      <c r="J293" s="4" t="n"/>
      <c r="K293" s="4" t="n">
        <v>122</v>
      </c>
      <c r="L293" s="4" t="n">
        <v>122</v>
      </c>
      <c r="M293" s="5" t="n">
        <v>4.5</v>
      </c>
      <c r="N293" s="5" t="n">
        <v>4.216809559337564</v>
      </c>
      <c r="O293" s="5" t="n">
        <v>4.5</v>
      </c>
      <c r="P293" s="5" t="n">
        <v>0.2831904406624357</v>
      </c>
      <c r="Q293" s="6" t="n">
        <v>0.302163617082856</v>
      </c>
      <c r="R293" s="6" t="n">
        <v>0.5865601878751604</v>
      </c>
      <c r="S293" s="6" t="n">
        <v>0.4250232434586266</v>
      </c>
      <c r="T293" s="2" t="inlineStr">
        <is>
          <t>Under</t>
        </is>
      </c>
      <c r="U293" s="4" t="n">
        <v>122</v>
      </c>
      <c r="V293" s="2" t="n">
        <v>2.22</v>
      </c>
      <c r="W293" s="4" t="n">
        <v>122</v>
      </c>
      <c r="X293" s="2" t="n">
        <v>1</v>
      </c>
      <c r="Y293" s="5" t="n">
        <v>-1</v>
      </c>
      <c r="Z293" s="7" t="n">
        <v>100</v>
      </c>
      <c r="AA293" s="7">
        <f>Y293*Z293</f>
        <v/>
      </c>
      <c r="AB293" s="6">
        <f>IF(Z293=0,0,AA293/Z293)</f>
        <v/>
      </c>
      <c r="AC293" s="6" t="n"/>
      <c r="AD293" s="2" t="inlineStr">
        <is>
          <t>Loss</t>
        </is>
      </c>
      <c r="AE293" s="6">
        <f>IF((COUNTIF($AD$2:AD293,"Win")+COUNTIF($AD$2:AD293,"Loss"))=0,0,COUNTIF($AD$2:AD293,"Win")/(COUNTIF($AD$2:AD293,"Win")+COUNTIF($AD$2:AD293,"Loss")))</f>
        <v/>
      </c>
      <c r="AF293" s="6">
        <f>SUM($Y$2:Y293)/SUM($X$2:X293)</f>
        <v/>
      </c>
      <c r="AG293" s="5">
        <f>SUM($Y$2:Y293)</f>
        <v/>
      </c>
      <c r="AH293" s="7">
        <f>10000.0+SUM($AA$2:AA293)</f>
        <v/>
      </c>
      <c r="AI293" s="2" t="n">
        <v>2025</v>
      </c>
      <c r="AJ293" s="2" t="inlineStr">
        <is>
          <t>2025-08</t>
        </is>
      </c>
      <c r="AK293" s="2" t="inlineStr">
        <is>
          <t>+121 to +150</t>
        </is>
      </c>
      <c r="AL293" s="2" t="inlineStr">
        <is>
          <t>2025 Validation</t>
        </is>
      </c>
      <c r="AM293" s="6" t="n">
        <v>0.2476750959695541</v>
      </c>
    </row>
    <row r="294">
      <c r="A294" s="2" t="inlineStr">
        <is>
          <t>KPROP-00293</t>
        </is>
      </c>
      <c r="B294" s="3" t="n">
        <v>45900.56988425926</v>
      </c>
      <c r="C294" s="3" t="n">
        <v>45900</v>
      </c>
      <c r="D294" s="2" t="inlineStr">
        <is>
          <t>Kodai Senga</t>
        </is>
      </c>
      <c r="E294" s="2" t="n">
        <v>121</v>
      </c>
      <c r="F294" s="2" t="n">
        <v>146</v>
      </c>
      <c r="G294" s="2" t="inlineStr">
        <is>
          <t>Home</t>
        </is>
      </c>
      <c r="H294" s="2" t="inlineStr">
        <is>
          <t>betonlineag</t>
        </is>
      </c>
      <c r="I294" s="4" t="n"/>
      <c r="J294" s="4" t="n"/>
      <c r="K294" s="4" t="n">
        <v>-149</v>
      </c>
      <c r="L294" s="4" t="n">
        <v>-149</v>
      </c>
      <c r="M294" s="5" t="n">
        <v>5.5</v>
      </c>
      <c r="N294" s="5" t="n">
        <v>4.216809559337564</v>
      </c>
      <c r="O294" s="5" t="n">
        <v>5.5</v>
      </c>
      <c r="P294" s="5" t="n">
        <v>1.283190440662436</v>
      </c>
      <c r="Q294" s="6" t="n">
        <v>0.2540128942725908</v>
      </c>
      <c r="R294" s="6" t="n">
        <v>0.7503932580185383</v>
      </c>
      <c r="S294" s="6" t="n">
        <v>0.5791786378232212</v>
      </c>
      <c r="T294" s="2" t="inlineStr">
        <is>
          <t>Under</t>
        </is>
      </c>
      <c r="U294" s="4" t="n">
        <v>-149</v>
      </c>
      <c r="V294" s="2" t="n">
        <v>1.671140939597315</v>
      </c>
      <c r="W294" s="4" t="n">
        <v>-149</v>
      </c>
      <c r="X294" s="2" t="n">
        <v>1</v>
      </c>
      <c r="Y294" s="5" t="n">
        <v>-1</v>
      </c>
      <c r="Z294" s="7" t="n">
        <v>100</v>
      </c>
      <c r="AA294" s="7">
        <f>Y294*Z294</f>
        <v/>
      </c>
      <c r="AB294" s="6">
        <f>IF(Z294=0,0,AA294/Z294)</f>
        <v/>
      </c>
      <c r="AC294" s="6" t="n"/>
      <c r="AD294" s="2" t="inlineStr">
        <is>
          <t>Loss</t>
        </is>
      </c>
      <c r="AE294" s="6">
        <f>IF((COUNTIF($AD$2:AD294,"Win")+COUNTIF($AD$2:AD294,"Loss"))=0,0,COUNTIF($AD$2:AD294,"Win")/(COUNTIF($AD$2:AD294,"Win")+COUNTIF($AD$2:AD294,"Loss")))</f>
        <v/>
      </c>
      <c r="AF294" s="6">
        <f>SUM($Y$2:Y294)/SUM($X$2:X294)</f>
        <v/>
      </c>
      <c r="AG294" s="5">
        <f>SUM($Y$2:Y294)</f>
        <v/>
      </c>
      <c r="AH294" s="7">
        <f>10000.0+SUM($AA$2:AA294)</f>
        <v/>
      </c>
      <c r="AI294" s="2" t="n">
        <v>2025</v>
      </c>
      <c r="AJ294" s="2" t="inlineStr">
        <is>
          <t>2025-08</t>
        </is>
      </c>
      <c r="AK294" s="2" t="inlineStr">
        <is>
          <t>-149 to -120</t>
        </is>
      </c>
      <c r="AL294" s="2" t="inlineStr">
        <is>
          <t>2025 Validation</t>
        </is>
      </c>
      <c r="AM294" s="6" t="n">
        <v>0.3784792124661603</v>
      </c>
    </row>
    <row r="295">
      <c r="A295" s="2" t="inlineStr">
        <is>
          <t>KPROP-00294</t>
        </is>
      </c>
      <c r="B295" s="3" t="n">
        <v>45900.56641203703</v>
      </c>
      <c r="C295" s="3" t="n">
        <v>45900</v>
      </c>
      <c r="D295" s="2" t="inlineStr">
        <is>
          <t>Max Scherzer</t>
        </is>
      </c>
      <c r="E295" s="2" t="n">
        <v>141</v>
      </c>
      <c r="F295" s="2" t="n">
        <v>158</v>
      </c>
      <c r="G295" s="2" t="inlineStr">
        <is>
          <t>Home</t>
        </is>
      </c>
      <c r="H295" s="2" t="inlineStr">
        <is>
          <t>bovada</t>
        </is>
      </c>
      <c r="I295" s="4" t="n"/>
      <c r="J295" s="4" t="n"/>
      <c r="K295" s="4" t="n">
        <v>-130</v>
      </c>
      <c r="L295" s="4" t="n">
        <v>-130</v>
      </c>
      <c r="M295" s="5" t="n">
        <v>5.5</v>
      </c>
      <c r="N295" s="5" t="n">
        <v>5.008882196646969</v>
      </c>
      <c r="O295" s="5" t="n">
        <v>5.5</v>
      </c>
      <c r="P295" s="5" t="n">
        <v>0.4911178033530312</v>
      </c>
      <c r="Q295" s="6" t="n">
        <v>0.08701914112509603</v>
      </c>
      <c r="R295" s="6" t="n">
        <v>0.6144021232446195</v>
      </c>
      <c r="S295" s="6" t="n">
        <v>0.5704948646125116</v>
      </c>
      <c r="T295" s="2" t="inlineStr">
        <is>
          <t>Under</t>
        </is>
      </c>
      <c r="U295" s="4" t="n">
        <v>-130</v>
      </c>
      <c r="V295" s="2" t="n">
        <v>1.769230769230769</v>
      </c>
      <c r="W295" s="4" t="n">
        <v>-130</v>
      </c>
      <c r="X295" s="2" t="n">
        <v>1</v>
      </c>
      <c r="Y295" s="5" t="n">
        <v>0.7692307692307692</v>
      </c>
      <c r="Z295" s="7" t="n">
        <v>100</v>
      </c>
      <c r="AA295" s="7">
        <f>Y295*Z295</f>
        <v/>
      </c>
      <c r="AB295" s="6">
        <f>IF(Z295=0,0,AA295/Z295)</f>
        <v/>
      </c>
      <c r="AC295" s="6" t="n"/>
      <c r="AD295" s="2" t="inlineStr">
        <is>
          <t>Win</t>
        </is>
      </c>
      <c r="AE295" s="6">
        <f>IF((COUNTIF($AD$2:AD295,"Win")+COUNTIF($AD$2:AD295,"Loss"))=0,0,COUNTIF($AD$2:AD295,"Win")/(COUNTIF($AD$2:AD295,"Win")+COUNTIF($AD$2:AD295,"Loss")))</f>
        <v/>
      </c>
      <c r="AF295" s="6">
        <f>SUM($Y$2:Y295)/SUM($X$2:X295)</f>
        <v/>
      </c>
      <c r="AG295" s="5">
        <f>SUM($Y$2:Y295)</f>
        <v/>
      </c>
      <c r="AH295" s="7">
        <f>10000.0+SUM($AA$2:AA295)</f>
        <v/>
      </c>
      <c r="AI295" s="2" t="n">
        <v>2025</v>
      </c>
      <c r="AJ295" s="2" t="inlineStr">
        <is>
          <t>2025-08</t>
        </is>
      </c>
      <c r="AK295" s="2" t="inlineStr">
        <is>
          <t>-149 to -120</t>
        </is>
      </c>
      <c r="AL295" s="2" t="inlineStr">
        <is>
          <t>2025 Validation</t>
        </is>
      </c>
      <c r="AM295" s="6" t="n">
        <v>0.1131248834626248</v>
      </c>
    </row>
    <row r="296">
      <c r="A296" s="2" t="inlineStr">
        <is>
          <t>KPROP-00295</t>
        </is>
      </c>
      <c r="B296" s="3" t="n">
        <v>45901.59071759259</v>
      </c>
      <c r="C296" s="3" t="n">
        <v>45901</v>
      </c>
      <c r="D296" s="2" t="inlineStr">
        <is>
          <t>Bailey Ober</t>
        </is>
      </c>
      <c r="E296" s="2" t="n">
        <v>142</v>
      </c>
      <c r="F296" s="2" t="n">
        <v>145</v>
      </c>
      <c r="G296" s="2" t="inlineStr">
        <is>
          <t>Home</t>
        </is>
      </c>
      <c r="H296" s="2" t="inlineStr">
        <is>
          <t>fanatics</t>
        </is>
      </c>
      <c r="I296" s="4" t="n"/>
      <c r="J296" s="4" t="n"/>
      <c r="K296" s="4" t="n">
        <v>125</v>
      </c>
      <c r="L296" s="4" t="n">
        <v>125</v>
      </c>
      <c r="M296" s="5" t="n">
        <v>4.5</v>
      </c>
      <c r="N296" s="5" t="n">
        <v>4.017012546103379</v>
      </c>
      <c r="O296" s="5" t="n">
        <v>4.5</v>
      </c>
      <c r="P296" s="5" t="n">
        <v>0.4829874538966212</v>
      </c>
      <c r="Q296" s="6" t="n">
        <v>0.4074048985223768</v>
      </c>
      <c r="R296" s="6" t="n">
        <v>0.6255132882321675</v>
      </c>
      <c r="S296" s="6" t="n">
        <v>0.4281984334203655</v>
      </c>
      <c r="T296" s="2" t="inlineStr">
        <is>
          <t>Under</t>
        </is>
      </c>
      <c r="U296" s="4" t="n">
        <v>125</v>
      </c>
      <c r="V296" s="2" t="n">
        <v>2.25</v>
      </c>
      <c r="W296" s="4" t="n">
        <v>125</v>
      </c>
      <c r="X296" s="2" t="n">
        <v>1</v>
      </c>
      <c r="Y296" s="5" t="n">
        <v>1.25</v>
      </c>
      <c r="Z296" s="7" t="n">
        <v>100</v>
      </c>
      <c r="AA296" s="7">
        <f>Y296*Z296</f>
        <v/>
      </c>
      <c r="AB296" s="6">
        <f>IF(Z296=0,0,AA296/Z296)</f>
        <v/>
      </c>
      <c r="AC296" s="6" t="n"/>
      <c r="AD296" s="2" t="inlineStr">
        <is>
          <t>Win</t>
        </is>
      </c>
      <c r="AE296" s="6">
        <f>IF((COUNTIF($AD$2:AD296,"Win")+COUNTIF($AD$2:AD296,"Loss"))=0,0,COUNTIF($AD$2:AD296,"Win")/(COUNTIF($AD$2:AD296,"Win")+COUNTIF($AD$2:AD296,"Loss")))</f>
        <v/>
      </c>
      <c r="AF296" s="6">
        <f>SUM($Y$2:Y296)/SUM($X$2:X296)</f>
        <v/>
      </c>
      <c r="AG296" s="5">
        <f>SUM($Y$2:Y296)</f>
        <v/>
      </c>
      <c r="AH296" s="7">
        <f>10000.0+SUM($AA$2:AA296)</f>
        <v/>
      </c>
      <c r="AI296" s="2" t="n">
        <v>2025</v>
      </c>
      <c r="AJ296" s="2" t="inlineStr">
        <is>
          <t>2025-09</t>
        </is>
      </c>
      <c r="AK296" s="2" t="inlineStr">
        <is>
          <t>+121 to +150</t>
        </is>
      </c>
      <c r="AL296" s="2" t="inlineStr">
        <is>
          <t>2025 Validation</t>
        </is>
      </c>
      <c r="AM296" s="6" t="n">
        <v>0.3259239188179014</v>
      </c>
    </row>
    <row r="297">
      <c r="A297" s="2" t="inlineStr">
        <is>
          <t>KPROP-00296</t>
        </is>
      </c>
      <c r="B297" s="3" t="n">
        <v>45901.59071759259</v>
      </c>
      <c r="C297" s="3" t="n">
        <v>45901</v>
      </c>
      <c r="D297" s="2" t="inlineStr">
        <is>
          <t>Bailey Ober</t>
        </is>
      </c>
      <c r="E297" s="2" t="n">
        <v>142</v>
      </c>
      <c r="F297" s="2" t="n">
        <v>145</v>
      </c>
      <c r="G297" s="2" t="inlineStr">
        <is>
          <t>Home</t>
        </is>
      </c>
      <c r="H297" s="2" t="inlineStr">
        <is>
          <t>betmgm</t>
        </is>
      </c>
      <c r="I297" s="4" t="n"/>
      <c r="J297" s="4" t="n"/>
      <c r="K297" s="4" t="n">
        <v>-155</v>
      </c>
      <c r="L297" s="4" t="n">
        <v>-155</v>
      </c>
      <c r="M297" s="5" t="n">
        <v>5.5</v>
      </c>
      <c r="N297" s="5" t="n">
        <v>4.017012546103379</v>
      </c>
      <c r="O297" s="5" t="n">
        <v>5.5</v>
      </c>
      <c r="P297" s="5" t="n">
        <v>1.482987453896621</v>
      </c>
      <c r="Q297" s="6" t="n">
        <v>0.2872824700633646</v>
      </c>
      <c r="R297" s="6" t="n">
        <v>0.782465815136555</v>
      </c>
      <c r="S297" s="6" t="n">
        <v>0.5721476510067114</v>
      </c>
      <c r="T297" s="2" t="inlineStr">
        <is>
          <t>Under</t>
        </is>
      </c>
      <c r="U297" s="4" t="n">
        <v>-155</v>
      </c>
      <c r="V297" s="2" t="n">
        <v>1.645161290322581</v>
      </c>
      <c r="W297" s="4" t="n">
        <v>-155</v>
      </c>
      <c r="X297" s="2" t="n">
        <v>1</v>
      </c>
      <c r="Y297" s="5" t="n">
        <v>0.6451612903225805</v>
      </c>
      <c r="Z297" s="7" t="n">
        <v>100</v>
      </c>
      <c r="AA297" s="7">
        <f>Y297*Z297</f>
        <v/>
      </c>
      <c r="AB297" s="6">
        <f>IF(Z297=0,0,AA297/Z297)</f>
        <v/>
      </c>
      <c r="AC297" s="6" t="n"/>
      <c r="AD297" s="2" t="inlineStr">
        <is>
          <t>Win</t>
        </is>
      </c>
      <c r="AE297" s="6">
        <f>IF((COUNTIF($AD$2:AD297,"Win")+COUNTIF($AD$2:AD297,"Loss"))=0,0,COUNTIF($AD$2:AD297,"Win")/(COUNTIF($AD$2:AD297,"Win")+COUNTIF($AD$2:AD297,"Loss")))</f>
        <v/>
      </c>
      <c r="AF297" s="6">
        <f>SUM($Y$2:Y297)/SUM($X$2:X297)</f>
        <v/>
      </c>
      <c r="AG297" s="5">
        <f>SUM($Y$2:Y297)</f>
        <v/>
      </c>
      <c r="AH297" s="7">
        <f>10000.0+SUM($AA$2:AA297)</f>
        <v/>
      </c>
      <c r="AI297" s="2" t="n">
        <v>2025</v>
      </c>
      <c r="AJ297" s="2" t="inlineStr">
        <is>
          <t>2025-09</t>
        </is>
      </c>
      <c r="AK297" s="2" t="inlineStr">
        <is>
          <t>&lt;= -150</t>
        </is>
      </c>
      <c r="AL297" s="2" t="inlineStr">
        <is>
          <t>2025 Validation</t>
        </is>
      </c>
      <c r="AM297" s="6" t="n">
        <v>0.4452878285982153</v>
      </c>
    </row>
    <row r="298">
      <c r="A298" s="2" t="inlineStr">
        <is>
          <t>KPROP-00297</t>
        </is>
      </c>
      <c r="B298" s="3" t="n">
        <v>45901.54905092593</v>
      </c>
      <c r="C298" s="3" t="n">
        <v>45901</v>
      </c>
      <c r="D298" s="2" t="inlineStr">
        <is>
          <t>Sean Manaea</t>
        </is>
      </c>
      <c r="E298" s="2" t="n">
        <v>121</v>
      </c>
      <c r="F298" s="2" t="n">
        <v>116</v>
      </c>
      <c r="G298" s="2" t="inlineStr">
        <is>
          <t>Away</t>
        </is>
      </c>
      <c r="H298" s="2" t="inlineStr">
        <is>
          <t>fanduel</t>
        </is>
      </c>
      <c r="I298" s="4" t="n"/>
      <c r="J298" s="4" t="n"/>
      <c r="K298" s="4" t="n">
        <v>-112</v>
      </c>
      <c r="L298" s="4" t="n">
        <v>-112</v>
      </c>
      <c r="M298" s="5" t="n">
        <v>5.5</v>
      </c>
      <c r="N298" s="5" t="n">
        <v>5.269867322438174</v>
      </c>
      <c r="O298" s="5" t="n">
        <v>5.5</v>
      </c>
      <c r="P298" s="5" t="n">
        <v>0.2301326775618264</v>
      </c>
      <c r="Q298" s="6" t="n">
        <v>0.07650468912076114</v>
      </c>
      <c r="R298" s="6" t="n">
        <v>0.568719458403421</v>
      </c>
      <c r="S298" s="6" t="n">
        <v>0.5043297540699688</v>
      </c>
      <c r="T298" s="2" t="inlineStr">
        <is>
          <t>Under</t>
        </is>
      </c>
      <c r="U298" s="4" t="n">
        <v>-112</v>
      </c>
      <c r="V298" s="2" t="n">
        <v>1.892857142857143</v>
      </c>
      <c r="W298" s="4" t="n">
        <v>-112</v>
      </c>
      <c r="X298" s="2" t="n">
        <v>1</v>
      </c>
      <c r="Y298" s="5" t="n">
        <v>-1</v>
      </c>
      <c r="Z298" s="7" t="n">
        <v>100</v>
      </c>
      <c r="AA298" s="7">
        <f>Y298*Z298</f>
        <v/>
      </c>
      <c r="AB298" s="6">
        <f>IF(Z298=0,0,AA298/Z298)</f>
        <v/>
      </c>
      <c r="AC298" s="6" t="n"/>
      <c r="AD298" s="2" t="inlineStr">
        <is>
          <t>Loss</t>
        </is>
      </c>
      <c r="AE298" s="6">
        <f>IF((COUNTIF($AD$2:AD298,"Win")+COUNTIF($AD$2:AD298,"Loss"))=0,0,COUNTIF($AD$2:AD298,"Win")/(COUNTIF($AD$2:AD298,"Win")+COUNTIF($AD$2:AD298,"Loss")))</f>
        <v/>
      </c>
      <c r="AF298" s="6">
        <f>SUM($Y$2:Y298)/SUM($X$2:X298)</f>
        <v/>
      </c>
      <c r="AG298" s="5">
        <f>SUM($Y$2:Y298)</f>
        <v/>
      </c>
      <c r="AH298" s="7">
        <f>10000.0+SUM($AA$2:AA298)</f>
        <v/>
      </c>
      <c r="AI298" s="2" t="n">
        <v>2025</v>
      </c>
      <c r="AJ298" s="2" t="inlineStr">
        <is>
          <t>2025-09</t>
        </is>
      </c>
      <c r="AK298" s="2" t="inlineStr">
        <is>
          <t>-119 to -101</t>
        </is>
      </c>
      <c r="AL298" s="2" t="inlineStr">
        <is>
          <t>2025 Validation</t>
        </is>
      </c>
      <c r="AM298" s="6" t="n">
        <v>0.08568525181525248</v>
      </c>
    </row>
    <row r="299">
      <c r="A299" s="2" t="inlineStr">
        <is>
          <t>KPROP-00298</t>
        </is>
      </c>
      <c r="B299" s="3" t="n">
        <v>45901.66711805556</v>
      </c>
      <c r="C299" s="3" t="n">
        <v>45901</v>
      </c>
      <c r="D299" s="2" t="inlineStr">
        <is>
          <t>Spencer Strider</t>
        </is>
      </c>
      <c r="E299" s="2" t="n">
        <v>144</v>
      </c>
      <c r="F299" s="2" t="n">
        <v>112</v>
      </c>
      <c r="G299" s="2" t="inlineStr">
        <is>
          <t>Away</t>
        </is>
      </c>
      <c r="H299" s="2" t="inlineStr">
        <is>
          <t>bovada</t>
        </is>
      </c>
      <c r="I299" s="4" t="n"/>
      <c r="J299" s="4" t="n"/>
      <c r="K299" s="4" t="n">
        <v>135</v>
      </c>
      <c r="L299" s="4" t="n">
        <v>135</v>
      </c>
      <c r="M299" s="5" t="n">
        <v>5.5</v>
      </c>
      <c r="N299" s="5" t="n">
        <v>5.184951270205897</v>
      </c>
      <c r="O299" s="5" t="n">
        <v>5.5</v>
      </c>
      <c r="P299" s="5" t="n">
        <v>0.3150487297941034</v>
      </c>
      <c r="Q299" s="6" t="n">
        <v>0.3713284934723835</v>
      </c>
      <c r="R299" s="6" t="n">
        <v>0.5835440397754823</v>
      </c>
      <c r="S299" s="6" t="n">
        <v>0.4149377593360996</v>
      </c>
      <c r="T299" s="2" t="inlineStr">
        <is>
          <t>Under</t>
        </is>
      </c>
      <c r="U299" s="4" t="n">
        <v>135</v>
      </c>
      <c r="V299" s="2" t="n">
        <v>2.35</v>
      </c>
      <c r="W299" s="4" t="n">
        <v>135</v>
      </c>
      <c r="X299" s="2" t="n">
        <v>1</v>
      </c>
      <c r="Y299" s="5" t="n">
        <v>1.35</v>
      </c>
      <c r="Z299" s="7" t="n">
        <v>100</v>
      </c>
      <c r="AA299" s="7">
        <f>Y299*Z299</f>
        <v/>
      </c>
      <c r="AB299" s="6">
        <f>IF(Z299=0,0,AA299/Z299)</f>
        <v/>
      </c>
      <c r="AC299" s="6" t="n"/>
      <c r="AD299" s="2" t="inlineStr">
        <is>
          <t>Win</t>
        </is>
      </c>
      <c r="AE299" s="6">
        <f>IF((COUNTIF($AD$2:AD299,"Win")+COUNTIF($AD$2:AD299,"Loss"))=0,0,COUNTIF($AD$2:AD299,"Win")/(COUNTIF($AD$2:AD299,"Win")+COUNTIF($AD$2:AD299,"Loss")))</f>
        <v/>
      </c>
      <c r="AF299" s="6">
        <f>SUM($Y$2:Y299)/SUM($X$2:X299)</f>
        <v/>
      </c>
      <c r="AG299" s="5">
        <f>SUM($Y$2:Y299)</f>
        <v/>
      </c>
      <c r="AH299" s="7">
        <f>10000.0+SUM($AA$2:AA299)</f>
        <v/>
      </c>
      <c r="AI299" s="2" t="n">
        <v>2025</v>
      </c>
      <c r="AJ299" s="2" t="inlineStr">
        <is>
          <t>2025-09</t>
        </is>
      </c>
      <c r="AK299" s="2" t="inlineStr">
        <is>
          <t>+121 to +150</t>
        </is>
      </c>
      <c r="AL299" s="2" t="inlineStr">
        <is>
          <t>2025 Validation</t>
        </is>
      </c>
      <c r="AM299" s="6" t="n">
        <v>0.2750581433128766</v>
      </c>
    </row>
    <row r="300">
      <c r="A300" s="2" t="inlineStr">
        <is>
          <t>KPROP-00299</t>
        </is>
      </c>
      <c r="B300" s="3" t="n">
        <v>45901.66711805556</v>
      </c>
      <c r="C300" s="3" t="n">
        <v>45901</v>
      </c>
      <c r="D300" s="2" t="inlineStr">
        <is>
          <t>Spencer Strider</t>
        </is>
      </c>
      <c r="E300" s="2" t="n">
        <v>144</v>
      </c>
      <c r="F300" s="2" t="n">
        <v>112</v>
      </c>
      <c r="G300" s="2" t="inlineStr">
        <is>
          <t>Away</t>
        </is>
      </c>
      <c r="H300" s="2" t="inlineStr">
        <is>
          <t>fanatics</t>
        </is>
      </c>
      <c r="I300" s="4" t="n"/>
      <c r="J300" s="4" t="n"/>
      <c r="K300" s="4" t="n">
        <v>-160</v>
      </c>
      <c r="L300" s="4" t="n">
        <v>-160</v>
      </c>
      <c r="M300" s="5" t="n">
        <v>6.5</v>
      </c>
      <c r="N300" s="5" t="n">
        <v>5.184951270205897</v>
      </c>
      <c r="O300" s="5" t="n">
        <v>6.5</v>
      </c>
      <c r="P300" s="5" t="n">
        <v>1.315048729794103</v>
      </c>
      <c r="Q300" s="6" t="n">
        <v>0.193839190689527</v>
      </c>
      <c r="R300" s="6" t="n">
        <v>0.7346702711935551</v>
      </c>
      <c r="S300" s="6" t="n">
        <v>0.5838668373879642</v>
      </c>
      <c r="T300" s="2" t="inlineStr">
        <is>
          <t>Under</t>
        </is>
      </c>
      <c r="U300" s="4" t="n">
        <v>-160</v>
      </c>
      <c r="V300" s="2" t="n">
        <v>1.625</v>
      </c>
      <c r="W300" s="4" t="n">
        <v>-160</v>
      </c>
      <c r="X300" s="2" t="n">
        <v>1</v>
      </c>
      <c r="Y300" s="5" t="n">
        <v>0.625</v>
      </c>
      <c r="Z300" s="7" t="n">
        <v>100</v>
      </c>
      <c r="AA300" s="7">
        <f>Y300*Z300</f>
        <v/>
      </c>
      <c r="AB300" s="6">
        <f>IF(Z300=0,0,AA300/Z300)</f>
        <v/>
      </c>
      <c r="AC300" s="6" t="n"/>
      <c r="AD300" s="2" t="inlineStr">
        <is>
          <t>Win</t>
        </is>
      </c>
      <c r="AE300" s="6">
        <f>IF((COUNTIF($AD$2:AD300,"Win")+COUNTIF($AD$2:AD300,"Loss"))=0,0,COUNTIF($AD$2:AD300,"Win")/(COUNTIF($AD$2:AD300,"Win")+COUNTIF($AD$2:AD300,"Loss")))</f>
        <v/>
      </c>
      <c r="AF300" s="6">
        <f>SUM($Y$2:Y300)/SUM($X$2:X300)</f>
        <v/>
      </c>
      <c r="AG300" s="5">
        <f>SUM($Y$2:Y300)</f>
        <v/>
      </c>
      <c r="AH300" s="7">
        <f>10000.0+SUM($AA$2:AA300)</f>
        <v/>
      </c>
      <c r="AI300" s="2" t="n">
        <v>2025</v>
      </c>
      <c r="AJ300" s="2" t="inlineStr">
        <is>
          <t>2025-09</t>
        </is>
      </c>
      <c r="AK300" s="2" t="inlineStr">
        <is>
          <t>&lt;= -150</t>
        </is>
      </c>
      <c r="AL300" s="2" t="inlineStr">
        <is>
          <t>2025 Validation</t>
        </is>
      </c>
      <c r="AM300" s="6" t="n">
        <v>0.3101427051032433</v>
      </c>
    </row>
    <row r="301">
      <c r="A301" s="2" t="inlineStr">
        <is>
          <t>KPROP-00300</t>
        </is>
      </c>
      <c r="B301" s="3" t="n">
        <v>45901.58724537037</v>
      </c>
      <c r="C301" s="3" t="n">
        <v>45901</v>
      </c>
      <c r="D301" s="2" t="inlineStr">
        <is>
          <t>Yusei Kikuchi</t>
        </is>
      </c>
      <c r="E301" s="2" t="n">
        <v>108</v>
      </c>
      <c r="F301" s="2" t="n">
        <v>117</v>
      </c>
      <c r="G301" s="2" t="inlineStr">
        <is>
          <t>Away</t>
        </is>
      </c>
      <c r="H301" s="2" t="inlineStr">
        <is>
          <t>fanduel</t>
        </is>
      </c>
      <c r="I301" s="4" t="n"/>
      <c r="J301" s="4" t="n"/>
      <c r="K301" s="4" t="n">
        <v>124</v>
      </c>
      <c r="L301" s="4" t="n">
        <v>124</v>
      </c>
      <c r="M301" s="5" t="n">
        <v>4.5</v>
      </c>
      <c r="N301" s="5" t="n">
        <v>4.675268388196788</v>
      </c>
      <c r="O301" s="5" t="n">
        <v>4.5</v>
      </c>
      <c r="P301" s="5" t="n">
        <v>-0.1752683881967885</v>
      </c>
      <c r="Q301" s="6" t="n">
        <v>0.118187018356818</v>
      </c>
      <c r="R301" s="6" t="n">
        <v>0.499190633195008</v>
      </c>
      <c r="S301" s="6" t="n">
        <v>0.4412893323100537</v>
      </c>
      <c r="T301" s="2" t="inlineStr">
        <is>
          <t>Under</t>
        </is>
      </c>
      <c r="U301" s="4" t="n">
        <v>124</v>
      </c>
      <c r="V301" s="2" t="n">
        <v>2.24</v>
      </c>
      <c r="W301" s="4" t="n">
        <v>124</v>
      </c>
      <c r="X301" s="2" t="n">
        <v>1</v>
      </c>
      <c r="Y301" s="5" t="n">
        <v>-1</v>
      </c>
      <c r="Z301" s="7" t="n">
        <v>100</v>
      </c>
      <c r="AA301" s="7">
        <f>Y301*Z301</f>
        <v/>
      </c>
      <c r="AB301" s="6">
        <f>IF(Z301=0,0,AA301/Z301)</f>
        <v/>
      </c>
      <c r="AC301" s="6" t="n"/>
      <c r="AD301" s="2" t="inlineStr">
        <is>
          <t>Loss</t>
        </is>
      </c>
      <c r="AE301" s="6">
        <f>IF((COUNTIF($AD$2:AD301,"Win")+COUNTIF($AD$2:AD301,"Loss"))=0,0,COUNTIF($AD$2:AD301,"Win")/(COUNTIF($AD$2:AD301,"Win")+COUNTIF($AD$2:AD301,"Loss")))</f>
        <v/>
      </c>
      <c r="AF301" s="6">
        <f>SUM($Y$2:Y301)/SUM($X$2:X301)</f>
        <v/>
      </c>
      <c r="AG301" s="5">
        <f>SUM($Y$2:Y301)</f>
        <v/>
      </c>
      <c r="AH301" s="7">
        <f>10000.0+SUM($AA$2:AA301)</f>
        <v/>
      </c>
      <c r="AI301" s="2" t="n">
        <v>2025</v>
      </c>
      <c r="AJ301" s="2" t="inlineStr">
        <is>
          <t>2025-09</t>
        </is>
      </c>
      <c r="AK301" s="2" t="inlineStr">
        <is>
          <t>+121 to +150</t>
        </is>
      </c>
      <c r="AL301" s="2" t="inlineStr">
        <is>
          <t>2025 Validation</t>
        </is>
      </c>
      <c r="AM301" s="6" t="n">
        <v>0.09531211157807901</v>
      </c>
    </row>
    <row r="302">
      <c r="A302" s="2" t="inlineStr">
        <is>
          <t>KPROP-00301</t>
        </is>
      </c>
      <c r="B302" s="3" t="n">
        <v>45902.77474537037</v>
      </c>
      <c r="C302" s="3" t="n">
        <v>45902</v>
      </c>
      <c r="D302" s="2" t="inlineStr">
        <is>
          <t>Clayton Kershaw</t>
        </is>
      </c>
      <c r="E302" s="2" t="n">
        <v>119</v>
      </c>
      <c r="F302" s="2" t="n">
        <v>134</v>
      </c>
      <c r="G302" s="2" t="inlineStr">
        <is>
          <t>Away</t>
        </is>
      </c>
      <c r="H302" s="2" t="inlineStr">
        <is>
          <t>betmgm</t>
        </is>
      </c>
      <c r="I302" s="4" t="n"/>
      <c r="J302" s="4" t="n"/>
      <c r="K302" s="4" t="n">
        <v>-125</v>
      </c>
      <c r="L302" s="4" t="n">
        <v>-125</v>
      </c>
      <c r="M302" s="5" t="n">
        <v>4.5</v>
      </c>
      <c r="N302" s="5" t="n">
        <v>4.112682019906672</v>
      </c>
      <c r="O302" s="5" t="n">
        <v>4.5</v>
      </c>
      <c r="P302" s="5" t="n">
        <v>0.3873179800933277</v>
      </c>
      <c r="Q302" s="6" t="n">
        <v>0.09230135818178947</v>
      </c>
      <c r="R302" s="6" t="n">
        <v>0.6068340878787719</v>
      </c>
      <c r="S302" s="6" t="n">
        <v>0.5454545454545454</v>
      </c>
      <c r="T302" s="2" t="inlineStr">
        <is>
          <t>Under</t>
        </is>
      </c>
      <c r="U302" s="4" t="n">
        <v>-125</v>
      </c>
      <c r="V302" s="2" t="n">
        <v>1.8</v>
      </c>
      <c r="W302" s="4" t="n">
        <v>-125</v>
      </c>
      <c r="X302" s="2" t="n">
        <v>1</v>
      </c>
      <c r="Y302" s="5" t="n">
        <v>0.8</v>
      </c>
      <c r="Z302" s="7" t="n">
        <v>100</v>
      </c>
      <c r="AA302" s="7">
        <f>Y302*Z302</f>
        <v/>
      </c>
      <c r="AB302" s="6">
        <f>IF(Z302=0,0,AA302/Z302)</f>
        <v/>
      </c>
      <c r="AC302" s="6" t="n"/>
      <c r="AD302" s="2" t="inlineStr">
        <is>
          <t>Win</t>
        </is>
      </c>
      <c r="AE302" s="6">
        <f>IF((COUNTIF($AD$2:AD302,"Win")+COUNTIF($AD$2:AD302,"Loss"))=0,0,COUNTIF($AD$2:AD302,"Win")/(COUNTIF($AD$2:AD302,"Win")+COUNTIF($AD$2:AD302,"Loss")))</f>
        <v/>
      </c>
      <c r="AF302" s="6">
        <f>SUM($Y$2:Y302)/SUM($X$2:X302)</f>
        <v/>
      </c>
      <c r="AG302" s="5">
        <f>SUM($Y$2:Y302)</f>
        <v/>
      </c>
      <c r="AH302" s="7">
        <f>10000.0+SUM($AA$2:AA302)</f>
        <v/>
      </c>
      <c r="AI302" s="2" t="n">
        <v>2025</v>
      </c>
      <c r="AJ302" s="2" t="inlineStr">
        <is>
          <t>2025-09</t>
        </is>
      </c>
      <c r="AK302" s="2" t="inlineStr">
        <is>
          <t>-149 to -120</t>
        </is>
      </c>
      <c r="AL302" s="2" t="inlineStr">
        <is>
          <t>2025 Validation</t>
        </is>
      </c>
      <c r="AM302" s="6" t="n">
        <v>0.1153766977272368</v>
      </c>
    </row>
    <row r="303">
      <c r="A303" s="2" t="inlineStr">
        <is>
          <t>KPROP-00302</t>
        </is>
      </c>
      <c r="B303" s="3" t="n">
        <v>45902.77821759259</v>
      </c>
      <c r="C303" s="3" t="n">
        <v>45902</v>
      </c>
      <c r="D303" s="2" t="inlineStr">
        <is>
          <t>Garrett Crochet</t>
        </is>
      </c>
      <c r="E303" s="2" t="n">
        <v>111</v>
      </c>
      <c r="F303" s="2" t="n">
        <v>114</v>
      </c>
      <c r="G303" s="2" t="inlineStr">
        <is>
          <t>Home</t>
        </is>
      </c>
      <c r="H303" s="2" t="inlineStr">
        <is>
          <t>bovada</t>
        </is>
      </c>
      <c r="I303" s="4" t="n"/>
      <c r="J303" s="4" t="n"/>
      <c r="K303" s="4" t="n">
        <v>125</v>
      </c>
      <c r="L303" s="4" t="n">
        <v>125</v>
      </c>
      <c r="M303" s="5" t="n">
        <v>7.5</v>
      </c>
      <c r="N303" s="5" t="n">
        <v>7.103204724455854</v>
      </c>
      <c r="O303" s="5" t="n">
        <v>7.5</v>
      </c>
      <c r="P303" s="5" t="n">
        <v>0.3967952755441457</v>
      </c>
      <c r="Q303" s="6" t="n">
        <v>0.3125148090754932</v>
      </c>
      <c r="R303" s="6" t="n">
        <v>0.5833399151446637</v>
      </c>
      <c r="S303" s="6" t="n">
        <v>0.4401913875598086</v>
      </c>
      <c r="T303" s="2" t="inlineStr">
        <is>
          <t>Under</t>
        </is>
      </c>
      <c r="U303" s="4" t="n">
        <v>125</v>
      </c>
      <c r="V303" s="2" t="n">
        <v>2.25</v>
      </c>
      <c r="W303" s="4" t="n">
        <v>125</v>
      </c>
      <c r="X303" s="2" t="n">
        <v>1</v>
      </c>
      <c r="Y303" s="5" t="n">
        <v>1.25</v>
      </c>
      <c r="Z303" s="7" t="n">
        <v>100</v>
      </c>
      <c r="AA303" s="7">
        <f>Y303*Z303</f>
        <v/>
      </c>
      <c r="AB303" s="6">
        <f>IF(Z303=0,0,AA303/Z303)</f>
        <v/>
      </c>
      <c r="AC303" s="6" t="n"/>
      <c r="AD303" s="2" t="inlineStr">
        <is>
          <t>Win</t>
        </is>
      </c>
      <c r="AE303" s="6">
        <f>IF((COUNTIF($AD$2:AD303,"Win")+COUNTIF($AD$2:AD303,"Loss"))=0,0,COUNTIF($AD$2:AD303,"Win")/(COUNTIF($AD$2:AD303,"Win")+COUNTIF($AD$2:AD303,"Loss")))</f>
        <v/>
      </c>
      <c r="AF303" s="6">
        <f>SUM($Y$2:Y303)/SUM($X$2:X303)</f>
        <v/>
      </c>
      <c r="AG303" s="5">
        <f>SUM($Y$2:Y303)</f>
        <v/>
      </c>
      <c r="AH303" s="7">
        <f>10000.0+SUM($AA$2:AA303)</f>
        <v/>
      </c>
      <c r="AI303" s="2" t="n">
        <v>2025</v>
      </c>
      <c r="AJ303" s="2" t="inlineStr">
        <is>
          <t>2025-09</t>
        </is>
      </c>
      <c r="AK303" s="2" t="inlineStr">
        <is>
          <t>+121 to +150</t>
        </is>
      </c>
      <c r="AL303" s="2" t="inlineStr">
        <is>
          <t>2025 Validation</t>
        </is>
      </c>
      <c r="AM303" s="6" t="n">
        <v>0.2500118472603946</v>
      </c>
    </row>
    <row r="304">
      <c r="A304" s="2" t="inlineStr">
        <is>
          <t>KPROP-00303</t>
        </is>
      </c>
      <c r="B304" s="3" t="n">
        <v>45902.77821759259</v>
      </c>
      <c r="C304" s="3" t="n">
        <v>45902</v>
      </c>
      <c r="D304" s="2" t="inlineStr">
        <is>
          <t>Garrett Crochet</t>
        </is>
      </c>
      <c r="E304" s="2" t="n">
        <v>111</v>
      </c>
      <c r="F304" s="2" t="n">
        <v>114</v>
      </c>
      <c r="G304" s="2" t="inlineStr">
        <is>
          <t>Home</t>
        </is>
      </c>
      <c r="H304" s="2" t="inlineStr">
        <is>
          <t>draftkings</t>
        </is>
      </c>
      <c r="I304" s="4" t="n"/>
      <c r="J304" s="4" t="n"/>
      <c r="K304" s="4" t="n">
        <v>-145</v>
      </c>
      <c r="L304" s="4" t="n">
        <v>-145</v>
      </c>
      <c r="M304" s="5" t="n">
        <v>8.5</v>
      </c>
      <c r="N304" s="5" t="n">
        <v>7.103204724455854</v>
      </c>
      <c r="O304" s="5" t="n">
        <v>8.5</v>
      </c>
      <c r="P304" s="5" t="n">
        <v>1.396795275544146</v>
      </c>
      <c r="Q304" s="6" t="n">
        <v>0.2090157497821047</v>
      </c>
      <c r="R304" s="6" t="n">
        <v>0.715539933544511</v>
      </c>
      <c r="S304" s="6" t="n">
        <v>0.5656028368794326</v>
      </c>
      <c r="T304" s="2" t="inlineStr">
        <is>
          <t>Under</t>
        </is>
      </c>
      <c r="U304" s="4" t="n">
        <v>-145</v>
      </c>
      <c r="V304" s="2" t="n">
        <v>1.689655172413793</v>
      </c>
      <c r="W304" s="4" t="n">
        <v>-145</v>
      </c>
      <c r="X304" s="2" t="n">
        <v>1</v>
      </c>
      <c r="Y304" s="5" t="n">
        <v>0.6896551724137931</v>
      </c>
      <c r="Z304" s="7" t="n">
        <v>100</v>
      </c>
      <c r="AA304" s="7">
        <f>Y304*Z304</f>
        <v/>
      </c>
      <c r="AB304" s="6">
        <f>IF(Z304=0,0,AA304/Z304)</f>
        <v/>
      </c>
      <c r="AC304" s="6" t="n"/>
      <c r="AD304" s="2" t="inlineStr">
        <is>
          <t>Win</t>
        </is>
      </c>
      <c r="AE304" s="6">
        <f>IF((COUNTIF($AD$2:AD304,"Win")+COUNTIF($AD$2:AD304,"Loss"))=0,0,COUNTIF($AD$2:AD304,"Win")/(COUNTIF($AD$2:AD304,"Win")+COUNTIF($AD$2:AD304,"Loss")))</f>
        <v/>
      </c>
      <c r="AF304" s="6">
        <f>SUM($Y$2:Y304)/SUM($X$2:X304)</f>
        <v/>
      </c>
      <c r="AG304" s="5">
        <f>SUM($Y$2:Y304)</f>
        <v/>
      </c>
      <c r="AH304" s="7">
        <f>10000.0+SUM($AA$2:AA304)</f>
        <v/>
      </c>
      <c r="AI304" s="2" t="n">
        <v>2025</v>
      </c>
      <c r="AJ304" s="2" t="inlineStr">
        <is>
          <t>2025-09</t>
        </is>
      </c>
      <c r="AK304" s="2" t="inlineStr">
        <is>
          <t>-149 to -120</t>
        </is>
      </c>
      <c r="AL304" s="2" t="inlineStr">
        <is>
          <t>2025 Validation</t>
        </is>
      </c>
      <c r="AM304" s="6" t="n">
        <v>0.3030728371840519</v>
      </c>
    </row>
    <row r="305">
      <c r="A305" s="2" t="inlineStr">
        <is>
          <t>KPROP-00304</t>
        </is>
      </c>
      <c r="B305" s="3" t="n">
        <v>45902.81641203703</v>
      </c>
      <c r="C305" s="3" t="n">
        <v>45902</v>
      </c>
      <c r="D305" s="2" t="inlineStr">
        <is>
          <t>Shota Imanaga</t>
        </is>
      </c>
      <c r="E305" s="2" t="n">
        <v>112</v>
      </c>
      <c r="F305" s="2" t="n">
        <v>144</v>
      </c>
      <c r="G305" s="2" t="inlineStr">
        <is>
          <t>Home</t>
        </is>
      </c>
      <c r="H305" s="2" t="inlineStr">
        <is>
          <t>bovada</t>
        </is>
      </c>
      <c r="I305" s="4" t="n"/>
      <c r="J305" s="4" t="n"/>
      <c r="K305" s="4" t="n">
        <v>-125</v>
      </c>
      <c r="L305" s="4" t="n">
        <v>-125</v>
      </c>
      <c r="M305" s="5" t="n">
        <v>5.5</v>
      </c>
      <c r="N305" s="5" t="n">
        <v>4.903471552336836</v>
      </c>
      <c r="O305" s="5" t="n">
        <v>5.5</v>
      </c>
      <c r="P305" s="5" t="n">
        <v>0.5965284476631645</v>
      </c>
      <c r="Q305" s="6" t="n">
        <v>0.1392072867945109</v>
      </c>
      <c r="R305" s="6" t="n">
        <v>0.6328929371080616</v>
      </c>
      <c r="S305" s="6" t="n">
        <v>0.5555555555555556</v>
      </c>
      <c r="T305" s="2" t="inlineStr">
        <is>
          <t>Under</t>
        </is>
      </c>
      <c r="U305" s="4" t="n">
        <v>-125</v>
      </c>
      <c r="V305" s="2" t="n">
        <v>1.8</v>
      </c>
      <c r="W305" s="4" t="n">
        <v>-125</v>
      </c>
      <c r="X305" s="2" t="n">
        <v>1</v>
      </c>
      <c r="Y305" s="5" t="n">
        <v>0.8</v>
      </c>
      <c r="Z305" s="7" t="n">
        <v>100</v>
      </c>
      <c r="AA305" s="7">
        <f>Y305*Z305</f>
        <v/>
      </c>
      <c r="AB305" s="6">
        <f>IF(Z305=0,0,AA305/Z305)</f>
        <v/>
      </c>
      <c r="AC305" s="6" t="n"/>
      <c r="AD305" s="2" t="inlineStr">
        <is>
          <t>Win</t>
        </is>
      </c>
      <c r="AE305" s="6">
        <f>IF((COUNTIF($AD$2:AD305,"Win")+COUNTIF($AD$2:AD305,"Loss"))=0,0,COUNTIF($AD$2:AD305,"Win")/(COUNTIF($AD$2:AD305,"Win")+COUNTIF($AD$2:AD305,"Loss")))</f>
        <v/>
      </c>
      <c r="AF305" s="6">
        <f>SUM($Y$2:Y305)/SUM($X$2:X305)</f>
        <v/>
      </c>
      <c r="AG305" s="5">
        <f>SUM($Y$2:Y305)</f>
        <v/>
      </c>
      <c r="AH305" s="7">
        <f>10000.0+SUM($AA$2:AA305)</f>
        <v/>
      </c>
      <c r="AI305" s="2" t="n">
        <v>2025</v>
      </c>
      <c r="AJ305" s="2" t="inlineStr">
        <is>
          <t>2025-09</t>
        </is>
      </c>
      <c r="AK305" s="2" t="inlineStr">
        <is>
          <t>-149 to -120</t>
        </is>
      </c>
      <c r="AL305" s="2" t="inlineStr">
        <is>
          <t>2025 Validation</t>
        </is>
      </c>
      <c r="AM305" s="6" t="n">
        <v>0.1740091084931386</v>
      </c>
    </row>
    <row r="306">
      <c r="A306" s="2" t="inlineStr">
        <is>
          <t>KPROP-00305</t>
        </is>
      </c>
      <c r="B306" s="3" t="n">
        <v>45903.77822916667</v>
      </c>
      <c r="C306" s="3" t="n">
        <v>45903</v>
      </c>
      <c r="D306" s="2" t="inlineStr">
        <is>
          <t>Braxton Ashcraft</t>
        </is>
      </c>
      <c r="E306" s="2" t="n">
        <v>134</v>
      </c>
      <c r="F306" s="2" t="n">
        <v>119</v>
      </c>
      <c r="G306" s="2" t="inlineStr">
        <is>
          <t>Home</t>
        </is>
      </c>
      <c r="H306" s="2" t="inlineStr">
        <is>
          <t>draftkings</t>
        </is>
      </c>
      <c r="I306" s="4" t="n"/>
      <c r="J306" s="4" t="n"/>
      <c r="K306" s="4" t="n">
        <v>-145</v>
      </c>
      <c r="L306" s="4" t="n">
        <v>-145</v>
      </c>
      <c r="M306" s="5" t="n">
        <v>4.5</v>
      </c>
      <c r="N306" s="5" t="n">
        <v>3.961912455869469</v>
      </c>
      <c r="O306" s="5" t="n">
        <v>4.5</v>
      </c>
      <c r="P306" s="5" t="n">
        <v>0.5380875441305313</v>
      </c>
      <c r="Q306" s="6" t="n">
        <v>0.0750896119907245</v>
      </c>
      <c r="R306" s="6" t="n">
        <v>0.6362775254638982</v>
      </c>
      <c r="S306" s="6" t="n">
        <v>0.5711159737417943</v>
      </c>
      <c r="T306" s="2" t="inlineStr">
        <is>
          <t>Under</t>
        </is>
      </c>
      <c r="U306" s="4" t="n">
        <v>-145</v>
      </c>
      <c r="V306" s="2" t="n">
        <v>1.689655172413793</v>
      </c>
      <c r="W306" s="4" t="n">
        <v>-145</v>
      </c>
      <c r="X306" s="2" t="n">
        <v>1</v>
      </c>
      <c r="Y306" s="5" t="n">
        <v>0.6896551724137931</v>
      </c>
      <c r="Z306" s="7" t="n">
        <v>100</v>
      </c>
      <c r="AA306" s="7">
        <f>Y306*Z306</f>
        <v/>
      </c>
      <c r="AB306" s="6">
        <f>IF(Z306=0,0,AA306/Z306)</f>
        <v/>
      </c>
      <c r="AC306" s="6" t="n"/>
      <c r="AD306" s="2" t="inlineStr">
        <is>
          <t>Win</t>
        </is>
      </c>
      <c r="AE306" s="6">
        <f>IF((COUNTIF($AD$2:AD306,"Win")+COUNTIF($AD$2:AD306,"Loss"))=0,0,COUNTIF($AD$2:AD306,"Win")/(COUNTIF($AD$2:AD306,"Win")+COUNTIF($AD$2:AD306,"Loss")))</f>
        <v/>
      </c>
      <c r="AF306" s="6">
        <f>SUM($Y$2:Y306)/SUM($X$2:X306)</f>
        <v/>
      </c>
      <c r="AG306" s="5">
        <f>SUM($Y$2:Y306)</f>
        <v/>
      </c>
      <c r="AH306" s="7">
        <f>10000.0+SUM($AA$2:AA306)</f>
        <v/>
      </c>
      <c r="AI306" s="2" t="n">
        <v>2025</v>
      </c>
      <c r="AJ306" s="2" t="inlineStr">
        <is>
          <t>2025-09</t>
        </is>
      </c>
      <c r="AK306" s="2" t="inlineStr">
        <is>
          <t>-149 to -120</t>
        </is>
      </c>
      <c r="AL306" s="2" t="inlineStr">
        <is>
          <t>2025 Validation</t>
        </is>
      </c>
      <c r="AM306" s="6" t="n">
        <v>0.1088799373865505</v>
      </c>
    </row>
    <row r="307">
      <c r="A307" s="2" t="inlineStr">
        <is>
          <t>KPROP-00306</t>
        </is>
      </c>
      <c r="B307" s="3" t="n">
        <v>45903.67405092593</v>
      </c>
      <c r="C307" s="3" t="n">
        <v>45903</v>
      </c>
      <c r="D307" s="2" t="inlineStr">
        <is>
          <t>Nestor Cortes</t>
        </is>
      </c>
      <c r="E307" s="2" t="n">
        <v>135</v>
      </c>
      <c r="F307" s="2" t="n">
        <v>110</v>
      </c>
      <c r="G307" s="2" t="inlineStr">
        <is>
          <t>Home</t>
        </is>
      </c>
      <c r="H307" s="2" t="inlineStr">
        <is>
          <t>draftkings</t>
        </is>
      </c>
      <c r="I307" s="4" t="n"/>
      <c r="J307" s="4" t="n"/>
      <c r="K307" s="4" t="n">
        <v>-110</v>
      </c>
      <c r="L307" s="4" t="n">
        <v>-110</v>
      </c>
      <c r="M307" s="5" t="n">
        <v>5.5</v>
      </c>
      <c r="N307" s="5" t="n">
        <v>5.194608453559098</v>
      </c>
      <c r="O307" s="5" t="n">
        <v>5.5</v>
      </c>
      <c r="P307" s="5" t="n">
        <v>0.3053915464409025</v>
      </c>
      <c r="Q307" s="6" t="n">
        <v>0.1108149745623789</v>
      </c>
      <c r="R307" s="6" t="n">
        <v>0.581855462866008</v>
      </c>
      <c r="S307" s="6" t="n">
        <v>0.5056053811659194</v>
      </c>
      <c r="T307" s="2" t="inlineStr">
        <is>
          <t>Under</t>
        </is>
      </c>
      <c r="U307" s="4" t="n">
        <v>-110</v>
      </c>
      <c r="V307" s="2" t="n">
        <v>1.909090909090909</v>
      </c>
      <c r="W307" s="4" t="n">
        <v>-110</v>
      </c>
      <c r="X307" s="2" t="n">
        <v>1</v>
      </c>
      <c r="Y307" s="5" t="n">
        <v>0.9090909090909092</v>
      </c>
      <c r="Z307" s="7" t="n">
        <v>100</v>
      </c>
      <c r="AA307" s="7">
        <f>Y307*Z307</f>
        <v/>
      </c>
      <c r="AB307" s="6">
        <f>IF(Z307=0,0,AA307/Z307)</f>
        <v/>
      </c>
      <c r="AC307" s="6" t="n"/>
      <c r="AD307" s="2" t="inlineStr">
        <is>
          <t>Win</t>
        </is>
      </c>
      <c r="AE307" s="6">
        <f>IF((COUNTIF($AD$2:AD307,"Win")+COUNTIF($AD$2:AD307,"Loss"))=0,0,COUNTIF($AD$2:AD307,"Win")/(COUNTIF($AD$2:AD307,"Win")+COUNTIF($AD$2:AD307,"Loss")))</f>
        <v/>
      </c>
      <c r="AF307" s="6">
        <f>SUM($Y$2:Y307)/SUM($X$2:X307)</f>
        <v/>
      </c>
      <c r="AG307" s="5">
        <f>SUM($Y$2:Y307)</f>
        <v/>
      </c>
      <c r="AH307" s="7">
        <f>10000.0+SUM($AA$2:AA307)</f>
        <v/>
      </c>
      <c r="AI307" s="2" t="n">
        <v>2025</v>
      </c>
      <c r="AJ307" s="2" t="inlineStr">
        <is>
          <t>2025-09</t>
        </is>
      </c>
      <c r="AK307" s="2" t="inlineStr">
        <is>
          <t>-119 to -101</t>
        </is>
      </c>
      <c r="AL307" s="2" t="inlineStr">
        <is>
          <t>2025 Validation</t>
        </is>
      </c>
      <c r="AM307" s="6" t="n">
        <v>0.1218964720186168</v>
      </c>
    </row>
    <row r="308">
      <c r="A308" s="2" t="inlineStr">
        <is>
          <t>KPROP-00307</t>
        </is>
      </c>
      <c r="B308" s="3" t="n">
        <v>45903.65322916667</v>
      </c>
      <c r="C308" s="3" t="n">
        <v>45903</v>
      </c>
      <c r="D308" s="2" t="inlineStr">
        <is>
          <t>Zac Gallen</t>
        </is>
      </c>
      <c r="E308" s="2" t="n">
        <v>109</v>
      </c>
      <c r="F308" s="2" t="n">
        <v>140</v>
      </c>
      <c r="G308" s="2" t="inlineStr">
        <is>
          <t>Home</t>
        </is>
      </c>
      <c r="H308" s="2" t="inlineStr">
        <is>
          <t>draftkings</t>
        </is>
      </c>
      <c r="I308" s="4" t="n"/>
      <c r="J308" s="4" t="n"/>
      <c r="K308" s="4" t="n">
        <v>-130</v>
      </c>
      <c r="L308" s="4" t="n">
        <v>-130</v>
      </c>
      <c r="M308" s="5" t="n">
        <v>5.5</v>
      </c>
      <c r="N308" s="5" t="n">
        <v>4.812004237682272</v>
      </c>
      <c r="O308" s="5" t="n">
        <v>5.5</v>
      </c>
      <c r="P308" s="5" t="n">
        <v>0.687995762317728</v>
      </c>
      <c r="Q308" s="6" t="n">
        <v>0.1480683728891761</v>
      </c>
      <c r="R308" s="6" t="n">
        <v>0.6489082107634474</v>
      </c>
      <c r="S308" s="6" t="n">
        <v>0.5403677058353318</v>
      </c>
      <c r="T308" s="2" t="inlineStr">
        <is>
          <t>Under</t>
        </is>
      </c>
      <c r="U308" s="4" t="n">
        <v>-130</v>
      </c>
      <c r="V308" s="2" t="n">
        <v>1.769230769230769</v>
      </c>
      <c r="W308" s="4" t="n">
        <v>-130</v>
      </c>
      <c r="X308" s="2" t="n">
        <v>1</v>
      </c>
      <c r="Y308" s="5" t="n">
        <v>0.7692307692307692</v>
      </c>
      <c r="Z308" s="7" t="n">
        <v>100</v>
      </c>
      <c r="AA308" s="7">
        <f>Y308*Z308</f>
        <v/>
      </c>
      <c r="AB308" s="6">
        <f>IF(Z308=0,0,AA308/Z308)</f>
        <v/>
      </c>
      <c r="AC308" s="6" t="n"/>
      <c r="AD308" s="2" t="inlineStr">
        <is>
          <t>Win</t>
        </is>
      </c>
      <c r="AE308" s="6">
        <f>IF((COUNTIF($AD$2:AD308,"Win")+COUNTIF($AD$2:AD308,"Loss"))=0,0,COUNTIF($AD$2:AD308,"Win")/(COUNTIF($AD$2:AD308,"Win")+COUNTIF($AD$2:AD308,"Loss")))</f>
        <v/>
      </c>
      <c r="AF308" s="6">
        <f>SUM($Y$2:Y308)/SUM($X$2:X308)</f>
        <v/>
      </c>
      <c r="AG308" s="5">
        <f>SUM($Y$2:Y308)</f>
        <v/>
      </c>
      <c r="AH308" s="7">
        <f>10000.0+SUM($AA$2:AA308)</f>
        <v/>
      </c>
      <c r="AI308" s="2" t="n">
        <v>2025</v>
      </c>
      <c r="AJ308" s="2" t="inlineStr">
        <is>
          <t>2025-09</t>
        </is>
      </c>
      <c r="AK308" s="2" t="inlineStr">
        <is>
          <t>-149 to -120</t>
        </is>
      </c>
      <c r="AL308" s="2" t="inlineStr">
        <is>
          <t>2025 Validation</t>
        </is>
      </c>
      <c r="AM308" s="6" t="n">
        <v>0.192488884755929</v>
      </c>
    </row>
    <row r="309">
      <c r="A309" s="2" t="inlineStr">
        <is>
          <t>KPROP-00308</t>
        </is>
      </c>
      <c r="B309" s="3" t="n">
        <v>45903.77822916667</v>
      </c>
      <c r="C309" s="3" t="n">
        <v>45903</v>
      </c>
      <c r="D309" s="2" t="inlineStr">
        <is>
          <t>Zack Littell</t>
        </is>
      </c>
      <c r="E309" s="2" t="n">
        <v>113</v>
      </c>
      <c r="F309" s="2" t="n">
        <v>141</v>
      </c>
      <c r="G309" s="2" t="inlineStr">
        <is>
          <t>Home</t>
        </is>
      </c>
      <c r="H309" s="2" t="inlineStr">
        <is>
          <t>draftkings</t>
        </is>
      </c>
      <c r="I309" s="4" t="n"/>
      <c r="J309" s="4" t="n"/>
      <c r="K309" s="4" t="n">
        <v>-115</v>
      </c>
      <c r="L309" s="4" t="n">
        <v>-115</v>
      </c>
      <c r="M309" s="5" t="n">
        <v>3.5</v>
      </c>
      <c r="N309" s="5" t="n">
        <v>3.335949515406759</v>
      </c>
      <c r="O309" s="5" t="n">
        <v>3.5</v>
      </c>
      <c r="P309" s="5" t="n">
        <v>0.1640504845932411</v>
      </c>
      <c r="Q309" s="6" t="n">
        <v>0.07015774834652788</v>
      </c>
      <c r="R309" s="6" t="n">
        <v>0.5724099584179103</v>
      </c>
      <c r="S309" s="6" t="n">
        <v>0.5230171935662784</v>
      </c>
      <c r="T309" s="2" t="inlineStr">
        <is>
          <t>Under</t>
        </is>
      </c>
      <c r="U309" s="4" t="n">
        <v>-115</v>
      </c>
      <c r="V309" s="2" t="n">
        <v>1.869565217391304</v>
      </c>
      <c r="W309" s="4" t="n">
        <v>-115</v>
      </c>
      <c r="X309" s="2" t="n">
        <v>1</v>
      </c>
      <c r="Y309" s="5" t="n">
        <v>-1</v>
      </c>
      <c r="Z309" s="7" t="n">
        <v>100</v>
      </c>
      <c r="AA309" s="7">
        <f>Y309*Z309</f>
        <v/>
      </c>
      <c r="AB309" s="6">
        <f>IF(Z309=0,0,AA309/Z309)</f>
        <v/>
      </c>
      <c r="AC309" s="6" t="n"/>
      <c r="AD309" s="2" t="inlineStr">
        <is>
          <t>Loss</t>
        </is>
      </c>
      <c r="AE309" s="6">
        <f>IF((COUNTIF($AD$2:AD309,"Win")+COUNTIF($AD$2:AD309,"Loss"))=0,0,COUNTIF($AD$2:AD309,"Win")/(COUNTIF($AD$2:AD309,"Win")+COUNTIF($AD$2:AD309,"Loss")))</f>
        <v/>
      </c>
      <c r="AF309" s="6">
        <f>SUM($Y$2:Y309)/SUM($X$2:X309)</f>
        <v/>
      </c>
      <c r="AG309" s="5">
        <f>SUM($Y$2:Y309)</f>
        <v/>
      </c>
      <c r="AH309" s="7">
        <f>10000.0+SUM($AA$2:AA309)</f>
        <v/>
      </c>
      <c r="AI309" s="2" t="n">
        <v>2025</v>
      </c>
      <c r="AJ309" s="2" t="inlineStr">
        <is>
          <t>2025-09</t>
        </is>
      </c>
      <c r="AK309" s="2" t="inlineStr">
        <is>
          <t>-119 to -101</t>
        </is>
      </c>
      <c r="AL309" s="2" t="inlineStr">
        <is>
          <t>2025 Validation</t>
        </is>
      </c>
      <c r="AM309" s="6" t="n">
        <v>0.08068141059850707</v>
      </c>
    </row>
    <row r="310">
      <c r="A310" s="2" t="inlineStr">
        <is>
          <t>KPROP-00309</t>
        </is>
      </c>
      <c r="B310" s="3" t="n">
        <v>45904.81988425926</v>
      </c>
      <c r="C310" s="3" t="n">
        <v>45904</v>
      </c>
      <c r="D310" s="2" t="inlineStr">
        <is>
          <t>Cristian Javier</t>
        </is>
      </c>
      <c r="E310" s="2" t="n">
        <v>117</v>
      </c>
      <c r="F310" s="2" t="n">
        <v>147</v>
      </c>
      <c r="G310" s="2" t="inlineStr">
        <is>
          <t>Home</t>
        </is>
      </c>
      <c r="H310" s="2" t="inlineStr">
        <is>
          <t>betrivers</t>
        </is>
      </c>
      <c r="I310" s="4" t="n"/>
      <c r="J310" s="4" t="n"/>
      <c r="K310" s="4" t="n">
        <v>120</v>
      </c>
      <c r="L310" s="4" t="n">
        <v>120</v>
      </c>
      <c r="M310" s="5" t="n">
        <v>4.5</v>
      </c>
      <c r="N310" s="5" t="n">
        <v>4.727057682068495</v>
      </c>
      <c r="O310" s="5" t="n">
        <v>4.5</v>
      </c>
      <c r="P310" s="5" t="n">
        <v>-0.2270576820684953</v>
      </c>
      <c r="Q310" s="6" t="n">
        <v>0.07715369715095388</v>
      </c>
      <c r="R310" s="6" t="n">
        <v>0.4896153168867972</v>
      </c>
      <c r="S310" s="6" t="n">
        <v>0.4236739974126779</v>
      </c>
      <c r="T310" s="2" t="inlineStr">
        <is>
          <t>Under</t>
        </is>
      </c>
      <c r="U310" s="4" t="n">
        <v>120</v>
      </c>
      <c r="V310" s="2" t="n">
        <v>2.2</v>
      </c>
      <c r="W310" s="4" t="n">
        <v>120</v>
      </c>
      <c r="X310" s="2" t="n">
        <v>1</v>
      </c>
      <c r="Y310" s="5" t="n">
        <v>1.2</v>
      </c>
      <c r="Z310" s="7" t="n">
        <v>100</v>
      </c>
      <c r="AA310" s="7">
        <f>Y310*Z310</f>
        <v/>
      </c>
      <c r="AB310" s="6">
        <f>IF(Z310=0,0,AA310/Z310)</f>
        <v/>
      </c>
      <c r="AC310" s="6" t="n"/>
      <c r="AD310" s="2" t="inlineStr">
        <is>
          <t>Win</t>
        </is>
      </c>
      <c r="AE310" s="6">
        <f>IF((COUNTIF($AD$2:AD310,"Win")+COUNTIF($AD$2:AD310,"Loss"))=0,0,COUNTIF($AD$2:AD310,"Win")/(COUNTIF($AD$2:AD310,"Win")+COUNTIF($AD$2:AD310,"Loss")))</f>
        <v/>
      </c>
      <c r="AF310" s="6">
        <f>SUM($Y$2:Y310)/SUM($X$2:X310)</f>
        <v/>
      </c>
      <c r="AG310" s="5">
        <f>SUM($Y$2:Y310)</f>
        <v/>
      </c>
      <c r="AH310" s="7">
        <f>10000.0+SUM($AA$2:AA310)</f>
        <v/>
      </c>
      <c r="AI310" s="2" t="n">
        <v>2025</v>
      </c>
      <c r="AJ310" s="2" t="inlineStr">
        <is>
          <t>2025-09</t>
        </is>
      </c>
      <c r="AK310" s="2" t="inlineStr">
        <is>
          <t>+100 to +120</t>
        </is>
      </c>
      <c r="AL310" s="2" t="inlineStr">
        <is>
          <t>2025 Validation</t>
        </is>
      </c>
      <c r="AM310" s="6" t="n">
        <v>0.06429474762579489</v>
      </c>
    </row>
    <row r="311">
      <c r="A311" s="2" t="inlineStr">
        <is>
          <t>KPROP-00310</t>
        </is>
      </c>
      <c r="B311" s="3" t="n">
        <v>45904.81988425926</v>
      </c>
      <c r="C311" s="3" t="n">
        <v>45904</v>
      </c>
      <c r="D311" s="2" t="inlineStr">
        <is>
          <t>Cristian Javier</t>
        </is>
      </c>
      <c r="E311" s="2" t="n">
        <v>117</v>
      </c>
      <c r="F311" s="2" t="n">
        <v>147</v>
      </c>
      <c r="G311" s="2" t="inlineStr">
        <is>
          <t>Home</t>
        </is>
      </c>
      <c r="H311" s="2" t="inlineStr">
        <is>
          <t>draftkings</t>
        </is>
      </c>
      <c r="I311" s="4" t="n"/>
      <c r="J311" s="4" t="n"/>
      <c r="K311" s="4" t="n">
        <v>-140</v>
      </c>
      <c r="L311" s="4" t="n">
        <v>-140</v>
      </c>
      <c r="M311" s="5" t="n">
        <v>5.5</v>
      </c>
      <c r="N311" s="5" t="n">
        <v>4.727057682068495</v>
      </c>
      <c r="O311" s="5" t="n">
        <v>5.5</v>
      </c>
      <c r="P311" s="5" t="n">
        <v>0.7729423179315047</v>
      </c>
      <c r="Q311" s="6" t="n">
        <v>0.1378247810940098</v>
      </c>
      <c r="R311" s="6" t="n">
        <v>0.663731122304839</v>
      </c>
      <c r="S311" s="6" t="n">
        <v>0.565374864179645</v>
      </c>
      <c r="T311" s="2" t="inlineStr">
        <is>
          <t>Under</t>
        </is>
      </c>
      <c r="U311" s="4" t="n">
        <v>-140</v>
      </c>
      <c r="V311" s="2" t="n">
        <v>1.714285714285714</v>
      </c>
      <c r="W311" s="4" t="n">
        <v>-140</v>
      </c>
      <c r="X311" s="2" t="n">
        <v>1</v>
      </c>
      <c r="Y311" s="5" t="n">
        <v>0.7142857142857144</v>
      </c>
      <c r="Z311" s="7" t="n">
        <v>100</v>
      </c>
      <c r="AA311" s="7">
        <f>Y311*Z311</f>
        <v/>
      </c>
      <c r="AB311" s="6">
        <f>IF(Z311=0,0,AA311/Z311)</f>
        <v/>
      </c>
      <c r="AC311" s="6" t="n"/>
      <c r="AD311" s="2" t="inlineStr">
        <is>
          <t>Win</t>
        </is>
      </c>
      <c r="AE311" s="6">
        <f>IF((COUNTIF($AD$2:AD311,"Win")+COUNTIF($AD$2:AD311,"Loss"))=0,0,COUNTIF($AD$2:AD311,"Win")/(COUNTIF($AD$2:AD311,"Win")+COUNTIF($AD$2:AD311,"Loss")))</f>
        <v/>
      </c>
      <c r="AF311" s="6">
        <f>SUM($Y$2:Y311)/SUM($X$2:X311)</f>
        <v/>
      </c>
      <c r="AG311" s="5">
        <f>SUM($Y$2:Y311)</f>
        <v/>
      </c>
      <c r="AH311" s="7">
        <f>10000.0+SUM($AA$2:AA311)</f>
        <v/>
      </c>
      <c r="AI311" s="2" t="n">
        <v>2025</v>
      </c>
      <c r="AJ311" s="2" t="inlineStr">
        <is>
          <t>2025-09</t>
        </is>
      </c>
      <c r="AK311" s="2" t="inlineStr">
        <is>
          <t>-149 to -120</t>
        </is>
      </c>
      <c r="AL311" s="2" t="inlineStr">
        <is>
          <t>2025 Validation</t>
        </is>
      </c>
      <c r="AM311" s="6" t="n">
        <v>0.1929546935316137</v>
      </c>
    </row>
    <row r="312">
      <c r="A312" s="2" t="inlineStr">
        <is>
          <t>KPROP-00311</t>
        </is>
      </c>
      <c r="B312" s="3" t="n">
        <v>45904.6740625</v>
      </c>
      <c r="C312" s="3" t="n">
        <v>45904</v>
      </c>
      <c r="D312" s="2" t="inlineStr">
        <is>
          <t>Ranger Suarez</t>
        </is>
      </c>
      <c r="E312" s="2" t="n">
        <v>143</v>
      </c>
      <c r="F312" s="2" t="n">
        <v>158</v>
      </c>
      <c r="G312" s="2" t="inlineStr">
        <is>
          <t>Away</t>
        </is>
      </c>
      <c r="H312" s="2" t="inlineStr">
        <is>
          <t>betmgm</t>
        </is>
      </c>
      <c r="I312" s="4" t="n"/>
      <c r="J312" s="4" t="n"/>
      <c r="K312" s="4" t="n">
        <v>110</v>
      </c>
      <c r="L312" s="4" t="n">
        <v>110</v>
      </c>
      <c r="M312" s="5" t="n">
        <v>4.5</v>
      </c>
      <c r="N312" s="5" t="n">
        <v>4.333410859253927</v>
      </c>
      <c r="O312" s="5" t="n">
        <v>4.5</v>
      </c>
      <c r="P312" s="5" t="n">
        <v>0.1665891407460727</v>
      </c>
      <c r="Q312" s="6" t="n">
        <v>0.1843750015960856</v>
      </c>
      <c r="R312" s="6" t="n">
        <v>0.5639880959981359</v>
      </c>
      <c r="S312" s="6" t="n">
        <v>0.4572564612326044</v>
      </c>
      <c r="T312" s="2" t="inlineStr">
        <is>
          <t>Under</t>
        </is>
      </c>
      <c r="U312" s="4" t="n">
        <v>110</v>
      </c>
      <c r="V312" s="2" t="n">
        <v>2.1</v>
      </c>
      <c r="W312" s="4" t="n">
        <v>110</v>
      </c>
      <c r="X312" s="2" t="n">
        <v>1</v>
      </c>
      <c r="Y312" s="5" t="n">
        <v>1.1</v>
      </c>
      <c r="Z312" s="7" t="n">
        <v>100</v>
      </c>
      <c r="AA312" s="7">
        <f>Y312*Z312</f>
        <v/>
      </c>
      <c r="AB312" s="6">
        <f>IF(Z312=0,0,AA312/Z312)</f>
        <v/>
      </c>
      <c r="AC312" s="6" t="n"/>
      <c r="AD312" s="2" t="inlineStr">
        <is>
          <t>Win</t>
        </is>
      </c>
      <c r="AE312" s="6">
        <f>IF((COUNTIF($AD$2:AD312,"Win")+COUNTIF($AD$2:AD312,"Loss"))=0,0,COUNTIF($AD$2:AD312,"Win")/(COUNTIF($AD$2:AD312,"Win")+COUNTIF($AD$2:AD312,"Loss")))</f>
        <v/>
      </c>
      <c r="AF312" s="6">
        <f>SUM($Y$2:Y312)/SUM($X$2:X312)</f>
        <v/>
      </c>
      <c r="AG312" s="5">
        <f>SUM($Y$2:Y312)</f>
        <v/>
      </c>
      <c r="AH312" s="7">
        <f>10000.0+SUM($AA$2:AA312)</f>
        <v/>
      </c>
      <c r="AI312" s="2" t="n">
        <v>2025</v>
      </c>
      <c r="AJ312" s="2" t="inlineStr">
        <is>
          <t>2025-09</t>
        </is>
      </c>
      <c r="AK312" s="2" t="inlineStr">
        <is>
          <t>+100 to +120</t>
        </is>
      </c>
      <c r="AL312" s="2" t="inlineStr">
        <is>
          <t>2025 Validation</t>
        </is>
      </c>
      <c r="AM312" s="6" t="n">
        <v>0.1676136378146232</v>
      </c>
    </row>
    <row r="313">
      <c r="A313" s="2" t="inlineStr">
        <is>
          <t>KPROP-00312</t>
        </is>
      </c>
      <c r="B313" s="3" t="n">
        <v>45904.81988425926</v>
      </c>
      <c r="C313" s="3" t="n">
        <v>45904</v>
      </c>
      <c r="D313" s="2" t="inlineStr">
        <is>
          <t>Taj Bradley</t>
        </is>
      </c>
      <c r="E313" s="2" t="n">
        <v>142</v>
      </c>
      <c r="F313" s="2" t="n">
        <v>145</v>
      </c>
      <c r="G313" s="2" t="inlineStr">
        <is>
          <t>Home</t>
        </is>
      </c>
      <c r="H313" s="2" t="inlineStr">
        <is>
          <t>betrivers</t>
        </is>
      </c>
      <c r="I313" s="4" t="n"/>
      <c r="J313" s="4" t="n"/>
      <c r="K313" s="4" t="n">
        <v>135</v>
      </c>
      <c r="L313" s="4" t="n">
        <v>135</v>
      </c>
      <c r="M313" s="5" t="n">
        <v>4.5</v>
      </c>
      <c r="N313" s="5" t="n">
        <v>4.591139234140759</v>
      </c>
      <c r="O313" s="5" t="n">
        <v>4.5</v>
      </c>
      <c r="P313" s="5" t="n">
        <v>-0.09113923414075931</v>
      </c>
      <c r="Q313" s="6" t="n">
        <v>0.2100070017014976</v>
      </c>
      <c r="R313" s="6" t="n">
        <v>0.5148965964687223</v>
      </c>
      <c r="S313" s="6" t="n">
        <v>0.4117884537747275</v>
      </c>
      <c r="T313" s="2" t="inlineStr">
        <is>
          <t>Under</t>
        </is>
      </c>
      <c r="U313" s="4" t="n">
        <v>135</v>
      </c>
      <c r="V313" s="2" t="n">
        <v>2.35</v>
      </c>
      <c r="W313" s="4" t="n">
        <v>135</v>
      </c>
      <c r="X313" s="2" t="n">
        <v>1</v>
      </c>
      <c r="Y313" s="5" t="n">
        <v>-1</v>
      </c>
      <c r="Z313" s="7" t="n">
        <v>100</v>
      </c>
      <c r="AA313" s="7">
        <f>Y313*Z313</f>
        <v/>
      </c>
      <c r="AB313" s="6">
        <f>IF(Z313=0,0,AA313/Z313)</f>
        <v/>
      </c>
      <c r="AC313" s="6" t="n"/>
      <c r="AD313" s="2" t="inlineStr">
        <is>
          <t>Loss</t>
        </is>
      </c>
      <c r="AE313" s="6">
        <f>IF((COUNTIF($AD$2:AD313,"Win")+COUNTIF($AD$2:AD313,"Loss"))=0,0,COUNTIF($AD$2:AD313,"Win")/(COUNTIF($AD$2:AD313,"Win")+COUNTIF($AD$2:AD313,"Loss")))</f>
        <v/>
      </c>
      <c r="AF313" s="6">
        <f>SUM($Y$2:Y313)/SUM($X$2:X313)</f>
        <v/>
      </c>
      <c r="AG313" s="5">
        <f>SUM($Y$2:Y313)</f>
        <v/>
      </c>
      <c r="AH313" s="7">
        <f>10000.0+SUM($AA$2:AA313)</f>
        <v/>
      </c>
      <c r="AI313" s="2" t="n">
        <v>2025</v>
      </c>
      <c r="AJ313" s="2" t="inlineStr">
        <is>
          <t>2025-09</t>
        </is>
      </c>
      <c r="AK313" s="2" t="inlineStr">
        <is>
          <t>+121 to +150</t>
        </is>
      </c>
      <c r="AL313" s="2" t="inlineStr">
        <is>
          <t>2025 Validation</t>
        </is>
      </c>
      <c r="AM313" s="6" t="n">
        <v>0.1555607420011093</v>
      </c>
    </row>
    <row r="314">
      <c r="A314" s="2" t="inlineStr">
        <is>
          <t>KPROP-00313</t>
        </is>
      </c>
      <c r="B314" s="3" t="n">
        <v>45904.81988425926</v>
      </c>
      <c r="C314" s="3" t="n">
        <v>45904</v>
      </c>
      <c r="D314" s="2" t="inlineStr">
        <is>
          <t>Taj Bradley</t>
        </is>
      </c>
      <c r="E314" s="2" t="n">
        <v>142</v>
      </c>
      <c r="F314" s="2" t="n">
        <v>145</v>
      </c>
      <c r="G314" s="2" t="inlineStr">
        <is>
          <t>Home</t>
        </is>
      </c>
      <c r="H314" s="2" t="inlineStr">
        <is>
          <t>betmgm</t>
        </is>
      </c>
      <c r="I314" s="4" t="n"/>
      <c r="J314" s="4" t="n"/>
      <c r="K314" s="4" t="n">
        <v>-155</v>
      </c>
      <c r="L314" s="4" t="n">
        <v>-155</v>
      </c>
      <c r="M314" s="5" t="n">
        <v>5.5</v>
      </c>
      <c r="N314" s="5" t="n">
        <v>4.591139234140759</v>
      </c>
      <c r="O314" s="5" t="n">
        <v>5.5</v>
      </c>
      <c r="P314" s="5" t="n">
        <v>0.9088607658592407</v>
      </c>
      <c r="Q314" s="6" t="n">
        <v>0.1306989806647166</v>
      </c>
      <c r="R314" s="6" t="n">
        <v>0.6872876156981611</v>
      </c>
      <c r="S314" s="6" t="n">
        <v>0.5776397515527951</v>
      </c>
      <c r="T314" s="2" t="inlineStr">
        <is>
          <t>Under</t>
        </is>
      </c>
      <c r="U314" s="4" t="n">
        <v>-155</v>
      </c>
      <c r="V314" s="2" t="n">
        <v>1.645161290322581</v>
      </c>
      <c r="W314" s="4" t="n">
        <v>-155</v>
      </c>
      <c r="X314" s="2" t="n">
        <v>1</v>
      </c>
      <c r="Y314" s="5" t="n">
        <v>-1</v>
      </c>
      <c r="Z314" s="7" t="n">
        <v>100</v>
      </c>
      <c r="AA314" s="7">
        <f>Y314*Z314</f>
        <v/>
      </c>
      <c r="AB314" s="6">
        <f>IF(Z314=0,0,AA314/Z314)</f>
        <v/>
      </c>
      <c r="AC314" s="6" t="n"/>
      <c r="AD314" s="2" t="inlineStr">
        <is>
          <t>Loss</t>
        </is>
      </c>
      <c r="AE314" s="6">
        <f>IF((COUNTIF($AD$2:AD314,"Win")+COUNTIF($AD$2:AD314,"Loss"))=0,0,COUNTIF($AD$2:AD314,"Win")/(COUNTIF($AD$2:AD314,"Win")+COUNTIF($AD$2:AD314,"Loss")))</f>
        <v/>
      </c>
      <c r="AF314" s="6">
        <f>SUM($Y$2:Y314)/SUM($X$2:X314)</f>
        <v/>
      </c>
      <c r="AG314" s="5">
        <f>SUM($Y$2:Y314)</f>
        <v/>
      </c>
      <c r="AH314" s="7">
        <f>10000.0+SUM($AA$2:AA314)</f>
        <v/>
      </c>
      <c r="AI314" s="2" t="n">
        <v>2025</v>
      </c>
      <c r="AJ314" s="2" t="inlineStr">
        <is>
          <t>2025-09</t>
        </is>
      </c>
      <c r="AK314" s="2" t="inlineStr">
        <is>
          <t>&lt;= -150</t>
        </is>
      </c>
      <c r="AL314" s="2" t="inlineStr">
        <is>
          <t>2025 Validation</t>
        </is>
      </c>
      <c r="AM314" s="6" t="n">
        <v>0.2025834200303107</v>
      </c>
    </row>
    <row r="315">
      <c r="A315" s="2" t="inlineStr">
        <is>
          <t>KPROP-00314</t>
        </is>
      </c>
      <c r="B315" s="3" t="n">
        <v>45905.77474537037</v>
      </c>
      <c r="C315" s="3" t="n">
        <v>45905</v>
      </c>
      <c r="D315" s="2" t="inlineStr">
        <is>
          <t>Jack Flaherty</t>
        </is>
      </c>
      <c r="E315" s="2" t="n">
        <v>116</v>
      </c>
      <c r="F315" s="2" t="n">
        <v>145</v>
      </c>
      <c r="G315" s="2" t="inlineStr">
        <is>
          <t>Home</t>
        </is>
      </c>
      <c r="H315" s="2" t="inlineStr">
        <is>
          <t>betrivers</t>
        </is>
      </c>
      <c r="I315" s="4" t="n"/>
      <c r="J315" s="4" t="n"/>
      <c r="K315" s="4" t="n">
        <v>133</v>
      </c>
      <c r="L315" s="4" t="n">
        <v>133</v>
      </c>
      <c r="M315" s="5" t="n">
        <v>5.5</v>
      </c>
      <c r="N315" s="5" t="n">
        <v>5.634919717014824</v>
      </c>
      <c r="O315" s="5" t="n">
        <v>5.5</v>
      </c>
      <c r="P315" s="5" t="n">
        <v>-0.1349197170148235</v>
      </c>
      <c r="Q315" s="6" t="n">
        <v>0.1788540503610885</v>
      </c>
      <c r="R315" s="6" t="n">
        <v>0.5059459443609822</v>
      </c>
      <c r="S315" s="6" t="n">
        <v>0.4138602613000082</v>
      </c>
      <c r="T315" s="2" t="inlineStr">
        <is>
          <t>Under</t>
        </is>
      </c>
      <c r="U315" s="4" t="n">
        <v>133</v>
      </c>
      <c r="V315" s="2" t="n">
        <v>2.33</v>
      </c>
      <c r="W315" s="4" t="n">
        <v>133</v>
      </c>
      <c r="X315" s="2" t="n">
        <v>1</v>
      </c>
      <c r="Y315" s="5" t="n">
        <v>1.33</v>
      </c>
      <c r="Z315" s="7" t="n">
        <v>100</v>
      </c>
      <c r="AA315" s="7">
        <f>Y315*Z315</f>
        <v/>
      </c>
      <c r="AB315" s="6">
        <f>IF(Z315=0,0,AA315/Z315)</f>
        <v/>
      </c>
      <c r="AC315" s="6" t="n"/>
      <c r="AD315" s="2" t="inlineStr">
        <is>
          <t>Win</t>
        </is>
      </c>
      <c r="AE315" s="6">
        <f>IF((COUNTIF($AD$2:AD315,"Win")+COUNTIF($AD$2:AD315,"Loss"))=0,0,COUNTIF($AD$2:AD315,"Win")/(COUNTIF($AD$2:AD315,"Win")+COUNTIF($AD$2:AD315,"Loss")))</f>
        <v/>
      </c>
      <c r="AF315" s="6">
        <f>SUM($Y$2:Y315)/SUM($X$2:X315)</f>
        <v/>
      </c>
      <c r="AG315" s="5">
        <f>SUM($Y$2:Y315)</f>
        <v/>
      </c>
      <c r="AH315" s="7">
        <f>10000.0+SUM($AA$2:AA315)</f>
        <v/>
      </c>
      <c r="AI315" s="2" t="n">
        <v>2025</v>
      </c>
      <c r="AJ315" s="2" t="inlineStr">
        <is>
          <t>2025-09</t>
        </is>
      </c>
      <c r="AK315" s="2" t="inlineStr">
        <is>
          <t>+121 to +150</t>
        </is>
      </c>
      <c r="AL315" s="2" t="inlineStr">
        <is>
          <t>2025 Validation</t>
        </is>
      </c>
      <c r="AM315" s="6" t="n">
        <v>0.1344767295948034</v>
      </c>
    </row>
    <row r="316">
      <c r="A316" s="2" t="inlineStr">
        <is>
          <t>KPROP-00315</t>
        </is>
      </c>
      <c r="B316" s="3" t="n">
        <v>45905.77474537037</v>
      </c>
      <c r="C316" s="3" t="n">
        <v>45905</v>
      </c>
      <c r="D316" s="2" t="inlineStr">
        <is>
          <t>Jack Flaherty</t>
        </is>
      </c>
      <c r="E316" s="2" t="n">
        <v>116</v>
      </c>
      <c r="F316" s="2" t="n">
        <v>145</v>
      </c>
      <c r="G316" s="2" t="inlineStr">
        <is>
          <t>Home</t>
        </is>
      </c>
      <c r="H316" s="2" t="inlineStr">
        <is>
          <t>fanatics</t>
        </is>
      </c>
      <c r="I316" s="4" t="n"/>
      <c r="J316" s="4" t="n"/>
      <c r="K316" s="4" t="n">
        <v>-120</v>
      </c>
      <c r="L316" s="4" t="n">
        <v>-120</v>
      </c>
      <c r="M316" s="5" t="n">
        <v>6.5</v>
      </c>
      <c r="N316" s="5" t="n">
        <v>5.634919717014824</v>
      </c>
      <c r="O316" s="5" t="n">
        <v>6.5</v>
      </c>
      <c r="P316" s="5" t="n">
        <v>0.8650802829851765</v>
      </c>
      <c r="Q316" s="6" t="n">
        <v>0.2186532149217773</v>
      </c>
      <c r="R316" s="6" t="n">
        <v>0.6647199354118785</v>
      </c>
      <c r="S316" s="6" t="n">
        <v>0.5315161839863713</v>
      </c>
      <c r="T316" s="2" t="inlineStr">
        <is>
          <t>Under</t>
        </is>
      </c>
      <c r="U316" s="4" t="n">
        <v>-120</v>
      </c>
      <c r="V316" s="2" t="n">
        <v>1.833333333333333</v>
      </c>
      <c r="W316" s="4" t="n">
        <v>-120</v>
      </c>
      <c r="X316" s="2" t="n">
        <v>1</v>
      </c>
      <c r="Y316" s="5" t="n">
        <v>0.8333333333333335</v>
      </c>
      <c r="Z316" s="7" t="n">
        <v>100</v>
      </c>
      <c r="AA316" s="7">
        <f>Y316*Z316</f>
        <v/>
      </c>
      <c r="AB316" s="6">
        <f>IF(Z316=0,0,AA316/Z316)</f>
        <v/>
      </c>
      <c r="AC316" s="6" t="n"/>
      <c r="AD316" s="2" t="inlineStr">
        <is>
          <t>Win</t>
        </is>
      </c>
      <c r="AE316" s="6">
        <f>IF((COUNTIF($AD$2:AD316,"Win")+COUNTIF($AD$2:AD316,"Loss"))=0,0,COUNTIF($AD$2:AD316,"Win")/(COUNTIF($AD$2:AD316,"Win")+COUNTIF($AD$2:AD316,"Loss")))</f>
        <v/>
      </c>
      <c r="AF316" s="6">
        <f>SUM($Y$2:Y316)/SUM($X$2:X316)</f>
        <v/>
      </c>
      <c r="AG316" s="5">
        <f>SUM($Y$2:Y316)</f>
        <v/>
      </c>
      <c r="AH316" s="7">
        <f>10000.0+SUM($AA$2:AA316)</f>
        <v/>
      </c>
      <c r="AI316" s="2" t="n">
        <v>2025</v>
      </c>
      <c r="AJ316" s="2" t="inlineStr">
        <is>
          <t>2025-09</t>
        </is>
      </c>
      <c r="AK316" s="2" t="inlineStr">
        <is>
          <t>-149 to -120</t>
        </is>
      </c>
      <c r="AL316" s="2" t="inlineStr">
        <is>
          <t>2025 Validation</t>
        </is>
      </c>
      <c r="AM316" s="6" t="n">
        <v>0.2623838579061327</v>
      </c>
    </row>
    <row r="317">
      <c r="A317" s="2" t="inlineStr">
        <is>
          <t>KPROP-00316</t>
        </is>
      </c>
      <c r="B317" s="3" t="n">
        <v>45905.80252314815</v>
      </c>
      <c r="C317" s="3" t="n">
        <v>45905</v>
      </c>
      <c r="D317" s="2" t="inlineStr">
        <is>
          <t>Logan Gilbert</t>
        </is>
      </c>
      <c r="E317" s="2" t="n">
        <v>136</v>
      </c>
      <c r="F317" s="2" t="n">
        <v>144</v>
      </c>
      <c r="G317" s="2" t="inlineStr">
        <is>
          <t>Away</t>
        </is>
      </c>
      <c r="H317" s="2" t="inlineStr">
        <is>
          <t>betrivers</t>
        </is>
      </c>
      <c r="I317" s="4" t="n"/>
      <c r="J317" s="4" t="n"/>
      <c r="K317" s="4" t="n">
        <v>155</v>
      </c>
      <c r="L317" s="4" t="n">
        <v>155</v>
      </c>
      <c r="M317" s="5" t="n">
        <v>5.5</v>
      </c>
      <c r="N317" s="5" t="n">
        <v>5.187041676010549</v>
      </c>
      <c r="O317" s="5" t="n">
        <v>5.5</v>
      </c>
      <c r="P317" s="5" t="n">
        <v>0.3129583239894513</v>
      </c>
      <c r="Q317" s="6" t="n">
        <v>0.4871051189042703</v>
      </c>
      <c r="R317" s="6" t="n">
        <v>0.5831784780016747</v>
      </c>
      <c r="S317" s="6" t="n">
        <v>0.3892215568862276</v>
      </c>
      <c r="T317" s="2" t="inlineStr">
        <is>
          <t>Under</t>
        </is>
      </c>
      <c r="U317" s="4" t="n">
        <v>155</v>
      </c>
      <c r="V317" s="2" t="n">
        <v>2.55</v>
      </c>
      <c r="W317" s="4" t="n">
        <v>155</v>
      </c>
      <c r="X317" s="2" t="n">
        <v>1</v>
      </c>
      <c r="Y317" s="5" t="n">
        <v>-1</v>
      </c>
      <c r="Z317" s="7" t="n">
        <v>100</v>
      </c>
      <c r="AA317" s="7">
        <f>Y317*Z317</f>
        <v/>
      </c>
      <c r="AB317" s="6">
        <f>IF(Z317=0,0,AA317/Z317)</f>
        <v/>
      </c>
      <c r="AC317" s="6" t="n"/>
      <c r="AD317" s="2" t="inlineStr">
        <is>
          <t>Loss</t>
        </is>
      </c>
      <c r="AE317" s="6">
        <f>IF((COUNTIF($AD$2:AD317,"Win")+COUNTIF($AD$2:AD317,"Loss"))=0,0,COUNTIF($AD$2:AD317,"Win")/(COUNTIF($AD$2:AD317,"Win")+COUNTIF($AD$2:AD317,"Loss")))</f>
        <v/>
      </c>
      <c r="AF317" s="6">
        <f>SUM($Y$2:Y317)/SUM($X$2:X317)</f>
        <v/>
      </c>
      <c r="AG317" s="5">
        <f>SUM($Y$2:Y317)</f>
        <v/>
      </c>
      <c r="AH317" s="7">
        <f>10000.0+SUM($AA$2:AA317)</f>
        <v/>
      </c>
      <c r="AI317" s="2" t="n">
        <v>2025</v>
      </c>
      <c r="AJ317" s="2" t="inlineStr">
        <is>
          <t>2025-09</t>
        </is>
      </c>
      <c r="AK317" s="2" t="inlineStr">
        <is>
          <t>&gt;= +151</t>
        </is>
      </c>
      <c r="AL317" s="2" t="inlineStr">
        <is>
          <t>2025 Validation</t>
        </is>
      </c>
      <c r="AM317" s="6" t="n">
        <v>0.3142613670350132</v>
      </c>
    </row>
    <row r="318">
      <c r="A318" s="2" t="inlineStr">
        <is>
          <t>KPROP-00317</t>
        </is>
      </c>
      <c r="B318" s="3" t="n">
        <v>45905.80252314815</v>
      </c>
      <c r="C318" s="3" t="n">
        <v>45905</v>
      </c>
      <c r="D318" s="2" t="inlineStr">
        <is>
          <t>Logan Gilbert</t>
        </is>
      </c>
      <c r="E318" s="2" t="n">
        <v>136</v>
      </c>
      <c r="F318" s="2" t="n">
        <v>144</v>
      </c>
      <c r="G318" s="2" t="inlineStr">
        <is>
          <t>Away</t>
        </is>
      </c>
      <c r="H318" s="2" t="inlineStr">
        <is>
          <t>betrivers</t>
        </is>
      </c>
      <c r="I318" s="4" t="n"/>
      <c r="J318" s="4" t="n"/>
      <c r="K318" s="4" t="n">
        <v>-130</v>
      </c>
      <c r="L318" s="4" t="n">
        <v>-130</v>
      </c>
      <c r="M318" s="5" t="n">
        <v>6.5</v>
      </c>
      <c r="N318" s="5" t="n">
        <v>5.187041676010549</v>
      </c>
      <c r="O318" s="5" t="n">
        <v>6.5</v>
      </c>
      <c r="P318" s="5" t="n">
        <v>1.312958323989451</v>
      </c>
      <c r="Q318" s="6" t="n">
        <v>0.299242230477154</v>
      </c>
      <c r="R318" s="6" t="n">
        <v>0.7343543041827393</v>
      </c>
      <c r="S318" s="6" t="n">
        <v>0.5520062329567589</v>
      </c>
      <c r="T318" s="2" t="inlineStr">
        <is>
          <t>Under</t>
        </is>
      </c>
      <c r="U318" s="4" t="n">
        <v>-130</v>
      </c>
      <c r="V318" s="2" t="n">
        <v>1.769230769230769</v>
      </c>
      <c r="W318" s="4" t="n">
        <v>-130</v>
      </c>
      <c r="X318" s="2" t="n">
        <v>1</v>
      </c>
      <c r="Y318" s="5" t="n">
        <v>-1</v>
      </c>
      <c r="Z318" s="7" t="n">
        <v>100</v>
      </c>
      <c r="AA318" s="7">
        <f>Y318*Z318</f>
        <v/>
      </c>
      <c r="AB318" s="6">
        <f>IF(Z318=0,0,AA318/Z318)</f>
        <v/>
      </c>
      <c r="AC318" s="6" t="n"/>
      <c r="AD318" s="2" t="inlineStr">
        <is>
          <t>Loss</t>
        </is>
      </c>
      <c r="AE318" s="6">
        <f>IF((COUNTIF($AD$2:AD318,"Win")+COUNTIF($AD$2:AD318,"Loss"))=0,0,COUNTIF($AD$2:AD318,"Win")/(COUNTIF($AD$2:AD318,"Win")+COUNTIF($AD$2:AD318,"Loss")))</f>
        <v/>
      </c>
      <c r="AF318" s="6">
        <f>SUM($Y$2:Y318)/SUM($X$2:X318)</f>
        <v/>
      </c>
      <c r="AG318" s="5">
        <f>SUM($Y$2:Y318)</f>
        <v/>
      </c>
      <c r="AH318" s="7">
        <f>10000.0+SUM($AA$2:AA318)</f>
        <v/>
      </c>
      <c r="AI318" s="2" t="n">
        <v>2025</v>
      </c>
      <c r="AJ318" s="2" t="inlineStr">
        <is>
          <t>2025-09</t>
        </is>
      </c>
      <c r="AK318" s="2" t="inlineStr">
        <is>
          <t>-149 to -120</t>
        </is>
      </c>
      <c r="AL318" s="2" t="inlineStr">
        <is>
          <t>2025 Validation</t>
        </is>
      </c>
      <c r="AM318" s="6" t="n">
        <v>0.3890148996203003</v>
      </c>
    </row>
    <row r="319">
      <c r="A319" s="2" t="inlineStr">
        <is>
          <t>KPROP-00318</t>
        </is>
      </c>
      <c r="B319" s="3" t="n">
        <v>45906.77821759259</v>
      </c>
      <c r="C319" s="3" t="n">
        <v>45906</v>
      </c>
      <c r="D319" s="2" t="inlineStr">
        <is>
          <t>Brady Singer</t>
        </is>
      </c>
      <c r="E319" s="2" t="n">
        <v>113</v>
      </c>
      <c r="F319" s="2" t="n">
        <v>121</v>
      </c>
      <c r="G319" s="2" t="inlineStr">
        <is>
          <t>Home</t>
        </is>
      </c>
      <c r="H319" s="2" t="inlineStr">
        <is>
          <t>betrivers</t>
        </is>
      </c>
      <c r="I319" s="4" t="n"/>
      <c r="J319" s="4" t="n"/>
      <c r="K319" s="4" t="n">
        <v>132</v>
      </c>
      <c r="L319" s="4" t="n">
        <v>132</v>
      </c>
      <c r="M319" s="5" t="n">
        <v>4.5</v>
      </c>
      <c r="N319" s="5" t="n">
        <v>4.550635439772646</v>
      </c>
      <c r="O319" s="5" t="n">
        <v>4.5</v>
      </c>
      <c r="P319" s="5" t="n">
        <v>-0.05063543977264562</v>
      </c>
      <c r="Q319" s="6" t="n">
        <v>0.2122472657463906</v>
      </c>
      <c r="R319" s="6" t="n">
        <v>0.5225203731665476</v>
      </c>
      <c r="S319" s="6" t="n">
        <v>0.4004316710212427</v>
      </c>
      <c r="T319" s="2" t="inlineStr">
        <is>
          <t>Under</t>
        </is>
      </c>
      <c r="U319" s="4" t="n">
        <v>132</v>
      </c>
      <c r="V319" s="2" t="n">
        <v>2.32</v>
      </c>
      <c r="W319" s="4" t="n">
        <v>132</v>
      </c>
      <c r="X319" s="2" t="n">
        <v>1</v>
      </c>
      <c r="Y319" s="5" t="n">
        <v>-1</v>
      </c>
      <c r="Z319" s="7" t="n">
        <v>100</v>
      </c>
      <c r="AA319" s="7">
        <f>Y319*Z319</f>
        <v/>
      </c>
      <c r="AB319" s="6">
        <f>IF(Z319=0,0,AA319/Z319)</f>
        <v/>
      </c>
      <c r="AC319" s="6" t="n"/>
      <c r="AD319" s="2" t="inlineStr">
        <is>
          <t>Loss</t>
        </is>
      </c>
      <c r="AE319" s="6">
        <f>IF((COUNTIF($AD$2:AD319,"Win")+COUNTIF($AD$2:AD319,"Loss"))=0,0,COUNTIF($AD$2:AD319,"Win")/(COUNTIF($AD$2:AD319,"Win")+COUNTIF($AD$2:AD319,"Loss")))</f>
        <v/>
      </c>
      <c r="AF319" s="6">
        <f>SUM($Y$2:Y319)/SUM($X$2:X319)</f>
        <v/>
      </c>
      <c r="AG319" s="5">
        <f>SUM($Y$2:Y319)</f>
        <v/>
      </c>
      <c r="AH319" s="7">
        <f>10000.0+SUM($AA$2:AA319)</f>
        <v/>
      </c>
      <c r="AI319" s="2" t="n">
        <v>2025</v>
      </c>
      <c r="AJ319" s="2" t="inlineStr">
        <is>
          <t>2025-09</t>
        </is>
      </c>
      <c r="AK319" s="2" t="inlineStr">
        <is>
          <t>+121 to +150</t>
        </is>
      </c>
      <c r="AL319" s="2" t="inlineStr">
        <is>
          <t>2025 Validation</t>
        </is>
      </c>
      <c r="AM319" s="6" t="n">
        <v>0.160793383141205</v>
      </c>
    </row>
    <row r="320">
      <c r="A320" s="2" t="inlineStr">
        <is>
          <t>KPROP-00319</t>
        </is>
      </c>
      <c r="B320" s="3" t="n">
        <v>45906.77821759259</v>
      </c>
      <c r="C320" s="3" t="n">
        <v>45906</v>
      </c>
      <c r="D320" s="2" t="inlineStr">
        <is>
          <t>Brady Singer</t>
        </is>
      </c>
      <c r="E320" s="2" t="n">
        <v>113</v>
      </c>
      <c r="F320" s="2" t="n">
        <v>121</v>
      </c>
      <c r="G320" s="2" t="inlineStr">
        <is>
          <t>Home</t>
        </is>
      </c>
      <c r="H320" s="2" t="inlineStr">
        <is>
          <t>draftkings</t>
        </is>
      </c>
      <c r="I320" s="4" t="n"/>
      <c r="J320" s="4" t="n"/>
      <c r="K320" s="4" t="n">
        <v>-155</v>
      </c>
      <c r="L320" s="4" t="n">
        <v>-155</v>
      </c>
      <c r="M320" s="5" t="n">
        <v>5.5</v>
      </c>
      <c r="N320" s="5" t="n">
        <v>4.550635439772646</v>
      </c>
      <c r="O320" s="5" t="n">
        <v>5.5</v>
      </c>
      <c r="P320" s="5" t="n">
        <v>0.9493645602273544</v>
      </c>
      <c r="Q320" s="6" t="n">
        <v>0.1421648645618211</v>
      </c>
      <c r="R320" s="6" t="n">
        <v>0.6942570745375776</v>
      </c>
      <c r="S320" s="6" t="n">
        <v>0.5721476510067114</v>
      </c>
      <c r="T320" s="2" t="inlineStr">
        <is>
          <t>Under</t>
        </is>
      </c>
      <c r="U320" s="4" t="n">
        <v>-155</v>
      </c>
      <c r="V320" s="2" t="n">
        <v>1.645161290322581</v>
      </c>
      <c r="W320" s="4" t="n">
        <v>-155</v>
      </c>
      <c r="X320" s="2" t="n">
        <v>1</v>
      </c>
      <c r="Y320" s="5" t="n">
        <v>0.6451612903225805</v>
      </c>
      <c r="Z320" s="7" t="n">
        <v>100</v>
      </c>
      <c r="AA320" s="7">
        <f>Y320*Z320</f>
        <v/>
      </c>
      <c r="AB320" s="6">
        <f>IF(Z320=0,0,AA320/Z320)</f>
        <v/>
      </c>
      <c r="AC320" s="6" t="n"/>
      <c r="AD320" s="2" t="inlineStr">
        <is>
          <t>Win</t>
        </is>
      </c>
      <c r="AE320" s="6">
        <f>IF((COUNTIF($AD$2:AD320,"Win")+COUNTIF($AD$2:AD320,"Loss"))=0,0,COUNTIF($AD$2:AD320,"Win")/(COUNTIF($AD$2:AD320,"Win")+COUNTIF($AD$2:AD320,"Loss")))</f>
        <v/>
      </c>
      <c r="AF320" s="6">
        <f>SUM($Y$2:Y320)/SUM($X$2:X320)</f>
        <v/>
      </c>
      <c r="AG320" s="5">
        <f>SUM($Y$2:Y320)</f>
        <v/>
      </c>
      <c r="AH320" s="7">
        <f>10000.0+SUM($AA$2:AA320)</f>
        <v/>
      </c>
      <c r="AI320" s="2" t="n">
        <v>2025</v>
      </c>
      <c r="AJ320" s="2" t="inlineStr">
        <is>
          <t>2025-09</t>
        </is>
      </c>
      <c r="AK320" s="2" t="inlineStr">
        <is>
          <t>&lt;= -150</t>
        </is>
      </c>
      <c r="AL320" s="2" t="inlineStr">
        <is>
          <t>2025 Validation</t>
        </is>
      </c>
      <c r="AM320" s="6" t="n">
        <v>0.2203555400708227</v>
      </c>
    </row>
    <row r="321">
      <c r="A321" s="2" t="inlineStr">
        <is>
          <t>KPROP-00320</t>
        </is>
      </c>
      <c r="B321" s="3" t="n">
        <v>45906.80253472222</v>
      </c>
      <c r="C321" s="3" t="n">
        <v>45906</v>
      </c>
      <c r="D321" s="2" t="inlineStr">
        <is>
          <t>Jacob deGrom</t>
        </is>
      </c>
      <c r="E321" s="2" t="n">
        <v>140</v>
      </c>
      <c r="F321" s="2" t="n">
        <v>117</v>
      </c>
      <c r="G321" s="2" t="inlineStr">
        <is>
          <t>Home</t>
        </is>
      </c>
      <c r="H321" s="2" t="inlineStr">
        <is>
          <t>betrivers</t>
        </is>
      </c>
      <c r="I321" s="4" t="n"/>
      <c r="J321" s="4" t="n"/>
      <c r="K321" s="4" t="n">
        <v>128</v>
      </c>
      <c r="L321" s="4" t="n">
        <v>128</v>
      </c>
      <c r="M321" s="5" t="n">
        <v>5.5</v>
      </c>
      <c r="N321" s="5" t="n">
        <v>5.842008356207042</v>
      </c>
      <c r="O321" s="5" t="n">
        <v>5.5</v>
      </c>
      <c r="P321" s="5" t="n">
        <v>-0.3420083562070415</v>
      </c>
      <c r="Q321" s="6" t="n">
        <v>0.07474337606917814</v>
      </c>
      <c r="R321" s="6" t="n">
        <v>0.4713786737145518</v>
      </c>
      <c r="S321" s="6" t="n">
        <v>0.4070177500881627</v>
      </c>
      <c r="T321" s="2" t="inlineStr">
        <is>
          <t>Under</t>
        </is>
      </c>
      <c r="U321" s="4" t="n">
        <v>128</v>
      </c>
      <c r="V321" s="2" t="n">
        <v>2.28</v>
      </c>
      <c r="W321" s="4" t="n">
        <v>128</v>
      </c>
      <c r="X321" s="2" t="n">
        <v>1</v>
      </c>
      <c r="Y321" s="5" t="n">
        <v>-1</v>
      </c>
      <c r="Z321" s="7" t="n">
        <v>100</v>
      </c>
      <c r="AA321" s="7">
        <f>Y321*Z321</f>
        <v/>
      </c>
      <c r="AB321" s="6">
        <f>IF(Z321=0,0,AA321/Z321)</f>
        <v/>
      </c>
      <c r="AC321" s="6" t="n"/>
      <c r="AD321" s="2" t="inlineStr">
        <is>
          <t>Loss</t>
        </is>
      </c>
      <c r="AE321" s="6">
        <f>IF((COUNTIF($AD$2:AD321,"Win")+COUNTIF($AD$2:AD321,"Loss"))=0,0,COUNTIF($AD$2:AD321,"Win")/(COUNTIF($AD$2:AD321,"Win")+COUNTIF($AD$2:AD321,"Loss")))</f>
        <v/>
      </c>
      <c r="AF321" s="6">
        <f>SUM($Y$2:Y321)/SUM($X$2:X321)</f>
        <v/>
      </c>
      <c r="AG321" s="5">
        <f>SUM($Y$2:Y321)</f>
        <v/>
      </c>
      <c r="AH321" s="7">
        <f>10000.0+SUM($AA$2:AA321)</f>
        <v/>
      </c>
      <c r="AI321" s="2" t="n">
        <v>2025</v>
      </c>
      <c r="AJ321" s="2" t="inlineStr">
        <is>
          <t>2025-09</t>
        </is>
      </c>
      <c r="AK321" s="2" t="inlineStr">
        <is>
          <t>+121 to +150</t>
        </is>
      </c>
      <c r="AL321" s="2" t="inlineStr">
        <is>
          <t>2025 Validation</t>
        </is>
      </c>
      <c r="AM321" s="6" t="n">
        <v>0.05839326255404541</v>
      </c>
    </row>
    <row r="322">
      <c r="A322" s="2" t="inlineStr">
        <is>
          <t>KPROP-00321</t>
        </is>
      </c>
      <c r="B322" s="3" t="n">
        <v>45906.80253472222</v>
      </c>
      <c r="C322" s="3" t="n">
        <v>45906</v>
      </c>
      <c r="D322" s="2" t="inlineStr">
        <is>
          <t>Jacob deGrom</t>
        </is>
      </c>
      <c r="E322" s="2" t="n">
        <v>140</v>
      </c>
      <c r="F322" s="2" t="n">
        <v>117</v>
      </c>
      <c r="G322" s="2" t="inlineStr">
        <is>
          <t>Home</t>
        </is>
      </c>
      <c r="H322" s="2" t="inlineStr">
        <is>
          <t>betmgm</t>
        </is>
      </c>
      <c r="I322" s="4" t="n"/>
      <c r="J322" s="4" t="n"/>
      <c r="K322" s="4" t="n">
        <v>-135</v>
      </c>
      <c r="L322" s="4" t="n">
        <v>-135</v>
      </c>
      <c r="M322" s="5" t="n">
        <v>6.5</v>
      </c>
      <c r="N322" s="5" t="n">
        <v>5.842008356207042</v>
      </c>
      <c r="O322" s="5" t="n">
        <v>6.5</v>
      </c>
      <c r="P322" s="5" t="n">
        <v>0.6579916437929585</v>
      </c>
      <c r="Q322" s="6" t="n">
        <v>0.09955991121189733</v>
      </c>
      <c r="R322" s="6" t="n">
        <v>0.6316620766536432</v>
      </c>
      <c r="S322" s="6" t="n">
        <v>0.5537409798708697</v>
      </c>
      <c r="T322" s="2" t="inlineStr">
        <is>
          <t>Under</t>
        </is>
      </c>
      <c r="U322" s="4" t="n">
        <v>-135</v>
      </c>
      <c r="V322" s="2" t="n">
        <v>1.740740740740741</v>
      </c>
      <c r="W322" s="4" t="n">
        <v>-135</v>
      </c>
      <c r="X322" s="2" t="n">
        <v>1</v>
      </c>
      <c r="Y322" s="5" t="n">
        <v>-1</v>
      </c>
      <c r="Z322" s="7" t="n">
        <v>100</v>
      </c>
      <c r="AA322" s="7">
        <f>Y322*Z322</f>
        <v/>
      </c>
      <c r="AB322" s="6">
        <f>IF(Z322=0,0,AA322/Z322)</f>
        <v/>
      </c>
      <c r="AC322" s="6" t="n"/>
      <c r="AD322" s="2" t="inlineStr">
        <is>
          <t>Loss</t>
        </is>
      </c>
      <c r="AE322" s="6">
        <f>IF((COUNTIF($AD$2:AD322,"Win")+COUNTIF($AD$2:AD322,"Loss"))=0,0,COUNTIF($AD$2:AD322,"Win")/(COUNTIF($AD$2:AD322,"Win")+COUNTIF($AD$2:AD322,"Loss")))</f>
        <v/>
      </c>
      <c r="AF322" s="6">
        <f>SUM($Y$2:Y322)/SUM($X$2:X322)</f>
        <v/>
      </c>
      <c r="AG322" s="5">
        <f>SUM($Y$2:Y322)</f>
        <v/>
      </c>
      <c r="AH322" s="7">
        <f>10000.0+SUM($AA$2:AA322)</f>
        <v/>
      </c>
      <c r="AI322" s="2" t="n">
        <v>2025</v>
      </c>
      <c r="AJ322" s="2" t="inlineStr">
        <is>
          <t>2025-09</t>
        </is>
      </c>
      <c r="AK322" s="2" t="inlineStr">
        <is>
          <t>-149 to -120</t>
        </is>
      </c>
      <c r="AL322" s="2" t="inlineStr">
        <is>
          <t>2025 Validation</t>
        </is>
      </c>
      <c r="AM322" s="6" t="n">
        <v>0.1344058801360614</v>
      </c>
    </row>
    <row r="323">
      <c r="A323" s="2" t="inlineStr">
        <is>
          <t>KPROP-00322</t>
        </is>
      </c>
      <c r="B323" s="3" t="n">
        <v>45906.59767361111</v>
      </c>
      <c r="C323" s="3" t="n">
        <v>45906</v>
      </c>
      <c r="D323" s="2" t="inlineStr">
        <is>
          <t>Matthew Boyd</t>
        </is>
      </c>
      <c r="E323" s="2" t="n">
        <v>112</v>
      </c>
      <c r="F323" s="2" t="n">
        <v>120</v>
      </c>
      <c r="G323" s="2" t="inlineStr">
        <is>
          <t>Home</t>
        </is>
      </c>
      <c r="H323" s="2" t="inlineStr">
        <is>
          <t>betmgm</t>
        </is>
      </c>
      <c r="I323" s="4" t="n"/>
      <c r="J323" s="4" t="n"/>
      <c r="K323" s="4" t="n">
        <v>-115</v>
      </c>
      <c r="L323" s="4" t="n">
        <v>-115</v>
      </c>
      <c r="M323" s="5" t="n">
        <v>6.5</v>
      </c>
      <c r="N323" s="5" t="n">
        <v>5.127109276299713</v>
      </c>
      <c r="O323" s="5" t="n">
        <v>6.5</v>
      </c>
      <c r="P323" s="5" t="n">
        <v>1.372890723700287</v>
      </c>
      <c r="Q323" s="6" t="n">
        <v>0.3897805779643566</v>
      </c>
      <c r="R323" s="6" t="n">
        <v>0.7433710068181443</v>
      </c>
      <c r="S323" s="6" t="n">
        <v>0.5168539325842696</v>
      </c>
      <c r="T323" s="2" t="inlineStr">
        <is>
          <t>Under</t>
        </is>
      </c>
      <c r="U323" s="4" t="n">
        <v>-115</v>
      </c>
      <c r="V323" s="2" t="n">
        <v>1.869565217391304</v>
      </c>
      <c r="W323" s="4" t="n">
        <v>-115</v>
      </c>
      <c r="X323" s="2" t="n">
        <v>1</v>
      </c>
      <c r="Y323" s="5" t="n">
        <v>0.8695652173913042</v>
      </c>
      <c r="Z323" s="7" t="n">
        <v>100</v>
      </c>
      <c r="AA323" s="7">
        <f>Y323*Z323</f>
        <v/>
      </c>
      <c r="AB323" s="6">
        <f>IF(Z323=0,0,AA323/Z323)</f>
        <v/>
      </c>
      <c r="AC323" s="6" t="n"/>
      <c r="AD323" s="2" t="inlineStr">
        <is>
          <t>Win</t>
        </is>
      </c>
      <c r="AE323" s="6">
        <f>IF((COUNTIF($AD$2:AD323,"Win")+COUNTIF($AD$2:AD323,"Loss"))=0,0,COUNTIF($AD$2:AD323,"Win")/(COUNTIF($AD$2:AD323,"Win")+COUNTIF($AD$2:AD323,"Loss")))</f>
        <v/>
      </c>
      <c r="AF323" s="6">
        <f>SUM($Y$2:Y323)/SUM($X$2:X323)</f>
        <v/>
      </c>
      <c r="AG323" s="5">
        <f>SUM($Y$2:Y323)</f>
        <v/>
      </c>
      <c r="AH323" s="7">
        <f>10000.0+SUM($AA$2:AA323)</f>
        <v/>
      </c>
      <c r="AI323" s="2" t="n">
        <v>2025</v>
      </c>
      <c r="AJ323" s="2" t="inlineStr">
        <is>
          <t>2025-09</t>
        </is>
      </c>
      <c r="AK323" s="2" t="inlineStr">
        <is>
          <t>-119 to -101</t>
        </is>
      </c>
      <c r="AL323" s="2" t="inlineStr">
        <is>
          <t>2025 Validation</t>
        </is>
      </c>
      <c r="AM323" s="6" t="n">
        <v>0.4482476646590102</v>
      </c>
    </row>
    <row r="324">
      <c r="A324" s="2" t="inlineStr">
        <is>
          <t>KPROP-00323</t>
        </is>
      </c>
      <c r="B324" s="3" t="n">
        <v>45906.79559027778</v>
      </c>
      <c r="C324" s="3" t="n">
        <v>45906</v>
      </c>
      <c r="D324" s="2" t="inlineStr">
        <is>
          <t>Shane Baz</t>
        </is>
      </c>
      <c r="E324" s="2" t="n">
        <v>139</v>
      </c>
      <c r="F324" s="2" t="n">
        <v>114</v>
      </c>
      <c r="G324" s="2" t="inlineStr">
        <is>
          <t>Home</t>
        </is>
      </c>
      <c r="H324" s="2" t="inlineStr">
        <is>
          <t>draftkings</t>
        </is>
      </c>
      <c r="I324" s="4" t="n"/>
      <c r="J324" s="4" t="n"/>
      <c r="K324" s="4" t="n">
        <v>-105</v>
      </c>
      <c r="L324" s="4" t="n">
        <v>-105</v>
      </c>
      <c r="M324" s="5" t="n">
        <v>5.5</v>
      </c>
      <c r="N324" s="5" t="n">
        <v>5.226705691491659</v>
      </c>
      <c r="O324" s="5" t="n">
        <v>5.5</v>
      </c>
      <c r="P324" s="5" t="n">
        <v>0.2732943085083406</v>
      </c>
      <c r="Q324" s="6" t="n">
        <v>0.1250551286565051</v>
      </c>
      <c r="R324" s="6" t="n">
        <v>0.5762477488240636</v>
      </c>
      <c r="S324" s="6" t="n">
        <v>0.4842767295597484</v>
      </c>
      <c r="T324" s="2" t="inlineStr">
        <is>
          <t>Under</t>
        </is>
      </c>
      <c r="U324" s="4" t="n">
        <v>-105</v>
      </c>
      <c r="V324" s="2" t="n">
        <v>1.952380952380952</v>
      </c>
      <c r="W324" s="4" t="n">
        <v>-105</v>
      </c>
      <c r="X324" s="2" t="n">
        <v>1</v>
      </c>
      <c r="Y324" s="5" t="n">
        <v>-1</v>
      </c>
      <c r="Z324" s="7" t="n">
        <v>100</v>
      </c>
      <c r="AA324" s="7">
        <f>Y324*Z324</f>
        <v/>
      </c>
      <c r="AB324" s="6">
        <f>IF(Z324=0,0,AA324/Z324)</f>
        <v/>
      </c>
      <c r="AC324" s="6" t="n"/>
      <c r="AD324" s="2" t="inlineStr">
        <is>
          <t>Loss</t>
        </is>
      </c>
      <c r="AE324" s="6">
        <f>IF((COUNTIF($AD$2:AD324,"Win")+COUNTIF($AD$2:AD324,"Loss"))=0,0,COUNTIF($AD$2:AD324,"Win")/(COUNTIF($AD$2:AD324,"Win")+COUNTIF($AD$2:AD324,"Loss")))</f>
        <v/>
      </c>
      <c r="AF324" s="6">
        <f>SUM($Y$2:Y324)/SUM($X$2:X324)</f>
        <v/>
      </c>
      <c r="AG324" s="5">
        <f>SUM($Y$2:Y324)</f>
        <v/>
      </c>
      <c r="AH324" s="7">
        <f>10000.0+SUM($AA$2:AA324)</f>
        <v/>
      </c>
      <c r="AI324" s="2" t="n">
        <v>2025</v>
      </c>
      <c r="AJ324" s="2" t="inlineStr">
        <is>
          <t>2025-09</t>
        </is>
      </c>
      <c r="AK324" s="2" t="inlineStr">
        <is>
          <t>-119 to -101</t>
        </is>
      </c>
      <c r="AL324" s="2" t="inlineStr">
        <is>
          <t>2025 Validation</t>
        </is>
      </c>
      <c r="AM324" s="6" t="n">
        <v>0.1313078850893304</v>
      </c>
    </row>
    <row r="325">
      <c r="A325" s="2" t="inlineStr">
        <is>
          <t>KPROP-00324</t>
        </is>
      </c>
      <c r="B325" s="3" t="n">
        <v>45906.75738425926</v>
      </c>
      <c r="C325" s="3" t="n">
        <v>45906</v>
      </c>
      <c r="D325" s="2" t="inlineStr">
        <is>
          <t>Tarik Skubal</t>
        </is>
      </c>
      <c r="E325" s="2" t="n">
        <v>116</v>
      </c>
      <c r="F325" s="2" t="n">
        <v>145</v>
      </c>
      <c r="G325" s="2" t="inlineStr">
        <is>
          <t>Home</t>
        </is>
      </c>
      <c r="H325" s="2" t="inlineStr">
        <is>
          <t>fanduel</t>
        </is>
      </c>
      <c r="I325" s="4" t="n"/>
      <c r="J325" s="4" t="n"/>
      <c r="K325" s="4" t="n">
        <v>120</v>
      </c>
      <c r="L325" s="4" t="n">
        <v>120</v>
      </c>
      <c r="M325" s="5" t="n">
        <v>7.5</v>
      </c>
      <c r="N325" s="5" t="n">
        <v>7.695829050045323</v>
      </c>
      <c r="O325" s="5" t="n">
        <v>7.5</v>
      </c>
      <c r="P325" s="5" t="n">
        <v>-0.1958290500453232</v>
      </c>
      <c r="Q325" s="6" t="n">
        <v>0.09155521874978623</v>
      </c>
      <c r="R325" s="6" t="n">
        <v>0.4961614630680846</v>
      </c>
      <c r="S325" s="6" t="n">
        <v>0.4343971631205674</v>
      </c>
      <c r="T325" s="2" t="inlineStr">
        <is>
          <t>Under</t>
        </is>
      </c>
      <c r="U325" s="4" t="n">
        <v>120</v>
      </c>
      <c r="V325" s="2" t="n">
        <v>2.2</v>
      </c>
      <c r="W325" s="4" t="n">
        <v>120</v>
      </c>
      <c r="X325" s="2" t="n">
        <v>1</v>
      </c>
      <c r="Y325" s="5" t="n">
        <v>1.2</v>
      </c>
      <c r="Z325" s="7" t="n">
        <v>100</v>
      </c>
      <c r="AA325" s="7">
        <f>Y325*Z325</f>
        <v/>
      </c>
      <c r="AB325" s="6">
        <f>IF(Z325=0,0,AA325/Z325)</f>
        <v/>
      </c>
      <c r="AC325" s="6" t="n"/>
      <c r="AD325" s="2" t="inlineStr">
        <is>
          <t>Win</t>
        </is>
      </c>
      <c r="AE325" s="6">
        <f>IF((COUNTIF($AD$2:AD325,"Win")+COUNTIF($AD$2:AD325,"Loss"))=0,0,COUNTIF($AD$2:AD325,"Win")/(COUNTIF($AD$2:AD325,"Win")+COUNTIF($AD$2:AD325,"Loss")))</f>
        <v/>
      </c>
      <c r="AF325" s="6">
        <f>SUM($Y$2:Y325)/SUM($X$2:X325)</f>
        <v/>
      </c>
      <c r="AG325" s="5">
        <f>SUM($Y$2:Y325)</f>
        <v/>
      </c>
      <c r="AH325" s="7">
        <f>10000.0+SUM($AA$2:AA325)</f>
        <v/>
      </c>
      <c r="AI325" s="2" t="n">
        <v>2025</v>
      </c>
      <c r="AJ325" s="2" t="inlineStr">
        <is>
          <t>2025-09</t>
        </is>
      </c>
      <c r="AK325" s="2" t="inlineStr">
        <is>
          <t>+100 to +120</t>
        </is>
      </c>
      <c r="AL325" s="2" t="inlineStr">
        <is>
          <t>2025 Validation</t>
        </is>
      </c>
      <c r="AM325" s="6" t="n">
        <v>0.07629601562482184</v>
      </c>
    </row>
    <row r="326">
      <c r="A326" s="2" t="inlineStr">
        <is>
          <t>KPROP-00325</t>
        </is>
      </c>
      <c r="B326" s="3" t="n">
        <v>45907.60807870371</v>
      </c>
      <c r="C326" s="3" t="n">
        <v>45907</v>
      </c>
      <c r="D326" s="2" t="inlineStr">
        <is>
          <t>Framber Valdez</t>
        </is>
      </c>
      <c r="E326" s="2" t="n">
        <v>117</v>
      </c>
      <c r="F326" s="2" t="n">
        <v>140</v>
      </c>
      <c r="G326" s="2" t="inlineStr">
        <is>
          <t>Away</t>
        </is>
      </c>
      <c r="H326" s="2" t="inlineStr">
        <is>
          <t>fanduel</t>
        </is>
      </c>
      <c r="I326" s="4" t="n"/>
      <c r="J326" s="4" t="n"/>
      <c r="K326" s="4" t="n">
        <v>118</v>
      </c>
      <c r="L326" s="4" t="n">
        <v>118</v>
      </c>
      <c r="M326" s="5" t="n">
        <v>5.5</v>
      </c>
      <c r="N326" s="5" t="n">
        <v>5.595014729539127</v>
      </c>
      <c r="O326" s="5" t="n">
        <v>5.5</v>
      </c>
      <c r="P326" s="5" t="n">
        <v>-0.09501472953912682</v>
      </c>
      <c r="Q326" s="6" t="n">
        <v>0.117701736661541</v>
      </c>
      <c r="R326" s="6" t="n">
        <v>0.5127072186520831</v>
      </c>
      <c r="S326" s="6" t="n">
        <v>0.4479937670432412</v>
      </c>
      <c r="T326" s="2" t="inlineStr">
        <is>
          <t>Under</t>
        </is>
      </c>
      <c r="U326" s="4" t="n">
        <v>118</v>
      </c>
      <c r="V326" s="2" t="n">
        <v>2.18</v>
      </c>
      <c r="W326" s="4" t="n">
        <v>118</v>
      </c>
      <c r="X326" s="2" t="n">
        <v>1</v>
      </c>
      <c r="Y326" s="5" t="n">
        <v>1.18</v>
      </c>
      <c r="Z326" s="7" t="n">
        <v>100</v>
      </c>
      <c r="AA326" s="7">
        <f>Y326*Z326</f>
        <v/>
      </c>
      <c r="AB326" s="6">
        <f>IF(Z326=0,0,AA326/Z326)</f>
        <v/>
      </c>
      <c r="AC326" s="6" t="n"/>
      <c r="AD326" s="2" t="inlineStr">
        <is>
          <t>Win</t>
        </is>
      </c>
      <c r="AE326" s="6">
        <f>IF((COUNTIF($AD$2:AD326,"Win")+COUNTIF($AD$2:AD326,"Loss"))=0,0,COUNTIF($AD$2:AD326,"Win")/(COUNTIF($AD$2:AD326,"Win")+COUNTIF($AD$2:AD326,"Loss")))</f>
        <v/>
      </c>
      <c r="AF326" s="6">
        <f>SUM($Y$2:Y326)/SUM($X$2:X326)</f>
        <v/>
      </c>
      <c r="AG326" s="5">
        <f>SUM($Y$2:Y326)</f>
        <v/>
      </c>
      <c r="AH326" s="7">
        <f>10000.0+SUM($AA$2:AA326)</f>
        <v/>
      </c>
      <c r="AI326" s="2" t="n">
        <v>2025</v>
      </c>
      <c r="AJ326" s="2" t="inlineStr">
        <is>
          <t>2025-09</t>
        </is>
      </c>
      <c r="AK326" s="2" t="inlineStr">
        <is>
          <t>+100 to +120</t>
        </is>
      </c>
      <c r="AL326" s="2" t="inlineStr">
        <is>
          <t>2025 Validation</t>
        </is>
      </c>
      <c r="AM326" s="6" t="n">
        <v>0.09974723445893312</v>
      </c>
    </row>
    <row r="327">
      <c r="A327" s="2" t="inlineStr">
        <is>
          <t>KPROP-00326</t>
        </is>
      </c>
      <c r="B327" s="3" t="n">
        <v>45907.59418981482</v>
      </c>
      <c r="C327" s="3" t="n">
        <v>45907</v>
      </c>
      <c r="D327" s="2" t="inlineStr">
        <is>
          <t>Kai-Wei Teng</t>
        </is>
      </c>
      <c r="E327" s="2" t="n">
        <v>137</v>
      </c>
      <c r="F327" s="2" t="n">
        <v>138</v>
      </c>
      <c r="G327" s="2" t="inlineStr">
        <is>
          <t>Away</t>
        </is>
      </c>
      <c r="H327" s="2" t="inlineStr">
        <is>
          <t>fanduel</t>
        </is>
      </c>
      <c r="I327" s="4" t="n"/>
      <c r="J327" s="4" t="n"/>
      <c r="K327" s="4" t="n">
        <v>-112</v>
      </c>
      <c r="L327" s="4" t="n">
        <v>-112</v>
      </c>
      <c r="M327" s="5" t="n">
        <v>4.5</v>
      </c>
      <c r="N327" s="5" t="n">
        <v>4.233488590692156</v>
      </c>
      <c r="O327" s="5" t="n">
        <v>4.5</v>
      </c>
      <c r="P327" s="5" t="n">
        <v>0.266511409307844</v>
      </c>
      <c r="Q327" s="6" t="n">
        <v>0.1041442877244172</v>
      </c>
      <c r="R327" s="6" t="n">
        <v>0.5833215104959185</v>
      </c>
      <c r="S327" s="6" t="n">
        <v>0.5137614678899083</v>
      </c>
      <c r="T327" s="2" t="inlineStr">
        <is>
          <t>Under</t>
        </is>
      </c>
      <c r="U327" s="4" t="n">
        <v>-112</v>
      </c>
      <c r="V327" s="2" t="n">
        <v>1.892857142857143</v>
      </c>
      <c r="W327" s="4" t="n">
        <v>-112</v>
      </c>
      <c r="X327" s="2" t="n">
        <v>1</v>
      </c>
      <c r="Y327" s="5" t="n">
        <v>-1</v>
      </c>
      <c r="Z327" s="7" t="n">
        <v>100</v>
      </c>
      <c r="AA327" s="7">
        <f>Y327*Z327</f>
        <v/>
      </c>
      <c r="AB327" s="6">
        <f>IF(Z327=0,0,AA327/Z327)</f>
        <v/>
      </c>
      <c r="AC327" s="6" t="n"/>
      <c r="AD327" s="2" t="inlineStr">
        <is>
          <t>Loss</t>
        </is>
      </c>
      <c r="AE327" s="6">
        <f>IF((COUNTIF($AD$2:AD327,"Win")+COUNTIF($AD$2:AD327,"Loss"))=0,0,COUNTIF($AD$2:AD327,"Win")/(COUNTIF($AD$2:AD327,"Win")+COUNTIF($AD$2:AD327,"Loss")))</f>
        <v/>
      </c>
      <c r="AF327" s="6">
        <f>SUM($Y$2:Y327)/SUM($X$2:X327)</f>
        <v/>
      </c>
      <c r="AG327" s="5">
        <f>SUM($Y$2:Y327)</f>
        <v/>
      </c>
      <c r="AH327" s="7">
        <f>10000.0+SUM($AA$2:AA327)</f>
        <v/>
      </c>
      <c r="AI327" s="2" t="n">
        <v>2025</v>
      </c>
      <c r="AJ327" s="2" t="inlineStr">
        <is>
          <t>2025-09</t>
        </is>
      </c>
      <c r="AK327" s="2" t="inlineStr">
        <is>
          <t>-119 to -101</t>
        </is>
      </c>
      <c r="AL327" s="2" t="inlineStr">
        <is>
          <t>2025 Validation</t>
        </is>
      </c>
      <c r="AM327" s="6" t="n">
        <v>0.1166416022513473</v>
      </c>
    </row>
    <row r="328">
      <c r="A328" s="2" t="inlineStr">
        <is>
          <t>KPROP-00327</t>
        </is>
      </c>
      <c r="B328" s="3" t="n">
        <v>45907.67059027778</v>
      </c>
      <c r="C328" s="3" t="n">
        <v>45907</v>
      </c>
      <c r="D328" s="2" t="inlineStr">
        <is>
          <t>Mitch Farris</t>
        </is>
      </c>
      <c r="E328" s="2" t="n">
        <v>108</v>
      </c>
      <c r="F328" s="2" t="n">
        <v>133</v>
      </c>
      <c r="G328" s="2" t="inlineStr">
        <is>
          <t>Home</t>
        </is>
      </c>
      <c r="H328" s="2" t="inlineStr">
        <is>
          <t>draftkings</t>
        </is>
      </c>
      <c r="I328" s="4" t="n"/>
      <c r="J328" s="4" t="n"/>
      <c r="K328" s="4" t="n">
        <v>-115</v>
      </c>
      <c r="L328" s="4" t="n">
        <v>-115</v>
      </c>
      <c r="M328" s="5" t="n">
        <v>4.5</v>
      </c>
      <c r="N328" s="5" t="n">
        <v>3.337146472500821</v>
      </c>
      <c r="O328" s="5" t="n">
        <v>4.5</v>
      </c>
      <c r="P328" s="5" t="n">
        <v>1.162853527499179</v>
      </c>
      <c r="Q328" s="6" t="n">
        <v>0.4130065096347358</v>
      </c>
      <c r="R328" s="6" t="n">
        <v>0.7557941795720681</v>
      </c>
      <c r="S328" s="6" t="n">
        <v>0.5168539325842696</v>
      </c>
      <c r="T328" s="2" t="inlineStr">
        <is>
          <t>Under</t>
        </is>
      </c>
      <c r="U328" s="4" t="n">
        <v>-115</v>
      </c>
      <c r="V328" s="2" t="n">
        <v>1.869565217391304</v>
      </c>
      <c r="W328" s="4" t="n">
        <v>-115</v>
      </c>
      <c r="X328" s="2" t="n">
        <v>1</v>
      </c>
      <c r="Y328" s="5" t="n">
        <v>0.8695652173913042</v>
      </c>
      <c r="Z328" s="7" t="n">
        <v>100</v>
      </c>
      <c r="AA328" s="7">
        <f>Y328*Z328</f>
        <v/>
      </c>
      <c r="AB328" s="6">
        <f>IF(Z328=0,0,AA328/Z328)</f>
        <v/>
      </c>
      <c r="AC328" s="6" t="n"/>
      <c r="AD328" s="2" t="inlineStr">
        <is>
          <t>Win</t>
        </is>
      </c>
      <c r="AE328" s="6">
        <f>IF((COUNTIF($AD$2:AD328,"Win")+COUNTIF($AD$2:AD328,"Loss"))=0,0,COUNTIF($AD$2:AD328,"Win")/(COUNTIF($AD$2:AD328,"Win")+COUNTIF($AD$2:AD328,"Loss")))</f>
        <v/>
      </c>
      <c r="AF328" s="6">
        <f>SUM($Y$2:Y328)/SUM($X$2:X328)</f>
        <v/>
      </c>
      <c r="AG328" s="5">
        <f>SUM($Y$2:Y328)</f>
        <v/>
      </c>
      <c r="AH328" s="7">
        <f>10000.0+SUM($AA$2:AA328)</f>
        <v/>
      </c>
      <c r="AI328" s="2" t="n">
        <v>2025</v>
      </c>
      <c r="AJ328" s="2" t="inlineStr">
        <is>
          <t>2025-09</t>
        </is>
      </c>
      <c r="AK328" s="2" t="inlineStr">
        <is>
          <t>-119 to -101</t>
        </is>
      </c>
      <c r="AL328" s="2" t="inlineStr">
        <is>
          <t>2025 Validation</t>
        </is>
      </c>
      <c r="AM328" s="6" t="n">
        <v>0.4749574860799463</v>
      </c>
    </row>
    <row r="329">
      <c r="A329" s="2" t="inlineStr">
        <is>
          <t>KPROP-00328</t>
        </is>
      </c>
      <c r="B329" s="3" t="n">
        <v>45907.59418981482</v>
      </c>
      <c r="C329" s="3" t="n">
        <v>45907</v>
      </c>
      <c r="D329" s="2" t="inlineStr">
        <is>
          <t>Sonny Gray</t>
        </is>
      </c>
      <c r="E329" s="2" t="n">
        <v>138</v>
      </c>
      <c r="F329" s="2" t="n">
        <v>137</v>
      </c>
      <c r="G329" s="2" t="inlineStr">
        <is>
          <t>Home</t>
        </is>
      </c>
      <c r="H329" s="2" t="inlineStr">
        <is>
          <t>betrivers</t>
        </is>
      </c>
      <c r="I329" s="4" t="n"/>
      <c r="J329" s="4" t="n"/>
      <c r="K329" s="4" t="n">
        <v>107</v>
      </c>
      <c r="L329" s="4" t="n">
        <v>107</v>
      </c>
      <c r="M329" s="5" t="n">
        <v>5.5</v>
      </c>
      <c r="N329" s="5" t="n">
        <v>5.519773995006427</v>
      </c>
      <c r="O329" s="5" t="n">
        <v>5.5</v>
      </c>
      <c r="P329" s="5" t="n">
        <v>-0.01977399500642729</v>
      </c>
      <c r="Q329" s="6" t="n">
        <v>0.08785225671229313</v>
      </c>
      <c r="R329" s="6" t="n">
        <v>0.5255324911653589</v>
      </c>
      <c r="S329" s="6" t="n">
        <v>0.4797806716929403</v>
      </c>
      <c r="T329" s="2" t="inlineStr">
        <is>
          <t>Under</t>
        </is>
      </c>
      <c r="U329" s="4" t="n">
        <v>107</v>
      </c>
      <c r="V329" s="2" t="n">
        <v>2.07</v>
      </c>
      <c r="W329" s="4" t="n">
        <v>107</v>
      </c>
      <c r="X329" s="2" t="n">
        <v>1</v>
      </c>
      <c r="Y329" s="5" t="n">
        <v>-1</v>
      </c>
      <c r="Z329" s="7" t="n">
        <v>100</v>
      </c>
      <c r="AA329" s="7">
        <f>Y329*Z329</f>
        <v/>
      </c>
      <c r="AB329" s="6">
        <f>IF(Z329=0,0,AA329/Z329)</f>
        <v/>
      </c>
      <c r="AC329" s="6" t="n"/>
      <c r="AD329" s="2" t="inlineStr">
        <is>
          <t>Loss</t>
        </is>
      </c>
      <c r="AE329" s="6">
        <f>IF((COUNTIF($AD$2:AD329,"Win")+COUNTIF($AD$2:AD329,"Loss"))=0,0,COUNTIF($AD$2:AD329,"Win")/(COUNTIF($AD$2:AD329,"Win")+COUNTIF($AD$2:AD329,"Loss")))</f>
        <v/>
      </c>
      <c r="AF329" s="6">
        <f>SUM($Y$2:Y329)/SUM($X$2:X329)</f>
        <v/>
      </c>
      <c r="AG329" s="5">
        <f>SUM($Y$2:Y329)</f>
        <v/>
      </c>
      <c r="AH329" s="7">
        <f>10000.0+SUM($AA$2:AA329)</f>
        <v/>
      </c>
      <c r="AI329" s="2" t="n">
        <v>2025</v>
      </c>
      <c r="AJ329" s="2" t="inlineStr">
        <is>
          <t>2025-09</t>
        </is>
      </c>
      <c r="AK329" s="2" t="inlineStr">
        <is>
          <t>+100 to +120</t>
        </is>
      </c>
      <c r="AL329" s="2" t="inlineStr">
        <is>
          <t>2025 Validation</t>
        </is>
      </c>
      <c r="AM329" s="6" t="n">
        <v>0.08210491281522721</v>
      </c>
    </row>
    <row r="330">
      <c r="A330" s="2" t="inlineStr">
        <is>
          <t>KPROP-00329</t>
        </is>
      </c>
      <c r="B330" s="3" t="n">
        <v>45909.77822916667</v>
      </c>
      <c r="C330" s="3" t="n">
        <v>45909</v>
      </c>
      <c r="D330" s="2" t="inlineStr">
        <is>
          <t>Joey Cantillo</t>
        </is>
      </c>
      <c r="E330" s="2" t="n">
        <v>114</v>
      </c>
      <c r="F330" s="2" t="n">
        <v>118</v>
      </c>
      <c r="G330" s="2" t="inlineStr">
        <is>
          <t>Home</t>
        </is>
      </c>
      <c r="H330" s="2" t="inlineStr">
        <is>
          <t>draftkings</t>
        </is>
      </c>
      <c r="I330" s="4" t="n"/>
      <c r="J330" s="4" t="n"/>
      <c r="K330" s="4" t="n">
        <v>125</v>
      </c>
      <c r="L330" s="4" t="n">
        <v>125</v>
      </c>
      <c r="M330" s="5" t="n">
        <v>4.5</v>
      </c>
      <c r="N330" s="5" t="n">
        <v>4.699090495369994</v>
      </c>
      <c r="O330" s="5" t="n">
        <v>4.5</v>
      </c>
      <c r="P330" s="5" t="n">
        <v>-0.1990904953699939</v>
      </c>
      <c r="Q330" s="6" t="n">
        <v>0.1132482225701025</v>
      </c>
      <c r="R330" s="6" t="n">
        <v>0.4947769878089344</v>
      </c>
      <c r="S330" s="6" t="n">
        <v>0.4288840262582057</v>
      </c>
      <c r="T330" s="2" t="inlineStr">
        <is>
          <t>Under</t>
        </is>
      </c>
      <c r="U330" s="4" t="n">
        <v>125</v>
      </c>
      <c r="V330" s="2" t="n">
        <v>2.25</v>
      </c>
      <c r="W330" s="4" t="n">
        <v>125</v>
      </c>
      <c r="X330" s="2" t="n">
        <v>1</v>
      </c>
      <c r="Y330" s="5" t="n">
        <v>-1</v>
      </c>
      <c r="Z330" s="7" t="n">
        <v>100</v>
      </c>
      <c r="AA330" s="7">
        <f>Y330*Z330</f>
        <v/>
      </c>
      <c r="AB330" s="6">
        <f>IF(Z330=0,0,AA330/Z330)</f>
        <v/>
      </c>
      <c r="AC330" s="6" t="n"/>
      <c r="AD330" s="2" t="inlineStr">
        <is>
          <t>Loss</t>
        </is>
      </c>
      <c r="AE330" s="6">
        <f>IF((COUNTIF($AD$2:AD330,"Win")+COUNTIF($AD$2:AD330,"Loss"))=0,0,COUNTIF($AD$2:AD330,"Win")/(COUNTIF($AD$2:AD330,"Win")+COUNTIF($AD$2:AD330,"Loss")))</f>
        <v/>
      </c>
      <c r="AF330" s="6">
        <f>SUM($Y$2:Y330)/SUM($X$2:X330)</f>
        <v/>
      </c>
      <c r="AG330" s="5">
        <f>SUM($Y$2:Y330)</f>
        <v/>
      </c>
      <c r="AH330" s="7">
        <f>10000.0+SUM($AA$2:AA330)</f>
        <v/>
      </c>
      <c r="AI330" s="2" t="n">
        <v>2025</v>
      </c>
      <c r="AJ330" s="2" t="inlineStr">
        <is>
          <t>2025-09</t>
        </is>
      </c>
      <c r="AK330" s="2" t="inlineStr">
        <is>
          <t>+121 to +150</t>
        </is>
      </c>
      <c r="AL330" s="2" t="inlineStr">
        <is>
          <t>2025 Validation</t>
        </is>
      </c>
      <c r="AM330" s="6" t="n">
        <v>0.09059857805608199</v>
      </c>
    </row>
    <row r="331">
      <c r="A331" s="2" t="inlineStr">
        <is>
          <t>KPROP-00330</t>
        </is>
      </c>
      <c r="B331" s="3" t="n">
        <v>45909.77822916667</v>
      </c>
      <c r="C331" s="3" t="n">
        <v>45909</v>
      </c>
      <c r="D331" s="2" t="inlineStr">
        <is>
          <t>Joey Cantillo</t>
        </is>
      </c>
      <c r="E331" s="2" t="n">
        <v>114</v>
      </c>
      <c r="F331" s="2" t="n">
        <v>118</v>
      </c>
      <c r="G331" s="2" t="inlineStr">
        <is>
          <t>Home</t>
        </is>
      </c>
      <c r="H331" s="2" t="inlineStr">
        <is>
          <t>betmgm</t>
        </is>
      </c>
      <c r="I331" s="4" t="n"/>
      <c r="J331" s="4" t="n"/>
      <c r="K331" s="4" t="n">
        <v>-160</v>
      </c>
      <c r="L331" s="4" t="n">
        <v>-160</v>
      </c>
      <c r="M331" s="5" t="n">
        <v>5.5</v>
      </c>
      <c r="N331" s="5" t="n">
        <v>4.699090495369994</v>
      </c>
      <c r="O331" s="5" t="n">
        <v>5.5</v>
      </c>
      <c r="P331" s="5" t="n">
        <v>0.8009095046300061</v>
      </c>
      <c r="Q331" s="6" t="n">
        <v>0.08646944188260353</v>
      </c>
      <c r="R331" s="6" t="n">
        <v>0.6685965796200637</v>
      </c>
      <c r="S331" s="6" t="n">
        <v>0.5880861850443601</v>
      </c>
      <c r="T331" s="2" t="inlineStr">
        <is>
          <t>Under</t>
        </is>
      </c>
      <c r="U331" s="4" t="n">
        <v>-160</v>
      </c>
      <c r="V331" s="2" t="n">
        <v>1.625</v>
      </c>
      <c r="W331" s="4" t="n">
        <v>-160</v>
      </c>
      <c r="X331" s="2" t="n">
        <v>1</v>
      </c>
      <c r="Y331" s="5" t="n">
        <v>0.625</v>
      </c>
      <c r="Z331" s="7" t="n">
        <v>100</v>
      </c>
      <c r="AA331" s="7">
        <f>Y331*Z331</f>
        <v/>
      </c>
      <c r="AB331" s="6">
        <f>IF(Z331=0,0,AA331/Z331)</f>
        <v/>
      </c>
      <c r="AC331" s="6" t="n"/>
      <c r="AD331" s="2" t="inlineStr">
        <is>
          <t>Win</t>
        </is>
      </c>
      <c r="AE331" s="6">
        <f>IF((COUNTIF($AD$2:AD331,"Win")+COUNTIF($AD$2:AD331,"Loss"))=0,0,COUNTIF($AD$2:AD331,"Win")/(COUNTIF($AD$2:AD331,"Win")+COUNTIF($AD$2:AD331,"Loss")))</f>
        <v/>
      </c>
      <c r="AF331" s="6">
        <f>SUM($Y$2:Y331)/SUM($X$2:X331)</f>
        <v/>
      </c>
      <c r="AG331" s="5">
        <f>SUM($Y$2:Y331)</f>
        <v/>
      </c>
      <c r="AH331" s="7">
        <f>10000.0+SUM($AA$2:AA331)</f>
        <v/>
      </c>
      <c r="AI331" s="2" t="n">
        <v>2025</v>
      </c>
      <c r="AJ331" s="2" t="inlineStr">
        <is>
          <t>2025-09</t>
        </is>
      </c>
      <c r="AK331" s="2" t="inlineStr">
        <is>
          <t>&lt;= -150</t>
        </is>
      </c>
      <c r="AL331" s="2" t="inlineStr">
        <is>
          <t>2025 Validation</t>
        </is>
      </c>
      <c r="AM331" s="6" t="n">
        <v>0.1383511070121656</v>
      </c>
    </row>
    <row r="332">
      <c r="A332" s="2" t="inlineStr">
        <is>
          <t>KPROP-00331</t>
        </is>
      </c>
      <c r="B332" s="3" t="n">
        <v>45909.78170138889</v>
      </c>
      <c r="C332" s="3" t="n">
        <v>45909</v>
      </c>
      <c r="D332" s="2" t="inlineStr">
        <is>
          <t>Ranger Suarez</t>
        </is>
      </c>
      <c r="E332" s="2" t="n">
        <v>143</v>
      </c>
      <c r="F332" s="2" t="n">
        <v>121</v>
      </c>
      <c r="G332" s="2" t="inlineStr">
        <is>
          <t>Home</t>
        </is>
      </c>
      <c r="H332" s="2" t="inlineStr">
        <is>
          <t>betmgm</t>
        </is>
      </c>
      <c r="I332" s="4" t="n"/>
      <c r="J332" s="4" t="n"/>
      <c r="K332" s="4" t="n">
        <v>-120</v>
      </c>
      <c r="L332" s="4" t="n">
        <v>-120</v>
      </c>
      <c r="M332" s="5" t="n">
        <v>5.5</v>
      </c>
      <c r="N332" s="5" t="n">
        <v>4.879937301555772</v>
      </c>
      <c r="O332" s="5" t="n">
        <v>5.5</v>
      </c>
      <c r="P332" s="5" t="n">
        <v>0.6200626984442277</v>
      </c>
      <c r="Q332" s="6" t="n">
        <v>0.1678654150983147</v>
      </c>
      <c r="R332" s="6" t="n">
        <v>0.6370174991445352</v>
      </c>
      <c r="S332" s="6" t="n">
        <v>0.5338983050847457</v>
      </c>
      <c r="T332" s="2" t="inlineStr">
        <is>
          <t>Under</t>
        </is>
      </c>
      <c r="U332" s="4" t="n">
        <v>-120</v>
      </c>
      <c r="V332" s="2" t="n">
        <v>1.833333333333333</v>
      </c>
      <c r="W332" s="4" t="n">
        <v>-120</v>
      </c>
      <c r="X332" s="2" t="n">
        <v>1</v>
      </c>
      <c r="Y332" s="5" t="n">
        <v>-1</v>
      </c>
      <c r="Z332" s="7" t="n">
        <v>100</v>
      </c>
      <c r="AA332" s="7">
        <f>Y332*Z332</f>
        <v/>
      </c>
      <c r="AB332" s="6">
        <f>IF(Z332=0,0,AA332/Z332)</f>
        <v/>
      </c>
      <c r="AC332" s="6" t="n"/>
      <c r="AD332" s="2" t="inlineStr">
        <is>
          <t>Loss</t>
        </is>
      </c>
      <c r="AE332" s="6">
        <f>IF((COUNTIF($AD$2:AD332,"Win")+COUNTIF($AD$2:AD332,"Loss"))=0,0,COUNTIF($AD$2:AD332,"Win")/(COUNTIF($AD$2:AD332,"Win")+COUNTIF($AD$2:AD332,"Loss")))</f>
        <v/>
      </c>
      <c r="AF332" s="6">
        <f>SUM($Y$2:Y332)/SUM($X$2:X332)</f>
        <v/>
      </c>
      <c r="AG332" s="5">
        <f>SUM($Y$2:Y332)</f>
        <v/>
      </c>
      <c r="AH332" s="7">
        <f>10000.0+SUM($AA$2:AA332)</f>
        <v/>
      </c>
      <c r="AI332" s="2" t="n">
        <v>2025</v>
      </c>
      <c r="AJ332" s="2" t="inlineStr">
        <is>
          <t>2025-09</t>
        </is>
      </c>
      <c r="AK332" s="2" t="inlineStr">
        <is>
          <t>-149 to -120</t>
        </is>
      </c>
      <c r="AL332" s="2" t="inlineStr">
        <is>
          <t>2025 Validation</t>
        </is>
      </c>
      <c r="AM332" s="6" t="n">
        <v>0.2014384981179775</v>
      </c>
    </row>
    <row r="333">
      <c r="A333" s="2" t="inlineStr">
        <is>
          <t>KPROP-00332</t>
        </is>
      </c>
      <c r="B333" s="3" t="n">
        <v>45909.80253472222</v>
      </c>
      <c r="C333" s="3" t="n">
        <v>45909</v>
      </c>
      <c r="D333" s="2" t="inlineStr">
        <is>
          <t>Spencer Strider</t>
        </is>
      </c>
      <c r="E333" s="2" t="n">
        <v>144</v>
      </c>
      <c r="F333" s="2" t="n">
        <v>112</v>
      </c>
      <c r="G333" s="2" t="inlineStr">
        <is>
          <t>Home</t>
        </is>
      </c>
      <c r="H333" s="2" t="inlineStr">
        <is>
          <t>bovada</t>
        </is>
      </c>
      <c r="I333" s="4" t="n"/>
      <c r="J333" s="4" t="n"/>
      <c r="K333" s="4" t="n">
        <v>140</v>
      </c>
      <c r="L333" s="4" t="n">
        <v>140</v>
      </c>
      <c r="M333" s="5" t="n">
        <v>5.5</v>
      </c>
      <c r="N333" s="5" t="n">
        <v>5.257644793989431</v>
      </c>
      <c r="O333" s="5" t="n">
        <v>5.5</v>
      </c>
      <c r="P333" s="5" t="n">
        <v>0.2423552060105694</v>
      </c>
      <c r="Q333" s="6" t="n">
        <v>0.3700393863049235</v>
      </c>
      <c r="R333" s="6" t="n">
        <v>0.5708497442937182</v>
      </c>
      <c r="S333" s="6" t="n">
        <v>0.4181307097680956</v>
      </c>
      <c r="T333" s="2" t="inlineStr">
        <is>
          <t>Under</t>
        </is>
      </c>
      <c r="U333" s="4" t="n">
        <v>140</v>
      </c>
      <c r="V333" s="2" t="n">
        <v>2.4</v>
      </c>
      <c r="W333" s="4" t="n">
        <v>140</v>
      </c>
      <c r="X333" s="2" t="n">
        <v>1</v>
      </c>
      <c r="Y333" s="5" t="n">
        <v>-1</v>
      </c>
      <c r="Z333" s="7" t="n">
        <v>100</v>
      </c>
      <c r="AA333" s="7">
        <f>Y333*Z333</f>
        <v/>
      </c>
      <c r="AB333" s="6">
        <f>IF(Z333=0,0,AA333/Z333)</f>
        <v/>
      </c>
      <c r="AC333" s="6" t="n"/>
      <c r="AD333" s="2" t="inlineStr">
        <is>
          <t>Loss</t>
        </is>
      </c>
      <c r="AE333" s="6">
        <f>IF((COUNTIF($AD$2:AD333,"Win")+COUNTIF($AD$2:AD333,"Loss"))=0,0,COUNTIF($AD$2:AD333,"Win")/(COUNTIF($AD$2:AD333,"Win")+COUNTIF($AD$2:AD333,"Loss")))</f>
        <v/>
      </c>
      <c r="AF333" s="6">
        <f>SUM($Y$2:Y333)/SUM($X$2:X333)</f>
        <v/>
      </c>
      <c r="AG333" s="5">
        <f>SUM($Y$2:Y333)</f>
        <v/>
      </c>
      <c r="AH333" s="7">
        <f>10000.0+SUM($AA$2:AA333)</f>
        <v/>
      </c>
      <c r="AI333" s="2" t="n">
        <v>2025</v>
      </c>
      <c r="AJ333" s="2" t="inlineStr">
        <is>
          <t>2025-09</t>
        </is>
      </c>
      <c r="AK333" s="2" t="inlineStr">
        <is>
          <t>+121 to +150</t>
        </is>
      </c>
      <c r="AL333" s="2" t="inlineStr">
        <is>
          <t>2025 Validation</t>
        </is>
      </c>
      <c r="AM333" s="6" t="n">
        <v>0.2643138473606597</v>
      </c>
    </row>
    <row r="334">
      <c r="A334" s="2" t="inlineStr">
        <is>
          <t>KPROP-00333</t>
        </is>
      </c>
      <c r="B334" s="3" t="n">
        <v>45909.80253472222</v>
      </c>
      <c r="C334" s="3" t="n">
        <v>45909</v>
      </c>
      <c r="D334" s="2" t="inlineStr">
        <is>
          <t>Spencer Strider</t>
        </is>
      </c>
      <c r="E334" s="2" t="n">
        <v>144</v>
      </c>
      <c r="F334" s="2" t="n">
        <v>112</v>
      </c>
      <c r="G334" s="2" t="inlineStr">
        <is>
          <t>Home</t>
        </is>
      </c>
      <c r="H334" s="2" t="inlineStr">
        <is>
          <t>betonlineag</t>
        </is>
      </c>
      <c r="I334" s="4" t="n"/>
      <c r="J334" s="4" t="n"/>
      <c r="K334" s="4" t="n">
        <v>-156</v>
      </c>
      <c r="L334" s="4" t="n">
        <v>-156</v>
      </c>
      <c r="M334" s="5" t="n">
        <v>6.5</v>
      </c>
      <c r="N334" s="5" t="n">
        <v>5.257644793989431</v>
      </c>
      <c r="O334" s="5" t="n">
        <v>6.5</v>
      </c>
      <c r="P334" s="5" t="n">
        <v>1.242355206010569</v>
      </c>
      <c r="Q334" s="6" t="n">
        <v>0.1874847628069099</v>
      </c>
      <c r="R334" s="6" t="n">
        <v>0.7236235273354608</v>
      </c>
      <c r="S334" s="6" t="n">
        <v>0.5782537067545305</v>
      </c>
      <c r="T334" s="2" t="inlineStr">
        <is>
          <t>Under</t>
        </is>
      </c>
      <c r="U334" s="4" t="n">
        <v>-156</v>
      </c>
      <c r="V334" s="2" t="n">
        <v>1.641025641025641</v>
      </c>
      <c r="W334" s="4" t="n">
        <v>-156</v>
      </c>
      <c r="X334" s="2" t="n">
        <v>1</v>
      </c>
      <c r="Y334" s="5" t="n">
        <v>-1</v>
      </c>
      <c r="Z334" s="7" t="n">
        <v>100</v>
      </c>
      <c r="AA334" s="7">
        <f>Y334*Z334</f>
        <v/>
      </c>
      <c r="AB334" s="6">
        <f>IF(Z334=0,0,AA334/Z334)</f>
        <v/>
      </c>
      <c r="AC334" s="6" t="n"/>
      <c r="AD334" s="2" t="inlineStr">
        <is>
          <t>Loss</t>
        </is>
      </c>
      <c r="AE334" s="6">
        <f>IF((COUNTIF($AD$2:AD334,"Win")+COUNTIF($AD$2:AD334,"Loss"))=0,0,COUNTIF($AD$2:AD334,"Win")/(COUNTIF($AD$2:AD334,"Win")+COUNTIF($AD$2:AD334,"Loss")))</f>
        <v/>
      </c>
      <c r="AF334" s="6">
        <f>SUM($Y$2:Y334)/SUM($X$2:X334)</f>
        <v/>
      </c>
      <c r="AG334" s="5">
        <f>SUM($Y$2:Y334)</f>
        <v/>
      </c>
      <c r="AH334" s="7">
        <f>10000.0+SUM($AA$2:AA334)</f>
        <v/>
      </c>
      <c r="AI334" s="2" t="n">
        <v>2025</v>
      </c>
      <c r="AJ334" s="2" t="inlineStr">
        <is>
          <t>2025-09</t>
        </is>
      </c>
      <c r="AK334" s="2" t="inlineStr">
        <is>
          <t>&lt;= -150</t>
        </is>
      </c>
      <c r="AL334" s="2" t="inlineStr">
        <is>
          <t>2025 Validation</t>
        </is>
      </c>
      <c r="AM334" s="6" t="n">
        <v>0.2924762299787795</v>
      </c>
    </row>
    <row r="335">
      <c r="A335" s="2" t="inlineStr">
        <is>
          <t>KPROP-00334</t>
        </is>
      </c>
      <c r="B335" s="3" t="n">
        <v>45910.60809027778</v>
      </c>
      <c r="C335" s="3" t="n">
        <v>45910</v>
      </c>
      <c r="D335" s="2" t="inlineStr">
        <is>
          <t>Freddy Peralta</t>
        </is>
      </c>
      <c r="E335" s="2" t="n">
        <v>158</v>
      </c>
      <c r="F335" s="2" t="n">
        <v>140</v>
      </c>
      <c r="G335" s="2" t="inlineStr">
        <is>
          <t>Away</t>
        </is>
      </c>
      <c r="H335" s="2" t="inlineStr">
        <is>
          <t>draftkings</t>
        </is>
      </c>
      <c r="I335" s="4" t="n"/>
      <c r="J335" s="4" t="n"/>
      <c r="K335" s="4" t="n">
        <v>123</v>
      </c>
      <c r="L335" s="4" t="n">
        <v>123</v>
      </c>
      <c r="M335" s="5" t="n">
        <v>5.5</v>
      </c>
      <c r="N335" s="5" t="n">
        <v>5.76977990689094</v>
      </c>
      <c r="O335" s="5" t="n">
        <v>5.5</v>
      </c>
      <c r="P335" s="5" t="n">
        <v>-0.2697799068909399</v>
      </c>
      <c r="Q335" s="6" t="n">
        <v>0.07782446007420174</v>
      </c>
      <c r="R335" s="6" t="n">
        <v>0.483329354293364</v>
      </c>
      <c r="S335" s="6" t="n">
        <v>0.4245400815782902</v>
      </c>
      <c r="T335" s="2" t="inlineStr">
        <is>
          <t>Under</t>
        </is>
      </c>
      <c r="U335" s="4" t="n">
        <v>123</v>
      </c>
      <c r="V335" s="2" t="n">
        <v>2.23</v>
      </c>
      <c r="W335" s="4" t="n">
        <v>123</v>
      </c>
      <c r="X335" s="2" t="n">
        <v>1</v>
      </c>
      <c r="Y335" s="5" t="n">
        <v>-1</v>
      </c>
      <c r="Z335" s="7" t="n">
        <v>100</v>
      </c>
      <c r="AA335" s="7">
        <f>Y335*Z335</f>
        <v/>
      </c>
      <c r="AB335" s="6">
        <f>IF(Z335=0,0,AA335/Z335)</f>
        <v/>
      </c>
      <c r="AC335" s="6" t="n"/>
      <c r="AD335" s="2" t="inlineStr">
        <is>
          <t>Loss</t>
        </is>
      </c>
      <c r="AE335" s="6">
        <f>IF((COUNTIF($AD$2:AD335,"Win")+COUNTIF($AD$2:AD335,"Loss"))=0,0,COUNTIF($AD$2:AD335,"Win")/(COUNTIF($AD$2:AD335,"Win")+COUNTIF($AD$2:AD335,"Loss")))</f>
        <v/>
      </c>
      <c r="AF335" s="6">
        <f>SUM($Y$2:Y335)/SUM($X$2:X335)</f>
        <v/>
      </c>
      <c r="AG335" s="5">
        <f>SUM($Y$2:Y335)</f>
        <v/>
      </c>
      <c r="AH335" s="7">
        <f>10000.0+SUM($AA$2:AA335)</f>
        <v/>
      </c>
      <c r="AI335" s="2" t="n">
        <v>2025</v>
      </c>
      <c r="AJ335" s="2" t="inlineStr">
        <is>
          <t>2025-09</t>
        </is>
      </c>
      <c r="AK335" s="2" t="inlineStr">
        <is>
          <t>+121 to +150</t>
        </is>
      </c>
      <c r="AL335" s="2" t="inlineStr">
        <is>
          <t>2025 Validation</t>
        </is>
      </c>
      <c r="AM335" s="6" t="n">
        <v>0.06327191875951362</v>
      </c>
    </row>
    <row r="336">
      <c r="A336" s="2" t="inlineStr">
        <is>
          <t>KPROP-00335</t>
        </is>
      </c>
      <c r="B336" s="3" t="n">
        <v>45910.60809027778</v>
      </c>
      <c r="C336" s="3" t="n">
        <v>45910</v>
      </c>
      <c r="D336" s="2" t="inlineStr">
        <is>
          <t>Freddy Peralta</t>
        </is>
      </c>
      <c r="E336" s="2" t="n">
        <v>158</v>
      </c>
      <c r="F336" s="2" t="n">
        <v>140</v>
      </c>
      <c r="G336" s="2" t="inlineStr">
        <is>
          <t>Away</t>
        </is>
      </c>
      <c r="H336" s="2" t="inlineStr">
        <is>
          <t>betmgm</t>
        </is>
      </c>
      <c r="I336" s="4" t="n"/>
      <c r="J336" s="4" t="n"/>
      <c r="K336" s="4" t="n">
        <v>-145</v>
      </c>
      <c r="L336" s="4" t="n">
        <v>-145</v>
      </c>
      <c r="M336" s="5" t="n">
        <v>6.5</v>
      </c>
      <c r="N336" s="5" t="n">
        <v>5.76977990689094</v>
      </c>
      <c r="O336" s="5" t="n">
        <v>6.5</v>
      </c>
      <c r="P336" s="5" t="n">
        <v>0.7302200931090601</v>
      </c>
      <c r="Q336" s="6" t="n">
        <v>0.08683017314574591</v>
      </c>
      <c r="R336" s="6" t="n">
        <v>0.6432260208413598</v>
      </c>
      <c r="S336" s="6" t="n">
        <v>0.574357192494788</v>
      </c>
      <c r="T336" s="2" t="inlineStr">
        <is>
          <t>Under</t>
        </is>
      </c>
      <c r="U336" s="4" t="n">
        <v>-145</v>
      </c>
      <c r="V336" s="2" t="n">
        <v>1.689655172413793</v>
      </c>
      <c r="W336" s="4" t="n">
        <v>-145</v>
      </c>
      <c r="X336" s="2" t="n">
        <v>1</v>
      </c>
      <c r="Y336" s="5" t="n">
        <v>-1</v>
      </c>
      <c r="Z336" s="7" t="n">
        <v>100</v>
      </c>
      <c r="AA336" s="7">
        <f>Y336*Z336</f>
        <v/>
      </c>
      <c r="AB336" s="6">
        <f>IF(Z336=0,0,AA336/Z336)</f>
        <v/>
      </c>
      <c r="AC336" s="6" t="n"/>
      <c r="AD336" s="2" t="inlineStr">
        <is>
          <t>Loss</t>
        </is>
      </c>
      <c r="AE336" s="6">
        <f>IF((COUNTIF($AD$2:AD336,"Win")+COUNTIF($AD$2:AD336,"Loss"))=0,0,COUNTIF($AD$2:AD336,"Win")/(COUNTIF($AD$2:AD336,"Win")+COUNTIF($AD$2:AD336,"Loss")))</f>
        <v/>
      </c>
      <c r="AF336" s="6">
        <f>SUM($Y$2:Y336)/SUM($X$2:X336)</f>
        <v/>
      </c>
      <c r="AG336" s="5">
        <f>SUM($Y$2:Y336)</f>
        <v/>
      </c>
      <c r="AH336" s="7">
        <f>10000.0+SUM($AA$2:AA336)</f>
        <v/>
      </c>
      <c r="AI336" s="2" t="n">
        <v>2025</v>
      </c>
      <c r="AJ336" s="2" t="inlineStr">
        <is>
          <t>2025-09</t>
        </is>
      </c>
      <c r="AK336" s="2" t="inlineStr">
        <is>
          <t>-149 to -120</t>
        </is>
      </c>
      <c r="AL336" s="2" t="inlineStr">
        <is>
          <t>2025 Validation</t>
        </is>
      </c>
      <c r="AM336" s="6" t="n">
        <v>0.1259037510613316</v>
      </c>
    </row>
    <row r="337">
      <c r="A337" s="2" t="inlineStr">
        <is>
          <t>KPROP-00336</t>
        </is>
      </c>
      <c r="B337" s="3" t="n">
        <v>45910.79559027778</v>
      </c>
      <c r="C337" s="3" t="n">
        <v>45910</v>
      </c>
      <c r="D337" s="2" t="inlineStr">
        <is>
          <t>Jack Flaherty</t>
        </is>
      </c>
      <c r="E337" s="2" t="n">
        <v>116</v>
      </c>
      <c r="F337" s="2" t="n">
        <v>147</v>
      </c>
      <c r="G337" s="2" t="inlineStr">
        <is>
          <t>Away</t>
        </is>
      </c>
      <c r="H337" s="2" t="inlineStr">
        <is>
          <t>betonlineag</t>
        </is>
      </c>
      <c r="I337" s="4" t="n"/>
      <c r="J337" s="4" t="n"/>
      <c r="K337" s="4" t="n">
        <v>124</v>
      </c>
      <c r="L337" s="4" t="n">
        <v>124</v>
      </c>
      <c r="M337" s="5" t="n">
        <v>5.5</v>
      </c>
      <c r="N337" s="5" t="n">
        <v>5.74619183793365</v>
      </c>
      <c r="O337" s="5" t="n">
        <v>5.5</v>
      </c>
      <c r="P337" s="5" t="n">
        <v>-0.2461918379336501</v>
      </c>
      <c r="Q337" s="6" t="n">
        <v>0.09145707744554323</v>
      </c>
      <c r="R337" s="6" t="n">
        <v>0.4872576238596175</v>
      </c>
      <c r="S337" s="6" t="n">
        <v>0.4372906587272051</v>
      </c>
      <c r="T337" s="2" t="inlineStr">
        <is>
          <t>Under</t>
        </is>
      </c>
      <c r="U337" s="4" t="n">
        <v>124</v>
      </c>
      <c r="V337" s="2" t="n">
        <v>2.24</v>
      </c>
      <c r="W337" s="4" t="n">
        <v>124</v>
      </c>
      <c r="X337" s="2" t="n">
        <v>1</v>
      </c>
      <c r="Y337" s="5" t="n">
        <v>-1</v>
      </c>
      <c r="Z337" s="7" t="n">
        <v>100</v>
      </c>
      <c r="AA337" s="7">
        <f>Y337*Z337</f>
        <v/>
      </c>
      <c r="AB337" s="6">
        <f>IF(Z337=0,0,AA337/Z337)</f>
        <v/>
      </c>
      <c r="AC337" s="6" t="n"/>
      <c r="AD337" s="2" t="inlineStr">
        <is>
          <t>Loss</t>
        </is>
      </c>
      <c r="AE337" s="6">
        <f>IF((COUNTIF($AD$2:AD337,"Win")+COUNTIF($AD$2:AD337,"Loss"))=0,0,COUNTIF($AD$2:AD337,"Win")/(COUNTIF($AD$2:AD337,"Win")+COUNTIF($AD$2:AD337,"Loss")))</f>
        <v/>
      </c>
      <c r="AF337" s="6">
        <f>SUM($Y$2:Y337)/SUM($X$2:X337)</f>
        <v/>
      </c>
      <c r="AG337" s="5">
        <f>SUM($Y$2:Y337)</f>
        <v/>
      </c>
      <c r="AH337" s="7">
        <f>10000.0+SUM($AA$2:AA337)</f>
        <v/>
      </c>
      <c r="AI337" s="2" t="n">
        <v>2025</v>
      </c>
      <c r="AJ337" s="2" t="inlineStr">
        <is>
          <t>2025-09</t>
        </is>
      </c>
      <c r="AK337" s="2" t="inlineStr">
        <is>
          <t>+121 to +150</t>
        </is>
      </c>
      <c r="AL337" s="2" t="inlineStr">
        <is>
          <t>2025 Validation</t>
        </is>
      </c>
      <c r="AM337" s="6" t="n">
        <v>0.07375570761737354</v>
      </c>
    </row>
    <row r="338">
      <c r="A338" s="2" t="inlineStr">
        <is>
          <t>KPROP-00337</t>
        </is>
      </c>
      <c r="B338" s="3" t="n">
        <v>45912.79559027778</v>
      </c>
      <c r="C338" s="3" t="n">
        <v>45912</v>
      </c>
      <c r="D338" s="2" t="inlineStr">
        <is>
          <t>Chris Bassitt</t>
        </is>
      </c>
      <c r="E338" s="2" t="n">
        <v>141</v>
      </c>
      <c r="F338" s="2" t="n">
        <v>110</v>
      </c>
      <c r="G338" s="2" t="inlineStr">
        <is>
          <t>Home</t>
        </is>
      </c>
      <c r="H338" s="2" t="inlineStr">
        <is>
          <t>draftkings</t>
        </is>
      </c>
      <c r="I338" s="4" t="n"/>
      <c r="J338" s="4" t="n"/>
      <c r="K338" s="4" t="n">
        <v>124</v>
      </c>
      <c r="L338" s="4" t="n">
        <v>124</v>
      </c>
      <c r="M338" s="5" t="n">
        <v>5.5</v>
      </c>
      <c r="N338" s="5" t="n">
        <v>5.788312201487591</v>
      </c>
      <c r="O338" s="5" t="n">
        <v>5.5</v>
      </c>
      <c r="P338" s="5" t="n">
        <v>-0.2883122014875905</v>
      </c>
      <c r="Q338" s="6" t="n">
        <v>0.07576380383848669</v>
      </c>
      <c r="R338" s="6" t="n">
        <v>0.4802516981421815</v>
      </c>
      <c r="S338" s="6" t="n">
        <v>0.42997542997543</v>
      </c>
      <c r="T338" s="2" t="inlineStr">
        <is>
          <t>Under</t>
        </is>
      </c>
      <c r="U338" s="4" t="n">
        <v>124</v>
      </c>
      <c r="V338" s="2" t="n">
        <v>2.24</v>
      </c>
      <c r="W338" s="4" t="n">
        <v>124</v>
      </c>
      <c r="X338" s="2" t="n">
        <v>1</v>
      </c>
      <c r="Y338" s="5" t="n">
        <v>-1</v>
      </c>
      <c r="Z338" s="7" t="n">
        <v>100</v>
      </c>
      <c r="AA338" s="7">
        <f>Y338*Z338</f>
        <v/>
      </c>
      <c r="AB338" s="6">
        <f>IF(Z338=0,0,AA338/Z338)</f>
        <v/>
      </c>
      <c r="AC338" s="6" t="n"/>
      <c r="AD338" s="2" t="inlineStr">
        <is>
          <t>Loss</t>
        </is>
      </c>
      <c r="AE338" s="6">
        <f>IF((COUNTIF($AD$2:AD338,"Win")+COUNTIF($AD$2:AD338,"Loss"))=0,0,COUNTIF($AD$2:AD338,"Win")/(COUNTIF($AD$2:AD338,"Win")+COUNTIF($AD$2:AD338,"Loss")))</f>
        <v/>
      </c>
      <c r="AF338" s="6">
        <f>SUM($Y$2:Y338)/SUM($X$2:X338)</f>
        <v/>
      </c>
      <c r="AG338" s="5">
        <f>SUM($Y$2:Y338)</f>
        <v/>
      </c>
      <c r="AH338" s="7">
        <f>10000.0+SUM($AA$2:AA338)</f>
        <v/>
      </c>
      <c r="AI338" s="2" t="n">
        <v>2025</v>
      </c>
      <c r="AJ338" s="2" t="inlineStr">
        <is>
          <t>2025-09</t>
        </is>
      </c>
      <c r="AK338" s="2" t="inlineStr">
        <is>
          <t>+121 to +150</t>
        </is>
      </c>
      <c r="AL338" s="2" t="inlineStr">
        <is>
          <t>2025 Validation</t>
        </is>
      </c>
      <c r="AM338" s="6" t="n">
        <v>0.06109984180523119</v>
      </c>
    </row>
    <row r="339">
      <c r="A339" s="2" t="inlineStr">
        <is>
          <t>KPROP-00338</t>
        </is>
      </c>
      <c r="B339" s="3" t="n">
        <v>45912.79907407407</v>
      </c>
      <c r="C339" s="3" t="n">
        <v>45912</v>
      </c>
      <c r="D339" s="2" t="inlineStr">
        <is>
          <t>Jonah Tong</t>
        </is>
      </c>
      <c r="E339" s="2" t="n">
        <v>121</v>
      </c>
      <c r="F339" s="2" t="n">
        <v>140</v>
      </c>
      <c r="G339" s="2" t="inlineStr">
        <is>
          <t>Home</t>
        </is>
      </c>
      <c r="H339" s="2" t="inlineStr">
        <is>
          <t>betonlineag</t>
        </is>
      </c>
      <c r="I339" s="4" t="n"/>
      <c r="J339" s="4" t="n"/>
      <c r="K339" s="4" t="n">
        <v>118</v>
      </c>
      <c r="L339" s="4" t="n">
        <v>118</v>
      </c>
      <c r="M339" s="5" t="n">
        <v>5.5</v>
      </c>
      <c r="N339" s="5" t="n">
        <v>5.41204866885308</v>
      </c>
      <c r="O339" s="5" t="n">
        <v>5.5</v>
      </c>
      <c r="P339" s="5" t="n">
        <v>0.08795133114692</v>
      </c>
      <c r="Q339" s="6" t="n">
        <v>0.1860306892764566</v>
      </c>
      <c r="R339" s="6" t="n">
        <v>0.5440507748974572</v>
      </c>
      <c r="S339" s="6" t="n">
        <v>0.4522613065326633</v>
      </c>
      <c r="T339" s="2" t="inlineStr">
        <is>
          <t>Under</t>
        </is>
      </c>
      <c r="U339" s="4" t="n">
        <v>118</v>
      </c>
      <c r="V339" s="2" t="n">
        <v>2.18</v>
      </c>
      <c r="W339" s="4" t="n">
        <v>118</v>
      </c>
      <c r="X339" s="2" t="n">
        <v>1</v>
      </c>
      <c r="Y339" s="5" t="n">
        <v>1.18</v>
      </c>
      <c r="Z339" s="7" t="n">
        <v>100</v>
      </c>
      <c r="AA339" s="7">
        <f>Y339*Z339</f>
        <v/>
      </c>
      <c r="AB339" s="6">
        <f>IF(Z339=0,0,AA339/Z339)</f>
        <v/>
      </c>
      <c r="AC339" s="6" t="n"/>
      <c r="AD339" s="2" t="inlineStr">
        <is>
          <t>Win</t>
        </is>
      </c>
      <c r="AE339" s="6">
        <f>IF((COUNTIF($AD$2:AD339,"Win")+COUNTIF($AD$2:AD339,"Loss"))=0,0,COUNTIF($AD$2:AD339,"Win")/(COUNTIF($AD$2:AD339,"Win")+COUNTIF($AD$2:AD339,"Loss")))</f>
        <v/>
      </c>
      <c r="AF339" s="6">
        <f>SUM($Y$2:Y339)/SUM($X$2:X339)</f>
        <v/>
      </c>
      <c r="AG339" s="5">
        <f>SUM($Y$2:Y339)</f>
        <v/>
      </c>
      <c r="AH339" s="7">
        <f>10000.0+SUM($AA$2:AA339)</f>
        <v/>
      </c>
      <c r="AI339" s="2" t="n">
        <v>2025</v>
      </c>
      <c r="AJ339" s="2" t="inlineStr">
        <is>
          <t>2025-09</t>
        </is>
      </c>
      <c r="AK339" s="2" t="inlineStr">
        <is>
          <t>+100 to +120</t>
        </is>
      </c>
      <c r="AL339" s="2" t="inlineStr">
        <is>
          <t>2025 Validation</t>
        </is>
      </c>
      <c r="AM339" s="6" t="n">
        <v>0.1576531265054718</v>
      </c>
    </row>
    <row r="340">
      <c r="A340" s="2" t="inlineStr">
        <is>
          <t>KPROP-00339</t>
        </is>
      </c>
      <c r="B340" s="3" t="n">
        <v>45912.79907407407</v>
      </c>
      <c r="C340" s="3" t="n">
        <v>45912</v>
      </c>
      <c r="D340" s="2" t="inlineStr">
        <is>
          <t>Jonah Tong</t>
        </is>
      </c>
      <c r="E340" s="2" t="n">
        <v>121</v>
      </c>
      <c r="F340" s="2" t="n">
        <v>140</v>
      </c>
      <c r="G340" s="2" t="inlineStr">
        <is>
          <t>Home</t>
        </is>
      </c>
      <c r="H340" s="2" t="inlineStr">
        <is>
          <t>betrivers</t>
        </is>
      </c>
      <c r="I340" s="4" t="n"/>
      <c r="J340" s="4" t="n"/>
      <c r="K340" s="4" t="n">
        <v>-180</v>
      </c>
      <c r="L340" s="4" t="n">
        <v>-180</v>
      </c>
      <c r="M340" s="5" t="n">
        <v>6.5</v>
      </c>
      <c r="N340" s="5" t="n">
        <v>5.41204866885308</v>
      </c>
      <c r="O340" s="5" t="n">
        <v>6.5</v>
      </c>
      <c r="P340" s="5" t="n">
        <v>1.08795133114692</v>
      </c>
      <c r="Q340" s="6" t="n">
        <v>0.0885715837988072</v>
      </c>
      <c r="R340" s="6" t="n">
        <v>0.699796018156376</v>
      </c>
      <c r="S340" s="6" t="n">
        <v>0.5965417867435159</v>
      </c>
      <c r="T340" s="2" t="inlineStr">
        <is>
          <t>Under</t>
        </is>
      </c>
      <c r="U340" s="4" t="n">
        <v>-180</v>
      </c>
      <c r="V340" s="2" t="n">
        <v>1.555555555555556</v>
      </c>
      <c r="W340" s="4" t="n">
        <v>-180</v>
      </c>
      <c r="X340" s="2" t="n">
        <v>1</v>
      </c>
      <c r="Y340" s="5" t="n">
        <v>0.5555555555555556</v>
      </c>
      <c r="Z340" s="7" t="n">
        <v>100</v>
      </c>
      <c r="AA340" s="7">
        <f>Y340*Z340</f>
        <v/>
      </c>
      <c r="AB340" s="6">
        <f>IF(Z340=0,0,AA340/Z340)</f>
        <v/>
      </c>
      <c r="AC340" s="6" t="n"/>
      <c r="AD340" s="2" t="inlineStr">
        <is>
          <t>Win</t>
        </is>
      </c>
      <c r="AE340" s="6">
        <f>IF((COUNTIF($AD$2:AD340,"Win")+COUNTIF($AD$2:AD340,"Loss"))=0,0,COUNTIF($AD$2:AD340,"Win")/(COUNTIF($AD$2:AD340,"Win")+COUNTIF($AD$2:AD340,"Loss")))</f>
        <v/>
      </c>
      <c r="AF340" s="6">
        <f>SUM($Y$2:Y340)/SUM($X$2:X340)</f>
        <v/>
      </c>
      <c r="AG340" s="5">
        <f>SUM($Y$2:Y340)</f>
        <v/>
      </c>
      <c r="AH340" s="7">
        <f>10000.0+SUM($AA$2:AA340)</f>
        <v/>
      </c>
      <c r="AI340" s="2" t="n">
        <v>2025</v>
      </c>
      <c r="AJ340" s="2" t="inlineStr">
        <is>
          <t>2025-09</t>
        </is>
      </c>
      <c r="AK340" s="2" t="inlineStr">
        <is>
          <t>&lt;= -150</t>
        </is>
      </c>
      <c r="AL340" s="2" t="inlineStr">
        <is>
          <t>2025 Validation</t>
        </is>
      </c>
      <c r="AM340" s="6" t="n">
        <v>0.1594288508378529</v>
      </c>
    </row>
    <row r="341">
      <c r="A341" s="2" t="inlineStr">
        <is>
          <t>KPROP-00340</t>
        </is>
      </c>
      <c r="B341" s="3" t="n">
        <v>45912.59768518519</v>
      </c>
      <c r="C341" s="3" t="n">
        <v>45912</v>
      </c>
      <c r="D341" s="2" t="inlineStr">
        <is>
          <t>Matthew Boyd</t>
        </is>
      </c>
      <c r="E341" s="2" t="n">
        <v>112</v>
      </c>
      <c r="F341" s="2" t="n">
        <v>139</v>
      </c>
      <c r="G341" s="2" t="inlineStr">
        <is>
          <t>Home</t>
        </is>
      </c>
      <c r="H341" s="2" t="inlineStr">
        <is>
          <t>betrivers</t>
        </is>
      </c>
      <c r="I341" s="4" t="n"/>
      <c r="J341" s="4" t="n"/>
      <c r="K341" s="4" t="n">
        <v>117</v>
      </c>
      <c r="L341" s="4" t="n">
        <v>117</v>
      </c>
      <c r="M341" s="5" t="n">
        <v>5.5</v>
      </c>
      <c r="N341" s="5" t="n">
        <v>4.92145952259736</v>
      </c>
      <c r="O341" s="5" t="n">
        <v>5.5</v>
      </c>
      <c r="P341" s="5" t="n">
        <v>0.5785404774026404</v>
      </c>
      <c r="Q341" s="6" t="n">
        <v>0.3665338256833367</v>
      </c>
      <c r="R341" s="6" t="n">
        <v>0.6297390901766529</v>
      </c>
      <c r="S341" s="6" t="n">
        <v>0.4618147609681005</v>
      </c>
      <c r="T341" s="2" t="inlineStr">
        <is>
          <t>Under</t>
        </is>
      </c>
      <c r="U341" s="4" t="n">
        <v>117</v>
      </c>
      <c r="V341" s="2" t="n">
        <v>2.17</v>
      </c>
      <c r="W341" s="4" t="n">
        <v>117</v>
      </c>
      <c r="X341" s="2" t="n">
        <v>1</v>
      </c>
      <c r="Y341" s="5" t="n">
        <v>1.17</v>
      </c>
      <c r="Z341" s="7" t="n">
        <v>100</v>
      </c>
      <c r="AA341" s="7">
        <f>Y341*Z341</f>
        <v/>
      </c>
      <c r="AB341" s="6">
        <f>IF(Z341=0,0,AA341/Z341)</f>
        <v/>
      </c>
      <c r="AC341" s="6" t="n"/>
      <c r="AD341" s="2" t="inlineStr">
        <is>
          <t>Win</t>
        </is>
      </c>
      <c r="AE341" s="6">
        <f>IF((COUNTIF($AD$2:AD341,"Win")+COUNTIF($AD$2:AD341,"Loss"))=0,0,COUNTIF($AD$2:AD341,"Win")/(COUNTIF($AD$2:AD341,"Win")+COUNTIF($AD$2:AD341,"Loss")))</f>
        <v/>
      </c>
      <c r="AF341" s="6">
        <f>SUM($Y$2:Y341)/SUM($X$2:X341)</f>
        <v/>
      </c>
      <c r="AG341" s="5">
        <f>SUM($Y$2:Y341)</f>
        <v/>
      </c>
      <c r="AH341" s="7">
        <f>10000.0+SUM($AA$2:AA341)</f>
        <v/>
      </c>
      <c r="AI341" s="2" t="n">
        <v>2025</v>
      </c>
      <c r="AJ341" s="2" t="inlineStr">
        <is>
          <t>2025-09</t>
        </is>
      </c>
      <c r="AK341" s="2" t="inlineStr">
        <is>
          <t>+100 to +120</t>
        </is>
      </c>
      <c r="AL341" s="2" t="inlineStr">
        <is>
          <t>2025 Validation</t>
        </is>
      </c>
      <c r="AM341" s="6" t="n">
        <v>0.313276774088322</v>
      </c>
    </row>
    <row r="342">
      <c r="A342" s="2" t="inlineStr">
        <is>
          <t>KPROP-00341</t>
        </is>
      </c>
      <c r="B342" s="3" t="n">
        <v>45912.59768518519</v>
      </c>
      <c r="C342" s="3" t="n">
        <v>45912</v>
      </c>
      <c r="D342" s="2" t="inlineStr">
        <is>
          <t>Matthew Boyd</t>
        </is>
      </c>
      <c r="E342" s="2" t="n">
        <v>112</v>
      </c>
      <c r="F342" s="2" t="n">
        <v>139</v>
      </c>
      <c r="G342" s="2" t="inlineStr">
        <is>
          <t>Home</t>
        </is>
      </c>
      <c r="H342" s="2" t="inlineStr">
        <is>
          <t>betrivers</t>
        </is>
      </c>
      <c r="I342" s="4" t="n"/>
      <c r="J342" s="4" t="n"/>
      <c r="K342" s="4" t="n">
        <v>-177</v>
      </c>
      <c r="L342" s="4" t="n">
        <v>-177</v>
      </c>
      <c r="M342" s="5" t="n">
        <v>6.5</v>
      </c>
      <c r="N342" s="5" t="n">
        <v>4.92145952259736</v>
      </c>
      <c r="O342" s="5" t="n">
        <v>6.5</v>
      </c>
      <c r="P342" s="5" t="n">
        <v>1.57854047740264</v>
      </c>
      <c r="Q342" s="6" t="n">
        <v>0.2106235255460882</v>
      </c>
      <c r="R342" s="6" t="n">
        <v>0.7735753213778253</v>
      </c>
      <c r="S342" s="6" t="n">
        <v>0.5929822499118372</v>
      </c>
      <c r="T342" s="2" t="inlineStr">
        <is>
          <t>Under</t>
        </is>
      </c>
      <c r="U342" s="4" t="n">
        <v>-177</v>
      </c>
      <c r="V342" s="2" t="n">
        <v>1.56497175141243</v>
      </c>
      <c r="W342" s="4" t="n">
        <v>-177</v>
      </c>
      <c r="X342" s="2" t="n">
        <v>1</v>
      </c>
      <c r="Y342" s="5" t="n">
        <v>0.5649717514124295</v>
      </c>
      <c r="Z342" s="7" t="n">
        <v>100</v>
      </c>
      <c r="AA342" s="7">
        <f>Y342*Z342</f>
        <v/>
      </c>
      <c r="AB342" s="6">
        <f>IF(Z342=0,0,AA342/Z342)</f>
        <v/>
      </c>
      <c r="AC342" s="6" t="n"/>
      <c r="AD342" s="2" t="inlineStr">
        <is>
          <t>Win</t>
        </is>
      </c>
      <c r="AE342" s="6">
        <f>IF((COUNTIF($AD$2:AD342,"Win")+COUNTIF($AD$2:AD342,"Loss"))=0,0,COUNTIF($AD$2:AD342,"Win")/(COUNTIF($AD$2:AD342,"Win")+COUNTIF($AD$2:AD342,"Loss")))</f>
        <v/>
      </c>
      <c r="AF342" s="6">
        <f>SUM($Y$2:Y342)/SUM($X$2:X342)</f>
        <v/>
      </c>
      <c r="AG342" s="5">
        <f>SUM($Y$2:Y342)</f>
        <v/>
      </c>
      <c r="AH342" s="7">
        <f>10000.0+SUM($AA$2:AA342)</f>
        <v/>
      </c>
      <c r="AI342" s="2" t="n">
        <v>2025</v>
      </c>
      <c r="AJ342" s="2" t="inlineStr">
        <is>
          <t>2025-09</t>
        </is>
      </c>
      <c r="AK342" s="2" t="inlineStr">
        <is>
          <t>&lt;= -150</t>
        </is>
      </c>
      <c r="AL342" s="2" t="inlineStr">
        <is>
          <t>2025 Validation</t>
        </is>
      </c>
      <c r="AM342" s="6" t="n">
        <v>0.372803640216576</v>
      </c>
    </row>
    <row r="343">
      <c r="A343" s="2" t="inlineStr">
        <is>
          <t>KPROP-00342</t>
        </is>
      </c>
      <c r="B343" s="3" t="n">
        <v>45912.79907407407</v>
      </c>
      <c r="C343" s="3" t="n">
        <v>45912</v>
      </c>
      <c r="D343" s="2" t="inlineStr">
        <is>
          <t>Tarik Skubal</t>
        </is>
      </c>
      <c r="E343" s="2" t="n">
        <v>116</v>
      </c>
      <c r="F343" s="2" t="n">
        <v>146</v>
      </c>
      <c r="G343" s="2" t="inlineStr">
        <is>
          <t>Away</t>
        </is>
      </c>
      <c r="H343" s="2" t="inlineStr">
        <is>
          <t>fanduel</t>
        </is>
      </c>
      <c r="I343" s="4" t="n"/>
      <c r="J343" s="4" t="n"/>
      <c r="K343" s="4" t="n">
        <v>-102</v>
      </c>
      <c r="L343" s="4" t="n">
        <v>-102</v>
      </c>
      <c r="M343" s="5" t="n">
        <v>7.5</v>
      </c>
      <c r="N343" s="5" t="n">
        <v>7.005866767435705</v>
      </c>
      <c r="O343" s="5" t="n">
        <v>7.5</v>
      </c>
      <c r="P343" s="5" t="n">
        <v>0.4941332325642946</v>
      </c>
      <c r="Q343" s="6" t="n">
        <v>0.1839569966653437</v>
      </c>
      <c r="R343" s="6" t="n">
        <v>0.5978396715834904</v>
      </c>
      <c r="S343" s="6" t="n">
        <v>0.4856067316209035</v>
      </c>
      <c r="T343" s="2" t="inlineStr">
        <is>
          <t>Under</t>
        </is>
      </c>
      <c r="U343" s="4" t="n">
        <v>-102</v>
      </c>
      <c r="V343" s="2" t="n">
        <v>1.980392156862745</v>
      </c>
      <c r="W343" s="4" t="n">
        <v>-102</v>
      </c>
      <c r="X343" s="2" t="n">
        <v>1</v>
      </c>
      <c r="Y343" s="5" t="n">
        <v>0.9803921568627452</v>
      </c>
      <c r="Z343" s="7" t="n">
        <v>100</v>
      </c>
      <c r="AA343" s="7">
        <f>Y343*Z343</f>
        <v/>
      </c>
      <c r="AB343" s="6">
        <f>IF(Z343=0,0,AA343/Z343)</f>
        <v/>
      </c>
      <c r="AC343" s="6" t="n"/>
      <c r="AD343" s="2" t="inlineStr">
        <is>
          <t>Win</t>
        </is>
      </c>
      <c r="AE343" s="6">
        <f>IF((COUNTIF($AD$2:AD343,"Win")+COUNTIF($AD$2:AD343,"Loss"))=0,0,COUNTIF($AD$2:AD343,"Win")/(COUNTIF($AD$2:AD343,"Win")+COUNTIF($AD$2:AD343,"Loss")))</f>
        <v/>
      </c>
      <c r="AF343" s="6">
        <f>SUM($Y$2:Y343)/SUM($X$2:X343)</f>
        <v/>
      </c>
      <c r="AG343" s="5">
        <f>SUM($Y$2:Y343)</f>
        <v/>
      </c>
      <c r="AH343" s="7">
        <f>10000.0+SUM($AA$2:AA343)</f>
        <v/>
      </c>
      <c r="AI343" s="2" t="n">
        <v>2025</v>
      </c>
      <c r="AJ343" s="2" t="inlineStr">
        <is>
          <t>2025-09</t>
        </is>
      </c>
      <c r="AK343" s="2" t="inlineStr">
        <is>
          <t>-119 to -101</t>
        </is>
      </c>
      <c r="AL343" s="2" t="inlineStr">
        <is>
          <t>2025 Validation</t>
        </is>
      </c>
      <c r="AM343" s="6" t="n">
        <v>0.1876361365986506</v>
      </c>
    </row>
    <row r="344">
      <c r="A344" s="2" t="inlineStr">
        <is>
          <t>KPROP-00343</t>
        </is>
      </c>
      <c r="B344" s="3" t="n">
        <v>45913.67060185185</v>
      </c>
      <c r="C344" s="3" t="n">
        <v>45913</v>
      </c>
      <c r="D344" s="2" t="inlineStr">
        <is>
          <t>Charlie Morton</t>
        </is>
      </c>
      <c r="E344" s="2" t="n">
        <v>116</v>
      </c>
      <c r="F344" s="2" t="n">
        <v>146</v>
      </c>
      <c r="G344" s="2" t="inlineStr">
        <is>
          <t>Away</t>
        </is>
      </c>
      <c r="H344" s="2" t="inlineStr">
        <is>
          <t>betmgm</t>
        </is>
      </c>
      <c r="I344" s="4" t="n"/>
      <c r="J344" s="4" t="n"/>
      <c r="K344" s="4" t="n">
        <v>-110</v>
      </c>
      <c r="L344" s="4" t="n">
        <v>-110</v>
      </c>
      <c r="M344" s="5" t="n">
        <v>5.5</v>
      </c>
      <c r="N344" s="5" t="n">
        <v>4.601822014513832</v>
      </c>
      <c r="O344" s="5" t="n">
        <v>5.5</v>
      </c>
      <c r="P344" s="5" t="n">
        <v>0.8981779854861678</v>
      </c>
      <c r="Q344" s="6" t="n">
        <v>0.3085770707936123</v>
      </c>
      <c r="R344" s="6" t="n">
        <v>0.6854451323204636</v>
      </c>
      <c r="S344" s="6" t="n">
        <v>0.5165745856353592</v>
      </c>
      <c r="T344" s="2" t="inlineStr">
        <is>
          <t>Under</t>
        </is>
      </c>
      <c r="U344" s="4" t="n">
        <v>-110</v>
      </c>
      <c r="V344" s="2" t="n">
        <v>1.909090909090909</v>
      </c>
      <c r="W344" s="4" t="n">
        <v>-110</v>
      </c>
      <c r="X344" s="2" t="n">
        <v>1</v>
      </c>
      <c r="Y344" s="5" t="n">
        <v>0.9090909090909092</v>
      </c>
      <c r="Z344" s="7" t="n">
        <v>100</v>
      </c>
      <c r="AA344" s="7">
        <f>Y344*Z344</f>
        <v/>
      </c>
      <c r="AB344" s="6">
        <f>IF(Z344=0,0,AA344/Z344)</f>
        <v/>
      </c>
      <c r="AC344" s="6" t="n"/>
      <c r="AD344" s="2" t="inlineStr">
        <is>
          <t>Win</t>
        </is>
      </c>
      <c r="AE344" s="6">
        <f>IF((COUNTIF($AD$2:AD344,"Win")+COUNTIF($AD$2:AD344,"Loss"))=0,0,COUNTIF($AD$2:AD344,"Win")/(COUNTIF($AD$2:AD344,"Win")+COUNTIF($AD$2:AD344,"Loss")))</f>
        <v/>
      </c>
      <c r="AF344" s="6">
        <f>SUM($Y$2:Y344)/SUM($X$2:X344)</f>
        <v/>
      </c>
      <c r="AG344" s="5">
        <f>SUM($Y$2:Y344)</f>
        <v/>
      </c>
      <c r="AH344" s="7">
        <f>10000.0+SUM($AA$2:AA344)</f>
        <v/>
      </c>
      <c r="AI344" s="2" t="n">
        <v>2025</v>
      </c>
      <c r="AJ344" s="2" t="inlineStr">
        <is>
          <t>2025-09</t>
        </is>
      </c>
      <c r="AK344" s="2" t="inlineStr">
        <is>
          <t>-119 to -101</t>
        </is>
      </c>
      <c r="AL344" s="2" t="inlineStr">
        <is>
          <t>2025 Validation</t>
        </is>
      </c>
      <c r="AM344" s="6" t="n">
        <v>0.3394347778729735</v>
      </c>
    </row>
    <row r="345">
      <c r="A345" s="2" t="inlineStr">
        <is>
          <t>KPROP-00344</t>
        </is>
      </c>
      <c r="B345" s="3" t="n">
        <v>45913.79559027778</v>
      </c>
      <c r="C345" s="3" t="n">
        <v>45913</v>
      </c>
      <c r="D345" s="2" t="inlineStr">
        <is>
          <t>Joe Ryan</t>
        </is>
      </c>
      <c r="E345" s="2" t="n">
        <v>142</v>
      </c>
      <c r="F345" s="2" t="n">
        <v>109</v>
      </c>
      <c r="G345" s="2" t="inlineStr">
        <is>
          <t>Home</t>
        </is>
      </c>
      <c r="H345" s="2" t="inlineStr">
        <is>
          <t>fanatics</t>
        </is>
      </c>
      <c r="I345" s="4" t="n"/>
      <c r="J345" s="4" t="n"/>
      <c r="K345" s="4" t="n">
        <v>120</v>
      </c>
      <c r="L345" s="4" t="n">
        <v>120</v>
      </c>
      <c r="M345" s="5" t="n">
        <v>5.5</v>
      </c>
      <c r="N345" s="5" t="n">
        <v>5.597005022747257</v>
      </c>
      <c r="O345" s="5" t="n">
        <v>5.5</v>
      </c>
      <c r="P345" s="5" t="n">
        <v>-0.09700502274725675</v>
      </c>
      <c r="Q345" s="6" t="n">
        <v>0.1272124603566053</v>
      </c>
      <c r="R345" s="6" t="n">
        <v>0.5123693001620933</v>
      </c>
      <c r="S345" s="6" t="n">
        <v>0.4357962697274032</v>
      </c>
      <c r="T345" s="2" t="inlineStr">
        <is>
          <t>Under</t>
        </is>
      </c>
      <c r="U345" s="4" t="n">
        <v>120</v>
      </c>
      <c r="V345" s="2" t="n">
        <v>2.2</v>
      </c>
      <c r="W345" s="4" t="n">
        <v>120</v>
      </c>
      <c r="X345" s="2" t="n">
        <v>1</v>
      </c>
      <c r="Y345" s="5" t="n">
        <v>1.2</v>
      </c>
      <c r="Z345" s="7" t="n">
        <v>100</v>
      </c>
      <c r="AA345" s="7">
        <f>Y345*Z345</f>
        <v/>
      </c>
      <c r="AB345" s="6">
        <f>IF(Z345=0,0,AA345/Z345)</f>
        <v/>
      </c>
      <c r="AC345" s="6" t="n"/>
      <c r="AD345" s="2" t="inlineStr">
        <is>
          <t>Win</t>
        </is>
      </c>
      <c r="AE345" s="6">
        <f>IF((COUNTIF($AD$2:AD345,"Win")+COUNTIF($AD$2:AD345,"Loss"))=0,0,COUNTIF($AD$2:AD345,"Win")/(COUNTIF($AD$2:AD345,"Win")+COUNTIF($AD$2:AD345,"Loss")))</f>
        <v/>
      </c>
      <c r="AF345" s="6">
        <f>SUM($Y$2:Y345)/SUM($X$2:X345)</f>
        <v/>
      </c>
      <c r="AG345" s="5">
        <f>SUM($Y$2:Y345)</f>
        <v/>
      </c>
      <c r="AH345" s="7">
        <f>10000.0+SUM($AA$2:AA345)</f>
        <v/>
      </c>
      <c r="AI345" s="2" t="n">
        <v>2025</v>
      </c>
      <c r="AJ345" s="2" t="inlineStr">
        <is>
          <t>2025-09</t>
        </is>
      </c>
      <c r="AK345" s="2" t="inlineStr">
        <is>
          <t>+100 to +120</t>
        </is>
      </c>
      <c r="AL345" s="2" t="inlineStr">
        <is>
          <t>2025 Validation</t>
        </is>
      </c>
      <c r="AM345" s="6" t="n">
        <v>0.1060103836305044</v>
      </c>
    </row>
    <row r="346">
      <c r="A346" s="2" t="inlineStr">
        <is>
          <t>KPROP-00345</t>
        </is>
      </c>
      <c r="B346" s="3" t="n">
        <v>45913.79559027778</v>
      </c>
      <c r="C346" s="3" t="n">
        <v>45913</v>
      </c>
      <c r="D346" s="2" t="inlineStr">
        <is>
          <t>Joe Ryan</t>
        </is>
      </c>
      <c r="E346" s="2" t="n">
        <v>142</v>
      </c>
      <c r="F346" s="2" t="n">
        <v>109</v>
      </c>
      <c r="G346" s="2" t="inlineStr">
        <is>
          <t>Home</t>
        </is>
      </c>
      <c r="H346" s="2" t="inlineStr">
        <is>
          <t>betmgm</t>
        </is>
      </c>
      <c r="I346" s="4" t="n"/>
      <c r="J346" s="4" t="n"/>
      <c r="K346" s="4" t="n">
        <v>-160</v>
      </c>
      <c r="L346" s="4" t="n">
        <v>-160</v>
      </c>
      <c r="M346" s="5" t="n">
        <v>6.5</v>
      </c>
      <c r="N346" s="5" t="n">
        <v>5.597005022747257</v>
      </c>
      <c r="O346" s="5" t="n">
        <v>6.5</v>
      </c>
      <c r="P346" s="5" t="n">
        <v>0.9029949772527432</v>
      </c>
      <c r="Q346" s="6" t="n">
        <v>0.08993973089736634</v>
      </c>
      <c r="R346" s="6" t="n">
        <v>0.670732142090687</v>
      </c>
      <c r="S346" s="6" t="n">
        <v>0.5942571785268415</v>
      </c>
      <c r="T346" s="2" t="inlineStr">
        <is>
          <t>Under</t>
        </is>
      </c>
      <c r="U346" s="4" t="n">
        <v>-160</v>
      </c>
      <c r="V346" s="2" t="n">
        <v>1.625</v>
      </c>
      <c r="W346" s="4" t="n">
        <v>-160</v>
      </c>
      <c r="X346" s="2" t="n">
        <v>1</v>
      </c>
      <c r="Y346" s="5" t="n">
        <v>0.625</v>
      </c>
      <c r="Z346" s="7" t="n">
        <v>100</v>
      </c>
      <c r="AA346" s="7">
        <f>Y346*Z346</f>
        <v/>
      </c>
      <c r="AB346" s="6">
        <f>IF(Z346=0,0,AA346/Z346)</f>
        <v/>
      </c>
      <c r="AC346" s="6" t="n"/>
      <c r="AD346" s="2" t="inlineStr">
        <is>
          <t>Win</t>
        </is>
      </c>
      <c r="AE346" s="6">
        <f>IF((COUNTIF($AD$2:AD346,"Win")+COUNTIF($AD$2:AD346,"Loss"))=0,0,COUNTIF($AD$2:AD346,"Win")/(COUNTIF($AD$2:AD346,"Win")+COUNTIF($AD$2:AD346,"Loss")))</f>
        <v/>
      </c>
      <c r="AF346" s="6">
        <f>SUM($Y$2:Y346)/SUM($X$2:X346)</f>
        <v/>
      </c>
      <c r="AG346" s="5">
        <f>SUM($Y$2:Y346)</f>
        <v/>
      </c>
      <c r="AH346" s="7">
        <f>10000.0+SUM($AA$2:AA346)</f>
        <v/>
      </c>
      <c r="AI346" s="2" t="n">
        <v>2025</v>
      </c>
      <c r="AJ346" s="2" t="inlineStr">
        <is>
          <t>2025-09</t>
        </is>
      </c>
      <c r="AK346" s="2" t="inlineStr">
        <is>
          <t>&lt;= -150</t>
        </is>
      </c>
      <c r="AL346" s="2" t="inlineStr">
        <is>
          <t>2025 Validation</t>
        </is>
      </c>
      <c r="AM346" s="6" t="n">
        <v>0.1439035694357861</v>
      </c>
    </row>
    <row r="347">
      <c r="A347" s="2" t="inlineStr">
        <is>
          <t>KPROP-00346</t>
        </is>
      </c>
      <c r="B347" s="3" t="n">
        <v>45913.62892361111</v>
      </c>
      <c r="C347" s="3" t="n">
        <v>45913</v>
      </c>
      <c r="D347" s="2" t="inlineStr">
        <is>
          <t>Max Scherzer</t>
        </is>
      </c>
      <c r="E347" s="2" t="n">
        <v>141</v>
      </c>
      <c r="F347" s="2" t="n">
        <v>110</v>
      </c>
      <c r="G347" s="2" t="inlineStr">
        <is>
          <t>Home</t>
        </is>
      </c>
      <c r="H347" s="2" t="inlineStr">
        <is>
          <t>draftkings</t>
        </is>
      </c>
      <c r="I347" s="4" t="n"/>
      <c r="J347" s="4" t="n"/>
      <c r="K347" s="4" t="n">
        <v>-119</v>
      </c>
      <c r="L347" s="4" t="n">
        <v>-119</v>
      </c>
      <c r="M347" s="5" t="n">
        <v>6.5</v>
      </c>
      <c r="N347" s="5" t="n">
        <v>5.940952092930517</v>
      </c>
      <c r="O347" s="5" t="n">
        <v>6.5</v>
      </c>
      <c r="P347" s="5" t="n">
        <v>0.5590479070694832</v>
      </c>
      <c r="Q347" s="6" t="n">
        <v>0.1332538151871133</v>
      </c>
      <c r="R347" s="6" t="n">
        <v>0.6157863196678834</v>
      </c>
      <c r="S347" s="6" t="n">
        <v>0.5329494561740244</v>
      </c>
      <c r="T347" s="2" t="inlineStr">
        <is>
          <t>Under</t>
        </is>
      </c>
      <c r="U347" s="4" t="n">
        <v>-119</v>
      </c>
      <c r="V347" s="2" t="n">
        <v>1.840336134453782</v>
      </c>
      <c r="W347" s="4" t="n">
        <v>-119</v>
      </c>
      <c r="X347" s="2" t="n">
        <v>1</v>
      </c>
      <c r="Y347" s="5" t="n">
        <v>0.8403361344537816</v>
      </c>
      <c r="Z347" s="7" t="n">
        <v>100</v>
      </c>
      <c r="AA347" s="7">
        <f>Y347*Z347</f>
        <v/>
      </c>
      <c r="AB347" s="6">
        <f>IF(Z347=0,0,AA347/Z347)</f>
        <v/>
      </c>
      <c r="AC347" s="6" t="n"/>
      <c r="AD347" s="2" t="inlineStr">
        <is>
          <t>Win</t>
        </is>
      </c>
      <c r="AE347" s="6">
        <f>IF((COUNTIF($AD$2:AD347,"Win")+COUNTIF($AD$2:AD347,"Loss"))=0,0,COUNTIF($AD$2:AD347,"Win")/(COUNTIF($AD$2:AD347,"Win")+COUNTIF($AD$2:AD347,"Loss")))</f>
        <v/>
      </c>
      <c r="AF347" s="6">
        <f>SUM($Y$2:Y347)/SUM($X$2:X347)</f>
        <v/>
      </c>
      <c r="AG347" s="5">
        <f>SUM($Y$2:Y347)</f>
        <v/>
      </c>
      <c r="AH347" s="7">
        <f>10000.0+SUM($AA$2:AA347)</f>
        <v/>
      </c>
      <c r="AI347" s="2" t="n">
        <v>2025</v>
      </c>
      <c r="AJ347" s="2" t="inlineStr">
        <is>
          <t>2025-09</t>
        </is>
      </c>
      <c r="AK347" s="2" t="inlineStr">
        <is>
          <t>-119 to -101</t>
        </is>
      </c>
      <c r="AL347" s="2" t="inlineStr">
        <is>
          <t>2025 Validation</t>
        </is>
      </c>
      <c r="AM347" s="6" t="n">
        <v>0.1585720400726648</v>
      </c>
    </row>
    <row r="348">
      <c r="A348" s="2" t="inlineStr">
        <is>
          <t>KPROP-00347</t>
        </is>
      </c>
      <c r="B348" s="3" t="n">
        <v>45913.75392361111</v>
      </c>
      <c r="C348" s="3" t="n">
        <v>45913</v>
      </c>
      <c r="D348" s="2" t="inlineStr">
        <is>
          <t>Parker Messick</t>
        </is>
      </c>
      <c r="E348" s="2" t="n">
        <v>114</v>
      </c>
      <c r="F348" s="2" t="n">
        <v>145</v>
      </c>
      <c r="G348" s="2" t="inlineStr">
        <is>
          <t>Home</t>
        </is>
      </c>
      <c r="H348" s="2" t="inlineStr">
        <is>
          <t>draftkings</t>
        </is>
      </c>
      <c r="I348" s="4" t="n"/>
      <c r="J348" s="4" t="n"/>
      <c r="K348" s="4" t="n">
        <v>115</v>
      </c>
      <c r="L348" s="4" t="n">
        <v>115</v>
      </c>
      <c r="M348" s="5" t="n">
        <v>4.5</v>
      </c>
      <c r="N348" s="5" t="n">
        <v>4.524831043807943</v>
      </c>
      <c r="O348" s="5" t="n">
        <v>4.5</v>
      </c>
      <c r="P348" s="5" t="n">
        <v>-0.02483104380794288</v>
      </c>
      <c r="Q348" s="6" t="n">
        <v>0.1339036489654973</v>
      </c>
      <c r="R348" s="6" t="n">
        <v>0.5273970460304639</v>
      </c>
      <c r="S348" s="6" t="n">
        <v>0.44362292051756</v>
      </c>
      <c r="T348" s="2" t="inlineStr">
        <is>
          <t>Under</t>
        </is>
      </c>
      <c r="U348" s="4" t="n">
        <v>115</v>
      </c>
      <c r="V348" s="2" t="n">
        <v>2.15</v>
      </c>
      <c r="W348" s="4" t="n">
        <v>115</v>
      </c>
      <c r="X348" s="2" t="n">
        <v>1</v>
      </c>
      <c r="Y348" s="5" t="n">
        <v>1.15</v>
      </c>
      <c r="Z348" s="7" t="n">
        <v>100</v>
      </c>
      <c r="AA348" s="7">
        <f>Y348*Z348</f>
        <v/>
      </c>
      <c r="AB348" s="6">
        <f>IF(Z348=0,0,AA348/Z348)</f>
        <v/>
      </c>
      <c r="AC348" s="6" t="n"/>
      <c r="AD348" s="2" t="inlineStr">
        <is>
          <t>Win</t>
        </is>
      </c>
      <c r="AE348" s="6">
        <f>IF((COUNTIF($AD$2:AD348,"Win")+COUNTIF($AD$2:AD348,"Loss"))=0,0,COUNTIF($AD$2:AD348,"Win")/(COUNTIF($AD$2:AD348,"Win")+COUNTIF($AD$2:AD348,"Loss")))</f>
        <v/>
      </c>
      <c r="AF348" s="6">
        <f>SUM($Y$2:Y348)/SUM($X$2:X348)</f>
        <v/>
      </c>
      <c r="AG348" s="5">
        <f>SUM($Y$2:Y348)</f>
        <v/>
      </c>
      <c r="AH348" s="7">
        <f>10000.0+SUM($AA$2:AA348)</f>
        <v/>
      </c>
      <c r="AI348" s="2" t="n">
        <v>2025</v>
      </c>
      <c r="AJ348" s="2" t="inlineStr">
        <is>
          <t>2025-09</t>
        </is>
      </c>
      <c r="AK348" s="2" t="inlineStr">
        <is>
          <t>+100 to +120</t>
        </is>
      </c>
      <c r="AL348" s="2" t="inlineStr">
        <is>
          <t>2025 Validation</t>
        </is>
      </c>
      <c r="AM348" s="6" t="n">
        <v>0.1164379556221716</v>
      </c>
    </row>
    <row r="349">
      <c r="A349" s="2" t="inlineStr">
        <is>
          <t>KPROP-00348</t>
        </is>
      </c>
      <c r="B349" s="3" t="n">
        <v>45914.56295138889</v>
      </c>
      <c r="C349" s="3" t="n">
        <v>45914</v>
      </c>
      <c r="D349" s="2" t="inlineStr">
        <is>
          <t>Aaron Nola</t>
        </is>
      </c>
      <c r="E349" s="2" t="n">
        <v>143</v>
      </c>
      <c r="F349" s="2" t="n">
        <v>118</v>
      </c>
      <c r="G349" s="2" t="inlineStr">
        <is>
          <t>Home</t>
        </is>
      </c>
      <c r="H349" s="2" t="inlineStr">
        <is>
          <t>betonlineag</t>
        </is>
      </c>
      <c r="I349" s="4" t="n"/>
      <c r="J349" s="4" t="n"/>
      <c r="K349" s="4" t="n">
        <v>139</v>
      </c>
      <c r="L349" s="4" t="n">
        <v>139</v>
      </c>
      <c r="M349" s="5" t="n">
        <v>4.5</v>
      </c>
      <c r="N349" s="5" t="n">
        <v>4.735736165426</v>
      </c>
      <c r="O349" s="5" t="n">
        <v>4.5</v>
      </c>
      <c r="P349" s="5" t="n">
        <v>-0.2357361654260002</v>
      </c>
      <c r="Q349" s="6" t="n">
        <v>0.1663632023396818</v>
      </c>
      <c r="R349" s="6" t="n">
        <v>0.488018076292754</v>
      </c>
      <c r="S349" s="6" t="n">
        <v>0.3933164104995955</v>
      </c>
      <c r="T349" s="2" t="inlineStr">
        <is>
          <t>Under</t>
        </is>
      </c>
      <c r="U349" s="4" t="n">
        <v>139</v>
      </c>
      <c r="V349" s="2" t="n">
        <v>2.39</v>
      </c>
      <c r="W349" s="4" t="n">
        <v>139</v>
      </c>
      <c r="X349" s="2" t="n">
        <v>1</v>
      </c>
      <c r="Y349" s="5" t="n">
        <v>-1</v>
      </c>
      <c r="Z349" s="7" t="n">
        <v>100</v>
      </c>
      <c r="AA349" s="7">
        <f>Y349*Z349</f>
        <v/>
      </c>
      <c r="AB349" s="6">
        <f>IF(Z349=0,0,AA349/Z349)</f>
        <v/>
      </c>
      <c r="AC349" s="6" t="n"/>
      <c r="AD349" s="2" t="inlineStr">
        <is>
          <t>Loss</t>
        </is>
      </c>
      <c r="AE349" s="6">
        <f>IF((COUNTIF($AD$2:AD349,"Win")+COUNTIF($AD$2:AD349,"Loss"))=0,0,COUNTIF($AD$2:AD349,"Win")/(COUNTIF($AD$2:AD349,"Win")+COUNTIF($AD$2:AD349,"Loss")))</f>
        <v/>
      </c>
      <c r="AF349" s="6">
        <f>SUM($Y$2:Y349)/SUM($X$2:X349)</f>
        <v/>
      </c>
      <c r="AG349" s="5">
        <f>SUM($Y$2:Y349)</f>
        <v/>
      </c>
      <c r="AH349" s="7">
        <f>10000.0+SUM($AA$2:AA349)</f>
        <v/>
      </c>
      <c r="AI349" s="2" t="n">
        <v>2025</v>
      </c>
      <c r="AJ349" s="2" t="inlineStr">
        <is>
          <t>2025-09</t>
        </is>
      </c>
      <c r="AK349" s="2" t="inlineStr">
        <is>
          <t>+121 to +150</t>
        </is>
      </c>
      <c r="AL349" s="2" t="inlineStr">
        <is>
          <t>2025 Validation</t>
        </is>
      </c>
      <c r="AM349" s="6" t="n">
        <v>0.1196857570789078</v>
      </c>
    </row>
    <row r="350">
      <c r="A350" s="2" t="inlineStr">
        <is>
          <t>KPROP-00349</t>
        </is>
      </c>
      <c r="B350" s="3" t="n">
        <v>45914.56295138889</v>
      </c>
      <c r="C350" s="3" t="n">
        <v>45914</v>
      </c>
      <c r="D350" s="2" t="inlineStr">
        <is>
          <t>Aaron Nola</t>
        </is>
      </c>
      <c r="E350" s="2" t="n">
        <v>143</v>
      </c>
      <c r="F350" s="2" t="n">
        <v>118</v>
      </c>
      <c r="G350" s="2" t="inlineStr">
        <is>
          <t>Home</t>
        </is>
      </c>
      <c r="H350" s="2" t="inlineStr">
        <is>
          <t>draftkings</t>
        </is>
      </c>
      <c r="I350" s="4" t="n"/>
      <c r="J350" s="4" t="n"/>
      <c r="K350" s="4" t="n">
        <v>-146</v>
      </c>
      <c r="L350" s="4" t="n">
        <v>-146</v>
      </c>
      <c r="M350" s="5" t="n">
        <v>5.5</v>
      </c>
      <c r="N350" s="5" t="n">
        <v>4.735736165426</v>
      </c>
      <c r="O350" s="5" t="n">
        <v>5.5</v>
      </c>
      <c r="P350" s="5" t="n">
        <v>0.7642638345739998</v>
      </c>
      <c r="Q350" s="6" t="n">
        <v>0.1157948146915326</v>
      </c>
      <c r="R350" s="6" t="n">
        <v>0.6622196867681454</v>
      </c>
      <c r="S350" s="6" t="n">
        <v>0.5606358278263976</v>
      </c>
      <c r="T350" s="2" t="inlineStr">
        <is>
          <t>Under</t>
        </is>
      </c>
      <c r="U350" s="4" t="n">
        <v>-146</v>
      </c>
      <c r="V350" s="2" t="n">
        <v>1.684931506849315</v>
      </c>
      <c r="W350" s="4" t="n">
        <v>-146</v>
      </c>
      <c r="X350" s="2" t="n">
        <v>1</v>
      </c>
      <c r="Y350" s="5" t="n">
        <v>0.6849315068493151</v>
      </c>
      <c r="Z350" s="7" t="n">
        <v>100</v>
      </c>
      <c r="AA350" s="7">
        <f>Y350*Z350</f>
        <v/>
      </c>
      <c r="AB350" s="6">
        <f>IF(Z350=0,0,AA350/Z350)</f>
        <v/>
      </c>
      <c r="AC350" s="6" t="n"/>
      <c r="AD350" s="2" t="inlineStr">
        <is>
          <t>Win</t>
        </is>
      </c>
      <c r="AE350" s="6">
        <f>IF((COUNTIF($AD$2:AD350,"Win")+COUNTIF($AD$2:AD350,"Loss"))=0,0,COUNTIF($AD$2:AD350,"Win")/(COUNTIF($AD$2:AD350,"Win")+COUNTIF($AD$2:AD350,"Loss")))</f>
        <v/>
      </c>
      <c r="AF350" s="6">
        <f>SUM($Y$2:Y350)/SUM($X$2:X350)</f>
        <v/>
      </c>
      <c r="AG350" s="5">
        <f>SUM($Y$2:Y350)</f>
        <v/>
      </c>
      <c r="AH350" s="7">
        <f>10000.0+SUM($AA$2:AA350)</f>
        <v/>
      </c>
      <c r="AI350" s="2" t="n">
        <v>2025</v>
      </c>
      <c r="AJ350" s="2" t="inlineStr">
        <is>
          <t>2025-09</t>
        </is>
      </c>
      <c r="AK350" s="2" t="inlineStr">
        <is>
          <t>-149 to -120</t>
        </is>
      </c>
      <c r="AL350" s="2" t="inlineStr">
        <is>
          <t>2025 Validation</t>
        </is>
      </c>
      <c r="AM350" s="6" t="n">
        <v>0.1690604294496376</v>
      </c>
    </row>
    <row r="351">
      <c r="A351" s="2" t="inlineStr">
        <is>
          <t>KPROP-00350</t>
        </is>
      </c>
      <c r="B351" s="3" t="n">
        <v>45914.58724537037</v>
      </c>
      <c r="C351" s="3" t="n">
        <v>45914</v>
      </c>
      <c r="D351" s="2" t="inlineStr">
        <is>
          <t>Bailey Ober</t>
        </is>
      </c>
      <c r="E351" s="2" t="n">
        <v>142</v>
      </c>
      <c r="F351" s="2" t="n">
        <v>109</v>
      </c>
      <c r="G351" s="2" t="inlineStr">
        <is>
          <t>Home</t>
        </is>
      </c>
      <c r="H351" s="2" t="inlineStr">
        <is>
          <t>draftkings</t>
        </is>
      </c>
      <c r="I351" s="4" t="n"/>
      <c r="J351" s="4" t="n"/>
      <c r="K351" s="4" t="n">
        <v>100</v>
      </c>
      <c r="L351" s="4" t="n">
        <v>100</v>
      </c>
      <c r="M351" s="5" t="n">
        <v>4.5</v>
      </c>
      <c r="N351" s="5" t="n">
        <v>4.222030911378727</v>
      </c>
      <c r="O351" s="5" t="n">
        <v>4.5</v>
      </c>
      <c r="P351" s="5" t="n">
        <v>0.2779690886212727</v>
      </c>
      <c r="Q351" s="6" t="n">
        <v>0.1710920307753238</v>
      </c>
      <c r="R351" s="6" t="n">
        <v>0.5855460153876619</v>
      </c>
      <c r="S351" s="6" t="n">
        <v>0.4801762114537445</v>
      </c>
      <c r="T351" s="2" t="inlineStr">
        <is>
          <t>Under</t>
        </is>
      </c>
      <c r="U351" s="4" t="n">
        <v>100</v>
      </c>
      <c r="V351" s="2" t="n">
        <v>2</v>
      </c>
      <c r="W351" s="4" t="n">
        <v>100</v>
      </c>
      <c r="X351" s="2" t="n">
        <v>1</v>
      </c>
      <c r="Y351" s="5" t="n">
        <v>-1</v>
      </c>
      <c r="Z351" s="7" t="n">
        <v>100</v>
      </c>
      <c r="AA351" s="7">
        <f>Y351*Z351</f>
        <v/>
      </c>
      <c r="AB351" s="6">
        <f>IF(Z351=0,0,AA351/Z351)</f>
        <v/>
      </c>
      <c r="AC351" s="6" t="n"/>
      <c r="AD351" s="2" t="inlineStr">
        <is>
          <t>Loss</t>
        </is>
      </c>
      <c r="AE351" s="6">
        <f>IF((COUNTIF($AD$2:AD351,"Win")+COUNTIF($AD$2:AD351,"Loss"))=0,0,COUNTIF($AD$2:AD351,"Win")/(COUNTIF($AD$2:AD351,"Win")+COUNTIF($AD$2:AD351,"Loss")))</f>
        <v/>
      </c>
      <c r="AF351" s="6">
        <f>SUM($Y$2:Y351)/SUM($X$2:X351)</f>
        <v/>
      </c>
      <c r="AG351" s="5">
        <f>SUM($Y$2:Y351)</f>
        <v/>
      </c>
      <c r="AH351" s="7">
        <f>10000.0+SUM($AA$2:AA351)</f>
        <v/>
      </c>
      <c r="AI351" s="2" t="n">
        <v>2025</v>
      </c>
      <c r="AJ351" s="2" t="inlineStr">
        <is>
          <t>2025-09</t>
        </is>
      </c>
      <c r="AK351" s="2" t="inlineStr">
        <is>
          <t>+100 to +120</t>
        </is>
      </c>
      <c r="AL351" s="2" t="inlineStr">
        <is>
          <t>2025 Validation</t>
        </is>
      </c>
      <c r="AM351" s="6" t="n">
        <v>0.1710920307753239</v>
      </c>
    </row>
    <row r="352">
      <c r="A352" s="2" t="inlineStr">
        <is>
          <t>KPROP-00351</t>
        </is>
      </c>
      <c r="B352" s="3" t="n">
        <v>45914.79557870371</v>
      </c>
      <c r="C352" s="3" t="n">
        <v>45914</v>
      </c>
      <c r="D352" s="2" t="inlineStr">
        <is>
          <t>Garrett Crochet</t>
        </is>
      </c>
      <c r="E352" s="2" t="n">
        <v>111</v>
      </c>
      <c r="F352" s="2" t="n">
        <v>147</v>
      </c>
      <c r="G352" s="2" t="inlineStr">
        <is>
          <t>Home</t>
        </is>
      </c>
      <c r="H352" s="2" t="inlineStr">
        <is>
          <t>bovada</t>
        </is>
      </c>
      <c r="I352" s="4" t="n"/>
      <c r="J352" s="4" t="n"/>
      <c r="K352" s="4" t="n">
        <v>120</v>
      </c>
      <c r="L352" s="4" t="n">
        <v>120</v>
      </c>
      <c r="M352" s="5" t="n">
        <v>7.5</v>
      </c>
      <c r="N352" s="5" t="n">
        <v>7.332461641213615</v>
      </c>
      <c r="O352" s="5" t="n">
        <v>7.5</v>
      </c>
      <c r="P352" s="5" t="n">
        <v>0.167538358786385</v>
      </c>
      <c r="Q352" s="6" t="n">
        <v>0.2084670212302395</v>
      </c>
      <c r="R352" s="6" t="n">
        <v>0.5493031914682907</v>
      </c>
      <c r="S352" s="6" t="n">
        <v>0.4323570432357043</v>
      </c>
      <c r="T352" s="2" t="inlineStr">
        <is>
          <t>Under</t>
        </is>
      </c>
      <c r="U352" s="4" t="n">
        <v>120</v>
      </c>
      <c r="V352" s="2" t="n">
        <v>2.2</v>
      </c>
      <c r="W352" s="4" t="n">
        <v>120</v>
      </c>
      <c r="X352" s="2" t="n">
        <v>1</v>
      </c>
      <c r="Y352" s="5" t="n">
        <v>-1</v>
      </c>
      <c r="Z352" s="7" t="n">
        <v>100</v>
      </c>
      <c r="AA352" s="7">
        <f>Y352*Z352</f>
        <v/>
      </c>
      <c r="AB352" s="6">
        <f>IF(Z352=0,0,AA352/Z352)</f>
        <v/>
      </c>
      <c r="AC352" s="6" t="n"/>
      <c r="AD352" s="2" t="inlineStr">
        <is>
          <t>Loss</t>
        </is>
      </c>
      <c r="AE352" s="6">
        <f>IF((COUNTIF($AD$2:AD352,"Win")+COUNTIF($AD$2:AD352,"Loss"))=0,0,COUNTIF($AD$2:AD352,"Win")/(COUNTIF($AD$2:AD352,"Win")+COUNTIF($AD$2:AD352,"Loss")))</f>
        <v/>
      </c>
      <c r="AF352" s="6">
        <f>SUM($Y$2:Y352)/SUM($X$2:X352)</f>
        <v/>
      </c>
      <c r="AG352" s="5">
        <f>SUM($Y$2:Y352)</f>
        <v/>
      </c>
      <c r="AH352" s="7">
        <f>10000.0+SUM($AA$2:AA352)</f>
        <v/>
      </c>
      <c r="AI352" s="2" t="n">
        <v>2025</v>
      </c>
      <c r="AJ352" s="2" t="inlineStr">
        <is>
          <t>2025-09</t>
        </is>
      </c>
      <c r="AK352" s="2" t="inlineStr">
        <is>
          <t>+100 to +120</t>
        </is>
      </c>
      <c r="AL352" s="2" t="inlineStr">
        <is>
          <t>2025 Validation</t>
        </is>
      </c>
      <c r="AM352" s="6" t="n">
        <v>0.1737225176918663</v>
      </c>
    </row>
    <row r="353">
      <c r="A353" s="2" t="inlineStr">
        <is>
          <t>KPROP-00352</t>
        </is>
      </c>
      <c r="B353" s="3" t="n">
        <v>45914.79557870371</v>
      </c>
      <c r="C353" s="3" t="n">
        <v>45914</v>
      </c>
      <c r="D353" s="2" t="inlineStr">
        <is>
          <t>Garrett Crochet</t>
        </is>
      </c>
      <c r="E353" s="2" t="n">
        <v>111</v>
      </c>
      <c r="F353" s="2" t="n">
        <v>147</v>
      </c>
      <c r="G353" s="2" t="inlineStr">
        <is>
          <t>Home</t>
        </is>
      </c>
      <c r="H353" s="2" t="inlineStr">
        <is>
          <t>draftkings</t>
        </is>
      </c>
      <c r="I353" s="4" t="n"/>
      <c r="J353" s="4" t="n"/>
      <c r="K353" s="4" t="n">
        <v>-142</v>
      </c>
      <c r="L353" s="4" t="n">
        <v>-142</v>
      </c>
      <c r="M353" s="5" t="n">
        <v>8.5</v>
      </c>
      <c r="N353" s="5" t="n">
        <v>7.332461641213615</v>
      </c>
      <c r="O353" s="5" t="n">
        <v>8.5</v>
      </c>
      <c r="P353" s="5" t="n">
        <v>1.167538358786385</v>
      </c>
      <c r="Q353" s="6" t="n">
        <v>0.1671073247026518</v>
      </c>
      <c r="R353" s="6" t="n">
        <v>0.6848315706932916</v>
      </c>
      <c r="S353" s="6" t="n">
        <v>0.5722567873303167</v>
      </c>
      <c r="T353" s="2" t="inlineStr">
        <is>
          <t>Under</t>
        </is>
      </c>
      <c r="U353" s="4" t="n">
        <v>-142</v>
      </c>
      <c r="V353" s="2" t="n">
        <v>1.704225352112676</v>
      </c>
      <c r="W353" s="4" t="n">
        <v>-142</v>
      </c>
      <c r="X353" s="2" t="n">
        <v>1</v>
      </c>
      <c r="Y353" s="5" t="n">
        <v>-1</v>
      </c>
      <c r="Z353" s="7" t="n">
        <v>100</v>
      </c>
      <c r="AA353" s="7">
        <f>Y353*Z353</f>
        <v/>
      </c>
      <c r="AB353" s="6">
        <f>IF(Z353=0,0,AA353/Z353)</f>
        <v/>
      </c>
      <c r="AC353" s="6" t="n"/>
      <c r="AD353" s="2" t="inlineStr">
        <is>
          <t>Loss</t>
        </is>
      </c>
      <c r="AE353" s="6">
        <f>IF((COUNTIF($AD$2:AD353,"Win")+COUNTIF($AD$2:AD353,"Loss"))=0,0,COUNTIF($AD$2:AD353,"Win")/(COUNTIF($AD$2:AD353,"Win")+COUNTIF($AD$2:AD353,"Loss")))</f>
        <v/>
      </c>
      <c r="AF353" s="6">
        <f>SUM($Y$2:Y353)/SUM($X$2:X353)</f>
        <v/>
      </c>
      <c r="AG353" s="5">
        <f>SUM($Y$2:Y353)</f>
        <v/>
      </c>
      <c r="AH353" s="7">
        <f>10000.0+SUM($AA$2:AA353)</f>
        <v/>
      </c>
      <c r="AI353" s="2" t="n">
        <v>2025</v>
      </c>
      <c r="AJ353" s="2" t="inlineStr">
        <is>
          <t>2025-09</t>
        </is>
      </c>
      <c r="AK353" s="2" t="inlineStr">
        <is>
          <t>-149 to -120</t>
        </is>
      </c>
      <c r="AL353" s="2" t="inlineStr">
        <is>
          <t>2025 Validation</t>
        </is>
      </c>
      <c r="AM353" s="6" t="n">
        <v>0.2372924010777656</v>
      </c>
    </row>
    <row r="354">
      <c r="A354" s="2" t="inlineStr">
        <is>
          <t>KPROP-00353</t>
        </is>
      </c>
      <c r="B354" s="3" t="n">
        <v>45914.67057870371</v>
      </c>
      <c r="C354" s="3" t="n">
        <v>45914</v>
      </c>
      <c r="D354" s="2" t="inlineStr">
        <is>
          <t>George Kirby</t>
        </is>
      </c>
      <c r="E354" s="2" t="n">
        <v>136</v>
      </c>
      <c r="F354" s="2" t="n">
        <v>108</v>
      </c>
      <c r="G354" s="2" t="inlineStr">
        <is>
          <t>Home</t>
        </is>
      </c>
      <c r="H354" s="2" t="inlineStr">
        <is>
          <t>betrivers</t>
        </is>
      </c>
      <c r="I354" s="4" t="n"/>
      <c r="J354" s="4" t="n"/>
      <c r="K354" s="4" t="n">
        <v>133</v>
      </c>
      <c r="L354" s="4" t="n">
        <v>133</v>
      </c>
      <c r="M354" s="5" t="n">
        <v>6.5</v>
      </c>
      <c r="N354" s="5" t="n">
        <v>6.747751627484196</v>
      </c>
      <c r="O354" s="5" t="n">
        <v>6.5</v>
      </c>
      <c r="P354" s="5" t="n">
        <v>-0.2477516274841962</v>
      </c>
      <c r="Q354" s="6" t="n">
        <v>0.1368796329257771</v>
      </c>
      <c r="R354" s="6" t="n">
        <v>0.487931172929518</v>
      </c>
      <c r="S354" s="6" t="n">
        <v>0.4203482885819679</v>
      </c>
      <c r="T354" s="2" t="inlineStr">
        <is>
          <t>Under</t>
        </is>
      </c>
      <c r="U354" s="4" t="n">
        <v>133</v>
      </c>
      <c r="V354" s="2" t="n">
        <v>2.33</v>
      </c>
      <c r="W354" s="4" t="n">
        <v>133</v>
      </c>
      <c r="X354" s="2" t="n">
        <v>1</v>
      </c>
      <c r="Y354" s="5" t="n">
        <v>-1</v>
      </c>
      <c r="Z354" s="7" t="n">
        <v>100</v>
      </c>
      <c r="AA354" s="7">
        <f>Y354*Z354</f>
        <v/>
      </c>
      <c r="AB354" s="6">
        <f>IF(Z354=0,0,AA354/Z354)</f>
        <v/>
      </c>
      <c r="AC354" s="6" t="n"/>
      <c r="AD354" s="2" t="inlineStr">
        <is>
          <t>Loss</t>
        </is>
      </c>
      <c r="AE354" s="6">
        <f>IF((COUNTIF($AD$2:AD354,"Win")+COUNTIF($AD$2:AD354,"Loss"))=0,0,COUNTIF($AD$2:AD354,"Win")/(COUNTIF($AD$2:AD354,"Win")+COUNTIF($AD$2:AD354,"Loss")))</f>
        <v/>
      </c>
      <c r="AF354" s="6">
        <f>SUM($Y$2:Y354)/SUM($X$2:X354)</f>
        <v/>
      </c>
      <c r="AG354" s="5">
        <f>SUM($Y$2:Y354)</f>
        <v/>
      </c>
      <c r="AH354" s="7">
        <f>10000.0+SUM($AA$2:AA354)</f>
        <v/>
      </c>
      <c r="AI354" s="2" t="n">
        <v>2025</v>
      </c>
      <c r="AJ354" s="2" t="inlineStr">
        <is>
          <t>2025-09</t>
        </is>
      </c>
      <c r="AK354" s="2" t="inlineStr">
        <is>
          <t>+121 to +150</t>
        </is>
      </c>
      <c r="AL354" s="2" t="inlineStr">
        <is>
          <t>2025 Validation</t>
        </is>
      </c>
      <c r="AM354" s="6" t="n">
        <v>0.1029170172374264</v>
      </c>
    </row>
    <row r="355">
      <c r="A355" s="2" t="inlineStr">
        <is>
          <t>KPROP-00354</t>
        </is>
      </c>
      <c r="B355" s="3" t="n">
        <v>45914.67057870371</v>
      </c>
      <c r="C355" s="3" t="n">
        <v>45914</v>
      </c>
      <c r="D355" s="2" t="inlineStr">
        <is>
          <t>George Kirby</t>
        </is>
      </c>
      <c r="E355" s="2" t="n">
        <v>136</v>
      </c>
      <c r="F355" s="2" t="n">
        <v>108</v>
      </c>
      <c r="G355" s="2" t="inlineStr">
        <is>
          <t>Home</t>
        </is>
      </c>
      <c r="H355" s="2" t="inlineStr">
        <is>
          <t>draftkings</t>
        </is>
      </c>
      <c r="I355" s="4" t="n"/>
      <c r="J355" s="4" t="n"/>
      <c r="K355" s="4" t="n">
        <v>-137</v>
      </c>
      <c r="L355" s="4" t="n">
        <v>-137</v>
      </c>
      <c r="M355" s="5" t="n">
        <v>7.5</v>
      </c>
      <c r="N355" s="5" t="n">
        <v>6.747751627484196</v>
      </c>
      <c r="O355" s="5" t="n">
        <v>7.5</v>
      </c>
      <c r="P355" s="5" t="n">
        <v>0.7522483725158038</v>
      </c>
      <c r="Q355" s="6" t="n">
        <v>0.1006515868666042</v>
      </c>
      <c r="R355" s="6" t="n">
        <v>0.6362416346022143</v>
      </c>
      <c r="S355" s="6" t="n">
        <v>0.5483133218982277</v>
      </c>
      <c r="T355" s="2" t="inlineStr">
        <is>
          <t>Under</t>
        </is>
      </c>
      <c r="U355" s="4" t="n">
        <v>-137</v>
      </c>
      <c r="V355" s="2" t="n">
        <v>1.72992700729927</v>
      </c>
      <c r="W355" s="4" t="n">
        <v>-137</v>
      </c>
      <c r="X355" s="2" t="n">
        <v>1</v>
      </c>
      <c r="Y355" s="5" t="n">
        <v>-1</v>
      </c>
      <c r="Z355" s="7" t="n">
        <v>100</v>
      </c>
      <c r="AA355" s="7">
        <f>Y355*Z355</f>
        <v/>
      </c>
      <c r="AB355" s="6">
        <f>IF(Z355=0,0,AA355/Z355)</f>
        <v/>
      </c>
      <c r="AC355" s="6" t="n"/>
      <c r="AD355" s="2" t="inlineStr">
        <is>
          <t>Loss</t>
        </is>
      </c>
      <c r="AE355" s="6">
        <f>IF((COUNTIF($AD$2:AD355,"Win")+COUNTIF($AD$2:AD355,"Loss"))=0,0,COUNTIF($AD$2:AD355,"Win")/(COUNTIF($AD$2:AD355,"Win")+COUNTIF($AD$2:AD355,"Loss")))</f>
        <v/>
      </c>
      <c r="AF355" s="6">
        <f>SUM($Y$2:Y355)/SUM($X$2:X355)</f>
        <v/>
      </c>
      <c r="AG355" s="5">
        <f>SUM($Y$2:Y355)</f>
        <v/>
      </c>
      <c r="AH355" s="7">
        <f>10000.0+SUM($AA$2:AA355)</f>
        <v/>
      </c>
      <c r="AI355" s="2" t="n">
        <v>2025</v>
      </c>
      <c r="AJ355" s="2" t="inlineStr">
        <is>
          <t>2025-09</t>
        </is>
      </c>
      <c r="AK355" s="2" t="inlineStr">
        <is>
          <t>-149 to -120</t>
        </is>
      </c>
      <c r="AL355" s="2" t="inlineStr">
        <is>
          <t>2025 Validation</t>
        </is>
      </c>
      <c r="AM355" s="6" t="n">
        <v>0.1378926740072478</v>
      </c>
    </row>
    <row r="356">
      <c r="A356" s="2" t="inlineStr">
        <is>
          <t>KPROP-00355</t>
        </is>
      </c>
      <c r="B356" s="3" t="n">
        <v>45914.58724537037</v>
      </c>
      <c r="C356" s="3" t="n">
        <v>45914</v>
      </c>
      <c r="D356" s="2" t="inlineStr">
        <is>
          <t>Jose Quintana</t>
        </is>
      </c>
      <c r="E356" s="2" t="n">
        <v>158</v>
      </c>
      <c r="F356" s="2" t="n">
        <v>138</v>
      </c>
      <c r="G356" s="2" t="inlineStr">
        <is>
          <t>Home</t>
        </is>
      </c>
      <c r="H356" s="2" t="inlineStr">
        <is>
          <t>betmgm</t>
        </is>
      </c>
      <c r="I356" s="4" t="n"/>
      <c r="J356" s="4" t="n"/>
      <c r="K356" s="4" t="n">
        <v>-105</v>
      </c>
      <c r="L356" s="4" t="n">
        <v>-105</v>
      </c>
      <c r="M356" s="5" t="n">
        <v>4.5</v>
      </c>
      <c r="N356" s="5" t="n">
        <v>4.258807314410451</v>
      </c>
      <c r="O356" s="5" t="n">
        <v>4.5</v>
      </c>
      <c r="P356" s="5" t="n">
        <v>0.2411926855895485</v>
      </c>
      <c r="Q356" s="6" t="n">
        <v>0.1292785471881838</v>
      </c>
      <c r="R356" s="6" t="n">
        <v>0.5784109631939478</v>
      </c>
      <c r="S356" s="6" t="n">
        <v>0.4901832460732984</v>
      </c>
      <c r="T356" s="2" t="inlineStr">
        <is>
          <t>Under</t>
        </is>
      </c>
      <c r="U356" s="4" t="n">
        <v>-105</v>
      </c>
      <c r="V356" s="2" t="n">
        <v>1.952380952380952</v>
      </c>
      <c r="W356" s="4" t="n">
        <v>-105</v>
      </c>
      <c r="X356" s="2" t="n">
        <v>1</v>
      </c>
      <c r="Y356" s="5" t="n">
        <v>0.9523809523809523</v>
      </c>
      <c r="Z356" s="7" t="n">
        <v>100</v>
      </c>
      <c r="AA356" s="7">
        <f>Y356*Z356</f>
        <v/>
      </c>
      <c r="AB356" s="6">
        <f>IF(Z356=0,0,AA356/Z356)</f>
        <v/>
      </c>
      <c r="AC356" s="6" t="n"/>
      <c r="AD356" s="2" t="inlineStr">
        <is>
          <t>Win</t>
        </is>
      </c>
      <c r="AE356" s="6">
        <f>IF((COUNTIF($AD$2:AD356,"Win")+COUNTIF($AD$2:AD356,"Loss"))=0,0,COUNTIF($AD$2:AD356,"Win")/(COUNTIF($AD$2:AD356,"Win")+COUNTIF($AD$2:AD356,"Loss")))</f>
        <v/>
      </c>
      <c r="AF356" s="6">
        <f>SUM($Y$2:Y356)/SUM($X$2:X356)</f>
        <v/>
      </c>
      <c r="AG356" s="5">
        <f>SUM($Y$2:Y356)</f>
        <v/>
      </c>
      <c r="AH356" s="7">
        <f>10000.0+SUM($AA$2:AA356)</f>
        <v/>
      </c>
      <c r="AI356" s="2" t="n">
        <v>2025</v>
      </c>
      <c r="AJ356" s="2" t="inlineStr">
        <is>
          <t>2025-09</t>
        </is>
      </c>
      <c r="AK356" s="2" t="inlineStr">
        <is>
          <t>-119 to -101</t>
        </is>
      </c>
      <c r="AL356" s="2" t="inlineStr">
        <is>
          <t>2025 Validation</t>
        </is>
      </c>
      <c r="AM356" s="6" t="n">
        <v>0.135742474547593</v>
      </c>
    </row>
    <row r="357">
      <c r="A357" s="2" t="inlineStr">
        <is>
          <t>KPROP-00356</t>
        </is>
      </c>
      <c r="B357" s="3" t="n">
        <v>45914.66710648148</v>
      </c>
      <c r="C357" s="3" t="n">
        <v>45914</v>
      </c>
      <c r="D357" s="2" t="inlineStr">
        <is>
          <t>Nick Lodolo</t>
        </is>
      </c>
      <c r="E357" s="2" t="n">
        <v>113</v>
      </c>
      <c r="F357" s="2" t="n">
        <v>133</v>
      </c>
      <c r="G357" s="2" t="inlineStr">
        <is>
          <t>Away</t>
        </is>
      </c>
      <c r="H357" s="2" t="inlineStr">
        <is>
          <t>bovada</t>
        </is>
      </c>
      <c r="I357" s="4" t="n"/>
      <c r="J357" s="4" t="n"/>
      <c r="K357" s="4" t="n">
        <v>115</v>
      </c>
      <c r="L357" s="4" t="n">
        <v>115</v>
      </c>
      <c r="M357" s="5" t="n">
        <v>5.5</v>
      </c>
      <c r="N357" s="5" t="n">
        <v>5.392431475116279</v>
      </c>
      <c r="O357" s="5" t="n">
        <v>5.5</v>
      </c>
      <c r="P357" s="5" t="n">
        <v>0.107568524883721</v>
      </c>
      <c r="Q357" s="6" t="n">
        <v>0.1769970137177503</v>
      </c>
      <c r="R357" s="6" t="n">
        <v>0.5474404714966281</v>
      </c>
      <c r="S357" s="6" t="n">
        <v>0.4466313398940197</v>
      </c>
      <c r="T357" s="2" t="inlineStr">
        <is>
          <t>Under</t>
        </is>
      </c>
      <c r="U357" s="4" t="n">
        <v>115</v>
      </c>
      <c r="V357" s="2" t="n">
        <v>2.15</v>
      </c>
      <c r="W357" s="4" t="n">
        <v>115</v>
      </c>
      <c r="X357" s="2" t="n">
        <v>1</v>
      </c>
      <c r="Y357" s="5" t="n">
        <v>1.15</v>
      </c>
      <c r="Z357" s="7" t="n">
        <v>100</v>
      </c>
      <c r="AA357" s="7">
        <f>Y357*Z357</f>
        <v/>
      </c>
      <c r="AB357" s="6">
        <f>IF(Z357=0,0,AA357/Z357)</f>
        <v/>
      </c>
      <c r="AC357" s="6" t="n"/>
      <c r="AD357" s="2" t="inlineStr">
        <is>
          <t>Win</t>
        </is>
      </c>
      <c r="AE357" s="6">
        <f>IF((COUNTIF($AD$2:AD357,"Win")+COUNTIF($AD$2:AD357,"Loss"))=0,0,COUNTIF($AD$2:AD357,"Win")/(COUNTIF($AD$2:AD357,"Win")+COUNTIF($AD$2:AD357,"Loss")))</f>
        <v/>
      </c>
      <c r="AF357" s="6">
        <f>SUM($Y$2:Y357)/SUM($X$2:X357)</f>
        <v/>
      </c>
      <c r="AG357" s="5">
        <f>SUM($Y$2:Y357)</f>
        <v/>
      </c>
      <c r="AH357" s="7">
        <f>10000.0+SUM($AA$2:AA357)</f>
        <v/>
      </c>
      <c r="AI357" s="2" t="n">
        <v>2025</v>
      </c>
      <c r="AJ357" s="2" t="inlineStr">
        <is>
          <t>2025-09</t>
        </is>
      </c>
      <c r="AK357" s="2" t="inlineStr">
        <is>
          <t>+100 to +120</t>
        </is>
      </c>
      <c r="AL357" s="2" t="inlineStr">
        <is>
          <t>2025 Validation</t>
        </is>
      </c>
      <c r="AM357" s="6" t="n">
        <v>0.1539104467110873</v>
      </c>
    </row>
    <row r="358">
      <c r="A358" s="2" t="inlineStr">
        <is>
          <t>KPROP-00357</t>
        </is>
      </c>
      <c r="B358" s="3" t="n">
        <v>45914.66710648148</v>
      </c>
      <c r="C358" s="3" t="n">
        <v>45914</v>
      </c>
      <c r="D358" s="2" t="inlineStr">
        <is>
          <t>Nick Lodolo</t>
        </is>
      </c>
      <c r="E358" s="2" t="n">
        <v>113</v>
      </c>
      <c r="F358" s="2" t="n">
        <v>133</v>
      </c>
      <c r="G358" s="2" t="inlineStr">
        <is>
          <t>Away</t>
        </is>
      </c>
      <c r="H358" s="2" t="inlineStr">
        <is>
          <t>betrivers</t>
        </is>
      </c>
      <c r="I358" s="4" t="n"/>
      <c r="J358" s="4" t="n"/>
      <c r="K358" s="4" t="n">
        <v>-190</v>
      </c>
      <c r="L358" s="4" t="n">
        <v>-190</v>
      </c>
      <c r="M358" s="5" t="n">
        <v>6.5</v>
      </c>
      <c r="N358" s="5" t="n">
        <v>5.392431475116279</v>
      </c>
      <c r="O358" s="5" t="n">
        <v>6.5</v>
      </c>
      <c r="P358" s="5" t="n">
        <v>1.107568524883721</v>
      </c>
      <c r="Q358" s="6" t="n">
        <v>0.07276801415510853</v>
      </c>
      <c r="R358" s="6" t="n">
        <v>0.7028480092740367</v>
      </c>
      <c r="S358" s="6" t="n">
        <v>0.606245756958588</v>
      </c>
      <c r="T358" s="2" t="inlineStr">
        <is>
          <t>Under</t>
        </is>
      </c>
      <c r="U358" s="4" t="n">
        <v>-190</v>
      </c>
      <c r="V358" s="2" t="n">
        <v>1.526315789473684</v>
      </c>
      <c r="W358" s="4" t="n">
        <v>-190</v>
      </c>
      <c r="X358" s="2" t="n">
        <v>1</v>
      </c>
      <c r="Y358" s="5" t="n">
        <v>0.5263157894736841</v>
      </c>
      <c r="Z358" s="7" t="n">
        <v>100</v>
      </c>
      <c r="AA358" s="7">
        <f>Y358*Z358</f>
        <v/>
      </c>
      <c r="AB358" s="6">
        <f>IF(Z358=0,0,AA358/Z358)</f>
        <v/>
      </c>
      <c r="AC358" s="6" t="n"/>
      <c r="AD358" s="2" t="inlineStr">
        <is>
          <t>Win</t>
        </is>
      </c>
      <c r="AE358" s="6">
        <f>IF((COUNTIF($AD$2:AD358,"Win")+COUNTIF($AD$2:AD358,"Loss"))=0,0,COUNTIF($AD$2:AD358,"Win")/(COUNTIF($AD$2:AD358,"Win")+COUNTIF($AD$2:AD358,"Loss")))</f>
        <v/>
      </c>
      <c r="AF358" s="6">
        <f>SUM($Y$2:Y358)/SUM($X$2:X358)</f>
        <v/>
      </c>
      <c r="AG358" s="5">
        <f>SUM($Y$2:Y358)</f>
        <v/>
      </c>
      <c r="AH358" s="7">
        <f>10000.0+SUM($AA$2:AA358)</f>
        <v/>
      </c>
      <c r="AI358" s="2" t="n">
        <v>2025</v>
      </c>
      <c r="AJ358" s="2" t="inlineStr">
        <is>
          <t>2025-09</t>
        </is>
      </c>
      <c r="AK358" s="2" t="inlineStr">
        <is>
          <t>&lt;= -150</t>
        </is>
      </c>
      <c r="AL358" s="2" t="inlineStr">
        <is>
          <t>2025 Validation</t>
        </is>
      </c>
      <c r="AM358" s="6" t="n">
        <v>0.1382592268947062</v>
      </c>
    </row>
    <row r="359">
      <c r="A359" s="2" t="inlineStr">
        <is>
          <t>KPROP-00358</t>
        </is>
      </c>
      <c r="B359" s="3" t="n">
        <v>45914.66710648148</v>
      </c>
      <c r="C359" s="3" t="n">
        <v>45914</v>
      </c>
      <c r="D359" s="2" t="inlineStr">
        <is>
          <t>Robbie Ray</t>
        </is>
      </c>
      <c r="E359" s="2" t="n">
        <v>137</v>
      </c>
      <c r="F359" s="2" t="n">
        <v>119</v>
      </c>
      <c r="G359" s="2" t="inlineStr">
        <is>
          <t>Home</t>
        </is>
      </c>
      <c r="H359" s="2" t="inlineStr">
        <is>
          <t>fanduel</t>
        </is>
      </c>
      <c r="I359" s="4" t="n"/>
      <c r="J359" s="4" t="n"/>
      <c r="K359" s="4" t="n">
        <v>-112</v>
      </c>
      <c r="L359" s="4" t="n">
        <v>-112</v>
      </c>
      <c r="M359" s="5" t="n">
        <v>5.5</v>
      </c>
      <c r="N359" s="5" t="n">
        <v>4.918048709414628</v>
      </c>
      <c r="O359" s="5" t="n">
        <v>5.5</v>
      </c>
      <c r="P359" s="5" t="n">
        <v>0.5819512905853719</v>
      </c>
      <c r="Q359" s="6" t="n">
        <v>0.1931382470075891</v>
      </c>
      <c r="R359" s="6" t="n">
        <v>0.630337187098349</v>
      </c>
      <c r="S359" s="6" t="n">
        <v>0.5077399380804954</v>
      </c>
      <c r="T359" s="2" t="inlineStr">
        <is>
          <t>Under</t>
        </is>
      </c>
      <c r="U359" s="4" t="n">
        <v>-112</v>
      </c>
      <c r="V359" s="2" t="n">
        <v>1.892857142857143</v>
      </c>
      <c r="W359" s="4" t="n">
        <v>-112</v>
      </c>
      <c r="X359" s="2" t="n">
        <v>1</v>
      </c>
      <c r="Y359" s="5" t="n">
        <v>0.8928571428571428</v>
      </c>
      <c r="Z359" s="7" t="n">
        <v>100</v>
      </c>
      <c r="AA359" s="7">
        <f>Y359*Z359</f>
        <v/>
      </c>
      <c r="AB359" s="6">
        <f>IF(Z359=0,0,AA359/Z359)</f>
        <v/>
      </c>
      <c r="AC359" s="6" t="n"/>
      <c r="AD359" s="2" t="inlineStr">
        <is>
          <t>Win</t>
        </is>
      </c>
      <c r="AE359" s="6">
        <f>IF((COUNTIF($AD$2:AD359,"Win")+COUNTIF($AD$2:AD359,"Loss"))=0,0,COUNTIF($AD$2:AD359,"Win")/(COUNTIF($AD$2:AD359,"Win")+COUNTIF($AD$2:AD359,"Loss")))</f>
        <v/>
      </c>
      <c r="AF359" s="6">
        <f>SUM($Y$2:Y359)/SUM($X$2:X359)</f>
        <v/>
      </c>
      <c r="AG359" s="5">
        <f>SUM($Y$2:Y359)</f>
        <v/>
      </c>
      <c r="AH359" s="7">
        <f>10000.0+SUM($AA$2:AA359)</f>
        <v/>
      </c>
      <c r="AI359" s="2" t="n">
        <v>2025</v>
      </c>
      <c r="AJ359" s="2" t="inlineStr">
        <is>
          <t>2025-09</t>
        </is>
      </c>
      <c r="AK359" s="2" t="inlineStr">
        <is>
          <t>-119 to -101</t>
        </is>
      </c>
      <c r="AL359" s="2" t="inlineStr">
        <is>
          <t>2025 Validation</t>
        </is>
      </c>
      <c r="AM359" s="6" t="n">
        <v>0.2163148366484998</v>
      </c>
    </row>
    <row r="360">
      <c r="A360" s="2" t="inlineStr">
        <is>
          <t>KPROP-00359</t>
        </is>
      </c>
      <c r="B360" s="3" t="n">
        <v>45914.56641203703</v>
      </c>
      <c r="C360" s="3" t="n">
        <v>45914</v>
      </c>
      <c r="D360" s="2" t="inlineStr">
        <is>
          <t>Slade Cecconi</t>
        </is>
      </c>
      <c r="E360" s="2" t="n">
        <v>114</v>
      </c>
      <c r="F360" s="2" t="n">
        <v>145</v>
      </c>
      <c r="G360" s="2" t="inlineStr">
        <is>
          <t>Home</t>
        </is>
      </c>
      <c r="H360" s="2" t="inlineStr">
        <is>
          <t>betrivers</t>
        </is>
      </c>
      <c r="I360" s="4" t="n"/>
      <c r="J360" s="4" t="n"/>
      <c r="K360" s="4" t="n">
        <v>114</v>
      </c>
      <c r="L360" s="4" t="n">
        <v>114</v>
      </c>
      <c r="M360" s="5" t="n">
        <v>4.5</v>
      </c>
      <c r="N360" s="5" t="n">
        <v>4.641872321650463</v>
      </c>
      <c r="O360" s="5" t="n">
        <v>4.5</v>
      </c>
      <c r="P360" s="5" t="n">
        <v>-0.1418723216504629</v>
      </c>
      <c r="Q360" s="6" t="n">
        <v>0.08156373346494374</v>
      </c>
      <c r="R360" s="6" t="n">
        <v>0.5054036137686654</v>
      </c>
      <c r="S360" s="6" t="n">
        <v>0.4568527918781726</v>
      </c>
      <c r="T360" s="2" t="inlineStr">
        <is>
          <t>Under</t>
        </is>
      </c>
      <c r="U360" s="4" t="n">
        <v>114</v>
      </c>
      <c r="V360" s="2" t="n">
        <v>2.14</v>
      </c>
      <c r="W360" s="4" t="n">
        <v>114</v>
      </c>
      <c r="X360" s="2" t="n">
        <v>1</v>
      </c>
      <c r="Y360" s="5" t="n">
        <v>1.14</v>
      </c>
      <c r="Z360" s="7" t="n">
        <v>100</v>
      </c>
      <c r="AA360" s="7">
        <f>Y360*Z360</f>
        <v/>
      </c>
      <c r="AB360" s="6">
        <f>IF(Z360=0,0,AA360/Z360)</f>
        <v/>
      </c>
      <c r="AC360" s="6" t="n"/>
      <c r="AD360" s="2" t="inlineStr">
        <is>
          <t>Win</t>
        </is>
      </c>
      <c r="AE360" s="6">
        <f>IF((COUNTIF($AD$2:AD360,"Win")+COUNTIF($AD$2:AD360,"Loss"))=0,0,COUNTIF($AD$2:AD360,"Win")/(COUNTIF($AD$2:AD360,"Win")+COUNTIF($AD$2:AD360,"Loss")))</f>
        <v/>
      </c>
      <c r="AF360" s="6">
        <f>SUM($Y$2:Y360)/SUM($X$2:X360)</f>
        <v/>
      </c>
      <c r="AG360" s="5">
        <f>SUM($Y$2:Y360)</f>
        <v/>
      </c>
      <c r="AH360" s="7">
        <f>10000.0+SUM($AA$2:AA360)</f>
        <v/>
      </c>
      <c r="AI360" s="2" t="n">
        <v>2025</v>
      </c>
      <c r="AJ360" s="2" t="inlineStr">
        <is>
          <t>2025-09</t>
        </is>
      </c>
      <c r="AK360" s="2" t="inlineStr">
        <is>
          <t>+100 to +120</t>
        </is>
      </c>
      <c r="AL360" s="2" t="inlineStr">
        <is>
          <t>2025 Validation</t>
        </is>
      </c>
      <c r="AM360" s="6" t="n">
        <v>0.0715471346183717</v>
      </c>
    </row>
    <row r="361">
      <c r="A361" s="2" t="inlineStr">
        <is>
          <t>KPROP-00360</t>
        </is>
      </c>
      <c r="B361" s="3" t="n">
        <v>45914.66710648148</v>
      </c>
      <c r="C361" s="3" t="n">
        <v>45914</v>
      </c>
      <c r="D361" s="2" t="inlineStr">
        <is>
          <t>Tyler Glasnow</t>
        </is>
      </c>
      <c r="E361" s="2" t="n">
        <v>119</v>
      </c>
      <c r="F361" s="2" t="n">
        <v>137</v>
      </c>
      <c r="G361" s="2" t="inlineStr">
        <is>
          <t>Away</t>
        </is>
      </c>
      <c r="H361" s="2" t="inlineStr">
        <is>
          <t>betmgm</t>
        </is>
      </c>
      <c r="I361" s="4" t="n"/>
      <c r="J361" s="4" t="n"/>
      <c r="K361" s="4" t="n">
        <v>125</v>
      </c>
      <c r="L361" s="4" t="n">
        <v>125</v>
      </c>
      <c r="M361" s="5" t="n">
        <v>6.5</v>
      </c>
      <c r="N361" s="5" t="n">
        <v>6.22767223270912</v>
      </c>
      <c r="O361" s="5" t="n">
        <v>6.5</v>
      </c>
      <c r="P361" s="5" t="n">
        <v>0.2723277672908804</v>
      </c>
      <c r="Q361" s="6" t="n">
        <v>0.282016172603708</v>
      </c>
      <c r="R361" s="6" t="n">
        <v>0.569784965601648</v>
      </c>
      <c r="S361" s="6" t="n">
        <v>0.4444444444444444</v>
      </c>
      <c r="T361" s="2" t="inlineStr">
        <is>
          <t>Under</t>
        </is>
      </c>
      <c r="U361" s="4" t="n">
        <v>125</v>
      </c>
      <c r="V361" s="2" t="n">
        <v>2.25</v>
      </c>
      <c r="W361" s="4" t="n">
        <v>125</v>
      </c>
      <c r="X361" s="2" t="n">
        <v>1</v>
      </c>
      <c r="Y361" s="5" t="n">
        <v>1.25</v>
      </c>
      <c r="Z361" s="7" t="n">
        <v>100</v>
      </c>
      <c r="AA361" s="7">
        <f>Y361*Z361</f>
        <v/>
      </c>
      <c r="AB361" s="6">
        <f>IF(Z361=0,0,AA361/Z361)</f>
        <v/>
      </c>
      <c r="AC361" s="6" t="n"/>
      <c r="AD361" s="2" t="inlineStr">
        <is>
          <t>Win</t>
        </is>
      </c>
      <c r="AE361" s="6">
        <f>IF((COUNTIF($AD$2:AD361,"Win")+COUNTIF($AD$2:AD361,"Loss"))=0,0,COUNTIF($AD$2:AD361,"Win")/(COUNTIF($AD$2:AD361,"Win")+COUNTIF($AD$2:AD361,"Loss")))</f>
        <v/>
      </c>
      <c r="AF361" s="6">
        <f>SUM($Y$2:Y361)/SUM($X$2:X361)</f>
        <v/>
      </c>
      <c r="AG361" s="5">
        <f>SUM($Y$2:Y361)</f>
        <v/>
      </c>
      <c r="AH361" s="7">
        <f>10000.0+SUM($AA$2:AA361)</f>
        <v/>
      </c>
      <c r="AI361" s="2" t="n">
        <v>2025</v>
      </c>
      <c r="AJ361" s="2" t="inlineStr">
        <is>
          <t>2025-09</t>
        </is>
      </c>
      <c r="AK361" s="2" t="inlineStr">
        <is>
          <t>+121 to +150</t>
        </is>
      </c>
      <c r="AL361" s="2" t="inlineStr">
        <is>
          <t>2025 Validation</t>
        </is>
      </c>
      <c r="AM361" s="6" t="n">
        <v>0.2256129380829664</v>
      </c>
    </row>
    <row r="362">
      <c r="A362" s="2" t="inlineStr">
        <is>
          <t>KPROP-00361</t>
        </is>
      </c>
      <c r="B362" s="3" t="n">
        <v>45914.66710648148</v>
      </c>
      <c r="C362" s="3" t="n">
        <v>45914</v>
      </c>
      <c r="D362" s="2" t="inlineStr">
        <is>
          <t>Tyler Glasnow</t>
        </is>
      </c>
      <c r="E362" s="2" t="n">
        <v>119</v>
      </c>
      <c r="F362" s="2" t="n">
        <v>137</v>
      </c>
      <c r="G362" s="2" t="inlineStr">
        <is>
          <t>Away</t>
        </is>
      </c>
      <c r="H362" s="2" t="inlineStr">
        <is>
          <t>betrivers</t>
        </is>
      </c>
      <c r="I362" s="4" t="n"/>
      <c r="J362" s="4" t="n"/>
      <c r="K362" s="4" t="n">
        <v>-195</v>
      </c>
      <c r="L362" s="4" t="n">
        <v>-195</v>
      </c>
      <c r="M362" s="5" t="n">
        <v>7.5</v>
      </c>
      <c r="N362" s="5" t="n">
        <v>6.22767223270912</v>
      </c>
      <c r="O362" s="5" t="n">
        <v>7.5</v>
      </c>
      <c r="P362" s="5" t="n">
        <v>1.27232776729088</v>
      </c>
      <c r="Q362" s="6" t="n">
        <v>0.07725729223557132</v>
      </c>
      <c r="R362" s="6" t="n">
        <v>0.7120853287658861</v>
      </c>
      <c r="S362" s="6" t="n">
        <v>0.6133682830930537</v>
      </c>
      <c r="T362" s="2" t="inlineStr">
        <is>
          <t>Under</t>
        </is>
      </c>
      <c r="U362" s="4" t="n">
        <v>-195</v>
      </c>
      <c r="V362" s="2" t="n">
        <v>1.512820512820513</v>
      </c>
      <c r="W362" s="4" t="n">
        <v>-195</v>
      </c>
      <c r="X362" s="2" t="n">
        <v>1</v>
      </c>
      <c r="Y362" s="5" t="n">
        <v>0.5128205128205128</v>
      </c>
      <c r="Z362" s="7" t="n">
        <v>100</v>
      </c>
      <c r="AA362" s="7">
        <f>Y362*Z362</f>
        <v/>
      </c>
      <c r="AB362" s="6">
        <f>IF(Z362=0,0,AA362/Z362)</f>
        <v/>
      </c>
      <c r="AC362" s="6" t="n"/>
      <c r="AD362" s="2" t="inlineStr">
        <is>
          <t>Win</t>
        </is>
      </c>
      <c r="AE362" s="6">
        <f>IF((COUNTIF($AD$2:AD362,"Win")+COUNTIF($AD$2:AD362,"Loss"))=0,0,COUNTIF($AD$2:AD362,"Win")/(COUNTIF($AD$2:AD362,"Win")+COUNTIF($AD$2:AD362,"Loss")))</f>
        <v/>
      </c>
      <c r="AF362" s="6">
        <f>SUM($Y$2:Y362)/SUM($X$2:X362)</f>
        <v/>
      </c>
      <c r="AG362" s="5">
        <f>SUM($Y$2:Y362)</f>
        <v/>
      </c>
      <c r="AH362" s="7">
        <f>10000.0+SUM($AA$2:AA362)</f>
        <v/>
      </c>
      <c r="AI362" s="2" t="n">
        <v>2025</v>
      </c>
      <c r="AJ362" s="2" t="inlineStr">
        <is>
          <t>2025-09</t>
        </is>
      </c>
      <c r="AK362" s="2" t="inlineStr">
        <is>
          <t>&lt;= -150</t>
        </is>
      </c>
      <c r="AL362" s="2" t="inlineStr">
        <is>
          <t>2025 Validation</t>
        </is>
      </c>
      <c r="AM362" s="6" t="n">
        <v>0.1506517198593641</v>
      </c>
    </row>
    <row r="363">
      <c r="A363" s="2" t="inlineStr">
        <is>
          <t>KPROP-00362</t>
        </is>
      </c>
      <c r="B363" s="3" t="n">
        <v>45914.67057870371</v>
      </c>
      <c r="C363" s="3" t="n">
        <v>45914</v>
      </c>
      <c r="D363" s="2" t="inlineStr">
        <is>
          <t>Yu Darvish</t>
        </is>
      </c>
      <c r="E363" s="2" t="n">
        <v>135</v>
      </c>
      <c r="F363" s="2" t="n">
        <v>115</v>
      </c>
      <c r="G363" s="2" t="inlineStr">
        <is>
          <t>Home</t>
        </is>
      </c>
      <c r="H363" s="2" t="inlineStr">
        <is>
          <t>fanduel</t>
        </is>
      </c>
      <c r="I363" s="4" t="n"/>
      <c r="J363" s="4" t="n"/>
      <c r="K363" s="4" t="n">
        <v>-138</v>
      </c>
      <c r="L363" s="4" t="n">
        <v>-138</v>
      </c>
      <c r="M363" s="5" t="n">
        <v>6.5</v>
      </c>
      <c r="N363" s="5" t="n">
        <v>5.623535249205717</v>
      </c>
      <c r="O363" s="5" t="n">
        <v>6.5</v>
      </c>
      <c r="P363" s="5" t="n">
        <v>0.8764647507942831</v>
      </c>
      <c r="Q363" s="6" t="n">
        <v>0.1495172674968617</v>
      </c>
      <c r="R363" s="6" t="n">
        <v>0.6665268189687685</v>
      </c>
      <c r="S363" s="6" t="n">
        <v>0.5660893345487694</v>
      </c>
      <c r="T363" s="2" t="inlineStr">
        <is>
          <t>Under</t>
        </is>
      </c>
      <c r="U363" s="4" t="n">
        <v>-138</v>
      </c>
      <c r="V363" s="2" t="n">
        <v>1.72463768115942</v>
      </c>
      <c r="W363" s="4" t="n">
        <v>-138</v>
      </c>
      <c r="X363" s="2" t="n">
        <v>1</v>
      </c>
      <c r="Y363" s="5" t="n">
        <v>0.7246376811594204</v>
      </c>
      <c r="Z363" s="7" t="n">
        <v>100</v>
      </c>
      <c r="AA363" s="7">
        <f>Y363*Z363</f>
        <v/>
      </c>
      <c r="AB363" s="6">
        <f>IF(Z363=0,0,AA363/Z363)</f>
        <v/>
      </c>
      <c r="AC363" s="6" t="n"/>
      <c r="AD363" s="2" t="inlineStr">
        <is>
          <t>Win</t>
        </is>
      </c>
      <c r="AE363" s="6">
        <f>IF((COUNTIF($AD$2:AD363,"Win")+COUNTIF($AD$2:AD363,"Loss"))=0,0,COUNTIF($AD$2:AD363,"Win")/(COUNTIF($AD$2:AD363,"Win")+COUNTIF($AD$2:AD363,"Loss")))</f>
        <v/>
      </c>
      <c r="AF363" s="6">
        <f>SUM($Y$2:Y363)/SUM($X$2:X363)</f>
        <v/>
      </c>
      <c r="AG363" s="5">
        <f>SUM($Y$2:Y363)</f>
        <v/>
      </c>
      <c r="AH363" s="7">
        <f>10000.0+SUM($AA$2:AA363)</f>
        <v/>
      </c>
      <c r="AI363" s="2" t="n">
        <v>2025</v>
      </c>
      <c r="AJ363" s="2" t="inlineStr">
        <is>
          <t>2025-09</t>
        </is>
      </c>
      <c r="AK363" s="2" t="inlineStr">
        <is>
          <t>-149 to -120</t>
        </is>
      </c>
      <c r="AL363" s="2" t="inlineStr">
        <is>
          <t>2025 Validation</t>
        </is>
      </c>
      <c r="AM363" s="6" t="n">
        <v>0.2063338291456691</v>
      </c>
    </row>
    <row r="364">
      <c r="A364" s="2" t="inlineStr">
        <is>
          <t>KPROP-00363</t>
        </is>
      </c>
      <c r="B364" s="3" t="n">
        <v>45915.78170138889</v>
      </c>
      <c r="C364" s="3" t="n">
        <v>45915</v>
      </c>
      <c r="D364" s="2" t="inlineStr">
        <is>
          <t>Spencer Strider</t>
        </is>
      </c>
      <c r="E364" s="2" t="n">
        <v>144</v>
      </c>
      <c r="F364" s="2" t="n">
        <v>120</v>
      </c>
      <c r="G364" s="2" t="inlineStr">
        <is>
          <t>Away</t>
        </is>
      </c>
      <c r="H364" s="2" t="inlineStr">
        <is>
          <t>betmgm</t>
        </is>
      </c>
      <c r="I364" s="4" t="n"/>
      <c r="J364" s="4" t="n"/>
      <c r="K364" s="4" t="n">
        <v>-135</v>
      </c>
      <c r="L364" s="4" t="n">
        <v>-135</v>
      </c>
      <c r="M364" s="5" t="n">
        <v>6.5</v>
      </c>
      <c r="N364" s="5" t="n">
        <v>5.938346898013477</v>
      </c>
      <c r="O364" s="5" t="n">
        <v>6.5</v>
      </c>
      <c r="P364" s="5" t="n">
        <v>0.561653101986523</v>
      </c>
      <c r="Q364" s="6" t="n">
        <v>0.07265253260903554</v>
      </c>
      <c r="R364" s="6" t="n">
        <v>0.6162046463924247</v>
      </c>
      <c r="S364" s="6" t="n">
        <v>0.5560173814471944</v>
      </c>
      <c r="T364" s="2" t="inlineStr">
        <is>
          <t>Under</t>
        </is>
      </c>
      <c r="U364" s="4" t="n">
        <v>-135</v>
      </c>
      <c r="V364" s="2" t="n">
        <v>1.740740740740741</v>
      </c>
      <c r="W364" s="4" t="n">
        <v>-135</v>
      </c>
      <c r="X364" s="2" t="n">
        <v>1</v>
      </c>
      <c r="Y364" s="5" t="n">
        <v>0.7407407407407407</v>
      </c>
      <c r="Z364" s="7" t="n">
        <v>100</v>
      </c>
      <c r="AA364" s="7">
        <f>Y364*Z364</f>
        <v/>
      </c>
      <c r="AB364" s="6">
        <f>IF(Z364=0,0,AA364/Z364)</f>
        <v/>
      </c>
      <c r="AC364" s="6" t="n"/>
      <c r="AD364" s="2" t="inlineStr">
        <is>
          <t>Win</t>
        </is>
      </c>
      <c r="AE364" s="6">
        <f>IF((COUNTIF($AD$2:AD364,"Win")+COUNTIF($AD$2:AD364,"Loss"))=0,0,COUNTIF($AD$2:AD364,"Win")/(COUNTIF($AD$2:AD364,"Win")+COUNTIF($AD$2:AD364,"Loss")))</f>
        <v/>
      </c>
      <c r="AF364" s="6">
        <f>SUM($Y$2:Y364)/SUM($X$2:X364)</f>
        <v/>
      </c>
      <c r="AG364" s="5">
        <f>SUM($Y$2:Y364)</f>
        <v/>
      </c>
      <c r="AH364" s="7">
        <f>10000.0+SUM($AA$2:AA364)</f>
        <v/>
      </c>
      <c r="AI364" s="2" t="n">
        <v>2025</v>
      </c>
      <c r="AJ364" s="2" t="inlineStr">
        <is>
          <t>2025-09</t>
        </is>
      </c>
      <c r="AK364" s="2" t="inlineStr">
        <is>
          <t>-149 to -120</t>
        </is>
      </c>
      <c r="AL364" s="2" t="inlineStr">
        <is>
          <t>2025 Validation</t>
        </is>
      </c>
      <c r="AM364" s="6" t="n">
        <v>0.09808091902219798</v>
      </c>
    </row>
    <row r="365">
      <c r="A365" s="2" t="inlineStr">
        <is>
          <t>KPROP-00364</t>
        </is>
      </c>
      <c r="B365" s="3" t="n">
        <v>45916.77822916667</v>
      </c>
      <c r="C365" s="3" t="n">
        <v>45916</v>
      </c>
      <c r="D365" s="2" t="inlineStr">
        <is>
          <t>Chris Sale</t>
        </is>
      </c>
      <c r="E365" s="2" t="n">
        <v>144</v>
      </c>
      <c r="F365" s="2" t="n">
        <v>120</v>
      </c>
      <c r="G365" s="2" t="inlineStr">
        <is>
          <t>Away</t>
        </is>
      </c>
      <c r="H365" s="2" t="inlineStr">
        <is>
          <t>fanduel</t>
        </is>
      </c>
      <c r="I365" s="4" t="n"/>
      <c r="J365" s="4" t="n"/>
      <c r="K365" s="4" t="n">
        <v>102</v>
      </c>
      <c r="L365" s="4" t="n">
        <v>102</v>
      </c>
      <c r="M365" s="5" t="n">
        <v>8.5</v>
      </c>
      <c r="N365" s="5" t="n">
        <v>7.438604479855251</v>
      </c>
      <c r="O365" s="5" t="n">
        <v>8.5</v>
      </c>
      <c r="P365" s="5" t="n">
        <v>1.061395520144749</v>
      </c>
      <c r="Q365" s="6" t="n">
        <v>0.3541685979979623</v>
      </c>
      <c r="R365" s="6" t="n">
        <v>0.6703804940583972</v>
      </c>
      <c r="S365" s="6" t="n">
        <v>0.4796589092201101</v>
      </c>
      <c r="T365" s="2" t="inlineStr">
        <is>
          <t>Under</t>
        </is>
      </c>
      <c r="U365" s="4" t="n">
        <v>102</v>
      </c>
      <c r="V365" s="2" t="n">
        <v>2.02</v>
      </c>
      <c r="W365" s="4" t="n">
        <v>102</v>
      </c>
      <c r="X365" s="2" t="n">
        <v>1</v>
      </c>
      <c r="Y365" s="5" t="n">
        <v>-1</v>
      </c>
      <c r="Z365" s="7" t="n">
        <v>100</v>
      </c>
      <c r="AA365" s="7">
        <f>Y365*Z365</f>
        <v/>
      </c>
      <c r="AB365" s="6">
        <f>IF(Z365=0,0,AA365/Z365)</f>
        <v/>
      </c>
      <c r="AC365" s="6" t="n"/>
      <c r="AD365" s="2" t="inlineStr">
        <is>
          <t>Loss</t>
        </is>
      </c>
      <c r="AE365" s="6">
        <f>IF((COUNTIF($AD$2:AD365,"Win")+COUNTIF($AD$2:AD365,"Loss"))=0,0,COUNTIF($AD$2:AD365,"Win")/(COUNTIF($AD$2:AD365,"Win")+COUNTIF($AD$2:AD365,"Loss")))</f>
        <v/>
      </c>
      <c r="AF365" s="6">
        <f>SUM($Y$2:Y365)/SUM($X$2:X365)</f>
        <v/>
      </c>
      <c r="AG365" s="5">
        <f>SUM($Y$2:Y365)</f>
        <v/>
      </c>
      <c r="AH365" s="7">
        <f>10000.0+SUM($AA$2:AA365)</f>
        <v/>
      </c>
      <c r="AI365" s="2" t="n">
        <v>2025</v>
      </c>
      <c r="AJ365" s="2" t="inlineStr">
        <is>
          <t>2025-09</t>
        </is>
      </c>
      <c r="AK365" s="2" t="inlineStr">
        <is>
          <t>+100 to +120</t>
        </is>
      </c>
      <c r="AL365" s="2" t="inlineStr">
        <is>
          <t>2025 Validation</t>
        </is>
      </c>
      <c r="AM365" s="6" t="n">
        <v>0.3472241156842767</v>
      </c>
    </row>
    <row r="366">
      <c r="A366" s="2" t="inlineStr">
        <is>
          <t>KPROP-00365</t>
        </is>
      </c>
      <c r="B366" s="3" t="n">
        <v>45916.81989583333</v>
      </c>
      <c r="C366" s="3" t="n">
        <v>45916</v>
      </c>
      <c r="D366" s="2" t="inlineStr">
        <is>
          <t>Dean Kremer</t>
        </is>
      </c>
      <c r="E366" s="2" t="n">
        <v>110</v>
      </c>
      <c r="F366" s="2" t="n">
        <v>145</v>
      </c>
      <c r="G366" s="2" t="inlineStr">
        <is>
          <t>Away</t>
        </is>
      </c>
      <c r="H366" s="2" t="inlineStr">
        <is>
          <t>betmgm</t>
        </is>
      </c>
      <c r="I366" s="4" t="n"/>
      <c r="J366" s="4" t="n"/>
      <c r="K366" s="4" t="n">
        <v>-125</v>
      </c>
      <c r="L366" s="4" t="n">
        <v>-125</v>
      </c>
      <c r="M366" s="5" t="n">
        <v>4.5</v>
      </c>
      <c r="N366" s="5" t="n">
        <v>4.021986288234957</v>
      </c>
      <c r="O366" s="5" t="n">
        <v>4.5</v>
      </c>
      <c r="P366" s="5" t="n">
        <v>0.4780137117650431</v>
      </c>
      <c r="Q366" s="6" t="n">
        <v>0.1241749346391329</v>
      </c>
      <c r="R366" s="6" t="n">
        <v>0.6245416303550738</v>
      </c>
      <c r="S366" s="6" t="n">
        <v>0.5336787564766839</v>
      </c>
      <c r="T366" s="2" t="inlineStr">
        <is>
          <t>Under</t>
        </is>
      </c>
      <c r="U366" s="4" t="n">
        <v>-125</v>
      </c>
      <c r="V366" s="2" t="n">
        <v>1.8</v>
      </c>
      <c r="W366" s="4" t="n">
        <v>-125</v>
      </c>
      <c r="X366" s="2" t="n">
        <v>1</v>
      </c>
      <c r="Y366" s="5" t="n">
        <v>0.8</v>
      </c>
      <c r="Z366" s="7" t="n">
        <v>100</v>
      </c>
      <c r="AA366" s="7">
        <f>Y366*Z366</f>
        <v/>
      </c>
      <c r="AB366" s="6">
        <f>IF(Z366=0,0,AA366/Z366)</f>
        <v/>
      </c>
      <c r="AC366" s="6" t="n"/>
      <c r="AD366" s="2" t="inlineStr">
        <is>
          <t>Win</t>
        </is>
      </c>
      <c r="AE366" s="6">
        <f>IF((COUNTIF($AD$2:AD366,"Win")+COUNTIF($AD$2:AD366,"Loss"))=0,0,COUNTIF($AD$2:AD366,"Win")/(COUNTIF($AD$2:AD366,"Win")+COUNTIF($AD$2:AD366,"Loss")))</f>
        <v/>
      </c>
      <c r="AF366" s="6">
        <f>SUM($Y$2:Y366)/SUM($X$2:X366)</f>
        <v/>
      </c>
      <c r="AG366" s="5">
        <f>SUM($Y$2:Y366)</f>
        <v/>
      </c>
      <c r="AH366" s="7">
        <f>10000.0+SUM($AA$2:AA366)</f>
        <v/>
      </c>
      <c r="AI366" s="2" t="n">
        <v>2025</v>
      </c>
      <c r="AJ366" s="2" t="inlineStr">
        <is>
          <t>2025-09</t>
        </is>
      </c>
      <c r="AK366" s="2" t="inlineStr">
        <is>
          <t>-149 to -120</t>
        </is>
      </c>
      <c r="AL366" s="2" t="inlineStr">
        <is>
          <t>2025 Validation</t>
        </is>
      </c>
      <c r="AM366" s="6" t="n">
        <v>0.1552186682989161</v>
      </c>
    </row>
    <row r="367">
      <c r="A367" s="2" t="inlineStr">
        <is>
          <t>KPROP-00366</t>
        </is>
      </c>
      <c r="B367" s="3" t="n">
        <v>45916.81989583333</v>
      </c>
      <c r="C367" s="3" t="n">
        <v>45916</v>
      </c>
      <c r="D367" s="2" t="inlineStr">
        <is>
          <t>Logan Gilbert</t>
        </is>
      </c>
      <c r="E367" s="2" t="n">
        <v>136</v>
      </c>
      <c r="F367" s="2" t="n">
        <v>118</v>
      </c>
      <c r="G367" s="2" t="inlineStr">
        <is>
          <t>Away</t>
        </is>
      </c>
      <c r="H367" s="2" t="inlineStr">
        <is>
          <t>betmgm</t>
        </is>
      </c>
      <c r="I367" s="4" t="n"/>
      <c r="J367" s="4" t="n"/>
      <c r="K367" s="4" t="n">
        <v>110</v>
      </c>
      <c r="L367" s="4" t="n">
        <v>110</v>
      </c>
      <c r="M367" s="5" t="n">
        <v>5.5</v>
      </c>
      <c r="N367" s="5" t="n">
        <v>5.246645187301299</v>
      </c>
      <c r="O367" s="5" t="n">
        <v>5.5</v>
      </c>
      <c r="P367" s="5" t="n">
        <v>0.2533548126987011</v>
      </c>
      <c r="Q367" s="6" t="n">
        <v>0.2028127533045465</v>
      </c>
      <c r="R367" s="6" t="n">
        <v>0.5727679777640697</v>
      </c>
      <c r="S367" s="6" t="n">
        <v>0.4719894133215704</v>
      </c>
      <c r="T367" s="2" t="inlineStr">
        <is>
          <t>Under</t>
        </is>
      </c>
      <c r="U367" s="4" t="n">
        <v>110</v>
      </c>
      <c r="V367" s="2" t="n">
        <v>2.1</v>
      </c>
      <c r="W367" s="4" t="n">
        <v>110</v>
      </c>
      <c r="X367" s="2" t="n">
        <v>1</v>
      </c>
      <c r="Y367" s="5" t="n">
        <v>1.1</v>
      </c>
      <c r="Z367" s="7" t="n">
        <v>100</v>
      </c>
      <c r="AA367" s="7">
        <f>Y367*Z367</f>
        <v/>
      </c>
      <c r="AB367" s="6">
        <f>IF(Z367=0,0,AA367/Z367)</f>
        <v/>
      </c>
      <c r="AC367" s="6" t="n"/>
      <c r="AD367" s="2" t="inlineStr">
        <is>
          <t>Win</t>
        </is>
      </c>
      <c r="AE367" s="6">
        <f>IF((COUNTIF($AD$2:AD367,"Win")+COUNTIF($AD$2:AD367,"Loss"))=0,0,COUNTIF($AD$2:AD367,"Win")/(COUNTIF($AD$2:AD367,"Win")+COUNTIF($AD$2:AD367,"Loss")))</f>
        <v/>
      </c>
      <c r="AF367" s="6">
        <f>SUM($Y$2:Y367)/SUM($X$2:X367)</f>
        <v/>
      </c>
      <c r="AG367" s="5">
        <f>SUM($Y$2:Y367)</f>
        <v/>
      </c>
      <c r="AH367" s="7">
        <f>10000.0+SUM($AA$2:AA367)</f>
        <v/>
      </c>
      <c r="AI367" s="2" t="n">
        <v>2025</v>
      </c>
      <c r="AJ367" s="2" t="inlineStr">
        <is>
          <t>2025-09</t>
        </is>
      </c>
      <c r="AK367" s="2" t="inlineStr">
        <is>
          <t>+100 to +120</t>
        </is>
      </c>
      <c r="AL367" s="2" t="inlineStr">
        <is>
          <t>2025 Validation</t>
        </is>
      </c>
      <c r="AM367" s="6" t="n">
        <v>0.1843752302768605</v>
      </c>
    </row>
    <row r="368">
      <c r="A368" s="2" t="inlineStr">
        <is>
          <t>KPROP-00367</t>
        </is>
      </c>
      <c r="B368" s="3" t="n">
        <v>45916.77822916667</v>
      </c>
      <c r="C368" s="3" t="n">
        <v>45916</v>
      </c>
      <c r="D368" s="2" t="inlineStr">
        <is>
          <t>MacKenzie Gore</t>
        </is>
      </c>
      <c r="E368" s="2" t="n">
        <v>120</v>
      </c>
      <c r="F368" s="2" t="n">
        <v>144</v>
      </c>
      <c r="G368" s="2" t="inlineStr">
        <is>
          <t>Home</t>
        </is>
      </c>
      <c r="H368" s="2" t="inlineStr">
        <is>
          <t>fanatics</t>
        </is>
      </c>
      <c r="I368" s="4" t="n"/>
      <c r="J368" s="4" t="n"/>
      <c r="K368" s="4" t="n">
        <v>-125</v>
      </c>
      <c r="L368" s="4" t="n">
        <v>-125</v>
      </c>
      <c r="M368" s="5" t="n">
        <v>5.5</v>
      </c>
      <c r="N368" s="5" t="n">
        <v>4.953003549713075</v>
      </c>
      <c r="O368" s="5" t="n">
        <v>5.5</v>
      </c>
      <c r="P368" s="5" t="n">
        <v>0.5469964502869251</v>
      </c>
      <c r="Q368" s="6" t="n">
        <v>0.1235714991389472</v>
      </c>
      <c r="R368" s="6" t="n">
        <v>0.6242063884105262</v>
      </c>
      <c r="S368" s="6" t="n">
        <v>0.5431472081218274</v>
      </c>
      <c r="T368" s="2" t="inlineStr">
        <is>
          <t>Under</t>
        </is>
      </c>
      <c r="U368" s="4" t="n">
        <v>-125</v>
      </c>
      <c r="V368" s="2" t="n">
        <v>1.8</v>
      </c>
      <c r="W368" s="4" t="n">
        <v>-125</v>
      </c>
      <c r="X368" s="2" t="n">
        <v>1</v>
      </c>
      <c r="Y368" s="5" t="n">
        <v>0.8</v>
      </c>
      <c r="Z368" s="7" t="n">
        <v>100</v>
      </c>
      <c r="AA368" s="7">
        <f>Y368*Z368</f>
        <v/>
      </c>
      <c r="AB368" s="6">
        <f>IF(Z368=0,0,AA368/Z368)</f>
        <v/>
      </c>
      <c r="AC368" s="6" t="n"/>
      <c r="AD368" s="2" t="inlineStr">
        <is>
          <t>Win</t>
        </is>
      </c>
      <c r="AE368" s="6">
        <f>IF((COUNTIF($AD$2:AD368,"Win")+COUNTIF($AD$2:AD368,"Loss"))=0,0,COUNTIF($AD$2:AD368,"Win")/(COUNTIF($AD$2:AD368,"Win")+COUNTIF($AD$2:AD368,"Loss")))</f>
        <v/>
      </c>
      <c r="AF368" s="6">
        <f>SUM($Y$2:Y368)/SUM($X$2:X368)</f>
        <v/>
      </c>
      <c r="AG368" s="5">
        <f>SUM($Y$2:Y368)</f>
        <v/>
      </c>
      <c r="AH368" s="7">
        <f>10000.0+SUM($AA$2:AA368)</f>
        <v/>
      </c>
      <c r="AI368" s="2" t="n">
        <v>2025</v>
      </c>
      <c r="AJ368" s="2" t="inlineStr">
        <is>
          <t>2025-09</t>
        </is>
      </c>
      <c r="AK368" s="2" t="inlineStr">
        <is>
          <t>-149 to -120</t>
        </is>
      </c>
      <c r="AL368" s="2" t="inlineStr">
        <is>
          <t>2025 Validation</t>
        </is>
      </c>
      <c r="AM368" s="6" t="n">
        <v>0.154464373923684</v>
      </c>
    </row>
    <row r="369">
      <c r="A369" s="2" t="inlineStr">
        <is>
          <t>KPROP-00368</t>
        </is>
      </c>
      <c r="B369" s="3" t="n">
        <v>45916.77822916667</v>
      </c>
      <c r="C369" s="3" t="n">
        <v>45916</v>
      </c>
      <c r="D369" s="2" t="inlineStr">
        <is>
          <t>Paul Skenes</t>
        </is>
      </c>
      <c r="E369" s="2" t="n">
        <v>134</v>
      </c>
      <c r="F369" s="2" t="n">
        <v>112</v>
      </c>
      <c r="G369" s="2" t="inlineStr">
        <is>
          <t>Home</t>
        </is>
      </c>
      <c r="H369" s="2" t="inlineStr">
        <is>
          <t>draftkings</t>
        </is>
      </c>
      <c r="I369" s="4" t="n"/>
      <c r="J369" s="4" t="n"/>
      <c r="K369" s="4" t="n">
        <v>105</v>
      </c>
      <c r="L369" s="4" t="n">
        <v>105</v>
      </c>
      <c r="M369" s="5" t="n">
        <v>6.5</v>
      </c>
      <c r="N369" s="5" t="n">
        <v>6.297242077375712</v>
      </c>
      <c r="O369" s="5" t="n">
        <v>6.5</v>
      </c>
      <c r="P369" s="5" t="n">
        <v>0.2027579226242882</v>
      </c>
      <c r="Q369" s="6" t="n">
        <v>0.1452795228653402</v>
      </c>
      <c r="R369" s="6" t="n">
        <v>0.5586729379830928</v>
      </c>
      <c r="S369" s="6" t="n">
        <v>0.4779986598168416</v>
      </c>
      <c r="T369" s="2" t="inlineStr">
        <is>
          <t>Under</t>
        </is>
      </c>
      <c r="U369" s="4" t="n">
        <v>105</v>
      </c>
      <c r="V369" s="2" t="n">
        <v>2.05</v>
      </c>
      <c r="W369" s="4" t="n">
        <v>105</v>
      </c>
      <c r="X369" s="2" t="n">
        <v>1</v>
      </c>
      <c r="Y369" s="5" t="n">
        <v>1.05</v>
      </c>
      <c r="Z369" s="7" t="n">
        <v>100</v>
      </c>
      <c r="AA369" s="7">
        <f>Y369*Z369</f>
        <v/>
      </c>
      <c r="AB369" s="6">
        <f>IF(Z369=0,0,AA369/Z369)</f>
        <v/>
      </c>
      <c r="AC369" s="6" t="n"/>
      <c r="AD369" s="2" t="inlineStr">
        <is>
          <t>Win</t>
        </is>
      </c>
      <c r="AE369" s="6">
        <f>IF((COUNTIF($AD$2:AD369,"Win")+COUNTIF($AD$2:AD369,"Loss"))=0,0,COUNTIF($AD$2:AD369,"Win")/(COUNTIF($AD$2:AD369,"Win")+COUNTIF($AD$2:AD369,"Loss")))</f>
        <v/>
      </c>
      <c r="AF369" s="6">
        <f>SUM($Y$2:Y369)/SUM($X$2:X369)</f>
        <v/>
      </c>
      <c r="AG369" s="5">
        <f>SUM($Y$2:Y369)</f>
        <v/>
      </c>
      <c r="AH369" s="7">
        <f>10000.0+SUM($AA$2:AA369)</f>
        <v/>
      </c>
      <c r="AI369" s="2" t="n">
        <v>2025</v>
      </c>
      <c r="AJ369" s="2" t="inlineStr">
        <is>
          <t>2025-09</t>
        </is>
      </c>
      <c r="AK369" s="2" t="inlineStr">
        <is>
          <t>+100 to +120</t>
        </is>
      </c>
      <c r="AL369" s="2" t="inlineStr">
        <is>
          <t>2025 Validation</t>
        </is>
      </c>
      <c r="AM369" s="6" t="n">
        <v>0.1383614503479431</v>
      </c>
    </row>
    <row r="370">
      <c r="A370" s="2" t="inlineStr">
        <is>
          <t>KPROP-00369</t>
        </is>
      </c>
      <c r="B370" s="3" t="n">
        <v>45917.79560185185</v>
      </c>
      <c r="C370" s="3" t="n">
        <v>45917</v>
      </c>
      <c r="D370" s="2" t="inlineStr">
        <is>
          <t>David Peterson</t>
        </is>
      </c>
      <c r="E370" s="2" t="n">
        <v>121</v>
      </c>
      <c r="F370" s="2" t="n">
        <v>135</v>
      </c>
      <c r="G370" s="2" t="inlineStr">
        <is>
          <t>Home</t>
        </is>
      </c>
      <c r="H370" s="2" t="inlineStr">
        <is>
          <t>draftkings</t>
        </is>
      </c>
      <c r="I370" s="4" t="n"/>
      <c r="J370" s="4" t="n"/>
      <c r="K370" s="4" t="n">
        <v>-118</v>
      </c>
      <c r="L370" s="4" t="n">
        <v>-118</v>
      </c>
      <c r="M370" s="5" t="n">
        <v>4.5</v>
      </c>
      <c r="N370" s="5" t="n">
        <v>4.194775738164916</v>
      </c>
      <c r="O370" s="5" t="n">
        <v>4.5</v>
      </c>
      <c r="P370" s="5" t="n">
        <v>0.3052242618350842</v>
      </c>
      <c r="Q370" s="6" t="n">
        <v>0.09155716047390083</v>
      </c>
      <c r="R370" s="6" t="n">
        <v>0.5908428666785335</v>
      </c>
      <c r="S370" s="6" t="n">
        <v>0.5223069506529932</v>
      </c>
      <c r="T370" s="2" t="inlineStr">
        <is>
          <t>Under</t>
        </is>
      </c>
      <c r="U370" s="4" t="n">
        <v>-118</v>
      </c>
      <c r="V370" s="2" t="n">
        <v>1.847457627118644</v>
      </c>
      <c r="W370" s="4" t="n">
        <v>-118</v>
      </c>
      <c r="X370" s="2" t="n">
        <v>1</v>
      </c>
      <c r="Y370" s="5" t="n">
        <v>0.847457627118644</v>
      </c>
      <c r="Z370" s="7" t="n">
        <v>100</v>
      </c>
      <c r="AA370" s="7">
        <f>Y370*Z370</f>
        <v/>
      </c>
      <c r="AB370" s="6">
        <f>IF(Z370=0,0,AA370/Z370)</f>
        <v/>
      </c>
      <c r="AC370" s="6" t="n"/>
      <c r="AD370" s="2" t="inlineStr">
        <is>
          <t>Win</t>
        </is>
      </c>
      <c r="AE370" s="6">
        <f>IF((COUNTIF($AD$2:AD370,"Win")+COUNTIF($AD$2:AD370,"Loss"))=0,0,COUNTIF($AD$2:AD370,"Win")/(COUNTIF($AD$2:AD370,"Win")+COUNTIF($AD$2:AD370,"Loss")))</f>
        <v/>
      </c>
      <c r="AF370" s="6">
        <f>SUM($Y$2:Y370)/SUM($X$2:X370)</f>
        <v/>
      </c>
      <c r="AG370" s="5">
        <f>SUM($Y$2:Y370)</f>
        <v/>
      </c>
      <c r="AH370" s="7">
        <f>10000.0+SUM($AA$2:AA370)</f>
        <v/>
      </c>
      <c r="AI370" s="2" t="n">
        <v>2025</v>
      </c>
      <c r="AJ370" s="2" t="inlineStr">
        <is>
          <t>2025-09</t>
        </is>
      </c>
      <c r="AK370" s="2" t="inlineStr">
        <is>
          <t>-119 to -101</t>
        </is>
      </c>
      <c r="AL370" s="2" t="inlineStr">
        <is>
          <t>2025 Validation</t>
        </is>
      </c>
      <c r="AM370" s="6" t="n">
        <v>0.108037449359203</v>
      </c>
    </row>
    <row r="371">
      <c r="A371" s="2" t="inlineStr">
        <is>
          <t>KPROP-00370</t>
        </is>
      </c>
      <c r="B371" s="3" t="n">
        <v>45917.79560185185</v>
      </c>
      <c r="C371" s="3" t="n">
        <v>45917</v>
      </c>
      <c r="D371" s="2" t="inlineStr">
        <is>
          <t>Nick Pivetta</t>
        </is>
      </c>
      <c r="E371" s="2" t="n">
        <v>135</v>
      </c>
      <c r="F371" s="2" t="n">
        <v>121</v>
      </c>
      <c r="G371" s="2" t="inlineStr">
        <is>
          <t>Away</t>
        </is>
      </c>
      <c r="H371" s="2" t="inlineStr">
        <is>
          <t>fanatics</t>
        </is>
      </c>
      <c r="I371" s="4" t="n"/>
      <c r="J371" s="4" t="n"/>
      <c r="K371" s="4" t="n">
        <v>105</v>
      </c>
      <c r="L371" s="4" t="n">
        <v>105</v>
      </c>
      <c r="M371" s="5" t="n">
        <v>5.5</v>
      </c>
      <c r="N371" s="5" t="n">
        <v>5.223908524205197</v>
      </c>
      <c r="O371" s="5" t="n">
        <v>5.5</v>
      </c>
      <c r="P371" s="5" t="n">
        <v>0.2760914757948028</v>
      </c>
      <c r="Q371" s="6" t="n">
        <v>0.1823091017977505</v>
      </c>
      <c r="R371" s="6" t="n">
        <v>0.5767361472184149</v>
      </c>
      <c r="S371" s="6" t="n">
        <v>0.4675324675324675</v>
      </c>
      <c r="T371" s="2" t="inlineStr">
        <is>
          <t>Under</t>
        </is>
      </c>
      <c r="U371" s="4" t="n">
        <v>105</v>
      </c>
      <c r="V371" s="2" t="n">
        <v>2.05</v>
      </c>
      <c r="W371" s="4" t="n">
        <v>105</v>
      </c>
      <c r="X371" s="2" t="n">
        <v>1</v>
      </c>
      <c r="Y371" s="5" t="n">
        <v>1.05</v>
      </c>
      <c r="Z371" s="7" t="n">
        <v>100</v>
      </c>
      <c r="AA371" s="7">
        <f>Y371*Z371</f>
        <v/>
      </c>
      <c r="AB371" s="6">
        <f>IF(Z371=0,0,AA371/Z371)</f>
        <v/>
      </c>
      <c r="AC371" s="6" t="n"/>
      <c r="AD371" s="2" t="inlineStr">
        <is>
          <t>Win</t>
        </is>
      </c>
      <c r="AE371" s="6">
        <f>IF((COUNTIF($AD$2:AD371,"Win")+COUNTIF($AD$2:AD371,"Loss"))=0,0,COUNTIF($AD$2:AD371,"Win")/(COUNTIF($AD$2:AD371,"Win")+COUNTIF($AD$2:AD371,"Loss")))</f>
        <v/>
      </c>
      <c r="AF371" s="6">
        <f>SUM($Y$2:Y371)/SUM($X$2:X371)</f>
        <v/>
      </c>
      <c r="AG371" s="5">
        <f>SUM($Y$2:Y371)</f>
        <v/>
      </c>
      <c r="AH371" s="7">
        <f>10000.0+SUM($AA$2:AA371)</f>
        <v/>
      </c>
      <c r="AI371" s="2" t="n">
        <v>2025</v>
      </c>
      <c r="AJ371" s="2" t="inlineStr">
        <is>
          <t>2025-09</t>
        </is>
      </c>
      <c r="AK371" s="2" t="inlineStr">
        <is>
          <t>+100 to +120</t>
        </is>
      </c>
      <c r="AL371" s="2" t="inlineStr">
        <is>
          <t>2025 Validation</t>
        </is>
      </c>
      <c r="AM371" s="6" t="n">
        <v>0.1736277159978576</v>
      </c>
    </row>
    <row r="372">
      <c r="A372" s="2" t="inlineStr">
        <is>
          <t>KPROP-00371</t>
        </is>
      </c>
      <c r="B372" s="3" t="n">
        <v>45918.8025462963</v>
      </c>
      <c r="C372" s="3" t="n">
        <v>45918</v>
      </c>
      <c r="D372" s="2" t="inlineStr">
        <is>
          <t>Hunter Greene</t>
        </is>
      </c>
      <c r="E372" s="2" t="n">
        <v>113</v>
      </c>
      <c r="F372" s="2" t="n">
        <v>112</v>
      </c>
      <c r="G372" s="2" t="inlineStr">
        <is>
          <t>Home</t>
        </is>
      </c>
      <c r="H372" s="2" t="inlineStr">
        <is>
          <t>draftkings</t>
        </is>
      </c>
      <c r="I372" s="4" t="n"/>
      <c r="J372" s="4" t="n"/>
      <c r="K372" s="4" t="n">
        <v>122</v>
      </c>
      <c r="L372" s="4" t="n">
        <v>122</v>
      </c>
      <c r="M372" s="5" t="n">
        <v>6.5</v>
      </c>
      <c r="N372" s="5" t="n">
        <v>6.444038352759459</v>
      </c>
      <c r="O372" s="5" t="n">
        <v>6.5</v>
      </c>
      <c r="P372" s="5" t="n">
        <v>0.05596164724054109</v>
      </c>
      <c r="Q372" s="6" t="n">
        <v>0.1884880226236189</v>
      </c>
      <c r="R372" s="6" t="n">
        <v>0.5353549651457743</v>
      </c>
      <c r="S372" s="6" t="n">
        <v>0.4294732484735589</v>
      </c>
      <c r="T372" s="2" t="inlineStr">
        <is>
          <t>Under</t>
        </is>
      </c>
      <c r="U372" s="4" t="n">
        <v>122</v>
      </c>
      <c r="V372" s="2" t="n">
        <v>2.22</v>
      </c>
      <c r="W372" s="4" t="n">
        <v>122</v>
      </c>
      <c r="X372" s="2" t="n">
        <v>1</v>
      </c>
      <c r="Y372" s="5" t="n">
        <v>-1</v>
      </c>
      <c r="Z372" s="7" t="n">
        <v>100</v>
      </c>
      <c r="AA372" s="7">
        <f>Y372*Z372</f>
        <v/>
      </c>
      <c r="AB372" s="6">
        <f>IF(Z372=0,0,AA372/Z372)</f>
        <v/>
      </c>
      <c r="AC372" s="6" t="n"/>
      <c r="AD372" s="2" t="inlineStr">
        <is>
          <t>Loss</t>
        </is>
      </c>
      <c r="AE372" s="6">
        <f>IF((COUNTIF($AD$2:AD372,"Win")+COUNTIF($AD$2:AD372,"Loss"))=0,0,COUNTIF($AD$2:AD372,"Win")/(COUNTIF($AD$2:AD372,"Win")+COUNTIF($AD$2:AD372,"Loss")))</f>
        <v/>
      </c>
      <c r="AF372" s="6">
        <f>SUM($Y$2:Y372)/SUM($X$2:X372)</f>
        <v/>
      </c>
      <c r="AG372" s="5">
        <f>SUM($Y$2:Y372)</f>
        <v/>
      </c>
      <c r="AH372" s="7">
        <f>10000.0+SUM($AA$2:AA372)</f>
        <v/>
      </c>
      <c r="AI372" s="2" t="n">
        <v>2025</v>
      </c>
      <c r="AJ372" s="2" t="inlineStr">
        <is>
          <t>2025-09</t>
        </is>
      </c>
      <c r="AK372" s="2" t="inlineStr">
        <is>
          <t>+121 to +150</t>
        </is>
      </c>
      <c r="AL372" s="2" t="inlineStr">
        <is>
          <t>2025 Validation</t>
        </is>
      </c>
      <c r="AM372" s="6" t="n">
        <v>0.1544983791996876</v>
      </c>
    </row>
    <row r="373">
      <c r="A373" s="2" t="inlineStr">
        <is>
          <t>KPROP-00372</t>
        </is>
      </c>
      <c r="B373" s="3" t="n">
        <v>45918.54907407407</v>
      </c>
      <c r="C373" s="3" t="n">
        <v>45918</v>
      </c>
      <c r="D373" s="2" t="inlineStr">
        <is>
          <t>Jonah Tong</t>
        </is>
      </c>
      <c r="E373" s="2" t="n">
        <v>121</v>
      </c>
      <c r="F373" s="2" t="n">
        <v>135</v>
      </c>
      <c r="G373" s="2" t="inlineStr">
        <is>
          <t>Home</t>
        </is>
      </c>
      <c r="H373" s="2" t="inlineStr">
        <is>
          <t>draftkings</t>
        </is>
      </c>
      <c r="I373" s="4" t="n"/>
      <c r="J373" s="4" t="n"/>
      <c r="K373" s="4" t="n">
        <v>-110</v>
      </c>
      <c r="L373" s="4" t="n">
        <v>-110</v>
      </c>
      <c r="M373" s="5" t="n">
        <v>4.5</v>
      </c>
      <c r="N373" s="5" t="n">
        <v>4.262094943414113</v>
      </c>
      <c r="O373" s="5" t="n">
        <v>4.5</v>
      </c>
      <c r="P373" s="5" t="n">
        <v>0.2379050565858867</v>
      </c>
      <c r="Q373" s="6" t="n">
        <v>0.1030228413562081</v>
      </c>
      <c r="R373" s="6" t="n">
        <v>0.5777738692818233</v>
      </c>
      <c r="S373" s="6" t="n">
        <v>0.5079617834394904</v>
      </c>
      <c r="T373" s="2" t="inlineStr">
        <is>
          <t>Under</t>
        </is>
      </c>
      <c r="U373" s="4" t="n">
        <v>-110</v>
      </c>
      <c r="V373" s="2" t="n">
        <v>1.909090909090909</v>
      </c>
      <c r="W373" s="4" t="n">
        <v>-110</v>
      </c>
      <c r="X373" s="2" t="n">
        <v>1</v>
      </c>
      <c r="Y373" s="5" t="n">
        <v>-1</v>
      </c>
      <c r="Z373" s="7" t="n">
        <v>100</v>
      </c>
      <c r="AA373" s="7">
        <f>Y373*Z373</f>
        <v/>
      </c>
      <c r="AB373" s="6">
        <f>IF(Z373=0,0,AA373/Z373)</f>
        <v/>
      </c>
      <c r="AC373" s="6" t="n"/>
      <c r="AD373" s="2" t="inlineStr">
        <is>
          <t>Loss</t>
        </is>
      </c>
      <c r="AE373" s="6">
        <f>IF((COUNTIF($AD$2:AD373,"Win")+COUNTIF($AD$2:AD373,"Loss"))=0,0,COUNTIF($AD$2:AD373,"Win")/(COUNTIF($AD$2:AD373,"Win")+COUNTIF($AD$2:AD373,"Loss")))</f>
        <v/>
      </c>
      <c r="AF373" s="6">
        <f>SUM($Y$2:Y373)/SUM($X$2:X373)</f>
        <v/>
      </c>
      <c r="AG373" s="5">
        <f>SUM($Y$2:Y373)</f>
        <v/>
      </c>
      <c r="AH373" s="7">
        <f>10000.0+SUM($AA$2:AA373)</f>
        <v/>
      </c>
      <c r="AI373" s="2" t="n">
        <v>2025</v>
      </c>
      <c r="AJ373" s="2" t="inlineStr">
        <is>
          <t>2025-09</t>
        </is>
      </c>
      <c r="AK373" s="2" t="inlineStr">
        <is>
          <t>-119 to -101</t>
        </is>
      </c>
      <c r="AL373" s="2" t="inlineStr">
        <is>
          <t>2025 Validation</t>
        </is>
      </c>
      <c r="AM373" s="6" t="n">
        <v>0.1133251254918289</v>
      </c>
    </row>
    <row r="374">
      <c r="A374" s="2" t="inlineStr">
        <is>
          <t>KPROP-00373</t>
        </is>
      </c>
      <c r="B374" s="3" t="n">
        <v>45919.79559027778</v>
      </c>
      <c r="C374" s="3" t="n">
        <v>45919</v>
      </c>
      <c r="D374" s="2" t="inlineStr">
        <is>
          <t>Brandon Sproat</t>
        </is>
      </c>
      <c r="E374" s="2" t="n">
        <v>121</v>
      </c>
      <c r="F374" s="2" t="n">
        <v>120</v>
      </c>
      <c r="G374" s="2" t="inlineStr">
        <is>
          <t>Home</t>
        </is>
      </c>
      <c r="H374" s="2" t="inlineStr">
        <is>
          <t>draftkings</t>
        </is>
      </c>
      <c r="I374" s="4" t="n"/>
      <c r="J374" s="4" t="n"/>
      <c r="K374" s="4" t="n">
        <v>106</v>
      </c>
      <c r="L374" s="4" t="n">
        <v>106</v>
      </c>
      <c r="M374" s="5" t="n">
        <v>4.5</v>
      </c>
      <c r="N374" s="5" t="n">
        <v>4.468701808501065</v>
      </c>
      <c r="O374" s="5" t="n">
        <v>4.5</v>
      </c>
      <c r="P374" s="5" t="n">
        <v>0.03129819149893542</v>
      </c>
      <c r="Q374" s="6" t="n">
        <v>0.1083919823716421</v>
      </c>
      <c r="R374" s="6" t="n">
        <v>0.5380543603745835</v>
      </c>
      <c r="S374" s="6" t="n">
        <v>0.4620329449578144</v>
      </c>
      <c r="T374" s="2" t="inlineStr">
        <is>
          <t>Under</t>
        </is>
      </c>
      <c r="U374" s="4" t="n">
        <v>106</v>
      </c>
      <c r="V374" s="2" t="n">
        <v>2.06</v>
      </c>
      <c r="W374" s="4" t="n">
        <v>106</v>
      </c>
      <c r="X374" s="2" t="n">
        <v>1</v>
      </c>
      <c r="Y374" s="5" t="n">
        <v>-1</v>
      </c>
      <c r="Z374" s="7" t="n">
        <v>100</v>
      </c>
      <c r="AA374" s="7">
        <f>Y374*Z374</f>
        <v/>
      </c>
      <c r="AB374" s="6">
        <f>IF(Z374=0,0,AA374/Z374)</f>
        <v/>
      </c>
      <c r="AC374" s="6" t="n"/>
      <c r="AD374" s="2" t="inlineStr">
        <is>
          <t>Loss</t>
        </is>
      </c>
      <c r="AE374" s="6">
        <f>IF((COUNTIF($AD$2:AD374,"Win")+COUNTIF($AD$2:AD374,"Loss"))=0,0,COUNTIF($AD$2:AD374,"Win")/(COUNTIF($AD$2:AD374,"Win")+COUNTIF($AD$2:AD374,"Loss")))</f>
        <v/>
      </c>
      <c r="AF374" s="6">
        <f>SUM($Y$2:Y374)/SUM($X$2:X374)</f>
        <v/>
      </c>
      <c r="AG374" s="5">
        <f>SUM($Y$2:Y374)</f>
        <v/>
      </c>
      <c r="AH374" s="7">
        <f>10000.0+SUM($AA$2:AA374)</f>
        <v/>
      </c>
      <c r="AI374" s="2" t="n">
        <v>2025</v>
      </c>
      <c r="AJ374" s="2" t="inlineStr">
        <is>
          <t>2025-09</t>
        </is>
      </c>
      <c r="AK374" s="2" t="inlineStr">
        <is>
          <t>+100 to +120</t>
        </is>
      </c>
      <c r="AL374" s="2" t="inlineStr">
        <is>
          <t>2025 Validation</t>
        </is>
      </c>
      <c r="AM374" s="6" t="n">
        <v>0.1022565871430586</v>
      </c>
    </row>
    <row r="375">
      <c r="A375" s="2" t="inlineStr">
        <is>
          <t>KPROP-00374</t>
        </is>
      </c>
      <c r="B375" s="3" t="n">
        <v>45919.77822916667</v>
      </c>
      <c r="C375" s="3" t="n">
        <v>45919</v>
      </c>
      <c r="D375" s="2" t="inlineStr">
        <is>
          <t>Shota Imanaga</t>
        </is>
      </c>
      <c r="E375" s="2" t="n">
        <v>112</v>
      </c>
      <c r="F375" s="2" t="n">
        <v>113</v>
      </c>
      <c r="G375" s="2" t="inlineStr">
        <is>
          <t>Away</t>
        </is>
      </c>
      <c r="H375" s="2" t="inlineStr">
        <is>
          <t>draftkings</t>
        </is>
      </c>
      <c r="I375" s="4" t="n"/>
      <c r="J375" s="4" t="n"/>
      <c r="K375" s="4" t="n">
        <v>112</v>
      </c>
      <c r="L375" s="4" t="n">
        <v>112</v>
      </c>
      <c r="M375" s="5" t="n">
        <v>4.5</v>
      </c>
      <c r="N375" s="5" t="n">
        <v>4.520736105669003</v>
      </c>
      <c r="O375" s="5" t="n">
        <v>4.5</v>
      </c>
      <c r="P375" s="5" t="n">
        <v>-0.02073610566900275</v>
      </c>
      <c r="Q375" s="6" t="n">
        <v>0.1197252583101502</v>
      </c>
      <c r="R375" s="6" t="n">
        <v>0.5281722916557312</v>
      </c>
      <c r="S375" s="6" t="n">
        <v>0.4508825786646201</v>
      </c>
      <c r="T375" s="2" t="inlineStr">
        <is>
          <t>Under</t>
        </is>
      </c>
      <c r="U375" s="4" t="n">
        <v>112</v>
      </c>
      <c r="V375" s="2" t="n">
        <v>2.12</v>
      </c>
      <c r="W375" s="4" t="n">
        <v>112</v>
      </c>
      <c r="X375" s="2" t="n">
        <v>1</v>
      </c>
      <c r="Y375" s="5" t="n">
        <v>1.12</v>
      </c>
      <c r="Z375" s="7" t="n">
        <v>100</v>
      </c>
      <c r="AA375" s="7">
        <f>Y375*Z375</f>
        <v/>
      </c>
      <c r="AB375" s="6">
        <f>IF(Z375=0,0,AA375/Z375)</f>
        <v/>
      </c>
      <c r="AC375" s="6" t="n"/>
      <c r="AD375" s="2" t="inlineStr">
        <is>
          <t>Win</t>
        </is>
      </c>
      <c r="AE375" s="6">
        <f>IF((COUNTIF($AD$2:AD375,"Win")+COUNTIF($AD$2:AD375,"Loss"))=0,0,COUNTIF($AD$2:AD375,"Win")/(COUNTIF($AD$2:AD375,"Win")+COUNTIF($AD$2:AD375,"Loss")))</f>
        <v/>
      </c>
      <c r="AF375" s="6">
        <f>SUM($Y$2:Y375)/SUM($X$2:X375)</f>
        <v/>
      </c>
      <c r="AG375" s="5">
        <f>SUM($Y$2:Y375)</f>
        <v/>
      </c>
      <c r="AH375" s="7">
        <f>10000.0+SUM($AA$2:AA375)</f>
        <v/>
      </c>
      <c r="AI375" s="2" t="n">
        <v>2025</v>
      </c>
      <c r="AJ375" s="2" t="inlineStr">
        <is>
          <t>2025-09</t>
        </is>
      </c>
      <c r="AK375" s="2" t="inlineStr">
        <is>
          <t>+100 to +120</t>
        </is>
      </c>
      <c r="AL375" s="2" t="inlineStr">
        <is>
          <t>2025 Validation</t>
        </is>
      </c>
      <c r="AM375" s="6" t="n">
        <v>0.1068975520626341</v>
      </c>
    </row>
    <row r="376">
      <c r="A376" s="2" t="inlineStr">
        <is>
          <t>KPROP-00375</t>
        </is>
      </c>
      <c r="B376" s="3" t="n">
        <v>45920.7990625</v>
      </c>
      <c r="C376" s="3" t="n">
        <v>45920</v>
      </c>
      <c r="D376" s="2" t="inlineStr">
        <is>
          <t>Bailey Ober</t>
        </is>
      </c>
      <c r="E376" s="2" t="n">
        <v>142</v>
      </c>
      <c r="F376" s="2" t="n">
        <v>114</v>
      </c>
      <c r="G376" s="2" t="inlineStr">
        <is>
          <t>Home</t>
        </is>
      </c>
      <c r="H376" s="2" t="inlineStr">
        <is>
          <t>draftkings</t>
        </is>
      </c>
      <c r="I376" s="4" t="n"/>
      <c r="J376" s="4" t="n"/>
      <c r="K376" s="4" t="n">
        <v>-113</v>
      </c>
      <c r="L376" s="4" t="n">
        <v>-113</v>
      </c>
      <c r="M376" s="5" t="n">
        <v>4.5</v>
      </c>
      <c r="N376" s="5" t="n">
        <v>4.260970808684712</v>
      </c>
      <c r="O376" s="5" t="n">
        <v>4.5</v>
      </c>
      <c r="P376" s="5" t="n">
        <v>0.2390291913152875</v>
      </c>
      <c r="Q376" s="6" t="n">
        <v>0.08948877128418298</v>
      </c>
      <c r="R376" s="6" t="n">
        <v>0.5779916955639093</v>
      </c>
      <c r="S376" s="6" t="n">
        <v>0.5</v>
      </c>
      <c r="T376" s="2" t="inlineStr">
        <is>
          <t>Under</t>
        </is>
      </c>
      <c r="U376" s="4" t="n">
        <v>-113</v>
      </c>
      <c r="V376" s="2" t="n">
        <v>1.884955752212389</v>
      </c>
      <c r="W376" s="4" t="n">
        <v>-113</v>
      </c>
      <c r="X376" s="2" t="n">
        <v>1</v>
      </c>
      <c r="Y376" s="5" t="n">
        <v>0.8849557522123894</v>
      </c>
      <c r="Z376" s="7" t="n">
        <v>100</v>
      </c>
      <c r="AA376" s="7">
        <f>Y376*Z376</f>
        <v/>
      </c>
      <c r="AB376" s="6">
        <f>IF(Z376=0,0,AA376/Z376)</f>
        <v/>
      </c>
      <c r="AC376" s="6" t="n"/>
      <c r="AD376" s="2" t="inlineStr">
        <is>
          <t>Win</t>
        </is>
      </c>
      <c r="AE376" s="6">
        <f>IF((COUNTIF($AD$2:AD376,"Win")+COUNTIF($AD$2:AD376,"Loss"))=0,0,COUNTIF($AD$2:AD376,"Win")/(COUNTIF($AD$2:AD376,"Win")+COUNTIF($AD$2:AD376,"Loss")))</f>
        <v/>
      </c>
      <c r="AF376" s="6">
        <f>SUM($Y$2:Y376)/SUM($X$2:X376)</f>
        <v/>
      </c>
      <c r="AG376" s="5">
        <f>SUM($Y$2:Y376)</f>
        <v/>
      </c>
      <c r="AH376" s="7">
        <f>10000.0+SUM($AA$2:AA376)</f>
        <v/>
      </c>
      <c r="AI376" s="2" t="n">
        <v>2025</v>
      </c>
      <c r="AJ376" s="2" t="inlineStr">
        <is>
          <t>2025-09</t>
        </is>
      </c>
      <c r="AK376" s="2" t="inlineStr">
        <is>
          <t>-119 to -101</t>
        </is>
      </c>
      <c r="AL376" s="2" t="inlineStr">
        <is>
          <t>2025 Validation</t>
        </is>
      </c>
      <c r="AM376" s="6" t="n">
        <v>0.1011223115511268</v>
      </c>
    </row>
    <row r="377">
      <c r="A377" s="2" t="inlineStr">
        <is>
          <t>KPROP-00376</t>
        </is>
      </c>
      <c r="B377" s="3" t="n">
        <v>45920.77822916667</v>
      </c>
      <c r="C377" s="3" t="n">
        <v>45920</v>
      </c>
      <c r="D377" s="2" t="inlineStr">
        <is>
          <t>Zack Littell</t>
        </is>
      </c>
      <c r="E377" s="2" t="n">
        <v>113</v>
      </c>
      <c r="F377" s="2" t="n">
        <v>112</v>
      </c>
      <c r="G377" s="2" t="inlineStr">
        <is>
          <t>Home</t>
        </is>
      </c>
      <c r="H377" s="2" t="inlineStr">
        <is>
          <t>bovada</t>
        </is>
      </c>
      <c r="I377" s="4" t="n"/>
      <c r="J377" s="4" t="n"/>
      <c r="K377" s="4" t="n">
        <v>135</v>
      </c>
      <c r="L377" s="4" t="n">
        <v>135</v>
      </c>
      <c r="M377" s="5" t="n">
        <v>3.5</v>
      </c>
      <c r="N377" s="5" t="n">
        <v>3.877283545959588</v>
      </c>
      <c r="O377" s="5" t="n">
        <v>3.5</v>
      </c>
      <c r="P377" s="5" t="n">
        <v>-0.3772835459595885</v>
      </c>
      <c r="Q377" s="6" t="n">
        <v>0.07584098289573971</v>
      </c>
      <c r="R377" s="6" t="n">
        <v>0.4578046735726552</v>
      </c>
      <c r="S377" s="6" t="n">
        <v>0.4117884537747275</v>
      </c>
      <c r="T377" s="2" t="inlineStr">
        <is>
          <t>Under</t>
        </is>
      </c>
      <c r="U377" s="4" t="n">
        <v>135</v>
      </c>
      <c r="V377" s="2" t="n">
        <v>2.35</v>
      </c>
      <c r="W377" s="4" t="n">
        <v>135</v>
      </c>
      <c r="X377" s="2" t="n">
        <v>1</v>
      </c>
      <c r="Y377" s="5" t="n">
        <v>-1</v>
      </c>
      <c r="Z377" s="7" t="n">
        <v>100</v>
      </c>
      <c r="AA377" s="7">
        <f>Y377*Z377</f>
        <v/>
      </c>
      <c r="AB377" s="6">
        <f>IF(Z377=0,0,AA377/Z377)</f>
        <v/>
      </c>
      <c r="AC377" s="6" t="n"/>
      <c r="AD377" s="2" t="inlineStr">
        <is>
          <t>Loss</t>
        </is>
      </c>
      <c r="AE377" s="6">
        <f>IF((COUNTIF($AD$2:AD377,"Win")+COUNTIF($AD$2:AD377,"Loss"))=0,0,COUNTIF($AD$2:AD377,"Win")/(COUNTIF($AD$2:AD377,"Win")+COUNTIF($AD$2:AD377,"Loss")))</f>
        <v/>
      </c>
      <c r="AF377" s="6">
        <f>SUM($Y$2:Y377)/SUM($X$2:X377)</f>
        <v/>
      </c>
      <c r="AG377" s="5">
        <f>SUM($Y$2:Y377)</f>
        <v/>
      </c>
      <c r="AH377" s="7">
        <f>10000.0+SUM($AA$2:AA377)</f>
        <v/>
      </c>
      <c r="AI377" s="2" t="n">
        <v>2025</v>
      </c>
      <c r="AJ377" s="2" t="inlineStr">
        <is>
          <t>2025-09</t>
        </is>
      </c>
      <c r="AK377" s="2" t="inlineStr">
        <is>
          <t>+121 to +150</t>
        </is>
      </c>
      <c r="AL377" s="2" t="inlineStr">
        <is>
          <t>2025 Validation</t>
        </is>
      </c>
      <c r="AM377" s="6" t="n">
        <v>0.05617850584869608</v>
      </c>
    </row>
    <row r="378">
      <c r="A378" s="2" t="inlineStr">
        <is>
          <t>KPROP-00377</t>
        </is>
      </c>
      <c r="B378" s="3" t="n">
        <v>45921.79557870371</v>
      </c>
      <c r="C378" s="3" t="n">
        <v>45921</v>
      </c>
      <c r="D378" s="2" t="inlineStr">
        <is>
          <t>Logan Gilbert</t>
        </is>
      </c>
      <c r="E378" s="2" t="n">
        <v>136</v>
      </c>
      <c r="F378" s="2" t="n">
        <v>117</v>
      </c>
      <c r="G378" s="2" t="inlineStr">
        <is>
          <t>Away</t>
        </is>
      </c>
      <c r="H378" s="2" t="inlineStr">
        <is>
          <t>draftkings</t>
        </is>
      </c>
      <c r="I378" s="4" t="n"/>
      <c r="J378" s="4" t="n"/>
      <c r="K378" s="4" t="n">
        <v>-109</v>
      </c>
      <c r="L378" s="4" t="n">
        <v>-109</v>
      </c>
      <c r="M378" s="5" t="n">
        <v>6.5</v>
      </c>
      <c r="N378" s="5" t="n">
        <v>5.964163467916816</v>
      </c>
      <c r="O378" s="5" t="n">
        <v>6.5</v>
      </c>
      <c r="P378" s="5" t="n">
        <v>0.5358365320831844</v>
      </c>
      <c r="Q378" s="6" t="n">
        <v>0.1735805443721571</v>
      </c>
      <c r="R378" s="6" t="n">
        <v>0.6120587528065317</v>
      </c>
      <c r="S378" s="6" t="n">
        <v>0.5105386416861827</v>
      </c>
      <c r="T378" s="2" t="inlineStr">
        <is>
          <t>Under</t>
        </is>
      </c>
      <c r="U378" s="4" t="n">
        <v>-109</v>
      </c>
      <c r="V378" s="2" t="n">
        <v>1.917431192660551</v>
      </c>
      <c r="W378" s="4" t="n">
        <v>-109</v>
      </c>
      <c r="X378" s="2" t="n">
        <v>1</v>
      </c>
      <c r="Y378" s="5" t="n">
        <v>0.9174311926605505</v>
      </c>
      <c r="Z378" s="7" t="n">
        <v>100</v>
      </c>
      <c r="AA378" s="7">
        <f>Y378*Z378</f>
        <v/>
      </c>
      <c r="AB378" s="6">
        <f>IF(Z378=0,0,AA378/Z378)</f>
        <v/>
      </c>
      <c r="AC378" s="6" t="n"/>
      <c r="AD378" s="2" t="inlineStr">
        <is>
          <t>Win</t>
        </is>
      </c>
      <c r="AE378" s="6">
        <f>IF((COUNTIF($AD$2:AD378,"Win")+COUNTIF($AD$2:AD378,"Loss"))=0,0,COUNTIF($AD$2:AD378,"Win")/(COUNTIF($AD$2:AD378,"Win")+COUNTIF($AD$2:AD378,"Loss")))</f>
        <v/>
      </c>
      <c r="AF378" s="6">
        <f>SUM($Y$2:Y378)/SUM($X$2:X378)</f>
        <v/>
      </c>
      <c r="AG378" s="5">
        <f>SUM($Y$2:Y378)</f>
        <v/>
      </c>
      <c r="AH378" s="7">
        <f>10000.0+SUM($AA$2:AA378)</f>
        <v/>
      </c>
      <c r="AI378" s="2" t="n">
        <v>2025</v>
      </c>
      <c r="AJ378" s="2" t="inlineStr">
        <is>
          <t>2025-09</t>
        </is>
      </c>
      <c r="AK378" s="2" t="inlineStr">
        <is>
          <t>-119 to -101</t>
        </is>
      </c>
      <c r="AL378" s="2" t="inlineStr">
        <is>
          <t>2025 Validation</t>
        </is>
      </c>
      <c r="AM378" s="6" t="n">
        <v>0.1892027933656512</v>
      </c>
    </row>
    <row r="379">
      <c r="A379" s="2" t="inlineStr">
        <is>
          <t>KPROP-00378</t>
        </is>
      </c>
      <c r="B379" s="3" t="n">
        <v>45921.59072916667</v>
      </c>
      <c r="C379" s="3" t="n">
        <v>45921</v>
      </c>
      <c r="D379" s="2" t="inlineStr">
        <is>
          <t>Michael King</t>
        </is>
      </c>
      <c r="E379" s="2" t="n">
        <v>135</v>
      </c>
      <c r="F379" s="2" t="n">
        <v>145</v>
      </c>
      <c r="G379" s="2" t="inlineStr">
        <is>
          <t>Away</t>
        </is>
      </c>
      <c r="H379" s="2" t="inlineStr">
        <is>
          <t>betrivers</t>
        </is>
      </c>
      <c r="I379" s="4" t="n"/>
      <c r="J379" s="4" t="n"/>
      <c r="K379" s="4" t="n">
        <v>148</v>
      </c>
      <c r="L379" s="4" t="n">
        <v>148</v>
      </c>
      <c r="M379" s="5" t="n">
        <v>4.5</v>
      </c>
      <c r="N379" s="5" t="n">
        <v>4.816881226895056</v>
      </c>
      <c r="O379" s="5" t="n">
        <v>4.5</v>
      </c>
      <c r="P379" s="5" t="n">
        <v>-0.316881226895056</v>
      </c>
      <c r="Q379" s="6" t="n">
        <v>0.1735117642789142</v>
      </c>
      <c r="R379" s="6" t="n">
        <v>0.4731902275318203</v>
      </c>
      <c r="S379" s="6" t="n">
        <v>0.3988113856740694</v>
      </c>
      <c r="T379" s="2" t="inlineStr">
        <is>
          <t>Under</t>
        </is>
      </c>
      <c r="U379" s="4" t="n">
        <v>148</v>
      </c>
      <c r="V379" s="2" t="n">
        <v>2.48</v>
      </c>
      <c r="W379" s="4" t="n">
        <v>148</v>
      </c>
      <c r="X379" s="2" t="n">
        <v>1</v>
      </c>
      <c r="Y379" s="5" t="n">
        <v>1.48</v>
      </c>
      <c r="Z379" s="7" t="n">
        <v>100</v>
      </c>
      <c r="AA379" s="7">
        <f>Y379*Z379</f>
        <v/>
      </c>
      <c r="AB379" s="6">
        <f>IF(Z379=0,0,AA379/Z379)</f>
        <v/>
      </c>
      <c r="AC379" s="6" t="n"/>
      <c r="AD379" s="2" t="inlineStr">
        <is>
          <t>Win</t>
        </is>
      </c>
      <c r="AE379" s="6">
        <f>IF((COUNTIF($AD$2:AD379,"Win")+COUNTIF($AD$2:AD379,"Loss"))=0,0,COUNTIF($AD$2:AD379,"Win")/(COUNTIF($AD$2:AD379,"Win")+COUNTIF($AD$2:AD379,"Loss")))</f>
        <v/>
      </c>
      <c r="AF379" s="6">
        <f>SUM($Y$2:Y379)/SUM($X$2:X379)</f>
        <v/>
      </c>
      <c r="AG379" s="5">
        <f>SUM($Y$2:Y379)</f>
        <v/>
      </c>
      <c r="AH379" s="7">
        <f>10000.0+SUM($AA$2:AA379)</f>
        <v/>
      </c>
      <c r="AI379" s="2" t="n">
        <v>2025</v>
      </c>
      <c r="AJ379" s="2" t="inlineStr">
        <is>
          <t>2025-09</t>
        </is>
      </c>
      <c r="AK379" s="2" t="inlineStr">
        <is>
          <t>+121 to +150</t>
        </is>
      </c>
      <c r="AL379" s="2" t="inlineStr">
        <is>
          <t>2025 Validation</t>
        </is>
      </c>
      <c r="AM379" s="6" t="n">
        <v>0.117237678566834</v>
      </c>
    </row>
    <row r="380">
      <c r="A380" s="2" t="inlineStr">
        <is>
          <t>KPROP-00379</t>
        </is>
      </c>
      <c r="B380" s="3" t="n">
        <v>45921.59072916667</v>
      </c>
      <c r="C380" s="3" t="n">
        <v>45921</v>
      </c>
      <c r="D380" s="2" t="inlineStr">
        <is>
          <t>Michael King</t>
        </is>
      </c>
      <c r="E380" s="2" t="n">
        <v>135</v>
      </c>
      <c r="F380" s="2" t="n">
        <v>145</v>
      </c>
      <c r="G380" s="2" t="inlineStr">
        <is>
          <t>Away</t>
        </is>
      </c>
      <c r="H380" s="2" t="inlineStr">
        <is>
          <t>betrivers</t>
        </is>
      </c>
      <c r="I380" s="4" t="n"/>
      <c r="J380" s="4" t="n"/>
      <c r="K380" s="4" t="n">
        <v>-137</v>
      </c>
      <c r="L380" s="4" t="n">
        <v>-137</v>
      </c>
      <c r="M380" s="5" t="n">
        <v>5.5</v>
      </c>
      <c r="N380" s="5" t="n">
        <v>4.816881226895056</v>
      </c>
      <c r="O380" s="5" t="n">
        <v>5.5</v>
      </c>
      <c r="P380" s="5" t="n">
        <v>0.683118773104944</v>
      </c>
      <c r="Q380" s="6" t="n">
        <v>0.1210886677755057</v>
      </c>
      <c r="R380" s="6" t="n">
        <v>0.6480554746212839</v>
      </c>
      <c r="S380" s="6" t="n">
        <v>0.5575551655901131</v>
      </c>
      <c r="T380" s="2" t="inlineStr">
        <is>
          <t>Under</t>
        </is>
      </c>
      <c r="U380" s="4" t="n">
        <v>-137</v>
      </c>
      <c r="V380" s="2" t="n">
        <v>1.72992700729927</v>
      </c>
      <c r="W380" s="4" t="n">
        <v>-137</v>
      </c>
      <c r="X380" s="2" t="n">
        <v>1</v>
      </c>
      <c r="Y380" s="5" t="n">
        <v>0.7299270072992701</v>
      </c>
      <c r="Z380" s="7" t="n">
        <v>100</v>
      </c>
      <c r="AA380" s="7">
        <f>Y380*Z380</f>
        <v/>
      </c>
      <c r="AB380" s="6">
        <f>IF(Z380=0,0,AA380/Z380)</f>
        <v/>
      </c>
      <c r="AC380" s="6" t="n"/>
      <c r="AD380" s="2" t="inlineStr">
        <is>
          <t>Win</t>
        </is>
      </c>
      <c r="AE380" s="6">
        <f>IF((COUNTIF($AD$2:AD380,"Win")+COUNTIF($AD$2:AD380,"Loss"))=0,0,COUNTIF($AD$2:AD380,"Win")/(COUNTIF($AD$2:AD380,"Win")+COUNTIF($AD$2:AD380,"Loss")))</f>
        <v/>
      </c>
      <c r="AF380" s="6">
        <f>SUM($Y$2:Y380)/SUM($X$2:X380)</f>
        <v/>
      </c>
      <c r="AG380" s="5">
        <f>SUM($Y$2:Y380)</f>
        <v/>
      </c>
      <c r="AH380" s="7">
        <f>10000.0+SUM($AA$2:AA380)</f>
        <v/>
      </c>
      <c r="AI380" s="2" t="n">
        <v>2025</v>
      </c>
      <c r="AJ380" s="2" t="inlineStr">
        <is>
          <t>2025-09</t>
        </is>
      </c>
      <c r="AK380" s="2" t="inlineStr">
        <is>
          <t>-149 to -120</t>
        </is>
      </c>
      <c r="AL380" s="2" t="inlineStr">
        <is>
          <t>2025 Validation</t>
        </is>
      </c>
      <c r="AM380" s="6" t="n">
        <v>0.1658914748524428</v>
      </c>
    </row>
    <row r="381">
      <c r="A381" s="2" t="inlineStr">
        <is>
          <t>KPROP-00380</t>
        </is>
      </c>
      <c r="B381" s="3" t="n">
        <v>45921.59072916667</v>
      </c>
      <c r="C381" s="3" t="n">
        <v>45921</v>
      </c>
      <c r="D381" s="2" t="inlineStr">
        <is>
          <t>Simeon Woods Richardson</t>
        </is>
      </c>
      <c r="E381" s="2" t="n">
        <v>142</v>
      </c>
      <c r="F381" s="2" t="n">
        <v>114</v>
      </c>
      <c r="G381" s="2" t="inlineStr">
        <is>
          <t>Home</t>
        </is>
      </c>
      <c r="H381" s="2" t="inlineStr">
        <is>
          <t>betmgm</t>
        </is>
      </c>
      <c r="I381" s="4" t="n"/>
      <c r="J381" s="4" t="n"/>
      <c r="K381" s="4" t="n">
        <v>110</v>
      </c>
      <c r="L381" s="4" t="n">
        <v>110</v>
      </c>
      <c r="M381" s="5" t="n">
        <v>4.5</v>
      </c>
      <c r="N381" s="5" t="n">
        <v>4.490715701154237</v>
      </c>
      <c r="O381" s="5" t="n">
        <v>4.5</v>
      </c>
      <c r="P381" s="5" t="n">
        <v>0.009284298845763317</v>
      </c>
      <c r="Q381" s="6" t="n">
        <v>0.1211200937267196</v>
      </c>
      <c r="R381" s="6" t="n">
        <v>0.5338667112984379</v>
      </c>
      <c r="S381" s="6" t="n">
        <v>0.4572564612326044</v>
      </c>
      <c r="T381" s="2" t="inlineStr">
        <is>
          <t>Under</t>
        </is>
      </c>
      <c r="U381" s="4" t="n">
        <v>110</v>
      </c>
      <c r="V381" s="2" t="n">
        <v>2.1</v>
      </c>
      <c r="W381" s="4" t="n">
        <v>110</v>
      </c>
      <c r="X381" s="2" t="n">
        <v>1</v>
      </c>
      <c r="Y381" s="5" t="n">
        <v>1.1</v>
      </c>
      <c r="Z381" s="7" t="n">
        <v>100</v>
      </c>
      <c r="AA381" s="7">
        <f>Y381*Z381</f>
        <v/>
      </c>
      <c r="AB381" s="6">
        <f>IF(Z381=0,0,AA381/Z381)</f>
        <v/>
      </c>
      <c r="AC381" s="6" t="n"/>
      <c r="AD381" s="2" t="inlineStr">
        <is>
          <t>Win</t>
        </is>
      </c>
      <c r="AE381" s="6">
        <f>IF((COUNTIF($AD$2:AD381,"Win")+COUNTIF($AD$2:AD381,"Loss"))=0,0,COUNTIF($AD$2:AD381,"Win")/(COUNTIF($AD$2:AD381,"Win")+COUNTIF($AD$2:AD381,"Loss")))</f>
        <v/>
      </c>
      <c r="AF381" s="6">
        <f>SUM($Y$2:Y381)/SUM($X$2:X381)</f>
        <v/>
      </c>
      <c r="AG381" s="5">
        <f>SUM($Y$2:Y381)</f>
        <v/>
      </c>
      <c r="AH381" s="7">
        <f>10000.0+SUM($AA$2:AA381)</f>
        <v/>
      </c>
      <c r="AI381" s="2" t="n">
        <v>2025</v>
      </c>
      <c r="AJ381" s="2" t="inlineStr">
        <is>
          <t>2025-09</t>
        </is>
      </c>
      <c r="AK381" s="2" t="inlineStr">
        <is>
          <t>+100 to +120</t>
        </is>
      </c>
      <c r="AL381" s="2" t="inlineStr">
        <is>
          <t>2025 Validation</t>
        </is>
      </c>
      <c r="AM381" s="6" t="n">
        <v>0.1101091761151996</v>
      </c>
    </row>
    <row r="382">
      <c r="A382" s="2" t="inlineStr">
        <is>
          <t>KPROP-00381</t>
        </is>
      </c>
      <c r="B382" s="3" t="n">
        <v>45921.56989583333</v>
      </c>
      <c r="C382" s="3" t="n">
        <v>45921</v>
      </c>
      <c r="D382" s="2" t="inlineStr">
        <is>
          <t>Spencer Strider</t>
        </is>
      </c>
      <c r="E382" s="2" t="n">
        <v>144</v>
      </c>
      <c r="F382" s="2" t="n">
        <v>116</v>
      </c>
      <c r="G382" s="2" t="inlineStr">
        <is>
          <t>Away</t>
        </is>
      </c>
      <c r="H382" s="2" t="inlineStr">
        <is>
          <t>betmgm</t>
        </is>
      </c>
      <c r="I382" s="4" t="n"/>
      <c r="J382" s="4" t="n"/>
      <c r="K382" s="4" t="n">
        <v>-118</v>
      </c>
      <c r="L382" s="4" t="n">
        <v>-118</v>
      </c>
      <c r="M382" s="5" t="n">
        <v>6.5</v>
      </c>
      <c r="N382" s="5" t="n">
        <v>5.974573514285443</v>
      </c>
      <c r="O382" s="5" t="n">
        <v>6.5</v>
      </c>
      <c r="P382" s="5" t="n">
        <v>0.525426485714557</v>
      </c>
      <c r="Q382" s="6" t="n">
        <v>0.1276637323688633</v>
      </c>
      <c r="R382" s="6" t="n">
        <v>0.6103867909152563</v>
      </c>
      <c r="S382" s="6" t="n">
        <v>0.5235389255584212</v>
      </c>
      <c r="T382" s="2" t="inlineStr">
        <is>
          <t>Under</t>
        </is>
      </c>
      <c r="U382" s="4" t="n">
        <v>-118</v>
      </c>
      <c r="V382" s="2" t="n">
        <v>1.847457627118644</v>
      </c>
      <c r="W382" s="4" t="n">
        <v>-118</v>
      </c>
      <c r="X382" s="2" t="n">
        <v>1</v>
      </c>
      <c r="Y382" s="5" t="n">
        <v>0.847457627118644</v>
      </c>
      <c r="Z382" s="7" t="n">
        <v>100</v>
      </c>
      <c r="AA382" s="7">
        <f>Y382*Z382</f>
        <v/>
      </c>
      <c r="AB382" s="6">
        <f>IF(Z382=0,0,AA382/Z382)</f>
        <v/>
      </c>
      <c r="AC382" s="6" t="n"/>
      <c r="AD382" s="2" t="inlineStr">
        <is>
          <t>Win</t>
        </is>
      </c>
      <c r="AE382" s="6">
        <f>IF((COUNTIF($AD$2:AD382,"Win")+COUNTIF($AD$2:AD382,"Loss"))=0,0,COUNTIF($AD$2:AD382,"Win")/(COUNTIF($AD$2:AD382,"Win")+COUNTIF($AD$2:AD382,"Loss")))</f>
        <v/>
      </c>
      <c r="AF382" s="6">
        <f>SUM($Y$2:Y382)/SUM($X$2:X382)</f>
        <v/>
      </c>
      <c r="AG382" s="5">
        <f>SUM($Y$2:Y382)</f>
        <v/>
      </c>
      <c r="AH382" s="7">
        <f>10000.0+SUM($AA$2:AA382)</f>
        <v/>
      </c>
      <c r="AI382" s="2" t="n">
        <v>2025</v>
      </c>
      <c r="AJ382" s="2" t="inlineStr">
        <is>
          <t>2025-09</t>
        </is>
      </c>
      <c r="AK382" s="2" t="inlineStr">
        <is>
          <t>-119 to -101</t>
        </is>
      </c>
      <c r="AL382" s="2" t="inlineStr">
        <is>
          <t>2025 Validation</t>
        </is>
      </c>
      <c r="AM382" s="6" t="n">
        <v>0.1506432041952587</v>
      </c>
    </row>
    <row r="383">
      <c r="A383" s="2" t="inlineStr">
        <is>
          <t>KPROP-00382</t>
        </is>
      </c>
      <c r="B383" s="3" t="n">
        <v>45922.80253472222</v>
      </c>
      <c r="C383" s="3" t="n">
        <v>45922</v>
      </c>
      <c r="D383" s="2" t="inlineStr">
        <is>
          <t>Chris Sale</t>
        </is>
      </c>
      <c r="E383" s="2" t="n">
        <v>144</v>
      </c>
      <c r="F383" s="2" t="n">
        <v>120</v>
      </c>
      <c r="G383" s="2" t="inlineStr">
        <is>
          <t>Home</t>
        </is>
      </c>
      <c r="H383" s="2" t="inlineStr">
        <is>
          <t>fanduel</t>
        </is>
      </c>
      <c r="I383" s="4" t="n"/>
      <c r="J383" s="4" t="n"/>
      <c r="K383" s="4" t="n">
        <v>-102</v>
      </c>
      <c r="L383" s="4" t="n">
        <v>-102</v>
      </c>
      <c r="M383" s="5" t="n">
        <v>8.5</v>
      </c>
      <c r="N383" s="5" t="n">
        <v>7.716169154678607</v>
      </c>
      <c r="O383" s="5" t="n">
        <v>8.5</v>
      </c>
      <c r="P383" s="5" t="n">
        <v>0.7838308453213934</v>
      </c>
      <c r="Q383" s="6" t="n">
        <v>0.2518033279165512</v>
      </c>
      <c r="R383" s="6" t="n">
        <v>0.6320987101360803</v>
      </c>
      <c r="S383" s="6" t="n">
        <v>0.4908340971585702</v>
      </c>
      <c r="T383" s="2" t="inlineStr">
        <is>
          <t>Under</t>
        </is>
      </c>
      <c r="U383" s="4" t="n">
        <v>-102</v>
      </c>
      <c r="V383" s="2" t="n">
        <v>1.980392156862745</v>
      </c>
      <c r="W383" s="4" t="n">
        <v>-102</v>
      </c>
      <c r="X383" s="2" t="n">
        <v>1</v>
      </c>
      <c r="Y383" s="5" t="n">
        <v>0.9803921568627452</v>
      </c>
      <c r="Z383" s="7" t="n">
        <v>100</v>
      </c>
      <c r="AA383" s="7">
        <f>Y383*Z383</f>
        <v/>
      </c>
      <c r="AB383" s="6">
        <f>IF(Z383=0,0,AA383/Z383)</f>
        <v/>
      </c>
      <c r="AC383" s="6" t="n"/>
      <c r="AD383" s="2" t="inlineStr">
        <is>
          <t>Win</t>
        </is>
      </c>
      <c r="AE383" s="6">
        <f>IF((COUNTIF($AD$2:AD383,"Win")+COUNTIF($AD$2:AD383,"Loss"))=0,0,COUNTIF($AD$2:AD383,"Win")/(COUNTIF($AD$2:AD383,"Win")+COUNTIF($AD$2:AD383,"Loss")))</f>
        <v/>
      </c>
      <c r="AF383" s="6">
        <f>SUM($Y$2:Y383)/SUM($X$2:X383)</f>
        <v/>
      </c>
      <c r="AG383" s="5">
        <f>SUM($Y$2:Y383)</f>
        <v/>
      </c>
      <c r="AH383" s="7">
        <f>10000.0+SUM($AA$2:AA383)</f>
        <v/>
      </c>
      <c r="AI383" s="2" t="n">
        <v>2025</v>
      </c>
      <c r="AJ383" s="2" t="inlineStr">
        <is>
          <t>2025-09</t>
        </is>
      </c>
      <c r="AK383" s="2" t="inlineStr">
        <is>
          <t>-119 to -101</t>
        </is>
      </c>
      <c r="AL383" s="2" t="inlineStr">
        <is>
          <t>2025 Validation</t>
        </is>
      </c>
      <c r="AM383" s="6" t="n">
        <v>0.2568393944748822</v>
      </c>
    </row>
    <row r="384">
      <c r="A384" s="2" t="inlineStr">
        <is>
          <t>KPROP-00383</t>
        </is>
      </c>
      <c r="B384" s="3" t="n">
        <v>45923.7712962963</v>
      </c>
      <c r="C384" s="3" t="n">
        <v>45923</v>
      </c>
      <c r="D384" s="2" t="inlineStr">
        <is>
          <t>Dean Kremer</t>
        </is>
      </c>
      <c r="E384" s="2" t="n">
        <v>110</v>
      </c>
      <c r="F384" s="2" t="n">
        <v>139</v>
      </c>
      <c r="G384" s="2" t="inlineStr">
        <is>
          <t>Home</t>
        </is>
      </c>
      <c r="H384" s="2" t="inlineStr">
        <is>
          <t>betrivers</t>
        </is>
      </c>
      <c r="I384" s="4" t="n"/>
      <c r="J384" s="4" t="n"/>
      <c r="K384" s="4" t="n">
        <v>125</v>
      </c>
      <c r="L384" s="4" t="n">
        <v>125</v>
      </c>
      <c r="M384" s="5" t="n">
        <v>4.5</v>
      </c>
      <c r="N384" s="5" t="n">
        <v>4.424858492902233</v>
      </c>
      <c r="O384" s="5" t="n">
        <v>4.5</v>
      </c>
      <c r="P384" s="5" t="n">
        <v>0.07514150709776679</v>
      </c>
      <c r="Q384" s="6" t="n">
        <v>0.2294517997841523</v>
      </c>
      <c r="R384" s="6" t="n">
        <v>0.5464230221262899</v>
      </c>
      <c r="S384" s="6" t="n">
        <v>0.4288840262582057</v>
      </c>
      <c r="T384" s="2" t="inlineStr">
        <is>
          <t>Under</t>
        </is>
      </c>
      <c r="U384" s="4" t="n">
        <v>125</v>
      </c>
      <c r="V384" s="2" t="n">
        <v>2.25</v>
      </c>
      <c r="W384" s="4" t="n">
        <v>125</v>
      </c>
      <c r="X384" s="2" t="n">
        <v>1</v>
      </c>
      <c r="Y384" s="5" t="n">
        <v>1.25</v>
      </c>
      <c r="Z384" s="7" t="n">
        <v>100</v>
      </c>
      <c r="AA384" s="7">
        <f>Y384*Z384</f>
        <v/>
      </c>
      <c r="AB384" s="6">
        <f>IF(Z384=0,0,AA384/Z384)</f>
        <v/>
      </c>
      <c r="AC384" s="6" t="n"/>
      <c r="AD384" s="2" t="inlineStr">
        <is>
          <t>Win</t>
        </is>
      </c>
      <c r="AE384" s="6">
        <f>IF((COUNTIF($AD$2:AD384,"Win")+COUNTIF($AD$2:AD384,"Loss"))=0,0,COUNTIF($AD$2:AD384,"Win")/(COUNTIF($AD$2:AD384,"Win")+COUNTIF($AD$2:AD384,"Loss")))</f>
        <v/>
      </c>
      <c r="AF384" s="6">
        <f>SUM($Y$2:Y384)/SUM($X$2:X384)</f>
        <v/>
      </c>
      <c r="AG384" s="5">
        <f>SUM($Y$2:Y384)</f>
        <v/>
      </c>
      <c r="AH384" s="7">
        <f>10000.0+SUM($AA$2:AA384)</f>
        <v/>
      </c>
      <c r="AI384" s="2" t="n">
        <v>2025</v>
      </c>
      <c r="AJ384" s="2" t="inlineStr">
        <is>
          <t>2025-09</t>
        </is>
      </c>
      <c r="AK384" s="2" t="inlineStr">
        <is>
          <t>+121 to +150</t>
        </is>
      </c>
      <c r="AL384" s="2" t="inlineStr">
        <is>
          <t>2025 Validation</t>
        </is>
      </c>
      <c r="AM384" s="6" t="n">
        <v>0.1835614398273218</v>
      </c>
    </row>
    <row r="385">
      <c r="A385" s="2" t="inlineStr">
        <is>
          <t>KPROP-00384</t>
        </is>
      </c>
      <c r="B385" s="3" t="n">
        <v>45923.7712962963</v>
      </c>
      <c r="C385" s="3" t="n">
        <v>45923</v>
      </c>
      <c r="D385" s="2" t="inlineStr">
        <is>
          <t>Dean Kremer</t>
        </is>
      </c>
      <c r="E385" s="2" t="n">
        <v>110</v>
      </c>
      <c r="F385" s="2" t="n">
        <v>139</v>
      </c>
      <c r="G385" s="2" t="inlineStr">
        <is>
          <t>Home</t>
        </is>
      </c>
      <c r="H385" s="2" t="inlineStr">
        <is>
          <t>betrivers</t>
        </is>
      </c>
      <c r="I385" s="4" t="n"/>
      <c r="J385" s="4" t="n"/>
      <c r="K385" s="4" t="n">
        <v>-167</v>
      </c>
      <c r="L385" s="4" t="n">
        <v>-167</v>
      </c>
      <c r="M385" s="5" t="n">
        <v>5.5</v>
      </c>
      <c r="N385" s="5" t="n">
        <v>4.424858492902233</v>
      </c>
      <c r="O385" s="5" t="n">
        <v>5.5</v>
      </c>
      <c r="P385" s="5" t="n">
        <v>1.075141507097767</v>
      </c>
      <c r="Q385" s="6" t="n">
        <v>0.1442791787530971</v>
      </c>
      <c r="R385" s="6" t="n">
        <v>0.7157101979466938</v>
      </c>
      <c r="S385" s="6" t="n">
        <v>0.5878103001111522</v>
      </c>
      <c r="T385" s="2" t="inlineStr">
        <is>
          <t>Under</t>
        </is>
      </c>
      <c r="U385" s="4" t="n">
        <v>-167</v>
      </c>
      <c r="V385" s="2" t="n">
        <v>1.598802395209581</v>
      </c>
      <c r="W385" s="4" t="n">
        <v>-167</v>
      </c>
      <c r="X385" s="2" t="n">
        <v>1</v>
      </c>
      <c r="Y385" s="5" t="n">
        <v>0.5988023952095807</v>
      </c>
      <c r="Z385" s="7" t="n">
        <v>100</v>
      </c>
      <c r="AA385" s="7">
        <f>Y385*Z385</f>
        <v/>
      </c>
      <c r="AB385" s="6">
        <f>IF(Z385=0,0,AA385/Z385)</f>
        <v/>
      </c>
      <c r="AC385" s="6" t="n"/>
      <c r="AD385" s="2" t="inlineStr">
        <is>
          <t>Win</t>
        </is>
      </c>
      <c r="AE385" s="6">
        <f>IF((COUNTIF($AD$2:AD385,"Win")+COUNTIF($AD$2:AD385,"Loss"))=0,0,COUNTIF($AD$2:AD385,"Win")/(COUNTIF($AD$2:AD385,"Win")+COUNTIF($AD$2:AD385,"Loss")))</f>
        <v/>
      </c>
      <c r="AF385" s="6">
        <f>SUM($Y$2:Y385)/SUM($X$2:X385)</f>
        <v/>
      </c>
      <c r="AG385" s="5">
        <f>SUM($Y$2:Y385)</f>
        <v/>
      </c>
      <c r="AH385" s="7">
        <f>10000.0+SUM($AA$2:AA385)</f>
        <v/>
      </c>
      <c r="AI385" s="2" t="n">
        <v>2025</v>
      </c>
      <c r="AJ385" s="2" t="inlineStr">
        <is>
          <t>2025-09</t>
        </is>
      </c>
      <c r="AK385" s="2" t="inlineStr">
        <is>
          <t>&lt;= -150</t>
        </is>
      </c>
      <c r="AL385" s="2" t="inlineStr">
        <is>
          <t>2025 Validation</t>
        </is>
      </c>
      <c r="AM385" s="6" t="n">
        <v>0.2409462285176722</v>
      </c>
    </row>
    <row r="386">
      <c r="A386" s="2" t="inlineStr">
        <is>
          <t>KPROP-00385</t>
        </is>
      </c>
      <c r="B386" s="3" t="n">
        <v>45923.80253472222</v>
      </c>
      <c r="C386" s="3" t="n">
        <v>45923</v>
      </c>
      <c r="D386" s="2" t="inlineStr">
        <is>
          <t>Hurston Waldrep</t>
        </is>
      </c>
      <c r="E386" s="2" t="n">
        <v>144</v>
      </c>
      <c r="F386" s="2" t="n">
        <v>120</v>
      </c>
      <c r="G386" s="2" t="inlineStr">
        <is>
          <t>Home</t>
        </is>
      </c>
      <c r="H386" s="2" t="inlineStr">
        <is>
          <t>betrivers</t>
        </is>
      </c>
      <c r="I386" s="4" t="n"/>
      <c r="J386" s="4" t="n"/>
      <c r="K386" s="4" t="n">
        <v>132</v>
      </c>
      <c r="L386" s="4" t="n">
        <v>132</v>
      </c>
      <c r="M386" s="5" t="n">
        <v>4.5</v>
      </c>
      <c r="N386" s="5" t="n">
        <v>4.819390861762336</v>
      </c>
      <c r="O386" s="5" t="n">
        <v>4.5</v>
      </c>
      <c r="P386" s="5" t="n">
        <v>-0.3193908617623356</v>
      </c>
      <c r="Q386" s="6" t="n">
        <v>0.0967447205823494</v>
      </c>
      <c r="R386" s="6" t="n">
        <v>0.4727347933544609</v>
      </c>
      <c r="S386" s="6" t="n">
        <v>0.4004316710212427</v>
      </c>
      <c r="T386" s="2" t="inlineStr">
        <is>
          <t>Under</t>
        </is>
      </c>
      <c r="U386" s="4" t="n">
        <v>132</v>
      </c>
      <c r="V386" s="2" t="n">
        <v>2.32</v>
      </c>
      <c r="W386" s="4" t="n">
        <v>132</v>
      </c>
      <c r="X386" s="2" t="n">
        <v>1</v>
      </c>
      <c r="Y386" s="5" t="n">
        <v>-1</v>
      </c>
      <c r="Z386" s="7" t="n">
        <v>100</v>
      </c>
      <c r="AA386" s="7">
        <f>Y386*Z386</f>
        <v/>
      </c>
      <c r="AB386" s="6">
        <f>IF(Z386=0,0,AA386/Z386)</f>
        <v/>
      </c>
      <c r="AC386" s="6" t="n"/>
      <c r="AD386" s="2" t="inlineStr">
        <is>
          <t>Loss</t>
        </is>
      </c>
      <c r="AE386" s="6">
        <f>IF((COUNTIF($AD$2:AD386,"Win")+COUNTIF($AD$2:AD386,"Loss"))=0,0,COUNTIF($AD$2:AD386,"Win")/(COUNTIF($AD$2:AD386,"Win")+COUNTIF($AD$2:AD386,"Loss")))</f>
        <v/>
      </c>
      <c r="AF386" s="6">
        <f>SUM($Y$2:Y386)/SUM($X$2:X386)</f>
        <v/>
      </c>
      <c r="AG386" s="5">
        <f>SUM($Y$2:Y386)</f>
        <v/>
      </c>
      <c r="AH386" s="7">
        <f>10000.0+SUM($AA$2:AA386)</f>
        <v/>
      </c>
      <c r="AI386" s="2" t="n">
        <v>2025</v>
      </c>
      <c r="AJ386" s="2" t="inlineStr">
        <is>
          <t>2025-09</t>
        </is>
      </c>
      <c r="AK386" s="2" t="inlineStr">
        <is>
          <t>+121 to +150</t>
        </is>
      </c>
      <c r="AL386" s="2" t="inlineStr">
        <is>
          <t>2025 Validation</t>
        </is>
      </c>
      <c r="AM386" s="6" t="n">
        <v>0.07329145498662831</v>
      </c>
    </row>
    <row r="387">
      <c r="A387" s="2" t="inlineStr">
        <is>
          <t>KPROP-00386</t>
        </is>
      </c>
      <c r="B387" s="3" t="n">
        <v>45923.80253472222</v>
      </c>
      <c r="C387" s="3" t="n">
        <v>45923</v>
      </c>
      <c r="D387" s="2" t="inlineStr">
        <is>
          <t>Hurston Waldrep</t>
        </is>
      </c>
      <c r="E387" s="2" t="n">
        <v>144</v>
      </c>
      <c r="F387" s="2" t="n">
        <v>120</v>
      </c>
      <c r="G387" s="2" t="inlineStr">
        <is>
          <t>Home</t>
        </is>
      </c>
      <c r="H387" s="2" t="inlineStr">
        <is>
          <t>fanatics</t>
        </is>
      </c>
      <c r="I387" s="4" t="n"/>
      <c r="J387" s="4" t="n"/>
      <c r="K387" s="4" t="n">
        <v>-150</v>
      </c>
      <c r="L387" s="4" t="n">
        <v>-150</v>
      </c>
      <c r="M387" s="5" t="n">
        <v>5.5</v>
      </c>
      <c r="N387" s="5" t="n">
        <v>4.819390861762336</v>
      </c>
      <c r="O387" s="5" t="n">
        <v>5.5</v>
      </c>
      <c r="P387" s="5" t="n">
        <v>0.6806091382376644</v>
      </c>
      <c r="Q387" s="6" t="n">
        <v>0.07936100977375116</v>
      </c>
      <c r="R387" s="6" t="n">
        <v>0.6476166058642507</v>
      </c>
      <c r="S387" s="6" t="n">
        <v>0.5700773860705073</v>
      </c>
      <c r="T387" s="2" t="inlineStr">
        <is>
          <t>Under</t>
        </is>
      </c>
      <c r="U387" s="4" t="n">
        <v>-150</v>
      </c>
      <c r="V387" s="2" t="n">
        <v>1.666666666666667</v>
      </c>
      <c r="W387" s="4" t="n">
        <v>-150</v>
      </c>
      <c r="X387" s="2" t="n">
        <v>1</v>
      </c>
      <c r="Y387" s="5" t="n">
        <v>0.6666666666666665</v>
      </c>
      <c r="Z387" s="7" t="n">
        <v>100</v>
      </c>
      <c r="AA387" s="7">
        <f>Y387*Z387</f>
        <v/>
      </c>
      <c r="AB387" s="6">
        <f>IF(Z387=0,0,AA387/Z387)</f>
        <v/>
      </c>
      <c r="AC387" s="6" t="n"/>
      <c r="AD387" s="2" t="inlineStr">
        <is>
          <t>Win</t>
        </is>
      </c>
      <c r="AE387" s="6">
        <f>IF((COUNTIF($AD$2:AD387,"Win")+COUNTIF($AD$2:AD387,"Loss"))=0,0,COUNTIF($AD$2:AD387,"Win")/(COUNTIF($AD$2:AD387,"Win")+COUNTIF($AD$2:AD387,"Loss")))</f>
        <v/>
      </c>
      <c r="AF387" s="6">
        <f>SUM($Y$2:Y387)/SUM($X$2:X387)</f>
        <v/>
      </c>
      <c r="AG387" s="5">
        <f>SUM($Y$2:Y387)</f>
        <v/>
      </c>
      <c r="AH387" s="7">
        <f>10000.0+SUM($AA$2:AA387)</f>
        <v/>
      </c>
      <c r="AI387" s="2" t="n">
        <v>2025</v>
      </c>
      <c r="AJ387" s="2" t="inlineStr">
        <is>
          <t>2025-09</t>
        </is>
      </c>
      <c r="AK387" s="2" t="inlineStr">
        <is>
          <t>&lt;= -150</t>
        </is>
      </c>
      <c r="AL387" s="2" t="inlineStr">
        <is>
          <t>2025 Validation</t>
        </is>
      </c>
      <c r="AM387" s="6" t="n">
        <v>0.1190415146606268</v>
      </c>
    </row>
    <row r="388">
      <c r="A388" s="2" t="inlineStr">
        <is>
          <t>KPROP-00387</t>
        </is>
      </c>
      <c r="B388" s="3" t="n">
        <v>45923.77822916667</v>
      </c>
      <c r="C388" s="3" t="n">
        <v>45923</v>
      </c>
      <c r="D388" s="2" t="inlineStr">
        <is>
          <t>Tarik Skubal</t>
        </is>
      </c>
      <c r="E388" s="2" t="n">
        <v>116</v>
      </c>
      <c r="F388" s="2" t="n">
        <v>114</v>
      </c>
      <c r="G388" s="2" t="inlineStr">
        <is>
          <t>Away</t>
        </is>
      </c>
      <c r="H388" s="2" t="inlineStr">
        <is>
          <t>draftkings</t>
        </is>
      </c>
      <c r="I388" s="4" t="n"/>
      <c r="J388" s="4" t="n"/>
      <c r="K388" s="4" t="n">
        <v>114</v>
      </c>
      <c r="L388" s="4" t="n">
        <v>114</v>
      </c>
      <c r="M388" s="5" t="n">
        <v>7.5</v>
      </c>
      <c r="N388" s="5" t="n">
        <v>7.188053161150124</v>
      </c>
      <c r="O388" s="5" t="n">
        <v>7.5</v>
      </c>
      <c r="P388" s="5" t="n">
        <v>0.3119468388498756</v>
      </c>
      <c r="Q388" s="6" t="n">
        <v>0.2213336433068493</v>
      </c>
      <c r="R388" s="6" t="n">
        <v>0.5707166557508643</v>
      </c>
      <c r="S388" s="6" t="n">
        <v>0.4525777253049981</v>
      </c>
      <c r="T388" s="2" t="inlineStr">
        <is>
          <t>Under</t>
        </is>
      </c>
      <c r="U388" s="4" t="n">
        <v>114</v>
      </c>
      <c r="V388" s="2" t="n">
        <v>2.14</v>
      </c>
      <c r="W388" s="4" t="n">
        <v>114</v>
      </c>
      <c r="X388" s="2" t="n">
        <v>1</v>
      </c>
      <c r="Y388" s="5" t="n">
        <v>-1</v>
      </c>
      <c r="Z388" s="7" t="n">
        <v>100</v>
      </c>
      <c r="AA388" s="7">
        <f>Y388*Z388</f>
        <v/>
      </c>
      <c r="AB388" s="6">
        <f>IF(Z388=0,0,AA388/Z388)</f>
        <v/>
      </c>
      <c r="AC388" s="6" t="n"/>
      <c r="AD388" s="2" t="inlineStr">
        <is>
          <t>Loss</t>
        </is>
      </c>
      <c r="AE388" s="6">
        <f>IF((COUNTIF($AD$2:AD388,"Win")+COUNTIF($AD$2:AD388,"Loss"))=0,0,COUNTIF($AD$2:AD388,"Win")/(COUNTIF($AD$2:AD388,"Win")+COUNTIF($AD$2:AD388,"Loss")))</f>
        <v/>
      </c>
      <c r="AF388" s="6">
        <f>SUM($Y$2:Y388)/SUM($X$2:X388)</f>
        <v/>
      </c>
      <c r="AG388" s="5">
        <f>SUM($Y$2:Y388)</f>
        <v/>
      </c>
      <c r="AH388" s="7">
        <f>10000.0+SUM($AA$2:AA388)</f>
        <v/>
      </c>
      <c r="AI388" s="2" t="n">
        <v>2025</v>
      </c>
      <c r="AJ388" s="2" t="inlineStr">
        <is>
          <t>2025-09</t>
        </is>
      </c>
      <c r="AK388" s="2" t="inlineStr">
        <is>
          <t>+100 to +120</t>
        </is>
      </c>
      <c r="AL388" s="2" t="inlineStr">
        <is>
          <t>2025 Validation</t>
        </is>
      </c>
      <c r="AM388" s="6" t="n">
        <v>0.1941523186902188</v>
      </c>
    </row>
    <row r="389">
      <c r="A389" s="2" t="inlineStr">
        <is>
          <t>KPROP-00388</t>
        </is>
      </c>
      <c r="B389" s="3" t="n">
        <v>45924.77824074074</v>
      </c>
      <c r="C389" s="3" t="n">
        <v>45924</v>
      </c>
      <c r="D389" s="2" t="inlineStr">
        <is>
          <t>Hunter Greene</t>
        </is>
      </c>
      <c r="E389" s="2" t="n">
        <v>113</v>
      </c>
      <c r="F389" s="2" t="n">
        <v>134</v>
      </c>
      <c r="G389" s="2" t="inlineStr">
        <is>
          <t>Home</t>
        </is>
      </c>
      <c r="H389" s="2" t="inlineStr">
        <is>
          <t>draftkings</t>
        </is>
      </c>
      <c r="I389" s="4" t="n"/>
      <c r="J389" s="4" t="n"/>
      <c r="K389" s="4" t="n">
        <v>118</v>
      </c>
      <c r="L389" s="4" t="n">
        <v>118</v>
      </c>
      <c r="M389" s="5" t="n">
        <v>7.5</v>
      </c>
      <c r="N389" s="5" t="n">
        <v>7.505636435173531</v>
      </c>
      <c r="O389" s="5" t="n">
        <v>7.5</v>
      </c>
      <c r="P389" s="5" t="n">
        <v>-0.005636435173530963</v>
      </c>
      <c r="Q389" s="6" t="n">
        <v>0.1419124174147369</v>
      </c>
      <c r="R389" s="6" t="n">
        <v>0.5238130355113473</v>
      </c>
      <c r="S389" s="6" t="n">
        <v>0.4359537818104487</v>
      </c>
      <c r="T389" s="2" t="inlineStr">
        <is>
          <t>Under</t>
        </is>
      </c>
      <c r="U389" s="4" t="n">
        <v>118</v>
      </c>
      <c r="V389" s="2" t="n">
        <v>2.18</v>
      </c>
      <c r="W389" s="4" t="n">
        <v>118</v>
      </c>
      <c r="X389" s="2" t="n">
        <v>1</v>
      </c>
      <c r="Y389" s="5" t="n">
        <v>1.18</v>
      </c>
      <c r="Z389" s="7" t="n">
        <v>100</v>
      </c>
      <c r="AA389" s="7">
        <f>Y389*Z389</f>
        <v/>
      </c>
      <c r="AB389" s="6">
        <f>IF(Z389=0,0,AA389/Z389)</f>
        <v/>
      </c>
      <c r="AC389" s="6" t="n"/>
      <c r="AD389" s="2" t="inlineStr">
        <is>
          <t>Win</t>
        </is>
      </c>
      <c r="AE389" s="6">
        <f>IF((COUNTIF($AD$2:AD389,"Win")+COUNTIF($AD$2:AD389,"Loss"))=0,0,COUNTIF($AD$2:AD389,"Win")/(COUNTIF($AD$2:AD389,"Win")+COUNTIF($AD$2:AD389,"Loss")))</f>
        <v/>
      </c>
      <c r="AF389" s="6">
        <f>SUM($Y$2:Y389)/SUM($X$2:X389)</f>
        <v/>
      </c>
      <c r="AG389" s="5">
        <f>SUM($Y$2:Y389)</f>
        <v/>
      </c>
      <c r="AH389" s="7">
        <f>10000.0+SUM($AA$2:AA389)</f>
        <v/>
      </c>
      <c r="AI389" s="2" t="n">
        <v>2025</v>
      </c>
      <c r="AJ389" s="2" t="inlineStr">
        <is>
          <t>2025-09</t>
        </is>
      </c>
      <c r="AK389" s="2" t="inlineStr">
        <is>
          <t>+100 to +120</t>
        </is>
      </c>
      <c r="AL389" s="2" t="inlineStr">
        <is>
          <t>2025 Validation</t>
        </is>
      </c>
      <c r="AM389" s="6" t="n">
        <v>0.1202647605209635</v>
      </c>
    </row>
    <row r="390">
      <c r="A390" s="2" t="inlineStr">
        <is>
          <t>KPROP-00389</t>
        </is>
      </c>
      <c r="B390" s="3" t="n">
        <v>45924.795625</v>
      </c>
      <c r="C390" s="3" t="n">
        <v>45924</v>
      </c>
      <c r="D390" s="2" t="inlineStr">
        <is>
          <t>Max Scherzer</t>
        </is>
      </c>
      <c r="E390" s="2" t="n">
        <v>141</v>
      </c>
      <c r="F390" s="2" t="n">
        <v>111</v>
      </c>
      <c r="G390" s="2" t="inlineStr">
        <is>
          <t>Home</t>
        </is>
      </c>
      <c r="H390" s="2" t="inlineStr">
        <is>
          <t>bovada</t>
        </is>
      </c>
      <c r="I390" s="4" t="n"/>
      <c r="J390" s="4" t="n"/>
      <c r="K390" s="4" t="n">
        <v>-135</v>
      </c>
      <c r="L390" s="4" t="n">
        <v>-135</v>
      </c>
      <c r="M390" s="5" t="n">
        <v>5.5</v>
      </c>
      <c r="N390" s="5" t="n">
        <v>4.745193202145253</v>
      </c>
      <c r="O390" s="5" t="n">
        <v>5.5</v>
      </c>
      <c r="P390" s="5" t="n">
        <v>0.754806797854747</v>
      </c>
      <c r="Q390" s="6" t="n">
        <v>0.1498842904754487</v>
      </c>
      <c r="R390" s="6" t="n">
        <v>0.6605718264433429</v>
      </c>
      <c r="S390" s="6" t="n">
        <v>0.5467695274831245</v>
      </c>
      <c r="T390" s="2" t="inlineStr">
        <is>
          <t>Under</t>
        </is>
      </c>
      <c r="U390" s="4" t="n">
        <v>-135</v>
      </c>
      <c r="V390" s="2" t="n">
        <v>1.740740740740741</v>
      </c>
      <c r="W390" s="4" t="n">
        <v>-135</v>
      </c>
      <c r="X390" s="2" t="n">
        <v>1</v>
      </c>
      <c r="Y390" s="5" t="n">
        <v>0.7407407407407407</v>
      </c>
      <c r="Z390" s="7" t="n">
        <v>100</v>
      </c>
      <c r="AA390" s="7">
        <f>Y390*Z390</f>
        <v/>
      </c>
      <c r="AB390" s="6">
        <f>IF(Z390=0,0,AA390/Z390)</f>
        <v/>
      </c>
      <c r="AC390" s="6" t="n"/>
      <c r="AD390" s="2" t="inlineStr">
        <is>
          <t>Win</t>
        </is>
      </c>
      <c r="AE390" s="6">
        <f>IF((COUNTIF($AD$2:AD390,"Win")+COUNTIF($AD$2:AD390,"Loss"))=0,0,COUNTIF($AD$2:AD390,"Win")/(COUNTIF($AD$2:AD390,"Win")+COUNTIF($AD$2:AD390,"Loss")))</f>
        <v/>
      </c>
      <c r="AF390" s="6">
        <f>SUM($Y$2:Y390)/SUM($X$2:X390)</f>
        <v/>
      </c>
      <c r="AG390" s="5">
        <f>SUM($Y$2:Y390)</f>
        <v/>
      </c>
      <c r="AH390" s="7">
        <f>10000.0+SUM($AA$2:AA390)</f>
        <v/>
      </c>
      <c r="AI390" s="2" t="n">
        <v>2025</v>
      </c>
      <c r="AJ390" s="2" t="inlineStr">
        <is>
          <t>2025-09</t>
        </is>
      </c>
      <c r="AK390" s="2" t="inlineStr">
        <is>
          <t>-149 to -120</t>
        </is>
      </c>
      <c r="AL390" s="2" t="inlineStr">
        <is>
          <t>2025 Validation</t>
        </is>
      </c>
      <c r="AM390" s="6" t="n">
        <v>0.2023437921418558</v>
      </c>
    </row>
    <row r="391">
      <c r="A391" s="2" t="inlineStr">
        <is>
          <t>KPROP-00390</t>
        </is>
      </c>
      <c r="B391" s="3" t="n">
        <v>45924.77476851852</v>
      </c>
      <c r="C391" s="3" t="n">
        <v>45924</v>
      </c>
      <c r="D391" s="2" t="inlineStr">
        <is>
          <t>Tyler Wells</t>
        </is>
      </c>
      <c r="E391" s="2" t="n">
        <v>110</v>
      </c>
      <c r="F391" s="2" t="n">
        <v>139</v>
      </c>
      <c r="G391" s="2" t="inlineStr">
        <is>
          <t>Home</t>
        </is>
      </c>
      <c r="H391" s="2" t="inlineStr">
        <is>
          <t>betrivers</t>
        </is>
      </c>
      <c r="I391" s="4" t="n"/>
      <c r="J391" s="4" t="n"/>
      <c r="K391" s="4" t="n">
        <v>133</v>
      </c>
      <c r="L391" s="4" t="n">
        <v>133</v>
      </c>
      <c r="M391" s="5" t="n">
        <v>4.5</v>
      </c>
      <c r="N391" s="5" t="n">
        <v>4.795342409716017</v>
      </c>
      <c r="O391" s="5" t="n">
        <v>4.5</v>
      </c>
      <c r="P391" s="5" t="n">
        <v>-0.2953424097160173</v>
      </c>
      <c r="Q391" s="6" t="n">
        <v>0.1116590723076484</v>
      </c>
      <c r="R391" s="6" t="n">
        <v>0.4771068979861152</v>
      </c>
      <c r="S391" s="6" t="n">
        <v>0.3975645694903946</v>
      </c>
      <c r="T391" s="2" t="inlineStr">
        <is>
          <t>Under</t>
        </is>
      </c>
      <c r="U391" s="4" t="n">
        <v>133</v>
      </c>
      <c r="V391" s="2" t="n">
        <v>2.33</v>
      </c>
      <c r="W391" s="4" t="n">
        <v>133</v>
      </c>
      <c r="X391" s="2" t="n">
        <v>1</v>
      </c>
      <c r="Y391" s="5" t="n">
        <v>1.33</v>
      </c>
      <c r="Z391" s="7" t="n">
        <v>100</v>
      </c>
      <c r="AA391" s="7">
        <f>Y391*Z391</f>
        <v/>
      </c>
      <c r="AB391" s="6">
        <f>IF(Z391=0,0,AA391/Z391)</f>
        <v/>
      </c>
      <c r="AC391" s="6" t="n"/>
      <c r="AD391" s="2" t="inlineStr">
        <is>
          <t>Win</t>
        </is>
      </c>
      <c r="AE391" s="6">
        <f>IF((COUNTIF($AD$2:AD391,"Win")+COUNTIF($AD$2:AD391,"Loss"))=0,0,COUNTIF($AD$2:AD391,"Win")/(COUNTIF($AD$2:AD391,"Win")+COUNTIF($AD$2:AD391,"Loss")))</f>
        <v/>
      </c>
      <c r="AF391" s="6">
        <f>SUM($Y$2:Y391)/SUM($X$2:X391)</f>
        <v/>
      </c>
      <c r="AG391" s="5">
        <f>SUM($Y$2:Y391)</f>
        <v/>
      </c>
      <c r="AH391" s="7">
        <f>10000.0+SUM($AA$2:AA391)</f>
        <v/>
      </c>
      <c r="AI391" s="2" t="n">
        <v>2025</v>
      </c>
      <c r="AJ391" s="2" t="inlineStr">
        <is>
          <t>2025-09</t>
        </is>
      </c>
      <c r="AK391" s="2" t="inlineStr">
        <is>
          <t>+121 to +150</t>
        </is>
      </c>
      <c r="AL391" s="2" t="inlineStr">
        <is>
          <t>2025 Validation</t>
        </is>
      </c>
      <c r="AM391" s="6" t="n">
        <v>0.08395418970499878</v>
      </c>
    </row>
    <row r="392">
      <c r="A392" s="2" t="inlineStr">
        <is>
          <t>KPROP-00391</t>
        </is>
      </c>
      <c r="B392" s="3" t="n">
        <v>45925.60809027778</v>
      </c>
      <c r="C392" s="3" t="n">
        <v>45925</v>
      </c>
      <c r="D392" s="2" t="inlineStr">
        <is>
          <t>Bailey Ober</t>
        </is>
      </c>
      <c r="E392" s="2" t="n">
        <v>142</v>
      </c>
      <c r="F392" s="2" t="n">
        <v>140</v>
      </c>
      <c r="G392" s="2" t="inlineStr">
        <is>
          <t>Away</t>
        </is>
      </c>
      <c r="H392" s="2" t="inlineStr">
        <is>
          <t>betmgm</t>
        </is>
      </c>
      <c r="I392" s="4" t="n"/>
      <c r="J392" s="4" t="n"/>
      <c r="K392" s="4" t="n">
        <v>110</v>
      </c>
      <c r="L392" s="4" t="n">
        <v>110</v>
      </c>
      <c r="M392" s="5" t="n">
        <v>4.5</v>
      </c>
      <c r="N392" s="5" t="n">
        <v>4.237887102097529</v>
      </c>
      <c r="O392" s="5" t="n">
        <v>4.5</v>
      </c>
      <c r="P392" s="5" t="n">
        <v>0.2621128979024707</v>
      </c>
      <c r="Q392" s="6" t="n">
        <v>0.2231826123475496</v>
      </c>
      <c r="R392" s="6" t="n">
        <v>0.5824679106416902</v>
      </c>
      <c r="S392" s="6" t="n">
        <v>0.4516866781017724</v>
      </c>
      <c r="T392" s="2" t="inlineStr">
        <is>
          <t>Under</t>
        </is>
      </c>
      <c r="U392" s="4" t="n">
        <v>110</v>
      </c>
      <c r="V392" s="2" t="n">
        <v>2.1</v>
      </c>
      <c r="W392" s="4" t="n">
        <v>110</v>
      </c>
      <c r="X392" s="2" t="n">
        <v>1</v>
      </c>
      <c r="Y392" s="5" t="n">
        <v>-1</v>
      </c>
      <c r="Z392" s="7" t="n">
        <v>100</v>
      </c>
      <c r="AA392" s="7">
        <f>Y392*Z392</f>
        <v/>
      </c>
      <c r="AB392" s="6">
        <f>IF(Z392=0,0,AA392/Z392)</f>
        <v/>
      </c>
      <c r="AC392" s="6" t="n"/>
      <c r="AD392" s="2" t="inlineStr">
        <is>
          <t>Loss</t>
        </is>
      </c>
      <c r="AE392" s="6">
        <f>IF((COUNTIF($AD$2:AD392,"Win")+COUNTIF($AD$2:AD392,"Loss"))=0,0,COUNTIF($AD$2:AD392,"Win")/(COUNTIF($AD$2:AD392,"Win")+COUNTIF($AD$2:AD392,"Loss")))</f>
        <v/>
      </c>
      <c r="AF392" s="6">
        <f>SUM($Y$2:Y392)/SUM($X$2:X392)</f>
        <v/>
      </c>
      <c r="AG392" s="5">
        <f>SUM($Y$2:Y392)</f>
        <v/>
      </c>
      <c r="AH392" s="7">
        <f>10000.0+SUM($AA$2:AA392)</f>
        <v/>
      </c>
      <c r="AI392" s="2" t="n">
        <v>2025</v>
      </c>
      <c r="AJ392" s="2" t="inlineStr">
        <is>
          <t>2025-09</t>
        </is>
      </c>
      <c r="AK392" s="2" t="inlineStr">
        <is>
          <t>+100 to +120</t>
        </is>
      </c>
      <c r="AL392" s="2" t="inlineStr">
        <is>
          <t>2025 Validation</t>
        </is>
      </c>
      <c r="AM392" s="6" t="n">
        <v>0.2028932839523178</v>
      </c>
    </row>
    <row r="393">
      <c r="A393" s="2" t="inlineStr">
        <is>
          <t>KPROP-00392</t>
        </is>
      </c>
      <c r="B393" s="3" t="n">
        <v>45925.56990740741</v>
      </c>
      <c r="C393" s="3" t="n">
        <v>45925</v>
      </c>
      <c r="D393" s="2" t="inlineStr">
        <is>
          <t>Nick Lodolo</t>
        </is>
      </c>
      <c r="E393" s="2" t="n">
        <v>113</v>
      </c>
      <c r="F393" s="2" t="n">
        <v>134</v>
      </c>
      <c r="G393" s="2" t="inlineStr">
        <is>
          <t>Home</t>
        </is>
      </c>
      <c r="H393" s="2" t="inlineStr">
        <is>
          <t>fanduel</t>
        </is>
      </c>
      <c r="I393" s="4" t="n"/>
      <c r="J393" s="4" t="n"/>
      <c r="K393" s="4" t="n">
        <v>-112</v>
      </c>
      <c r="L393" s="4" t="n">
        <v>-112</v>
      </c>
      <c r="M393" s="5" t="n">
        <v>6.5</v>
      </c>
      <c r="N393" s="5" t="n">
        <v>6.053781212493389</v>
      </c>
      <c r="O393" s="5" t="n">
        <v>6.5</v>
      </c>
      <c r="P393" s="5" t="n">
        <v>0.446218787506611</v>
      </c>
      <c r="Q393" s="6" t="n">
        <v>0.1312944000221546</v>
      </c>
      <c r="R393" s="6" t="n">
        <v>0.5976649660494402</v>
      </c>
      <c r="S393" s="6" t="n">
        <v>0.5</v>
      </c>
      <c r="T393" s="2" t="inlineStr">
        <is>
          <t>Under</t>
        </is>
      </c>
      <c r="U393" s="4" t="n">
        <v>-112</v>
      </c>
      <c r="V393" s="2" t="n">
        <v>1.892857142857143</v>
      </c>
      <c r="W393" s="4" t="n">
        <v>-112</v>
      </c>
      <c r="X393" s="2" t="n">
        <v>1</v>
      </c>
      <c r="Y393" s="5" t="n">
        <v>-1</v>
      </c>
      <c r="Z393" s="7" t="n">
        <v>100</v>
      </c>
      <c r="AA393" s="7">
        <f>Y393*Z393</f>
        <v/>
      </c>
      <c r="AB393" s="6">
        <f>IF(Z393=0,0,AA393/Z393)</f>
        <v/>
      </c>
      <c r="AC393" s="6" t="n"/>
      <c r="AD393" s="2" t="inlineStr">
        <is>
          <t>Loss</t>
        </is>
      </c>
      <c r="AE393" s="6">
        <f>IF((COUNTIF($AD$2:AD393,"Win")+COUNTIF($AD$2:AD393,"Loss"))=0,0,COUNTIF($AD$2:AD393,"Win")/(COUNTIF($AD$2:AD393,"Win")+COUNTIF($AD$2:AD393,"Loss")))</f>
        <v/>
      </c>
      <c r="AF393" s="6">
        <f>SUM($Y$2:Y393)/SUM($X$2:X393)</f>
        <v/>
      </c>
      <c r="AG393" s="5">
        <f>SUM($Y$2:Y393)</f>
        <v/>
      </c>
      <c r="AH393" s="7">
        <f>10000.0+SUM($AA$2:AA393)</f>
        <v/>
      </c>
      <c r="AI393" s="2" t="n">
        <v>2025</v>
      </c>
      <c r="AJ393" s="2" t="inlineStr">
        <is>
          <t>2025-09</t>
        </is>
      </c>
      <c r="AK393" s="2" t="inlineStr">
        <is>
          <t>-119 to -101</t>
        </is>
      </c>
      <c r="AL393" s="2" t="inlineStr">
        <is>
          <t>2025 Validation</t>
        </is>
      </c>
      <c r="AM393" s="6" t="n">
        <v>0.1470497280248132</v>
      </c>
    </row>
    <row r="394">
      <c r="A394" s="2" t="inlineStr">
        <is>
          <t>KPROP-00393</t>
        </is>
      </c>
      <c r="B394" s="3" t="n">
        <v>45925.81991898148</v>
      </c>
      <c r="C394" s="3" t="n">
        <v>45925</v>
      </c>
      <c r="D394" s="2" t="inlineStr">
        <is>
          <t>Shota Imanaga</t>
        </is>
      </c>
      <c r="E394" s="2" t="n">
        <v>112</v>
      </c>
      <c r="F394" s="2" t="n">
        <v>121</v>
      </c>
      <c r="G394" s="2" t="inlineStr">
        <is>
          <t>Home</t>
        </is>
      </c>
      <c r="H394" s="2" t="inlineStr">
        <is>
          <t>bovada</t>
        </is>
      </c>
      <c r="I394" s="4" t="n"/>
      <c r="J394" s="4" t="n"/>
      <c r="K394" s="4" t="n">
        <v>120</v>
      </c>
      <c r="L394" s="4" t="n">
        <v>120</v>
      </c>
      <c r="M394" s="5" t="n">
        <v>4.5</v>
      </c>
      <c r="N394" s="5" t="n">
        <v>4.482348040397728</v>
      </c>
      <c r="O394" s="5" t="n">
        <v>4.5</v>
      </c>
      <c r="P394" s="5" t="n">
        <v>0.01765195960227217</v>
      </c>
      <c r="Q394" s="6" t="n">
        <v>0.1780060735942901</v>
      </c>
      <c r="R394" s="6" t="n">
        <v>0.5354573061792227</v>
      </c>
      <c r="S394" s="6" t="n">
        <v>0.4372278664731495</v>
      </c>
      <c r="T394" s="2" t="inlineStr">
        <is>
          <t>Under</t>
        </is>
      </c>
      <c r="U394" s="4" t="n">
        <v>120</v>
      </c>
      <c r="V394" s="2" t="n">
        <v>2.2</v>
      </c>
      <c r="W394" s="4" t="n">
        <v>120</v>
      </c>
      <c r="X394" s="2" t="n">
        <v>1</v>
      </c>
      <c r="Y394" s="5" t="n">
        <v>1.2</v>
      </c>
      <c r="Z394" s="7" t="n">
        <v>100</v>
      </c>
      <c r="AA394" s="7">
        <f>Y394*Z394</f>
        <v/>
      </c>
      <c r="AB394" s="6">
        <f>IF(Z394=0,0,AA394/Z394)</f>
        <v/>
      </c>
      <c r="AC394" s="6" t="n"/>
      <c r="AD394" s="2" t="inlineStr">
        <is>
          <t>Win</t>
        </is>
      </c>
      <c r="AE394" s="6">
        <f>IF((COUNTIF($AD$2:AD394,"Win")+COUNTIF($AD$2:AD394,"Loss"))=0,0,COUNTIF($AD$2:AD394,"Win")/(COUNTIF($AD$2:AD394,"Win")+COUNTIF($AD$2:AD394,"Loss")))</f>
        <v/>
      </c>
      <c r="AF394" s="6">
        <f>SUM($Y$2:Y394)/SUM($X$2:X394)</f>
        <v/>
      </c>
      <c r="AG394" s="5">
        <f>SUM($Y$2:Y394)</f>
        <v/>
      </c>
      <c r="AH394" s="7">
        <f>10000.0+SUM($AA$2:AA394)</f>
        <v/>
      </c>
      <c r="AI394" s="2" t="n">
        <v>2025</v>
      </c>
      <c r="AJ394" s="2" t="inlineStr">
        <is>
          <t>2025-09</t>
        </is>
      </c>
      <c r="AK394" s="2" t="inlineStr">
        <is>
          <t>+100 to +120</t>
        </is>
      </c>
      <c r="AL394" s="2" t="inlineStr">
        <is>
          <t>2025 Validation</t>
        </is>
      </c>
      <c r="AM394" s="6" t="n">
        <v>0.1483383946619084</v>
      </c>
    </row>
    <row r="395">
      <c r="A395" s="2" t="inlineStr">
        <is>
          <t>KPROP-00394</t>
        </is>
      </c>
      <c r="B395" s="3" t="n">
        <v>45925.81991898148</v>
      </c>
      <c r="C395" s="3" t="n">
        <v>45925</v>
      </c>
      <c r="D395" s="2" t="inlineStr">
        <is>
          <t>Shota Imanaga</t>
        </is>
      </c>
      <c r="E395" s="2" t="n">
        <v>112</v>
      </c>
      <c r="F395" s="2" t="n">
        <v>121</v>
      </c>
      <c r="G395" s="2" t="inlineStr">
        <is>
          <t>Home</t>
        </is>
      </c>
      <c r="H395" s="2" t="inlineStr">
        <is>
          <t>betrivers</t>
        </is>
      </c>
      <c r="I395" s="4" t="n"/>
      <c r="J395" s="4" t="n"/>
      <c r="K395" s="4" t="n">
        <v>-177</v>
      </c>
      <c r="L395" s="4" t="n">
        <v>-177</v>
      </c>
      <c r="M395" s="5" t="n">
        <v>5.5</v>
      </c>
      <c r="N395" s="5" t="n">
        <v>4.482348040397728</v>
      </c>
      <c r="O395" s="5" t="n">
        <v>5.5</v>
      </c>
      <c r="P395" s="5" t="n">
        <v>1.017651959602272</v>
      </c>
      <c r="Q395" s="6" t="n">
        <v>0.104780649332133</v>
      </c>
      <c r="R395" s="6" t="n">
        <v>0.7059428697898467</v>
      </c>
      <c r="S395" s="6" t="n">
        <v>0.5971729393287185</v>
      </c>
      <c r="T395" s="2" t="inlineStr">
        <is>
          <t>Under</t>
        </is>
      </c>
      <c r="U395" s="4" t="n">
        <v>-177</v>
      </c>
      <c r="V395" s="2" t="n">
        <v>1.56497175141243</v>
      </c>
      <c r="W395" s="4" t="n">
        <v>-177</v>
      </c>
      <c r="X395" s="2" t="n">
        <v>1</v>
      </c>
      <c r="Y395" s="5" t="n">
        <v>0.5649717514124295</v>
      </c>
      <c r="Z395" s="7" t="n">
        <v>100</v>
      </c>
      <c r="AA395" s="7">
        <f>Y395*Z395</f>
        <v/>
      </c>
      <c r="AB395" s="6">
        <f>IF(Z395=0,0,AA395/Z395)</f>
        <v/>
      </c>
      <c r="AC395" s="6" t="n"/>
      <c r="AD395" s="2" t="inlineStr">
        <is>
          <t>Win</t>
        </is>
      </c>
      <c r="AE395" s="6">
        <f>IF((COUNTIF($AD$2:AD395,"Win")+COUNTIF($AD$2:AD395,"Loss"))=0,0,COUNTIF($AD$2:AD395,"Win")/(COUNTIF($AD$2:AD395,"Win")+COUNTIF($AD$2:AD395,"Loss")))</f>
        <v/>
      </c>
      <c r="AF395" s="6">
        <f>SUM($Y$2:Y395)/SUM($X$2:X395)</f>
        <v/>
      </c>
      <c r="AG395" s="5">
        <f>SUM($Y$2:Y395)</f>
        <v/>
      </c>
      <c r="AH395" s="7">
        <f>10000.0+SUM($AA$2:AA395)</f>
        <v/>
      </c>
      <c r="AI395" s="2" t="n">
        <v>2025</v>
      </c>
      <c r="AJ395" s="2" t="inlineStr">
        <is>
          <t>2025-09</t>
        </is>
      </c>
      <c r="AK395" s="2" t="inlineStr">
        <is>
          <t>&lt;= -150</t>
        </is>
      </c>
      <c r="AL395" s="2" t="inlineStr">
        <is>
          <t>2025 Validation</t>
        </is>
      </c>
      <c r="AM395" s="6" t="n">
        <v>0.1854617493178753</v>
      </c>
    </row>
    <row r="396">
      <c r="A396" s="2" t="inlineStr">
        <is>
          <t>KPROP-00395</t>
        </is>
      </c>
      <c r="B396" s="3" t="n">
        <v>45925.60809027778</v>
      </c>
      <c r="C396" s="3" t="n">
        <v>45925</v>
      </c>
      <c r="D396" s="2" t="inlineStr">
        <is>
          <t>Tyler Mahle</t>
        </is>
      </c>
      <c r="E396" s="2" t="n">
        <v>140</v>
      </c>
      <c r="F396" s="2" t="n">
        <v>142</v>
      </c>
      <c r="G396" s="2" t="inlineStr">
        <is>
          <t>Home</t>
        </is>
      </c>
      <c r="H396" s="2" t="inlineStr">
        <is>
          <t>draftkings</t>
        </is>
      </c>
      <c r="I396" s="4" t="n"/>
      <c r="J396" s="4" t="n"/>
      <c r="K396" s="4" t="n">
        <v>122</v>
      </c>
      <c r="L396" s="4" t="n">
        <v>122</v>
      </c>
      <c r="M396" s="5" t="n">
        <v>4.5</v>
      </c>
      <c r="N396" s="5" t="n">
        <v>4.763337984244705</v>
      </c>
      <c r="O396" s="5" t="n">
        <v>4.5</v>
      </c>
      <c r="P396" s="5" t="n">
        <v>-0.2633379842447052</v>
      </c>
      <c r="Q396" s="6" t="n">
        <v>0.07215447536159358</v>
      </c>
      <c r="R396" s="6" t="n">
        <v>0.4829524663790963</v>
      </c>
      <c r="S396" s="6" t="n">
        <v>0.4314881077667859</v>
      </c>
      <c r="T396" s="2" t="inlineStr">
        <is>
          <t>Under</t>
        </is>
      </c>
      <c r="U396" s="4" t="n">
        <v>122</v>
      </c>
      <c r="V396" s="2" t="n">
        <v>2.22</v>
      </c>
      <c r="W396" s="4" t="n">
        <v>122</v>
      </c>
      <c r="X396" s="2" t="n">
        <v>1</v>
      </c>
      <c r="Y396" s="5" t="n">
        <v>1.22</v>
      </c>
      <c r="Z396" s="7" t="n">
        <v>100</v>
      </c>
      <c r="AA396" s="7">
        <f>Y396*Z396</f>
        <v/>
      </c>
      <c r="AB396" s="6">
        <f>IF(Z396=0,0,AA396/Z396)</f>
        <v/>
      </c>
      <c r="AC396" s="6" t="n"/>
      <c r="AD396" s="2" t="inlineStr">
        <is>
          <t>Win</t>
        </is>
      </c>
      <c r="AE396" s="6">
        <f>IF((COUNTIF($AD$2:AD396,"Win")+COUNTIF($AD$2:AD396,"Loss"))=0,0,COUNTIF($AD$2:AD396,"Win")/(COUNTIF($AD$2:AD396,"Win")+COUNTIF($AD$2:AD396,"Loss")))</f>
        <v/>
      </c>
      <c r="AF396" s="6">
        <f>SUM($Y$2:Y396)/SUM($X$2:X396)</f>
        <v/>
      </c>
      <c r="AG396" s="5">
        <f>SUM($Y$2:Y396)</f>
        <v/>
      </c>
      <c r="AH396" s="7">
        <f>10000.0+SUM($AA$2:AA396)</f>
        <v/>
      </c>
      <c r="AI396" s="2" t="n">
        <v>2025</v>
      </c>
      <c r="AJ396" s="2" t="inlineStr">
        <is>
          <t>2025-09</t>
        </is>
      </c>
      <c r="AK396" s="2" t="inlineStr">
        <is>
          <t>+121 to +150</t>
        </is>
      </c>
      <c r="AL396" s="2" t="inlineStr">
        <is>
          <t>2025 Validation</t>
        </is>
      </c>
      <c r="AM396" s="6" t="n">
        <v>0.05914301259147017</v>
      </c>
    </row>
    <row r="397">
      <c r="A397" s="2" t="inlineStr">
        <is>
          <t>KPROP-00396</t>
        </is>
      </c>
      <c r="B397" s="3" t="n">
        <v>45925.60809027778</v>
      </c>
      <c r="C397" s="3" t="n">
        <v>45925</v>
      </c>
      <c r="D397" s="2" t="inlineStr">
        <is>
          <t>Tyler Mahle</t>
        </is>
      </c>
      <c r="E397" s="2" t="n">
        <v>140</v>
      </c>
      <c r="F397" s="2" t="n">
        <v>142</v>
      </c>
      <c r="G397" s="2" t="inlineStr">
        <is>
          <t>Home</t>
        </is>
      </c>
      <c r="H397" s="2" t="inlineStr">
        <is>
          <t>betmgm</t>
        </is>
      </c>
      <c r="I397" s="4" t="n"/>
      <c r="J397" s="4" t="n"/>
      <c r="K397" s="4" t="n">
        <v>-155</v>
      </c>
      <c r="L397" s="4" t="n">
        <v>-155</v>
      </c>
      <c r="M397" s="5" t="n">
        <v>5.5</v>
      </c>
      <c r="N397" s="5" t="n">
        <v>4.763337984244705</v>
      </c>
      <c r="O397" s="5" t="n">
        <v>5.5</v>
      </c>
      <c r="P397" s="5" t="n">
        <v>0.7366620157552948</v>
      </c>
      <c r="Q397" s="6" t="n">
        <v>0.08154192456522547</v>
      </c>
      <c r="R397" s="6" t="n">
        <v>0.6574078365004312</v>
      </c>
      <c r="S397" s="6" t="n">
        <v>0.5776397515527951</v>
      </c>
      <c r="T397" s="2" t="inlineStr">
        <is>
          <t>Under</t>
        </is>
      </c>
      <c r="U397" s="4" t="n">
        <v>-155</v>
      </c>
      <c r="V397" s="2" t="n">
        <v>1.645161290322581</v>
      </c>
      <c r="W397" s="4" t="n">
        <v>-155</v>
      </c>
      <c r="X397" s="2" t="n">
        <v>1</v>
      </c>
      <c r="Y397" s="5" t="n">
        <v>0.6451612903225805</v>
      </c>
      <c r="Z397" s="7" t="n">
        <v>100</v>
      </c>
      <c r="AA397" s="7">
        <f>Y397*Z397</f>
        <v/>
      </c>
      <c r="AB397" s="6">
        <f>IF(Z397=0,0,AA397/Z397)</f>
        <v/>
      </c>
      <c r="AC397" s="6" t="n"/>
      <c r="AD397" s="2" t="inlineStr">
        <is>
          <t>Win</t>
        </is>
      </c>
      <c r="AE397" s="6">
        <f>IF((COUNTIF($AD$2:AD397,"Win")+COUNTIF($AD$2:AD397,"Loss"))=0,0,COUNTIF($AD$2:AD397,"Win")/(COUNTIF($AD$2:AD397,"Win")+COUNTIF($AD$2:AD397,"Loss")))</f>
        <v/>
      </c>
      <c r="AF397" s="6">
        <f>SUM($Y$2:Y397)/SUM($X$2:X397)</f>
        <v/>
      </c>
      <c r="AG397" s="5">
        <f>SUM($Y$2:Y397)</f>
        <v/>
      </c>
      <c r="AH397" s="7">
        <f>10000.0+SUM($AA$2:AA397)</f>
        <v/>
      </c>
      <c r="AI397" s="2" t="n">
        <v>2025</v>
      </c>
      <c r="AJ397" s="2" t="inlineStr">
        <is>
          <t>2025-09</t>
        </is>
      </c>
      <c r="AK397" s="2" t="inlineStr">
        <is>
          <t>&lt;= -150</t>
        </is>
      </c>
      <c r="AL397" s="2" t="inlineStr">
        <is>
          <t>2025 Validation</t>
        </is>
      </c>
      <c r="AM397" s="6" t="n">
        <v>0.1263899830760995</v>
      </c>
    </row>
    <row r="398">
      <c r="A398" s="2" t="inlineStr">
        <is>
          <t>KPROP-00397</t>
        </is>
      </c>
      <c r="B398" s="3" t="n">
        <v>45926.78171296296</v>
      </c>
      <c r="C398" s="3" t="n">
        <v>45926</v>
      </c>
      <c r="D398" s="2" t="inlineStr">
        <is>
          <t>Joe Ryan</t>
        </is>
      </c>
      <c r="E398" s="2" t="n">
        <v>142</v>
      </c>
      <c r="F398" s="2" t="n">
        <v>143</v>
      </c>
      <c r="G398" s="2" t="inlineStr">
        <is>
          <t>Away</t>
        </is>
      </c>
      <c r="H398" s="2" t="inlineStr">
        <is>
          <t>fanatics</t>
        </is>
      </c>
      <c r="I398" s="4" t="n"/>
      <c r="J398" s="4" t="n"/>
      <c r="K398" s="4" t="n">
        <v>105</v>
      </c>
      <c r="L398" s="4" t="n">
        <v>105</v>
      </c>
      <c r="M398" s="5" t="n">
        <v>5.5</v>
      </c>
      <c r="N398" s="5" t="n">
        <v>5.339271795178293</v>
      </c>
      <c r="O398" s="5" t="n">
        <v>5.5</v>
      </c>
      <c r="P398" s="5" t="n">
        <v>0.1607282048217069</v>
      </c>
      <c r="Q398" s="6" t="n">
        <v>0.14113200522184</v>
      </c>
      <c r="R398" s="6" t="n">
        <v>0.5566497586448</v>
      </c>
      <c r="S398" s="6" t="n">
        <v>0.4675324675324675</v>
      </c>
      <c r="T398" s="2" t="inlineStr">
        <is>
          <t>Under</t>
        </is>
      </c>
      <c r="U398" s="4" t="n">
        <v>105</v>
      </c>
      <c r="V398" s="2" t="n">
        <v>2.05</v>
      </c>
      <c r="W398" s="4" t="n">
        <v>105</v>
      </c>
      <c r="X398" s="2" t="n">
        <v>1</v>
      </c>
      <c r="Y398" s="5" t="n">
        <v>-1</v>
      </c>
      <c r="Z398" s="7" t="n">
        <v>100</v>
      </c>
      <c r="AA398" s="7">
        <f>Y398*Z398</f>
        <v/>
      </c>
      <c r="AB398" s="6">
        <f>IF(Z398=0,0,AA398/Z398)</f>
        <v/>
      </c>
      <c r="AC398" s="6" t="n"/>
      <c r="AD398" s="2" t="inlineStr">
        <is>
          <t>Loss</t>
        </is>
      </c>
      <c r="AE398" s="6">
        <f>IF((COUNTIF($AD$2:AD398,"Win")+COUNTIF($AD$2:AD398,"Loss"))=0,0,COUNTIF($AD$2:AD398,"Win")/(COUNTIF($AD$2:AD398,"Win")+COUNTIF($AD$2:AD398,"Loss")))</f>
        <v/>
      </c>
      <c r="AF398" s="6">
        <f>SUM($Y$2:Y398)/SUM($X$2:X398)</f>
        <v/>
      </c>
      <c r="AG398" s="5">
        <f>SUM($Y$2:Y398)</f>
        <v/>
      </c>
      <c r="AH398" s="7">
        <f>10000.0+SUM($AA$2:AA398)</f>
        <v/>
      </c>
      <c r="AI398" s="2" t="n">
        <v>2025</v>
      </c>
      <c r="AJ398" s="2" t="inlineStr">
        <is>
          <t>2025-09</t>
        </is>
      </c>
      <c r="AK398" s="2" t="inlineStr">
        <is>
          <t>+100 to +120</t>
        </is>
      </c>
      <c r="AL398" s="2" t="inlineStr">
        <is>
          <t>2025 Validation</t>
        </is>
      </c>
      <c r="AM398" s="6" t="n">
        <v>0.1344114335446095</v>
      </c>
    </row>
    <row r="399">
      <c r="A399" s="2" t="inlineStr">
        <is>
          <t>KPROP-00398</t>
        </is>
      </c>
      <c r="B399" s="3" t="n">
        <v>45926.78171296296</v>
      </c>
      <c r="C399" s="3" t="n">
        <v>45926</v>
      </c>
      <c r="D399" s="2" t="inlineStr">
        <is>
          <t>Joe Ryan</t>
        </is>
      </c>
      <c r="E399" s="2" t="n">
        <v>142</v>
      </c>
      <c r="F399" s="2" t="n">
        <v>143</v>
      </c>
      <c r="G399" s="2" t="inlineStr">
        <is>
          <t>Away</t>
        </is>
      </c>
      <c r="H399" s="2" t="inlineStr">
        <is>
          <t>fanduel</t>
        </is>
      </c>
      <c r="I399" s="4" t="n"/>
      <c r="J399" s="4" t="n"/>
      <c r="K399" s="4" t="n">
        <v>-174</v>
      </c>
      <c r="L399" s="4" t="n">
        <v>-174</v>
      </c>
      <c r="M399" s="5" t="n">
        <v>6.5</v>
      </c>
      <c r="N399" s="5" t="n">
        <v>5.339271795178293</v>
      </c>
      <c r="O399" s="5" t="n">
        <v>6.5</v>
      </c>
      <c r="P399" s="5" t="n">
        <v>1.160728204821707</v>
      </c>
      <c r="Q399" s="6" t="n">
        <v>0.1197528543138156</v>
      </c>
      <c r="R399" s="6" t="n">
        <v>0.7110839293817661</v>
      </c>
      <c r="S399" s="6" t="n">
        <v>0.6038172353961827</v>
      </c>
      <c r="T399" s="2" t="inlineStr">
        <is>
          <t>Under</t>
        </is>
      </c>
      <c r="U399" s="4" t="n">
        <v>-174</v>
      </c>
      <c r="V399" s="2" t="n">
        <v>1.574712643678161</v>
      </c>
      <c r="W399" s="4" t="n">
        <v>-174</v>
      </c>
      <c r="X399" s="2" t="n">
        <v>1</v>
      </c>
      <c r="Y399" s="5" t="n">
        <v>-1</v>
      </c>
      <c r="Z399" s="7" t="n">
        <v>100</v>
      </c>
      <c r="AA399" s="7">
        <f>Y399*Z399</f>
        <v/>
      </c>
      <c r="AB399" s="6">
        <f>IF(Z399=0,0,AA399/Z399)</f>
        <v/>
      </c>
      <c r="AC399" s="6" t="n"/>
      <c r="AD399" s="2" t="inlineStr">
        <is>
          <t>Loss</t>
        </is>
      </c>
      <c r="AE399" s="6">
        <f>IF((COUNTIF($AD$2:AD399,"Win")+COUNTIF($AD$2:AD399,"Loss"))=0,0,COUNTIF($AD$2:AD399,"Win")/(COUNTIF($AD$2:AD399,"Win")+COUNTIF($AD$2:AD399,"Loss")))</f>
        <v/>
      </c>
      <c r="AF399" s="6">
        <f>SUM($Y$2:Y399)/SUM($X$2:X399)</f>
        <v/>
      </c>
      <c r="AG399" s="5">
        <f>SUM($Y$2:Y399)</f>
        <v/>
      </c>
      <c r="AH399" s="7">
        <f>10000.0+SUM($AA$2:AA399)</f>
        <v/>
      </c>
      <c r="AI399" s="2" t="n">
        <v>2025</v>
      </c>
      <c r="AJ399" s="2" t="inlineStr">
        <is>
          <t>2025-09</t>
        </is>
      </c>
      <c r="AK399" s="2" t="inlineStr">
        <is>
          <t>&lt;= -150</t>
        </is>
      </c>
      <c r="AL399" s="2" t="inlineStr">
        <is>
          <t>2025 Validation</t>
        </is>
      </c>
      <c r="AM399" s="6" t="n">
        <v>0.2083699665060392</v>
      </c>
    </row>
    <row r="400">
      <c r="A400" s="2" t="inlineStr">
        <is>
          <t>KPROP-00399</t>
        </is>
      </c>
      <c r="B400" s="3" t="n">
        <v>45926.8025462963</v>
      </c>
      <c r="C400" s="3" t="n">
        <v>45926</v>
      </c>
      <c r="D400" s="2" t="inlineStr">
        <is>
          <t>Joey Wentz</t>
        </is>
      </c>
      <c r="E400" s="2" t="n">
        <v>144</v>
      </c>
      <c r="F400" s="2" t="n">
        <v>134</v>
      </c>
      <c r="G400" s="2" t="inlineStr">
        <is>
          <t>Home</t>
        </is>
      </c>
      <c r="H400" s="2" t="inlineStr">
        <is>
          <t>draftkings</t>
        </is>
      </c>
      <c r="I400" s="4" t="n"/>
      <c r="J400" s="4" t="n"/>
      <c r="K400" s="4" t="n">
        <v>-123</v>
      </c>
      <c r="L400" s="4" t="n">
        <v>-123</v>
      </c>
      <c r="M400" s="5" t="n">
        <v>5.5</v>
      </c>
      <c r="N400" s="5" t="n">
        <v>4.660476738120641</v>
      </c>
      <c r="O400" s="5" t="n">
        <v>5.5</v>
      </c>
      <c r="P400" s="5" t="n">
        <v>0.8395232618793589</v>
      </c>
      <c r="Q400" s="6" t="n">
        <v>0.2243239142188413</v>
      </c>
      <c r="R400" s="6" t="n">
        <v>0.6752997374390919</v>
      </c>
      <c r="S400" s="6" t="n">
        <v>0.5306745238345786</v>
      </c>
      <c r="T400" s="2" t="inlineStr">
        <is>
          <t>Under</t>
        </is>
      </c>
      <c r="U400" s="4" t="n">
        <v>-123</v>
      </c>
      <c r="V400" s="2" t="n">
        <v>1.813008130081301</v>
      </c>
      <c r="W400" s="4" t="n">
        <v>-123</v>
      </c>
      <c r="X400" s="2" t="n">
        <v>1</v>
      </c>
      <c r="Y400" s="5" t="n">
        <v>0.8130081300813008</v>
      </c>
      <c r="Z400" s="7" t="n">
        <v>100</v>
      </c>
      <c r="AA400" s="7">
        <f>Y400*Z400</f>
        <v/>
      </c>
      <c r="AB400" s="6">
        <f>IF(Z400=0,0,AA400/Z400)</f>
        <v/>
      </c>
      <c r="AC400" s="6" t="n"/>
      <c r="AD400" s="2" t="inlineStr">
        <is>
          <t>Win</t>
        </is>
      </c>
      <c r="AE400" s="6">
        <f>IF((COUNTIF($AD$2:AD400,"Win")+COUNTIF($AD$2:AD400,"Loss"))=0,0,COUNTIF($AD$2:AD400,"Win")/(COUNTIF($AD$2:AD400,"Win")+COUNTIF($AD$2:AD400,"Loss")))</f>
        <v/>
      </c>
      <c r="AF400" s="6">
        <f>SUM($Y$2:Y400)/SUM($X$2:X400)</f>
        <v/>
      </c>
      <c r="AG400" s="5">
        <f>SUM($Y$2:Y400)</f>
        <v/>
      </c>
      <c r="AH400" s="7">
        <f>10000.0+SUM($AA$2:AA400)</f>
        <v/>
      </c>
      <c r="AI400" s="2" t="n">
        <v>2025</v>
      </c>
      <c r="AJ400" s="2" t="inlineStr">
        <is>
          <t>2025-09</t>
        </is>
      </c>
      <c r="AK400" s="2" t="inlineStr">
        <is>
          <t>-149 to -120</t>
        </is>
      </c>
      <c r="AL400" s="2" t="inlineStr">
        <is>
          <t>2025 Validation</t>
        </is>
      </c>
      <c r="AM400" s="6" t="n">
        <v>0.2759184144891749</v>
      </c>
    </row>
    <row r="401">
      <c r="A401" s="2" t="inlineStr">
        <is>
          <t>KPROP-00400</t>
        </is>
      </c>
      <c r="B401" s="3" t="n">
        <v>45926.795625</v>
      </c>
      <c r="C401" s="3" t="n">
        <v>45926</v>
      </c>
      <c r="D401" s="2" t="inlineStr">
        <is>
          <t>Shane Bieber</t>
        </is>
      </c>
      <c r="E401" s="2" t="n">
        <v>141</v>
      </c>
      <c r="F401" s="2" t="n">
        <v>139</v>
      </c>
      <c r="G401" s="2" t="inlineStr">
        <is>
          <t>Home</t>
        </is>
      </c>
      <c r="H401" s="2" t="inlineStr">
        <is>
          <t>betrivers</t>
        </is>
      </c>
      <c r="I401" s="4" t="n"/>
      <c r="J401" s="4" t="n"/>
      <c r="K401" s="4" t="n">
        <v>135</v>
      </c>
      <c r="L401" s="4" t="n">
        <v>135</v>
      </c>
      <c r="M401" s="5" t="n">
        <v>5.5</v>
      </c>
      <c r="N401" s="5" t="n">
        <v>5.519566388025994</v>
      </c>
      <c r="O401" s="5" t="n">
        <v>5.5</v>
      </c>
      <c r="P401" s="5" t="n">
        <v>-0.01956638802599375</v>
      </c>
      <c r="Q401" s="6" t="n">
        <v>0.2350848245253825</v>
      </c>
      <c r="R401" s="6" t="n">
        <v>0.5255680104363329</v>
      </c>
      <c r="S401" s="6" t="n">
        <v>0.3955192919374914</v>
      </c>
      <c r="T401" s="2" t="inlineStr">
        <is>
          <t>Under</t>
        </is>
      </c>
      <c r="U401" s="4" t="n">
        <v>135</v>
      </c>
      <c r="V401" s="2" t="n">
        <v>2.35</v>
      </c>
      <c r="W401" s="4" t="n">
        <v>135</v>
      </c>
      <c r="X401" s="2" t="n">
        <v>1</v>
      </c>
      <c r="Y401" s="5" t="n">
        <v>1.35</v>
      </c>
      <c r="Z401" s="7" t="n">
        <v>100</v>
      </c>
      <c r="AA401" s="7">
        <f>Y401*Z401</f>
        <v/>
      </c>
      <c r="AB401" s="6">
        <f>IF(Z401=0,0,AA401/Z401)</f>
        <v/>
      </c>
      <c r="AC401" s="6" t="n"/>
      <c r="AD401" s="2" t="inlineStr">
        <is>
          <t>Win</t>
        </is>
      </c>
      <c r="AE401" s="6">
        <f>IF((COUNTIF($AD$2:AD401,"Win")+COUNTIF($AD$2:AD401,"Loss"))=0,0,COUNTIF($AD$2:AD401,"Win")/(COUNTIF($AD$2:AD401,"Win")+COUNTIF($AD$2:AD401,"Loss")))</f>
        <v/>
      </c>
      <c r="AF401" s="6">
        <f>SUM($Y$2:Y401)/SUM($X$2:X401)</f>
        <v/>
      </c>
      <c r="AG401" s="5">
        <f>SUM($Y$2:Y401)</f>
        <v/>
      </c>
      <c r="AH401" s="7">
        <f>10000.0+SUM($AA$2:AA401)</f>
        <v/>
      </c>
      <c r="AI401" s="2" t="n">
        <v>2025</v>
      </c>
      <c r="AJ401" s="2" t="inlineStr">
        <is>
          <t>2025-09</t>
        </is>
      </c>
      <c r="AK401" s="2" t="inlineStr">
        <is>
          <t>+121 to +150</t>
        </is>
      </c>
      <c r="AL401" s="2" t="inlineStr">
        <is>
          <t>2025 Validation</t>
        </is>
      </c>
      <c r="AM401" s="6" t="n">
        <v>0.1741369070558389</v>
      </c>
    </row>
    <row r="402">
      <c r="A402" s="2" t="inlineStr">
        <is>
          <t>KPROP-00401</t>
        </is>
      </c>
      <c r="B402" s="3" t="n">
        <v>45926.795625</v>
      </c>
      <c r="C402" s="3" t="n">
        <v>45926</v>
      </c>
      <c r="D402" s="2" t="inlineStr">
        <is>
          <t>Shane Bieber</t>
        </is>
      </c>
      <c r="E402" s="2" t="n">
        <v>141</v>
      </c>
      <c r="F402" s="2" t="n">
        <v>139</v>
      </c>
      <c r="G402" s="2" t="inlineStr">
        <is>
          <t>Home</t>
        </is>
      </c>
      <c r="H402" s="2" t="inlineStr">
        <is>
          <t>draftkings</t>
        </is>
      </c>
      <c r="I402" s="4" t="n"/>
      <c r="J402" s="4" t="n"/>
      <c r="K402" s="4" t="n">
        <v>-138</v>
      </c>
      <c r="L402" s="4" t="n">
        <v>-138</v>
      </c>
      <c r="M402" s="5" t="n">
        <v>6.5</v>
      </c>
      <c r="N402" s="5" t="n">
        <v>5.519566388025994</v>
      </c>
      <c r="O402" s="5" t="n">
        <v>6.5</v>
      </c>
      <c r="P402" s="5" t="n">
        <v>0.9804336119740062</v>
      </c>
      <c r="Q402" s="6" t="n">
        <v>0.1778569389868246</v>
      </c>
      <c r="R402" s="6" t="n">
        <v>0.6829590654629487</v>
      </c>
      <c r="S402" s="6" t="n">
        <v>0.554890592855807</v>
      </c>
      <c r="T402" s="2" t="inlineStr">
        <is>
          <t>Under</t>
        </is>
      </c>
      <c r="U402" s="4" t="n">
        <v>-138</v>
      </c>
      <c r="V402" s="2" t="n">
        <v>1.72463768115942</v>
      </c>
      <c r="W402" s="4" t="n">
        <v>-138</v>
      </c>
      <c r="X402" s="2" t="n">
        <v>1</v>
      </c>
      <c r="Y402" s="5" t="n">
        <v>0.7246376811594204</v>
      </c>
      <c r="Z402" s="7" t="n">
        <v>100</v>
      </c>
      <c r="AA402" s="7">
        <f>Y402*Z402</f>
        <v/>
      </c>
      <c r="AB402" s="6">
        <f>IF(Z402=0,0,AA402/Z402)</f>
        <v/>
      </c>
      <c r="AC402" s="6" t="n"/>
      <c r="AD402" s="2" t="inlineStr">
        <is>
          <t>Win</t>
        </is>
      </c>
      <c r="AE402" s="6">
        <f>IF((COUNTIF($AD$2:AD402,"Win")+COUNTIF($AD$2:AD402,"Loss"))=0,0,COUNTIF($AD$2:AD402,"Win")/(COUNTIF($AD$2:AD402,"Win")+COUNTIF($AD$2:AD402,"Loss")))</f>
        <v/>
      </c>
      <c r="AF402" s="6">
        <f>SUM($Y$2:Y402)/SUM($X$2:X402)</f>
        <v/>
      </c>
      <c r="AG402" s="5">
        <f>SUM($Y$2:Y402)</f>
        <v/>
      </c>
      <c r="AH402" s="7">
        <f>10000.0+SUM($AA$2:AA402)</f>
        <v/>
      </c>
      <c r="AI402" s="2" t="n">
        <v>2025</v>
      </c>
      <c r="AJ402" s="2" t="inlineStr">
        <is>
          <t>2025-09</t>
        </is>
      </c>
      <c r="AK402" s="2" t="inlineStr">
        <is>
          <t>-149 to -120</t>
        </is>
      </c>
      <c r="AL402" s="2" t="inlineStr">
        <is>
          <t>2025 Validation</t>
        </is>
      </c>
      <c r="AM402" s="6" t="n">
        <v>0.245442575801818</v>
      </c>
    </row>
    <row r="403">
      <c r="A403" s="2" t="inlineStr">
        <is>
          <t>KPROP-00402</t>
        </is>
      </c>
      <c r="B403" s="3" t="n">
        <v>45928.62891203703</v>
      </c>
      <c r="C403" s="3" t="n">
        <v>45928</v>
      </c>
      <c r="D403" s="2" t="inlineStr">
        <is>
          <t>McCade Brown</t>
        </is>
      </c>
      <c r="E403" s="2" t="n">
        <v>115</v>
      </c>
      <c r="F403" s="2" t="n">
        <v>137</v>
      </c>
      <c r="G403" s="2" t="inlineStr">
        <is>
          <t>Away</t>
        </is>
      </c>
      <c r="H403" s="2" t="inlineStr">
        <is>
          <t>betmgm</t>
        </is>
      </c>
      <c r="I403" s="4" t="n"/>
      <c r="J403" s="4" t="n"/>
      <c r="K403" s="4" t="n">
        <v>-120</v>
      </c>
      <c r="L403" s="4" t="n">
        <v>-120</v>
      </c>
      <c r="M403" s="5" t="n">
        <v>4.5</v>
      </c>
      <c r="N403" s="5" t="n">
        <v>4.231685175312729</v>
      </c>
      <c r="O403" s="5" t="n">
        <v>4.5</v>
      </c>
      <c r="P403" s="5" t="n">
        <v>0.2683148246872706</v>
      </c>
      <c r="Q403" s="6" t="n">
        <v>0.07006451107261974</v>
      </c>
      <c r="R403" s="6" t="n">
        <v>0.5836715514941562</v>
      </c>
      <c r="S403" s="6" t="n">
        <v>0.5180774138664397</v>
      </c>
      <c r="T403" s="2" t="inlineStr">
        <is>
          <t>Under</t>
        </is>
      </c>
      <c r="U403" s="4" t="n">
        <v>-120</v>
      </c>
      <c r="V403" s="2" t="n">
        <v>1.833333333333333</v>
      </c>
      <c r="W403" s="4" t="n">
        <v>-120</v>
      </c>
      <c r="X403" s="2" t="n">
        <v>1</v>
      </c>
      <c r="Y403" s="5" t="n">
        <v>0.8333333333333335</v>
      </c>
      <c r="Z403" s="7" t="n">
        <v>100</v>
      </c>
      <c r="AA403" s="7">
        <f>Y403*Z403</f>
        <v/>
      </c>
      <c r="AB403" s="6">
        <f>IF(Z403=0,0,AA403/Z403)</f>
        <v/>
      </c>
      <c r="AC403" s="6" t="n"/>
      <c r="AD403" s="2" t="inlineStr">
        <is>
          <t>Win</t>
        </is>
      </c>
      <c r="AE403" s="6">
        <f>IF((COUNTIF($AD$2:AD403,"Win")+COUNTIF($AD$2:AD403,"Loss"))=0,0,COUNTIF($AD$2:AD403,"Win")/(COUNTIF($AD$2:AD403,"Win")+COUNTIF($AD$2:AD403,"Loss")))</f>
        <v/>
      </c>
      <c r="AF403" s="6">
        <f>SUM($Y$2:Y403)/SUM($X$2:X403)</f>
        <v/>
      </c>
      <c r="AG403" s="5">
        <f>SUM($Y$2:Y403)</f>
        <v/>
      </c>
      <c r="AH403" s="7">
        <f>10000.0+SUM($AA$2:AA403)</f>
        <v/>
      </c>
      <c r="AI403" s="2" t="n">
        <v>2025</v>
      </c>
      <c r="AJ403" s="2" t="inlineStr">
        <is>
          <t>2025-09</t>
        </is>
      </c>
      <c r="AK403" s="2" t="inlineStr">
        <is>
          <t>-149 to -120</t>
        </is>
      </c>
      <c r="AL403" s="2" t="inlineStr">
        <is>
          <t>2025 Validation</t>
        </is>
      </c>
      <c r="AM403" s="6" t="n">
        <v>0.08407741328714367</v>
      </c>
    </row>
    <row r="404">
      <c r="A404" s="2" t="inlineStr">
        <is>
          <t>KPROP-00403</t>
        </is>
      </c>
      <c r="B404" s="3" t="n">
        <v>46107.67056712963</v>
      </c>
      <c r="C404" s="3" t="n">
        <v>46107</v>
      </c>
      <c r="D404" s="2" t="inlineStr">
        <is>
          <t>Andrew Abbott</t>
        </is>
      </c>
      <c r="E404" s="2" t="n">
        <v>113</v>
      </c>
      <c r="F404" s="2" t="n">
        <v>111</v>
      </c>
      <c r="G404" s="2" t="inlineStr">
        <is>
          <t>Home</t>
        </is>
      </c>
      <c r="H404" s="2" t="inlineStr">
        <is>
          <t>bovada</t>
        </is>
      </c>
      <c r="I404" s="4" t="n"/>
      <c r="J404" s="4" t="n"/>
      <c r="K404" s="4" t="n">
        <v>130</v>
      </c>
      <c r="L404" s="4" t="n">
        <v>130</v>
      </c>
      <c r="M404" s="5" t="n">
        <v>4.5</v>
      </c>
      <c r="N404" s="5" t="n">
        <v>4.796792715730913</v>
      </c>
      <c r="O404" s="5" t="n">
        <v>4.5</v>
      </c>
      <c r="P404" s="5" t="n">
        <v>-0.2967927157309127</v>
      </c>
      <c r="Q404" s="6" t="n">
        <v>0.09673827381260647</v>
      </c>
      <c r="R404" s="6" t="n">
        <v>0.4768427277446116</v>
      </c>
      <c r="S404" s="6" t="n">
        <v>0.4270462633451957</v>
      </c>
      <c r="T404" s="2" t="inlineStr">
        <is>
          <t>Under</t>
        </is>
      </c>
      <c r="U404" s="4" t="n">
        <v>130</v>
      </c>
      <c r="V404" s="2" t="n">
        <v>2.3</v>
      </c>
      <c r="W404" s="4" t="n">
        <v>130</v>
      </c>
      <c r="X404" s="2" t="n">
        <v>1</v>
      </c>
      <c r="Y404" s="5" t="n">
        <v>1.3</v>
      </c>
      <c r="Z404" s="7" t="n">
        <v>100</v>
      </c>
      <c r="AA404" s="7">
        <f>Y404*Z404</f>
        <v/>
      </c>
      <c r="AB404" s="6">
        <f>IF(Z404=0,0,AA404/Z404)</f>
        <v/>
      </c>
      <c r="AC404" s="6" t="n"/>
      <c r="AD404" s="2" t="inlineStr">
        <is>
          <t>Win</t>
        </is>
      </c>
      <c r="AE404" s="6">
        <f>IF((COUNTIF($AD$2:AD404,"Win")+COUNTIF($AD$2:AD404,"Loss"))=0,0,COUNTIF($AD$2:AD404,"Win")/(COUNTIF($AD$2:AD404,"Win")+COUNTIF($AD$2:AD404,"Loss")))</f>
        <v/>
      </c>
      <c r="AF404" s="6">
        <f>SUM($Y$2:Y404)/SUM($X$2:X404)</f>
        <v/>
      </c>
      <c r="AG404" s="5">
        <f>SUM($Y$2:Y404)</f>
        <v/>
      </c>
      <c r="AH404" s="7">
        <f>10000.0+SUM($AA$2:AA404)</f>
        <v/>
      </c>
      <c r="AI404" s="2" t="n">
        <v>2026</v>
      </c>
      <c r="AJ404" s="2" t="inlineStr">
        <is>
          <t>2026-03</t>
        </is>
      </c>
      <c r="AK404" s="2" t="inlineStr">
        <is>
          <t>+121 to +150</t>
        </is>
      </c>
      <c r="AL404" s="2" t="inlineStr">
        <is>
          <t>2026 Frozen Test</t>
        </is>
      </c>
      <c r="AM404" s="6" t="n">
        <v>0.07441405677892807</v>
      </c>
    </row>
    <row r="405">
      <c r="A405" s="2" t="inlineStr">
        <is>
          <t>KPROP-00404</t>
        </is>
      </c>
      <c r="B405" s="3" t="n">
        <v>46107.59417824074</v>
      </c>
      <c r="C405" s="3" t="n">
        <v>46107</v>
      </c>
      <c r="D405" s="2" t="inlineStr">
        <is>
          <t>Matthew Boyd</t>
        </is>
      </c>
      <c r="E405" s="2" t="n">
        <v>112</v>
      </c>
      <c r="F405" s="2" t="n">
        <v>120</v>
      </c>
      <c r="G405" s="2" t="inlineStr">
        <is>
          <t>Home</t>
        </is>
      </c>
      <c r="H405" s="2" t="inlineStr">
        <is>
          <t>bovada</t>
        </is>
      </c>
      <c r="I405" s="4" t="n"/>
      <c r="J405" s="4" t="n"/>
      <c r="K405" s="4" t="n">
        <v>135</v>
      </c>
      <c r="L405" s="4" t="n">
        <v>135</v>
      </c>
      <c r="M405" s="5" t="n">
        <v>4.5</v>
      </c>
      <c r="N405" s="5" t="n">
        <v>4.380043435034406</v>
      </c>
      <c r="O405" s="5" t="n">
        <v>4.5</v>
      </c>
      <c r="P405" s="5" t="n">
        <v>0.1199565649655945</v>
      </c>
      <c r="Q405" s="6" t="n">
        <v>0.3042820107967005</v>
      </c>
      <c r="R405" s="6" t="n">
        <v>0.5550136216156172</v>
      </c>
      <c r="S405" s="6" t="n">
        <v>0.4059747223286097</v>
      </c>
      <c r="T405" s="2" t="inlineStr">
        <is>
          <t>Under</t>
        </is>
      </c>
      <c r="U405" s="4" t="n">
        <v>135</v>
      </c>
      <c r="V405" s="2" t="n">
        <v>2.35</v>
      </c>
      <c r="W405" s="4" t="n">
        <v>135</v>
      </c>
      <c r="X405" s="2" t="n">
        <v>1</v>
      </c>
      <c r="Y405" s="5" t="n">
        <v>-1</v>
      </c>
      <c r="Z405" s="7" t="n">
        <v>100</v>
      </c>
      <c r="AA405" s="7">
        <f>Y405*Z405</f>
        <v/>
      </c>
      <c r="AB405" s="6">
        <f>IF(Z405=0,0,AA405/Z405)</f>
        <v/>
      </c>
      <c r="AC405" s="6" t="n"/>
      <c r="AD405" s="2" t="inlineStr">
        <is>
          <t>Loss</t>
        </is>
      </c>
      <c r="AE405" s="6">
        <f>IF((COUNTIF($AD$2:AD405,"Win")+COUNTIF($AD$2:AD405,"Loss"))=0,0,COUNTIF($AD$2:AD405,"Win")/(COUNTIF($AD$2:AD405,"Win")+COUNTIF($AD$2:AD405,"Loss")))</f>
        <v/>
      </c>
      <c r="AF405" s="6">
        <f>SUM($Y$2:Y405)/SUM($X$2:X405)</f>
        <v/>
      </c>
      <c r="AG405" s="5">
        <f>SUM($Y$2:Y405)</f>
        <v/>
      </c>
      <c r="AH405" s="7">
        <f>10000.0+SUM($AA$2:AA405)</f>
        <v/>
      </c>
      <c r="AI405" s="2" t="n">
        <v>2026</v>
      </c>
      <c r="AJ405" s="2" t="inlineStr">
        <is>
          <t>2026-03</t>
        </is>
      </c>
      <c r="AK405" s="2" t="inlineStr">
        <is>
          <t>+121 to +150</t>
        </is>
      </c>
      <c r="AL405" s="2" t="inlineStr">
        <is>
          <t>2026 Frozen Test</t>
        </is>
      </c>
      <c r="AM405" s="6" t="n">
        <v>0.22539408207163</v>
      </c>
    </row>
    <row r="406">
      <c r="A406" s="2" t="inlineStr">
        <is>
          <t>KPROP-00405</t>
        </is>
      </c>
      <c r="B406" s="3" t="n">
        <v>46107.59417824074</v>
      </c>
      <c r="C406" s="3" t="n">
        <v>46107</v>
      </c>
      <c r="D406" s="2" t="inlineStr">
        <is>
          <t>Matthew Boyd</t>
        </is>
      </c>
      <c r="E406" s="2" t="n">
        <v>112</v>
      </c>
      <c r="F406" s="2" t="n">
        <v>120</v>
      </c>
      <c r="G406" s="2" t="inlineStr">
        <is>
          <t>Home</t>
        </is>
      </c>
      <c r="H406" s="2" t="inlineStr">
        <is>
          <t>betonlineag</t>
        </is>
      </c>
      <c r="I406" s="4" t="n"/>
      <c r="J406" s="4" t="n"/>
      <c r="K406" s="4" t="n">
        <v>-143</v>
      </c>
      <c r="L406" s="4" t="n">
        <v>-143</v>
      </c>
      <c r="M406" s="5" t="n">
        <v>5.5</v>
      </c>
      <c r="N406" s="5" t="n">
        <v>4.380043435034406</v>
      </c>
      <c r="O406" s="5" t="n">
        <v>5.5</v>
      </c>
      <c r="P406" s="5" t="n">
        <v>1.119956564965594</v>
      </c>
      <c r="Q406" s="6" t="n">
        <v>0.2290602013545401</v>
      </c>
      <c r="R406" s="6" t="n">
        <v>0.7232741102621368</v>
      </c>
      <c r="S406" s="6" t="n">
        <v>0.5697211155378487</v>
      </c>
      <c r="T406" s="2" t="inlineStr">
        <is>
          <t>Under</t>
        </is>
      </c>
      <c r="U406" s="4" t="n">
        <v>-143</v>
      </c>
      <c r="V406" s="2" t="n">
        <v>1.699300699300699</v>
      </c>
      <c r="W406" s="4" t="n">
        <v>-143</v>
      </c>
      <c r="X406" s="2" t="n">
        <v>1</v>
      </c>
      <c r="Y406" s="5" t="n">
        <v>-1</v>
      </c>
      <c r="Z406" s="7" t="n">
        <v>100</v>
      </c>
      <c r="AA406" s="7">
        <f>Y406*Z406</f>
        <v/>
      </c>
      <c r="AB406" s="6">
        <f>IF(Z406=0,0,AA406/Z406)</f>
        <v/>
      </c>
      <c r="AC406" s="6" t="n"/>
      <c r="AD406" s="2" t="inlineStr">
        <is>
          <t>Loss</t>
        </is>
      </c>
      <c r="AE406" s="6">
        <f>IF((COUNTIF($AD$2:AD406,"Win")+COUNTIF($AD$2:AD406,"Loss"))=0,0,COUNTIF($AD$2:AD406,"Win")/(COUNTIF($AD$2:AD406,"Win")+COUNTIF($AD$2:AD406,"Loss")))</f>
        <v/>
      </c>
      <c r="AF406" s="6">
        <f>SUM($Y$2:Y406)/SUM($X$2:X406)</f>
        <v/>
      </c>
      <c r="AG406" s="5">
        <f>SUM($Y$2:Y406)</f>
        <v/>
      </c>
      <c r="AH406" s="7">
        <f>10000.0+SUM($AA$2:AA406)</f>
        <v/>
      </c>
      <c r="AI406" s="2" t="n">
        <v>2026</v>
      </c>
      <c r="AJ406" s="2" t="inlineStr">
        <is>
          <t>2026-03</t>
        </is>
      </c>
      <c r="AK406" s="2" t="inlineStr">
        <is>
          <t>-149 to -120</t>
        </is>
      </c>
      <c r="AL406" s="2" t="inlineStr">
        <is>
          <t>2026 Frozen Test</t>
        </is>
      </c>
      <c r="AM406" s="6" t="n">
        <v>0.3275560879369924</v>
      </c>
    </row>
    <row r="407">
      <c r="A407" s="2" t="inlineStr">
        <is>
          <t>KPROP-00406</t>
        </is>
      </c>
      <c r="B407" s="3" t="n">
        <v>46107.67056712963</v>
      </c>
      <c r="C407" s="3" t="n">
        <v>46107</v>
      </c>
      <c r="D407" s="2" t="inlineStr">
        <is>
          <t>Tarik Skubal</t>
        </is>
      </c>
      <c r="E407" s="2" t="n">
        <v>116</v>
      </c>
      <c r="F407" s="2" t="n">
        <v>135</v>
      </c>
      <c r="G407" s="2" t="inlineStr">
        <is>
          <t>Away</t>
        </is>
      </c>
      <c r="H407" s="2" t="inlineStr">
        <is>
          <t>betonlineag</t>
        </is>
      </c>
      <c r="I407" s="4" t="n"/>
      <c r="J407" s="4" t="n"/>
      <c r="K407" s="4" t="n">
        <v>115</v>
      </c>
      <c r="L407" s="4" t="n">
        <v>115</v>
      </c>
      <c r="M407" s="5" t="n">
        <v>6.5</v>
      </c>
      <c r="N407" s="5" t="n">
        <v>6.360412184753596</v>
      </c>
      <c r="O407" s="5" t="n">
        <v>6.5</v>
      </c>
      <c r="P407" s="5" t="n">
        <v>0.1395878152464043</v>
      </c>
      <c r="Q407" s="6" t="n">
        <v>0.1795210428448533</v>
      </c>
      <c r="R407" s="6" t="n">
        <v>0.5486144385324899</v>
      </c>
      <c r="S407" s="6" t="n">
        <v>0.447405997144217</v>
      </c>
      <c r="T407" s="2" t="inlineStr">
        <is>
          <t>Under</t>
        </is>
      </c>
      <c r="U407" s="4" t="n">
        <v>115</v>
      </c>
      <c r="V407" s="2" t="n">
        <v>2.15</v>
      </c>
      <c r="W407" s="4" t="n">
        <v>115</v>
      </c>
      <c r="X407" s="2" t="n">
        <v>1</v>
      </c>
      <c r="Y407" s="5" t="n">
        <v>1.15</v>
      </c>
      <c r="Z407" s="7" t="n">
        <v>100</v>
      </c>
      <c r="AA407" s="7">
        <f>Y407*Z407</f>
        <v/>
      </c>
      <c r="AB407" s="6">
        <f>IF(Z407=0,0,AA407/Z407)</f>
        <v/>
      </c>
      <c r="AC407" s="6" t="n"/>
      <c r="AD407" s="2" t="inlineStr">
        <is>
          <t>Win</t>
        </is>
      </c>
      <c r="AE407" s="6">
        <f>IF((COUNTIF($AD$2:AD407,"Win")+COUNTIF($AD$2:AD407,"Loss"))=0,0,COUNTIF($AD$2:AD407,"Win")/(COUNTIF($AD$2:AD407,"Win")+COUNTIF($AD$2:AD407,"Loss")))</f>
        <v/>
      </c>
      <c r="AF407" s="6">
        <f>SUM($Y$2:Y407)/SUM($X$2:X407)</f>
        <v/>
      </c>
      <c r="AG407" s="5">
        <f>SUM($Y$2:Y407)</f>
        <v/>
      </c>
      <c r="AH407" s="7">
        <f>10000.0+SUM($AA$2:AA407)</f>
        <v/>
      </c>
      <c r="AI407" s="2" t="n">
        <v>2026</v>
      </c>
      <c r="AJ407" s="2" t="inlineStr">
        <is>
          <t>2026-03</t>
        </is>
      </c>
      <c r="AK407" s="2" t="inlineStr">
        <is>
          <t>+100 to +120</t>
        </is>
      </c>
      <c r="AL407" s="2" t="inlineStr">
        <is>
          <t>2026 Frozen Test</t>
        </is>
      </c>
      <c r="AM407" s="6" t="n">
        <v>0.1561052546476985</v>
      </c>
    </row>
    <row r="408">
      <c r="A408" s="2" t="inlineStr">
        <is>
          <t>KPROP-00407</t>
        </is>
      </c>
      <c r="B408" s="3" t="n">
        <v>46107.67056712963</v>
      </c>
      <c r="C408" s="3" t="n">
        <v>46107</v>
      </c>
      <c r="D408" s="2" t="inlineStr">
        <is>
          <t>Tarik Skubal</t>
        </is>
      </c>
      <c r="E408" s="2" t="n">
        <v>116</v>
      </c>
      <c r="F408" s="2" t="n">
        <v>135</v>
      </c>
      <c r="G408" s="2" t="inlineStr">
        <is>
          <t>Away</t>
        </is>
      </c>
      <c r="H408" s="2" t="inlineStr">
        <is>
          <t>betmgm</t>
        </is>
      </c>
      <c r="I408" s="4" t="n"/>
      <c r="J408" s="4" t="n"/>
      <c r="K408" s="4" t="n">
        <v>-160</v>
      </c>
      <c r="L408" s="4" t="n">
        <v>-160</v>
      </c>
      <c r="M408" s="5" t="n">
        <v>7.5</v>
      </c>
      <c r="N408" s="5" t="n">
        <v>6.360412184753596</v>
      </c>
      <c r="O408" s="5" t="n">
        <v>7.5</v>
      </c>
      <c r="P408" s="5" t="n">
        <v>1.139587815246404</v>
      </c>
      <c r="Q408" s="6" t="n">
        <v>0.1262063804276712</v>
      </c>
      <c r="R408" s="6" t="n">
        <v>0.6930500802631823</v>
      </c>
      <c r="S408" s="6" t="n">
        <v>0.5911949685534592</v>
      </c>
      <c r="T408" s="2" t="inlineStr">
        <is>
          <t>Under</t>
        </is>
      </c>
      <c r="U408" s="4" t="n">
        <v>-160</v>
      </c>
      <c r="V408" s="2" t="n">
        <v>1.625</v>
      </c>
      <c r="W408" s="4" t="n">
        <v>-160</v>
      </c>
      <c r="X408" s="2" t="n">
        <v>1</v>
      </c>
      <c r="Y408" s="5" t="n">
        <v>0.625</v>
      </c>
      <c r="Z408" s="7" t="n">
        <v>100</v>
      </c>
      <c r="AA408" s="7">
        <f>Y408*Z408</f>
        <v/>
      </c>
      <c r="AB408" s="6">
        <f>IF(Z408=0,0,AA408/Z408)</f>
        <v/>
      </c>
      <c r="AC408" s="6" t="n"/>
      <c r="AD408" s="2" t="inlineStr">
        <is>
          <t>Win</t>
        </is>
      </c>
      <c r="AE408" s="6">
        <f>IF((COUNTIF($AD$2:AD408,"Win")+COUNTIF($AD$2:AD408,"Loss"))=0,0,COUNTIF($AD$2:AD408,"Win")/(COUNTIF($AD$2:AD408,"Win")+COUNTIF($AD$2:AD408,"Loss")))</f>
        <v/>
      </c>
      <c r="AF408" s="6">
        <f>SUM($Y$2:Y408)/SUM($X$2:X408)</f>
        <v/>
      </c>
      <c r="AG408" s="5">
        <f>SUM($Y$2:Y408)</f>
        <v/>
      </c>
      <c r="AH408" s="7">
        <f>10000.0+SUM($AA$2:AA408)</f>
        <v/>
      </c>
      <c r="AI408" s="2" t="n">
        <v>2026</v>
      </c>
      <c r="AJ408" s="2" t="inlineStr">
        <is>
          <t>2026-03</t>
        </is>
      </c>
      <c r="AK408" s="2" t="inlineStr">
        <is>
          <t>&lt;= -150</t>
        </is>
      </c>
      <c r="AL408" s="2" t="inlineStr">
        <is>
          <t>2026 Frozen Test</t>
        </is>
      </c>
      <c r="AM408" s="6" t="n">
        <v>0.2019302086842739</v>
      </c>
    </row>
    <row r="409">
      <c r="A409" s="2" t="inlineStr">
        <is>
          <t>KPROP-00408</t>
        </is>
      </c>
      <c r="B409" s="3" t="n">
        <v>46108.79905092593</v>
      </c>
      <c r="C409" s="3" t="n">
        <v>46108</v>
      </c>
      <c r="D409" s="2" t="inlineStr">
        <is>
          <t>Chris Sale</t>
        </is>
      </c>
      <c r="E409" s="2" t="n">
        <v>144</v>
      </c>
      <c r="F409" s="2" t="n">
        <v>118</v>
      </c>
      <c r="G409" s="2" t="inlineStr">
        <is>
          <t>Home</t>
        </is>
      </c>
      <c r="H409" s="2" t="inlineStr">
        <is>
          <t>draftkings</t>
        </is>
      </c>
      <c r="I409" s="4" t="n"/>
      <c r="J409" s="4" t="n"/>
      <c r="K409" s="4" t="n">
        <v>-103</v>
      </c>
      <c r="L409" s="4" t="n">
        <v>-103</v>
      </c>
      <c r="M409" s="5" t="n">
        <v>6.5</v>
      </c>
      <c r="N409" s="5" t="n">
        <v>6.151979189152462</v>
      </c>
      <c r="O409" s="5" t="n">
        <v>6.5</v>
      </c>
      <c r="P409" s="5" t="n">
        <v>0.3480208108475376</v>
      </c>
      <c r="Q409" s="6" t="n">
        <v>0.1468649880843478</v>
      </c>
      <c r="R409" s="6" t="n">
        <v>0.5819068658753095</v>
      </c>
      <c r="S409" s="6" t="n">
        <v>0.4920382165605096</v>
      </c>
      <c r="T409" s="2" t="inlineStr">
        <is>
          <t>Under</t>
        </is>
      </c>
      <c r="U409" s="4" t="n">
        <v>-103</v>
      </c>
      <c r="V409" s="2" t="n">
        <v>1.970873786407767</v>
      </c>
      <c r="W409" s="4" t="n">
        <v>-103</v>
      </c>
      <c r="X409" s="2" t="n">
        <v>1</v>
      </c>
      <c r="Y409" s="5" t="n">
        <v>0.970873786407767</v>
      </c>
      <c r="Z409" s="7" t="n">
        <v>100</v>
      </c>
      <c r="AA409" s="7">
        <f>Y409*Z409</f>
        <v/>
      </c>
      <c r="AB409" s="6">
        <f>IF(Z409=0,0,AA409/Z409)</f>
        <v/>
      </c>
      <c r="AC409" s="6" t="n"/>
      <c r="AD409" s="2" t="inlineStr">
        <is>
          <t>Win</t>
        </is>
      </c>
      <c r="AE409" s="6">
        <f>IF((COUNTIF($AD$2:AD409,"Win")+COUNTIF($AD$2:AD409,"Loss"))=0,0,COUNTIF($AD$2:AD409,"Win")/(COUNTIF($AD$2:AD409,"Win")+COUNTIF($AD$2:AD409,"Loss")))</f>
        <v/>
      </c>
      <c r="AF409" s="6">
        <f>SUM($Y$2:Y409)/SUM($X$2:X409)</f>
        <v/>
      </c>
      <c r="AG409" s="5">
        <f>SUM($Y$2:Y409)</f>
        <v/>
      </c>
      <c r="AH409" s="7">
        <f>10000.0+SUM($AA$2:AA409)</f>
        <v/>
      </c>
      <c r="AI409" s="2" t="n">
        <v>2026</v>
      </c>
      <c r="AJ409" s="2" t="inlineStr">
        <is>
          <t>2026-03</t>
        </is>
      </c>
      <c r="AK409" s="2" t="inlineStr">
        <is>
          <t>-119 to -101</t>
        </is>
      </c>
      <c r="AL409" s="2" t="inlineStr">
        <is>
          <t>2026 Frozen Test</t>
        </is>
      </c>
      <c r="AM409" s="6" t="n">
        <v>0.1512709377268782</v>
      </c>
    </row>
    <row r="410">
      <c r="A410" s="2" t="inlineStr">
        <is>
          <t>KPROP-00409</t>
        </is>
      </c>
      <c r="B410" s="3" t="n">
        <v>46108.79905092593</v>
      </c>
      <c r="C410" s="3" t="n">
        <v>46108</v>
      </c>
      <c r="D410" s="2" t="inlineStr">
        <is>
          <t>Cole Ragans</t>
        </is>
      </c>
      <c r="E410" s="2" t="n">
        <v>118</v>
      </c>
      <c r="F410" s="2" t="n">
        <v>144</v>
      </c>
      <c r="G410" s="2" t="inlineStr">
        <is>
          <t>Away</t>
        </is>
      </c>
      <c r="H410" s="2" t="inlineStr">
        <is>
          <t>draftkings</t>
        </is>
      </c>
      <c r="I410" s="4" t="n"/>
      <c r="J410" s="4" t="n"/>
      <c r="K410" s="4" t="n">
        <v>-115</v>
      </c>
      <c r="L410" s="4" t="n">
        <v>-115</v>
      </c>
      <c r="M410" s="5" t="n">
        <v>6.5</v>
      </c>
      <c r="N410" s="5" t="n">
        <v>5.629921400061132</v>
      </c>
      <c r="O410" s="5" t="n">
        <v>6.5</v>
      </c>
      <c r="P410" s="5" t="n">
        <v>0.8700785999388678</v>
      </c>
      <c r="Q410" s="6" t="n">
        <v>0.2442207212376972</v>
      </c>
      <c r="R410" s="6" t="n">
        <v>0.6655134090341172</v>
      </c>
      <c r="S410" s="6" t="n">
        <v>0.5168539325842696</v>
      </c>
      <c r="T410" s="2" t="inlineStr">
        <is>
          <t>Under</t>
        </is>
      </c>
      <c r="U410" s="4" t="n">
        <v>-115</v>
      </c>
      <c r="V410" s="2" t="n">
        <v>1.869565217391304</v>
      </c>
      <c r="W410" s="4" t="n">
        <v>-115</v>
      </c>
      <c r="X410" s="2" t="n">
        <v>1</v>
      </c>
      <c r="Y410" s="5" t="n">
        <v>0.8695652173913042</v>
      </c>
      <c r="Z410" s="7" t="n">
        <v>100</v>
      </c>
      <c r="AA410" s="7">
        <f>Y410*Z410</f>
        <v/>
      </c>
      <c r="AB410" s="6">
        <f>IF(Z410=0,0,AA410/Z410)</f>
        <v/>
      </c>
      <c r="AC410" s="6" t="n"/>
      <c r="AD410" s="2" t="inlineStr">
        <is>
          <t>Win</t>
        </is>
      </c>
      <c r="AE410" s="6">
        <f>IF((COUNTIF($AD$2:AD410,"Win")+COUNTIF($AD$2:AD410,"Loss"))=0,0,COUNTIF($AD$2:AD410,"Win")/(COUNTIF($AD$2:AD410,"Win")+COUNTIF($AD$2:AD410,"Loss")))</f>
        <v/>
      </c>
      <c r="AF410" s="6">
        <f>SUM($Y$2:Y410)/SUM($X$2:X410)</f>
        <v/>
      </c>
      <c r="AG410" s="5">
        <f>SUM($Y$2:Y410)</f>
        <v/>
      </c>
      <c r="AH410" s="7">
        <f>10000.0+SUM($AA$2:AA410)</f>
        <v/>
      </c>
      <c r="AI410" s="2" t="n">
        <v>2026</v>
      </c>
      <c r="AJ410" s="2" t="inlineStr">
        <is>
          <t>2026-03</t>
        </is>
      </c>
      <c r="AK410" s="2" t="inlineStr">
        <is>
          <t>-119 to -101</t>
        </is>
      </c>
      <c r="AL410" s="2" t="inlineStr">
        <is>
          <t>2026 Frozen Test</t>
        </is>
      </c>
      <c r="AM410" s="6" t="n">
        <v>0.2808538294233519</v>
      </c>
    </row>
    <row r="411">
      <c r="A411" s="2" t="inlineStr">
        <is>
          <t>KPROP-00410</t>
        </is>
      </c>
      <c r="B411" s="3" t="n">
        <v>46108.69140046297</v>
      </c>
      <c r="C411" s="3" t="n">
        <v>46108</v>
      </c>
      <c r="D411" s="2" t="inlineStr">
        <is>
          <t>Robbie Ray</t>
        </is>
      </c>
      <c r="E411" s="2" t="n">
        <v>137</v>
      </c>
      <c r="F411" s="2" t="n">
        <v>147</v>
      </c>
      <c r="G411" s="2" t="inlineStr">
        <is>
          <t>Home</t>
        </is>
      </c>
      <c r="H411" s="2" t="inlineStr">
        <is>
          <t>bovada</t>
        </is>
      </c>
      <c r="I411" s="4" t="n"/>
      <c r="J411" s="4" t="n"/>
      <c r="K411" s="4" t="n">
        <v>125</v>
      </c>
      <c r="L411" s="4" t="n">
        <v>125</v>
      </c>
      <c r="M411" s="5" t="n">
        <v>5.5</v>
      </c>
      <c r="N411" s="5" t="n">
        <v>5.757048821926251</v>
      </c>
      <c r="O411" s="5" t="n">
        <v>5.5</v>
      </c>
      <c r="P411" s="5" t="n">
        <v>-0.2570488219262508</v>
      </c>
      <c r="Q411" s="6" t="n">
        <v>0.09225806158538274</v>
      </c>
      <c r="R411" s="6" t="n">
        <v>0.4854480273712812</v>
      </c>
      <c r="S411" s="6" t="n">
        <v>0.4255319148936171</v>
      </c>
      <c r="T411" s="2" t="inlineStr">
        <is>
          <t>Under</t>
        </is>
      </c>
      <c r="U411" s="4" t="n">
        <v>125</v>
      </c>
      <c r="V411" s="2" t="n">
        <v>2.25</v>
      </c>
      <c r="W411" s="4" t="n">
        <v>125</v>
      </c>
      <c r="X411" s="2" t="n">
        <v>1</v>
      </c>
      <c r="Y411" s="5" t="n">
        <v>1.25</v>
      </c>
      <c r="Z411" s="7" t="n">
        <v>100</v>
      </c>
      <c r="AA411" s="7">
        <f>Y411*Z411</f>
        <v/>
      </c>
      <c r="AB411" s="6">
        <f>IF(Z411=0,0,AA411/Z411)</f>
        <v/>
      </c>
      <c r="AC411" s="6" t="n"/>
      <c r="AD411" s="2" t="inlineStr">
        <is>
          <t>Win</t>
        </is>
      </c>
      <c r="AE411" s="6">
        <f>IF((COUNTIF($AD$2:AD411,"Win")+COUNTIF($AD$2:AD411,"Loss"))=0,0,COUNTIF($AD$2:AD411,"Win")/(COUNTIF($AD$2:AD411,"Win")+COUNTIF($AD$2:AD411,"Loss")))</f>
        <v/>
      </c>
      <c r="AF411" s="6">
        <f>SUM($Y$2:Y411)/SUM($X$2:X411)</f>
        <v/>
      </c>
      <c r="AG411" s="5">
        <f>SUM($Y$2:Y411)</f>
        <v/>
      </c>
      <c r="AH411" s="7">
        <f>10000.0+SUM($AA$2:AA411)</f>
        <v/>
      </c>
      <c r="AI411" s="2" t="n">
        <v>2026</v>
      </c>
      <c r="AJ411" s="2" t="inlineStr">
        <is>
          <t>2026-03</t>
        </is>
      </c>
      <c r="AK411" s="2" t="inlineStr">
        <is>
          <t>+121 to +150</t>
        </is>
      </c>
      <c r="AL411" s="2" t="inlineStr">
        <is>
          <t>2026 Frozen Test</t>
        </is>
      </c>
      <c r="AM411" s="6" t="n">
        <v>0.07380644926830619</v>
      </c>
    </row>
    <row r="412">
      <c r="A412" s="2" t="inlineStr">
        <is>
          <t>KPROP-00411</t>
        </is>
      </c>
      <c r="B412" s="3" t="n">
        <v>46109.59417824074</v>
      </c>
      <c r="C412" s="3" t="n">
        <v>46109</v>
      </c>
      <c r="D412" s="2" t="inlineStr">
        <is>
          <t>Cade Horton</t>
        </is>
      </c>
      <c r="E412" s="2" t="n">
        <v>112</v>
      </c>
      <c r="F412" s="2" t="n">
        <v>120</v>
      </c>
      <c r="G412" s="2" t="inlineStr">
        <is>
          <t>Home</t>
        </is>
      </c>
      <c r="H412" s="2" t="inlineStr">
        <is>
          <t>betrivers</t>
        </is>
      </c>
      <c r="I412" s="4" t="n"/>
      <c r="J412" s="4" t="n"/>
      <c r="K412" s="4" t="n">
        <v>104</v>
      </c>
      <c r="L412" s="4" t="n">
        <v>104</v>
      </c>
      <c r="M412" s="5" t="n">
        <v>4.5</v>
      </c>
      <c r="N412" s="5" t="n">
        <v>4.378015439684973</v>
      </c>
      <c r="O412" s="5" t="n">
        <v>4.5</v>
      </c>
      <c r="P412" s="5" t="n">
        <v>0.1219845603150267</v>
      </c>
      <c r="Q412" s="6" t="n">
        <v>0.1330224986916877</v>
      </c>
      <c r="R412" s="6" t="n">
        <v>0.5554031856331803</v>
      </c>
      <c r="S412" s="6" t="n">
        <v>0.4834254143646409</v>
      </c>
      <c r="T412" s="2" t="inlineStr">
        <is>
          <t>Under</t>
        </is>
      </c>
      <c r="U412" s="4" t="n">
        <v>104</v>
      </c>
      <c r="V412" s="2" t="n">
        <v>2.04</v>
      </c>
      <c r="W412" s="4" t="n">
        <v>104</v>
      </c>
      <c r="X412" s="2" t="n">
        <v>1</v>
      </c>
      <c r="Y412" s="5" t="n">
        <v>1.04</v>
      </c>
      <c r="Z412" s="7" t="n">
        <v>100</v>
      </c>
      <c r="AA412" s="7">
        <f>Y412*Z412</f>
        <v/>
      </c>
      <c r="AB412" s="6">
        <f>IF(Z412=0,0,AA412/Z412)</f>
        <v/>
      </c>
      <c r="AC412" s="6" t="n"/>
      <c r="AD412" s="2" t="inlineStr">
        <is>
          <t>Win</t>
        </is>
      </c>
      <c r="AE412" s="6">
        <f>IF((COUNTIF($AD$2:AD412,"Win")+COUNTIF($AD$2:AD412,"Loss"))=0,0,COUNTIF($AD$2:AD412,"Win")/(COUNTIF($AD$2:AD412,"Win")+COUNTIF($AD$2:AD412,"Loss")))</f>
        <v/>
      </c>
      <c r="AF412" s="6">
        <f>SUM($Y$2:Y412)/SUM($X$2:X412)</f>
        <v/>
      </c>
      <c r="AG412" s="5">
        <f>SUM($Y$2:Y412)</f>
        <v/>
      </c>
      <c r="AH412" s="7">
        <f>10000.0+SUM($AA$2:AA412)</f>
        <v/>
      </c>
      <c r="AI412" s="2" t="n">
        <v>2026</v>
      </c>
      <c r="AJ412" s="2" t="inlineStr">
        <is>
          <t>2026-03</t>
        </is>
      </c>
      <c r="AK412" s="2" t="inlineStr">
        <is>
          <t>+100 to +120</t>
        </is>
      </c>
      <c r="AL412" s="2" t="inlineStr">
        <is>
          <t>2026 Frozen Test</t>
        </is>
      </c>
      <c r="AM412" s="6" t="n">
        <v>0.1279062487420074</v>
      </c>
    </row>
    <row r="413">
      <c r="A413" s="2" t="inlineStr">
        <is>
          <t>KPROP-00412</t>
        </is>
      </c>
      <c r="B413" s="3" t="n">
        <v>46109.67056712963</v>
      </c>
      <c r="C413" s="3" t="n">
        <v>46109</v>
      </c>
      <c r="D413" s="2" t="inlineStr">
        <is>
          <t>David Peterson</t>
        </is>
      </c>
      <c r="E413" s="2" t="n">
        <v>121</v>
      </c>
      <c r="F413" s="2" t="n">
        <v>134</v>
      </c>
      <c r="G413" s="2" t="inlineStr">
        <is>
          <t>Home</t>
        </is>
      </c>
      <c r="H413" s="2" t="inlineStr">
        <is>
          <t>betmgm</t>
        </is>
      </c>
      <c r="I413" s="4" t="n"/>
      <c r="J413" s="4" t="n"/>
      <c r="K413" s="4" t="n">
        <v>130</v>
      </c>
      <c r="L413" s="4" t="n">
        <v>130</v>
      </c>
      <c r="M413" s="5" t="n">
        <v>4.5</v>
      </c>
      <c r="N413" s="5" t="n">
        <v>4.28389668670161</v>
      </c>
      <c r="O413" s="5" t="n">
        <v>4.5</v>
      </c>
      <c r="P413" s="5" t="n">
        <v>0.2161033132983903</v>
      </c>
      <c r="Q413" s="6" t="n">
        <v>0.319170388911278</v>
      </c>
      <c r="R413" s="6" t="n">
        <v>0.5735523430049035</v>
      </c>
      <c r="S413" s="6" t="n">
        <v>0.4201680672268908</v>
      </c>
      <c r="T413" s="2" t="inlineStr">
        <is>
          <t>Under</t>
        </is>
      </c>
      <c r="U413" s="4" t="n">
        <v>130</v>
      </c>
      <c r="V413" s="2" t="n">
        <v>2.3</v>
      </c>
      <c r="W413" s="4" t="n">
        <v>130</v>
      </c>
      <c r="X413" s="2" t="n">
        <v>1</v>
      </c>
      <c r="Y413" s="5" t="n">
        <v>1.3</v>
      </c>
      <c r="Z413" s="7" t="n">
        <v>100</v>
      </c>
      <c r="AA413" s="7">
        <f>Y413*Z413</f>
        <v/>
      </c>
      <c r="AB413" s="6">
        <f>IF(Z413=0,0,AA413/Z413)</f>
        <v/>
      </c>
      <c r="AC413" s="6" t="n"/>
      <c r="AD413" s="2" t="inlineStr">
        <is>
          <t>Win</t>
        </is>
      </c>
      <c r="AE413" s="6">
        <f>IF((COUNTIF($AD$2:AD413,"Win")+COUNTIF($AD$2:AD413,"Loss"))=0,0,COUNTIF($AD$2:AD413,"Win")/(COUNTIF($AD$2:AD413,"Win")+COUNTIF($AD$2:AD413,"Loss")))</f>
        <v/>
      </c>
      <c r="AF413" s="6">
        <f>SUM($Y$2:Y413)/SUM($X$2:X413)</f>
        <v/>
      </c>
      <c r="AG413" s="5">
        <f>SUM($Y$2:Y413)</f>
        <v/>
      </c>
      <c r="AH413" s="7">
        <f>10000.0+SUM($AA$2:AA413)</f>
        <v/>
      </c>
      <c r="AI413" s="2" t="n">
        <v>2026</v>
      </c>
      <c r="AJ413" s="2" t="inlineStr">
        <is>
          <t>2026-03</t>
        </is>
      </c>
      <c r="AK413" s="2" t="inlineStr">
        <is>
          <t>+121 to +150</t>
        </is>
      </c>
      <c r="AL413" s="2" t="inlineStr">
        <is>
          <t>2026 Frozen Test</t>
        </is>
      </c>
      <c r="AM413" s="6" t="n">
        <v>0.2455156837779062</v>
      </c>
    </row>
    <row r="414">
      <c r="A414" s="2" t="inlineStr">
        <is>
          <t>KPROP-00413</t>
        </is>
      </c>
      <c r="B414" s="3" t="n">
        <v>46109.67403935185</v>
      </c>
      <c r="C414" s="3" t="n">
        <v>46109</v>
      </c>
      <c r="D414" s="2" t="inlineStr">
        <is>
          <t>Eury Pérez</t>
        </is>
      </c>
      <c r="E414" s="2" t="n">
        <v>146</v>
      </c>
      <c r="F414" s="2" t="n">
        <v>115</v>
      </c>
      <c r="G414" s="2" t="inlineStr">
        <is>
          <t>Home</t>
        </is>
      </c>
      <c r="H414" s="2" t="inlineStr">
        <is>
          <t>betrivers</t>
        </is>
      </c>
      <c r="I414" s="4" t="n"/>
      <c r="J414" s="4" t="n"/>
      <c r="K414" s="4" t="n">
        <v>138</v>
      </c>
      <c r="L414" s="4" t="n">
        <v>138</v>
      </c>
      <c r="M414" s="5" t="n">
        <v>5.5</v>
      </c>
      <c r="N414" s="5" t="n">
        <v>5.920239905199486</v>
      </c>
      <c r="O414" s="5" t="n">
        <v>5.5</v>
      </c>
      <c r="P414" s="5" t="n">
        <v>-0.4202399051994856</v>
      </c>
      <c r="Q414" s="6" t="n">
        <v>0.09140748021586219</v>
      </c>
      <c r="R414" s="6" t="n">
        <v>0.4585745715192698</v>
      </c>
      <c r="S414" s="6" t="n">
        <v>0.3924905308228578</v>
      </c>
      <c r="T414" s="2" t="inlineStr">
        <is>
          <t>Under</t>
        </is>
      </c>
      <c r="U414" s="4" t="n">
        <v>138</v>
      </c>
      <c r="V414" s="2" t="n">
        <v>2.38</v>
      </c>
      <c r="W414" s="4" t="n">
        <v>138</v>
      </c>
      <c r="X414" s="2" t="n">
        <v>1</v>
      </c>
      <c r="Y414" s="5" t="n">
        <v>-1</v>
      </c>
      <c r="Z414" s="7" t="n">
        <v>100</v>
      </c>
      <c r="AA414" s="7">
        <f>Y414*Z414</f>
        <v/>
      </c>
      <c r="AB414" s="6">
        <f>IF(Z414=0,0,AA414/Z414)</f>
        <v/>
      </c>
      <c r="AC414" s="6" t="n"/>
      <c r="AD414" s="2" t="inlineStr">
        <is>
          <t>Loss</t>
        </is>
      </c>
      <c r="AE414" s="6">
        <f>IF((COUNTIF($AD$2:AD414,"Win")+COUNTIF($AD$2:AD414,"Loss"))=0,0,COUNTIF($AD$2:AD414,"Win")/(COUNTIF($AD$2:AD414,"Win")+COUNTIF($AD$2:AD414,"Loss")))</f>
        <v/>
      </c>
      <c r="AF414" s="6">
        <f>SUM($Y$2:Y414)/SUM($X$2:X414)</f>
        <v/>
      </c>
      <c r="AG414" s="5">
        <f>SUM($Y$2:Y414)</f>
        <v/>
      </c>
      <c r="AH414" s="7">
        <f>10000.0+SUM($AA$2:AA414)</f>
        <v/>
      </c>
      <c r="AI414" s="2" t="n">
        <v>2026</v>
      </c>
      <c r="AJ414" s="2" t="inlineStr">
        <is>
          <t>2026-03</t>
        </is>
      </c>
      <c r="AK414" s="2" t="inlineStr">
        <is>
          <t>+121 to +150</t>
        </is>
      </c>
      <c r="AL414" s="2" t="inlineStr">
        <is>
          <t>2026 Frozen Test</t>
        </is>
      </c>
      <c r="AM414" s="6" t="n">
        <v>0.06623730450424797</v>
      </c>
    </row>
    <row r="415">
      <c r="A415" s="2" t="inlineStr">
        <is>
          <t>KPROP-00414</t>
        </is>
      </c>
      <c r="B415" s="3" t="n">
        <v>46109.79903935185</v>
      </c>
      <c r="C415" s="3" t="n">
        <v>46109</v>
      </c>
      <c r="D415" s="2" t="inlineStr">
        <is>
          <t>Michael Wacha</t>
        </is>
      </c>
      <c r="E415" s="2" t="n">
        <v>118</v>
      </c>
      <c r="F415" s="2" t="n">
        <v>144</v>
      </c>
      <c r="G415" s="2" t="inlineStr">
        <is>
          <t>Away</t>
        </is>
      </c>
      <c r="H415" s="2" t="inlineStr">
        <is>
          <t>betmgm</t>
        </is>
      </c>
      <c r="I415" s="4" t="n"/>
      <c r="J415" s="4" t="n"/>
      <c r="K415" s="4" t="n">
        <v>120</v>
      </c>
      <c r="L415" s="4" t="n">
        <v>120</v>
      </c>
      <c r="M415" s="5" t="n">
        <v>3.5</v>
      </c>
      <c r="N415" s="5" t="n">
        <v>3.668973518159568</v>
      </c>
      <c r="O415" s="5" t="n">
        <v>3.5</v>
      </c>
      <c r="P415" s="5" t="n">
        <v>-0.1689735181595684</v>
      </c>
      <c r="Q415" s="6" t="n">
        <v>0.1014254005137052</v>
      </c>
      <c r="R415" s="6" t="n">
        <v>0.5006479093244114</v>
      </c>
      <c r="S415" s="6" t="n">
        <v>0.4457364341085271</v>
      </c>
      <c r="T415" s="2" t="inlineStr">
        <is>
          <t>Under</t>
        </is>
      </c>
      <c r="U415" s="4" t="n">
        <v>120</v>
      </c>
      <c r="V415" s="2" t="n">
        <v>2.2</v>
      </c>
      <c r="W415" s="4" t="n">
        <v>120</v>
      </c>
      <c r="X415" s="2" t="n">
        <v>1</v>
      </c>
      <c r="Y415" s="5" t="n">
        <v>-1</v>
      </c>
      <c r="Z415" s="7" t="n">
        <v>100</v>
      </c>
      <c r="AA415" s="7">
        <f>Y415*Z415</f>
        <v/>
      </c>
      <c r="AB415" s="6">
        <f>IF(Z415=0,0,AA415/Z415)</f>
        <v/>
      </c>
      <c r="AC415" s="6" t="n"/>
      <c r="AD415" s="2" t="inlineStr">
        <is>
          <t>Loss</t>
        </is>
      </c>
      <c r="AE415" s="6">
        <f>IF((COUNTIF($AD$2:AD415,"Win")+COUNTIF($AD$2:AD415,"Loss"))=0,0,COUNTIF($AD$2:AD415,"Win")/(COUNTIF($AD$2:AD415,"Win")+COUNTIF($AD$2:AD415,"Loss")))</f>
        <v/>
      </c>
      <c r="AF415" s="6">
        <f>SUM($Y$2:Y415)/SUM($X$2:X415)</f>
        <v/>
      </c>
      <c r="AG415" s="5">
        <f>SUM($Y$2:Y415)</f>
        <v/>
      </c>
      <c r="AH415" s="7">
        <f>10000.0+SUM($AA$2:AA415)</f>
        <v/>
      </c>
      <c r="AI415" s="2" t="n">
        <v>2026</v>
      </c>
      <c r="AJ415" s="2" t="inlineStr">
        <is>
          <t>2026-03</t>
        </is>
      </c>
      <c r="AK415" s="2" t="inlineStr">
        <is>
          <t>+100 to +120</t>
        </is>
      </c>
      <c r="AL415" s="2" t="inlineStr">
        <is>
          <t>2026 Frozen Test</t>
        </is>
      </c>
      <c r="AM415" s="6" t="n">
        <v>0.08452116709475431</v>
      </c>
    </row>
    <row r="416">
      <c r="A416" s="2" t="inlineStr">
        <is>
          <t>KPROP-00415</t>
        </is>
      </c>
      <c r="B416" s="3" t="n">
        <v>46110.56641203703</v>
      </c>
      <c r="C416" s="3" t="n">
        <v>46110</v>
      </c>
      <c r="D416" s="2" t="inlineStr">
        <is>
          <t>Grant Holmes</t>
        </is>
      </c>
      <c r="E416" s="2" t="n">
        <v>144</v>
      </c>
      <c r="F416" s="2" t="n">
        <v>118</v>
      </c>
      <c r="G416" s="2" t="inlineStr">
        <is>
          <t>Home</t>
        </is>
      </c>
      <c r="H416" s="2" t="inlineStr">
        <is>
          <t>betrivers</t>
        </is>
      </c>
      <c r="I416" s="4" t="n"/>
      <c r="J416" s="4" t="n"/>
      <c r="K416" s="4" t="n">
        <v>112</v>
      </c>
      <c r="L416" s="4" t="n">
        <v>112</v>
      </c>
      <c r="M416" s="5" t="n">
        <v>4.5</v>
      </c>
      <c r="N416" s="5" t="n">
        <v>4.452394093367988</v>
      </c>
      <c r="O416" s="5" t="n">
        <v>4.5</v>
      </c>
      <c r="P416" s="5" t="n">
        <v>0.04760590663201203</v>
      </c>
      <c r="Q416" s="6" t="n">
        <v>0.1472651361558385</v>
      </c>
      <c r="R416" s="6" t="n">
        <v>0.5411628000735087</v>
      </c>
      <c r="S416" s="6" t="n">
        <v>0.4591836734693878</v>
      </c>
      <c r="T416" s="2" t="inlineStr">
        <is>
          <t>Under</t>
        </is>
      </c>
      <c r="U416" s="4" t="n">
        <v>112</v>
      </c>
      <c r="V416" s="2" t="n">
        <v>2.12</v>
      </c>
      <c r="W416" s="4" t="n">
        <v>112</v>
      </c>
      <c r="X416" s="2" t="n">
        <v>1</v>
      </c>
      <c r="Y416" s="5" t="n">
        <v>1.12</v>
      </c>
      <c r="Z416" s="7" t="n">
        <v>100</v>
      </c>
      <c r="AA416" s="7">
        <f>Y416*Z416</f>
        <v/>
      </c>
      <c r="AB416" s="6">
        <f>IF(Z416=0,0,AA416/Z416)</f>
        <v/>
      </c>
      <c r="AC416" s="6" t="n"/>
      <c r="AD416" s="2" t="inlineStr">
        <is>
          <t>Win</t>
        </is>
      </c>
      <c r="AE416" s="6">
        <f>IF((COUNTIF($AD$2:AD416,"Win")+COUNTIF($AD$2:AD416,"Loss"))=0,0,COUNTIF($AD$2:AD416,"Win")/(COUNTIF($AD$2:AD416,"Win")+COUNTIF($AD$2:AD416,"Loss")))</f>
        <v/>
      </c>
      <c r="AF416" s="6">
        <f>SUM($Y$2:Y416)/SUM($X$2:X416)</f>
        <v/>
      </c>
      <c r="AG416" s="5">
        <f>SUM($Y$2:Y416)</f>
        <v/>
      </c>
      <c r="AH416" s="7">
        <f>10000.0+SUM($AA$2:AA416)</f>
        <v/>
      </c>
      <c r="AI416" s="2" t="n">
        <v>2026</v>
      </c>
      <c r="AJ416" s="2" t="inlineStr">
        <is>
          <t>2026-03</t>
        </is>
      </c>
      <c r="AK416" s="2" t="inlineStr">
        <is>
          <t>+100 to +120</t>
        </is>
      </c>
      <c r="AL416" s="2" t="inlineStr">
        <is>
          <t>2026 Frozen Test</t>
        </is>
      </c>
      <c r="AM416" s="6" t="n">
        <v>0.13148672871057</v>
      </c>
    </row>
    <row r="417">
      <c r="A417" s="2" t="inlineStr">
        <is>
          <t>KPROP-00416</t>
        </is>
      </c>
      <c r="B417" s="3" t="n">
        <v>46110.56641203703</v>
      </c>
      <c r="C417" s="3" t="n">
        <v>46110</v>
      </c>
      <c r="D417" s="2" t="inlineStr">
        <is>
          <t>Grant Holmes</t>
        </is>
      </c>
      <c r="E417" s="2" t="n">
        <v>144</v>
      </c>
      <c r="F417" s="2" t="n">
        <v>118</v>
      </c>
      <c r="G417" s="2" t="inlineStr">
        <is>
          <t>Home</t>
        </is>
      </c>
      <c r="H417" s="2" t="inlineStr">
        <is>
          <t>betrivers</t>
        </is>
      </c>
      <c r="I417" s="4" t="n"/>
      <c r="J417" s="4" t="n"/>
      <c r="K417" s="4" t="n">
        <v>-190</v>
      </c>
      <c r="L417" s="4" t="n">
        <v>-190</v>
      </c>
      <c r="M417" s="5" t="n">
        <v>5.5</v>
      </c>
      <c r="N417" s="5" t="n">
        <v>4.452394093367988</v>
      </c>
      <c r="O417" s="5" t="n">
        <v>5.5</v>
      </c>
      <c r="P417" s="5" t="n">
        <v>1.047605906632012</v>
      </c>
      <c r="Q417" s="6" t="n">
        <v>0.08527245281372942</v>
      </c>
      <c r="R417" s="6" t="n">
        <v>0.7110405725331331</v>
      </c>
      <c r="S417" s="6" t="n">
        <v>0.6112600536193029</v>
      </c>
      <c r="T417" s="2" t="inlineStr">
        <is>
          <t>Under</t>
        </is>
      </c>
      <c r="U417" s="4" t="n">
        <v>-190</v>
      </c>
      <c r="V417" s="2" t="n">
        <v>1.526315789473684</v>
      </c>
      <c r="W417" s="4" t="n">
        <v>-190</v>
      </c>
      <c r="X417" s="2" t="n">
        <v>1</v>
      </c>
      <c r="Y417" s="5" t="n">
        <v>0.5263157894736841</v>
      </c>
      <c r="Z417" s="7" t="n">
        <v>100</v>
      </c>
      <c r="AA417" s="7">
        <f>Y417*Z417</f>
        <v/>
      </c>
      <c r="AB417" s="6">
        <f>IF(Z417=0,0,AA417/Z417)</f>
        <v/>
      </c>
      <c r="AC417" s="6" t="n"/>
      <c r="AD417" s="2" t="inlineStr">
        <is>
          <t>Win</t>
        </is>
      </c>
      <c r="AE417" s="6">
        <f>IF((COUNTIF($AD$2:AD417,"Win")+COUNTIF($AD$2:AD417,"Loss"))=0,0,COUNTIF($AD$2:AD417,"Win")/(COUNTIF($AD$2:AD417,"Win")+COUNTIF($AD$2:AD417,"Loss")))</f>
        <v/>
      </c>
      <c r="AF417" s="6">
        <f>SUM($Y$2:Y417)/SUM($X$2:X417)</f>
        <v/>
      </c>
      <c r="AG417" s="5">
        <f>SUM($Y$2:Y417)</f>
        <v/>
      </c>
      <c r="AH417" s="7">
        <f>10000.0+SUM($AA$2:AA417)</f>
        <v/>
      </c>
      <c r="AI417" s="2" t="n">
        <v>2026</v>
      </c>
      <c r="AJ417" s="2" t="inlineStr">
        <is>
          <t>2026-03</t>
        </is>
      </c>
      <c r="AK417" s="2" t="inlineStr">
        <is>
          <t>&lt;= -150</t>
        </is>
      </c>
      <c r="AL417" s="2" t="inlineStr">
        <is>
          <t>2026 Frozen Test</t>
        </is>
      </c>
      <c r="AM417" s="6" t="n">
        <v>0.1620176603460859</v>
      </c>
    </row>
    <row r="418">
      <c r="A418" s="2" t="inlineStr">
        <is>
          <t>KPROP-00417</t>
        </is>
      </c>
      <c r="B418" s="3" t="n">
        <v>46110.56641203703</v>
      </c>
      <c r="C418" s="3" t="n">
        <v>46110</v>
      </c>
      <c r="D418" s="2" t="inlineStr">
        <is>
          <t>MacKenzie Gore</t>
        </is>
      </c>
      <c r="E418" s="2" t="n">
        <v>140</v>
      </c>
      <c r="F418" s="2" t="n">
        <v>143</v>
      </c>
      <c r="G418" s="2" t="inlineStr">
        <is>
          <t>Away</t>
        </is>
      </c>
      <c r="H418" s="2" t="inlineStr">
        <is>
          <t>betrivers</t>
        </is>
      </c>
      <c r="I418" s="4" t="n"/>
      <c r="J418" s="4" t="n"/>
      <c r="K418" s="4" t="n">
        <v>106</v>
      </c>
      <c r="L418" s="4" t="n">
        <v>106</v>
      </c>
      <c r="M418" s="5" t="n">
        <v>5.5</v>
      </c>
      <c r="N418" s="5" t="n">
        <v>5.148717068582378</v>
      </c>
      <c r="O418" s="5" t="n">
        <v>5.5</v>
      </c>
      <c r="P418" s="5" t="n">
        <v>0.3512829314176225</v>
      </c>
      <c r="Q418" s="6" t="n">
        <v>0.215162289232483</v>
      </c>
      <c r="R418" s="6" t="n">
        <v>0.5898846064235355</v>
      </c>
      <c r="S418" s="6" t="n">
        <v>0.4681136907510811</v>
      </c>
      <c r="T418" s="2" t="inlineStr">
        <is>
          <t>Under</t>
        </is>
      </c>
      <c r="U418" s="4" t="n">
        <v>106</v>
      </c>
      <c r="V418" s="2" t="n">
        <v>2.06</v>
      </c>
      <c r="W418" s="4" t="n">
        <v>106</v>
      </c>
      <c r="X418" s="2" t="n">
        <v>1</v>
      </c>
      <c r="Y418" s="5" t="n">
        <v>-1</v>
      </c>
      <c r="Z418" s="7" t="n">
        <v>100</v>
      </c>
      <c r="AA418" s="7">
        <f>Y418*Z418</f>
        <v/>
      </c>
      <c r="AB418" s="6">
        <f>IF(Z418=0,0,AA418/Z418)</f>
        <v/>
      </c>
      <c r="AC418" s="6" t="n"/>
      <c r="AD418" s="2" t="inlineStr">
        <is>
          <t>Loss</t>
        </is>
      </c>
      <c r="AE418" s="6">
        <f>IF((COUNTIF($AD$2:AD418,"Win")+COUNTIF($AD$2:AD418,"Loss"))=0,0,COUNTIF($AD$2:AD418,"Win")/(COUNTIF($AD$2:AD418,"Win")+COUNTIF($AD$2:AD418,"Loss")))</f>
        <v/>
      </c>
      <c r="AF418" s="6">
        <f>SUM($Y$2:Y418)/SUM($X$2:X418)</f>
        <v/>
      </c>
      <c r="AG418" s="5">
        <f>SUM($Y$2:Y418)</f>
        <v/>
      </c>
      <c r="AH418" s="7">
        <f>10000.0+SUM($AA$2:AA418)</f>
        <v/>
      </c>
      <c r="AI418" s="2" t="n">
        <v>2026</v>
      </c>
      <c r="AJ418" s="2" t="inlineStr">
        <is>
          <t>2026-03</t>
        </is>
      </c>
      <c r="AK418" s="2" t="inlineStr">
        <is>
          <t>+100 to +120</t>
        </is>
      </c>
      <c r="AL418" s="2" t="inlineStr">
        <is>
          <t>2026 Frozen Test</t>
        </is>
      </c>
      <c r="AM418" s="6" t="n">
        <v>0.2029832917287576</v>
      </c>
    </row>
    <row r="419">
      <c r="A419" s="2" t="inlineStr">
        <is>
          <t>KPROP-00418</t>
        </is>
      </c>
      <c r="B419" s="3" t="n">
        <v>46110.56641203703</v>
      </c>
      <c r="C419" s="3" t="n">
        <v>46110</v>
      </c>
      <c r="D419" s="2" t="inlineStr">
        <is>
          <t>MacKenzie Gore</t>
        </is>
      </c>
      <c r="E419" s="2" t="n">
        <v>140</v>
      </c>
      <c r="F419" s="2" t="n">
        <v>143</v>
      </c>
      <c r="G419" s="2" t="inlineStr">
        <is>
          <t>Away</t>
        </is>
      </c>
      <c r="H419" s="2" t="inlineStr">
        <is>
          <t>betmgm</t>
        </is>
      </c>
      <c r="I419" s="4" t="n"/>
      <c r="J419" s="4" t="n"/>
      <c r="K419" s="4" t="n">
        <v>-165</v>
      </c>
      <c r="L419" s="4" t="n">
        <v>-165</v>
      </c>
      <c r="M419" s="5" t="n">
        <v>6.5</v>
      </c>
      <c r="N419" s="5" t="n">
        <v>5.148717068582378</v>
      </c>
      <c r="O419" s="5" t="n">
        <v>6.5</v>
      </c>
      <c r="P419" s="5" t="n">
        <v>1.351282931417622</v>
      </c>
      <c r="Q419" s="6" t="n">
        <v>0.1886942416273352</v>
      </c>
      <c r="R419" s="6" t="n">
        <v>0.7401303768623031</v>
      </c>
      <c r="S419" s="6" t="n">
        <v>0.5990922844175491</v>
      </c>
      <c r="T419" s="2" t="inlineStr">
        <is>
          <t>Under</t>
        </is>
      </c>
      <c r="U419" s="4" t="n">
        <v>-165</v>
      </c>
      <c r="V419" s="2" t="n">
        <v>1.606060606060606</v>
      </c>
      <c r="W419" s="4" t="n">
        <v>-165</v>
      </c>
      <c r="X419" s="2" t="n">
        <v>1</v>
      </c>
      <c r="Y419" s="5" t="n">
        <v>-1</v>
      </c>
      <c r="Z419" s="7" t="n">
        <v>100</v>
      </c>
      <c r="AA419" s="7">
        <f>Y419*Z419</f>
        <v/>
      </c>
      <c r="AB419" s="6">
        <f>IF(Z419=0,0,AA419/Z419)</f>
        <v/>
      </c>
      <c r="AC419" s="6" t="n"/>
      <c r="AD419" s="2" t="inlineStr">
        <is>
          <t>Loss</t>
        </is>
      </c>
      <c r="AE419" s="6">
        <f>IF((COUNTIF($AD$2:AD419,"Win")+COUNTIF($AD$2:AD419,"Loss"))=0,0,COUNTIF($AD$2:AD419,"Win")/(COUNTIF($AD$2:AD419,"Win")+COUNTIF($AD$2:AD419,"Loss")))</f>
        <v/>
      </c>
      <c r="AF419" s="6">
        <f>SUM($Y$2:Y419)/SUM($X$2:X419)</f>
        <v/>
      </c>
      <c r="AG419" s="5">
        <f>SUM($Y$2:Y419)</f>
        <v/>
      </c>
      <c r="AH419" s="7">
        <f>10000.0+SUM($AA$2:AA419)</f>
        <v/>
      </c>
      <c r="AI419" s="2" t="n">
        <v>2026</v>
      </c>
      <c r="AJ419" s="2" t="inlineStr">
        <is>
          <t>2026-03</t>
        </is>
      </c>
      <c r="AK419" s="2" t="inlineStr">
        <is>
          <t>&lt;= -150</t>
        </is>
      </c>
      <c r="AL419" s="2" t="inlineStr">
        <is>
          <t>2026 Frozen Test</t>
        </is>
      </c>
      <c r="AM419" s="6" t="n">
        <v>0.3113454986851032</v>
      </c>
    </row>
    <row r="420">
      <c r="A420" s="2" t="inlineStr">
        <is>
          <t>KPROP-00419</t>
        </is>
      </c>
      <c r="B420" s="3" t="n">
        <v>46110.56641203703</v>
      </c>
      <c r="C420" s="3" t="n">
        <v>46110</v>
      </c>
      <c r="D420" s="2" t="inlineStr">
        <is>
          <t>Seth Lugo</t>
        </is>
      </c>
      <c r="E420" s="2" t="n">
        <v>118</v>
      </c>
      <c r="F420" s="2" t="n">
        <v>144</v>
      </c>
      <c r="G420" s="2" t="inlineStr">
        <is>
          <t>Away</t>
        </is>
      </c>
      <c r="H420" s="2" t="inlineStr">
        <is>
          <t>betrivers</t>
        </is>
      </c>
      <c r="I420" s="4" t="n"/>
      <c r="J420" s="4" t="n"/>
      <c r="K420" s="4" t="n">
        <v>138</v>
      </c>
      <c r="L420" s="4" t="n">
        <v>138</v>
      </c>
      <c r="M420" s="5" t="n">
        <v>3.5</v>
      </c>
      <c r="N420" s="5" t="n">
        <v>3.913077319278805</v>
      </c>
      <c r="O420" s="5" t="n">
        <v>3.5</v>
      </c>
      <c r="P420" s="5" t="n">
        <v>-0.4130773192788046</v>
      </c>
      <c r="Q420" s="6" t="n">
        <v>0.07250812256761108</v>
      </c>
      <c r="R420" s="6" t="n">
        <v>0.4506336649443744</v>
      </c>
      <c r="S420" s="6" t="n">
        <v>0.3924905308228578</v>
      </c>
      <c r="T420" s="2" t="inlineStr">
        <is>
          <t>Under</t>
        </is>
      </c>
      <c r="U420" s="4" t="n">
        <v>138</v>
      </c>
      <c r="V420" s="2" t="n">
        <v>2.38</v>
      </c>
      <c r="W420" s="4" t="n">
        <v>138</v>
      </c>
      <c r="X420" s="2" t="n">
        <v>1</v>
      </c>
      <c r="Y420" s="5" t="n">
        <v>1.38</v>
      </c>
      <c r="Z420" s="7" t="n">
        <v>100</v>
      </c>
      <c r="AA420" s="7">
        <f>Y420*Z420</f>
        <v/>
      </c>
      <c r="AB420" s="6">
        <f>IF(Z420=0,0,AA420/Z420)</f>
        <v/>
      </c>
      <c r="AC420" s="6" t="n"/>
      <c r="AD420" s="2" t="inlineStr">
        <is>
          <t>Win</t>
        </is>
      </c>
      <c r="AE420" s="6">
        <f>IF((COUNTIF($AD$2:AD420,"Win")+COUNTIF($AD$2:AD420,"Loss"))=0,0,COUNTIF($AD$2:AD420,"Win")/(COUNTIF($AD$2:AD420,"Win")+COUNTIF($AD$2:AD420,"Loss")))</f>
        <v/>
      </c>
      <c r="AF420" s="6">
        <f>SUM($Y$2:Y420)/SUM($X$2:X420)</f>
        <v/>
      </c>
      <c r="AG420" s="5">
        <f>SUM($Y$2:Y420)</f>
        <v/>
      </c>
      <c r="AH420" s="7">
        <f>10000.0+SUM($AA$2:AA420)</f>
        <v/>
      </c>
      <c r="AI420" s="2" t="n">
        <v>2026</v>
      </c>
      <c r="AJ420" s="2" t="inlineStr">
        <is>
          <t>2026-03</t>
        </is>
      </c>
      <c r="AK420" s="2" t="inlineStr">
        <is>
          <t>+121 to +150</t>
        </is>
      </c>
      <c r="AL420" s="2" t="inlineStr">
        <is>
          <t>2026 Frozen Test</t>
        </is>
      </c>
      <c r="AM420" s="6" t="n">
        <v>0.05254211780261673</v>
      </c>
    </row>
    <row r="421">
      <c r="A421" s="2" t="inlineStr">
        <is>
          <t>KPROP-00420</t>
        </is>
      </c>
      <c r="B421" s="3" t="n">
        <v>46110.59765046297</v>
      </c>
      <c r="C421" s="3" t="n">
        <v>46110</v>
      </c>
      <c r="D421" s="2" t="inlineStr">
        <is>
          <t>Shota Imanaga</t>
        </is>
      </c>
      <c r="E421" s="2" t="n">
        <v>112</v>
      </c>
      <c r="F421" s="2" t="n">
        <v>120</v>
      </c>
      <c r="G421" s="2" t="inlineStr">
        <is>
          <t>Home</t>
        </is>
      </c>
      <c r="H421" s="2" t="inlineStr">
        <is>
          <t>betonlineag</t>
        </is>
      </c>
      <c r="I421" s="4" t="n"/>
      <c r="J421" s="4" t="n"/>
      <c r="K421" s="4" t="n">
        <v>130</v>
      </c>
      <c r="L421" s="4" t="n">
        <v>130</v>
      </c>
      <c r="M421" s="5" t="n">
        <v>4.5</v>
      </c>
      <c r="N421" s="5" t="n">
        <v>4.469435914851362</v>
      </c>
      <c r="O421" s="5" t="n">
        <v>4.5</v>
      </c>
      <c r="P421" s="5" t="n">
        <v>0.0305640851486384</v>
      </c>
      <c r="Q421" s="6" t="n">
        <v>0.237203476418422</v>
      </c>
      <c r="R421" s="6" t="n">
        <v>0.5379145549645313</v>
      </c>
      <c r="S421" s="6" t="n">
        <v>0.4263223067397842</v>
      </c>
      <c r="T421" s="2" t="inlineStr">
        <is>
          <t>Under</t>
        </is>
      </c>
      <c r="U421" s="4" t="n">
        <v>130</v>
      </c>
      <c r="V421" s="2" t="n">
        <v>2.3</v>
      </c>
      <c r="W421" s="4" t="n">
        <v>130</v>
      </c>
      <c r="X421" s="2" t="n">
        <v>1</v>
      </c>
      <c r="Y421" s="5" t="n">
        <v>-1</v>
      </c>
      <c r="Z421" s="7" t="n">
        <v>100</v>
      </c>
      <c r="AA421" s="7">
        <f>Y421*Z421</f>
        <v/>
      </c>
      <c r="AB421" s="6">
        <f>IF(Z421=0,0,AA421/Z421)</f>
        <v/>
      </c>
      <c r="AC421" s="6" t="n"/>
      <c r="AD421" s="2" t="inlineStr">
        <is>
          <t>Loss</t>
        </is>
      </c>
      <c r="AE421" s="6">
        <f>IF((COUNTIF($AD$2:AD421,"Win")+COUNTIF($AD$2:AD421,"Loss"))=0,0,COUNTIF($AD$2:AD421,"Win")/(COUNTIF($AD$2:AD421,"Win")+COUNTIF($AD$2:AD421,"Loss")))</f>
        <v/>
      </c>
      <c r="AF421" s="6">
        <f>SUM($Y$2:Y421)/SUM($X$2:X421)</f>
        <v/>
      </c>
      <c r="AG421" s="5">
        <f>SUM($Y$2:Y421)</f>
        <v/>
      </c>
      <c r="AH421" s="7">
        <f>10000.0+SUM($AA$2:AA421)</f>
        <v/>
      </c>
      <c r="AI421" s="2" t="n">
        <v>2026</v>
      </c>
      <c r="AJ421" s="2" t="inlineStr">
        <is>
          <t>2026-03</t>
        </is>
      </c>
      <c r="AK421" s="2" t="inlineStr">
        <is>
          <t>+121 to +150</t>
        </is>
      </c>
      <c r="AL421" s="2" t="inlineStr">
        <is>
          <t>2026 Frozen Test</t>
        </is>
      </c>
      <c r="AM421" s="6" t="n">
        <v>0.1824642126295554</v>
      </c>
    </row>
    <row r="422">
      <c r="A422" s="2" t="inlineStr">
        <is>
          <t>KPROP-00421</t>
        </is>
      </c>
      <c r="B422" s="3" t="n">
        <v>46110.59765046297</v>
      </c>
      <c r="C422" s="3" t="n">
        <v>46110</v>
      </c>
      <c r="D422" s="2" t="inlineStr">
        <is>
          <t>Shota Imanaga</t>
        </is>
      </c>
      <c r="E422" s="2" t="n">
        <v>112</v>
      </c>
      <c r="F422" s="2" t="n">
        <v>120</v>
      </c>
      <c r="G422" s="2" t="inlineStr">
        <is>
          <t>Home</t>
        </is>
      </c>
      <c r="H422" s="2" t="inlineStr">
        <is>
          <t>betmgm</t>
        </is>
      </c>
      <c r="I422" s="4" t="n"/>
      <c r="J422" s="4" t="n"/>
      <c r="K422" s="4" t="n">
        <v>-160</v>
      </c>
      <c r="L422" s="4" t="n">
        <v>-160</v>
      </c>
      <c r="M422" s="5" t="n">
        <v>5.5</v>
      </c>
      <c r="N422" s="5" t="n">
        <v>4.469435914851362</v>
      </c>
      <c r="O422" s="5" t="n">
        <v>5.5</v>
      </c>
      <c r="P422" s="5" t="n">
        <v>1.030564085148638</v>
      </c>
      <c r="Q422" s="6" t="n">
        <v>0.1507316357694825</v>
      </c>
      <c r="R422" s="6" t="n">
        <v>0.7081425450889123</v>
      </c>
      <c r="S422" s="6" t="n">
        <v>0.6107784431137725</v>
      </c>
      <c r="T422" s="2" t="inlineStr">
        <is>
          <t>Under</t>
        </is>
      </c>
      <c r="U422" s="4" t="n">
        <v>-160</v>
      </c>
      <c r="V422" s="2" t="n">
        <v>1.625</v>
      </c>
      <c r="W422" s="4" t="n">
        <v>-160</v>
      </c>
      <c r="X422" s="2" t="n">
        <v>1</v>
      </c>
      <c r="Y422" s="5" t="n">
        <v>-1</v>
      </c>
      <c r="Z422" s="7" t="n">
        <v>100</v>
      </c>
      <c r="AA422" s="7">
        <f>Y422*Z422</f>
        <v/>
      </c>
      <c r="AB422" s="6">
        <f>IF(Z422=0,0,AA422/Z422)</f>
        <v/>
      </c>
      <c r="AC422" s="6" t="n"/>
      <c r="AD422" s="2" t="inlineStr">
        <is>
          <t>Loss</t>
        </is>
      </c>
      <c r="AE422" s="6">
        <f>IF((COUNTIF($AD$2:AD422,"Win")+COUNTIF($AD$2:AD422,"Loss"))=0,0,COUNTIF($AD$2:AD422,"Win")/(COUNTIF($AD$2:AD422,"Win")+COUNTIF($AD$2:AD422,"Loss")))</f>
        <v/>
      </c>
      <c r="AF422" s="6">
        <f>SUM($Y$2:Y422)/SUM($X$2:X422)</f>
        <v/>
      </c>
      <c r="AG422" s="5">
        <f>SUM($Y$2:Y422)</f>
        <v/>
      </c>
      <c r="AH422" s="7">
        <f>10000.0+SUM($AA$2:AA422)</f>
        <v/>
      </c>
      <c r="AI422" s="2" t="n">
        <v>2026</v>
      </c>
      <c r="AJ422" s="2" t="inlineStr">
        <is>
          <t>2026-03</t>
        </is>
      </c>
      <c r="AK422" s="2" t="inlineStr">
        <is>
          <t>&lt;= -150</t>
        </is>
      </c>
      <c r="AL422" s="2" t="inlineStr">
        <is>
          <t>2026 Frozen Test</t>
        </is>
      </c>
      <c r="AM422" s="6" t="n">
        <v>0.2411706172311719</v>
      </c>
    </row>
    <row r="423">
      <c r="A423" s="2" t="inlineStr">
        <is>
          <t>KPROP-00422</t>
        </is>
      </c>
      <c r="B423" s="3" t="n">
        <v>46110.59418981482</v>
      </c>
      <c r="C423" s="3" t="n">
        <v>46110</v>
      </c>
      <c r="D423" s="2" t="inlineStr">
        <is>
          <t>Steven Matz</t>
        </is>
      </c>
      <c r="E423" s="2" t="n">
        <v>139</v>
      </c>
      <c r="F423" s="2" t="n">
        <v>138</v>
      </c>
      <c r="G423" s="2" t="inlineStr">
        <is>
          <t>Away</t>
        </is>
      </c>
      <c r="H423" s="2" t="inlineStr">
        <is>
          <t>betmgm</t>
        </is>
      </c>
      <c r="I423" s="4" t="n"/>
      <c r="J423" s="4" t="n"/>
      <c r="K423" s="4" t="n">
        <v>105</v>
      </c>
      <c r="L423" s="4" t="n">
        <v>105</v>
      </c>
      <c r="M423" s="5" t="n">
        <v>3.5</v>
      </c>
      <c r="N423" s="5" t="n">
        <v>3.486241870134562</v>
      </c>
      <c r="O423" s="5" t="n">
        <v>3.5</v>
      </c>
      <c r="P423" s="5" t="n">
        <v>0.01375812986543767</v>
      </c>
      <c r="Q423" s="6" t="n">
        <v>0.1061889560760032</v>
      </c>
      <c r="R423" s="6" t="n">
        <v>0.5396043688175626</v>
      </c>
      <c r="S423" s="6" t="n">
        <v>0.4702393560686294</v>
      </c>
      <c r="T423" s="2" t="inlineStr">
        <is>
          <t>Under</t>
        </is>
      </c>
      <c r="U423" s="4" t="n">
        <v>105</v>
      </c>
      <c r="V423" s="2" t="n">
        <v>2.05</v>
      </c>
      <c r="W423" s="4" t="n">
        <v>105</v>
      </c>
      <c r="X423" s="2" t="n">
        <v>1</v>
      </c>
      <c r="Y423" s="5" t="n">
        <v>1.05</v>
      </c>
      <c r="Z423" s="7" t="n">
        <v>100</v>
      </c>
      <c r="AA423" s="7">
        <f>Y423*Z423</f>
        <v/>
      </c>
      <c r="AB423" s="6">
        <f>IF(Z423=0,0,AA423/Z423)</f>
        <v/>
      </c>
      <c r="AC423" s="6" t="n"/>
      <c r="AD423" s="2" t="inlineStr">
        <is>
          <t>Win</t>
        </is>
      </c>
      <c r="AE423" s="6">
        <f>IF((COUNTIF($AD$2:AD423,"Win")+COUNTIF($AD$2:AD423,"Loss"))=0,0,COUNTIF($AD$2:AD423,"Win")/(COUNTIF($AD$2:AD423,"Win")+COUNTIF($AD$2:AD423,"Loss")))</f>
        <v/>
      </c>
      <c r="AF423" s="6">
        <f>SUM($Y$2:Y423)/SUM($X$2:X423)</f>
        <v/>
      </c>
      <c r="AG423" s="5">
        <f>SUM($Y$2:Y423)</f>
        <v/>
      </c>
      <c r="AH423" s="7">
        <f>10000.0+SUM($AA$2:AA423)</f>
        <v/>
      </c>
      <c r="AI423" s="2" t="n">
        <v>2026</v>
      </c>
      <c r="AJ423" s="2" t="inlineStr">
        <is>
          <t>2026-03</t>
        </is>
      </c>
      <c r="AK423" s="2" t="inlineStr">
        <is>
          <t>+100 to +120</t>
        </is>
      </c>
      <c r="AL423" s="2" t="inlineStr">
        <is>
          <t>2026 Frozen Test</t>
        </is>
      </c>
      <c r="AM423" s="6" t="n">
        <v>0.1011323391200031</v>
      </c>
    </row>
    <row r="424">
      <c r="A424" s="2" t="inlineStr">
        <is>
          <t>KPROP-00423</t>
        </is>
      </c>
      <c r="B424" s="3" t="n">
        <v>46111.81988425926</v>
      </c>
      <c r="C424" s="3" t="n">
        <v>46111</v>
      </c>
      <c r="D424" s="2" t="inlineStr">
        <is>
          <t>Edward Cabrera</t>
        </is>
      </c>
      <c r="E424" s="2" t="n">
        <v>112</v>
      </c>
      <c r="F424" s="2" t="n">
        <v>108</v>
      </c>
      <c r="G424" s="2" t="inlineStr">
        <is>
          <t>Home</t>
        </is>
      </c>
      <c r="H424" s="2" t="inlineStr">
        <is>
          <t>draftkings</t>
        </is>
      </c>
      <c r="I424" s="4" t="n"/>
      <c r="J424" s="4" t="n"/>
      <c r="K424" s="4" t="n">
        <v>109</v>
      </c>
      <c r="L424" s="4" t="n">
        <v>109</v>
      </c>
      <c r="M424" s="5" t="n">
        <v>6.5</v>
      </c>
      <c r="N424" s="5" t="n">
        <v>6.327089787270244</v>
      </c>
      <c r="O424" s="5" t="n">
        <v>6.5</v>
      </c>
      <c r="P424" s="5" t="n">
        <v>0.1729102127297564</v>
      </c>
      <c r="Q424" s="6" t="n">
        <v>0.1576848921307327</v>
      </c>
      <c r="R424" s="6" t="n">
        <v>0.5539162163304941</v>
      </c>
      <c r="S424" s="6" t="n">
        <v>0.4544136130716426</v>
      </c>
      <c r="T424" s="2" t="inlineStr">
        <is>
          <t>Under</t>
        </is>
      </c>
      <c r="U424" s="4" t="n">
        <v>109</v>
      </c>
      <c r="V424" s="2" t="n">
        <v>2.09</v>
      </c>
      <c r="W424" s="4" t="n">
        <v>109</v>
      </c>
      <c r="X424" s="2" t="n">
        <v>1</v>
      </c>
      <c r="Y424" s="5" t="n">
        <v>1.09</v>
      </c>
      <c r="Z424" s="7" t="n">
        <v>100</v>
      </c>
      <c r="AA424" s="7">
        <f>Y424*Z424</f>
        <v/>
      </c>
      <c r="AB424" s="6">
        <f>IF(Z424=0,0,AA424/Z424)</f>
        <v/>
      </c>
      <c r="AC424" s="6" t="n"/>
      <c r="AD424" s="2" t="inlineStr">
        <is>
          <t>Win</t>
        </is>
      </c>
      <c r="AE424" s="6">
        <f>IF((COUNTIF($AD$2:AD424,"Win")+COUNTIF($AD$2:AD424,"Loss"))=0,0,COUNTIF($AD$2:AD424,"Win")/(COUNTIF($AD$2:AD424,"Win")+COUNTIF($AD$2:AD424,"Loss")))</f>
        <v/>
      </c>
      <c r="AF424" s="6">
        <f>SUM($Y$2:Y424)/SUM($X$2:X424)</f>
        <v/>
      </c>
      <c r="AG424" s="5">
        <f>SUM($Y$2:Y424)</f>
        <v/>
      </c>
      <c r="AH424" s="7">
        <f>10000.0+SUM($AA$2:AA424)</f>
        <v/>
      </c>
      <c r="AI424" s="2" t="n">
        <v>2026</v>
      </c>
      <c r="AJ424" s="2" t="inlineStr">
        <is>
          <t>2026-03</t>
        </is>
      </c>
      <c r="AK424" s="2" t="inlineStr">
        <is>
          <t>+100 to +120</t>
        </is>
      </c>
      <c r="AL424" s="2" t="inlineStr">
        <is>
          <t>2026 Frozen Test</t>
        </is>
      </c>
      <c r="AM424" s="6" t="n">
        <v>0.1446650386520483</v>
      </c>
    </row>
    <row r="425">
      <c r="A425" s="2" t="inlineStr">
        <is>
          <t>KPROP-00424</t>
        </is>
      </c>
      <c r="B425" s="3" t="n">
        <v>46111.81988425926</v>
      </c>
      <c r="C425" s="3" t="n">
        <v>46111</v>
      </c>
      <c r="D425" s="2" t="inlineStr">
        <is>
          <t>Edward Cabrera</t>
        </is>
      </c>
      <c r="E425" s="2" t="n">
        <v>112</v>
      </c>
      <c r="F425" s="2" t="n">
        <v>108</v>
      </c>
      <c r="G425" s="2" t="inlineStr">
        <is>
          <t>Home</t>
        </is>
      </c>
      <c r="H425" s="2" t="inlineStr">
        <is>
          <t>betonlineag</t>
        </is>
      </c>
      <c r="I425" s="4" t="n"/>
      <c r="J425" s="4" t="n"/>
      <c r="K425" s="4" t="n">
        <v>-164</v>
      </c>
      <c r="L425" s="4" t="n">
        <v>-164</v>
      </c>
      <c r="M425" s="5" t="n">
        <v>7.5</v>
      </c>
      <c r="N425" s="5" t="n">
        <v>6.327089787270244</v>
      </c>
      <c r="O425" s="5" t="n">
        <v>7.5</v>
      </c>
      <c r="P425" s="5" t="n">
        <v>1.172910212729756</v>
      </c>
      <c r="Q425" s="6" t="n">
        <v>0.1233760409894151</v>
      </c>
      <c r="R425" s="6" t="n">
        <v>0.6978548133419094</v>
      </c>
      <c r="S425" s="6" t="n">
        <v>0.5934708962118879</v>
      </c>
      <c r="T425" s="2" t="inlineStr">
        <is>
          <t>Under</t>
        </is>
      </c>
      <c r="U425" s="4" t="n">
        <v>-164</v>
      </c>
      <c r="V425" s="2" t="n">
        <v>1.609756097560976</v>
      </c>
      <c r="W425" s="4" t="n">
        <v>-164</v>
      </c>
      <c r="X425" s="2" t="n">
        <v>1</v>
      </c>
      <c r="Y425" s="5" t="n">
        <v>0.6097560975609757</v>
      </c>
      <c r="Z425" s="7" t="n">
        <v>100</v>
      </c>
      <c r="AA425" s="7">
        <f>Y425*Z425</f>
        <v/>
      </c>
      <c r="AB425" s="6">
        <f>IF(Z425=0,0,AA425/Z425)</f>
        <v/>
      </c>
      <c r="AC425" s="6" t="n"/>
      <c r="AD425" s="2" t="inlineStr">
        <is>
          <t>Win</t>
        </is>
      </c>
      <c r="AE425" s="6">
        <f>IF((COUNTIF($AD$2:AD425,"Win")+COUNTIF($AD$2:AD425,"Loss"))=0,0,COUNTIF($AD$2:AD425,"Win")/(COUNTIF($AD$2:AD425,"Win")+COUNTIF($AD$2:AD425,"Loss")))</f>
        <v/>
      </c>
      <c r="AF425" s="6">
        <f>SUM($Y$2:Y425)/SUM($X$2:X425)</f>
        <v/>
      </c>
      <c r="AG425" s="5">
        <f>SUM($Y$2:Y425)</f>
        <v/>
      </c>
      <c r="AH425" s="7">
        <f>10000.0+SUM($AA$2:AA425)</f>
        <v/>
      </c>
      <c r="AI425" s="2" t="n">
        <v>2026</v>
      </c>
      <c r="AJ425" s="2" t="inlineStr">
        <is>
          <t>2026-03</t>
        </is>
      </c>
      <c r="AK425" s="2" t="inlineStr">
        <is>
          <t>&lt;= -150</t>
        </is>
      </c>
      <c r="AL425" s="2" t="inlineStr">
        <is>
          <t>2026 Frozen Test</t>
        </is>
      </c>
      <c r="AM425" s="6" t="n">
        <v>0.2023367072226408</v>
      </c>
    </row>
    <row r="426">
      <c r="A426" s="2" t="inlineStr">
        <is>
          <t>KPROP-00425</t>
        </is>
      </c>
      <c r="B426" s="3" t="n">
        <v>46111.80252314815</v>
      </c>
      <c r="C426" s="3" t="n">
        <v>46111</v>
      </c>
      <c r="D426" s="2" t="inlineStr">
        <is>
          <t>Jacob Lopez</t>
        </is>
      </c>
      <c r="E426" s="2" t="n">
        <v>133</v>
      </c>
      <c r="F426" s="2" t="n">
        <v>144</v>
      </c>
      <c r="G426" s="2" t="inlineStr">
        <is>
          <t>Away</t>
        </is>
      </c>
      <c r="H426" s="2" t="inlineStr">
        <is>
          <t>draftkings</t>
        </is>
      </c>
      <c r="I426" s="4" t="n"/>
      <c r="J426" s="4" t="n"/>
      <c r="K426" s="4" t="n">
        <v>-113</v>
      </c>
      <c r="L426" s="4" t="n">
        <v>-113</v>
      </c>
      <c r="M426" s="5" t="n">
        <v>5.5</v>
      </c>
      <c r="N426" s="5" t="n">
        <v>4.715126563809001</v>
      </c>
      <c r="O426" s="5" t="n">
        <v>5.5</v>
      </c>
      <c r="P426" s="5" t="n">
        <v>0.784873436190999</v>
      </c>
      <c r="Q426" s="6" t="n">
        <v>0.255018227644032</v>
      </c>
      <c r="R426" s="6" t="n">
        <v>0.665807792130402</v>
      </c>
      <c r="S426" s="6" t="n">
        <v>0.5221858315761138</v>
      </c>
      <c r="T426" s="2" t="inlineStr">
        <is>
          <t>Under</t>
        </is>
      </c>
      <c r="U426" s="4" t="n">
        <v>-113</v>
      </c>
      <c r="V426" s="2" t="n">
        <v>1.884955752212389</v>
      </c>
      <c r="W426" s="4" t="n">
        <v>-113</v>
      </c>
      <c r="X426" s="2" t="n">
        <v>1</v>
      </c>
      <c r="Y426" s="5" t="n">
        <v>0.8849557522123894</v>
      </c>
      <c r="Z426" s="7" t="n">
        <v>100</v>
      </c>
      <c r="AA426" s="7">
        <f>Y426*Z426</f>
        <v/>
      </c>
      <c r="AB426" s="6">
        <f>IF(Z426=0,0,AA426/Z426)</f>
        <v/>
      </c>
      <c r="AC426" s="6" t="n"/>
      <c r="AD426" s="2" t="inlineStr">
        <is>
          <t>Win</t>
        </is>
      </c>
      <c r="AE426" s="6">
        <f>IF((COUNTIF($AD$2:AD426,"Win")+COUNTIF($AD$2:AD426,"Loss"))=0,0,COUNTIF($AD$2:AD426,"Win")/(COUNTIF($AD$2:AD426,"Win")+COUNTIF($AD$2:AD426,"Loss")))</f>
        <v/>
      </c>
      <c r="AF426" s="6">
        <f>SUM($Y$2:Y426)/SUM($X$2:X426)</f>
        <v/>
      </c>
      <c r="AG426" s="5">
        <f>SUM($Y$2:Y426)</f>
        <v/>
      </c>
      <c r="AH426" s="7">
        <f>10000.0+SUM($AA$2:AA426)</f>
        <v/>
      </c>
      <c r="AI426" s="2" t="n">
        <v>2026</v>
      </c>
      <c r="AJ426" s="2" t="inlineStr">
        <is>
          <t>2026-03</t>
        </is>
      </c>
      <c r="AK426" s="2" t="inlineStr">
        <is>
          <t>-119 to -101</t>
        </is>
      </c>
      <c r="AL426" s="2" t="inlineStr">
        <is>
          <t>2026 Frozen Test</t>
        </is>
      </c>
      <c r="AM426" s="6" t="n">
        <v>0.2881705972377562</v>
      </c>
    </row>
    <row r="427">
      <c r="A427" s="2" t="inlineStr">
        <is>
          <t>KPROP-00426</t>
        </is>
      </c>
      <c r="B427" s="3" t="n">
        <v>46111.81988425926</v>
      </c>
      <c r="C427" s="3" t="n">
        <v>46111</v>
      </c>
      <c r="D427" s="2" t="inlineStr">
        <is>
          <t>Kyle Harrison</t>
        </is>
      </c>
      <c r="E427" s="2" t="n">
        <v>158</v>
      </c>
      <c r="F427" s="2" t="n">
        <v>139</v>
      </c>
      <c r="G427" s="2" t="inlineStr">
        <is>
          <t>Home</t>
        </is>
      </c>
      <c r="H427" s="2" t="inlineStr">
        <is>
          <t>fanatics</t>
        </is>
      </c>
      <c r="I427" s="4" t="n"/>
      <c r="J427" s="4" t="n"/>
      <c r="K427" s="4" t="n">
        <v>120</v>
      </c>
      <c r="L427" s="4" t="n">
        <v>120</v>
      </c>
      <c r="M427" s="5" t="n">
        <v>4.5</v>
      </c>
      <c r="N427" s="5" t="n">
        <v>4.516063059649211</v>
      </c>
      <c r="O427" s="5" t="n">
        <v>4.5</v>
      </c>
      <c r="P427" s="5" t="n">
        <v>-0.01606305964921084</v>
      </c>
      <c r="Q427" s="6" t="n">
        <v>0.1639263465519044</v>
      </c>
      <c r="R427" s="6" t="n">
        <v>0.5290574302508656</v>
      </c>
      <c r="S427" s="6" t="n">
        <v>0.4330294530154278</v>
      </c>
      <c r="T427" s="2" t="inlineStr">
        <is>
          <t>Under</t>
        </is>
      </c>
      <c r="U427" s="4" t="n">
        <v>120</v>
      </c>
      <c r="V427" s="2" t="n">
        <v>2.2</v>
      </c>
      <c r="W427" s="4" t="n">
        <v>120</v>
      </c>
      <c r="X427" s="2" t="n">
        <v>1</v>
      </c>
      <c r="Y427" s="5" t="n">
        <v>-1</v>
      </c>
      <c r="Z427" s="7" t="n">
        <v>100</v>
      </c>
      <c r="AA427" s="7">
        <f>Y427*Z427</f>
        <v/>
      </c>
      <c r="AB427" s="6">
        <f>IF(Z427=0,0,AA427/Z427)</f>
        <v/>
      </c>
      <c r="AC427" s="6" t="n"/>
      <c r="AD427" s="2" t="inlineStr">
        <is>
          <t>Loss</t>
        </is>
      </c>
      <c r="AE427" s="6">
        <f>IF((COUNTIF($AD$2:AD427,"Win")+COUNTIF($AD$2:AD427,"Loss"))=0,0,COUNTIF($AD$2:AD427,"Win")/(COUNTIF($AD$2:AD427,"Win")+COUNTIF($AD$2:AD427,"Loss")))</f>
        <v/>
      </c>
      <c r="AF427" s="6">
        <f>SUM($Y$2:Y427)/SUM($X$2:X427)</f>
        <v/>
      </c>
      <c r="AG427" s="5">
        <f>SUM($Y$2:Y427)</f>
        <v/>
      </c>
      <c r="AH427" s="7">
        <f>10000.0+SUM($AA$2:AA427)</f>
        <v/>
      </c>
      <c r="AI427" s="2" t="n">
        <v>2026</v>
      </c>
      <c r="AJ427" s="2" t="inlineStr">
        <is>
          <t>2026-03</t>
        </is>
      </c>
      <c r="AK427" s="2" t="inlineStr">
        <is>
          <t>+100 to +120</t>
        </is>
      </c>
      <c r="AL427" s="2" t="inlineStr">
        <is>
          <t>2026 Frozen Test</t>
        </is>
      </c>
      <c r="AM427" s="6" t="n">
        <v>0.1366052887932536</v>
      </c>
    </row>
    <row r="428">
      <c r="A428" s="2" t="inlineStr">
        <is>
          <t>KPROP-00427</t>
        </is>
      </c>
      <c r="B428" s="3" t="n">
        <v>46111.81988425926</v>
      </c>
      <c r="C428" s="3" t="n">
        <v>46111</v>
      </c>
      <c r="D428" s="2" t="inlineStr">
        <is>
          <t>Kyle Harrison</t>
        </is>
      </c>
      <c r="E428" s="2" t="n">
        <v>158</v>
      </c>
      <c r="F428" s="2" t="n">
        <v>139</v>
      </c>
      <c r="G428" s="2" t="inlineStr">
        <is>
          <t>Home</t>
        </is>
      </c>
      <c r="H428" s="2" t="inlineStr">
        <is>
          <t>betrivers</t>
        </is>
      </c>
      <c r="I428" s="4" t="n"/>
      <c r="J428" s="4" t="n"/>
      <c r="K428" s="4" t="n">
        <v>-186</v>
      </c>
      <c r="L428" s="4" t="n">
        <v>-186</v>
      </c>
      <c r="M428" s="5" t="n">
        <v>5.5</v>
      </c>
      <c r="N428" s="5" t="n">
        <v>4.516063059649211</v>
      </c>
      <c r="O428" s="5" t="n">
        <v>5.5</v>
      </c>
      <c r="P428" s="5" t="n">
        <v>0.9839369403507892</v>
      </c>
      <c r="Q428" s="6" t="n">
        <v>0.07662702887050099</v>
      </c>
      <c r="R428" s="6" t="n">
        <v>0.7001840117829132</v>
      </c>
      <c r="S428" s="6" t="n">
        <v>0.6075094691771422</v>
      </c>
      <c r="T428" s="2" t="inlineStr">
        <is>
          <t>Under</t>
        </is>
      </c>
      <c r="U428" s="4" t="n">
        <v>-186</v>
      </c>
      <c r="V428" s="2" t="n">
        <v>1.537634408602151</v>
      </c>
      <c r="W428" s="4" t="n">
        <v>-186</v>
      </c>
      <c r="X428" s="2" t="n">
        <v>1</v>
      </c>
      <c r="Y428" s="5" t="n">
        <v>-1</v>
      </c>
      <c r="Z428" s="7" t="n">
        <v>100</v>
      </c>
      <c r="AA428" s="7">
        <f>Y428*Z428</f>
        <v/>
      </c>
      <c r="AB428" s="6">
        <f>IF(Z428=0,0,AA428/Z428)</f>
        <v/>
      </c>
      <c r="AC428" s="6" t="n"/>
      <c r="AD428" s="2" t="inlineStr">
        <is>
          <t>Loss</t>
        </is>
      </c>
      <c r="AE428" s="6">
        <f>IF((COUNTIF($AD$2:AD428,"Win")+COUNTIF($AD$2:AD428,"Loss"))=0,0,COUNTIF($AD$2:AD428,"Win")/(COUNTIF($AD$2:AD428,"Win")+COUNTIF($AD$2:AD428,"Loss")))</f>
        <v/>
      </c>
      <c r="AF428" s="6">
        <f>SUM($Y$2:Y428)/SUM($X$2:X428)</f>
        <v/>
      </c>
      <c r="AG428" s="5">
        <f>SUM($Y$2:Y428)</f>
        <v/>
      </c>
      <c r="AH428" s="7">
        <f>10000.0+SUM($AA$2:AA428)</f>
        <v/>
      </c>
      <c r="AI428" s="2" t="n">
        <v>2026</v>
      </c>
      <c r="AJ428" s="2" t="inlineStr">
        <is>
          <t>2026-03</t>
        </is>
      </c>
      <c r="AK428" s="2" t="inlineStr">
        <is>
          <t>&lt;= -150</t>
        </is>
      </c>
      <c r="AL428" s="2" t="inlineStr">
        <is>
          <t>2026 Frozen Test</t>
        </is>
      </c>
      <c r="AM428" s="6" t="n">
        <v>0.1425262736991318</v>
      </c>
    </row>
    <row r="429">
      <c r="A429" s="2" t="inlineStr">
        <is>
          <t>KPROP-00428</t>
        </is>
      </c>
      <c r="B429" s="3" t="n">
        <v>46111.82334490741</v>
      </c>
      <c r="C429" s="3" t="n">
        <v>46111</v>
      </c>
      <c r="D429" s="2" t="inlineStr">
        <is>
          <t>Kyle Leahy</t>
        </is>
      </c>
      <c r="E429" s="2" t="n">
        <v>138</v>
      </c>
      <c r="F429" s="2" t="n">
        <v>121</v>
      </c>
      <c r="G429" s="2" t="inlineStr">
        <is>
          <t>Home</t>
        </is>
      </c>
      <c r="H429" s="2" t="inlineStr">
        <is>
          <t>draftkings</t>
        </is>
      </c>
      <c r="I429" s="4" t="n"/>
      <c r="J429" s="4" t="n"/>
      <c r="K429" s="4" t="n">
        <v>-115</v>
      </c>
      <c r="L429" s="4" t="n">
        <v>-115</v>
      </c>
      <c r="M429" s="5" t="n">
        <v>3.5</v>
      </c>
      <c r="N429" s="5" t="n">
        <v>2.718789970240171</v>
      </c>
      <c r="O429" s="5" t="n">
        <v>3.5</v>
      </c>
      <c r="P429" s="5" t="n">
        <v>0.7812100297598286</v>
      </c>
      <c r="Q429" s="6" t="n">
        <v>0.3272891645929307</v>
      </c>
      <c r="R429" s="6" t="n">
        <v>0.7099453671078467</v>
      </c>
      <c r="S429" s="6" t="n">
        <v>0.5120034919249236</v>
      </c>
      <c r="T429" s="2" t="inlineStr">
        <is>
          <t>Under</t>
        </is>
      </c>
      <c r="U429" s="4" t="n">
        <v>-115</v>
      </c>
      <c r="V429" s="2" t="n">
        <v>1.869565217391304</v>
      </c>
      <c r="W429" s="4" t="n">
        <v>-115</v>
      </c>
      <c r="X429" s="2" t="n">
        <v>1</v>
      </c>
      <c r="Y429" s="5" t="n">
        <v>0.8695652173913042</v>
      </c>
      <c r="Z429" s="7" t="n">
        <v>100</v>
      </c>
      <c r="AA429" s="7">
        <f>Y429*Z429</f>
        <v/>
      </c>
      <c r="AB429" s="6">
        <f>IF(Z429=0,0,AA429/Z429)</f>
        <v/>
      </c>
      <c r="AC429" s="6" t="n"/>
      <c r="AD429" s="2" t="inlineStr">
        <is>
          <t>Win</t>
        </is>
      </c>
      <c r="AE429" s="6">
        <f>IF((COUNTIF($AD$2:AD429,"Win")+COUNTIF($AD$2:AD429,"Loss"))=0,0,COUNTIF($AD$2:AD429,"Win")/(COUNTIF($AD$2:AD429,"Win")+COUNTIF($AD$2:AD429,"Loss")))</f>
        <v/>
      </c>
      <c r="AF429" s="6">
        <f>SUM($Y$2:Y429)/SUM($X$2:X429)</f>
        <v/>
      </c>
      <c r="AG429" s="5">
        <f>SUM($Y$2:Y429)</f>
        <v/>
      </c>
      <c r="AH429" s="7">
        <f>10000.0+SUM($AA$2:AA429)</f>
        <v/>
      </c>
      <c r="AI429" s="2" t="n">
        <v>2026</v>
      </c>
      <c r="AJ429" s="2" t="inlineStr">
        <is>
          <t>2026-03</t>
        </is>
      </c>
      <c r="AK429" s="2" t="inlineStr">
        <is>
          <t>-119 to -101</t>
        </is>
      </c>
      <c r="AL429" s="2" t="inlineStr">
        <is>
          <t>2026 Frozen Test</t>
        </is>
      </c>
      <c r="AM429" s="6" t="n">
        <v>0.3763825392818704</v>
      </c>
    </row>
    <row r="430">
      <c r="A430" s="2" t="inlineStr">
        <is>
          <t>KPROP-00429</t>
        </is>
      </c>
      <c r="B430" s="3" t="n">
        <v>46111.81988425926</v>
      </c>
      <c r="C430" s="3" t="n">
        <v>46111</v>
      </c>
      <c r="D430" s="2" t="inlineStr">
        <is>
          <t>Nick Martinez</t>
        </is>
      </c>
      <c r="E430" s="2" t="n">
        <v>139</v>
      </c>
      <c r="F430" s="2" t="n">
        <v>158</v>
      </c>
      <c r="G430" s="2" t="inlineStr">
        <is>
          <t>Away</t>
        </is>
      </c>
      <c r="H430" s="2" t="inlineStr">
        <is>
          <t>bovada</t>
        </is>
      </c>
      <c r="I430" s="4" t="n"/>
      <c r="J430" s="4" t="n"/>
      <c r="K430" s="4" t="n">
        <v>130</v>
      </c>
      <c r="L430" s="4" t="n">
        <v>130</v>
      </c>
      <c r="M430" s="5" t="n">
        <v>3.5</v>
      </c>
      <c r="N430" s="5" t="n">
        <v>3.465556313648961</v>
      </c>
      <c r="O430" s="5" t="n">
        <v>3.5</v>
      </c>
      <c r="P430" s="5" t="n">
        <v>0.03444368635103912</v>
      </c>
      <c r="Q430" s="6" t="n">
        <v>0.2513910557445712</v>
      </c>
      <c r="R430" s="6" t="n">
        <v>0.544083067715031</v>
      </c>
      <c r="S430" s="6" t="n">
        <v>0.4208213621767787</v>
      </c>
      <c r="T430" s="2" t="inlineStr">
        <is>
          <t>Under</t>
        </is>
      </c>
      <c r="U430" s="4" t="n">
        <v>130</v>
      </c>
      <c r="V430" s="2" t="n">
        <v>2.3</v>
      </c>
      <c r="W430" s="4" t="n">
        <v>130</v>
      </c>
      <c r="X430" s="2" t="n">
        <v>1</v>
      </c>
      <c r="Y430" s="5" t="n">
        <v>1.3</v>
      </c>
      <c r="Z430" s="7" t="n">
        <v>100</v>
      </c>
      <c r="AA430" s="7">
        <f>Y430*Z430</f>
        <v/>
      </c>
      <c r="AB430" s="6">
        <f>IF(Z430=0,0,AA430/Z430)</f>
        <v/>
      </c>
      <c r="AC430" s="6" t="n"/>
      <c r="AD430" s="2" t="inlineStr">
        <is>
          <t>Win</t>
        </is>
      </c>
      <c r="AE430" s="6">
        <f>IF((COUNTIF($AD$2:AD430,"Win")+COUNTIF($AD$2:AD430,"Loss"))=0,0,COUNTIF($AD$2:AD430,"Win")/(COUNTIF($AD$2:AD430,"Win")+COUNTIF($AD$2:AD430,"Loss")))</f>
        <v/>
      </c>
      <c r="AF430" s="6">
        <f>SUM($Y$2:Y430)/SUM($X$2:X430)</f>
        <v/>
      </c>
      <c r="AG430" s="5">
        <f>SUM($Y$2:Y430)</f>
        <v/>
      </c>
      <c r="AH430" s="7">
        <f>10000.0+SUM($AA$2:AA430)</f>
        <v/>
      </c>
      <c r="AI430" s="2" t="n">
        <v>2026</v>
      </c>
      <c r="AJ430" s="2" t="inlineStr">
        <is>
          <t>2026-03</t>
        </is>
      </c>
      <c r="AK430" s="2" t="inlineStr">
        <is>
          <t>+121 to +150</t>
        </is>
      </c>
      <c r="AL430" s="2" t="inlineStr">
        <is>
          <t>2026 Frozen Test</t>
        </is>
      </c>
      <c r="AM430" s="6" t="n">
        <v>0.1933777351881317</v>
      </c>
    </row>
    <row r="431">
      <c r="A431" s="2" t="inlineStr">
        <is>
          <t>KPROP-00430</t>
        </is>
      </c>
      <c r="B431" s="3" t="n">
        <v>46111.81988425926</v>
      </c>
      <c r="C431" s="3" t="n">
        <v>46111</v>
      </c>
      <c r="D431" s="2" t="inlineStr">
        <is>
          <t>Nick Martinez</t>
        </is>
      </c>
      <c r="E431" s="2" t="n">
        <v>139</v>
      </c>
      <c r="F431" s="2" t="n">
        <v>158</v>
      </c>
      <c r="G431" s="2" t="inlineStr">
        <is>
          <t>Away</t>
        </is>
      </c>
      <c r="H431" s="2" t="inlineStr">
        <is>
          <t>betrivers</t>
        </is>
      </c>
      <c r="I431" s="4" t="n"/>
      <c r="J431" s="4" t="n"/>
      <c r="K431" s="4" t="n">
        <v>-190</v>
      </c>
      <c r="L431" s="4" t="n">
        <v>-190</v>
      </c>
      <c r="M431" s="5" t="n">
        <v>4.5</v>
      </c>
      <c r="N431" s="5" t="n">
        <v>3.465556313648961</v>
      </c>
      <c r="O431" s="5" t="n">
        <v>4.5</v>
      </c>
      <c r="P431" s="5" t="n">
        <v>1.034443686351039</v>
      </c>
      <c r="Q431" s="6" t="n">
        <v>0.1171592924380061</v>
      </c>
      <c r="R431" s="6" t="n">
        <v>0.7319319502180041</v>
      </c>
      <c r="S431" s="6" t="n">
        <v>0.6112600536193029</v>
      </c>
      <c r="T431" s="2" t="inlineStr">
        <is>
          <t>Under</t>
        </is>
      </c>
      <c r="U431" s="4" t="n">
        <v>-190</v>
      </c>
      <c r="V431" s="2" t="n">
        <v>1.526315789473684</v>
      </c>
      <c r="W431" s="4" t="n">
        <v>-190</v>
      </c>
      <c r="X431" s="2" t="n">
        <v>1</v>
      </c>
      <c r="Y431" s="5" t="n">
        <v>0.5263157894736841</v>
      </c>
      <c r="Z431" s="7" t="n">
        <v>100</v>
      </c>
      <c r="AA431" s="7">
        <f>Y431*Z431</f>
        <v/>
      </c>
      <c r="AB431" s="6">
        <f>IF(Z431=0,0,AA431/Z431)</f>
        <v/>
      </c>
      <c r="AC431" s="6" t="n"/>
      <c r="AD431" s="2" t="inlineStr">
        <is>
          <t>Win</t>
        </is>
      </c>
      <c r="AE431" s="6">
        <f>IF((COUNTIF($AD$2:AD431,"Win")+COUNTIF($AD$2:AD431,"Loss"))=0,0,COUNTIF($AD$2:AD431,"Win")/(COUNTIF($AD$2:AD431,"Win")+COUNTIF($AD$2:AD431,"Loss")))</f>
        <v/>
      </c>
      <c r="AF431" s="6">
        <f>SUM($Y$2:Y431)/SUM($X$2:X431)</f>
        <v/>
      </c>
      <c r="AG431" s="5">
        <f>SUM($Y$2:Y431)</f>
        <v/>
      </c>
      <c r="AH431" s="7">
        <f>10000.0+SUM($AA$2:AA431)</f>
        <v/>
      </c>
      <c r="AI431" s="2" t="n">
        <v>2026</v>
      </c>
      <c r="AJ431" s="2" t="inlineStr">
        <is>
          <t>2026-03</t>
        </is>
      </c>
      <c r="AK431" s="2" t="inlineStr">
        <is>
          <t>&lt;= -150</t>
        </is>
      </c>
      <c r="AL431" s="2" t="inlineStr">
        <is>
          <t>2026 Frozen Test</t>
        </is>
      </c>
      <c r="AM431" s="6" t="n">
        <v>0.2226026556322117</v>
      </c>
    </row>
    <row r="432">
      <c r="A432" s="2" t="inlineStr">
        <is>
          <t>KPROP-00431</t>
        </is>
      </c>
      <c r="B432" s="3" t="n">
        <v>46112.82335648148</v>
      </c>
      <c r="C432" s="3" t="n">
        <v>46112</v>
      </c>
      <c r="D432" s="2" t="inlineStr">
        <is>
          <t>Kodai Senga</t>
        </is>
      </c>
      <c r="E432" s="2" t="n">
        <v>121</v>
      </c>
      <c r="F432" s="2" t="n">
        <v>138</v>
      </c>
      <c r="G432" s="2" t="inlineStr">
        <is>
          <t>Away</t>
        </is>
      </c>
      <c r="H432" s="2" t="inlineStr">
        <is>
          <t>draftkings</t>
        </is>
      </c>
      <c r="I432" s="4" t="n"/>
      <c r="J432" s="4" t="n"/>
      <c r="K432" s="4" t="n">
        <v>120</v>
      </c>
      <c r="L432" s="4" t="n">
        <v>120</v>
      </c>
      <c r="M432" s="5" t="n">
        <v>4.5</v>
      </c>
      <c r="N432" s="5" t="n">
        <v>4.35920920164176</v>
      </c>
      <c r="O432" s="5" t="n">
        <v>4.5</v>
      </c>
      <c r="P432" s="5" t="n">
        <v>0.1407907983582399</v>
      </c>
      <c r="Q432" s="6" t="n">
        <v>0.2298416729944921</v>
      </c>
      <c r="R432" s="6" t="n">
        <v>0.5590189422702236</v>
      </c>
      <c r="S432" s="6" t="n">
        <v>0.4417293233082706</v>
      </c>
      <c r="T432" s="2" t="inlineStr">
        <is>
          <t>Under</t>
        </is>
      </c>
      <c r="U432" s="4" t="n">
        <v>120</v>
      </c>
      <c r="V432" s="2" t="n">
        <v>2.2</v>
      </c>
      <c r="W432" s="4" t="n">
        <v>120</v>
      </c>
      <c r="X432" s="2" t="n">
        <v>1</v>
      </c>
      <c r="Y432" s="5" t="n">
        <v>-1</v>
      </c>
      <c r="Z432" s="7" t="n">
        <v>100</v>
      </c>
      <c r="AA432" s="7">
        <f>Y432*Z432</f>
        <v/>
      </c>
      <c r="AB432" s="6">
        <f>IF(Z432=0,0,AA432/Z432)</f>
        <v/>
      </c>
      <c r="AC432" s="6" t="n"/>
      <c r="AD432" s="2" t="inlineStr">
        <is>
          <t>Loss</t>
        </is>
      </c>
      <c r="AE432" s="6">
        <f>IF((COUNTIF($AD$2:AD432,"Win")+COUNTIF($AD$2:AD432,"Loss"))=0,0,COUNTIF($AD$2:AD432,"Win")/(COUNTIF($AD$2:AD432,"Win")+COUNTIF($AD$2:AD432,"Loss")))</f>
        <v/>
      </c>
      <c r="AF432" s="6">
        <f>SUM($Y$2:Y432)/SUM($X$2:X432)</f>
        <v/>
      </c>
      <c r="AG432" s="5">
        <f>SUM($Y$2:Y432)</f>
        <v/>
      </c>
      <c r="AH432" s="7">
        <f>10000.0+SUM($AA$2:AA432)</f>
        <v/>
      </c>
      <c r="AI432" s="2" t="n">
        <v>2026</v>
      </c>
      <c r="AJ432" s="2" t="inlineStr">
        <is>
          <t>2026-03</t>
        </is>
      </c>
      <c r="AK432" s="2" t="inlineStr">
        <is>
          <t>+100 to +120</t>
        </is>
      </c>
      <c r="AL432" s="2" t="inlineStr">
        <is>
          <t>2026 Frozen Test</t>
        </is>
      </c>
      <c r="AM432" s="6" t="n">
        <v>0.1915347274954101</v>
      </c>
    </row>
    <row r="433">
      <c r="A433" s="2" t="inlineStr">
        <is>
          <t>KPROP-00432</t>
        </is>
      </c>
      <c r="B433" s="3" t="n">
        <v>46112.82335648148</v>
      </c>
      <c r="C433" s="3" t="n">
        <v>46112</v>
      </c>
      <c r="D433" s="2" t="inlineStr">
        <is>
          <t>Kodai Senga</t>
        </is>
      </c>
      <c r="E433" s="2" t="n">
        <v>121</v>
      </c>
      <c r="F433" s="2" t="n">
        <v>138</v>
      </c>
      <c r="G433" s="2" t="inlineStr">
        <is>
          <t>Away</t>
        </is>
      </c>
      <c r="H433" s="2" t="inlineStr">
        <is>
          <t>betrivers</t>
        </is>
      </c>
      <c r="I433" s="4" t="n"/>
      <c r="J433" s="4" t="n"/>
      <c r="K433" s="4" t="n">
        <v>-175</v>
      </c>
      <c r="L433" s="4" t="n">
        <v>-175</v>
      </c>
      <c r="M433" s="5" t="n">
        <v>5.5</v>
      </c>
      <c r="N433" s="5" t="n">
        <v>4.35920920164176</v>
      </c>
      <c r="O433" s="5" t="n">
        <v>5.5</v>
      </c>
      <c r="P433" s="5" t="n">
        <v>1.14079079835824</v>
      </c>
      <c r="Q433" s="6" t="n">
        <v>0.1420741494175078</v>
      </c>
      <c r="R433" s="6" t="n">
        <v>0.7267744587202323</v>
      </c>
      <c r="S433" s="6" t="n">
        <v>0.5919881305637983</v>
      </c>
      <c r="T433" s="2" t="inlineStr">
        <is>
          <t>Under</t>
        </is>
      </c>
      <c r="U433" s="4" t="n">
        <v>-175</v>
      </c>
      <c r="V433" s="2" t="n">
        <v>1.571428571428571</v>
      </c>
      <c r="W433" s="4" t="n">
        <v>-175</v>
      </c>
      <c r="X433" s="2" t="n">
        <v>1</v>
      </c>
      <c r="Y433" s="5" t="n">
        <v>-1</v>
      </c>
      <c r="Z433" s="7" t="n">
        <v>100</v>
      </c>
      <c r="AA433" s="7">
        <f>Y433*Z433</f>
        <v/>
      </c>
      <c r="AB433" s="6">
        <f>IF(Z433=0,0,AA433/Z433)</f>
        <v/>
      </c>
      <c r="AC433" s="6" t="n"/>
      <c r="AD433" s="2" t="inlineStr">
        <is>
          <t>Loss</t>
        </is>
      </c>
      <c r="AE433" s="6">
        <f>IF((COUNTIF($AD$2:AD433,"Win")+COUNTIF($AD$2:AD433,"Loss"))=0,0,COUNTIF($AD$2:AD433,"Win")/(COUNTIF($AD$2:AD433,"Win")+COUNTIF($AD$2:AD433,"Loss")))</f>
        <v/>
      </c>
      <c r="AF433" s="6">
        <f>SUM($Y$2:Y433)/SUM($X$2:X433)</f>
        <v/>
      </c>
      <c r="AG433" s="5">
        <f>SUM($Y$2:Y433)</f>
        <v/>
      </c>
      <c r="AH433" s="7">
        <f>10000.0+SUM($AA$2:AA433)</f>
        <v/>
      </c>
      <c r="AI433" s="2" t="n">
        <v>2026</v>
      </c>
      <c r="AJ433" s="2" t="inlineStr">
        <is>
          <t>2026-03</t>
        </is>
      </c>
      <c r="AK433" s="2" t="inlineStr">
        <is>
          <t>&lt;= -150</t>
        </is>
      </c>
      <c r="AL433" s="2" t="inlineStr">
        <is>
          <t>2026 Frozen Test</t>
        </is>
      </c>
      <c r="AM433" s="6" t="n">
        <v>0.2486297614806387</v>
      </c>
    </row>
    <row r="434">
      <c r="A434" s="2" t="inlineStr">
        <is>
          <t>KPROP-00433</t>
        </is>
      </c>
      <c r="B434" s="3" t="n">
        <v>46112.79560185185</v>
      </c>
      <c r="C434" s="3" t="n">
        <v>46112</v>
      </c>
      <c r="D434" s="2" t="inlineStr">
        <is>
          <t>Max Scherzer</t>
        </is>
      </c>
      <c r="E434" s="2" t="n">
        <v>141</v>
      </c>
      <c r="F434" s="2" t="n">
        <v>115</v>
      </c>
      <c r="G434" s="2" t="inlineStr">
        <is>
          <t>Home</t>
        </is>
      </c>
      <c r="H434" s="2" t="inlineStr">
        <is>
          <t>betmgm</t>
        </is>
      </c>
      <c r="I434" s="4" t="n"/>
      <c r="J434" s="4" t="n"/>
      <c r="K434" s="4" t="n">
        <v>100</v>
      </c>
      <c r="L434" s="4" t="n">
        <v>100</v>
      </c>
      <c r="M434" s="5" t="n">
        <v>5.5</v>
      </c>
      <c r="N434" s="5" t="n">
        <v>5.413941437739946</v>
      </c>
      <c r="O434" s="5" t="n">
        <v>5.5</v>
      </c>
      <c r="P434" s="5" t="n">
        <v>0.08605856226005404</v>
      </c>
      <c r="Q434" s="6" t="n">
        <v>0.08744796702254565</v>
      </c>
      <c r="R434" s="6" t="n">
        <v>0.5437239835112728</v>
      </c>
      <c r="S434" s="6" t="n">
        <v>0.5024875621890548</v>
      </c>
      <c r="T434" s="2" t="inlineStr">
        <is>
          <t>Under</t>
        </is>
      </c>
      <c r="U434" s="4" t="n">
        <v>100</v>
      </c>
      <c r="V434" s="2" t="n">
        <v>2</v>
      </c>
      <c r="W434" s="4" t="n">
        <v>100</v>
      </c>
      <c r="X434" s="2" t="n">
        <v>1</v>
      </c>
      <c r="Y434" s="5" t="n">
        <v>1</v>
      </c>
      <c r="Z434" s="7" t="n">
        <v>100</v>
      </c>
      <c r="AA434" s="7">
        <f>Y434*Z434</f>
        <v/>
      </c>
      <c r="AB434" s="6">
        <f>IF(Z434=0,0,AA434/Z434)</f>
        <v/>
      </c>
      <c r="AC434" s="6" t="n"/>
      <c r="AD434" s="2" t="inlineStr">
        <is>
          <t>Win</t>
        </is>
      </c>
      <c r="AE434" s="6">
        <f>IF((COUNTIF($AD$2:AD434,"Win")+COUNTIF($AD$2:AD434,"Loss"))=0,0,COUNTIF($AD$2:AD434,"Win")/(COUNTIF($AD$2:AD434,"Win")+COUNTIF($AD$2:AD434,"Loss")))</f>
        <v/>
      </c>
      <c r="AF434" s="6">
        <f>SUM($Y$2:Y434)/SUM($X$2:X434)</f>
        <v/>
      </c>
      <c r="AG434" s="5">
        <f>SUM($Y$2:Y434)</f>
        <v/>
      </c>
      <c r="AH434" s="7">
        <f>10000.0+SUM($AA$2:AA434)</f>
        <v/>
      </c>
      <c r="AI434" s="2" t="n">
        <v>2026</v>
      </c>
      <c r="AJ434" s="2" t="inlineStr">
        <is>
          <t>2026-03</t>
        </is>
      </c>
      <c r="AK434" s="2" t="inlineStr">
        <is>
          <t>+100 to +120</t>
        </is>
      </c>
      <c r="AL434" s="2" t="inlineStr">
        <is>
          <t>2026 Frozen Test</t>
        </is>
      </c>
      <c r="AM434" s="6" t="n">
        <v>0.08744796702254565</v>
      </c>
    </row>
    <row r="435">
      <c r="A435" s="2" t="inlineStr">
        <is>
          <t>KPROP-00434</t>
        </is>
      </c>
      <c r="B435" s="3" t="n">
        <v>46113.52474537037</v>
      </c>
      <c r="C435" s="3" t="n">
        <v>46113</v>
      </c>
      <c r="D435" s="2" t="inlineStr">
        <is>
          <t>Andrew Abbott</t>
        </is>
      </c>
      <c r="E435" s="2" t="n">
        <v>113</v>
      </c>
      <c r="F435" s="2" t="n">
        <v>134</v>
      </c>
      <c r="G435" s="2" t="inlineStr">
        <is>
          <t>Home</t>
        </is>
      </c>
      <c r="H435" s="2" t="inlineStr">
        <is>
          <t>fanatics</t>
        </is>
      </c>
      <c r="I435" s="4" t="n"/>
      <c r="J435" s="4" t="n"/>
      <c r="K435" s="4" t="n">
        <v>-105</v>
      </c>
      <c r="L435" s="4" t="n">
        <v>-105</v>
      </c>
      <c r="M435" s="5" t="n">
        <v>5.5</v>
      </c>
      <c r="N435" s="5" t="n">
        <v>4.80291545431053</v>
      </c>
      <c r="O435" s="5" t="n">
        <v>5.5</v>
      </c>
      <c r="P435" s="5" t="n">
        <v>0.6970845456894699</v>
      </c>
      <c r="Q435" s="6" t="n">
        <v>0.2700178305384296</v>
      </c>
      <c r="R435" s="6" t="n">
        <v>0.6504969375928542</v>
      </c>
      <c r="S435" s="6" t="n">
        <v>0.5</v>
      </c>
      <c r="T435" s="2" t="inlineStr">
        <is>
          <t>Under</t>
        </is>
      </c>
      <c r="U435" s="4" t="n">
        <v>-105</v>
      </c>
      <c r="V435" s="2" t="n">
        <v>1.952380952380952</v>
      </c>
      <c r="W435" s="4" t="n">
        <v>-105</v>
      </c>
      <c r="X435" s="2" t="n">
        <v>1</v>
      </c>
      <c r="Y435" s="5" t="n">
        <v>0.9523809523809523</v>
      </c>
      <c r="Z435" s="7" t="n">
        <v>100</v>
      </c>
      <c r="AA435" s="7">
        <f>Y435*Z435</f>
        <v/>
      </c>
      <c r="AB435" s="6">
        <f>IF(Z435=0,0,AA435/Z435)</f>
        <v/>
      </c>
      <c r="AC435" s="6" t="n"/>
      <c r="AD435" s="2" t="inlineStr">
        <is>
          <t>Win</t>
        </is>
      </c>
      <c r="AE435" s="6">
        <f>IF((COUNTIF($AD$2:AD435,"Win")+COUNTIF($AD$2:AD435,"Loss"))=0,0,COUNTIF($AD$2:AD435,"Win")/(COUNTIF($AD$2:AD435,"Win")+COUNTIF($AD$2:AD435,"Loss")))</f>
        <v/>
      </c>
      <c r="AF435" s="6">
        <f>SUM($Y$2:Y435)/SUM($X$2:X435)</f>
        <v/>
      </c>
      <c r="AG435" s="5">
        <f>SUM($Y$2:Y435)</f>
        <v/>
      </c>
      <c r="AH435" s="7">
        <f>10000.0+SUM($AA$2:AA435)</f>
        <v/>
      </c>
      <c r="AI435" s="2" t="n">
        <v>2026</v>
      </c>
      <c r="AJ435" s="2" t="inlineStr">
        <is>
          <t>2026-04</t>
        </is>
      </c>
      <c r="AK435" s="2" t="inlineStr">
        <is>
          <t>-119 to -101</t>
        </is>
      </c>
      <c r="AL435" s="2" t="inlineStr">
        <is>
          <t>2026 Frozen Test</t>
        </is>
      </c>
      <c r="AM435" s="6" t="n">
        <v>0.2835187220653512</v>
      </c>
    </row>
    <row r="436">
      <c r="A436" s="2" t="inlineStr">
        <is>
          <t>KPROP-00435</t>
        </is>
      </c>
      <c r="B436" s="3" t="n">
        <v>46113.50738425926</v>
      </c>
      <c r="C436" s="3" t="n">
        <v>46113</v>
      </c>
      <c r="D436" s="2" t="inlineStr">
        <is>
          <t>Chris Sale</t>
        </is>
      </c>
      <c r="E436" s="2" t="n">
        <v>144</v>
      </c>
      <c r="F436" s="2" t="n">
        <v>133</v>
      </c>
      <c r="G436" s="2" t="inlineStr">
        <is>
          <t>Home</t>
        </is>
      </c>
      <c r="H436" s="2" t="inlineStr">
        <is>
          <t>bovada</t>
        </is>
      </c>
      <c r="I436" s="4" t="n"/>
      <c r="J436" s="4" t="n"/>
      <c r="K436" s="4" t="n">
        <v>-120</v>
      </c>
      <c r="L436" s="4" t="n">
        <v>-120</v>
      </c>
      <c r="M436" s="5" t="n">
        <v>8.5</v>
      </c>
      <c r="N436" s="5" t="n">
        <v>7.024833491553302</v>
      </c>
      <c r="O436" s="5" t="n">
        <v>8.5</v>
      </c>
      <c r="P436" s="5" t="n">
        <v>1.475166508446698</v>
      </c>
      <c r="Q436" s="6" t="n">
        <v>0.3307210497375163</v>
      </c>
      <c r="R436" s="6" t="n">
        <v>0.7258478453113725</v>
      </c>
      <c r="S436" s="6" t="n">
        <v>0.519280205655527</v>
      </c>
      <c r="T436" s="2" t="inlineStr">
        <is>
          <t>Under</t>
        </is>
      </c>
      <c r="U436" s="4" t="n">
        <v>-120</v>
      </c>
      <c r="V436" s="2" t="n">
        <v>1.833333333333333</v>
      </c>
      <c r="W436" s="4" t="n">
        <v>-120</v>
      </c>
      <c r="X436" s="2" t="n">
        <v>1</v>
      </c>
      <c r="Y436" s="5" t="n">
        <v>0.8333333333333335</v>
      </c>
      <c r="Z436" s="7" t="n">
        <v>100</v>
      </c>
      <c r="AA436" s="7">
        <f>Y436*Z436</f>
        <v/>
      </c>
      <c r="AB436" s="6">
        <f>IF(Z436=0,0,AA436/Z436)</f>
        <v/>
      </c>
      <c r="AC436" s="6" t="n"/>
      <c r="AD436" s="2" t="inlineStr">
        <is>
          <t>Win</t>
        </is>
      </c>
      <c r="AE436" s="6">
        <f>IF((COUNTIF($AD$2:AD436,"Win")+COUNTIF($AD$2:AD436,"Loss"))=0,0,COUNTIF($AD$2:AD436,"Win")/(COUNTIF($AD$2:AD436,"Win")+COUNTIF($AD$2:AD436,"Loss")))</f>
        <v/>
      </c>
      <c r="AF436" s="6">
        <f>SUM($Y$2:Y436)/SUM($X$2:X436)</f>
        <v/>
      </c>
      <c r="AG436" s="5">
        <f>SUM($Y$2:Y436)</f>
        <v/>
      </c>
      <c r="AH436" s="7">
        <f>10000.0+SUM($AA$2:AA436)</f>
        <v/>
      </c>
      <c r="AI436" s="2" t="n">
        <v>2026</v>
      </c>
      <c r="AJ436" s="2" t="inlineStr">
        <is>
          <t>2026-04</t>
        </is>
      </c>
      <c r="AK436" s="2" t="inlineStr">
        <is>
          <t>-149 to -120</t>
        </is>
      </c>
      <c r="AL436" s="2" t="inlineStr">
        <is>
          <t>2026 Frozen Test</t>
        </is>
      </c>
      <c r="AM436" s="6" t="n">
        <v>0.3968652596850195</v>
      </c>
    </row>
    <row r="437">
      <c r="A437" s="2" t="inlineStr">
        <is>
          <t>KPROP-00436</t>
        </is>
      </c>
      <c r="B437" s="3" t="n">
        <v>46113.54221064815</v>
      </c>
      <c r="C437" s="3" t="n">
        <v>46113</v>
      </c>
      <c r="D437" s="2" t="inlineStr">
        <is>
          <t>Cristopher Sánchez</t>
        </is>
      </c>
      <c r="E437" s="2" t="n">
        <v>143</v>
      </c>
      <c r="F437" s="2" t="n">
        <v>120</v>
      </c>
      <c r="G437" s="2" t="inlineStr">
        <is>
          <t>Home</t>
        </is>
      </c>
      <c r="H437" s="2" t="inlineStr">
        <is>
          <t>betrivers</t>
        </is>
      </c>
      <c r="I437" s="4" t="n"/>
      <c r="J437" s="4" t="n"/>
      <c r="K437" s="4" t="n">
        <v>123</v>
      </c>
      <c r="L437" s="4" t="n">
        <v>123</v>
      </c>
      <c r="M437" s="5" t="n">
        <v>6.5</v>
      </c>
      <c r="N437" s="5" t="n">
        <v>6.406407538520563</v>
      </c>
      <c r="O437" s="5" t="n">
        <v>6.5</v>
      </c>
      <c r="P437" s="5" t="n">
        <v>0.09359246147943701</v>
      </c>
      <c r="Q437" s="6" t="n">
        <v>0.2071278311340702</v>
      </c>
      <c r="R437" s="6" t="n">
        <v>0.5413129287596727</v>
      </c>
      <c r="S437" s="6" t="n">
        <v>0.4511894995898278</v>
      </c>
      <c r="T437" s="2" t="inlineStr">
        <is>
          <t>Under</t>
        </is>
      </c>
      <c r="U437" s="4" t="n">
        <v>123</v>
      </c>
      <c r="V437" s="2" t="n">
        <v>2.23</v>
      </c>
      <c r="W437" s="4" t="n">
        <v>123</v>
      </c>
      <c r="X437" s="2" t="n">
        <v>1</v>
      </c>
      <c r="Y437" s="5" t="n">
        <v>-1</v>
      </c>
      <c r="Z437" s="7" t="n">
        <v>100</v>
      </c>
      <c r="AA437" s="7">
        <f>Y437*Z437</f>
        <v/>
      </c>
      <c r="AB437" s="6">
        <f>IF(Z437=0,0,AA437/Z437)</f>
        <v/>
      </c>
      <c r="AC437" s="6" t="n"/>
      <c r="AD437" s="2" t="inlineStr">
        <is>
          <t>Loss</t>
        </is>
      </c>
      <c r="AE437" s="6">
        <f>IF((COUNTIF($AD$2:AD437,"Win")+COUNTIF($AD$2:AD437,"Loss"))=0,0,COUNTIF($AD$2:AD437,"Win")/(COUNTIF($AD$2:AD437,"Win")+COUNTIF($AD$2:AD437,"Loss")))</f>
        <v/>
      </c>
      <c r="AF437" s="6">
        <f>SUM($Y$2:Y437)/SUM($X$2:X437)</f>
        <v/>
      </c>
      <c r="AG437" s="5">
        <f>SUM($Y$2:Y437)</f>
        <v/>
      </c>
      <c r="AH437" s="7">
        <f>10000.0+SUM($AA$2:AA437)</f>
        <v/>
      </c>
      <c r="AI437" s="2" t="n">
        <v>2026</v>
      </c>
      <c r="AJ437" s="2" t="inlineStr">
        <is>
          <t>2026-04</t>
        </is>
      </c>
      <c r="AK437" s="2" t="inlineStr">
        <is>
          <t>+121 to +150</t>
        </is>
      </c>
      <c r="AL437" s="2" t="inlineStr">
        <is>
          <t>2026 Frozen Test</t>
        </is>
      </c>
      <c r="AM437" s="6" t="n">
        <v>0.1683966106781059</v>
      </c>
    </row>
    <row r="438">
      <c r="A438" s="2" t="inlineStr">
        <is>
          <t>KPROP-00437</t>
        </is>
      </c>
      <c r="B438" s="3" t="n">
        <v>46113.54221064815</v>
      </c>
      <c r="C438" s="3" t="n">
        <v>46113</v>
      </c>
      <c r="D438" s="2" t="inlineStr">
        <is>
          <t>Cristopher Sánchez</t>
        </is>
      </c>
      <c r="E438" s="2" t="n">
        <v>143</v>
      </c>
      <c r="F438" s="2" t="n">
        <v>120</v>
      </c>
      <c r="G438" s="2" t="inlineStr">
        <is>
          <t>Home</t>
        </is>
      </c>
      <c r="H438" s="2" t="inlineStr">
        <is>
          <t>betrivers</t>
        </is>
      </c>
      <c r="I438" s="4" t="n"/>
      <c r="J438" s="4" t="n"/>
      <c r="K438" s="4" t="n">
        <v>-165</v>
      </c>
      <c r="L438" s="4" t="n">
        <v>-165</v>
      </c>
      <c r="M438" s="5" t="n">
        <v>7.5</v>
      </c>
      <c r="N438" s="5" t="n">
        <v>6.406407538520563</v>
      </c>
      <c r="O438" s="5" t="n">
        <v>7.5</v>
      </c>
      <c r="P438" s="5" t="n">
        <v>1.093592461479437</v>
      </c>
      <c r="Q438" s="6" t="n">
        <v>0.1023867178021035</v>
      </c>
      <c r="R438" s="6" t="n">
        <v>0.6863917299522532</v>
      </c>
      <c r="S438" s="6" t="n">
        <v>0.5813255391421123</v>
      </c>
      <c r="T438" s="2" t="inlineStr">
        <is>
          <t>Under</t>
        </is>
      </c>
      <c r="U438" s="4" t="n">
        <v>-165</v>
      </c>
      <c r="V438" s="2" t="n">
        <v>1.606060606060606</v>
      </c>
      <c r="W438" s="4" t="n">
        <v>-165</v>
      </c>
      <c r="X438" s="2" t="n">
        <v>1</v>
      </c>
      <c r="Y438" s="5" t="n">
        <v>0.606060606060606</v>
      </c>
      <c r="Z438" s="7" t="n">
        <v>100</v>
      </c>
      <c r="AA438" s="7">
        <f>Y438*Z438</f>
        <v/>
      </c>
      <c r="AB438" s="6">
        <f>IF(Z438=0,0,AA438/Z438)</f>
        <v/>
      </c>
      <c r="AC438" s="6" t="n"/>
      <c r="AD438" s="2" t="inlineStr">
        <is>
          <t>Win</t>
        </is>
      </c>
      <c r="AE438" s="6">
        <f>IF((COUNTIF($AD$2:AD438,"Win")+COUNTIF($AD$2:AD438,"Loss"))=0,0,COUNTIF($AD$2:AD438,"Win")/(COUNTIF($AD$2:AD438,"Win")+COUNTIF($AD$2:AD438,"Loss")))</f>
        <v/>
      </c>
      <c r="AF438" s="6">
        <f>SUM($Y$2:Y438)/SUM($X$2:X438)</f>
        <v/>
      </c>
      <c r="AG438" s="5">
        <f>SUM($Y$2:Y438)</f>
        <v/>
      </c>
      <c r="AH438" s="7">
        <f>10000.0+SUM($AA$2:AA438)</f>
        <v/>
      </c>
      <c r="AI438" s="2" t="n">
        <v>2026</v>
      </c>
      <c r="AJ438" s="2" t="inlineStr">
        <is>
          <t>2026-04</t>
        </is>
      </c>
      <c r="AK438" s="2" t="inlineStr">
        <is>
          <t>&lt;= -150</t>
        </is>
      </c>
      <c r="AL438" s="2" t="inlineStr">
        <is>
          <t>2026 Frozen Test</t>
        </is>
      </c>
      <c r="AM438" s="6" t="n">
        <v>0.1689380843734708</v>
      </c>
    </row>
    <row r="439">
      <c r="A439" s="2" t="inlineStr">
        <is>
          <t>KPROP-00438</t>
        </is>
      </c>
      <c r="B439" s="3" t="n">
        <v>46113.67057870371</v>
      </c>
      <c r="C439" s="3" t="n">
        <v>46113</v>
      </c>
      <c r="D439" s="2" t="inlineStr">
        <is>
          <t>George Kirby</t>
        </is>
      </c>
      <c r="E439" s="2" t="n">
        <v>136</v>
      </c>
      <c r="F439" s="2" t="n">
        <v>147</v>
      </c>
      <c r="G439" s="2" t="inlineStr">
        <is>
          <t>Home</t>
        </is>
      </c>
      <c r="H439" s="2" t="inlineStr">
        <is>
          <t>fanatics</t>
        </is>
      </c>
      <c r="I439" s="4" t="n"/>
      <c r="J439" s="4" t="n"/>
      <c r="K439" s="4" t="n">
        <v>115</v>
      </c>
      <c r="L439" s="4" t="n">
        <v>115</v>
      </c>
      <c r="M439" s="5" t="n">
        <v>6.5</v>
      </c>
      <c r="N439" s="5" t="n">
        <v>6.101758714194712</v>
      </c>
      <c r="O439" s="5" t="n">
        <v>6.5</v>
      </c>
      <c r="P439" s="5" t="n">
        <v>0.3982412858052884</v>
      </c>
      <c r="Q439" s="6" t="n">
        <v>0.2684196733698335</v>
      </c>
      <c r="R439" s="6" t="n">
        <v>0.5899626387766668</v>
      </c>
      <c r="S439" s="6" t="n">
        <v>0.4428925847652301</v>
      </c>
      <c r="T439" s="2" t="inlineStr">
        <is>
          <t>Under</t>
        </is>
      </c>
      <c r="U439" s="4" t="n">
        <v>115</v>
      </c>
      <c r="V439" s="2" t="n">
        <v>2.15</v>
      </c>
      <c r="W439" s="4" t="n">
        <v>115</v>
      </c>
      <c r="X439" s="2" t="n">
        <v>1</v>
      </c>
      <c r="Y439" s="5" t="n">
        <v>1.15</v>
      </c>
      <c r="Z439" s="7" t="n">
        <v>100</v>
      </c>
      <c r="AA439" s="7">
        <f>Y439*Z439</f>
        <v/>
      </c>
      <c r="AB439" s="6">
        <f>IF(Z439=0,0,AA439/Z439)</f>
        <v/>
      </c>
      <c r="AC439" s="6" t="n"/>
      <c r="AD439" s="2" t="inlineStr">
        <is>
          <t>Win</t>
        </is>
      </c>
      <c r="AE439" s="6">
        <f>IF((COUNTIF($AD$2:AD439,"Win")+COUNTIF($AD$2:AD439,"Loss"))=0,0,COUNTIF($AD$2:AD439,"Win")/(COUNTIF($AD$2:AD439,"Win")+COUNTIF($AD$2:AD439,"Loss")))</f>
        <v/>
      </c>
      <c r="AF439" s="6">
        <f>SUM($Y$2:Y439)/SUM($X$2:X439)</f>
        <v/>
      </c>
      <c r="AG439" s="5">
        <f>SUM($Y$2:Y439)</f>
        <v/>
      </c>
      <c r="AH439" s="7">
        <f>10000.0+SUM($AA$2:AA439)</f>
        <v/>
      </c>
      <c r="AI439" s="2" t="n">
        <v>2026</v>
      </c>
      <c r="AJ439" s="2" t="inlineStr">
        <is>
          <t>2026-04</t>
        </is>
      </c>
      <c r="AK439" s="2" t="inlineStr">
        <is>
          <t>+100 to +120</t>
        </is>
      </c>
      <c r="AL439" s="2" t="inlineStr">
        <is>
          <t>2026 Frozen Test</t>
        </is>
      </c>
      <c r="AM439" s="6" t="n">
        <v>0.2334084116259422</v>
      </c>
    </row>
    <row r="440">
      <c r="A440" s="2" t="inlineStr">
        <is>
          <t>KPROP-00439</t>
        </is>
      </c>
      <c r="B440" s="3" t="n">
        <v>46113.67057870371</v>
      </c>
      <c r="C440" s="3" t="n">
        <v>46113</v>
      </c>
      <c r="D440" s="2" t="inlineStr">
        <is>
          <t>George Kirby</t>
        </is>
      </c>
      <c r="E440" s="2" t="n">
        <v>136</v>
      </c>
      <c r="F440" s="2" t="n">
        <v>147</v>
      </c>
      <c r="G440" s="2" t="inlineStr">
        <is>
          <t>Home</t>
        </is>
      </c>
      <c r="H440" s="2" t="inlineStr">
        <is>
          <t>draftkings</t>
        </is>
      </c>
      <c r="I440" s="4" t="n"/>
      <c r="J440" s="4" t="n"/>
      <c r="K440" s="4" t="n">
        <v>-151</v>
      </c>
      <c r="L440" s="4" t="n">
        <v>-151</v>
      </c>
      <c r="M440" s="5" t="n">
        <v>7.5</v>
      </c>
      <c r="N440" s="5" t="n">
        <v>6.101758714194712</v>
      </c>
      <c r="O440" s="5" t="n">
        <v>7.5</v>
      </c>
      <c r="P440" s="5" t="n">
        <v>1.398241285805288</v>
      </c>
      <c r="Q440" s="6" t="n">
        <v>0.2132029679585156</v>
      </c>
      <c r="R440" s="6" t="n">
        <v>0.729855171959107</v>
      </c>
      <c r="S440" s="6" t="n">
        <v>0.5908053472448647</v>
      </c>
      <c r="T440" s="2" t="inlineStr">
        <is>
          <t>Under</t>
        </is>
      </c>
      <c r="U440" s="4" t="n">
        <v>-151</v>
      </c>
      <c r="V440" s="2" t="n">
        <v>1.662251655629139</v>
      </c>
      <c r="W440" s="4" t="n">
        <v>-151</v>
      </c>
      <c r="X440" s="2" t="n">
        <v>1</v>
      </c>
      <c r="Y440" s="5" t="n">
        <v>0.6622516556291391</v>
      </c>
      <c r="Z440" s="7" t="n">
        <v>100</v>
      </c>
      <c r="AA440" s="7">
        <f>Y440*Z440</f>
        <v/>
      </c>
      <c r="AB440" s="6">
        <f>IF(Z440=0,0,AA440/Z440)</f>
        <v/>
      </c>
      <c r="AC440" s="6" t="n"/>
      <c r="AD440" s="2" t="inlineStr">
        <is>
          <t>Win</t>
        </is>
      </c>
      <c r="AE440" s="6">
        <f>IF((COUNTIF($AD$2:AD440,"Win")+COUNTIF($AD$2:AD440,"Loss"))=0,0,COUNTIF($AD$2:AD440,"Win")/(COUNTIF($AD$2:AD440,"Win")+COUNTIF($AD$2:AD440,"Loss")))</f>
        <v/>
      </c>
      <c r="AF440" s="6">
        <f>SUM($Y$2:Y440)/SUM($X$2:X440)</f>
        <v/>
      </c>
      <c r="AG440" s="5">
        <f>SUM($Y$2:Y440)</f>
        <v/>
      </c>
      <c r="AH440" s="7">
        <f>10000.0+SUM($AA$2:AA440)</f>
        <v/>
      </c>
      <c r="AI440" s="2" t="n">
        <v>2026</v>
      </c>
      <c r="AJ440" s="2" t="inlineStr">
        <is>
          <t>2026-04</t>
        </is>
      </c>
      <c r="AK440" s="2" t="inlineStr">
        <is>
          <t>&lt;= -150</t>
        </is>
      </c>
      <c r="AL440" s="2" t="inlineStr">
        <is>
          <t>2026 Frozen Test</t>
        </is>
      </c>
      <c r="AM440" s="6" t="n">
        <v>0.3219364816173585</v>
      </c>
    </row>
    <row r="441">
      <c r="A441" s="2" t="inlineStr">
        <is>
          <t>KPROP-00440</t>
        </is>
      </c>
      <c r="B441" s="3" t="n">
        <v>46113.56640046297</v>
      </c>
      <c r="C441" s="3" t="n">
        <v>46113</v>
      </c>
      <c r="D441" s="2" t="inlineStr">
        <is>
          <t>Jacob Misiorowski</t>
        </is>
      </c>
      <c r="E441" s="2" t="n">
        <v>158</v>
      </c>
      <c r="F441" s="2" t="n">
        <v>139</v>
      </c>
      <c r="G441" s="2" t="inlineStr">
        <is>
          <t>Home</t>
        </is>
      </c>
      <c r="H441" s="2" t="inlineStr">
        <is>
          <t>betrivers</t>
        </is>
      </c>
      <c r="I441" s="4" t="n"/>
      <c r="J441" s="4" t="n"/>
      <c r="K441" s="4" t="n">
        <v>-117</v>
      </c>
      <c r="L441" s="4" t="n">
        <v>-117</v>
      </c>
      <c r="M441" s="5" t="n">
        <v>6.5</v>
      </c>
      <c r="N441" s="5" t="n">
        <v>5.788500130875929</v>
      </c>
      <c r="O441" s="5" t="n">
        <v>6.5</v>
      </c>
      <c r="P441" s="5" t="n">
        <v>0.7114998691240713</v>
      </c>
      <c r="Q441" s="6" t="n">
        <v>0.1874381563663583</v>
      </c>
      <c r="R441" s="6" t="n">
        <v>0.6402316326952254</v>
      </c>
      <c r="S441" s="6" t="n">
        <v>0.5188470066518847</v>
      </c>
      <c r="T441" s="2" t="inlineStr">
        <is>
          <t>Under</t>
        </is>
      </c>
      <c r="U441" s="4" t="n">
        <v>-117</v>
      </c>
      <c r="V441" s="2" t="n">
        <v>1.854700854700855</v>
      </c>
      <c r="W441" s="4" t="n">
        <v>-117</v>
      </c>
      <c r="X441" s="2" t="n">
        <v>1</v>
      </c>
      <c r="Y441" s="5" t="n">
        <v>-1</v>
      </c>
      <c r="Z441" s="7" t="n">
        <v>100</v>
      </c>
      <c r="AA441" s="7">
        <f>Y441*Z441</f>
        <v/>
      </c>
      <c r="AB441" s="6">
        <f>IF(Z441=0,0,AA441/Z441)</f>
        <v/>
      </c>
      <c r="AC441" s="6" t="n"/>
      <c r="AD441" s="2" t="inlineStr">
        <is>
          <t>Loss</t>
        </is>
      </c>
      <c r="AE441" s="6">
        <f>IF((COUNTIF($AD$2:AD441,"Win")+COUNTIF($AD$2:AD441,"Loss"))=0,0,COUNTIF($AD$2:AD441,"Win")/(COUNTIF($AD$2:AD441,"Win")+COUNTIF($AD$2:AD441,"Loss")))</f>
        <v/>
      </c>
      <c r="AF441" s="6">
        <f>SUM($Y$2:Y441)/SUM($X$2:X441)</f>
        <v/>
      </c>
      <c r="AG441" s="5">
        <f>SUM($Y$2:Y441)</f>
        <v/>
      </c>
      <c r="AH441" s="7">
        <f>10000.0+SUM($AA$2:AA441)</f>
        <v/>
      </c>
      <c r="AI441" s="2" t="n">
        <v>2026</v>
      </c>
      <c r="AJ441" s="2" t="inlineStr">
        <is>
          <t>2026-04</t>
        </is>
      </c>
      <c r="AK441" s="2" t="inlineStr">
        <is>
          <t>-119 to -101</t>
        </is>
      </c>
      <c r="AL441" s="2" t="inlineStr">
        <is>
          <t>2026 Frozen Test</t>
        </is>
      </c>
      <c r="AM441" s="6" t="n">
        <v>0.2193026429486392</v>
      </c>
    </row>
    <row r="442">
      <c r="A442" s="2" t="inlineStr">
        <is>
          <t>KPROP-00441</t>
        </is>
      </c>
      <c r="B442" s="3" t="n">
        <v>46113.81641203703</v>
      </c>
      <c r="C442" s="3" t="n">
        <v>46113</v>
      </c>
      <c r="D442" s="2" t="inlineStr">
        <is>
          <t>Joe Ryan</t>
        </is>
      </c>
      <c r="E442" s="2" t="n">
        <v>142</v>
      </c>
      <c r="F442" s="2" t="n">
        <v>118</v>
      </c>
      <c r="G442" s="2" t="inlineStr">
        <is>
          <t>Away</t>
        </is>
      </c>
      <c r="H442" s="2" t="inlineStr">
        <is>
          <t>betmgm</t>
        </is>
      </c>
      <c r="I442" s="4" t="n"/>
      <c r="J442" s="4" t="n"/>
      <c r="K442" s="4" t="n">
        <v>-118</v>
      </c>
      <c r="L442" s="4" t="n">
        <v>-118</v>
      </c>
      <c r="M442" s="5" t="n">
        <v>5.5</v>
      </c>
      <c r="N442" s="5" t="n">
        <v>4.784732963560879</v>
      </c>
      <c r="O442" s="5" t="n">
        <v>5.5</v>
      </c>
      <c r="P442" s="5" t="n">
        <v>0.7152670364391209</v>
      </c>
      <c r="Q442" s="6" t="n">
        <v>0.2076339927792065</v>
      </c>
      <c r="R442" s="6" t="n">
        <v>0.6536734456327815</v>
      </c>
      <c r="S442" s="6" t="n">
        <v>0.5259839095455533</v>
      </c>
      <c r="T442" s="2" t="inlineStr">
        <is>
          <t>Under</t>
        </is>
      </c>
      <c r="U442" s="4" t="n">
        <v>-118</v>
      </c>
      <c r="V442" s="2" t="n">
        <v>1.847457627118644</v>
      </c>
      <c r="W442" s="4" t="n">
        <v>-118</v>
      </c>
      <c r="X442" s="2" t="n">
        <v>1</v>
      </c>
      <c r="Y442" s="5" t="n">
        <v>0.847457627118644</v>
      </c>
      <c r="Z442" s="7" t="n">
        <v>100</v>
      </c>
      <c r="AA442" s="7">
        <f>Y442*Z442</f>
        <v/>
      </c>
      <c r="AB442" s="6">
        <f>IF(Z442=0,0,AA442/Z442)</f>
        <v/>
      </c>
      <c r="AC442" s="6" t="n"/>
      <c r="AD442" s="2" t="inlineStr">
        <is>
          <t>Win</t>
        </is>
      </c>
      <c r="AE442" s="6">
        <f>IF((COUNTIF($AD$2:AD442,"Win")+COUNTIF($AD$2:AD442,"Loss"))=0,0,COUNTIF($AD$2:AD442,"Win")/(COUNTIF($AD$2:AD442,"Win")+COUNTIF($AD$2:AD442,"Loss")))</f>
        <v/>
      </c>
      <c r="AF442" s="6">
        <f>SUM($Y$2:Y442)/SUM($X$2:X442)</f>
        <v/>
      </c>
      <c r="AG442" s="5">
        <f>SUM($Y$2:Y442)</f>
        <v/>
      </c>
      <c r="AH442" s="7">
        <f>10000.0+SUM($AA$2:AA442)</f>
        <v/>
      </c>
      <c r="AI442" s="2" t="n">
        <v>2026</v>
      </c>
      <c r="AJ442" s="2" t="inlineStr">
        <is>
          <t>2026-04</t>
        </is>
      </c>
      <c r="AK442" s="2" t="inlineStr">
        <is>
          <t>-119 to -101</t>
        </is>
      </c>
      <c r="AL442" s="2" t="inlineStr">
        <is>
          <t>2026 Frozen Test</t>
        </is>
      </c>
      <c r="AM442" s="6" t="n">
        <v>0.2450081114794636</v>
      </c>
    </row>
    <row r="443">
      <c r="A443" s="2" t="inlineStr">
        <is>
          <t>KPROP-00442</t>
        </is>
      </c>
      <c r="B443" s="3" t="n">
        <v>46113.54556712963</v>
      </c>
      <c r="C443" s="3" t="n">
        <v>46113</v>
      </c>
      <c r="D443" s="2" t="inlineStr">
        <is>
          <t>Kevin Gausman</t>
        </is>
      </c>
      <c r="E443" s="2" t="n">
        <v>141</v>
      </c>
      <c r="F443" s="2" t="n">
        <v>115</v>
      </c>
      <c r="G443" s="2" t="inlineStr">
        <is>
          <t>Home</t>
        </is>
      </c>
      <c r="H443" s="2" t="inlineStr">
        <is>
          <t>betmgm</t>
        </is>
      </c>
      <c r="I443" s="4" t="n"/>
      <c r="J443" s="4" t="n"/>
      <c r="K443" s="4" t="n">
        <v>115</v>
      </c>
      <c r="L443" s="4" t="n">
        <v>115</v>
      </c>
      <c r="M443" s="5" t="n">
        <v>6.5</v>
      </c>
      <c r="N443" s="5" t="n">
        <v>6.411824755270636</v>
      </c>
      <c r="O443" s="5" t="n">
        <v>6.5</v>
      </c>
      <c r="P443" s="5" t="n">
        <v>0.08817524472936356</v>
      </c>
      <c r="Q443" s="6" t="n">
        <v>0.1619768160476676</v>
      </c>
      <c r="R443" s="6" t="n">
        <v>0.5404543330454268</v>
      </c>
      <c r="S443" s="6" t="n">
        <v>0.4366812227074235</v>
      </c>
      <c r="T443" s="2" t="inlineStr">
        <is>
          <t>Under</t>
        </is>
      </c>
      <c r="U443" s="4" t="n">
        <v>115</v>
      </c>
      <c r="V443" s="2" t="n">
        <v>2.15</v>
      </c>
      <c r="W443" s="4" t="n">
        <v>115</v>
      </c>
      <c r="X443" s="2" t="n">
        <v>1</v>
      </c>
      <c r="Y443" s="5" t="n">
        <v>-1</v>
      </c>
      <c r="Z443" s="7" t="n">
        <v>100</v>
      </c>
      <c r="AA443" s="7">
        <f>Y443*Z443</f>
        <v/>
      </c>
      <c r="AB443" s="6">
        <f>IF(Z443=0,0,AA443/Z443)</f>
        <v/>
      </c>
      <c r="AC443" s="6" t="n"/>
      <c r="AD443" s="2" t="inlineStr">
        <is>
          <t>Loss</t>
        </is>
      </c>
      <c r="AE443" s="6">
        <f>IF((COUNTIF($AD$2:AD443,"Win")+COUNTIF($AD$2:AD443,"Loss"))=0,0,COUNTIF($AD$2:AD443,"Win")/(COUNTIF($AD$2:AD443,"Win")+COUNTIF($AD$2:AD443,"Loss")))</f>
        <v/>
      </c>
      <c r="AF443" s="6">
        <f>SUM($Y$2:Y443)/SUM($X$2:X443)</f>
        <v/>
      </c>
      <c r="AG443" s="5">
        <f>SUM($Y$2:Y443)</f>
        <v/>
      </c>
      <c r="AH443" s="7">
        <f>10000.0+SUM($AA$2:AA443)</f>
        <v/>
      </c>
      <c r="AI443" s="2" t="n">
        <v>2026</v>
      </c>
      <c r="AJ443" s="2" t="inlineStr">
        <is>
          <t>2026-04</t>
        </is>
      </c>
      <c r="AK443" s="2" t="inlineStr">
        <is>
          <t>+100 to +120</t>
        </is>
      </c>
      <c r="AL443" s="2" t="inlineStr">
        <is>
          <t>2026 Frozen Test</t>
        </is>
      </c>
      <c r="AM443" s="6" t="n">
        <v>0.1408494052588414</v>
      </c>
    </row>
    <row r="444">
      <c r="A444" s="2" t="inlineStr">
        <is>
          <t>KPROP-00443</t>
        </is>
      </c>
      <c r="B444" s="3" t="n">
        <v>46113.54556712963</v>
      </c>
      <c r="C444" s="3" t="n">
        <v>46113</v>
      </c>
      <c r="D444" s="2" t="inlineStr">
        <is>
          <t>Kevin Gausman</t>
        </is>
      </c>
      <c r="E444" s="2" t="n">
        <v>141</v>
      </c>
      <c r="F444" s="2" t="n">
        <v>115</v>
      </c>
      <c r="G444" s="2" t="inlineStr">
        <is>
          <t>Home</t>
        </is>
      </c>
      <c r="H444" s="2" t="inlineStr">
        <is>
          <t>draftkings</t>
        </is>
      </c>
      <c r="I444" s="4" t="n"/>
      <c r="J444" s="4" t="n"/>
      <c r="K444" s="4" t="n">
        <v>-148</v>
      </c>
      <c r="L444" s="4" t="n">
        <v>-148</v>
      </c>
      <c r="M444" s="5" t="n">
        <v>7.5</v>
      </c>
      <c r="N444" s="5" t="n">
        <v>6.411824755270636</v>
      </c>
      <c r="O444" s="5" t="n">
        <v>7.5</v>
      </c>
      <c r="P444" s="5" t="n">
        <v>1.088175244729364</v>
      </c>
      <c r="Q444" s="6" t="n">
        <v>0.1488526438182485</v>
      </c>
      <c r="R444" s="6" t="n">
        <v>0.6856056100205676</v>
      </c>
      <c r="S444" s="6" t="n">
        <v>0.5837529372272574</v>
      </c>
      <c r="T444" s="2" t="inlineStr">
        <is>
          <t>Under</t>
        </is>
      </c>
      <c r="U444" s="4" t="n">
        <v>-148</v>
      </c>
      <c r="V444" s="2" t="n">
        <v>1.675675675675676</v>
      </c>
      <c r="W444" s="4" t="n">
        <v>-148</v>
      </c>
      <c r="X444" s="2" t="n">
        <v>1</v>
      </c>
      <c r="Y444" s="5" t="n">
        <v>-1</v>
      </c>
      <c r="Z444" s="7" t="n">
        <v>100</v>
      </c>
      <c r="AA444" s="7">
        <f>Y444*Z444</f>
        <v/>
      </c>
      <c r="AB444" s="6">
        <f>IF(Z444=0,0,AA444/Z444)</f>
        <v/>
      </c>
      <c r="AC444" s="6" t="n"/>
      <c r="AD444" s="2" t="inlineStr">
        <is>
          <t>Loss</t>
        </is>
      </c>
      <c r="AE444" s="6">
        <f>IF((COUNTIF($AD$2:AD444,"Win")+COUNTIF($AD$2:AD444,"Loss"))=0,0,COUNTIF($AD$2:AD444,"Win")/(COUNTIF($AD$2:AD444,"Win")+COUNTIF($AD$2:AD444,"Loss")))</f>
        <v/>
      </c>
      <c r="AF444" s="6">
        <f>SUM($Y$2:Y444)/SUM($X$2:X444)</f>
        <v/>
      </c>
      <c r="AG444" s="5">
        <f>SUM($Y$2:Y444)</f>
        <v/>
      </c>
      <c r="AH444" s="7">
        <f>10000.0+SUM($AA$2:AA444)</f>
        <v/>
      </c>
      <c r="AI444" s="2" t="n">
        <v>2026</v>
      </c>
      <c r="AJ444" s="2" t="inlineStr">
        <is>
          <t>2026-04</t>
        </is>
      </c>
      <c r="AK444" s="2" t="inlineStr">
        <is>
          <t>-149 to -120</t>
        </is>
      </c>
      <c r="AL444" s="2" t="inlineStr">
        <is>
          <t>2026 Frozen Test</t>
        </is>
      </c>
      <c r="AM444" s="6" t="n">
        <v>0.2203019128510078</v>
      </c>
    </row>
    <row r="445">
      <c r="A445" s="2" t="inlineStr">
        <is>
          <t>KPROP-00444</t>
        </is>
      </c>
      <c r="B445" s="3" t="n">
        <v>46113.58725694445</v>
      </c>
      <c r="C445" s="3" t="n">
        <v>46113</v>
      </c>
      <c r="D445" s="2" t="inlineStr">
        <is>
          <t>Mike Burrows</t>
        </is>
      </c>
      <c r="E445" s="2" t="n">
        <v>117</v>
      </c>
      <c r="F445" s="2" t="n">
        <v>111</v>
      </c>
      <c r="G445" s="2" t="inlineStr">
        <is>
          <t>Home</t>
        </is>
      </c>
      <c r="H445" s="2" t="inlineStr">
        <is>
          <t>draftkings</t>
        </is>
      </c>
      <c r="I445" s="4" t="n"/>
      <c r="J445" s="4" t="n"/>
      <c r="K445" s="4" t="n">
        <v>102</v>
      </c>
      <c r="L445" s="4" t="n">
        <v>102</v>
      </c>
      <c r="M445" s="5" t="n">
        <v>5.5</v>
      </c>
      <c r="N445" s="5" t="n">
        <v>4.984961654490398</v>
      </c>
      <c r="O445" s="5" t="n">
        <v>5.5</v>
      </c>
      <c r="P445" s="5" t="n">
        <v>0.5150383455096019</v>
      </c>
      <c r="Q445" s="6" t="n">
        <v>0.2495707351640831</v>
      </c>
      <c r="R445" s="6" t="n">
        <v>0.6185993738436055</v>
      </c>
      <c r="S445" s="6" t="n">
        <v>0.490336094449205</v>
      </c>
      <c r="T445" s="2" t="inlineStr">
        <is>
          <t>Under</t>
        </is>
      </c>
      <c r="U445" s="4" t="n">
        <v>102</v>
      </c>
      <c r="V445" s="2" t="n">
        <v>2.02</v>
      </c>
      <c r="W445" s="4" t="n">
        <v>102</v>
      </c>
      <c r="X445" s="2" t="n">
        <v>1</v>
      </c>
      <c r="Y445" s="5" t="n">
        <v>-1</v>
      </c>
      <c r="Z445" s="7" t="n">
        <v>100</v>
      </c>
      <c r="AA445" s="7">
        <f>Y445*Z445</f>
        <v/>
      </c>
      <c r="AB445" s="6">
        <f>IF(Z445=0,0,AA445/Z445)</f>
        <v/>
      </c>
      <c r="AC445" s="6" t="n"/>
      <c r="AD445" s="2" t="inlineStr">
        <is>
          <t>Loss</t>
        </is>
      </c>
      <c r="AE445" s="6">
        <f>IF((COUNTIF($AD$2:AD445,"Win")+COUNTIF($AD$2:AD445,"Loss"))=0,0,COUNTIF($AD$2:AD445,"Win")/(COUNTIF($AD$2:AD445,"Win")+COUNTIF($AD$2:AD445,"Loss")))</f>
        <v/>
      </c>
      <c r="AF445" s="6">
        <f>SUM($Y$2:Y445)/SUM($X$2:X445)</f>
        <v/>
      </c>
      <c r="AG445" s="5">
        <f>SUM($Y$2:Y445)</f>
        <v/>
      </c>
      <c r="AH445" s="7">
        <f>10000.0+SUM($AA$2:AA445)</f>
        <v/>
      </c>
      <c r="AI445" s="2" t="n">
        <v>2026</v>
      </c>
      <c r="AJ445" s="2" t="inlineStr">
        <is>
          <t>2026-04</t>
        </is>
      </c>
      <c r="AK445" s="2" t="inlineStr">
        <is>
          <t>+100 to +120</t>
        </is>
      </c>
      <c r="AL445" s="2" t="inlineStr">
        <is>
          <t>2026 Frozen Test</t>
        </is>
      </c>
      <c r="AM445" s="6" t="n">
        <v>0.2446771913373364</v>
      </c>
    </row>
    <row r="446">
      <c r="A446" s="2" t="inlineStr">
        <is>
          <t>KPROP-00445</t>
        </is>
      </c>
      <c r="B446" s="3" t="n">
        <v>46113.52474537037</v>
      </c>
      <c r="C446" s="3" t="n">
        <v>46113</v>
      </c>
      <c r="D446" s="2" t="inlineStr">
        <is>
          <t>Nathan Eovaldi</t>
        </is>
      </c>
      <c r="E446" s="2" t="n">
        <v>140</v>
      </c>
      <c r="F446" s="2" t="n">
        <v>110</v>
      </c>
      <c r="G446" s="2" t="inlineStr">
        <is>
          <t>Away</t>
        </is>
      </c>
      <c r="H446" s="2" t="inlineStr">
        <is>
          <t>fanduel</t>
        </is>
      </c>
      <c r="I446" s="4" t="n"/>
      <c r="J446" s="4" t="n"/>
      <c r="K446" s="4" t="n">
        <v>126</v>
      </c>
      <c r="L446" s="4" t="n">
        <v>126</v>
      </c>
      <c r="M446" s="5" t="n">
        <v>5.5</v>
      </c>
      <c r="N446" s="5" t="n">
        <v>5.654478560725251</v>
      </c>
      <c r="O446" s="5" t="n">
        <v>5.5</v>
      </c>
      <c r="P446" s="5" t="n">
        <v>-0.1544785607252512</v>
      </c>
      <c r="Q446" s="6" t="n">
        <v>0.1359731459024668</v>
      </c>
      <c r="R446" s="6" t="n">
        <v>0.502642984912596</v>
      </c>
      <c r="S446" s="6" t="n">
        <v>0.427798149118212</v>
      </c>
      <c r="T446" s="2" t="inlineStr">
        <is>
          <t>Under</t>
        </is>
      </c>
      <c r="U446" s="4" t="n">
        <v>126</v>
      </c>
      <c r="V446" s="2" t="n">
        <v>2.26</v>
      </c>
      <c r="W446" s="4" t="n">
        <v>126</v>
      </c>
      <c r="X446" s="2" t="n">
        <v>1</v>
      </c>
      <c r="Y446" s="5" t="n">
        <v>1.26</v>
      </c>
      <c r="Z446" s="7" t="n">
        <v>100</v>
      </c>
      <c r="AA446" s="7">
        <f>Y446*Z446</f>
        <v/>
      </c>
      <c r="AB446" s="6">
        <f>IF(Z446=0,0,AA446/Z446)</f>
        <v/>
      </c>
      <c r="AC446" s="6" t="n"/>
      <c r="AD446" s="2" t="inlineStr">
        <is>
          <t>Win</t>
        </is>
      </c>
      <c r="AE446" s="6">
        <f>IF((COUNTIF($AD$2:AD446,"Win")+COUNTIF($AD$2:AD446,"Loss"))=0,0,COUNTIF($AD$2:AD446,"Win")/(COUNTIF($AD$2:AD446,"Win")+COUNTIF($AD$2:AD446,"Loss")))</f>
        <v/>
      </c>
      <c r="AF446" s="6">
        <f>SUM($Y$2:Y446)/SUM($X$2:X446)</f>
        <v/>
      </c>
      <c r="AG446" s="5">
        <f>SUM($Y$2:Y446)</f>
        <v/>
      </c>
      <c r="AH446" s="7">
        <f>10000.0+SUM($AA$2:AA446)</f>
        <v/>
      </c>
      <c r="AI446" s="2" t="n">
        <v>2026</v>
      </c>
      <c r="AJ446" s="2" t="inlineStr">
        <is>
          <t>2026-04</t>
        </is>
      </c>
      <c r="AK446" s="2" t="inlineStr">
        <is>
          <t>+121 to +150</t>
        </is>
      </c>
      <c r="AL446" s="2" t="inlineStr">
        <is>
          <t>2026 Frozen Test</t>
        </is>
      </c>
      <c r="AM446" s="6" t="n">
        <v>0.1079151951606879</v>
      </c>
    </row>
    <row r="447">
      <c r="A447" s="2" t="inlineStr">
        <is>
          <t>KPROP-00446</t>
        </is>
      </c>
      <c r="B447" s="3" t="n">
        <v>46113.67057870371</v>
      </c>
      <c r="C447" s="3" t="n">
        <v>46113</v>
      </c>
      <c r="D447" s="2" t="inlineStr">
        <is>
          <t>Nick Pivetta</t>
        </is>
      </c>
      <c r="E447" s="2" t="n">
        <v>135</v>
      </c>
      <c r="F447" s="2" t="n">
        <v>137</v>
      </c>
      <c r="G447" s="2" t="inlineStr">
        <is>
          <t>Home</t>
        </is>
      </c>
      <c r="H447" s="2" t="inlineStr">
        <is>
          <t>bovada</t>
        </is>
      </c>
      <c r="I447" s="4" t="n"/>
      <c r="J447" s="4" t="n"/>
      <c r="K447" s="4" t="n">
        <v>130</v>
      </c>
      <c r="L447" s="4" t="n">
        <v>130</v>
      </c>
      <c r="M447" s="5" t="n">
        <v>5.5</v>
      </c>
      <c r="N447" s="5" t="n">
        <v>4.934997442604558</v>
      </c>
      <c r="O447" s="5" t="n">
        <v>5.5</v>
      </c>
      <c r="P447" s="5" t="n">
        <v>0.5650025573954416</v>
      </c>
      <c r="Q447" s="6" t="n">
        <v>0.4429391914374838</v>
      </c>
      <c r="R447" s="6" t="n">
        <v>0.6273648658423843</v>
      </c>
      <c r="S447" s="6" t="n">
        <v>0.4307974335472044</v>
      </c>
      <c r="T447" s="2" t="inlineStr">
        <is>
          <t>Under</t>
        </is>
      </c>
      <c r="U447" s="4" t="n">
        <v>130</v>
      </c>
      <c r="V447" s="2" t="n">
        <v>2.3</v>
      </c>
      <c r="W447" s="4" t="n">
        <v>130</v>
      </c>
      <c r="X447" s="2" t="n">
        <v>1</v>
      </c>
      <c r="Y447" s="5" t="n">
        <v>-1</v>
      </c>
      <c r="Z447" s="7" t="n">
        <v>100</v>
      </c>
      <c r="AA447" s="7">
        <f>Y447*Z447</f>
        <v/>
      </c>
      <c r="AB447" s="6">
        <f>IF(Z447=0,0,AA447/Z447)</f>
        <v/>
      </c>
      <c r="AC447" s="6" t="n"/>
      <c r="AD447" s="2" t="inlineStr">
        <is>
          <t>Loss</t>
        </is>
      </c>
      <c r="AE447" s="6">
        <f>IF((COUNTIF($AD$2:AD447,"Win")+COUNTIF($AD$2:AD447,"Loss"))=0,0,COUNTIF($AD$2:AD447,"Win")/(COUNTIF($AD$2:AD447,"Win")+COUNTIF($AD$2:AD447,"Loss")))</f>
        <v/>
      </c>
      <c r="AF447" s="6">
        <f>SUM($Y$2:Y447)/SUM($X$2:X447)</f>
        <v/>
      </c>
      <c r="AG447" s="5">
        <f>SUM($Y$2:Y447)</f>
        <v/>
      </c>
      <c r="AH447" s="7">
        <f>10000.0+SUM($AA$2:AA447)</f>
        <v/>
      </c>
      <c r="AI447" s="2" t="n">
        <v>2026</v>
      </c>
      <c r="AJ447" s="2" t="inlineStr">
        <is>
          <t>2026-04</t>
        </is>
      </c>
      <c r="AK447" s="2" t="inlineStr">
        <is>
          <t>+121 to +150</t>
        </is>
      </c>
      <c r="AL447" s="2" t="inlineStr">
        <is>
          <t>2026 Frozen Test</t>
        </is>
      </c>
      <c r="AM447" s="6" t="n">
        <v>0.3407224549519106</v>
      </c>
    </row>
    <row r="448">
      <c r="A448" s="2" t="inlineStr">
        <is>
          <t>KPROP-00447</t>
        </is>
      </c>
      <c r="B448" s="3" t="n">
        <v>46113.67057870371</v>
      </c>
      <c r="C448" s="3" t="n">
        <v>46113</v>
      </c>
      <c r="D448" s="2" t="inlineStr">
        <is>
          <t>Nick Pivetta</t>
        </is>
      </c>
      <c r="E448" s="2" t="n">
        <v>135</v>
      </c>
      <c r="F448" s="2" t="n">
        <v>137</v>
      </c>
      <c r="G448" s="2" t="inlineStr">
        <is>
          <t>Home</t>
        </is>
      </c>
      <c r="H448" s="2" t="inlineStr">
        <is>
          <t>betrivers</t>
        </is>
      </c>
      <c r="I448" s="4" t="n"/>
      <c r="J448" s="4" t="n"/>
      <c r="K448" s="4" t="n">
        <v>-190</v>
      </c>
      <c r="L448" s="4" t="n">
        <v>-190</v>
      </c>
      <c r="M448" s="5" t="n">
        <v>6.5</v>
      </c>
      <c r="N448" s="5" t="n">
        <v>4.934997442604558</v>
      </c>
      <c r="O448" s="5" t="n">
        <v>6.5</v>
      </c>
      <c r="P448" s="5" t="n">
        <v>1.565002557395442</v>
      </c>
      <c r="Q448" s="6" t="n">
        <v>0.1777437282874392</v>
      </c>
      <c r="R448" s="6" t="n">
        <v>0.7716252012917706</v>
      </c>
      <c r="S448" s="6" t="n">
        <v>0.6112600536193029</v>
      </c>
      <c r="T448" s="2" t="inlineStr">
        <is>
          <t>Under</t>
        </is>
      </c>
      <c r="U448" s="4" t="n">
        <v>-190</v>
      </c>
      <c r="V448" s="2" t="n">
        <v>1.526315789473684</v>
      </c>
      <c r="W448" s="4" t="n">
        <v>-190</v>
      </c>
      <c r="X448" s="2" t="n">
        <v>1</v>
      </c>
      <c r="Y448" s="5" t="n">
        <v>-1</v>
      </c>
      <c r="Z448" s="7" t="n">
        <v>100</v>
      </c>
      <c r="AA448" s="7">
        <f>Y448*Z448</f>
        <v/>
      </c>
      <c r="AB448" s="6">
        <f>IF(Z448=0,0,AA448/Z448)</f>
        <v/>
      </c>
      <c r="AC448" s="6" t="n"/>
      <c r="AD448" s="2" t="inlineStr">
        <is>
          <t>Loss</t>
        </is>
      </c>
      <c r="AE448" s="6">
        <f>IF((COUNTIF($AD$2:AD448,"Win")+COUNTIF($AD$2:AD448,"Loss"))=0,0,COUNTIF($AD$2:AD448,"Win")/(COUNTIF($AD$2:AD448,"Win")+COUNTIF($AD$2:AD448,"Loss")))</f>
        <v/>
      </c>
      <c r="AF448" s="6">
        <f>SUM($Y$2:Y448)/SUM($X$2:X448)</f>
        <v/>
      </c>
      <c r="AG448" s="5">
        <f>SUM($Y$2:Y448)</f>
        <v/>
      </c>
      <c r="AH448" s="7">
        <f>10000.0+SUM($AA$2:AA448)</f>
        <v/>
      </c>
      <c r="AI448" s="2" t="n">
        <v>2026</v>
      </c>
      <c r="AJ448" s="2" t="inlineStr">
        <is>
          <t>2026-04</t>
        </is>
      </c>
      <c r="AK448" s="2" t="inlineStr">
        <is>
          <t>&lt;= -150</t>
        </is>
      </c>
      <c r="AL448" s="2" t="inlineStr">
        <is>
          <t>2026 Frozen Test</t>
        </is>
      </c>
      <c r="AM448" s="6" t="n">
        <v>0.3377130837461346</v>
      </c>
    </row>
    <row r="449">
      <c r="A449" s="2" t="inlineStr">
        <is>
          <t>KPROP-00448</t>
        </is>
      </c>
      <c r="B449" s="3" t="n">
        <v>46113.52474537037</v>
      </c>
      <c r="C449" s="3" t="n">
        <v>46113</v>
      </c>
      <c r="D449" s="2" t="inlineStr">
        <is>
          <t>Paul Skenes</t>
        </is>
      </c>
      <c r="E449" s="2" t="n">
        <v>134</v>
      </c>
      <c r="F449" s="2" t="n">
        <v>113</v>
      </c>
      <c r="G449" s="2" t="inlineStr">
        <is>
          <t>Away</t>
        </is>
      </c>
      <c r="H449" s="2" t="inlineStr">
        <is>
          <t>betrivers</t>
        </is>
      </c>
      <c r="I449" s="4" t="n"/>
      <c r="J449" s="4" t="n"/>
      <c r="K449" s="4" t="n">
        <v>140</v>
      </c>
      <c r="L449" s="4" t="n">
        <v>140</v>
      </c>
      <c r="M449" s="5" t="n">
        <v>6.5</v>
      </c>
      <c r="N449" s="5" t="n">
        <v>6.93462371899328</v>
      </c>
      <c r="O449" s="5" t="n">
        <v>6.5</v>
      </c>
      <c r="P449" s="5" t="n">
        <v>-0.4346237189932802</v>
      </c>
      <c r="Q449" s="6" t="n">
        <v>0.1027929795552552</v>
      </c>
      <c r="R449" s="6" t="n">
        <v>0.4594970748146897</v>
      </c>
      <c r="S449" s="6" t="n">
        <v>0.388739946380697</v>
      </c>
      <c r="T449" s="2" t="inlineStr">
        <is>
          <t>Under</t>
        </is>
      </c>
      <c r="U449" s="4" t="n">
        <v>140</v>
      </c>
      <c r="V449" s="2" t="n">
        <v>2.4</v>
      </c>
      <c r="W449" s="4" t="n">
        <v>140</v>
      </c>
      <c r="X449" s="2" t="n">
        <v>1</v>
      </c>
      <c r="Y449" s="5" t="n">
        <v>1.4</v>
      </c>
      <c r="Z449" s="7" t="n">
        <v>100</v>
      </c>
      <c r="AA449" s="7">
        <f>Y449*Z449</f>
        <v/>
      </c>
      <c r="AB449" s="6">
        <f>IF(Z449=0,0,AA449/Z449)</f>
        <v/>
      </c>
      <c r="AC449" s="6" t="n"/>
      <c r="AD449" s="2" t="inlineStr">
        <is>
          <t>Win</t>
        </is>
      </c>
      <c r="AE449" s="6">
        <f>IF((COUNTIF($AD$2:AD449,"Win")+COUNTIF($AD$2:AD449,"Loss"))=0,0,COUNTIF($AD$2:AD449,"Win")/(COUNTIF($AD$2:AD449,"Win")+COUNTIF($AD$2:AD449,"Loss")))</f>
        <v/>
      </c>
      <c r="AF449" s="6">
        <f>SUM($Y$2:Y449)/SUM($X$2:X449)</f>
        <v/>
      </c>
      <c r="AG449" s="5">
        <f>SUM($Y$2:Y449)</f>
        <v/>
      </c>
      <c r="AH449" s="7">
        <f>10000.0+SUM($AA$2:AA449)</f>
        <v/>
      </c>
      <c r="AI449" s="2" t="n">
        <v>2026</v>
      </c>
      <c r="AJ449" s="2" t="inlineStr">
        <is>
          <t>2026-04</t>
        </is>
      </c>
      <c r="AK449" s="2" t="inlineStr">
        <is>
          <t>+121 to +150</t>
        </is>
      </c>
      <c r="AL449" s="2" t="inlineStr">
        <is>
          <t>2026 Frozen Test</t>
        </is>
      </c>
      <c r="AM449" s="6" t="n">
        <v>0.07342355682518231</v>
      </c>
    </row>
    <row r="450">
      <c r="A450" s="2" t="inlineStr">
        <is>
          <t>KPROP-00449</t>
        </is>
      </c>
      <c r="B450" s="3" t="n">
        <v>46113.52474537037</v>
      </c>
      <c r="C450" s="3" t="n">
        <v>46113</v>
      </c>
      <c r="D450" s="2" t="inlineStr">
        <is>
          <t>Paul Skenes</t>
        </is>
      </c>
      <c r="E450" s="2" t="n">
        <v>134</v>
      </c>
      <c r="F450" s="2" t="n">
        <v>113</v>
      </c>
      <c r="G450" s="2" t="inlineStr">
        <is>
          <t>Away</t>
        </is>
      </c>
      <c r="H450" s="2" t="inlineStr">
        <is>
          <t>betmgm</t>
        </is>
      </c>
      <c r="I450" s="4" t="n"/>
      <c r="J450" s="4" t="n"/>
      <c r="K450" s="4" t="n">
        <v>-120</v>
      </c>
      <c r="L450" s="4" t="n">
        <v>-120</v>
      </c>
      <c r="M450" s="5" t="n">
        <v>7.5</v>
      </c>
      <c r="N450" s="5" t="n">
        <v>6.93462371899328</v>
      </c>
      <c r="O450" s="5" t="n">
        <v>7.5</v>
      </c>
      <c r="P450" s="5" t="n">
        <v>0.5653762810067198</v>
      </c>
      <c r="Q450" s="6" t="n">
        <v>0.1154991599637157</v>
      </c>
      <c r="R450" s="6" t="n">
        <v>0.6084540872529358</v>
      </c>
      <c r="S450" s="6" t="n">
        <v>0.5242214532871973</v>
      </c>
      <c r="T450" s="2" t="inlineStr">
        <is>
          <t>Under</t>
        </is>
      </c>
      <c r="U450" s="4" t="n">
        <v>-120</v>
      </c>
      <c r="V450" s="2" t="n">
        <v>1.833333333333333</v>
      </c>
      <c r="W450" s="4" t="n">
        <v>-120</v>
      </c>
      <c r="X450" s="2" t="n">
        <v>1</v>
      </c>
      <c r="Y450" s="5" t="n">
        <v>0.8333333333333335</v>
      </c>
      <c r="Z450" s="7" t="n">
        <v>100</v>
      </c>
      <c r="AA450" s="7">
        <f>Y450*Z450</f>
        <v/>
      </c>
      <c r="AB450" s="6">
        <f>IF(Z450=0,0,AA450/Z450)</f>
        <v/>
      </c>
      <c r="AC450" s="6" t="n"/>
      <c r="AD450" s="2" t="inlineStr">
        <is>
          <t>Win</t>
        </is>
      </c>
      <c r="AE450" s="6">
        <f>IF((COUNTIF($AD$2:AD450,"Win")+COUNTIF($AD$2:AD450,"Loss"))=0,0,COUNTIF($AD$2:AD450,"Win")/(COUNTIF($AD$2:AD450,"Win")+COUNTIF($AD$2:AD450,"Loss")))</f>
        <v/>
      </c>
      <c r="AF450" s="6">
        <f>SUM($Y$2:Y450)/SUM($X$2:X450)</f>
        <v/>
      </c>
      <c r="AG450" s="5">
        <f>SUM($Y$2:Y450)</f>
        <v/>
      </c>
      <c r="AH450" s="7">
        <f>10000.0+SUM($AA$2:AA450)</f>
        <v/>
      </c>
      <c r="AI450" s="2" t="n">
        <v>2026</v>
      </c>
      <c r="AJ450" s="2" t="inlineStr">
        <is>
          <t>2026-04</t>
        </is>
      </c>
      <c r="AK450" s="2" t="inlineStr">
        <is>
          <t>-149 to -120</t>
        </is>
      </c>
      <c r="AL450" s="2" t="inlineStr">
        <is>
          <t>2026 Frozen Test</t>
        </is>
      </c>
      <c r="AM450" s="6" t="n">
        <v>0.1385989919564589</v>
      </c>
    </row>
    <row r="451">
      <c r="A451" s="2" t="inlineStr">
        <is>
          <t>KPROP-00450</t>
        </is>
      </c>
      <c r="B451" s="3" t="n">
        <v>46113.65321759259</v>
      </c>
      <c r="C451" s="3" t="n">
        <v>46113</v>
      </c>
      <c r="D451" s="2" t="inlineStr">
        <is>
          <t>Tarik Skubal</t>
        </is>
      </c>
      <c r="E451" s="2" t="n">
        <v>116</v>
      </c>
      <c r="F451" s="2" t="n">
        <v>109</v>
      </c>
      <c r="G451" s="2" t="inlineStr">
        <is>
          <t>Away</t>
        </is>
      </c>
      <c r="H451" s="2" t="inlineStr">
        <is>
          <t>bovada</t>
        </is>
      </c>
      <c r="I451" s="4" t="n"/>
      <c r="J451" s="4" t="n"/>
      <c r="K451" s="4" t="n">
        <v>110</v>
      </c>
      <c r="L451" s="4" t="n">
        <v>110</v>
      </c>
      <c r="M451" s="5" t="n">
        <v>6.5</v>
      </c>
      <c r="N451" s="5" t="n">
        <v>5.836025580477192</v>
      </c>
      <c r="O451" s="5" t="n">
        <v>6.5</v>
      </c>
      <c r="P451" s="5" t="n">
        <v>0.6639744195228081</v>
      </c>
      <c r="Q451" s="6" t="n">
        <v>0.3285039692271137</v>
      </c>
      <c r="R451" s="6" t="n">
        <v>0.632620937727197</v>
      </c>
      <c r="S451" s="6" t="n">
        <v>0.449438202247191</v>
      </c>
      <c r="T451" s="2" t="inlineStr">
        <is>
          <t>Under</t>
        </is>
      </c>
      <c r="U451" s="4" t="n">
        <v>110</v>
      </c>
      <c r="V451" s="2" t="n">
        <v>2.1</v>
      </c>
      <c r="W451" s="4" t="n">
        <v>110</v>
      </c>
      <c r="X451" s="2" t="n">
        <v>1</v>
      </c>
      <c r="Y451" s="5" t="n">
        <v>1.1</v>
      </c>
      <c r="Z451" s="7" t="n">
        <v>100</v>
      </c>
      <c r="AA451" s="7">
        <f>Y451*Z451</f>
        <v/>
      </c>
      <c r="AB451" s="6">
        <f>IF(Z451=0,0,AA451/Z451)</f>
        <v/>
      </c>
      <c r="AC451" s="6" t="n"/>
      <c r="AD451" s="2" t="inlineStr">
        <is>
          <t>Win</t>
        </is>
      </c>
      <c r="AE451" s="6">
        <f>IF((COUNTIF($AD$2:AD451,"Win")+COUNTIF($AD$2:AD451,"Loss"))=0,0,COUNTIF($AD$2:AD451,"Win")/(COUNTIF($AD$2:AD451,"Win")+COUNTIF($AD$2:AD451,"Loss")))</f>
        <v/>
      </c>
      <c r="AF451" s="6">
        <f>SUM($Y$2:Y451)/SUM($X$2:X451)</f>
        <v/>
      </c>
      <c r="AG451" s="5">
        <f>SUM($Y$2:Y451)</f>
        <v/>
      </c>
      <c r="AH451" s="7">
        <f>10000.0+SUM($AA$2:AA451)</f>
        <v/>
      </c>
      <c r="AI451" s="2" t="n">
        <v>2026</v>
      </c>
      <c r="AJ451" s="2" t="inlineStr">
        <is>
          <t>2026-04</t>
        </is>
      </c>
      <c r="AK451" s="2" t="inlineStr">
        <is>
          <t>+100 to +120</t>
        </is>
      </c>
      <c r="AL451" s="2" t="inlineStr">
        <is>
          <t>2026 Frozen Test</t>
        </is>
      </c>
      <c r="AM451" s="6" t="n">
        <v>0.2986399720246488</v>
      </c>
    </row>
    <row r="452">
      <c r="A452" s="2" t="inlineStr">
        <is>
          <t>KPROP-00451</t>
        </is>
      </c>
      <c r="B452" s="3" t="n">
        <v>46113.65321759259</v>
      </c>
      <c r="C452" s="3" t="n">
        <v>46113</v>
      </c>
      <c r="D452" s="2" t="inlineStr">
        <is>
          <t>Tarik Skubal</t>
        </is>
      </c>
      <c r="E452" s="2" t="n">
        <v>116</v>
      </c>
      <c r="F452" s="2" t="n">
        <v>109</v>
      </c>
      <c r="G452" s="2" t="inlineStr">
        <is>
          <t>Away</t>
        </is>
      </c>
      <c r="H452" s="2" t="inlineStr">
        <is>
          <t>draftkings</t>
        </is>
      </c>
      <c r="I452" s="4" t="n"/>
      <c r="J452" s="4" t="n"/>
      <c r="K452" s="4" t="n">
        <v>-137</v>
      </c>
      <c r="L452" s="4" t="n">
        <v>-137</v>
      </c>
      <c r="M452" s="5" t="n">
        <v>7.5</v>
      </c>
      <c r="N452" s="5" t="n">
        <v>5.836025580477192</v>
      </c>
      <c r="O452" s="5" t="n">
        <v>7.5</v>
      </c>
      <c r="P452" s="5" t="n">
        <v>1.663974419522808</v>
      </c>
      <c r="Q452" s="6" t="n">
        <v>0.325522050395525</v>
      </c>
      <c r="R452" s="6" t="n">
        <v>0.7662300460092275</v>
      </c>
      <c r="S452" s="6" t="n">
        <v>0.5811240721102863</v>
      </c>
      <c r="T452" s="2" t="inlineStr">
        <is>
          <t>Under</t>
        </is>
      </c>
      <c r="U452" s="4" t="n">
        <v>-137</v>
      </c>
      <c r="V452" s="2" t="n">
        <v>1.72992700729927</v>
      </c>
      <c r="W452" s="4" t="n">
        <v>-137</v>
      </c>
      <c r="X452" s="2" t="n">
        <v>1</v>
      </c>
      <c r="Y452" s="5" t="n">
        <v>0.7299270072992701</v>
      </c>
      <c r="Z452" s="7" t="n">
        <v>100</v>
      </c>
      <c r="AA452" s="7">
        <f>Y452*Z452</f>
        <v/>
      </c>
      <c r="AB452" s="6">
        <f>IF(Z452=0,0,AA452/Z452)</f>
        <v/>
      </c>
      <c r="AC452" s="6" t="n"/>
      <c r="AD452" s="2" t="inlineStr">
        <is>
          <t>Win</t>
        </is>
      </c>
      <c r="AE452" s="6">
        <f>IF((COUNTIF($AD$2:AD452,"Win")+COUNTIF($AD$2:AD452,"Loss"))=0,0,COUNTIF($AD$2:AD452,"Win")/(COUNTIF($AD$2:AD452,"Win")+COUNTIF($AD$2:AD452,"Loss")))</f>
        <v/>
      </c>
      <c r="AF452" s="6">
        <f>SUM($Y$2:Y452)/SUM($X$2:X452)</f>
        <v/>
      </c>
      <c r="AG452" s="5">
        <f>SUM($Y$2:Y452)</f>
        <v/>
      </c>
      <c r="AH452" s="7">
        <f>10000.0+SUM($AA$2:AA452)</f>
        <v/>
      </c>
      <c r="AI452" s="2" t="n">
        <v>2026</v>
      </c>
      <c r="AJ452" s="2" t="inlineStr">
        <is>
          <t>2026-04</t>
        </is>
      </c>
      <c r="AK452" s="2" t="inlineStr">
        <is>
          <t>-149 to -120</t>
        </is>
      </c>
      <c r="AL452" s="2" t="inlineStr">
        <is>
          <t>2026 Frozen Test</t>
        </is>
      </c>
      <c r="AM452" s="6" t="n">
        <v>0.4459652090418692</v>
      </c>
    </row>
    <row r="453">
      <c r="A453" s="2" t="inlineStr">
        <is>
          <t>KPROP-00452</t>
        </is>
      </c>
      <c r="B453" s="3" t="n">
        <v>46113.59418981482</v>
      </c>
      <c r="C453" s="3" t="n">
        <v>46113</v>
      </c>
      <c r="D453" s="2" t="inlineStr">
        <is>
          <t>Yusei Kikuchi</t>
        </is>
      </c>
      <c r="E453" s="2" t="n">
        <v>108</v>
      </c>
      <c r="F453" s="2" t="n">
        <v>112</v>
      </c>
      <c r="G453" s="2" t="inlineStr">
        <is>
          <t>Away</t>
        </is>
      </c>
      <c r="H453" s="2" t="inlineStr">
        <is>
          <t>betmgm</t>
        </is>
      </c>
      <c r="I453" s="4" t="n"/>
      <c r="J453" s="4" t="n"/>
      <c r="K453" s="4" t="n">
        <v>120</v>
      </c>
      <c r="L453" s="4" t="n">
        <v>120</v>
      </c>
      <c r="M453" s="5" t="n">
        <v>4.5</v>
      </c>
      <c r="N453" s="5" t="n">
        <v>4.438645568562416</v>
      </c>
      <c r="O453" s="5" t="n">
        <v>4.5</v>
      </c>
      <c r="P453" s="5" t="n">
        <v>0.06135443143758401</v>
      </c>
      <c r="Q453" s="6" t="n">
        <v>0.1963323672915608</v>
      </c>
      <c r="R453" s="6" t="n">
        <v>0.5437874396779822</v>
      </c>
      <c r="S453" s="6" t="n">
        <v>0.4545454545454545</v>
      </c>
      <c r="T453" s="2" t="inlineStr">
        <is>
          <t>Under</t>
        </is>
      </c>
      <c r="U453" s="4" t="n">
        <v>120</v>
      </c>
      <c r="V453" s="2" t="n">
        <v>2.2</v>
      </c>
      <c r="W453" s="4" t="n">
        <v>120</v>
      </c>
      <c r="X453" s="2" t="n">
        <v>1</v>
      </c>
      <c r="Y453" s="5" t="n">
        <v>-1</v>
      </c>
      <c r="Z453" s="7" t="n">
        <v>100</v>
      </c>
      <c r="AA453" s="7">
        <f>Y453*Z453</f>
        <v/>
      </c>
      <c r="AB453" s="6">
        <f>IF(Z453=0,0,AA453/Z453)</f>
        <v/>
      </c>
      <c r="AC453" s="6" t="n"/>
      <c r="AD453" s="2" t="inlineStr">
        <is>
          <t>Loss</t>
        </is>
      </c>
      <c r="AE453" s="6">
        <f>IF((COUNTIF($AD$2:AD453,"Win")+COUNTIF($AD$2:AD453,"Loss"))=0,0,COUNTIF($AD$2:AD453,"Win")/(COUNTIF($AD$2:AD453,"Win")+COUNTIF($AD$2:AD453,"Loss")))</f>
        <v/>
      </c>
      <c r="AF453" s="6">
        <f>SUM($Y$2:Y453)/SUM($X$2:X453)</f>
        <v/>
      </c>
      <c r="AG453" s="5">
        <f>SUM($Y$2:Y453)</f>
        <v/>
      </c>
      <c r="AH453" s="7">
        <f>10000.0+SUM($AA$2:AA453)</f>
        <v/>
      </c>
      <c r="AI453" s="2" t="n">
        <v>2026</v>
      </c>
      <c r="AJ453" s="2" t="inlineStr">
        <is>
          <t>2026-04</t>
        </is>
      </c>
      <c r="AK453" s="2" t="inlineStr">
        <is>
          <t>+100 to +120</t>
        </is>
      </c>
      <c r="AL453" s="2" t="inlineStr">
        <is>
          <t>2026 Frozen Test</t>
        </is>
      </c>
      <c r="AM453" s="6" t="n">
        <v>0.1636103060763006</v>
      </c>
    </row>
    <row r="454">
      <c r="A454" s="2" t="inlineStr">
        <is>
          <t>KPROP-00453</t>
        </is>
      </c>
      <c r="B454" s="3" t="n">
        <v>46113.65321759259</v>
      </c>
      <c r="C454" s="3" t="n">
        <v>46113</v>
      </c>
      <c r="D454" s="2" t="inlineStr">
        <is>
          <t>Zac Gallen</t>
        </is>
      </c>
      <c r="E454" s="2" t="n">
        <v>109</v>
      </c>
      <c r="F454" s="2" t="n">
        <v>116</v>
      </c>
      <c r="G454" s="2" t="inlineStr">
        <is>
          <t>Home</t>
        </is>
      </c>
      <c r="H454" s="2" t="inlineStr">
        <is>
          <t>fanduel</t>
        </is>
      </c>
      <c r="I454" s="4" t="n"/>
      <c r="J454" s="4" t="n"/>
      <c r="K454" s="4" t="n">
        <v>112</v>
      </c>
      <c r="L454" s="4" t="n">
        <v>112</v>
      </c>
      <c r="M454" s="5" t="n">
        <v>5.5</v>
      </c>
      <c r="N454" s="5" t="n">
        <v>5.111385202005621</v>
      </c>
      <c r="O454" s="5" t="n">
        <v>5.5</v>
      </c>
      <c r="P454" s="5" t="n">
        <v>0.3886147979943795</v>
      </c>
      <c r="Q454" s="6" t="n">
        <v>0.2644192559798024</v>
      </c>
      <c r="R454" s="6" t="n">
        <v>0.5964241773489634</v>
      </c>
      <c r="S454" s="6" t="n">
        <v>0.4516676961087092</v>
      </c>
      <c r="T454" s="2" t="inlineStr">
        <is>
          <t>Under</t>
        </is>
      </c>
      <c r="U454" s="4" t="n">
        <v>112</v>
      </c>
      <c r="V454" s="2" t="n">
        <v>2.12</v>
      </c>
      <c r="W454" s="4" t="n">
        <v>112</v>
      </c>
      <c r="X454" s="2" t="n">
        <v>1</v>
      </c>
      <c r="Y454" s="5" t="n">
        <v>1.12</v>
      </c>
      <c r="Z454" s="7" t="n">
        <v>100</v>
      </c>
      <c r="AA454" s="7">
        <f>Y454*Z454</f>
        <v/>
      </c>
      <c r="AB454" s="6">
        <f>IF(Z454=0,0,AA454/Z454)</f>
        <v/>
      </c>
      <c r="AC454" s="6" t="n"/>
      <c r="AD454" s="2" t="inlineStr">
        <is>
          <t>Win</t>
        </is>
      </c>
      <c r="AE454" s="6">
        <f>IF((COUNTIF($AD$2:AD454,"Win")+COUNTIF($AD$2:AD454,"Loss"))=0,0,COUNTIF($AD$2:AD454,"Win")/(COUNTIF($AD$2:AD454,"Win")+COUNTIF($AD$2:AD454,"Loss")))</f>
        <v/>
      </c>
      <c r="AF454" s="6">
        <f>SUM($Y$2:Y454)/SUM($X$2:X454)</f>
        <v/>
      </c>
      <c r="AG454" s="5">
        <f>SUM($Y$2:Y454)</f>
        <v/>
      </c>
      <c r="AH454" s="7">
        <f>10000.0+SUM($AA$2:AA454)</f>
        <v/>
      </c>
      <c r="AI454" s="2" t="n">
        <v>2026</v>
      </c>
      <c r="AJ454" s="2" t="inlineStr">
        <is>
          <t>2026-04</t>
        </is>
      </c>
      <c r="AK454" s="2" t="inlineStr">
        <is>
          <t>+100 to +120</t>
        </is>
      </c>
      <c r="AL454" s="2" t="inlineStr">
        <is>
          <t>2026 Frozen Test</t>
        </is>
      </c>
      <c r="AM454" s="6" t="n">
        <v>0.2360886214105379</v>
      </c>
    </row>
    <row r="455">
      <c r="A455" s="2" t="inlineStr">
        <is>
          <t>KPROP-00454</t>
        </is>
      </c>
      <c r="B455" s="3" t="n">
        <v>46114.58724537037</v>
      </c>
      <c r="C455" s="3" t="n">
        <v>46114</v>
      </c>
      <c r="D455" s="2" t="inlineStr">
        <is>
          <t>Cole Ragans</t>
        </is>
      </c>
      <c r="E455" s="2" t="n">
        <v>118</v>
      </c>
      <c r="F455" s="2" t="n">
        <v>142</v>
      </c>
      <c r="G455" s="2" t="inlineStr">
        <is>
          <t>Home</t>
        </is>
      </c>
      <c r="H455" s="2" t="inlineStr">
        <is>
          <t>betmgm</t>
        </is>
      </c>
      <c r="I455" s="4" t="n"/>
      <c r="J455" s="4" t="n"/>
      <c r="K455" s="4" t="n">
        <v>130</v>
      </c>
      <c r="L455" s="4" t="n">
        <v>130</v>
      </c>
      <c r="M455" s="5" t="n">
        <v>6.5</v>
      </c>
      <c r="N455" s="5" t="n">
        <v>6.268911092784728</v>
      </c>
      <c r="O455" s="5" t="n">
        <v>6.5</v>
      </c>
      <c r="P455" s="5" t="n">
        <v>0.2310889072152724</v>
      </c>
      <c r="Q455" s="6" t="n">
        <v>0.2953465629667943</v>
      </c>
      <c r="R455" s="6" t="n">
        <v>0.5631941578116497</v>
      </c>
      <c r="S455" s="6" t="n">
        <v>0.4059040590405904</v>
      </c>
      <c r="T455" s="2" t="inlineStr">
        <is>
          <t>Under</t>
        </is>
      </c>
      <c r="U455" s="4" t="n">
        <v>130</v>
      </c>
      <c r="V455" s="2" t="n">
        <v>2.3</v>
      </c>
      <c r="W455" s="4" t="n">
        <v>130</v>
      </c>
      <c r="X455" s="2" t="n">
        <v>1</v>
      </c>
      <c r="Y455" s="5" t="n">
        <v>-1</v>
      </c>
      <c r="Z455" s="7" t="n">
        <v>100</v>
      </c>
      <c r="AA455" s="7">
        <f>Y455*Z455</f>
        <v/>
      </c>
      <c r="AB455" s="6">
        <f>IF(Z455=0,0,AA455/Z455)</f>
        <v/>
      </c>
      <c r="AC455" s="6" t="n"/>
      <c r="AD455" s="2" t="inlineStr">
        <is>
          <t>Loss</t>
        </is>
      </c>
      <c r="AE455" s="6">
        <f>IF((COUNTIF($AD$2:AD455,"Win")+COUNTIF($AD$2:AD455,"Loss"))=0,0,COUNTIF($AD$2:AD455,"Win")/(COUNTIF($AD$2:AD455,"Win")+COUNTIF($AD$2:AD455,"Loss")))</f>
        <v/>
      </c>
      <c r="AF455" s="6">
        <f>SUM($Y$2:Y455)/SUM($X$2:X455)</f>
        <v/>
      </c>
      <c r="AG455" s="5">
        <f>SUM($Y$2:Y455)</f>
        <v/>
      </c>
      <c r="AH455" s="7">
        <f>10000.0+SUM($AA$2:AA455)</f>
        <v/>
      </c>
      <c r="AI455" s="2" t="n">
        <v>2026</v>
      </c>
      <c r="AJ455" s="2" t="inlineStr">
        <is>
          <t>2026-04</t>
        </is>
      </c>
      <c r="AK455" s="2" t="inlineStr">
        <is>
          <t>+121 to +150</t>
        </is>
      </c>
      <c r="AL455" s="2" t="inlineStr">
        <is>
          <t>2026 Frozen Test</t>
        </is>
      </c>
      <c r="AM455" s="6" t="n">
        <v>0.227189663820611</v>
      </c>
    </row>
    <row r="456">
      <c r="A456" s="2" t="inlineStr">
        <is>
          <t>KPROP-00455</t>
        </is>
      </c>
      <c r="B456" s="3" t="n">
        <v>46114.58724537037</v>
      </c>
      <c r="C456" s="3" t="n">
        <v>46114</v>
      </c>
      <c r="D456" s="2" t="inlineStr">
        <is>
          <t>Cole Ragans</t>
        </is>
      </c>
      <c r="E456" s="2" t="n">
        <v>118</v>
      </c>
      <c r="F456" s="2" t="n">
        <v>142</v>
      </c>
      <c r="G456" s="2" t="inlineStr">
        <is>
          <t>Home</t>
        </is>
      </c>
      <c r="H456" s="2" t="inlineStr">
        <is>
          <t>draftkings</t>
        </is>
      </c>
      <c r="I456" s="4" t="n"/>
      <c r="J456" s="4" t="n"/>
      <c r="K456" s="4" t="n">
        <v>-133</v>
      </c>
      <c r="L456" s="4" t="n">
        <v>-133</v>
      </c>
      <c r="M456" s="5" t="n">
        <v>7.5</v>
      </c>
      <c r="N456" s="5" t="n">
        <v>6.268911092784728</v>
      </c>
      <c r="O456" s="5" t="n">
        <v>7.5</v>
      </c>
      <c r="P456" s="5" t="n">
        <v>1.231088907215272</v>
      </c>
      <c r="Q456" s="6" t="n">
        <v>0.2371814601963656</v>
      </c>
      <c r="R456" s="6" t="n">
        <v>0.7062022927301143</v>
      </c>
      <c r="S456" s="6" t="n">
        <v>0.5544421922209049</v>
      </c>
      <c r="T456" s="2" t="inlineStr">
        <is>
          <t>Under</t>
        </is>
      </c>
      <c r="U456" s="4" t="n">
        <v>-133</v>
      </c>
      <c r="V456" s="2" t="n">
        <v>1.75187969924812</v>
      </c>
      <c r="W456" s="4" t="n">
        <v>-133</v>
      </c>
      <c r="X456" s="2" t="n">
        <v>1</v>
      </c>
      <c r="Y456" s="5" t="n">
        <v>-1</v>
      </c>
      <c r="Z456" s="7" t="n">
        <v>100</v>
      </c>
      <c r="AA456" s="7">
        <f>Y456*Z456</f>
        <v/>
      </c>
      <c r="AB456" s="6">
        <f>IF(Z456=0,0,AA456/Z456)</f>
        <v/>
      </c>
      <c r="AC456" s="6" t="n"/>
      <c r="AD456" s="2" t="inlineStr">
        <is>
          <t>Loss</t>
        </is>
      </c>
      <c r="AE456" s="6">
        <f>IF((COUNTIF($AD$2:AD456,"Win")+COUNTIF($AD$2:AD456,"Loss"))=0,0,COUNTIF($AD$2:AD456,"Win")/(COUNTIF($AD$2:AD456,"Win")+COUNTIF($AD$2:AD456,"Loss")))</f>
        <v/>
      </c>
      <c r="AF456" s="6">
        <f>SUM($Y$2:Y456)/SUM($X$2:X456)</f>
        <v/>
      </c>
      <c r="AG456" s="5">
        <f>SUM($Y$2:Y456)</f>
        <v/>
      </c>
      <c r="AH456" s="7">
        <f>10000.0+SUM($AA$2:AA456)</f>
        <v/>
      </c>
      <c r="AI456" s="2" t="n">
        <v>2026</v>
      </c>
      <c r="AJ456" s="2" t="inlineStr">
        <is>
          <t>2026-04</t>
        </is>
      </c>
      <c r="AK456" s="2" t="inlineStr">
        <is>
          <t>-149 to -120</t>
        </is>
      </c>
      <c r="AL456" s="2" t="inlineStr">
        <is>
          <t>2026 Frozen Test</t>
        </is>
      </c>
      <c r="AM456" s="6" t="n">
        <v>0.3154513420611662</v>
      </c>
    </row>
    <row r="457">
      <c r="A457" s="2" t="inlineStr">
        <is>
          <t>KPROP-00456</t>
        </is>
      </c>
      <c r="B457" s="3" t="n">
        <v>46115.66733796296</v>
      </c>
      <c r="C457" s="3" t="n">
        <v>46115</v>
      </c>
      <c r="D457" s="2" t="inlineStr">
        <is>
          <t>Brady Singer</t>
        </is>
      </c>
      <c r="E457" s="2" t="n">
        <v>113</v>
      </c>
      <c r="F457" s="2" t="n">
        <v>140</v>
      </c>
      <c r="G457" s="2" t="inlineStr">
        <is>
          <t>Away</t>
        </is>
      </c>
      <c r="H457" s="2" t="inlineStr">
        <is>
          <t>draftkings</t>
        </is>
      </c>
      <c r="I457" s="4" t="n"/>
      <c r="J457" s="4" t="n"/>
      <c r="K457" s="4" t="n">
        <v>127</v>
      </c>
      <c r="L457" s="4" t="n">
        <v>127</v>
      </c>
      <c r="M457" s="5" t="n">
        <v>4.5</v>
      </c>
      <c r="N457" s="5" t="n">
        <v>4.564735858728438</v>
      </c>
      <c r="O457" s="5" t="n">
        <v>4.5</v>
      </c>
      <c r="P457" s="5" t="n">
        <v>-0.06473585872843834</v>
      </c>
      <c r="Q457" s="6" t="n">
        <v>0.1800866853170718</v>
      </c>
      <c r="R457" s="6" t="n">
        <v>0.5198619759106043</v>
      </c>
      <c r="S457" s="6" t="n">
        <v>0.4302617425600573</v>
      </c>
      <c r="T457" s="2" t="inlineStr">
        <is>
          <t>Under</t>
        </is>
      </c>
      <c r="U457" s="4" t="n">
        <v>127</v>
      </c>
      <c r="V457" s="2" t="n">
        <v>2.27</v>
      </c>
      <c r="W457" s="4" t="n">
        <v>127</v>
      </c>
      <c r="X457" s="2" t="n">
        <v>1</v>
      </c>
      <c r="Y457" s="5" t="n">
        <v>-1</v>
      </c>
      <c r="Z457" s="7" t="n">
        <v>100</v>
      </c>
      <c r="AA457" s="7">
        <f>Y457*Z457</f>
        <v/>
      </c>
      <c r="AB457" s="6">
        <f>IF(Z457=0,0,AA457/Z457)</f>
        <v/>
      </c>
      <c r="AC457" s="6" t="n"/>
      <c r="AD457" s="2" t="inlineStr">
        <is>
          <t>Loss</t>
        </is>
      </c>
      <c r="AE457" s="6">
        <f>IF((COUNTIF($AD$2:AD457,"Win")+COUNTIF($AD$2:AD457,"Loss"))=0,0,COUNTIF($AD$2:AD457,"Win")/(COUNTIF($AD$2:AD457,"Win")+COUNTIF($AD$2:AD457,"Loss")))</f>
        <v/>
      </c>
      <c r="AF457" s="6">
        <f>SUM($Y$2:Y457)/SUM($X$2:X457)</f>
        <v/>
      </c>
      <c r="AG457" s="5">
        <f>SUM($Y$2:Y457)</f>
        <v/>
      </c>
      <c r="AH457" s="7">
        <f>10000.0+SUM($AA$2:AA457)</f>
        <v/>
      </c>
      <c r="AI457" s="2" t="n">
        <v>2026</v>
      </c>
      <c r="AJ457" s="2" t="inlineStr">
        <is>
          <t>2026-04</t>
        </is>
      </c>
      <c r="AK457" s="2" t="inlineStr">
        <is>
          <t>+121 to +150</t>
        </is>
      </c>
      <c r="AL457" s="2" t="inlineStr">
        <is>
          <t>2026 Frozen Test</t>
        </is>
      </c>
      <c r="AM457" s="6" t="n">
        <v>0.1418005396197416</v>
      </c>
    </row>
    <row r="458">
      <c r="A458" s="2" t="inlineStr">
        <is>
          <t>KPROP-00457</t>
        </is>
      </c>
      <c r="B458" s="3" t="n">
        <v>46115.66733796296</v>
      </c>
      <c r="C458" s="3" t="n">
        <v>46115</v>
      </c>
      <c r="D458" s="2" t="inlineStr">
        <is>
          <t>Brady Singer</t>
        </is>
      </c>
      <c r="E458" s="2" t="n">
        <v>113</v>
      </c>
      <c r="F458" s="2" t="n">
        <v>140</v>
      </c>
      <c r="G458" s="2" t="inlineStr">
        <is>
          <t>Away</t>
        </is>
      </c>
      <c r="H458" s="2" t="inlineStr">
        <is>
          <t>fanduel</t>
        </is>
      </c>
      <c r="I458" s="4" t="n"/>
      <c r="J458" s="4" t="n"/>
      <c r="K458" s="4" t="n">
        <v>-158</v>
      </c>
      <c r="L458" s="4" t="n">
        <v>-158</v>
      </c>
      <c r="M458" s="5" t="n">
        <v>5.5</v>
      </c>
      <c r="N458" s="5" t="n">
        <v>4.564735858728438</v>
      </c>
      <c r="O458" s="5" t="n">
        <v>5.5</v>
      </c>
      <c r="P458" s="5" t="n">
        <v>0.9352641412715617</v>
      </c>
      <c r="Q458" s="6" t="n">
        <v>0.1297033717416642</v>
      </c>
      <c r="R458" s="6" t="n">
        <v>0.6918338478107866</v>
      </c>
      <c r="S458" s="6" t="n">
        <v>0.5848084969423882</v>
      </c>
      <c r="T458" s="2" t="inlineStr">
        <is>
          <t>Under</t>
        </is>
      </c>
      <c r="U458" s="4" t="n">
        <v>-158</v>
      </c>
      <c r="V458" s="2" t="n">
        <v>1.632911392405063</v>
      </c>
      <c r="W458" s="4" t="n">
        <v>-158</v>
      </c>
      <c r="X458" s="2" t="n">
        <v>1</v>
      </c>
      <c r="Y458" s="5" t="n">
        <v>0.6329113924050633</v>
      </c>
      <c r="Z458" s="7" t="n">
        <v>100</v>
      </c>
      <c r="AA458" s="7">
        <f>Y458*Z458</f>
        <v/>
      </c>
      <c r="AB458" s="6">
        <f>IF(Z458=0,0,AA458/Z458)</f>
        <v/>
      </c>
      <c r="AC458" s="6" t="n"/>
      <c r="AD458" s="2" t="inlineStr">
        <is>
          <t>Win</t>
        </is>
      </c>
      <c r="AE458" s="6">
        <f>IF((COUNTIF($AD$2:AD458,"Win")+COUNTIF($AD$2:AD458,"Loss"))=0,0,COUNTIF($AD$2:AD458,"Win")/(COUNTIF($AD$2:AD458,"Win")+COUNTIF($AD$2:AD458,"Loss")))</f>
        <v/>
      </c>
      <c r="AF458" s="6">
        <f>SUM($Y$2:Y458)/SUM($X$2:X458)</f>
        <v/>
      </c>
      <c r="AG458" s="5">
        <f>SUM($Y$2:Y458)</f>
        <v/>
      </c>
      <c r="AH458" s="7">
        <f>10000.0+SUM($AA$2:AA458)</f>
        <v/>
      </c>
      <c r="AI458" s="2" t="n">
        <v>2026</v>
      </c>
      <c r="AJ458" s="2" t="inlineStr">
        <is>
          <t>2026-04</t>
        </is>
      </c>
      <c r="AK458" s="2" t="inlineStr">
        <is>
          <t>&lt;= -150</t>
        </is>
      </c>
      <c r="AL458" s="2" t="inlineStr">
        <is>
          <t>2026 Frozen Test</t>
        </is>
      </c>
      <c r="AM458" s="6" t="n">
        <v>0.2049313273518295</v>
      </c>
    </row>
    <row r="459">
      <c r="A459" s="2" t="inlineStr">
        <is>
          <t>KPROP-00458</t>
        </is>
      </c>
      <c r="B459" s="3" t="n">
        <v>46115.5422800926</v>
      </c>
      <c r="C459" s="3" t="n">
        <v>46115</v>
      </c>
      <c r="D459" s="2" t="inlineStr">
        <is>
          <t>Emmet Sheehan</t>
        </is>
      </c>
      <c r="E459" s="2" t="n">
        <v>119</v>
      </c>
      <c r="F459" s="2" t="n">
        <v>120</v>
      </c>
      <c r="G459" s="2" t="inlineStr">
        <is>
          <t>Away</t>
        </is>
      </c>
      <c r="H459" s="2" t="inlineStr">
        <is>
          <t>draftkings</t>
        </is>
      </c>
      <c r="I459" s="4" t="n"/>
      <c r="J459" s="4" t="n"/>
      <c r="K459" s="4" t="n">
        <v>113</v>
      </c>
      <c r="L459" s="4" t="n">
        <v>113</v>
      </c>
      <c r="M459" s="5" t="n">
        <v>5.5</v>
      </c>
      <c r="N459" s="5" t="n">
        <v>5.263230678832806</v>
      </c>
      <c r="O459" s="5" t="n">
        <v>5.5</v>
      </c>
      <c r="P459" s="5" t="n">
        <v>0.236769321167194</v>
      </c>
      <c r="Q459" s="6" t="n">
        <v>0.2138358988765222</v>
      </c>
      <c r="R459" s="6" t="n">
        <v>0.569876008862217</v>
      </c>
      <c r="S459" s="6" t="n">
        <v>0.4580152671755726</v>
      </c>
      <c r="T459" s="2" t="inlineStr">
        <is>
          <t>Under</t>
        </is>
      </c>
      <c r="U459" s="4" t="n">
        <v>113</v>
      </c>
      <c r="V459" s="2" t="n">
        <v>2.13</v>
      </c>
      <c r="W459" s="4" t="n">
        <v>113</v>
      </c>
      <c r="X459" s="2" t="n">
        <v>1</v>
      </c>
      <c r="Y459" s="5" t="n">
        <v>1.13</v>
      </c>
      <c r="Z459" s="7" t="n">
        <v>100</v>
      </c>
      <c r="AA459" s="7">
        <f>Y459*Z459</f>
        <v/>
      </c>
      <c r="AB459" s="6">
        <f>IF(Z459=0,0,AA459/Z459)</f>
        <v/>
      </c>
      <c r="AC459" s="6" t="n"/>
      <c r="AD459" s="2" t="inlineStr">
        <is>
          <t>Win</t>
        </is>
      </c>
      <c r="AE459" s="6">
        <f>IF((COUNTIF($AD$2:AD459,"Win")+COUNTIF($AD$2:AD459,"Loss"))=0,0,COUNTIF($AD$2:AD459,"Win")/(COUNTIF($AD$2:AD459,"Win")+COUNTIF($AD$2:AD459,"Loss")))</f>
        <v/>
      </c>
      <c r="AF459" s="6">
        <f>SUM($Y$2:Y459)/SUM($X$2:X459)</f>
        <v/>
      </c>
      <c r="AG459" s="5">
        <f>SUM($Y$2:Y459)</f>
        <v/>
      </c>
      <c r="AH459" s="7">
        <f>10000.0+SUM($AA$2:AA459)</f>
        <v/>
      </c>
      <c r="AI459" s="2" t="n">
        <v>2026</v>
      </c>
      <c r="AJ459" s="2" t="inlineStr">
        <is>
          <t>2026-04</t>
        </is>
      </c>
      <c r="AK459" s="2" t="inlineStr">
        <is>
          <t>+100 to +120</t>
        </is>
      </c>
      <c r="AL459" s="2" t="inlineStr">
        <is>
          <t>2026 Frozen Test</t>
        </is>
      </c>
      <c r="AM459" s="6" t="n">
        <v>0.1892353087402852</v>
      </c>
    </row>
    <row r="460">
      <c r="A460" s="2" t="inlineStr">
        <is>
          <t>KPROP-00459</t>
        </is>
      </c>
      <c r="B460" s="3" t="n">
        <v>46115.54905092593</v>
      </c>
      <c r="C460" s="3" t="n">
        <v>46115</v>
      </c>
      <c r="D460" s="2" t="inlineStr">
        <is>
          <t>Framber Valdez</t>
        </is>
      </c>
      <c r="E460" s="2" t="n">
        <v>116</v>
      </c>
      <c r="F460" s="2" t="n">
        <v>138</v>
      </c>
      <c r="G460" s="2" t="inlineStr">
        <is>
          <t>Home</t>
        </is>
      </c>
      <c r="H460" s="2" t="inlineStr">
        <is>
          <t>draftkings</t>
        </is>
      </c>
      <c r="I460" s="4" t="n"/>
      <c r="J460" s="4" t="n"/>
      <c r="K460" s="4" t="n">
        <v>104</v>
      </c>
      <c r="L460" s="4" t="n">
        <v>104</v>
      </c>
      <c r="M460" s="5" t="n">
        <v>5.5</v>
      </c>
      <c r="N460" s="5" t="n">
        <v>4.911641371903029</v>
      </c>
      <c r="O460" s="5" t="n">
        <v>5.5</v>
      </c>
      <c r="P460" s="5" t="n">
        <v>0.5883586280969713</v>
      </c>
      <c r="Q460" s="6" t="n">
        <v>0.2881797077049911</v>
      </c>
      <c r="R460" s="6" t="n">
        <v>0.6314606410318584</v>
      </c>
      <c r="S460" s="6" t="n">
        <v>0.4752354377397977</v>
      </c>
      <c r="T460" s="2" t="inlineStr">
        <is>
          <t>Under</t>
        </is>
      </c>
      <c r="U460" s="4" t="n">
        <v>104</v>
      </c>
      <c r="V460" s="2" t="n">
        <v>2.04</v>
      </c>
      <c r="W460" s="4" t="n">
        <v>104</v>
      </c>
      <c r="X460" s="2" t="n">
        <v>1</v>
      </c>
      <c r="Y460" s="5" t="n">
        <v>1.04</v>
      </c>
      <c r="Z460" s="7" t="n">
        <v>100</v>
      </c>
      <c r="AA460" s="7">
        <f>Y460*Z460</f>
        <v/>
      </c>
      <c r="AB460" s="6">
        <f>IF(Z460=0,0,AA460/Z460)</f>
        <v/>
      </c>
      <c r="AC460" s="6" t="n"/>
      <c r="AD460" s="2" t="inlineStr">
        <is>
          <t>Win</t>
        </is>
      </c>
      <c r="AE460" s="6">
        <f>IF((COUNTIF($AD$2:AD460,"Win")+COUNTIF($AD$2:AD460,"Loss"))=0,0,COUNTIF($AD$2:AD460,"Win")/(COUNTIF($AD$2:AD460,"Win")+COUNTIF($AD$2:AD460,"Loss")))</f>
        <v/>
      </c>
      <c r="AF460" s="6">
        <f>SUM($Y$2:Y460)/SUM($X$2:X460)</f>
        <v/>
      </c>
      <c r="AG460" s="5">
        <f>SUM($Y$2:Y460)</f>
        <v/>
      </c>
      <c r="AH460" s="7">
        <f>10000.0+SUM($AA$2:AA460)</f>
        <v/>
      </c>
      <c r="AI460" s="2" t="n">
        <v>2026</v>
      </c>
      <c r="AJ460" s="2" t="inlineStr">
        <is>
          <t>2026-04</t>
        </is>
      </c>
      <c r="AK460" s="2" t="inlineStr">
        <is>
          <t>+100 to +120</t>
        </is>
      </c>
      <c r="AL460" s="2" t="inlineStr">
        <is>
          <t>2026 Frozen Test</t>
        </is>
      </c>
      <c r="AM460" s="6" t="n">
        <v>0.2770958727932607</v>
      </c>
    </row>
    <row r="461">
      <c r="A461" s="2" t="inlineStr">
        <is>
          <t>KPROP-00460</t>
        </is>
      </c>
      <c r="B461" s="3" t="n">
        <v>46115.67057870371</v>
      </c>
      <c r="C461" s="3" t="n">
        <v>46115</v>
      </c>
      <c r="D461" s="2" t="inlineStr">
        <is>
          <t>Joey Cantillo</t>
        </is>
      </c>
      <c r="E461" s="2" t="n">
        <v>114</v>
      </c>
      <c r="F461" s="2" t="n">
        <v>112</v>
      </c>
      <c r="G461" s="2" t="inlineStr">
        <is>
          <t>Home</t>
        </is>
      </c>
      <c r="H461" s="2" t="inlineStr">
        <is>
          <t>bovada</t>
        </is>
      </c>
      <c r="I461" s="4" t="n"/>
      <c r="J461" s="4" t="n"/>
      <c r="K461" s="4" t="n">
        <v>120</v>
      </c>
      <c r="L461" s="4" t="n">
        <v>120</v>
      </c>
      <c r="M461" s="5" t="n">
        <v>4.5</v>
      </c>
      <c r="N461" s="5" t="n">
        <v>4.657150363538646</v>
      </c>
      <c r="O461" s="5" t="n">
        <v>4.5</v>
      </c>
      <c r="P461" s="5" t="n">
        <v>-0.157150363538646</v>
      </c>
      <c r="Q461" s="6" t="n">
        <v>0.105626851406692</v>
      </c>
      <c r="R461" s="6" t="n">
        <v>0.5025576597303145</v>
      </c>
      <c r="S461" s="6" t="n">
        <v>0.4386930983847283</v>
      </c>
      <c r="T461" s="2" t="inlineStr">
        <is>
          <t>Under</t>
        </is>
      </c>
      <c r="U461" s="4" t="n">
        <v>120</v>
      </c>
      <c r="V461" s="2" t="n">
        <v>2.2</v>
      </c>
      <c r="W461" s="4" t="n">
        <v>120</v>
      </c>
      <c r="X461" s="2" t="n">
        <v>1</v>
      </c>
      <c r="Y461" s="5" t="n">
        <v>-1</v>
      </c>
      <c r="Z461" s="7" t="n">
        <v>100</v>
      </c>
      <c r="AA461" s="7">
        <f>Y461*Z461</f>
        <v/>
      </c>
      <c r="AB461" s="6">
        <f>IF(Z461=0,0,AA461/Z461)</f>
        <v/>
      </c>
      <c r="AC461" s="6" t="n"/>
      <c r="AD461" s="2" t="inlineStr">
        <is>
          <t>Loss</t>
        </is>
      </c>
      <c r="AE461" s="6">
        <f>IF((COUNTIF($AD$2:AD461,"Win")+COUNTIF($AD$2:AD461,"Loss"))=0,0,COUNTIF($AD$2:AD461,"Win")/(COUNTIF($AD$2:AD461,"Win")+COUNTIF($AD$2:AD461,"Loss")))</f>
        <v/>
      </c>
      <c r="AF461" s="6">
        <f>SUM($Y$2:Y461)/SUM($X$2:X461)</f>
        <v/>
      </c>
      <c r="AG461" s="5">
        <f>SUM($Y$2:Y461)</f>
        <v/>
      </c>
      <c r="AH461" s="7">
        <f>10000.0+SUM($AA$2:AA461)</f>
        <v/>
      </c>
      <c r="AI461" s="2" t="n">
        <v>2026</v>
      </c>
      <c r="AJ461" s="2" t="inlineStr">
        <is>
          <t>2026-04</t>
        </is>
      </c>
      <c r="AK461" s="2" t="inlineStr">
        <is>
          <t>+100 to +120</t>
        </is>
      </c>
      <c r="AL461" s="2" t="inlineStr">
        <is>
          <t>2026 Frozen Test</t>
        </is>
      </c>
      <c r="AM461" s="6" t="n">
        <v>0.08802237617224334</v>
      </c>
    </row>
    <row r="462">
      <c r="A462" s="2" t="inlineStr">
        <is>
          <t>KPROP-00461</t>
        </is>
      </c>
      <c r="B462" s="3" t="n">
        <v>46115.67057870371</v>
      </c>
      <c r="C462" s="3" t="n">
        <v>46115</v>
      </c>
      <c r="D462" s="2" t="inlineStr">
        <is>
          <t>Joey Cantillo</t>
        </is>
      </c>
      <c r="E462" s="2" t="n">
        <v>114</v>
      </c>
      <c r="F462" s="2" t="n">
        <v>112</v>
      </c>
      <c r="G462" s="2" t="inlineStr">
        <is>
          <t>Home</t>
        </is>
      </c>
      <c r="H462" s="2" t="inlineStr">
        <is>
          <t>fanatics</t>
        </is>
      </c>
      <c r="I462" s="4" t="n"/>
      <c r="J462" s="4" t="n"/>
      <c r="K462" s="4" t="n">
        <v>-145</v>
      </c>
      <c r="L462" s="4" t="n">
        <v>-145</v>
      </c>
      <c r="M462" s="5" t="n">
        <v>5.5</v>
      </c>
      <c r="N462" s="5" t="n">
        <v>4.657150363538646</v>
      </c>
      <c r="O462" s="5" t="n">
        <v>5.5</v>
      </c>
      <c r="P462" s="5" t="n">
        <v>0.842849636461354</v>
      </c>
      <c r="Q462" s="6" t="n">
        <v>0.1419979379287</v>
      </c>
      <c r="R462" s="6" t="n">
        <v>0.6758763306108633</v>
      </c>
      <c r="S462" s="6" t="n">
        <v>0.5967078189300411</v>
      </c>
      <c r="T462" s="2" t="inlineStr">
        <is>
          <t>Under</t>
        </is>
      </c>
      <c r="U462" s="4" t="n">
        <v>-145</v>
      </c>
      <c r="V462" s="2" t="n">
        <v>1.689655172413793</v>
      </c>
      <c r="W462" s="4" t="n">
        <v>-145</v>
      </c>
      <c r="X462" s="2" t="n">
        <v>1</v>
      </c>
      <c r="Y462" s="5" t="n">
        <v>-1</v>
      </c>
      <c r="Z462" s="7" t="n">
        <v>100</v>
      </c>
      <c r="AA462" s="7">
        <f>Y462*Z462</f>
        <v/>
      </c>
      <c r="AB462" s="6">
        <f>IF(Z462=0,0,AA462/Z462)</f>
        <v/>
      </c>
      <c r="AC462" s="6" t="n"/>
      <c r="AD462" s="2" t="inlineStr">
        <is>
          <t>Loss</t>
        </is>
      </c>
      <c r="AE462" s="6">
        <f>IF((COUNTIF($AD$2:AD462,"Win")+COUNTIF($AD$2:AD462,"Loss"))=0,0,COUNTIF($AD$2:AD462,"Win")/(COUNTIF($AD$2:AD462,"Win")+COUNTIF($AD$2:AD462,"Loss")))</f>
        <v/>
      </c>
      <c r="AF462" s="6">
        <f>SUM($Y$2:Y462)/SUM($X$2:X462)</f>
        <v/>
      </c>
      <c r="AG462" s="5">
        <f>SUM($Y$2:Y462)</f>
        <v/>
      </c>
      <c r="AH462" s="7">
        <f>10000.0+SUM($AA$2:AA462)</f>
        <v/>
      </c>
      <c r="AI462" s="2" t="n">
        <v>2026</v>
      </c>
      <c r="AJ462" s="2" t="inlineStr">
        <is>
          <t>2026-04</t>
        </is>
      </c>
      <c r="AK462" s="2" t="inlineStr">
        <is>
          <t>-149 to -120</t>
        </is>
      </c>
      <c r="AL462" s="2" t="inlineStr">
        <is>
          <t>2026 Frozen Test</t>
        </is>
      </c>
      <c r="AM462" s="6" t="n">
        <v>0.205897009996615</v>
      </c>
    </row>
    <row r="463">
      <c r="A463" s="2" t="inlineStr">
        <is>
          <t>KPROP-00462</t>
        </is>
      </c>
      <c r="B463" s="3" t="n">
        <v>46115.66733796296</v>
      </c>
      <c r="C463" s="3" t="n">
        <v>46115</v>
      </c>
      <c r="D463" s="2" t="inlineStr">
        <is>
          <t>MacKenzie Gore</t>
        </is>
      </c>
      <c r="E463" s="2" t="n">
        <v>140</v>
      </c>
      <c r="F463" s="2" t="n">
        <v>113</v>
      </c>
      <c r="G463" s="2" t="inlineStr">
        <is>
          <t>Home</t>
        </is>
      </c>
      <c r="H463" s="2" t="inlineStr">
        <is>
          <t>betonlineag</t>
        </is>
      </c>
      <c r="I463" s="4" t="n"/>
      <c r="J463" s="4" t="n"/>
      <c r="K463" s="4" t="n">
        <v>120</v>
      </c>
      <c r="L463" s="4" t="n">
        <v>120</v>
      </c>
      <c r="M463" s="5" t="n">
        <v>6.5</v>
      </c>
      <c r="N463" s="5" t="n">
        <v>5.268032238185361</v>
      </c>
      <c r="O463" s="5" t="n">
        <v>6.5</v>
      </c>
      <c r="P463" s="5" t="n">
        <v>1.231967761814639</v>
      </c>
      <c r="Q463" s="6" t="n">
        <v>0.5884779681610535</v>
      </c>
      <c r="R463" s="6" t="n">
        <v>0.7220354400732061</v>
      </c>
      <c r="S463" s="6" t="n">
        <v>0.4409566517189835</v>
      </c>
      <c r="T463" s="2" t="inlineStr">
        <is>
          <t>Under</t>
        </is>
      </c>
      <c r="U463" s="4" t="n">
        <v>120</v>
      </c>
      <c r="V463" s="2" t="n">
        <v>2.2</v>
      </c>
      <c r="W463" s="4" t="n">
        <v>120</v>
      </c>
      <c r="X463" s="2" t="n">
        <v>1</v>
      </c>
      <c r="Y463" s="5" t="n">
        <v>-1</v>
      </c>
      <c r="Z463" s="7" t="n">
        <v>100</v>
      </c>
      <c r="AA463" s="7">
        <f>Y463*Z463</f>
        <v/>
      </c>
      <c r="AB463" s="6">
        <f>IF(Z463=0,0,AA463/Z463)</f>
        <v/>
      </c>
      <c r="AC463" s="6" t="n"/>
      <c r="AD463" s="2" t="inlineStr">
        <is>
          <t>Loss</t>
        </is>
      </c>
      <c r="AE463" s="6">
        <f>IF((COUNTIF($AD$2:AD463,"Win")+COUNTIF($AD$2:AD463,"Loss"))=0,0,COUNTIF($AD$2:AD463,"Win")/(COUNTIF($AD$2:AD463,"Win")+COUNTIF($AD$2:AD463,"Loss")))</f>
        <v/>
      </c>
      <c r="AF463" s="6">
        <f>SUM($Y$2:Y463)/SUM($X$2:X463)</f>
        <v/>
      </c>
      <c r="AG463" s="5">
        <f>SUM($Y$2:Y463)</f>
        <v/>
      </c>
      <c r="AH463" s="7">
        <f>10000.0+SUM($AA$2:AA463)</f>
        <v/>
      </c>
      <c r="AI463" s="2" t="n">
        <v>2026</v>
      </c>
      <c r="AJ463" s="2" t="inlineStr">
        <is>
          <t>2026-04</t>
        </is>
      </c>
      <c r="AK463" s="2" t="inlineStr">
        <is>
          <t>+100 to +120</t>
        </is>
      </c>
      <c r="AL463" s="2" t="inlineStr">
        <is>
          <t>2026 Frozen Test</t>
        </is>
      </c>
      <c r="AM463" s="6" t="n">
        <v>0.4903983068008778</v>
      </c>
    </row>
    <row r="464">
      <c r="A464" s="2" t="inlineStr">
        <is>
          <t>KPROP-00463</t>
        </is>
      </c>
      <c r="B464" s="3" t="n">
        <v>46115.59071759259</v>
      </c>
      <c r="C464" s="3" t="n">
        <v>46115</v>
      </c>
      <c r="D464" s="2" t="inlineStr">
        <is>
          <t>Michael King</t>
        </is>
      </c>
      <c r="E464" s="2" t="n">
        <v>135</v>
      </c>
      <c r="F464" s="2" t="n">
        <v>111</v>
      </c>
      <c r="G464" s="2" t="inlineStr">
        <is>
          <t>Away</t>
        </is>
      </c>
      <c r="H464" s="2" t="inlineStr">
        <is>
          <t>draftkings</t>
        </is>
      </c>
      <c r="I464" s="4" t="n"/>
      <c r="J464" s="4" t="n"/>
      <c r="K464" s="4" t="n">
        <v>118</v>
      </c>
      <c r="L464" s="4" t="n">
        <v>118</v>
      </c>
      <c r="M464" s="5" t="n">
        <v>5.5</v>
      </c>
      <c r="N464" s="5" t="n">
        <v>5.04902837978344</v>
      </c>
      <c r="O464" s="5" t="n">
        <v>5.5</v>
      </c>
      <c r="P464" s="5" t="n">
        <v>0.4509716202165599</v>
      </c>
      <c r="Q464" s="6" t="n">
        <v>0.3240414425699665</v>
      </c>
      <c r="R464" s="6" t="n">
        <v>0.6073584598944801</v>
      </c>
      <c r="S464" s="6" t="n">
        <v>0.4479937670432412</v>
      </c>
      <c r="T464" s="2" t="inlineStr">
        <is>
          <t>Under</t>
        </is>
      </c>
      <c r="U464" s="4" t="n">
        <v>118</v>
      </c>
      <c r="V464" s="2" t="n">
        <v>2.18</v>
      </c>
      <c r="W464" s="4" t="n">
        <v>118</v>
      </c>
      <c r="X464" s="2" t="n">
        <v>1</v>
      </c>
      <c r="Y464" s="5" t="n">
        <v>1.18</v>
      </c>
      <c r="Z464" s="7" t="n">
        <v>100</v>
      </c>
      <c r="AA464" s="7">
        <f>Y464*Z464</f>
        <v/>
      </c>
      <c r="AB464" s="6">
        <f>IF(Z464=0,0,AA464/Z464)</f>
        <v/>
      </c>
      <c r="AC464" s="6" t="n"/>
      <c r="AD464" s="2" t="inlineStr">
        <is>
          <t>Win</t>
        </is>
      </c>
      <c r="AE464" s="6">
        <f>IF((COUNTIF($AD$2:AD464,"Win")+COUNTIF($AD$2:AD464,"Loss"))=0,0,COUNTIF($AD$2:AD464,"Win")/(COUNTIF($AD$2:AD464,"Win")+COUNTIF($AD$2:AD464,"Loss")))</f>
        <v/>
      </c>
      <c r="AF464" s="6">
        <f>SUM($Y$2:Y464)/SUM($X$2:X464)</f>
        <v/>
      </c>
      <c r="AG464" s="5">
        <f>SUM($Y$2:Y464)</f>
        <v/>
      </c>
      <c r="AH464" s="7">
        <f>10000.0+SUM($AA$2:AA464)</f>
        <v/>
      </c>
      <c r="AI464" s="2" t="n">
        <v>2026</v>
      </c>
      <c r="AJ464" s="2" t="inlineStr">
        <is>
          <t>2026-04</t>
        </is>
      </c>
      <c r="AK464" s="2" t="inlineStr">
        <is>
          <t>+100 to +120</t>
        </is>
      </c>
      <c r="AL464" s="2" t="inlineStr">
        <is>
          <t>2026 Frozen Test</t>
        </is>
      </c>
      <c r="AM464" s="6" t="n">
        <v>0.2746113920084463</v>
      </c>
    </row>
    <row r="465">
      <c r="A465" s="2" t="inlineStr">
        <is>
          <t>KPROP-00464</t>
        </is>
      </c>
      <c r="B465" s="3" t="n">
        <v>46115.67403935185</v>
      </c>
      <c r="C465" s="3" t="n">
        <v>46115</v>
      </c>
      <c r="D465" s="2" t="inlineStr">
        <is>
          <t>Mitch Keller</t>
        </is>
      </c>
      <c r="E465" s="2" t="n">
        <v>134</v>
      </c>
      <c r="F465" s="2" t="n">
        <v>110</v>
      </c>
      <c r="G465" s="2" t="inlineStr">
        <is>
          <t>Home</t>
        </is>
      </c>
      <c r="H465" s="2" t="inlineStr">
        <is>
          <t>betrivers</t>
        </is>
      </c>
      <c r="I465" s="4" t="n"/>
      <c r="J465" s="4" t="n"/>
      <c r="K465" s="4" t="n">
        <v>132</v>
      </c>
      <c r="L465" s="4" t="n">
        <v>132</v>
      </c>
      <c r="M465" s="5" t="n">
        <v>4.5</v>
      </c>
      <c r="N465" s="5" t="n">
        <v>4.84334541480631</v>
      </c>
      <c r="O465" s="5" t="n">
        <v>4.5</v>
      </c>
      <c r="P465" s="5" t="n">
        <v>-0.3433454148063104</v>
      </c>
      <c r="Q465" s="6" t="n">
        <v>0.08668218696267005</v>
      </c>
      <c r="R465" s="6" t="n">
        <v>0.4683974943804612</v>
      </c>
      <c r="S465" s="6" t="n">
        <v>0.4142931123770068</v>
      </c>
      <c r="T465" s="2" t="inlineStr">
        <is>
          <t>Under</t>
        </is>
      </c>
      <c r="U465" s="4" t="n">
        <v>132</v>
      </c>
      <c r="V465" s="2" t="n">
        <v>2.32</v>
      </c>
      <c r="W465" s="4" t="n">
        <v>132</v>
      </c>
      <c r="X465" s="2" t="n">
        <v>1</v>
      </c>
      <c r="Y465" s="5" t="n">
        <v>1.32</v>
      </c>
      <c r="Z465" s="7" t="n">
        <v>100</v>
      </c>
      <c r="AA465" s="7">
        <f>Y465*Z465</f>
        <v/>
      </c>
      <c r="AB465" s="6">
        <f>IF(Z465=0,0,AA465/Z465)</f>
        <v/>
      </c>
      <c r="AC465" s="6" t="n"/>
      <c r="AD465" s="2" t="inlineStr">
        <is>
          <t>Win</t>
        </is>
      </c>
      <c r="AE465" s="6">
        <f>IF((COUNTIF($AD$2:AD465,"Win")+COUNTIF($AD$2:AD465,"Loss"))=0,0,COUNTIF($AD$2:AD465,"Win")/(COUNTIF($AD$2:AD465,"Win")+COUNTIF($AD$2:AD465,"Loss")))</f>
        <v/>
      </c>
      <c r="AF465" s="6">
        <f>SUM($Y$2:Y465)/SUM($X$2:X465)</f>
        <v/>
      </c>
      <c r="AG465" s="5">
        <f>SUM($Y$2:Y465)</f>
        <v/>
      </c>
      <c r="AH465" s="7">
        <f>10000.0+SUM($AA$2:AA465)</f>
        <v/>
      </c>
      <c r="AI465" s="2" t="n">
        <v>2026</v>
      </c>
      <c r="AJ465" s="2" t="inlineStr">
        <is>
          <t>2026-04</t>
        </is>
      </c>
      <c r="AK465" s="2" t="inlineStr">
        <is>
          <t>+121 to +150</t>
        </is>
      </c>
      <c r="AL465" s="2" t="inlineStr">
        <is>
          <t>2026 Frozen Test</t>
        </is>
      </c>
      <c r="AM465" s="6" t="n">
        <v>0.0656683234565682</v>
      </c>
    </row>
    <row r="466">
      <c r="A466" s="2" t="inlineStr">
        <is>
          <t>KPROP-00465</t>
        </is>
      </c>
      <c r="B466" s="3" t="n">
        <v>46115.59071759259</v>
      </c>
      <c r="C466" s="3" t="n">
        <v>46115</v>
      </c>
      <c r="D466" s="2" t="inlineStr">
        <is>
          <t>Sonny Gray</t>
        </is>
      </c>
      <c r="E466" s="2" t="n">
        <v>111</v>
      </c>
      <c r="F466" s="2" t="n">
        <v>135</v>
      </c>
      <c r="G466" s="2" t="inlineStr">
        <is>
          <t>Home</t>
        </is>
      </c>
      <c r="H466" s="2" t="inlineStr">
        <is>
          <t>betonlineag</t>
        </is>
      </c>
      <c r="I466" s="4" t="n"/>
      <c r="J466" s="4" t="n"/>
      <c r="K466" s="4" t="n">
        <v>-123</v>
      </c>
      <c r="L466" s="4" t="n">
        <v>-123</v>
      </c>
      <c r="M466" s="5" t="n">
        <v>5.5</v>
      </c>
      <c r="N466" s="5" t="n">
        <v>4.805091072598849</v>
      </c>
      <c r="O466" s="5" t="n">
        <v>5.5</v>
      </c>
      <c r="P466" s="5" t="n">
        <v>0.6949089274011513</v>
      </c>
      <c r="Q466" s="6" t="n">
        <v>0.1786668455456316</v>
      </c>
      <c r="R466" s="6" t="n">
        <v>0.6501166905924336</v>
      </c>
      <c r="S466" s="6" t="n">
        <v>0.5306745238345786</v>
      </c>
      <c r="T466" s="2" t="inlineStr">
        <is>
          <t>Under</t>
        </is>
      </c>
      <c r="U466" s="4" t="n">
        <v>-123</v>
      </c>
      <c r="V466" s="2" t="n">
        <v>1.813008130081301</v>
      </c>
      <c r="W466" s="4" t="n">
        <v>-123</v>
      </c>
      <c r="X466" s="2" t="n">
        <v>1</v>
      </c>
      <c r="Y466" s="5" t="n">
        <v>0.8130081300813008</v>
      </c>
      <c r="Z466" s="7" t="n">
        <v>100</v>
      </c>
      <c r="AA466" s="7">
        <f>Y466*Z466</f>
        <v/>
      </c>
      <c r="AB466" s="6">
        <f>IF(Z466=0,0,AA466/Z466)</f>
        <v/>
      </c>
      <c r="AC466" s="6" t="n"/>
      <c r="AD466" s="2" t="inlineStr">
        <is>
          <t>Win</t>
        </is>
      </c>
      <c r="AE466" s="6">
        <f>IF((COUNTIF($AD$2:AD466,"Win")+COUNTIF($AD$2:AD466,"Loss"))=0,0,COUNTIF($AD$2:AD466,"Win")/(COUNTIF($AD$2:AD466,"Win")+COUNTIF($AD$2:AD466,"Loss")))</f>
        <v/>
      </c>
      <c r="AF466" s="6">
        <f>SUM($Y$2:Y466)/SUM($X$2:X466)</f>
        <v/>
      </c>
      <c r="AG466" s="5">
        <f>SUM($Y$2:Y466)</f>
        <v/>
      </c>
      <c r="AH466" s="7">
        <f>10000.0+SUM($AA$2:AA466)</f>
        <v/>
      </c>
      <c r="AI466" s="2" t="n">
        <v>2026</v>
      </c>
      <c r="AJ466" s="2" t="inlineStr">
        <is>
          <t>2026-04</t>
        </is>
      </c>
      <c r="AK466" s="2" t="inlineStr">
        <is>
          <t>-149 to -120</t>
        </is>
      </c>
      <c r="AL466" s="2" t="inlineStr">
        <is>
          <t>2026 Frozen Test</t>
        </is>
      </c>
      <c r="AM466" s="6" t="n">
        <v>0.2197602200211269</v>
      </c>
    </row>
    <row r="467">
      <c r="A467" s="2" t="inlineStr">
        <is>
          <t>KPROP-00466</t>
        </is>
      </c>
      <c r="B467" s="3" t="n">
        <v>46115.56641203703</v>
      </c>
      <c r="C467" s="3" t="n">
        <v>46115</v>
      </c>
      <c r="D467" s="2" t="inlineStr">
        <is>
          <t>Will Warren</t>
        </is>
      </c>
      <c r="E467" s="2" t="n">
        <v>147</v>
      </c>
      <c r="F467" s="2" t="n">
        <v>146</v>
      </c>
      <c r="G467" s="2" t="inlineStr">
        <is>
          <t>Home</t>
        </is>
      </c>
      <c r="H467" s="2" t="inlineStr">
        <is>
          <t>betrivers</t>
        </is>
      </c>
      <c r="I467" s="4" t="n"/>
      <c r="J467" s="4" t="n"/>
      <c r="K467" s="4" t="n">
        <v>135</v>
      </c>
      <c r="L467" s="4" t="n">
        <v>135</v>
      </c>
      <c r="M467" s="5" t="n">
        <v>4.5</v>
      </c>
      <c r="N467" s="5" t="n">
        <v>4.512654710597256</v>
      </c>
      <c r="O467" s="5" t="n">
        <v>4.5</v>
      </c>
      <c r="P467" s="5" t="n">
        <v>-0.01265471059725609</v>
      </c>
      <c r="Q467" s="6" t="n">
        <v>0.2448027934973243</v>
      </c>
      <c r="R467" s="6" t="n">
        <v>0.5297033163818401</v>
      </c>
      <c r="S467" s="6" t="n">
        <v>0.3973509933774834</v>
      </c>
      <c r="T467" s="2" t="inlineStr">
        <is>
          <t>Under</t>
        </is>
      </c>
      <c r="U467" s="4" t="n">
        <v>135</v>
      </c>
      <c r="V467" s="2" t="n">
        <v>2.35</v>
      </c>
      <c r="W467" s="4" t="n">
        <v>135</v>
      </c>
      <c r="X467" s="2" t="n">
        <v>1</v>
      </c>
      <c r="Y467" s="5" t="n">
        <v>-1</v>
      </c>
      <c r="Z467" s="7" t="n">
        <v>100</v>
      </c>
      <c r="AA467" s="7">
        <f>Y467*Z467</f>
        <v/>
      </c>
      <c r="AB467" s="6">
        <f>IF(Z467=0,0,AA467/Z467)</f>
        <v/>
      </c>
      <c r="AC467" s="6" t="n"/>
      <c r="AD467" s="2" t="inlineStr">
        <is>
          <t>Loss</t>
        </is>
      </c>
      <c r="AE467" s="6">
        <f>IF((COUNTIF($AD$2:AD467,"Win")+COUNTIF($AD$2:AD467,"Loss"))=0,0,COUNTIF($AD$2:AD467,"Win")/(COUNTIF($AD$2:AD467,"Win")+COUNTIF($AD$2:AD467,"Loss")))</f>
        <v/>
      </c>
      <c r="AF467" s="6">
        <f>SUM($Y$2:Y467)/SUM($X$2:X467)</f>
        <v/>
      </c>
      <c r="AG467" s="5">
        <f>SUM($Y$2:Y467)</f>
        <v/>
      </c>
      <c r="AH467" s="7">
        <f>10000.0+SUM($AA$2:AA467)</f>
        <v/>
      </c>
      <c r="AI467" s="2" t="n">
        <v>2026</v>
      </c>
      <c r="AJ467" s="2" t="inlineStr">
        <is>
          <t>2026-04</t>
        </is>
      </c>
      <c r="AK467" s="2" t="inlineStr">
        <is>
          <t>+121 to +150</t>
        </is>
      </c>
      <c r="AL467" s="2" t="inlineStr">
        <is>
          <t>2026 Frozen Test</t>
        </is>
      </c>
      <c r="AM467" s="6" t="n">
        <v>0.1813354025906105</v>
      </c>
    </row>
    <row r="468">
      <c r="A468" s="2" t="inlineStr">
        <is>
          <t>KPROP-00467</t>
        </is>
      </c>
      <c r="B468" s="3" t="n">
        <v>46115.56641203703</v>
      </c>
      <c r="C468" s="3" t="n">
        <v>46115</v>
      </c>
      <c r="D468" s="2" t="inlineStr">
        <is>
          <t>Will Warren</t>
        </is>
      </c>
      <c r="E468" s="2" t="n">
        <v>147</v>
      </c>
      <c r="F468" s="2" t="n">
        <v>146</v>
      </c>
      <c r="G468" s="2" t="inlineStr">
        <is>
          <t>Home</t>
        </is>
      </c>
      <c r="H468" s="2" t="inlineStr">
        <is>
          <t>betmgm</t>
        </is>
      </c>
      <c r="I468" s="4" t="n"/>
      <c r="J468" s="4" t="n"/>
      <c r="K468" s="4" t="n">
        <v>-155</v>
      </c>
      <c r="L468" s="4" t="n">
        <v>-155</v>
      </c>
      <c r="M468" s="5" t="n">
        <v>5.5</v>
      </c>
      <c r="N468" s="5" t="n">
        <v>4.512654710597256</v>
      </c>
      <c r="O468" s="5" t="n">
        <v>5.5</v>
      </c>
      <c r="P468" s="5" t="n">
        <v>0.9873452894027439</v>
      </c>
      <c r="Q468" s="6" t="n">
        <v>0.152875011951683</v>
      </c>
      <c r="R468" s="6" t="n">
        <v>0.7007671641274936</v>
      </c>
      <c r="S468" s="6" t="n">
        <v>0.5829926410466066</v>
      </c>
      <c r="T468" s="2" t="inlineStr">
        <is>
          <t>Under</t>
        </is>
      </c>
      <c r="U468" s="4" t="n">
        <v>-155</v>
      </c>
      <c r="V468" s="2" t="n">
        <v>1.645161290322581</v>
      </c>
      <c r="W468" s="4" t="n">
        <v>-155</v>
      </c>
      <c r="X468" s="2" t="n">
        <v>1</v>
      </c>
      <c r="Y468" s="5" t="n">
        <v>-1</v>
      </c>
      <c r="Z468" s="7" t="n">
        <v>100</v>
      </c>
      <c r="AA468" s="7">
        <f>Y468*Z468</f>
        <v/>
      </c>
      <c r="AB468" s="6">
        <f>IF(Z468=0,0,AA468/Z468)</f>
        <v/>
      </c>
      <c r="AC468" s="6" t="n"/>
      <c r="AD468" s="2" t="inlineStr">
        <is>
          <t>Loss</t>
        </is>
      </c>
      <c r="AE468" s="6">
        <f>IF((COUNTIF($AD$2:AD468,"Win")+COUNTIF($AD$2:AD468,"Loss"))=0,0,COUNTIF($AD$2:AD468,"Win")/(COUNTIF($AD$2:AD468,"Win")+COUNTIF($AD$2:AD468,"Loss")))</f>
        <v/>
      </c>
      <c r="AF468" s="6">
        <f>SUM($Y$2:Y468)/SUM($X$2:X468)</f>
        <v/>
      </c>
      <c r="AG468" s="5">
        <f>SUM($Y$2:Y468)</f>
        <v/>
      </c>
      <c r="AH468" s="7">
        <f>10000.0+SUM($AA$2:AA468)</f>
        <v/>
      </c>
      <c r="AI468" s="2" t="n">
        <v>2026</v>
      </c>
      <c r="AJ468" s="2" t="inlineStr">
        <is>
          <t>2026-04</t>
        </is>
      </c>
      <c r="AK468" s="2" t="inlineStr">
        <is>
          <t>&lt;= -150</t>
        </is>
      </c>
      <c r="AL468" s="2" t="inlineStr">
        <is>
          <t>2026 Frozen Test</t>
        </is>
      </c>
      <c r="AM468" s="6" t="n">
        <v>0.2369562685251086</v>
      </c>
    </row>
    <row r="469">
      <c r="A469" s="2" t="inlineStr">
        <is>
          <t>KPROP-00468</t>
        </is>
      </c>
      <c r="B469" s="3" t="n">
        <v>46116.5490625</v>
      </c>
      <c r="C469" s="3" t="n">
        <v>46116</v>
      </c>
      <c r="D469" s="2" t="inlineStr">
        <is>
          <t>Dustin May</t>
        </is>
      </c>
      <c r="E469" s="2" t="n">
        <v>138</v>
      </c>
      <c r="F469" s="2" t="n">
        <v>116</v>
      </c>
      <c r="G469" s="2" t="inlineStr">
        <is>
          <t>Away</t>
        </is>
      </c>
      <c r="H469" s="2" t="inlineStr">
        <is>
          <t>betrivers</t>
        </is>
      </c>
      <c r="I469" s="4" t="n"/>
      <c r="J469" s="4" t="n"/>
      <c r="K469" s="4" t="n">
        <v>105</v>
      </c>
      <c r="L469" s="4" t="n">
        <v>105</v>
      </c>
      <c r="M469" s="5" t="n">
        <v>4.5</v>
      </c>
      <c r="N469" s="5" t="n">
        <v>4.264732706467494</v>
      </c>
      <c r="O469" s="5" t="n">
        <v>4.5</v>
      </c>
      <c r="P469" s="5" t="n">
        <v>0.2352672935325062</v>
      </c>
      <c r="Q469" s="6" t="n">
        <v>0.1833887458087142</v>
      </c>
      <c r="R469" s="6" t="n">
        <v>0.5772628028335192</v>
      </c>
      <c r="S469" s="6" t="n">
        <v>0.4740160904544466</v>
      </c>
      <c r="T469" s="2" t="inlineStr">
        <is>
          <t>Under</t>
        </is>
      </c>
      <c r="U469" s="4" t="n">
        <v>105</v>
      </c>
      <c r="V469" s="2" t="n">
        <v>2.05</v>
      </c>
      <c r="W469" s="4" t="n">
        <v>105</v>
      </c>
      <c r="X469" s="2" t="n">
        <v>1</v>
      </c>
      <c r="Y469" s="5" t="n">
        <v>1.05</v>
      </c>
      <c r="Z469" s="7" t="n">
        <v>100</v>
      </c>
      <c r="AA469" s="7">
        <f>Y469*Z469</f>
        <v/>
      </c>
      <c r="AB469" s="6">
        <f>IF(Z469=0,0,AA469/Z469)</f>
        <v/>
      </c>
      <c r="AC469" s="6" t="n"/>
      <c r="AD469" s="2" t="inlineStr">
        <is>
          <t>Win</t>
        </is>
      </c>
      <c r="AE469" s="6">
        <f>IF((COUNTIF($AD$2:AD469,"Win")+COUNTIF($AD$2:AD469,"Loss"))=0,0,COUNTIF($AD$2:AD469,"Win")/(COUNTIF($AD$2:AD469,"Win")+COUNTIF($AD$2:AD469,"Loss")))</f>
        <v/>
      </c>
      <c r="AF469" s="6">
        <f>SUM($Y$2:Y469)/SUM($X$2:X469)</f>
        <v/>
      </c>
      <c r="AG469" s="5">
        <f>SUM($Y$2:Y469)</f>
        <v/>
      </c>
      <c r="AH469" s="7">
        <f>10000.0+SUM($AA$2:AA469)</f>
        <v/>
      </c>
      <c r="AI469" s="2" t="n">
        <v>2026</v>
      </c>
      <c r="AJ469" s="2" t="inlineStr">
        <is>
          <t>2026-04</t>
        </is>
      </c>
      <c r="AK469" s="2" t="inlineStr">
        <is>
          <t>+100 to +120</t>
        </is>
      </c>
      <c r="AL469" s="2" t="inlineStr">
        <is>
          <t>2026 Frozen Test</t>
        </is>
      </c>
      <c r="AM469" s="6" t="n">
        <v>0.1746559483892517</v>
      </c>
    </row>
    <row r="470">
      <c r="A470" s="2" t="inlineStr">
        <is>
          <t>KPROP-00469</t>
        </is>
      </c>
      <c r="B470" s="3" t="n">
        <v>46116.5490625</v>
      </c>
      <c r="C470" s="3" t="n">
        <v>46116</v>
      </c>
      <c r="D470" s="2" t="inlineStr">
        <is>
          <t>Jack Flaherty</t>
        </is>
      </c>
      <c r="E470" s="2" t="n">
        <v>116</v>
      </c>
      <c r="F470" s="2" t="n">
        <v>138</v>
      </c>
      <c r="G470" s="2" t="inlineStr">
        <is>
          <t>Home</t>
        </is>
      </c>
      <c r="H470" s="2" t="inlineStr">
        <is>
          <t>fanatics</t>
        </is>
      </c>
      <c r="I470" s="4" t="n"/>
      <c r="J470" s="4" t="n"/>
      <c r="K470" s="4" t="n">
        <v>120</v>
      </c>
      <c r="L470" s="4" t="n">
        <v>120</v>
      </c>
      <c r="M470" s="5" t="n">
        <v>5.5</v>
      </c>
      <c r="N470" s="5" t="n">
        <v>5.270000431753428</v>
      </c>
      <c r="O470" s="5" t="n">
        <v>5.5</v>
      </c>
      <c r="P470" s="5" t="n">
        <v>0.2299995682465719</v>
      </c>
      <c r="Q470" s="6" t="n">
        <v>0.2511317847213645</v>
      </c>
      <c r="R470" s="6" t="n">
        <v>0.5686962657824384</v>
      </c>
      <c r="S470" s="6" t="n">
        <v>0.4323570432357043</v>
      </c>
      <c r="T470" s="2" t="inlineStr">
        <is>
          <t>Under</t>
        </is>
      </c>
      <c r="U470" s="4" t="n">
        <v>120</v>
      </c>
      <c r="V470" s="2" t="n">
        <v>2.2</v>
      </c>
      <c r="W470" s="4" t="n">
        <v>120</v>
      </c>
      <c r="X470" s="2" t="n">
        <v>1</v>
      </c>
      <c r="Y470" s="5" t="n">
        <v>-1</v>
      </c>
      <c r="Z470" s="7" t="n">
        <v>100</v>
      </c>
      <c r="AA470" s="7">
        <f>Y470*Z470</f>
        <v/>
      </c>
      <c r="AB470" s="6">
        <f>IF(Z470=0,0,AA470/Z470)</f>
        <v/>
      </c>
      <c r="AC470" s="6" t="n"/>
      <c r="AD470" s="2" t="inlineStr">
        <is>
          <t>Loss</t>
        </is>
      </c>
      <c r="AE470" s="6">
        <f>IF((COUNTIF($AD$2:AD470,"Win")+COUNTIF($AD$2:AD470,"Loss"))=0,0,COUNTIF($AD$2:AD470,"Win")/(COUNTIF($AD$2:AD470,"Win")+COUNTIF($AD$2:AD470,"Loss")))</f>
        <v/>
      </c>
      <c r="AF470" s="6">
        <f>SUM($Y$2:Y470)/SUM($X$2:X470)</f>
        <v/>
      </c>
      <c r="AG470" s="5">
        <f>SUM($Y$2:Y470)</f>
        <v/>
      </c>
      <c r="AH470" s="7">
        <f>10000.0+SUM($AA$2:AA470)</f>
        <v/>
      </c>
      <c r="AI470" s="2" t="n">
        <v>2026</v>
      </c>
      <c r="AJ470" s="2" t="inlineStr">
        <is>
          <t>2026-04</t>
        </is>
      </c>
      <c r="AK470" s="2" t="inlineStr">
        <is>
          <t>+100 to +120</t>
        </is>
      </c>
      <c r="AL470" s="2" t="inlineStr">
        <is>
          <t>2026 Frozen Test</t>
        </is>
      </c>
      <c r="AM470" s="6" t="n">
        <v>0.2092764872678038</v>
      </c>
    </row>
    <row r="471">
      <c r="A471" s="2" t="inlineStr">
        <is>
          <t>KPROP-00470</t>
        </is>
      </c>
      <c r="B471" s="3" t="n">
        <v>46116.80253472222</v>
      </c>
      <c r="C471" s="3" t="n">
        <v>46116</v>
      </c>
      <c r="D471" s="2" t="inlineStr">
        <is>
          <t>Michael Soroka</t>
        </is>
      </c>
      <c r="E471" s="2" t="n">
        <v>109</v>
      </c>
      <c r="F471" s="2" t="n">
        <v>144</v>
      </c>
      <c r="G471" s="2" t="inlineStr">
        <is>
          <t>Home</t>
        </is>
      </c>
      <c r="H471" s="2" t="inlineStr">
        <is>
          <t>betonlineag</t>
        </is>
      </c>
      <c r="I471" s="4" t="n"/>
      <c r="J471" s="4" t="n"/>
      <c r="K471" s="4" t="n">
        <v>128</v>
      </c>
      <c r="L471" s="4" t="n">
        <v>128</v>
      </c>
      <c r="M471" s="5" t="n">
        <v>4.5</v>
      </c>
      <c r="N471" s="5" t="n">
        <v>4.241266249390013</v>
      </c>
      <c r="O471" s="5" t="n">
        <v>4.5</v>
      </c>
      <c r="P471" s="5" t="n">
        <v>0.2587337506099869</v>
      </c>
      <c r="Q471" s="6" t="n">
        <v>0.3265319921572051</v>
      </c>
      <c r="R471" s="6" t="n">
        <v>0.581812277261932</v>
      </c>
      <c r="S471" s="6" t="n">
        <v>0.4291845493562232</v>
      </c>
      <c r="T471" s="2" t="inlineStr">
        <is>
          <t>Under</t>
        </is>
      </c>
      <c r="U471" s="4" t="n">
        <v>128</v>
      </c>
      <c r="V471" s="2" t="n">
        <v>2.28</v>
      </c>
      <c r="W471" s="4" t="n">
        <v>128</v>
      </c>
      <c r="X471" s="2" t="n">
        <v>1</v>
      </c>
      <c r="Y471" s="5" t="n">
        <v>1.28</v>
      </c>
      <c r="Z471" s="7" t="n">
        <v>100</v>
      </c>
      <c r="AA471" s="7">
        <f>Y471*Z471</f>
        <v/>
      </c>
      <c r="AB471" s="6">
        <f>IF(Z471=0,0,AA471/Z471)</f>
        <v/>
      </c>
      <c r="AC471" s="6" t="n"/>
      <c r="AD471" s="2" t="inlineStr">
        <is>
          <t>Win</t>
        </is>
      </c>
      <c r="AE471" s="6">
        <f>IF((COUNTIF($AD$2:AD471,"Win")+COUNTIF($AD$2:AD471,"Loss"))=0,0,COUNTIF($AD$2:AD471,"Win")/(COUNTIF($AD$2:AD471,"Win")+COUNTIF($AD$2:AD471,"Loss")))</f>
        <v/>
      </c>
      <c r="AF471" s="6">
        <f>SUM($Y$2:Y471)/SUM($X$2:X471)</f>
        <v/>
      </c>
      <c r="AG471" s="5">
        <f>SUM($Y$2:Y471)</f>
        <v/>
      </c>
      <c r="AH471" s="7">
        <f>10000.0+SUM($AA$2:AA471)</f>
        <v/>
      </c>
      <c r="AI471" s="2" t="n">
        <v>2026</v>
      </c>
      <c r="AJ471" s="2" t="inlineStr">
        <is>
          <t>2026-04</t>
        </is>
      </c>
      <c r="AK471" s="2" t="inlineStr">
        <is>
          <t>+121 to +150</t>
        </is>
      </c>
      <c r="AL471" s="2" t="inlineStr">
        <is>
          <t>2026 Frozen Test</t>
        </is>
      </c>
      <c r="AM471" s="6" t="n">
        <v>0.2551031188728164</v>
      </c>
    </row>
    <row r="472">
      <c r="A472" s="2" t="inlineStr">
        <is>
          <t>KPROP-00471</t>
        </is>
      </c>
      <c r="B472" s="3" t="n">
        <v>46116.79905092593</v>
      </c>
      <c r="C472" s="3" t="n">
        <v>46116</v>
      </c>
      <c r="D472" s="2" t="inlineStr">
        <is>
          <t>Mick Abel</t>
        </is>
      </c>
      <c r="E472" s="2" t="n">
        <v>142</v>
      </c>
      <c r="F472" s="2" t="n">
        <v>139</v>
      </c>
      <c r="G472" s="2" t="inlineStr">
        <is>
          <t>Home</t>
        </is>
      </c>
      <c r="H472" s="2" t="inlineStr">
        <is>
          <t>draftkings</t>
        </is>
      </c>
      <c r="I472" s="4" t="n"/>
      <c r="J472" s="4" t="n"/>
      <c r="K472" s="4" t="n">
        <v>-122</v>
      </c>
      <c r="L472" s="4" t="n">
        <v>-122</v>
      </c>
      <c r="M472" s="5" t="n">
        <v>4.5</v>
      </c>
      <c r="N472" s="5" t="n">
        <v>4.04010352071617</v>
      </c>
      <c r="O472" s="5" t="n">
        <v>4.5</v>
      </c>
      <c r="P472" s="5" t="n">
        <v>0.45989647928383</v>
      </c>
      <c r="Q472" s="6" t="n">
        <v>0.1300210526417215</v>
      </c>
      <c r="R472" s="6" t="n">
        <v>0.6210025604607659</v>
      </c>
      <c r="S472" s="6" t="n">
        <v>0.5357590966122961</v>
      </c>
      <c r="T472" s="2" t="inlineStr">
        <is>
          <t>Under</t>
        </is>
      </c>
      <c r="U472" s="4" t="n">
        <v>-122</v>
      </c>
      <c r="V472" s="2" t="n">
        <v>1.819672131147541</v>
      </c>
      <c r="W472" s="4" t="n">
        <v>-122</v>
      </c>
      <c r="X472" s="2" t="n">
        <v>1</v>
      </c>
      <c r="Y472" s="5" t="n">
        <v>0.819672131147541</v>
      </c>
      <c r="Z472" s="7" t="n">
        <v>100</v>
      </c>
      <c r="AA472" s="7">
        <f>Y472*Z472</f>
        <v/>
      </c>
      <c r="AB472" s="6">
        <f>IF(Z472=0,0,AA472/Z472)</f>
        <v/>
      </c>
      <c r="AC472" s="6" t="n"/>
      <c r="AD472" s="2" t="inlineStr">
        <is>
          <t>Win</t>
        </is>
      </c>
      <c r="AE472" s="6">
        <f>IF((COUNTIF($AD$2:AD472,"Win")+COUNTIF($AD$2:AD472,"Loss"))=0,0,COUNTIF($AD$2:AD472,"Win")/(COUNTIF($AD$2:AD472,"Win")+COUNTIF($AD$2:AD472,"Loss")))</f>
        <v/>
      </c>
      <c r="AF472" s="6">
        <f>SUM($Y$2:Y472)/SUM($X$2:X472)</f>
        <v/>
      </c>
      <c r="AG472" s="5">
        <f>SUM($Y$2:Y472)</f>
        <v/>
      </c>
      <c r="AH472" s="7">
        <f>10000.0+SUM($AA$2:AA472)</f>
        <v/>
      </c>
      <c r="AI472" s="2" t="n">
        <v>2026</v>
      </c>
      <c r="AJ472" s="2" t="inlineStr">
        <is>
          <t>2026-04</t>
        </is>
      </c>
      <c r="AK472" s="2" t="inlineStr">
        <is>
          <t>-149 to -120</t>
        </is>
      </c>
      <c r="AL472" s="2" t="inlineStr">
        <is>
          <t>2026 Frozen Test</t>
        </is>
      </c>
      <c r="AM472" s="6" t="n">
        <v>0.1586256842229002</v>
      </c>
    </row>
    <row r="473">
      <c r="A473" s="2" t="inlineStr">
        <is>
          <t>KPROP-00472</t>
        </is>
      </c>
      <c r="B473" s="3" t="n">
        <v>46116.79557870371</v>
      </c>
      <c r="C473" s="3" t="n">
        <v>46116</v>
      </c>
      <c r="D473" s="2" t="inlineStr">
        <is>
          <t>Ryan Weathers</t>
        </is>
      </c>
      <c r="E473" s="2" t="n">
        <v>147</v>
      </c>
      <c r="F473" s="2" t="n">
        <v>146</v>
      </c>
      <c r="G473" s="2" t="inlineStr">
        <is>
          <t>Home</t>
        </is>
      </c>
      <c r="H473" s="2" t="inlineStr">
        <is>
          <t>betmgm</t>
        </is>
      </c>
      <c r="I473" s="4" t="n"/>
      <c r="J473" s="4" t="n"/>
      <c r="K473" s="4" t="n">
        <v>100</v>
      </c>
      <c r="L473" s="4" t="n">
        <v>100</v>
      </c>
      <c r="M473" s="5" t="n">
        <v>5.5</v>
      </c>
      <c r="N473" s="5" t="n">
        <v>4.50874999859452</v>
      </c>
      <c r="O473" s="5" t="n">
        <v>5.5</v>
      </c>
      <c r="P473" s="5" t="n">
        <v>0.9912500014054801</v>
      </c>
      <c r="Q473" s="6" t="n">
        <v>0.402869955909813</v>
      </c>
      <c r="R473" s="6" t="n">
        <v>0.7014349779549065</v>
      </c>
      <c r="S473" s="6" t="n">
        <v>0.4975369458128079</v>
      </c>
      <c r="T473" s="2" t="inlineStr">
        <is>
          <t>Under</t>
        </is>
      </c>
      <c r="U473" s="4" t="n">
        <v>100</v>
      </c>
      <c r="V473" s="2" t="n">
        <v>2</v>
      </c>
      <c r="W473" s="4" t="n">
        <v>100</v>
      </c>
      <c r="X473" s="2" t="n">
        <v>1</v>
      </c>
      <c r="Y473" s="5" t="n">
        <v>1</v>
      </c>
      <c r="Z473" s="7" t="n">
        <v>100</v>
      </c>
      <c r="AA473" s="7">
        <f>Y473*Z473</f>
        <v/>
      </c>
      <c r="AB473" s="6">
        <f>IF(Z473=0,0,AA473/Z473)</f>
        <v/>
      </c>
      <c r="AC473" s="6" t="n"/>
      <c r="AD473" s="2" t="inlineStr">
        <is>
          <t>Win</t>
        </is>
      </c>
      <c r="AE473" s="6">
        <f>IF((COUNTIF($AD$2:AD473,"Win")+COUNTIF($AD$2:AD473,"Loss"))=0,0,COUNTIF($AD$2:AD473,"Win")/(COUNTIF($AD$2:AD473,"Win")+COUNTIF($AD$2:AD473,"Loss")))</f>
        <v/>
      </c>
      <c r="AF473" s="6">
        <f>SUM($Y$2:Y473)/SUM($X$2:X473)</f>
        <v/>
      </c>
      <c r="AG473" s="5">
        <f>SUM($Y$2:Y473)</f>
        <v/>
      </c>
      <c r="AH473" s="7">
        <f>10000.0+SUM($AA$2:AA473)</f>
        <v/>
      </c>
      <c r="AI473" s="2" t="n">
        <v>2026</v>
      </c>
      <c r="AJ473" s="2" t="inlineStr">
        <is>
          <t>2026-04</t>
        </is>
      </c>
      <c r="AK473" s="2" t="inlineStr">
        <is>
          <t>+100 to +120</t>
        </is>
      </c>
      <c r="AL473" s="2" t="inlineStr">
        <is>
          <t>2026 Frozen Test</t>
        </is>
      </c>
      <c r="AM473" s="6" t="n">
        <v>0.402869955909813</v>
      </c>
    </row>
    <row r="474">
      <c r="A474" s="2" t="inlineStr">
        <is>
          <t>KPROP-00473</t>
        </is>
      </c>
      <c r="B474" s="3" t="n">
        <v>46116.79905092593</v>
      </c>
      <c r="C474" s="3" t="n">
        <v>46116</v>
      </c>
      <c r="D474" s="2" t="inlineStr">
        <is>
          <t>Steven Matz</t>
        </is>
      </c>
      <c r="E474" s="2" t="n">
        <v>139</v>
      </c>
      <c r="F474" s="2" t="n">
        <v>142</v>
      </c>
      <c r="G474" s="2" t="inlineStr">
        <is>
          <t>Away</t>
        </is>
      </c>
      <c r="H474" s="2" t="inlineStr">
        <is>
          <t>betmgm</t>
        </is>
      </c>
      <c r="I474" s="4" t="n"/>
      <c r="J474" s="4" t="n"/>
      <c r="K474" s="4" t="n">
        <v>130</v>
      </c>
      <c r="L474" s="4" t="n">
        <v>130</v>
      </c>
      <c r="M474" s="5" t="n">
        <v>3.5</v>
      </c>
      <c r="N474" s="5" t="n">
        <v>3.591661898992237</v>
      </c>
      <c r="O474" s="5" t="n">
        <v>3.5</v>
      </c>
      <c r="P474" s="5" t="n">
        <v>-0.09166189899223687</v>
      </c>
      <c r="Q474" s="6" t="n">
        <v>0.1890745331303191</v>
      </c>
      <c r="R474" s="6" t="n">
        <v>0.5169889274479649</v>
      </c>
      <c r="S474" s="6" t="n">
        <v>0.4059040590405904</v>
      </c>
      <c r="T474" s="2" t="inlineStr">
        <is>
          <t>Under</t>
        </is>
      </c>
      <c r="U474" s="4" t="n">
        <v>130</v>
      </c>
      <c r="V474" s="2" t="n">
        <v>2.3</v>
      </c>
      <c r="W474" s="4" t="n">
        <v>130</v>
      </c>
      <c r="X474" s="2" t="n">
        <v>1</v>
      </c>
      <c r="Y474" s="5" t="n">
        <v>-1</v>
      </c>
      <c r="Z474" s="7" t="n">
        <v>100</v>
      </c>
      <c r="AA474" s="7">
        <f>Y474*Z474</f>
        <v/>
      </c>
      <c r="AB474" s="6">
        <f>IF(Z474=0,0,AA474/Z474)</f>
        <v/>
      </c>
      <c r="AC474" s="6" t="n"/>
      <c r="AD474" s="2" t="inlineStr">
        <is>
          <t>Loss</t>
        </is>
      </c>
      <c r="AE474" s="6">
        <f>IF((COUNTIF($AD$2:AD474,"Win")+COUNTIF($AD$2:AD474,"Loss"))=0,0,COUNTIF($AD$2:AD474,"Win")/(COUNTIF($AD$2:AD474,"Win")+COUNTIF($AD$2:AD474,"Loss")))</f>
        <v/>
      </c>
      <c r="AF474" s="6">
        <f>SUM($Y$2:Y474)/SUM($X$2:X474)</f>
        <v/>
      </c>
      <c r="AG474" s="5">
        <f>SUM($Y$2:Y474)</f>
        <v/>
      </c>
      <c r="AH474" s="7">
        <f>10000.0+SUM($AA$2:AA474)</f>
        <v/>
      </c>
      <c r="AI474" s="2" t="n">
        <v>2026</v>
      </c>
      <c r="AJ474" s="2" t="inlineStr">
        <is>
          <t>2026-04</t>
        </is>
      </c>
      <c r="AK474" s="2" t="inlineStr">
        <is>
          <t>+121 to +150</t>
        </is>
      </c>
      <c r="AL474" s="2" t="inlineStr">
        <is>
          <t>2026 Frozen Test</t>
        </is>
      </c>
      <c r="AM474" s="6" t="n">
        <v>0.1454419485617839</v>
      </c>
    </row>
    <row r="475">
      <c r="A475" s="2" t="inlineStr">
        <is>
          <t>KPROP-00474</t>
        </is>
      </c>
      <c r="B475" s="3" t="n">
        <v>46116.79905092593</v>
      </c>
      <c r="C475" s="3" t="n">
        <v>46116</v>
      </c>
      <c r="D475" s="2" t="inlineStr">
        <is>
          <t>Steven Matz</t>
        </is>
      </c>
      <c r="E475" s="2" t="n">
        <v>139</v>
      </c>
      <c r="F475" s="2" t="n">
        <v>142</v>
      </c>
      <c r="G475" s="2" t="inlineStr">
        <is>
          <t>Away</t>
        </is>
      </c>
      <c r="H475" s="2" t="inlineStr">
        <is>
          <t>bovada</t>
        </is>
      </c>
      <c r="I475" s="4" t="n"/>
      <c r="J475" s="4" t="n"/>
      <c r="K475" s="4" t="n">
        <v>-150</v>
      </c>
      <c r="L475" s="4" t="n">
        <v>-150</v>
      </c>
      <c r="M475" s="5" t="n">
        <v>4.5</v>
      </c>
      <c r="N475" s="5" t="n">
        <v>3.591661898992237</v>
      </c>
      <c r="O475" s="5" t="n">
        <v>4.5</v>
      </c>
      <c r="P475" s="5" t="n">
        <v>0.9083381010077631</v>
      </c>
      <c r="Q475" s="6" t="n">
        <v>0.1800535612642525</v>
      </c>
      <c r="R475" s="6" t="n">
        <v>0.7080321367585516</v>
      </c>
      <c r="S475" s="6" t="n">
        <v>0.5808885163453478</v>
      </c>
      <c r="T475" s="2" t="inlineStr">
        <is>
          <t>Under</t>
        </is>
      </c>
      <c r="U475" s="4" t="n">
        <v>-150</v>
      </c>
      <c r="V475" s="2" t="n">
        <v>1.666666666666667</v>
      </c>
      <c r="W475" s="4" t="n">
        <v>-150</v>
      </c>
      <c r="X475" s="2" t="n">
        <v>1</v>
      </c>
      <c r="Y475" s="5" t="n">
        <v>-1</v>
      </c>
      <c r="Z475" s="7" t="n">
        <v>100</v>
      </c>
      <c r="AA475" s="7">
        <f>Y475*Z475</f>
        <v/>
      </c>
      <c r="AB475" s="6">
        <f>IF(Z475=0,0,AA475/Z475)</f>
        <v/>
      </c>
      <c r="AC475" s="6" t="n"/>
      <c r="AD475" s="2" t="inlineStr">
        <is>
          <t>Loss</t>
        </is>
      </c>
      <c r="AE475" s="6">
        <f>IF((COUNTIF($AD$2:AD475,"Win")+COUNTIF($AD$2:AD475,"Loss"))=0,0,COUNTIF($AD$2:AD475,"Win")/(COUNTIF($AD$2:AD475,"Win")+COUNTIF($AD$2:AD475,"Loss")))</f>
        <v/>
      </c>
      <c r="AF475" s="6">
        <f>SUM($Y$2:Y475)/SUM($X$2:X475)</f>
        <v/>
      </c>
      <c r="AG475" s="5">
        <f>SUM($Y$2:Y475)</f>
        <v/>
      </c>
      <c r="AH475" s="7">
        <f>10000.0+SUM($AA$2:AA475)</f>
        <v/>
      </c>
      <c r="AI475" s="2" t="n">
        <v>2026</v>
      </c>
      <c r="AJ475" s="2" t="inlineStr">
        <is>
          <t>2026-04</t>
        </is>
      </c>
      <c r="AK475" s="2" t="inlineStr">
        <is>
          <t>&lt;= -150</t>
        </is>
      </c>
      <c r="AL475" s="2" t="inlineStr">
        <is>
          <t>2026 Frozen Test</t>
        </is>
      </c>
      <c r="AM475" s="6" t="n">
        <v>0.2700803418963789</v>
      </c>
    </row>
    <row r="476">
      <c r="A476" s="2" t="inlineStr">
        <is>
          <t>KPROP-00475</t>
        </is>
      </c>
      <c r="B476" s="3" t="n">
        <v>46116.67057870371</v>
      </c>
      <c r="C476" s="3" t="n">
        <v>46116</v>
      </c>
      <c r="D476" s="2" t="inlineStr">
        <is>
          <t>Tyler Glasnow</t>
        </is>
      </c>
      <c r="E476" s="2" t="n">
        <v>119</v>
      </c>
      <c r="F476" s="2" t="n">
        <v>120</v>
      </c>
      <c r="G476" s="2" t="inlineStr">
        <is>
          <t>Away</t>
        </is>
      </c>
      <c r="H476" s="2" t="inlineStr">
        <is>
          <t>betrivers</t>
        </is>
      </c>
      <c r="I476" s="4" t="n"/>
      <c r="J476" s="4" t="n"/>
      <c r="K476" s="4" t="n">
        <v>128</v>
      </c>
      <c r="L476" s="4" t="n">
        <v>128</v>
      </c>
      <c r="M476" s="5" t="n">
        <v>5.5</v>
      </c>
      <c r="N476" s="5" t="n">
        <v>5.38044886254231</v>
      </c>
      <c r="O476" s="5" t="n">
        <v>5.5</v>
      </c>
      <c r="P476" s="5" t="n">
        <v>0.1195511374576901</v>
      </c>
      <c r="Q476" s="6" t="n">
        <v>0.2528904809646865</v>
      </c>
      <c r="R476" s="6" t="n">
        <v>0.5495133688441607</v>
      </c>
      <c r="S476" s="6" t="n">
        <v>0.4080118694362018</v>
      </c>
      <c r="T476" s="2" t="inlineStr">
        <is>
          <t>Under</t>
        </is>
      </c>
      <c r="U476" s="4" t="n">
        <v>128</v>
      </c>
      <c r="V476" s="2" t="n">
        <v>2.28</v>
      </c>
      <c r="W476" s="4" t="n">
        <v>128</v>
      </c>
      <c r="X476" s="2" t="n">
        <v>1</v>
      </c>
      <c r="Y476" s="5" t="n">
        <v>-1</v>
      </c>
      <c r="Z476" s="7" t="n">
        <v>100</v>
      </c>
      <c r="AA476" s="7">
        <f>Y476*Z476</f>
        <v/>
      </c>
      <c r="AB476" s="6">
        <f>IF(Z476=0,0,AA476/Z476)</f>
        <v/>
      </c>
      <c r="AC476" s="6" t="n"/>
      <c r="AD476" s="2" t="inlineStr">
        <is>
          <t>Loss</t>
        </is>
      </c>
      <c r="AE476" s="6">
        <f>IF((COUNTIF($AD$2:AD476,"Win")+COUNTIF($AD$2:AD476,"Loss"))=0,0,COUNTIF($AD$2:AD476,"Win")/(COUNTIF($AD$2:AD476,"Win")+COUNTIF($AD$2:AD476,"Loss")))</f>
        <v/>
      </c>
      <c r="AF476" s="6">
        <f>SUM($Y$2:Y476)/SUM($X$2:X476)</f>
        <v/>
      </c>
      <c r="AG476" s="5">
        <f>SUM($Y$2:Y476)</f>
        <v/>
      </c>
      <c r="AH476" s="7">
        <f>10000.0+SUM($AA$2:AA476)</f>
        <v/>
      </c>
      <c r="AI476" s="2" t="n">
        <v>2026</v>
      </c>
      <c r="AJ476" s="2" t="inlineStr">
        <is>
          <t>2026-04</t>
        </is>
      </c>
      <c r="AK476" s="2" t="inlineStr">
        <is>
          <t>+121 to +150</t>
        </is>
      </c>
      <c r="AL476" s="2" t="inlineStr">
        <is>
          <t>2026 Frozen Test</t>
        </is>
      </c>
      <c r="AM476" s="6" t="n">
        <v>0.1975706882536613</v>
      </c>
    </row>
    <row r="477">
      <c r="A477" s="2" t="inlineStr">
        <is>
          <t>KPROP-00476</t>
        </is>
      </c>
      <c r="B477" s="3" t="n">
        <v>46116.67057870371</v>
      </c>
      <c r="C477" s="3" t="n">
        <v>46116</v>
      </c>
      <c r="D477" s="2" t="inlineStr">
        <is>
          <t>Tyler Glasnow</t>
        </is>
      </c>
      <c r="E477" s="2" t="n">
        <v>119</v>
      </c>
      <c r="F477" s="2" t="n">
        <v>120</v>
      </c>
      <c r="G477" s="2" t="inlineStr">
        <is>
          <t>Away</t>
        </is>
      </c>
      <c r="H477" s="2" t="inlineStr">
        <is>
          <t>draftkings</t>
        </is>
      </c>
      <c r="I477" s="4" t="n"/>
      <c r="J477" s="4" t="n"/>
      <c r="K477" s="4" t="n">
        <v>-145</v>
      </c>
      <c r="L477" s="4" t="n">
        <v>-145</v>
      </c>
      <c r="M477" s="5" t="n">
        <v>6.5</v>
      </c>
      <c r="N477" s="5" t="n">
        <v>5.38044886254231</v>
      </c>
      <c r="O477" s="5" t="n">
        <v>6.5</v>
      </c>
      <c r="P477" s="5" t="n">
        <v>1.11955113745769</v>
      </c>
      <c r="Q477" s="6" t="n">
        <v>0.1907150918319956</v>
      </c>
      <c r="R477" s="6" t="n">
        <v>0.7047089319005688</v>
      </c>
      <c r="S477" s="6" t="n">
        <v>0.5656028368794326</v>
      </c>
      <c r="T477" s="2" t="inlineStr">
        <is>
          <t>Under</t>
        </is>
      </c>
      <c r="U477" s="4" t="n">
        <v>-145</v>
      </c>
      <c r="V477" s="2" t="n">
        <v>1.689655172413793</v>
      </c>
      <c r="W477" s="4" t="n">
        <v>-145</v>
      </c>
      <c r="X477" s="2" t="n">
        <v>1</v>
      </c>
      <c r="Y477" s="5" t="n">
        <v>-1</v>
      </c>
      <c r="Z477" s="7" t="n">
        <v>100</v>
      </c>
      <c r="AA477" s="7">
        <f>Y477*Z477</f>
        <v/>
      </c>
      <c r="AB477" s="6">
        <f>IF(Z477=0,0,AA477/Z477)</f>
        <v/>
      </c>
      <c r="AC477" s="6" t="n"/>
      <c r="AD477" s="2" t="inlineStr">
        <is>
          <t>Loss</t>
        </is>
      </c>
      <c r="AE477" s="6">
        <f>IF((COUNTIF($AD$2:AD477,"Win")+COUNTIF($AD$2:AD477,"Loss"))=0,0,COUNTIF($AD$2:AD477,"Win")/(COUNTIF($AD$2:AD477,"Win")+COUNTIF($AD$2:AD477,"Loss")))</f>
        <v/>
      </c>
      <c r="AF477" s="6">
        <f>SUM($Y$2:Y477)/SUM($X$2:X477)</f>
        <v/>
      </c>
      <c r="AG477" s="5">
        <f>SUM($Y$2:Y477)</f>
        <v/>
      </c>
      <c r="AH477" s="7">
        <f>10000.0+SUM($AA$2:AA477)</f>
        <v/>
      </c>
      <c r="AI477" s="2" t="n">
        <v>2026</v>
      </c>
      <c r="AJ477" s="2" t="inlineStr">
        <is>
          <t>2026-04</t>
        </is>
      </c>
      <c r="AK477" s="2" t="inlineStr">
        <is>
          <t>-149 to -120</t>
        </is>
      </c>
      <c r="AL477" s="2" t="inlineStr">
        <is>
          <t>2026 Frozen Test</t>
        </is>
      </c>
      <c r="AM477" s="6" t="n">
        <v>0.2765368831563937</v>
      </c>
    </row>
    <row r="478">
      <c r="A478" s="2" t="inlineStr">
        <is>
          <t>KPROP-00477</t>
        </is>
      </c>
      <c r="B478" s="3" t="n">
        <v>46117.56640046297</v>
      </c>
      <c r="C478" s="3" t="n">
        <v>46117</v>
      </c>
      <c r="D478" s="2" t="inlineStr">
        <is>
          <t>Chris Bassitt</t>
        </is>
      </c>
      <c r="E478" s="2" t="n">
        <v>110</v>
      </c>
      <c r="F478" s="2" t="n">
        <v>134</v>
      </c>
      <c r="G478" s="2" t="inlineStr">
        <is>
          <t>Away</t>
        </is>
      </c>
      <c r="H478" s="2" t="inlineStr">
        <is>
          <t>betonlineag</t>
        </is>
      </c>
      <c r="I478" s="4" t="n"/>
      <c r="J478" s="4" t="n"/>
      <c r="K478" s="4" t="n">
        <v>128</v>
      </c>
      <c r="L478" s="4" t="n">
        <v>128</v>
      </c>
      <c r="M478" s="5" t="n">
        <v>4.5</v>
      </c>
      <c r="N478" s="5" t="n">
        <v>4.461877993258894</v>
      </c>
      <c r="O478" s="5" t="n">
        <v>4.5</v>
      </c>
      <c r="P478" s="5" t="n">
        <v>0.03812200674110588</v>
      </c>
      <c r="Q478" s="6" t="n">
        <v>0.2297280807571603</v>
      </c>
      <c r="R478" s="6" t="n">
        <v>0.5393544213847193</v>
      </c>
      <c r="S478" s="6" t="n">
        <v>0.4222972972972973</v>
      </c>
      <c r="T478" s="2" t="inlineStr">
        <is>
          <t>Under</t>
        </is>
      </c>
      <c r="U478" s="4" t="n">
        <v>128</v>
      </c>
      <c r="V478" s="2" t="n">
        <v>2.28</v>
      </c>
      <c r="W478" s="4" t="n">
        <v>128</v>
      </c>
      <c r="X478" s="2" t="n">
        <v>1</v>
      </c>
      <c r="Y478" s="5" t="n">
        <v>1.28</v>
      </c>
      <c r="Z478" s="7" t="n">
        <v>100</v>
      </c>
      <c r="AA478" s="7">
        <f>Y478*Z478</f>
        <v/>
      </c>
      <c r="AB478" s="6">
        <f>IF(Z478=0,0,AA478/Z478)</f>
        <v/>
      </c>
      <c r="AC478" s="6" t="n"/>
      <c r="AD478" s="2" t="inlineStr">
        <is>
          <t>Win</t>
        </is>
      </c>
      <c r="AE478" s="6">
        <f>IF((COUNTIF($AD$2:AD478,"Win")+COUNTIF($AD$2:AD478,"Loss"))=0,0,COUNTIF($AD$2:AD478,"Win")/(COUNTIF($AD$2:AD478,"Win")+COUNTIF($AD$2:AD478,"Loss")))</f>
        <v/>
      </c>
      <c r="AF478" s="6">
        <f>SUM($Y$2:Y478)/SUM($X$2:X478)</f>
        <v/>
      </c>
      <c r="AG478" s="5">
        <f>SUM($Y$2:Y478)</f>
        <v/>
      </c>
      <c r="AH478" s="7">
        <f>10000.0+SUM($AA$2:AA478)</f>
        <v/>
      </c>
      <c r="AI478" s="2" t="n">
        <v>2026</v>
      </c>
      <c r="AJ478" s="2" t="inlineStr">
        <is>
          <t>2026-04</t>
        </is>
      </c>
      <c r="AK478" s="2" t="inlineStr">
        <is>
          <t>+121 to +150</t>
        </is>
      </c>
      <c r="AL478" s="2" t="inlineStr">
        <is>
          <t>2026 Frozen Test</t>
        </is>
      </c>
      <c r="AM478" s="6" t="n">
        <v>0.1794750630915314</v>
      </c>
    </row>
    <row r="479">
      <c r="A479" s="2" t="inlineStr">
        <is>
          <t>KPROP-00478</t>
        </is>
      </c>
      <c r="B479" s="3" t="n">
        <v>46117.56640046297</v>
      </c>
      <c r="C479" s="3" t="n">
        <v>46117</v>
      </c>
      <c r="D479" s="2" t="inlineStr">
        <is>
          <t>Chris Bassitt</t>
        </is>
      </c>
      <c r="E479" s="2" t="n">
        <v>110</v>
      </c>
      <c r="F479" s="2" t="n">
        <v>134</v>
      </c>
      <c r="G479" s="2" t="inlineStr">
        <is>
          <t>Away</t>
        </is>
      </c>
      <c r="H479" s="2" t="inlineStr">
        <is>
          <t>betmgm</t>
        </is>
      </c>
      <c r="I479" s="4" t="n"/>
      <c r="J479" s="4" t="n"/>
      <c r="K479" s="4" t="n">
        <v>-150</v>
      </c>
      <c r="L479" s="4" t="n">
        <v>-150</v>
      </c>
      <c r="M479" s="5" t="n">
        <v>5.5</v>
      </c>
      <c r="N479" s="5" t="n">
        <v>4.461877993258894</v>
      </c>
      <c r="O479" s="5" t="n">
        <v>5.5</v>
      </c>
      <c r="P479" s="5" t="n">
        <v>1.038122006741106</v>
      </c>
      <c r="Q479" s="6" t="n">
        <v>0.1823808914073607</v>
      </c>
      <c r="R479" s="6" t="n">
        <v>0.7094285348444165</v>
      </c>
      <c r="S479" s="6" t="n">
        <v>0.5777027027027027</v>
      </c>
      <c r="T479" s="2" t="inlineStr">
        <is>
          <t>Under</t>
        </is>
      </c>
      <c r="U479" s="4" t="n">
        <v>-150</v>
      </c>
      <c r="V479" s="2" t="n">
        <v>1.666666666666667</v>
      </c>
      <c r="W479" s="4" t="n">
        <v>-150</v>
      </c>
      <c r="X479" s="2" t="n">
        <v>1</v>
      </c>
      <c r="Y479" s="5" t="n">
        <v>0.6666666666666665</v>
      </c>
      <c r="Z479" s="7" t="n">
        <v>100</v>
      </c>
      <c r="AA479" s="7">
        <f>Y479*Z479</f>
        <v/>
      </c>
      <c r="AB479" s="6">
        <f>IF(Z479=0,0,AA479/Z479)</f>
        <v/>
      </c>
      <c r="AC479" s="6" t="n"/>
      <c r="AD479" s="2" t="inlineStr">
        <is>
          <t>Win</t>
        </is>
      </c>
      <c r="AE479" s="6">
        <f>IF((COUNTIF($AD$2:AD479,"Win")+COUNTIF($AD$2:AD479,"Loss"))=0,0,COUNTIF($AD$2:AD479,"Win")/(COUNTIF($AD$2:AD479,"Win")+COUNTIF($AD$2:AD479,"Loss")))</f>
        <v/>
      </c>
      <c r="AF479" s="6">
        <f>SUM($Y$2:Y479)/SUM($X$2:X479)</f>
        <v/>
      </c>
      <c r="AG479" s="5">
        <f>SUM($Y$2:Y479)</f>
        <v/>
      </c>
      <c r="AH479" s="7">
        <f>10000.0+SUM($AA$2:AA479)</f>
        <v/>
      </c>
      <c r="AI479" s="2" t="n">
        <v>2026</v>
      </c>
      <c r="AJ479" s="2" t="inlineStr">
        <is>
          <t>2026-04</t>
        </is>
      </c>
      <c r="AK479" s="2" t="inlineStr">
        <is>
          <t>&lt;= -150</t>
        </is>
      </c>
      <c r="AL479" s="2" t="inlineStr">
        <is>
          <t>2026 Frozen Test</t>
        </is>
      </c>
      <c r="AM479" s="6" t="n">
        <v>0.2735713371110411</v>
      </c>
    </row>
    <row r="480">
      <c r="A480" s="2" t="inlineStr">
        <is>
          <t>KPROP-00479</t>
        </is>
      </c>
      <c r="B480" s="3" t="n">
        <v>46117.67056712963</v>
      </c>
      <c r="C480" s="3" t="n">
        <v>46117</v>
      </c>
      <c r="D480" s="2" t="inlineStr">
        <is>
          <t>Jacob Lopez</t>
        </is>
      </c>
      <c r="E480" s="2" t="n">
        <v>133</v>
      </c>
      <c r="F480" s="2" t="n">
        <v>117</v>
      </c>
      <c r="G480" s="2" t="inlineStr">
        <is>
          <t>Home</t>
        </is>
      </c>
      <c r="H480" s="2" t="inlineStr">
        <is>
          <t>betrivers</t>
        </is>
      </c>
      <c r="I480" s="4" t="n"/>
      <c r="J480" s="4" t="n"/>
      <c r="K480" s="4" t="n">
        <v>145</v>
      </c>
      <c r="L480" s="4" t="n">
        <v>145</v>
      </c>
      <c r="M480" s="5" t="n">
        <v>4.5</v>
      </c>
      <c r="N480" s="5" t="n">
        <v>4.929087586735381</v>
      </c>
      <c r="O480" s="5" t="n">
        <v>4.5</v>
      </c>
      <c r="P480" s="5" t="n">
        <v>-0.4290875867353812</v>
      </c>
      <c r="Q480" s="6" t="n">
        <v>0.1099064849610467</v>
      </c>
      <c r="R480" s="6" t="n">
        <v>0.4530230550861415</v>
      </c>
      <c r="S480" s="6" t="n">
        <v>0.4017329657345411</v>
      </c>
      <c r="T480" s="2" t="inlineStr">
        <is>
          <t>Under</t>
        </is>
      </c>
      <c r="U480" s="4" t="n">
        <v>145</v>
      </c>
      <c r="V480" s="2" t="n">
        <v>2.45</v>
      </c>
      <c r="W480" s="4" t="n">
        <v>145</v>
      </c>
      <c r="X480" s="2" t="n">
        <v>1</v>
      </c>
      <c r="Y480" s="5" t="n">
        <v>-1</v>
      </c>
      <c r="Z480" s="7" t="n">
        <v>100</v>
      </c>
      <c r="AA480" s="7">
        <f>Y480*Z480</f>
        <v/>
      </c>
      <c r="AB480" s="6">
        <f>IF(Z480=0,0,AA480/Z480)</f>
        <v/>
      </c>
      <c r="AC480" s="6" t="n"/>
      <c r="AD480" s="2" t="inlineStr">
        <is>
          <t>Loss</t>
        </is>
      </c>
      <c r="AE480" s="6">
        <f>IF((COUNTIF($AD$2:AD480,"Win")+COUNTIF($AD$2:AD480,"Loss"))=0,0,COUNTIF($AD$2:AD480,"Win")/(COUNTIF($AD$2:AD480,"Win")+COUNTIF($AD$2:AD480,"Loss")))</f>
        <v/>
      </c>
      <c r="AF480" s="6">
        <f>SUM($Y$2:Y480)/SUM($X$2:X480)</f>
        <v/>
      </c>
      <c r="AG480" s="5">
        <f>SUM($Y$2:Y480)</f>
        <v/>
      </c>
      <c r="AH480" s="7">
        <f>10000.0+SUM($AA$2:AA480)</f>
        <v/>
      </c>
      <c r="AI480" s="2" t="n">
        <v>2026</v>
      </c>
      <c r="AJ480" s="2" t="inlineStr">
        <is>
          <t>2026-04</t>
        </is>
      </c>
      <c r="AK480" s="2" t="inlineStr">
        <is>
          <t>+121 to +150</t>
        </is>
      </c>
      <c r="AL480" s="2" t="inlineStr">
        <is>
          <t>2026 Frozen Test</t>
        </is>
      </c>
      <c r="AM480" s="6" t="n">
        <v>0.07579757583520462</v>
      </c>
    </row>
    <row r="481">
      <c r="A481" s="2" t="inlineStr">
        <is>
          <t>KPROP-00480</t>
        </is>
      </c>
      <c r="B481" s="3" t="n">
        <v>46117.67056712963</v>
      </c>
      <c r="C481" s="3" t="n">
        <v>46117</v>
      </c>
      <c r="D481" s="2" t="inlineStr">
        <is>
          <t>Jacob Lopez</t>
        </is>
      </c>
      <c r="E481" s="2" t="n">
        <v>133</v>
      </c>
      <c r="F481" s="2" t="n">
        <v>117</v>
      </c>
      <c r="G481" s="2" t="inlineStr">
        <is>
          <t>Home</t>
        </is>
      </c>
      <c r="H481" s="2" t="inlineStr">
        <is>
          <t>betrivers</t>
        </is>
      </c>
      <c r="I481" s="4" t="n"/>
      <c r="J481" s="4" t="n"/>
      <c r="K481" s="4" t="n">
        <v>-139</v>
      </c>
      <c r="L481" s="4" t="n">
        <v>-139</v>
      </c>
      <c r="M481" s="5" t="n">
        <v>5.5</v>
      </c>
      <c r="N481" s="5" t="n">
        <v>4.929087586735381</v>
      </c>
      <c r="O481" s="5" t="n">
        <v>5.5</v>
      </c>
      <c r="P481" s="5" t="n">
        <v>0.5709124132646188</v>
      </c>
      <c r="Q481" s="6" t="n">
        <v>0.08048868521060398</v>
      </c>
      <c r="R481" s="6" t="n">
        <v>0.6284013692229036</v>
      </c>
      <c r="S481" s="6" t="n">
        <v>0.5556381890861765</v>
      </c>
      <c r="T481" s="2" t="inlineStr">
        <is>
          <t>Under</t>
        </is>
      </c>
      <c r="U481" s="4" t="n">
        <v>-139</v>
      </c>
      <c r="V481" s="2" t="n">
        <v>1.719424460431655</v>
      </c>
      <c r="W481" s="4" t="n">
        <v>-139</v>
      </c>
      <c r="X481" s="2" t="n">
        <v>1</v>
      </c>
      <c r="Y481" s="5" t="n">
        <v>-1</v>
      </c>
      <c r="Z481" s="7" t="n">
        <v>100</v>
      </c>
      <c r="AA481" s="7">
        <f>Y481*Z481</f>
        <v/>
      </c>
      <c r="AB481" s="6">
        <f>IF(Z481=0,0,AA481/Z481)</f>
        <v/>
      </c>
      <c r="AC481" s="6" t="n"/>
      <c r="AD481" s="2" t="inlineStr">
        <is>
          <t>Loss</t>
        </is>
      </c>
      <c r="AE481" s="6">
        <f>IF((COUNTIF($AD$2:AD481,"Win")+COUNTIF($AD$2:AD481,"Loss"))=0,0,COUNTIF($AD$2:AD481,"Win")/(COUNTIF($AD$2:AD481,"Win")+COUNTIF($AD$2:AD481,"Loss")))</f>
        <v/>
      </c>
      <c r="AF481" s="6">
        <f>SUM($Y$2:Y481)/SUM($X$2:X481)</f>
        <v/>
      </c>
      <c r="AG481" s="5">
        <f>SUM($Y$2:Y481)</f>
        <v/>
      </c>
      <c r="AH481" s="7">
        <f>10000.0+SUM($AA$2:AA481)</f>
        <v/>
      </c>
      <c r="AI481" s="2" t="n">
        <v>2026</v>
      </c>
      <c r="AJ481" s="2" t="inlineStr">
        <is>
          <t>2026-04</t>
        </is>
      </c>
      <c r="AK481" s="2" t="inlineStr">
        <is>
          <t>-149 to -120</t>
        </is>
      </c>
      <c r="AL481" s="2" t="inlineStr">
        <is>
          <t>2026 Frozen Test</t>
        </is>
      </c>
      <c r="AM481" s="6" t="n">
        <v>0.1118792724427395</v>
      </c>
    </row>
    <row r="482">
      <c r="A482" s="2" t="inlineStr">
        <is>
          <t>KPROP-00481</t>
        </is>
      </c>
      <c r="B482" s="3" t="n">
        <v>46117.67056712963</v>
      </c>
      <c r="C482" s="3" t="n">
        <v>46117</v>
      </c>
      <c r="D482" s="2" t="inlineStr">
        <is>
          <t>Kodai Senga</t>
        </is>
      </c>
      <c r="E482" s="2" t="n">
        <v>121</v>
      </c>
      <c r="F482" s="2" t="n">
        <v>137</v>
      </c>
      <c r="G482" s="2" t="inlineStr">
        <is>
          <t>Away</t>
        </is>
      </c>
      <c r="H482" s="2" t="inlineStr">
        <is>
          <t>draftkings</t>
        </is>
      </c>
      <c r="I482" s="4" t="n"/>
      <c r="J482" s="4" t="n"/>
      <c r="K482" s="4" t="n">
        <v>-117</v>
      </c>
      <c r="L482" s="4" t="n">
        <v>-117</v>
      </c>
      <c r="M482" s="5" t="n">
        <v>5.5</v>
      </c>
      <c r="N482" s="5" t="n">
        <v>4.651703958215895</v>
      </c>
      <c r="O482" s="5" t="n">
        <v>5.5</v>
      </c>
      <c r="P482" s="5" t="n">
        <v>0.8482960417841054</v>
      </c>
      <c r="Q482" s="6" t="n">
        <v>0.2552988254585838</v>
      </c>
      <c r="R482" s="6" t="n">
        <v>0.6768201040490982</v>
      </c>
      <c r="S482" s="6" t="n">
        <v>0.5188470066518847</v>
      </c>
      <c r="T482" s="2" t="inlineStr">
        <is>
          <t>Under</t>
        </is>
      </c>
      <c r="U482" s="4" t="n">
        <v>-117</v>
      </c>
      <c r="V482" s="2" t="n">
        <v>1.854700854700855</v>
      </c>
      <c r="W482" s="4" t="n">
        <v>-117</v>
      </c>
      <c r="X482" s="2" t="n">
        <v>1</v>
      </c>
      <c r="Y482" s="5" t="n">
        <v>-1</v>
      </c>
      <c r="Z482" s="7" t="n">
        <v>100</v>
      </c>
      <c r="AA482" s="7">
        <f>Y482*Z482</f>
        <v/>
      </c>
      <c r="AB482" s="6">
        <f>IF(Z482=0,0,AA482/Z482)</f>
        <v/>
      </c>
      <c r="AC482" s="6" t="n"/>
      <c r="AD482" s="2" t="inlineStr">
        <is>
          <t>Loss</t>
        </is>
      </c>
      <c r="AE482" s="6">
        <f>IF((COUNTIF($AD$2:AD482,"Win")+COUNTIF($AD$2:AD482,"Loss"))=0,0,COUNTIF($AD$2:AD482,"Win")/(COUNTIF($AD$2:AD482,"Win")+COUNTIF($AD$2:AD482,"Loss")))</f>
        <v/>
      </c>
      <c r="AF482" s="6">
        <f>SUM($Y$2:Y482)/SUM($X$2:X482)</f>
        <v/>
      </c>
      <c r="AG482" s="5">
        <f>SUM($Y$2:Y482)</f>
        <v/>
      </c>
      <c r="AH482" s="7">
        <f>10000.0+SUM($AA$2:AA482)</f>
        <v/>
      </c>
      <c r="AI482" s="2" t="n">
        <v>2026</v>
      </c>
      <c r="AJ482" s="2" t="inlineStr">
        <is>
          <t>2026-04</t>
        </is>
      </c>
      <c r="AK482" s="2" t="inlineStr">
        <is>
          <t>-119 to -101</t>
        </is>
      </c>
      <c r="AL482" s="2" t="inlineStr">
        <is>
          <t>2026 Frozen Test</t>
        </is>
      </c>
      <c r="AM482" s="6" t="n">
        <v>0.2986996257865431</v>
      </c>
    </row>
    <row r="483">
      <c r="A483" s="2" t="inlineStr">
        <is>
          <t>KPROP-00482</t>
        </is>
      </c>
      <c r="B483" s="3" t="n">
        <v>46117.59070601852</v>
      </c>
      <c r="C483" s="3" t="n">
        <v>46117</v>
      </c>
      <c r="D483" s="2" t="inlineStr">
        <is>
          <t>Kris Bubic</t>
        </is>
      </c>
      <c r="E483" s="2" t="n">
        <v>118</v>
      </c>
      <c r="F483" s="2" t="n">
        <v>158</v>
      </c>
      <c r="G483" s="2" t="inlineStr">
        <is>
          <t>Home</t>
        </is>
      </c>
      <c r="H483" s="2" t="inlineStr">
        <is>
          <t>betrivers</t>
        </is>
      </c>
      <c r="I483" s="4" t="n"/>
      <c r="J483" s="4" t="n"/>
      <c r="K483" s="4" t="n">
        <v>138</v>
      </c>
      <c r="L483" s="4" t="n">
        <v>138</v>
      </c>
      <c r="M483" s="5" t="n">
        <v>4.5</v>
      </c>
      <c r="N483" s="5" t="n">
        <v>4.593314546834275</v>
      </c>
      <c r="O483" s="5" t="n">
        <v>4.5</v>
      </c>
      <c r="P483" s="5" t="n">
        <v>-0.09331454683427509</v>
      </c>
      <c r="Q483" s="6" t="n">
        <v>0.2244820435385124</v>
      </c>
      <c r="R483" s="6" t="n">
        <v>0.5144882535876103</v>
      </c>
      <c r="S483" s="6" t="n">
        <v>0.3907302613850714</v>
      </c>
      <c r="T483" s="2" t="inlineStr">
        <is>
          <t>Under</t>
        </is>
      </c>
      <c r="U483" s="4" t="n">
        <v>138</v>
      </c>
      <c r="V483" s="2" t="n">
        <v>2.38</v>
      </c>
      <c r="W483" s="4" t="n">
        <v>138</v>
      </c>
      <c r="X483" s="2" t="n">
        <v>1</v>
      </c>
      <c r="Y483" s="5" t="n">
        <v>-1</v>
      </c>
      <c r="Z483" s="7" t="n">
        <v>100</v>
      </c>
      <c r="AA483" s="7">
        <f>Y483*Z483</f>
        <v/>
      </c>
      <c r="AB483" s="6">
        <f>IF(Z483=0,0,AA483/Z483)</f>
        <v/>
      </c>
      <c r="AC483" s="6" t="n"/>
      <c r="AD483" s="2" t="inlineStr">
        <is>
          <t>Loss</t>
        </is>
      </c>
      <c r="AE483" s="6">
        <f>IF((COUNTIF($AD$2:AD483,"Win")+COUNTIF($AD$2:AD483,"Loss"))=0,0,COUNTIF($AD$2:AD483,"Win")/(COUNTIF($AD$2:AD483,"Win")+COUNTIF($AD$2:AD483,"Loss")))</f>
        <v/>
      </c>
      <c r="AF483" s="6">
        <f>SUM($Y$2:Y483)/SUM($X$2:X483)</f>
        <v/>
      </c>
      <c r="AG483" s="5">
        <f>SUM($Y$2:Y483)</f>
        <v/>
      </c>
      <c r="AH483" s="7">
        <f>10000.0+SUM($AA$2:AA483)</f>
        <v/>
      </c>
      <c r="AI483" s="2" t="n">
        <v>2026</v>
      </c>
      <c r="AJ483" s="2" t="inlineStr">
        <is>
          <t>2026-04</t>
        </is>
      </c>
      <c r="AK483" s="2" t="inlineStr">
        <is>
          <t>+121 to +150</t>
        </is>
      </c>
      <c r="AL483" s="2" t="inlineStr">
        <is>
          <t>2026 Frozen Test</t>
        </is>
      </c>
      <c r="AM483" s="6" t="n">
        <v>0.1626681474916757</v>
      </c>
    </row>
    <row r="484">
      <c r="A484" s="2" t="inlineStr">
        <is>
          <t>KPROP-00483</t>
        </is>
      </c>
      <c r="B484" s="3" t="n">
        <v>46117.59070601852</v>
      </c>
      <c r="C484" s="3" t="n">
        <v>46117</v>
      </c>
      <c r="D484" s="2" t="inlineStr">
        <is>
          <t>Kris Bubic</t>
        </is>
      </c>
      <c r="E484" s="2" t="n">
        <v>118</v>
      </c>
      <c r="F484" s="2" t="n">
        <v>158</v>
      </c>
      <c r="G484" s="2" t="inlineStr">
        <is>
          <t>Home</t>
        </is>
      </c>
      <c r="H484" s="2" t="inlineStr">
        <is>
          <t>betmgm</t>
        </is>
      </c>
      <c r="I484" s="4" t="n"/>
      <c r="J484" s="4" t="n"/>
      <c r="K484" s="4" t="n">
        <v>-140</v>
      </c>
      <c r="L484" s="4" t="n">
        <v>-140</v>
      </c>
      <c r="M484" s="5" t="n">
        <v>5.5</v>
      </c>
      <c r="N484" s="5" t="n">
        <v>4.593314546834275</v>
      </c>
      <c r="O484" s="5" t="n">
        <v>5.5</v>
      </c>
      <c r="P484" s="5" t="n">
        <v>0.9066854531657249</v>
      </c>
      <c r="Q484" s="6" t="n">
        <v>0.177564414406533</v>
      </c>
      <c r="R484" s="6" t="n">
        <v>0.6869125750704775</v>
      </c>
      <c r="S484" s="6" t="n">
        <v>0.5575221238938054</v>
      </c>
      <c r="T484" s="2" t="inlineStr">
        <is>
          <t>Under</t>
        </is>
      </c>
      <c r="U484" s="4" t="n">
        <v>-140</v>
      </c>
      <c r="V484" s="2" t="n">
        <v>1.714285714285714</v>
      </c>
      <c r="W484" s="4" t="n">
        <v>-140</v>
      </c>
      <c r="X484" s="2" t="n">
        <v>1</v>
      </c>
      <c r="Y484" s="5" t="n">
        <v>-1</v>
      </c>
      <c r="Z484" s="7" t="n">
        <v>100</v>
      </c>
      <c r="AA484" s="7">
        <f>Y484*Z484</f>
        <v/>
      </c>
      <c r="AB484" s="6">
        <f>IF(Z484=0,0,AA484/Z484)</f>
        <v/>
      </c>
      <c r="AC484" s="6" t="n"/>
      <c r="AD484" s="2" t="inlineStr">
        <is>
          <t>Loss</t>
        </is>
      </c>
      <c r="AE484" s="6">
        <f>IF((COUNTIF($AD$2:AD484,"Win")+COUNTIF($AD$2:AD484,"Loss"))=0,0,COUNTIF($AD$2:AD484,"Win")/(COUNTIF($AD$2:AD484,"Win")+COUNTIF($AD$2:AD484,"Loss")))</f>
        <v/>
      </c>
      <c r="AF484" s="6">
        <f>SUM($Y$2:Y484)/SUM($X$2:X484)</f>
        <v/>
      </c>
      <c r="AG484" s="5">
        <f>SUM($Y$2:Y484)</f>
        <v/>
      </c>
      <c r="AH484" s="7">
        <f>10000.0+SUM($AA$2:AA484)</f>
        <v/>
      </c>
      <c r="AI484" s="2" t="n">
        <v>2026</v>
      </c>
      <c r="AJ484" s="2" t="inlineStr">
        <is>
          <t>2026-04</t>
        </is>
      </c>
      <c r="AK484" s="2" t="inlineStr">
        <is>
          <t>-149 to -120</t>
        </is>
      </c>
      <c r="AL484" s="2" t="inlineStr">
        <is>
          <t>2026 Frozen Test</t>
        </is>
      </c>
      <c r="AM484" s="6" t="n">
        <v>0.2485901801691462</v>
      </c>
    </row>
    <row r="485">
      <c r="A485" s="2" t="inlineStr">
        <is>
          <t>KPROP-00484</t>
        </is>
      </c>
      <c r="B485" s="3" t="n">
        <v>46117.59070601852</v>
      </c>
      <c r="C485" s="3" t="n">
        <v>46117</v>
      </c>
      <c r="D485" s="2" t="inlineStr">
        <is>
          <t>Kyle Harrison</t>
        </is>
      </c>
      <c r="E485" s="2" t="n">
        <v>158</v>
      </c>
      <c r="F485" s="2" t="n">
        <v>118</v>
      </c>
      <c r="G485" s="2" t="inlineStr">
        <is>
          <t>Away</t>
        </is>
      </c>
      <c r="H485" s="2" t="inlineStr">
        <is>
          <t>fanduel</t>
        </is>
      </c>
      <c r="I485" s="4" t="n"/>
      <c r="J485" s="4" t="n"/>
      <c r="K485" s="4" t="n">
        <v>116</v>
      </c>
      <c r="L485" s="4" t="n">
        <v>116</v>
      </c>
      <c r="M485" s="5" t="n">
        <v>4.5</v>
      </c>
      <c r="N485" s="5" t="n">
        <v>4.569384142813347</v>
      </c>
      <c r="O485" s="5" t="n">
        <v>4.5</v>
      </c>
      <c r="P485" s="5" t="n">
        <v>-0.06938414281334726</v>
      </c>
      <c r="Q485" s="6" t="n">
        <v>0.1210111227285579</v>
      </c>
      <c r="R485" s="6" t="n">
        <v>0.5189866308928508</v>
      </c>
      <c r="S485" s="6" t="n">
        <v>0.4417479287337782</v>
      </c>
      <c r="T485" s="2" t="inlineStr">
        <is>
          <t>Under</t>
        </is>
      </c>
      <c r="U485" s="4" t="n">
        <v>116</v>
      </c>
      <c r="V485" s="2" t="n">
        <v>2.16</v>
      </c>
      <c r="W485" s="4" t="n">
        <v>116</v>
      </c>
      <c r="X485" s="2" t="n">
        <v>1</v>
      </c>
      <c r="Y485" s="5" t="n">
        <v>-1</v>
      </c>
      <c r="Z485" s="7" t="n">
        <v>100</v>
      </c>
      <c r="AA485" s="7">
        <f>Y485*Z485</f>
        <v/>
      </c>
      <c r="AB485" s="6">
        <f>IF(Z485=0,0,AA485/Z485)</f>
        <v/>
      </c>
      <c r="AC485" s="6" t="n"/>
      <c r="AD485" s="2" t="inlineStr">
        <is>
          <t>Loss</t>
        </is>
      </c>
      <c r="AE485" s="6">
        <f>IF((COUNTIF($AD$2:AD485,"Win")+COUNTIF($AD$2:AD485,"Loss"))=0,0,COUNTIF($AD$2:AD485,"Win")/(COUNTIF($AD$2:AD485,"Win")+COUNTIF($AD$2:AD485,"Loss")))</f>
        <v/>
      </c>
      <c r="AF485" s="6">
        <f>SUM($Y$2:Y485)/SUM($X$2:X485)</f>
        <v/>
      </c>
      <c r="AG485" s="5">
        <f>SUM($Y$2:Y485)</f>
        <v/>
      </c>
      <c r="AH485" s="7">
        <f>10000.0+SUM($AA$2:AA485)</f>
        <v/>
      </c>
      <c r="AI485" s="2" t="n">
        <v>2026</v>
      </c>
      <c r="AJ485" s="2" t="inlineStr">
        <is>
          <t>2026-04</t>
        </is>
      </c>
      <c r="AK485" s="2" t="inlineStr">
        <is>
          <t>+100 to +120</t>
        </is>
      </c>
      <c r="AL485" s="2" t="inlineStr">
        <is>
          <t>2026 Frozen Test</t>
        </is>
      </c>
      <c r="AM485" s="6" t="n">
        <v>0.1043199333866878</v>
      </c>
    </row>
    <row r="486">
      <c r="A486" s="2" t="inlineStr">
        <is>
          <t>KPROP-00485</t>
        </is>
      </c>
      <c r="B486" s="3" t="n">
        <v>46117.80599537037</v>
      </c>
      <c r="C486" s="3" t="n">
        <v>46117</v>
      </c>
      <c r="D486" s="2" t="inlineStr">
        <is>
          <t>Kyle Leahy</t>
        </is>
      </c>
      <c r="E486" s="2" t="n">
        <v>138</v>
      </c>
      <c r="F486" s="2" t="n">
        <v>116</v>
      </c>
      <c r="G486" s="2" t="inlineStr">
        <is>
          <t>Away</t>
        </is>
      </c>
      <c r="H486" s="2" t="inlineStr">
        <is>
          <t>betmgm</t>
        </is>
      </c>
      <c r="I486" s="4" t="n"/>
      <c r="J486" s="4" t="n"/>
      <c r="K486" s="4" t="n">
        <v>120</v>
      </c>
      <c r="L486" s="4" t="n">
        <v>120</v>
      </c>
      <c r="M486" s="5" t="n">
        <v>3.5</v>
      </c>
      <c r="N486" s="5" t="n">
        <v>2.914101477703026</v>
      </c>
      <c r="O486" s="5" t="n">
        <v>3.5</v>
      </c>
      <c r="P486" s="5" t="n">
        <v>0.5858985222969744</v>
      </c>
      <c r="Q486" s="6" t="n">
        <v>0.4662312461061785</v>
      </c>
      <c r="R486" s="6" t="n">
        <v>0.6664687482300811</v>
      </c>
      <c r="S486" s="6" t="n">
        <v>0.4417293233082706</v>
      </c>
      <c r="T486" s="2" t="inlineStr">
        <is>
          <t>Under</t>
        </is>
      </c>
      <c r="U486" s="4" t="n">
        <v>120</v>
      </c>
      <c r="V486" s="2" t="n">
        <v>2.2</v>
      </c>
      <c r="W486" s="4" t="n">
        <v>120</v>
      </c>
      <c r="X486" s="2" t="n">
        <v>1</v>
      </c>
      <c r="Y486" s="5" t="n">
        <v>-1</v>
      </c>
      <c r="Z486" s="7" t="n">
        <v>100</v>
      </c>
      <c r="AA486" s="7">
        <f>Y486*Z486</f>
        <v/>
      </c>
      <c r="AB486" s="6">
        <f>IF(Z486=0,0,AA486/Z486)</f>
        <v/>
      </c>
      <c r="AC486" s="6" t="n"/>
      <c r="AD486" s="2" t="inlineStr">
        <is>
          <t>Loss</t>
        </is>
      </c>
      <c r="AE486" s="6">
        <f>IF((COUNTIF($AD$2:AD486,"Win")+COUNTIF($AD$2:AD486,"Loss"))=0,0,COUNTIF($AD$2:AD486,"Win")/(COUNTIF($AD$2:AD486,"Win")+COUNTIF($AD$2:AD486,"Loss")))</f>
        <v/>
      </c>
      <c r="AF486" s="6">
        <f>SUM($Y$2:Y486)/SUM($X$2:X486)</f>
        <v/>
      </c>
      <c r="AG486" s="5">
        <f>SUM($Y$2:Y486)</f>
        <v/>
      </c>
      <c r="AH486" s="7">
        <f>10000.0+SUM($AA$2:AA486)</f>
        <v/>
      </c>
      <c r="AI486" s="2" t="n">
        <v>2026</v>
      </c>
      <c r="AJ486" s="2" t="inlineStr">
        <is>
          <t>2026-04</t>
        </is>
      </c>
      <c r="AK486" s="2" t="inlineStr">
        <is>
          <t>+100 to +120</t>
        </is>
      </c>
      <c r="AL486" s="2" t="inlineStr">
        <is>
          <t>2026 Frozen Test</t>
        </is>
      </c>
      <c r="AM486" s="6" t="n">
        <v>0.3885260384218154</v>
      </c>
    </row>
    <row r="487">
      <c r="A487" s="2" t="inlineStr">
        <is>
          <t>KPROP-00486</t>
        </is>
      </c>
      <c r="B487" s="3" t="n">
        <v>46117.67056712963</v>
      </c>
      <c r="C487" s="3" t="n">
        <v>46117</v>
      </c>
      <c r="D487" s="2" t="inlineStr">
        <is>
          <t>Lance McCullers Jr.</t>
        </is>
      </c>
      <c r="E487" s="2" t="n">
        <v>117</v>
      </c>
      <c r="F487" s="2" t="n">
        <v>133</v>
      </c>
      <c r="G487" s="2" t="inlineStr">
        <is>
          <t>Away</t>
        </is>
      </c>
      <c r="H487" s="2" t="inlineStr">
        <is>
          <t>betrivers</t>
        </is>
      </c>
      <c r="I487" s="4" t="n"/>
      <c r="J487" s="4" t="n"/>
      <c r="K487" s="4" t="n">
        <v>123</v>
      </c>
      <c r="L487" s="4" t="n">
        <v>123</v>
      </c>
      <c r="M487" s="5" t="n">
        <v>5.5</v>
      </c>
      <c r="N487" s="5" t="n">
        <v>4.733512723928393</v>
      </c>
      <c r="O487" s="5" t="n">
        <v>5.5</v>
      </c>
      <c r="P487" s="5" t="n">
        <v>0.766487276071607</v>
      </c>
      <c r="Q487" s="6" t="n">
        <v>0.4776135871632783</v>
      </c>
      <c r="R487" s="6" t="n">
        <v>0.6626069897593176</v>
      </c>
      <c r="S487" s="6" t="n">
        <v>0.4215304798962387</v>
      </c>
      <c r="T487" s="2" t="inlineStr">
        <is>
          <t>Under</t>
        </is>
      </c>
      <c r="U487" s="4" t="n">
        <v>123</v>
      </c>
      <c r="V487" s="2" t="n">
        <v>2.23</v>
      </c>
      <c r="W487" s="4" t="n">
        <v>123</v>
      </c>
      <c r="X487" s="2" t="n">
        <v>1</v>
      </c>
      <c r="Y487" s="5" t="n">
        <v>1.23</v>
      </c>
      <c r="Z487" s="7" t="n">
        <v>100</v>
      </c>
      <c r="AA487" s="7">
        <f>Y487*Z487</f>
        <v/>
      </c>
      <c r="AB487" s="6">
        <f>IF(Z487=0,0,AA487/Z487)</f>
        <v/>
      </c>
      <c r="AC487" s="6" t="n"/>
      <c r="AD487" s="2" t="inlineStr">
        <is>
          <t>Win</t>
        </is>
      </c>
      <c r="AE487" s="6">
        <f>IF((COUNTIF($AD$2:AD487,"Win")+COUNTIF($AD$2:AD487,"Loss"))=0,0,COUNTIF($AD$2:AD487,"Win")/(COUNTIF($AD$2:AD487,"Win")+COUNTIF($AD$2:AD487,"Loss")))</f>
        <v/>
      </c>
      <c r="AF487" s="6">
        <f>SUM($Y$2:Y487)/SUM($X$2:X487)</f>
        <v/>
      </c>
      <c r="AG487" s="5">
        <f>SUM($Y$2:Y487)</f>
        <v/>
      </c>
      <c r="AH487" s="7">
        <f>10000.0+SUM($AA$2:AA487)</f>
        <v/>
      </c>
      <c r="AI487" s="2" t="n">
        <v>2026</v>
      </c>
      <c r="AJ487" s="2" t="inlineStr">
        <is>
          <t>2026-04</t>
        </is>
      </c>
      <c r="AK487" s="2" t="inlineStr">
        <is>
          <t>+121 to +150</t>
        </is>
      </c>
      <c r="AL487" s="2" t="inlineStr">
        <is>
          <t>2026 Frozen Test</t>
        </is>
      </c>
      <c r="AM487" s="6" t="n">
        <v>0.3883037294010392</v>
      </c>
    </row>
    <row r="488">
      <c r="A488" s="2" t="inlineStr">
        <is>
          <t>KPROP-00487</t>
        </is>
      </c>
      <c r="B488" s="3" t="n">
        <v>46117.67056712963</v>
      </c>
      <c r="C488" s="3" t="n">
        <v>46117</v>
      </c>
      <c r="D488" s="2" t="inlineStr">
        <is>
          <t>Lance McCullers Jr.</t>
        </is>
      </c>
      <c r="E488" s="2" t="n">
        <v>117</v>
      </c>
      <c r="F488" s="2" t="n">
        <v>133</v>
      </c>
      <c r="G488" s="2" t="inlineStr">
        <is>
          <t>Away</t>
        </is>
      </c>
      <c r="H488" s="2" t="inlineStr">
        <is>
          <t>draftkings</t>
        </is>
      </c>
      <c r="I488" s="4" t="n"/>
      <c r="J488" s="4" t="n"/>
      <c r="K488" s="4" t="n">
        <v>-146</v>
      </c>
      <c r="L488" s="4" t="n">
        <v>-146</v>
      </c>
      <c r="M488" s="5" t="n">
        <v>6.5</v>
      </c>
      <c r="N488" s="5" t="n">
        <v>4.733512723928393</v>
      </c>
      <c r="O488" s="5" t="n">
        <v>6.5</v>
      </c>
      <c r="P488" s="5" t="n">
        <v>1.766487276071607</v>
      </c>
      <c r="Q488" s="6" t="n">
        <v>0.3479802300470836</v>
      </c>
      <c r="R488" s="6" t="n">
        <v>0.800020786938513</v>
      </c>
      <c r="S488" s="6" t="n">
        <v>0.5771742866964593</v>
      </c>
      <c r="T488" s="2" t="inlineStr">
        <is>
          <t>Under</t>
        </is>
      </c>
      <c r="U488" s="4" t="n">
        <v>-146</v>
      </c>
      <c r="V488" s="2" t="n">
        <v>1.684931506849315</v>
      </c>
      <c r="W488" s="4" t="n">
        <v>-146</v>
      </c>
      <c r="X488" s="2" t="n">
        <v>1</v>
      </c>
      <c r="Y488" s="5" t="n">
        <v>0.6849315068493151</v>
      </c>
      <c r="Z488" s="7" t="n">
        <v>100</v>
      </c>
      <c r="AA488" s="7">
        <f>Y488*Z488</f>
        <v/>
      </c>
      <c r="AB488" s="6">
        <f>IF(Z488=0,0,AA488/Z488)</f>
        <v/>
      </c>
      <c r="AC488" s="6" t="n"/>
      <c r="AD488" s="2" t="inlineStr">
        <is>
          <t>Win</t>
        </is>
      </c>
      <c r="AE488" s="6">
        <f>IF((COUNTIF($AD$2:AD488,"Win")+COUNTIF($AD$2:AD488,"Loss"))=0,0,COUNTIF($AD$2:AD488,"Win")/(COUNTIF($AD$2:AD488,"Win")+COUNTIF($AD$2:AD488,"Loss")))</f>
        <v/>
      </c>
      <c r="AF488" s="6">
        <f>SUM($Y$2:Y488)/SUM($X$2:X488)</f>
        <v/>
      </c>
      <c r="AG488" s="5">
        <f>SUM($Y$2:Y488)</f>
        <v/>
      </c>
      <c r="AH488" s="7">
        <f>10000.0+SUM($AA$2:AA488)</f>
        <v/>
      </c>
      <c r="AI488" s="2" t="n">
        <v>2026</v>
      </c>
      <c r="AJ488" s="2" t="inlineStr">
        <is>
          <t>2026-04</t>
        </is>
      </c>
      <c r="AK488" s="2" t="inlineStr">
        <is>
          <t>-149 to -120</t>
        </is>
      </c>
      <c r="AL488" s="2" t="inlineStr">
        <is>
          <t>2026 Frozen Test</t>
        </is>
      </c>
      <c r="AM488" s="6" t="n">
        <v>0.508051135868742</v>
      </c>
    </row>
    <row r="489">
      <c r="A489" s="2" t="inlineStr">
        <is>
          <t>KPROP-00488</t>
        </is>
      </c>
      <c r="B489" s="3" t="n">
        <v>46117.67056712963</v>
      </c>
      <c r="C489" s="3" t="n">
        <v>46117</v>
      </c>
      <c r="D489" s="2" t="inlineStr">
        <is>
          <t>Logan Webb</t>
        </is>
      </c>
      <c r="E489" s="2" t="n">
        <v>137</v>
      </c>
      <c r="F489" s="2" t="n">
        <v>121</v>
      </c>
      <c r="G489" s="2" t="inlineStr">
        <is>
          <t>Home</t>
        </is>
      </c>
      <c r="H489" s="2" t="inlineStr">
        <is>
          <t>bovada</t>
        </is>
      </c>
      <c r="I489" s="4" t="n"/>
      <c r="J489" s="4" t="n"/>
      <c r="K489" s="4" t="n">
        <v>120</v>
      </c>
      <c r="L489" s="4" t="n">
        <v>120</v>
      </c>
      <c r="M489" s="5" t="n">
        <v>5.5</v>
      </c>
      <c r="N489" s="5" t="n">
        <v>5.366108249235038</v>
      </c>
      <c r="O489" s="5" t="n">
        <v>5.5</v>
      </c>
      <c r="P489" s="5" t="n">
        <v>0.1338917507649624</v>
      </c>
      <c r="Q489" s="6" t="n">
        <v>0.2143922716234299</v>
      </c>
      <c r="R489" s="6" t="n">
        <v>0.551996487101559</v>
      </c>
      <c r="S489" s="6" t="n">
        <v>0.4379562043795621</v>
      </c>
      <c r="T489" s="2" t="inlineStr">
        <is>
          <t>Under</t>
        </is>
      </c>
      <c r="U489" s="4" t="n">
        <v>120</v>
      </c>
      <c r="V489" s="2" t="n">
        <v>2.2</v>
      </c>
      <c r="W489" s="4" t="n">
        <v>120</v>
      </c>
      <c r="X489" s="2" t="n">
        <v>1</v>
      </c>
      <c r="Y489" s="5" t="n">
        <v>1.2</v>
      </c>
      <c r="Z489" s="7" t="n">
        <v>100</v>
      </c>
      <c r="AA489" s="7">
        <f>Y489*Z489</f>
        <v/>
      </c>
      <c r="AB489" s="6">
        <f>IF(Z489=0,0,AA489/Z489)</f>
        <v/>
      </c>
      <c r="AC489" s="6" t="n"/>
      <c r="AD489" s="2" t="inlineStr">
        <is>
          <t>Win</t>
        </is>
      </c>
      <c r="AE489" s="6">
        <f>IF((COUNTIF($AD$2:AD489,"Win")+COUNTIF($AD$2:AD489,"Loss"))=0,0,COUNTIF($AD$2:AD489,"Win")/(COUNTIF($AD$2:AD489,"Win")+COUNTIF($AD$2:AD489,"Loss")))</f>
        <v/>
      </c>
      <c r="AF489" s="6">
        <f>SUM($Y$2:Y489)/SUM($X$2:X489)</f>
        <v/>
      </c>
      <c r="AG489" s="5">
        <f>SUM($Y$2:Y489)</f>
        <v/>
      </c>
      <c r="AH489" s="7">
        <f>10000.0+SUM($AA$2:AA489)</f>
        <v/>
      </c>
      <c r="AI489" s="2" t="n">
        <v>2026</v>
      </c>
      <c r="AJ489" s="2" t="inlineStr">
        <is>
          <t>2026-04</t>
        </is>
      </c>
      <c r="AK489" s="2" t="inlineStr">
        <is>
          <t>+100 to +120</t>
        </is>
      </c>
      <c r="AL489" s="2" t="inlineStr">
        <is>
          <t>2026 Frozen Test</t>
        </is>
      </c>
      <c r="AM489" s="6" t="n">
        <v>0.1786602263528582</v>
      </c>
    </row>
    <row r="490">
      <c r="A490" s="2" t="inlineStr">
        <is>
          <t>KPROP-00489</t>
        </is>
      </c>
      <c r="B490" s="3" t="n">
        <v>46117.67056712963</v>
      </c>
      <c r="C490" s="3" t="n">
        <v>46117</v>
      </c>
      <c r="D490" s="2" t="inlineStr">
        <is>
          <t>Logan Webb</t>
        </is>
      </c>
      <c r="E490" s="2" t="n">
        <v>137</v>
      </c>
      <c r="F490" s="2" t="n">
        <v>121</v>
      </c>
      <c r="G490" s="2" t="inlineStr">
        <is>
          <t>Home</t>
        </is>
      </c>
      <c r="H490" s="2" t="inlineStr">
        <is>
          <t>draftkings</t>
        </is>
      </c>
      <c r="I490" s="4" t="n"/>
      <c r="J490" s="4" t="n"/>
      <c r="K490" s="4" t="n">
        <v>-148</v>
      </c>
      <c r="L490" s="4" t="n">
        <v>-148</v>
      </c>
      <c r="M490" s="5" t="n">
        <v>6.5</v>
      </c>
      <c r="N490" s="5" t="n">
        <v>5.366108249235038</v>
      </c>
      <c r="O490" s="5" t="n">
        <v>6.5</v>
      </c>
      <c r="P490" s="5" t="n">
        <v>1.133891750764962</v>
      </c>
      <c r="Q490" s="6" t="n">
        <v>0.1845898946889394</v>
      </c>
      <c r="R490" s="6" t="n">
        <v>0.7069326790885606</v>
      </c>
      <c r="S490" s="6" t="n">
        <v>0.5816746508332771</v>
      </c>
      <c r="T490" s="2" t="inlineStr">
        <is>
          <t>Under</t>
        </is>
      </c>
      <c r="U490" s="4" t="n">
        <v>-148</v>
      </c>
      <c r="V490" s="2" t="n">
        <v>1.675675675675676</v>
      </c>
      <c r="W490" s="4" t="n">
        <v>-148</v>
      </c>
      <c r="X490" s="2" t="n">
        <v>1</v>
      </c>
      <c r="Y490" s="5" t="n">
        <v>0.6756756756756757</v>
      </c>
      <c r="Z490" s="7" t="n">
        <v>100</v>
      </c>
      <c r="AA490" s="7">
        <f>Y490*Z490</f>
        <v/>
      </c>
      <c r="AB490" s="6">
        <f>IF(Z490=0,0,AA490/Z490)</f>
        <v/>
      </c>
      <c r="AC490" s="6" t="n"/>
      <c r="AD490" s="2" t="inlineStr">
        <is>
          <t>Win</t>
        </is>
      </c>
      <c r="AE490" s="6">
        <f>IF((COUNTIF($AD$2:AD490,"Win")+COUNTIF($AD$2:AD490,"Loss"))=0,0,COUNTIF($AD$2:AD490,"Win")/(COUNTIF($AD$2:AD490,"Win")+COUNTIF($AD$2:AD490,"Loss")))</f>
        <v/>
      </c>
      <c r="AF490" s="6">
        <f>SUM($Y$2:Y490)/SUM($X$2:X490)</f>
        <v/>
      </c>
      <c r="AG490" s="5">
        <f>SUM($Y$2:Y490)</f>
        <v/>
      </c>
      <c r="AH490" s="7">
        <f>10000.0+SUM($AA$2:AA490)</f>
        <v/>
      </c>
      <c r="AI490" s="2" t="n">
        <v>2026</v>
      </c>
      <c r="AJ490" s="2" t="inlineStr">
        <is>
          <t>2026-04</t>
        </is>
      </c>
      <c r="AK490" s="2" t="inlineStr">
        <is>
          <t>-149 to -120</t>
        </is>
      </c>
      <c r="AL490" s="2" t="inlineStr">
        <is>
          <t>2026 Frozen Test</t>
        </is>
      </c>
      <c r="AM490" s="6" t="n">
        <v>0.2731930441396303</v>
      </c>
    </row>
    <row r="491">
      <c r="A491" s="2" t="inlineStr">
        <is>
          <t>KPROP-00490</t>
        </is>
      </c>
      <c r="B491" s="3" t="n">
        <v>46117.56640046297</v>
      </c>
      <c r="C491" s="3" t="n">
        <v>46117</v>
      </c>
      <c r="D491" s="2" t="inlineStr">
        <is>
          <t>Max Fried</t>
        </is>
      </c>
      <c r="E491" s="2" t="n">
        <v>147</v>
      </c>
      <c r="F491" s="2" t="n">
        <v>146</v>
      </c>
      <c r="G491" s="2" t="inlineStr">
        <is>
          <t>Home</t>
        </is>
      </c>
      <c r="H491" s="2" t="inlineStr">
        <is>
          <t>draftkings</t>
        </is>
      </c>
      <c r="I491" s="4" t="n"/>
      <c r="J491" s="4" t="n"/>
      <c r="K491" s="4" t="n">
        <v>122</v>
      </c>
      <c r="L491" s="4" t="n">
        <v>122</v>
      </c>
      <c r="M491" s="5" t="n">
        <v>5.5</v>
      </c>
      <c r="N491" s="5" t="n">
        <v>5.342079857497924</v>
      </c>
      <c r="O491" s="5" t="n">
        <v>5.5</v>
      </c>
      <c r="P491" s="5" t="n">
        <v>0.1579201425020758</v>
      </c>
      <c r="Q491" s="6" t="n">
        <v>0.2346806977801897</v>
      </c>
      <c r="R491" s="6" t="n">
        <v>0.556162476477563</v>
      </c>
      <c r="S491" s="6" t="n">
        <v>0.4394987843650645</v>
      </c>
      <c r="T491" s="2" t="inlineStr">
        <is>
          <t>Under</t>
        </is>
      </c>
      <c r="U491" s="4" t="n">
        <v>122</v>
      </c>
      <c r="V491" s="2" t="n">
        <v>2.22</v>
      </c>
      <c r="W491" s="4" t="n">
        <v>122</v>
      </c>
      <c r="X491" s="2" t="n">
        <v>1</v>
      </c>
      <c r="Y491" s="5" t="n">
        <v>1.22</v>
      </c>
      <c r="Z491" s="7" t="n">
        <v>100</v>
      </c>
      <c r="AA491" s="7">
        <f>Y491*Z491</f>
        <v/>
      </c>
      <c r="AB491" s="6">
        <f>IF(Z491=0,0,AA491/Z491)</f>
        <v/>
      </c>
      <c r="AC491" s="6" t="n"/>
      <c r="AD491" s="2" t="inlineStr">
        <is>
          <t>Win</t>
        </is>
      </c>
      <c r="AE491" s="6">
        <f>IF((COUNTIF($AD$2:AD491,"Win")+COUNTIF($AD$2:AD491,"Loss"))=0,0,COUNTIF($AD$2:AD491,"Win")/(COUNTIF($AD$2:AD491,"Win")+COUNTIF($AD$2:AD491,"Loss")))</f>
        <v/>
      </c>
      <c r="AF491" s="6">
        <f>SUM($Y$2:Y491)/SUM($X$2:X491)</f>
        <v/>
      </c>
      <c r="AG491" s="5">
        <f>SUM($Y$2:Y491)</f>
        <v/>
      </c>
      <c r="AH491" s="7">
        <f>10000.0+SUM($AA$2:AA491)</f>
        <v/>
      </c>
      <c r="AI491" s="2" t="n">
        <v>2026</v>
      </c>
      <c r="AJ491" s="2" t="inlineStr">
        <is>
          <t>2026-04</t>
        </is>
      </c>
      <c r="AK491" s="2" t="inlineStr">
        <is>
          <t>+121 to +150</t>
        </is>
      </c>
      <c r="AL491" s="2" t="inlineStr">
        <is>
          <t>2026 Frozen Test</t>
        </is>
      </c>
      <c r="AM491" s="6" t="n">
        <v>0.1923612276886802</v>
      </c>
    </row>
    <row r="492">
      <c r="A492" s="2" t="inlineStr">
        <is>
          <t>KPROP-00491</t>
        </is>
      </c>
      <c r="B492" s="3" t="n">
        <v>46117.59070601852</v>
      </c>
      <c r="C492" s="3" t="n">
        <v>46117</v>
      </c>
      <c r="D492" s="2" t="inlineStr">
        <is>
          <t>Nick Martinez</t>
        </is>
      </c>
      <c r="E492" s="2" t="n">
        <v>139</v>
      </c>
      <c r="F492" s="2" t="n">
        <v>142</v>
      </c>
      <c r="G492" s="2" t="inlineStr">
        <is>
          <t>Away</t>
        </is>
      </c>
      <c r="H492" s="2" t="inlineStr">
        <is>
          <t>draftkings</t>
        </is>
      </c>
      <c r="I492" s="4" t="n"/>
      <c r="J492" s="4" t="n"/>
      <c r="K492" s="4" t="n">
        <v>-132</v>
      </c>
      <c r="L492" s="4" t="n">
        <v>-132</v>
      </c>
      <c r="M492" s="5" t="n">
        <v>4.5</v>
      </c>
      <c r="N492" s="5" t="n">
        <v>3.758052103513529</v>
      </c>
      <c r="O492" s="5" t="n">
        <v>4.5</v>
      </c>
      <c r="P492" s="5" t="n">
        <v>0.7419478964864705</v>
      </c>
      <c r="Q492" s="6" t="n">
        <v>0.1880981586215056</v>
      </c>
      <c r="R492" s="6" t="n">
        <v>0.6759868833536152</v>
      </c>
      <c r="S492" s="6" t="n">
        <v>0.5614366729678639</v>
      </c>
      <c r="T492" s="2" t="inlineStr">
        <is>
          <t>Under</t>
        </is>
      </c>
      <c r="U492" s="4" t="n">
        <v>-132</v>
      </c>
      <c r="V492" s="2" t="n">
        <v>1.757575757575758</v>
      </c>
      <c r="W492" s="4" t="n">
        <v>-132</v>
      </c>
      <c r="X492" s="2" t="n">
        <v>1</v>
      </c>
      <c r="Y492" s="5" t="n">
        <v>0.7575757575757576</v>
      </c>
      <c r="Z492" s="7" t="n">
        <v>100</v>
      </c>
      <c r="AA492" s="7">
        <f>Y492*Z492</f>
        <v/>
      </c>
      <c r="AB492" s="6">
        <f>IF(Z492=0,0,AA492/Z492)</f>
        <v/>
      </c>
      <c r="AC492" s="6" t="n"/>
      <c r="AD492" s="2" t="inlineStr">
        <is>
          <t>Win</t>
        </is>
      </c>
      <c r="AE492" s="6">
        <f>IF((COUNTIF($AD$2:AD492,"Win")+COUNTIF($AD$2:AD492,"Loss"))=0,0,COUNTIF($AD$2:AD492,"Win")/(COUNTIF($AD$2:AD492,"Win")+COUNTIF($AD$2:AD492,"Loss")))</f>
        <v/>
      </c>
      <c r="AF492" s="6">
        <f>SUM($Y$2:Y492)/SUM($X$2:X492)</f>
        <v/>
      </c>
      <c r="AG492" s="5">
        <f>SUM($Y$2:Y492)</f>
        <v/>
      </c>
      <c r="AH492" s="7">
        <f>10000.0+SUM($AA$2:AA492)</f>
        <v/>
      </c>
      <c r="AI492" s="2" t="n">
        <v>2026</v>
      </c>
      <c r="AJ492" s="2" t="inlineStr">
        <is>
          <t>2026-04</t>
        </is>
      </c>
      <c r="AK492" s="2" t="inlineStr">
        <is>
          <t>-149 to -120</t>
        </is>
      </c>
      <c r="AL492" s="2" t="inlineStr">
        <is>
          <t>2026 Frozen Test</t>
        </is>
      </c>
      <c r="AM492" s="6" t="n">
        <v>0.2482895693803874</v>
      </c>
    </row>
    <row r="493">
      <c r="A493" s="2" t="inlineStr">
        <is>
          <t>KPROP-00492</t>
        </is>
      </c>
      <c r="B493" s="3" t="n">
        <v>46117.69488425926</v>
      </c>
      <c r="C493" s="3" t="n">
        <v>46117</v>
      </c>
      <c r="D493" s="2" t="inlineStr">
        <is>
          <t>Parker Messick</t>
        </is>
      </c>
      <c r="E493" s="2" t="n">
        <v>114</v>
      </c>
      <c r="F493" s="2" t="n">
        <v>112</v>
      </c>
      <c r="G493" s="2" t="inlineStr">
        <is>
          <t>Home</t>
        </is>
      </c>
      <c r="H493" s="2" t="inlineStr">
        <is>
          <t>bovada</t>
        </is>
      </c>
      <c r="I493" s="4" t="n"/>
      <c r="J493" s="4" t="n"/>
      <c r="K493" s="4" t="n">
        <v>120</v>
      </c>
      <c r="L493" s="4" t="n">
        <v>120</v>
      </c>
      <c r="M493" s="5" t="n">
        <v>4.5</v>
      </c>
      <c r="N493" s="5" t="n">
        <v>4.679064832418309</v>
      </c>
      <c r="O493" s="5" t="n">
        <v>4.5</v>
      </c>
      <c r="P493" s="5" t="n">
        <v>-0.1790648324183088</v>
      </c>
      <c r="Q493" s="6" t="n">
        <v>0.09666967697107909</v>
      </c>
      <c r="R493" s="6" t="n">
        <v>0.4984862168050359</v>
      </c>
      <c r="S493" s="6" t="n">
        <v>0.4260237780713342</v>
      </c>
      <c r="T493" s="2" t="inlineStr">
        <is>
          <t>Under</t>
        </is>
      </c>
      <c r="U493" s="4" t="n">
        <v>120</v>
      </c>
      <c r="V493" s="2" t="n">
        <v>2.2</v>
      </c>
      <c r="W493" s="4" t="n">
        <v>120</v>
      </c>
      <c r="X493" s="2" t="n">
        <v>1</v>
      </c>
      <c r="Y493" s="5" t="n">
        <v>-1</v>
      </c>
      <c r="Z493" s="7" t="n">
        <v>100</v>
      </c>
      <c r="AA493" s="7">
        <f>Y493*Z493</f>
        <v/>
      </c>
      <c r="AB493" s="6">
        <f>IF(Z493=0,0,AA493/Z493)</f>
        <v/>
      </c>
      <c r="AC493" s="6" t="n"/>
      <c r="AD493" s="2" t="inlineStr">
        <is>
          <t>Loss</t>
        </is>
      </c>
      <c r="AE493" s="6">
        <f>IF((COUNTIF($AD$2:AD493,"Win")+COUNTIF($AD$2:AD493,"Loss"))=0,0,COUNTIF($AD$2:AD493,"Win")/(COUNTIF($AD$2:AD493,"Win")+COUNTIF($AD$2:AD493,"Loss")))</f>
        <v/>
      </c>
      <c r="AF493" s="6">
        <f>SUM($Y$2:Y493)/SUM($X$2:X493)</f>
        <v/>
      </c>
      <c r="AG493" s="5">
        <f>SUM($Y$2:Y493)</f>
        <v/>
      </c>
      <c r="AH493" s="7">
        <f>10000.0+SUM($AA$2:AA493)</f>
        <v/>
      </c>
      <c r="AI493" s="2" t="n">
        <v>2026</v>
      </c>
      <c r="AJ493" s="2" t="inlineStr">
        <is>
          <t>2026-04</t>
        </is>
      </c>
      <c r="AK493" s="2" t="inlineStr">
        <is>
          <t>+100 to +120</t>
        </is>
      </c>
      <c r="AL493" s="2" t="inlineStr">
        <is>
          <t>2026 Frozen Test</t>
        </is>
      </c>
      <c r="AM493" s="6" t="n">
        <v>0.08055806414256589</v>
      </c>
    </row>
    <row r="494">
      <c r="A494" s="2" t="inlineStr">
        <is>
          <t>KPROP-00493</t>
        </is>
      </c>
      <c r="B494" s="3" t="n">
        <v>46117.56640046297</v>
      </c>
      <c r="C494" s="3" t="n">
        <v>46117</v>
      </c>
      <c r="D494" s="2" t="inlineStr">
        <is>
          <t>Ranger Suarez</t>
        </is>
      </c>
      <c r="E494" s="2" t="n">
        <v>111</v>
      </c>
      <c r="F494" s="2" t="n">
        <v>135</v>
      </c>
      <c r="G494" s="2" t="inlineStr">
        <is>
          <t>Home</t>
        </is>
      </c>
      <c r="H494" s="2" t="inlineStr">
        <is>
          <t>betrivers</t>
        </is>
      </c>
      <c r="I494" s="4" t="n"/>
      <c r="J494" s="4" t="n"/>
      <c r="K494" s="4" t="n">
        <v>123</v>
      </c>
      <c r="L494" s="4" t="n">
        <v>123</v>
      </c>
      <c r="M494" s="5" t="n">
        <v>4.5</v>
      </c>
      <c r="N494" s="5" t="n">
        <v>4.090121603916804</v>
      </c>
      <c r="O494" s="5" t="n">
        <v>4.5</v>
      </c>
      <c r="P494" s="5" t="n">
        <v>0.4098783960831955</v>
      </c>
      <c r="Q494" s="6" t="n">
        <v>0.3630564022769887</v>
      </c>
      <c r="R494" s="6" t="n">
        <v>0.6112360548327304</v>
      </c>
      <c r="S494" s="6" t="n">
        <v>0.4466501240694789</v>
      </c>
      <c r="T494" s="2" t="inlineStr">
        <is>
          <t>Under</t>
        </is>
      </c>
      <c r="U494" s="4" t="n">
        <v>123</v>
      </c>
      <c r="V494" s="2" t="n">
        <v>2.23</v>
      </c>
      <c r="W494" s="4" t="n">
        <v>123</v>
      </c>
      <c r="X494" s="2" t="n">
        <v>1</v>
      </c>
      <c r="Y494" s="5" t="n">
        <v>1.23</v>
      </c>
      <c r="Z494" s="7" t="n">
        <v>100</v>
      </c>
      <c r="AA494" s="7">
        <f>Y494*Z494</f>
        <v/>
      </c>
      <c r="AB494" s="6">
        <f>IF(Z494=0,0,AA494/Z494)</f>
        <v/>
      </c>
      <c r="AC494" s="6" t="n"/>
      <c r="AD494" s="2" t="inlineStr">
        <is>
          <t>Win</t>
        </is>
      </c>
      <c r="AE494" s="6">
        <f>IF((COUNTIF($AD$2:AD494,"Win")+COUNTIF($AD$2:AD494,"Loss"))=0,0,COUNTIF($AD$2:AD494,"Win")/(COUNTIF($AD$2:AD494,"Win")+COUNTIF($AD$2:AD494,"Loss")))</f>
        <v/>
      </c>
      <c r="AF494" s="6">
        <f>SUM($Y$2:Y494)/SUM($X$2:X494)</f>
        <v/>
      </c>
      <c r="AG494" s="5">
        <f>SUM($Y$2:Y494)</f>
        <v/>
      </c>
      <c r="AH494" s="7">
        <f>10000.0+SUM($AA$2:AA494)</f>
        <v/>
      </c>
      <c r="AI494" s="2" t="n">
        <v>2026</v>
      </c>
      <c r="AJ494" s="2" t="inlineStr">
        <is>
          <t>2026-04</t>
        </is>
      </c>
      <c r="AK494" s="2" t="inlineStr">
        <is>
          <t>+121 to +150</t>
        </is>
      </c>
      <c r="AL494" s="2" t="inlineStr">
        <is>
          <t>2026 Frozen Test</t>
        </is>
      </c>
      <c r="AM494" s="6" t="n">
        <v>0.2951678067292591</v>
      </c>
    </row>
    <row r="495">
      <c r="A495" s="2" t="inlineStr">
        <is>
          <t>KPROP-00494</t>
        </is>
      </c>
      <c r="B495" s="3" t="n">
        <v>46117.56640046297</v>
      </c>
      <c r="C495" s="3" t="n">
        <v>46117</v>
      </c>
      <c r="D495" s="2" t="inlineStr">
        <is>
          <t>Ranger Suarez</t>
        </is>
      </c>
      <c r="E495" s="2" t="n">
        <v>111</v>
      </c>
      <c r="F495" s="2" t="n">
        <v>135</v>
      </c>
      <c r="G495" s="2" t="inlineStr">
        <is>
          <t>Home</t>
        </is>
      </c>
      <c r="H495" s="2" t="inlineStr">
        <is>
          <t>betrivers</t>
        </is>
      </c>
      <c r="I495" s="4" t="n"/>
      <c r="J495" s="4" t="n"/>
      <c r="K495" s="4" t="n">
        <v>-177</v>
      </c>
      <c r="L495" s="4" t="n">
        <v>-177</v>
      </c>
      <c r="M495" s="5" t="n">
        <v>5.5</v>
      </c>
      <c r="N495" s="5" t="n">
        <v>4.090121603916804</v>
      </c>
      <c r="O495" s="5" t="n">
        <v>5.5</v>
      </c>
      <c r="P495" s="5" t="n">
        <v>1.409878396083196</v>
      </c>
      <c r="Q495" s="6" t="n">
        <v>0.2064227750034772</v>
      </c>
      <c r="R495" s="6" t="n">
        <v>0.7708910872765901</v>
      </c>
      <c r="S495" s="6" t="n">
        <v>0.5971729393287185</v>
      </c>
      <c r="T495" s="2" t="inlineStr">
        <is>
          <t>Under</t>
        </is>
      </c>
      <c r="U495" s="4" t="n">
        <v>-177</v>
      </c>
      <c r="V495" s="2" t="n">
        <v>1.56497175141243</v>
      </c>
      <c r="W495" s="4" t="n">
        <v>-177</v>
      </c>
      <c r="X495" s="2" t="n">
        <v>1</v>
      </c>
      <c r="Y495" s="5" t="n">
        <v>0.5649717514124295</v>
      </c>
      <c r="Z495" s="7" t="n">
        <v>100</v>
      </c>
      <c r="AA495" s="7">
        <f>Y495*Z495</f>
        <v/>
      </c>
      <c r="AB495" s="6">
        <f>IF(Z495=0,0,AA495/Z495)</f>
        <v/>
      </c>
      <c r="AC495" s="6" t="n"/>
      <c r="AD495" s="2" t="inlineStr">
        <is>
          <t>Win</t>
        </is>
      </c>
      <c r="AE495" s="6">
        <f>IF((COUNTIF($AD$2:AD495,"Win")+COUNTIF($AD$2:AD495,"Loss"))=0,0,COUNTIF($AD$2:AD495,"Win")/(COUNTIF($AD$2:AD495,"Win")+COUNTIF($AD$2:AD495,"Loss")))</f>
        <v/>
      </c>
      <c r="AF495" s="6">
        <f>SUM($Y$2:Y495)/SUM($X$2:X495)</f>
        <v/>
      </c>
      <c r="AG495" s="5">
        <f>SUM($Y$2:Y495)</f>
        <v/>
      </c>
      <c r="AH495" s="7">
        <f>10000.0+SUM($AA$2:AA495)</f>
        <v/>
      </c>
      <c r="AI495" s="2" t="n">
        <v>2026</v>
      </c>
      <c r="AJ495" s="2" t="inlineStr">
        <is>
          <t>2026-04</t>
        </is>
      </c>
      <c r="AK495" s="2" t="inlineStr">
        <is>
          <t>&lt;= -150</t>
        </is>
      </c>
      <c r="AL495" s="2" t="inlineStr">
        <is>
          <t>2026 Frozen Test</t>
        </is>
      </c>
      <c r="AM495" s="6" t="n">
        <v>0.3653683117561545</v>
      </c>
    </row>
    <row r="496">
      <c r="A496" s="2" t="inlineStr">
        <is>
          <t>KPROP-00495</t>
        </is>
      </c>
      <c r="B496" s="3" t="n">
        <v>46118.77821759259</v>
      </c>
      <c r="C496" s="3" t="n">
        <v>46118</v>
      </c>
      <c r="D496" s="2" t="inlineStr">
        <is>
          <t>Brandon Williamson</t>
        </is>
      </c>
      <c r="E496" s="2" t="n">
        <v>113</v>
      </c>
      <c r="F496" s="2" t="n">
        <v>146</v>
      </c>
      <c r="G496" s="2" t="inlineStr">
        <is>
          <t>Away</t>
        </is>
      </c>
      <c r="H496" s="2" t="inlineStr">
        <is>
          <t>betrivers</t>
        </is>
      </c>
      <c r="I496" s="4" t="n"/>
      <c r="J496" s="4" t="n"/>
      <c r="K496" s="4" t="n">
        <v>138</v>
      </c>
      <c r="L496" s="4" t="n">
        <v>138</v>
      </c>
      <c r="M496" s="5" t="n">
        <v>3.5</v>
      </c>
      <c r="N496" s="5" t="n">
        <v>3.829693949075106</v>
      </c>
      <c r="O496" s="5" t="n">
        <v>3.5</v>
      </c>
      <c r="P496" s="5" t="n">
        <v>-0.3296939490751059</v>
      </c>
      <c r="Q496" s="6" t="n">
        <v>0.1124808906810488</v>
      </c>
      <c r="R496" s="6" t="n">
        <v>0.4674289456643063</v>
      </c>
      <c r="S496" s="6" t="n">
        <v>0.4087193460490464</v>
      </c>
      <c r="T496" s="2" t="inlineStr">
        <is>
          <t>Under</t>
        </is>
      </c>
      <c r="U496" s="4" t="n">
        <v>138</v>
      </c>
      <c r="V496" s="2" t="n">
        <v>2.38</v>
      </c>
      <c r="W496" s="4" t="n">
        <v>138</v>
      </c>
      <c r="X496" s="2" t="n">
        <v>1</v>
      </c>
      <c r="Y496" s="5" t="n">
        <v>-1</v>
      </c>
      <c r="Z496" s="7" t="n">
        <v>100</v>
      </c>
      <c r="AA496" s="7">
        <f>Y496*Z496</f>
        <v/>
      </c>
      <c r="AB496" s="6">
        <f>IF(Z496=0,0,AA496/Z496)</f>
        <v/>
      </c>
      <c r="AC496" s="6" t="n"/>
      <c r="AD496" s="2" t="inlineStr">
        <is>
          <t>Loss</t>
        </is>
      </c>
      <c r="AE496" s="6">
        <f>IF((COUNTIF($AD$2:AD496,"Win")+COUNTIF($AD$2:AD496,"Loss"))=0,0,COUNTIF($AD$2:AD496,"Win")/(COUNTIF($AD$2:AD496,"Win")+COUNTIF($AD$2:AD496,"Loss")))</f>
        <v/>
      </c>
      <c r="AF496" s="6">
        <f>SUM($Y$2:Y496)/SUM($X$2:X496)</f>
        <v/>
      </c>
      <c r="AG496" s="5">
        <f>SUM($Y$2:Y496)</f>
        <v/>
      </c>
      <c r="AH496" s="7">
        <f>10000.0+SUM($AA$2:AA496)</f>
        <v/>
      </c>
      <c r="AI496" s="2" t="n">
        <v>2026</v>
      </c>
      <c r="AJ496" s="2" t="inlineStr">
        <is>
          <t>2026-04</t>
        </is>
      </c>
      <c r="AK496" s="2" t="inlineStr">
        <is>
          <t>+121 to +150</t>
        </is>
      </c>
      <c r="AL496" s="2" t="inlineStr">
        <is>
          <t>2026 Frozen Test</t>
        </is>
      </c>
      <c r="AM496" s="6" t="n">
        <v>0.08150789179786147</v>
      </c>
    </row>
    <row r="497">
      <c r="A497" s="2" t="inlineStr">
        <is>
          <t>KPROP-00496</t>
        </is>
      </c>
      <c r="B497" s="3" t="n">
        <v>46118.77821759259</v>
      </c>
      <c r="C497" s="3" t="n">
        <v>46118</v>
      </c>
      <c r="D497" s="2" t="inlineStr">
        <is>
          <t>Brandon Williamson</t>
        </is>
      </c>
      <c r="E497" s="2" t="n">
        <v>113</v>
      </c>
      <c r="F497" s="2" t="n">
        <v>146</v>
      </c>
      <c r="G497" s="2" t="inlineStr">
        <is>
          <t>Away</t>
        </is>
      </c>
      <c r="H497" s="2" t="inlineStr">
        <is>
          <t>betrivers</t>
        </is>
      </c>
      <c r="I497" s="4" t="n"/>
      <c r="J497" s="4" t="n"/>
      <c r="K497" s="4" t="n">
        <v>-159</v>
      </c>
      <c r="L497" s="4" t="n">
        <v>-159</v>
      </c>
      <c r="M497" s="5" t="n">
        <v>4.5</v>
      </c>
      <c r="N497" s="5" t="n">
        <v>3.829693949075106</v>
      </c>
      <c r="O497" s="5" t="n">
        <v>4.5</v>
      </c>
      <c r="P497" s="5" t="n">
        <v>0.6703060509248941</v>
      </c>
      <c r="Q497" s="6" t="n">
        <v>0.0784630396348916</v>
      </c>
      <c r="R497" s="6" t="n">
        <v>0.662068043636864</v>
      </c>
      <c r="S497" s="6" t="n">
        <v>0.5832797013772687</v>
      </c>
      <c r="T497" s="2" t="inlineStr">
        <is>
          <t>Under</t>
        </is>
      </c>
      <c r="U497" s="4" t="n">
        <v>-159</v>
      </c>
      <c r="V497" s="2" t="n">
        <v>1.628930817610063</v>
      </c>
      <c r="W497" s="4" t="n">
        <v>-159</v>
      </c>
      <c r="X497" s="2" t="n">
        <v>1</v>
      </c>
      <c r="Y497" s="5" t="n">
        <v>0.6289308176100628</v>
      </c>
      <c r="Z497" s="7" t="n">
        <v>100</v>
      </c>
      <c r="AA497" s="7">
        <f>Y497*Z497</f>
        <v/>
      </c>
      <c r="AB497" s="6">
        <f>IF(Z497=0,0,AA497/Z497)</f>
        <v/>
      </c>
      <c r="AC497" s="6" t="n"/>
      <c r="AD497" s="2" t="inlineStr">
        <is>
          <t>Win</t>
        </is>
      </c>
      <c r="AE497" s="6">
        <f>IF((COUNTIF($AD$2:AD497,"Win")+COUNTIF($AD$2:AD497,"Loss"))=0,0,COUNTIF($AD$2:AD497,"Win")/(COUNTIF($AD$2:AD497,"Win")+COUNTIF($AD$2:AD497,"Loss")))</f>
        <v/>
      </c>
      <c r="AF497" s="6">
        <f>SUM($Y$2:Y497)/SUM($X$2:X497)</f>
        <v/>
      </c>
      <c r="AG497" s="5">
        <f>SUM($Y$2:Y497)</f>
        <v/>
      </c>
      <c r="AH497" s="7">
        <f>10000.0+SUM($AA$2:AA497)</f>
        <v/>
      </c>
      <c r="AI497" s="2" t="n">
        <v>2026</v>
      </c>
      <c r="AJ497" s="2" t="inlineStr">
        <is>
          <t>2026-04</t>
        </is>
      </c>
      <c r="AK497" s="2" t="inlineStr">
        <is>
          <t>&lt;= -150</t>
        </is>
      </c>
      <c r="AL497" s="2" t="inlineStr">
        <is>
          <t>2026 Frozen Test</t>
        </is>
      </c>
      <c r="AM497" s="6" t="n">
        <v>0.1247562330194777</v>
      </c>
    </row>
    <row r="498">
      <c r="A498" s="2" t="inlineStr">
        <is>
          <t>KPROP-00497</t>
        </is>
      </c>
      <c r="B498" s="3" t="n">
        <v>46118.67403935185</v>
      </c>
      <c r="C498" s="3" t="n">
        <v>46118</v>
      </c>
      <c r="D498" s="2" t="inlineStr">
        <is>
          <t>Jameson Taillon</t>
        </is>
      </c>
      <c r="E498" s="2" t="n">
        <v>112</v>
      </c>
      <c r="F498" s="2" t="n">
        <v>139</v>
      </c>
      <c r="G498" s="2" t="inlineStr">
        <is>
          <t>Away</t>
        </is>
      </c>
      <c r="H498" s="2" t="inlineStr">
        <is>
          <t>bovada</t>
        </is>
      </c>
      <c r="I498" s="4" t="n"/>
      <c r="J498" s="4" t="n"/>
      <c r="K498" s="4" t="n">
        <v>115</v>
      </c>
      <c r="L498" s="4" t="n">
        <v>115</v>
      </c>
      <c r="M498" s="5" t="n">
        <v>3.5</v>
      </c>
      <c r="N498" s="5" t="n">
        <v>3.626399122495935</v>
      </c>
      <c r="O498" s="5" t="n">
        <v>3.5</v>
      </c>
      <c r="P498" s="5" t="n">
        <v>-0.1263991224959349</v>
      </c>
      <c r="Q498" s="6" t="n">
        <v>0.09568209564796792</v>
      </c>
      <c r="R498" s="6" t="n">
        <v>0.5096195793711479</v>
      </c>
      <c r="S498" s="6" t="n">
        <v>0.4556962025316456</v>
      </c>
      <c r="T498" s="2" t="inlineStr">
        <is>
          <t>Under</t>
        </is>
      </c>
      <c r="U498" s="4" t="n">
        <v>115</v>
      </c>
      <c r="V498" s="2" t="n">
        <v>2.15</v>
      </c>
      <c r="W498" s="4" t="n">
        <v>115</v>
      </c>
      <c r="X498" s="2" t="n">
        <v>1</v>
      </c>
      <c r="Y498" s="5" t="n">
        <v>-1</v>
      </c>
      <c r="Z498" s="7" t="n">
        <v>100</v>
      </c>
      <c r="AA498" s="7">
        <f>Y498*Z498</f>
        <v/>
      </c>
      <c r="AB498" s="6">
        <f>IF(Z498=0,0,AA498/Z498)</f>
        <v/>
      </c>
      <c r="AC498" s="6" t="n"/>
      <c r="AD498" s="2" t="inlineStr">
        <is>
          <t>Loss</t>
        </is>
      </c>
      <c r="AE498" s="6">
        <f>IF((COUNTIF($AD$2:AD498,"Win")+COUNTIF($AD$2:AD498,"Loss"))=0,0,COUNTIF($AD$2:AD498,"Win")/(COUNTIF($AD$2:AD498,"Win")+COUNTIF($AD$2:AD498,"Loss")))</f>
        <v/>
      </c>
      <c r="AF498" s="6">
        <f>SUM($Y$2:Y498)/SUM($X$2:X498)</f>
        <v/>
      </c>
      <c r="AG498" s="5">
        <f>SUM($Y$2:Y498)</f>
        <v/>
      </c>
      <c r="AH498" s="7">
        <f>10000.0+SUM($AA$2:AA498)</f>
        <v/>
      </c>
      <c r="AI498" s="2" t="n">
        <v>2026</v>
      </c>
      <c r="AJ498" s="2" t="inlineStr">
        <is>
          <t>2026-04</t>
        </is>
      </c>
      <c r="AK498" s="2" t="inlineStr">
        <is>
          <t>+100 to +120</t>
        </is>
      </c>
      <c r="AL498" s="2" t="inlineStr">
        <is>
          <t>2026 Frozen Test</t>
        </is>
      </c>
      <c r="AM498" s="6" t="n">
        <v>0.08320182230258082</v>
      </c>
    </row>
    <row r="499">
      <c r="A499" s="2" t="inlineStr">
        <is>
          <t>KPROP-00498</t>
        </is>
      </c>
      <c r="B499" s="3" t="n">
        <v>46118.77821759259</v>
      </c>
      <c r="C499" s="3" t="n">
        <v>46118</v>
      </c>
      <c r="D499" s="2" t="inlineStr">
        <is>
          <t>Janson Junk</t>
        </is>
      </c>
      <c r="E499" s="2" t="n">
        <v>146</v>
      </c>
      <c r="F499" s="2" t="n">
        <v>113</v>
      </c>
      <c r="G499" s="2" t="inlineStr">
        <is>
          <t>Home</t>
        </is>
      </c>
      <c r="H499" s="2" t="inlineStr">
        <is>
          <t>fanatics</t>
        </is>
      </c>
      <c r="I499" s="4" t="n"/>
      <c r="J499" s="4" t="n"/>
      <c r="K499" s="4" t="n">
        <v>-105</v>
      </c>
      <c r="L499" s="4" t="n">
        <v>-105</v>
      </c>
      <c r="M499" s="5" t="n">
        <v>4.5</v>
      </c>
      <c r="N499" s="5" t="n">
        <v>4.396959357105889</v>
      </c>
      <c r="O499" s="5" t="n">
        <v>4.5</v>
      </c>
      <c r="P499" s="5" t="n">
        <v>0.1030406428941113</v>
      </c>
      <c r="Q499" s="6" t="n">
        <v>0.07725916571769154</v>
      </c>
      <c r="R499" s="6" t="n">
        <v>0.551766889757842</v>
      </c>
      <c r="S499" s="6" t="n">
        <v>0.5085111484056581</v>
      </c>
      <c r="T499" s="2" t="inlineStr">
        <is>
          <t>Under</t>
        </is>
      </c>
      <c r="U499" s="4" t="n">
        <v>-105</v>
      </c>
      <c r="V499" s="2" t="n">
        <v>1.952380952380952</v>
      </c>
      <c r="W499" s="4" t="n">
        <v>-105</v>
      </c>
      <c r="X499" s="2" t="n">
        <v>1</v>
      </c>
      <c r="Y499" s="5" t="n">
        <v>0.9523809523809523</v>
      </c>
      <c r="Z499" s="7" t="n">
        <v>100</v>
      </c>
      <c r="AA499" s="7">
        <f>Y499*Z499</f>
        <v/>
      </c>
      <c r="AB499" s="6">
        <f>IF(Z499=0,0,AA499/Z499)</f>
        <v/>
      </c>
      <c r="AC499" s="6" t="n"/>
      <c r="AD499" s="2" t="inlineStr">
        <is>
          <t>Win</t>
        </is>
      </c>
      <c r="AE499" s="6">
        <f>IF((COUNTIF($AD$2:AD499,"Win")+COUNTIF($AD$2:AD499,"Loss"))=0,0,COUNTIF($AD$2:AD499,"Win")/(COUNTIF($AD$2:AD499,"Win")+COUNTIF($AD$2:AD499,"Loss")))</f>
        <v/>
      </c>
      <c r="AF499" s="6">
        <f>SUM($Y$2:Y499)/SUM($X$2:X499)</f>
        <v/>
      </c>
      <c r="AG499" s="5">
        <f>SUM($Y$2:Y499)</f>
        <v/>
      </c>
      <c r="AH499" s="7">
        <f>10000.0+SUM($AA$2:AA499)</f>
        <v/>
      </c>
      <c r="AI499" s="2" t="n">
        <v>2026</v>
      </c>
      <c r="AJ499" s="2" t="inlineStr">
        <is>
          <t>2026-04</t>
        </is>
      </c>
      <c r="AK499" s="2" t="inlineStr">
        <is>
          <t>-119 to -101</t>
        </is>
      </c>
      <c r="AL499" s="2" t="inlineStr">
        <is>
          <t>2026 Frozen Test</t>
        </is>
      </c>
      <c r="AM499" s="6" t="n">
        <v>0.08112212400357612</v>
      </c>
    </row>
    <row r="500">
      <c r="A500" s="2" t="inlineStr">
        <is>
          <t>KPROP-00499</t>
        </is>
      </c>
      <c r="B500" s="3" t="n">
        <v>46118.81987268518</v>
      </c>
      <c r="C500" s="3" t="n">
        <v>46118</v>
      </c>
      <c r="D500" s="2" t="inlineStr">
        <is>
          <t>Joe Ryan</t>
        </is>
      </c>
      <c r="E500" s="2" t="n">
        <v>142</v>
      </c>
      <c r="F500" s="2" t="n">
        <v>116</v>
      </c>
      <c r="G500" s="2" t="inlineStr">
        <is>
          <t>Home</t>
        </is>
      </c>
      <c r="H500" s="2" t="inlineStr">
        <is>
          <t>draftkings</t>
        </is>
      </c>
      <c r="I500" s="4" t="n"/>
      <c r="J500" s="4" t="n"/>
      <c r="K500" s="4" t="n">
        <v>-124</v>
      </c>
      <c r="L500" s="4" t="n">
        <v>-124</v>
      </c>
      <c r="M500" s="5" t="n">
        <v>6.5</v>
      </c>
      <c r="N500" s="5" t="n">
        <v>5.269986262928136</v>
      </c>
      <c r="O500" s="5" t="n">
        <v>6.5</v>
      </c>
      <c r="P500" s="5" t="n">
        <v>1.230013737071864</v>
      </c>
      <c r="Q500" s="6" t="n">
        <v>0.3037819581467722</v>
      </c>
      <c r="R500" s="6" t="n">
        <v>0.7217364411169632</v>
      </c>
      <c r="S500" s="6" t="n">
        <v>0.5254237288135594</v>
      </c>
      <c r="T500" s="2" t="inlineStr">
        <is>
          <t>Under</t>
        </is>
      </c>
      <c r="U500" s="4" t="n">
        <v>-124</v>
      </c>
      <c r="V500" s="2" t="n">
        <v>1.806451612903226</v>
      </c>
      <c r="W500" s="4" t="n">
        <v>-124</v>
      </c>
      <c r="X500" s="2" t="n">
        <v>1</v>
      </c>
      <c r="Y500" s="5" t="n">
        <v>-1</v>
      </c>
      <c r="Z500" s="7" t="n">
        <v>100</v>
      </c>
      <c r="AA500" s="7">
        <f>Y500*Z500</f>
        <v/>
      </c>
      <c r="AB500" s="6">
        <f>IF(Z500=0,0,AA500/Z500)</f>
        <v/>
      </c>
      <c r="AC500" s="6" t="n"/>
      <c r="AD500" s="2" t="inlineStr">
        <is>
          <t>Loss</t>
        </is>
      </c>
      <c r="AE500" s="6">
        <f>IF((COUNTIF($AD$2:AD500,"Win")+COUNTIF($AD$2:AD500,"Loss"))=0,0,COUNTIF($AD$2:AD500,"Win")/(COUNTIF($AD$2:AD500,"Win")+COUNTIF($AD$2:AD500,"Loss")))</f>
        <v/>
      </c>
      <c r="AF500" s="6">
        <f>SUM($Y$2:Y500)/SUM($X$2:X500)</f>
        <v/>
      </c>
      <c r="AG500" s="5">
        <f>SUM($Y$2:Y500)</f>
        <v/>
      </c>
      <c r="AH500" s="7">
        <f>10000.0+SUM($AA$2:AA500)</f>
        <v/>
      </c>
      <c r="AI500" s="2" t="n">
        <v>2026</v>
      </c>
      <c r="AJ500" s="2" t="inlineStr">
        <is>
          <t>2026-04</t>
        </is>
      </c>
      <c r="AK500" s="2" t="inlineStr">
        <is>
          <t>-149 to -120</t>
        </is>
      </c>
      <c r="AL500" s="2" t="inlineStr">
        <is>
          <t>2026 Frozen Test</t>
        </is>
      </c>
      <c r="AM500" s="6" t="n">
        <v>0.3766896281019976</v>
      </c>
    </row>
    <row r="501">
      <c r="A501" s="2" t="inlineStr">
        <is>
          <t>KPROP-00500</t>
        </is>
      </c>
      <c r="B501" s="3" t="n">
        <v>46118.67403935185</v>
      </c>
      <c r="C501" s="3" t="n">
        <v>46118</v>
      </c>
      <c r="D501" s="2" t="inlineStr">
        <is>
          <t>Shane McClanahan</t>
        </is>
      </c>
      <c r="E501" s="2" t="n">
        <v>139</v>
      </c>
      <c r="F501" s="2" t="n">
        <v>112</v>
      </c>
      <c r="G501" s="2" t="inlineStr">
        <is>
          <t>Home</t>
        </is>
      </c>
      <c r="H501" s="2" t="inlineStr">
        <is>
          <t>bovada</t>
        </is>
      </c>
      <c r="I501" s="4" t="n"/>
      <c r="J501" s="4" t="n"/>
      <c r="K501" s="4" t="n">
        <v>-130</v>
      </c>
      <c r="L501" s="4" t="n">
        <v>-130</v>
      </c>
      <c r="M501" s="5" t="n">
        <v>5.5</v>
      </c>
      <c r="N501" s="5" t="n">
        <v>5.062025241899391</v>
      </c>
      <c r="O501" s="5" t="n">
        <v>5.5</v>
      </c>
      <c r="P501" s="5" t="n">
        <v>0.4379747581006086</v>
      </c>
      <c r="Q501" s="6" t="n">
        <v>0.0705237400651379</v>
      </c>
      <c r="R501" s="6" t="n">
        <v>0.605078635688991</v>
      </c>
      <c r="S501" s="6" t="n">
        <v>0.5391705069124424</v>
      </c>
      <c r="T501" s="2" t="inlineStr">
        <is>
          <t>Under</t>
        </is>
      </c>
      <c r="U501" s="4" t="n">
        <v>-130</v>
      </c>
      <c r="V501" s="2" t="n">
        <v>1.769230769230769</v>
      </c>
      <c r="W501" s="4" t="n">
        <v>-130</v>
      </c>
      <c r="X501" s="2" t="n">
        <v>1</v>
      </c>
      <c r="Y501" s="5" t="n">
        <v>0.7692307692307692</v>
      </c>
      <c r="Z501" s="7" t="n">
        <v>100</v>
      </c>
      <c r="AA501" s="7">
        <f>Y501*Z501</f>
        <v/>
      </c>
      <c r="AB501" s="6">
        <f>IF(Z501=0,0,AA501/Z501)</f>
        <v/>
      </c>
      <c r="AC501" s="6" t="n"/>
      <c r="AD501" s="2" t="inlineStr">
        <is>
          <t>Win</t>
        </is>
      </c>
      <c r="AE501" s="6">
        <f>IF((COUNTIF($AD$2:AD501,"Win")+COUNTIF($AD$2:AD501,"Loss"))=0,0,COUNTIF($AD$2:AD501,"Win")/(COUNTIF($AD$2:AD501,"Win")+COUNTIF($AD$2:AD501,"Loss")))</f>
        <v/>
      </c>
      <c r="AF501" s="6">
        <f>SUM($Y$2:Y501)/SUM($X$2:X501)</f>
        <v/>
      </c>
      <c r="AG501" s="5">
        <f>SUM($Y$2:Y501)</f>
        <v/>
      </c>
      <c r="AH501" s="7">
        <f>10000.0+SUM($AA$2:AA501)</f>
        <v/>
      </c>
      <c r="AI501" s="2" t="n">
        <v>2026</v>
      </c>
      <c r="AJ501" s="2" t="inlineStr">
        <is>
          <t>2026-04</t>
        </is>
      </c>
      <c r="AK501" s="2" t="inlineStr">
        <is>
          <t>-149 to -120</t>
        </is>
      </c>
      <c r="AL501" s="2" t="inlineStr">
        <is>
          <t>2026 Frozen Test</t>
        </is>
      </c>
      <c r="AM501" s="6" t="n">
        <v>0.09168086208467928</v>
      </c>
    </row>
    <row r="502">
      <c r="A502" s="2" t="inlineStr">
        <is>
          <t>KPROP-00501</t>
        </is>
      </c>
      <c r="B502" s="3" t="n">
        <v>46118.75737268518</v>
      </c>
      <c r="C502" s="3" t="n">
        <v>46118</v>
      </c>
      <c r="D502" s="2" t="inlineStr">
        <is>
          <t>Tanner Bibee</t>
        </is>
      </c>
      <c r="E502" s="2" t="n">
        <v>114</v>
      </c>
      <c r="F502" s="2" t="n">
        <v>118</v>
      </c>
      <c r="G502" s="2" t="inlineStr">
        <is>
          <t>Home</t>
        </is>
      </c>
      <c r="H502" s="2" t="inlineStr">
        <is>
          <t>draftkings</t>
        </is>
      </c>
      <c r="I502" s="4" t="n"/>
      <c r="J502" s="4" t="n"/>
      <c r="K502" s="4" t="n">
        <v>119</v>
      </c>
      <c r="L502" s="4" t="n">
        <v>119</v>
      </c>
      <c r="M502" s="5" t="n">
        <v>4.5</v>
      </c>
      <c r="N502" s="5" t="n">
        <v>4.603030727352275</v>
      </c>
      <c r="O502" s="5" t="n">
        <v>4.5</v>
      </c>
      <c r="P502" s="5" t="n">
        <v>-0.1030307273522748</v>
      </c>
      <c r="Q502" s="6" t="n">
        <v>0.1227380316980793</v>
      </c>
      <c r="R502" s="6" t="n">
        <v>0.5126657678986664</v>
      </c>
      <c r="S502" s="6" t="n">
        <v>0.442853104682936</v>
      </c>
      <c r="T502" s="2" t="inlineStr">
        <is>
          <t>Under</t>
        </is>
      </c>
      <c r="U502" s="4" t="n">
        <v>119</v>
      </c>
      <c r="V502" s="2" t="n">
        <v>2.19</v>
      </c>
      <c r="W502" s="4" t="n">
        <v>119</v>
      </c>
      <c r="X502" s="2" t="n">
        <v>1</v>
      </c>
      <c r="Y502" s="5" t="n">
        <v>1.19</v>
      </c>
      <c r="Z502" s="7" t="n">
        <v>100</v>
      </c>
      <c r="AA502" s="7">
        <f>Y502*Z502</f>
        <v/>
      </c>
      <c r="AB502" s="6">
        <f>IF(Z502=0,0,AA502/Z502)</f>
        <v/>
      </c>
      <c r="AC502" s="6" t="n"/>
      <c r="AD502" s="2" t="inlineStr">
        <is>
          <t>Win</t>
        </is>
      </c>
      <c r="AE502" s="6">
        <f>IF((COUNTIF($AD$2:AD502,"Win")+COUNTIF($AD$2:AD502,"Loss"))=0,0,COUNTIF($AD$2:AD502,"Win")/(COUNTIF($AD$2:AD502,"Win")+COUNTIF($AD$2:AD502,"Loss")))</f>
        <v/>
      </c>
      <c r="AF502" s="6">
        <f>SUM($Y$2:Y502)/SUM($X$2:X502)</f>
        <v/>
      </c>
      <c r="AG502" s="5">
        <f>SUM($Y$2:Y502)</f>
        <v/>
      </c>
      <c r="AH502" s="7">
        <f>10000.0+SUM($AA$2:AA502)</f>
        <v/>
      </c>
      <c r="AI502" s="2" t="n">
        <v>2026</v>
      </c>
      <c r="AJ502" s="2" t="inlineStr">
        <is>
          <t>2026-04</t>
        </is>
      </c>
      <c r="AK502" s="2" t="inlineStr">
        <is>
          <t>+100 to +120</t>
        </is>
      </c>
      <c r="AL502" s="2" t="inlineStr">
        <is>
          <t>2026 Frozen Test</t>
        </is>
      </c>
      <c r="AM502" s="6" t="n">
        <v>0.1031412031076297</v>
      </c>
    </row>
    <row r="503">
      <c r="A503" s="2" t="inlineStr">
        <is>
          <t>KPROP-00502</t>
        </is>
      </c>
      <c r="B503" s="3" t="n">
        <v>46119.79557870371</v>
      </c>
      <c r="C503" s="3" t="n">
        <v>46119</v>
      </c>
      <c r="D503" s="2" t="inlineStr">
        <is>
          <t>Aaron Civale</t>
        </is>
      </c>
      <c r="E503" s="2" t="n">
        <v>133</v>
      </c>
      <c r="F503" s="2" t="n">
        <v>147</v>
      </c>
      <c r="G503" s="2" t="inlineStr">
        <is>
          <t>Away</t>
        </is>
      </c>
      <c r="H503" s="2" t="inlineStr">
        <is>
          <t>draftkings</t>
        </is>
      </c>
      <c r="I503" s="4" t="n"/>
      <c r="J503" s="4" t="n"/>
      <c r="K503" s="4" t="n">
        <v>101</v>
      </c>
      <c r="L503" s="4" t="n">
        <v>101</v>
      </c>
      <c r="M503" s="5" t="n">
        <v>4.5</v>
      </c>
      <c r="N503" s="5" t="n">
        <v>4.315327655904918</v>
      </c>
      <c r="O503" s="5" t="n">
        <v>4.5</v>
      </c>
      <c r="P503" s="5" t="n">
        <v>0.1846723440950822</v>
      </c>
      <c r="Q503" s="6" t="n">
        <v>0.1406290162624938</v>
      </c>
      <c r="R503" s="6" t="n">
        <v>0.5674771225186537</v>
      </c>
      <c r="S503" s="6" t="n">
        <v>0.47423601216426</v>
      </c>
      <c r="T503" s="2" t="inlineStr">
        <is>
          <t>Under</t>
        </is>
      </c>
      <c r="U503" s="4" t="n">
        <v>101</v>
      </c>
      <c r="V503" s="2" t="n">
        <v>2.01</v>
      </c>
      <c r="W503" s="4" t="n">
        <v>101</v>
      </c>
      <c r="X503" s="2" t="n">
        <v>1</v>
      </c>
      <c r="Y503" s="5" t="n">
        <v>-1</v>
      </c>
      <c r="Z503" s="7" t="n">
        <v>100</v>
      </c>
      <c r="AA503" s="7">
        <f>Y503*Z503</f>
        <v/>
      </c>
      <c r="AB503" s="6">
        <f>IF(Z503=0,0,AA503/Z503)</f>
        <v/>
      </c>
      <c r="AC503" s="6" t="n"/>
      <c r="AD503" s="2" t="inlineStr">
        <is>
          <t>Loss</t>
        </is>
      </c>
      <c r="AE503" s="6">
        <f>IF((COUNTIF($AD$2:AD503,"Win")+COUNTIF($AD$2:AD503,"Loss"))=0,0,COUNTIF($AD$2:AD503,"Win")/(COUNTIF($AD$2:AD503,"Win")+COUNTIF($AD$2:AD503,"Loss")))</f>
        <v/>
      </c>
      <c r="AF503" s="6">
        <f>SUM($Y$2:Y503)/SUM($X$2:X503)</f>
        <v/>
      </c>
      <c r="AG503" s="5">
        <f>SUM($Y$2:Y503)</f>
        <v/>
      </c>
      <c r="AH503" s="7">
        <f>10000.0+SUM($AA$2:AA503)</f>
        <v/>
      </c>
      <c r="AI503" s="2" t="n">
        <v>2026</v>
      </c>
      <c r="AJ503" s="2" t="inlineStr">
        <is>
          <t>2026-04</t>
        </is>
      </c>
      <c r="AK503" s="2" t="inlineStr">
        <is>
          <t>+100 to +120</t>
        </is>
      </c>
      <c r="AL503" s="2" t="inlineStr">
        <is>
          <t>2026 Frozen Test</t>
        </is>
      </c>
      <c r="AM503" s="6" t="n">
        <v>0.1392366497648454</v>
      </c>
    </row>
    <row r="504">
      <c r="A504" s="2" t="inlineStr">
        <is>
          <t>KPROP-00503</t>
        </is>
      </c>
      <c r="B504" s="3" t="n">
        <v>46119.77820601852</v>
      </c>
      <c r="C504" s="3" t="n">
        <v>46119</v>
      </c>
      <c r="D504" s="2" t="inlineStr">
        <is>
          <t>Andrew Abbott</t>
        </is>
      </c>
      <c r="E504" s="2" t="n">
        <v>113</v>
      </c>
      <c r="F504" s="2" t="n">
        <v>146</v>
      </c>
      <c r="G504" s="2" t="inlineStr">
        <is>
          <t>Away</t>
        </is>
      </c>
      <c r="H504" s="2" t="inlineStr">
        <is>
          <t>draftkings</t>
        </is>
      </c>
      <c r="I504" s="4" t="n"/>
      <c r="J504" s="4" t="n"/>
      <c r="K504" s="4" t="n">
        <v>119</v>
      </c>
      <c r="L504" s="4" t="n">
        <v>119</v>
      </c>
      <c r="M504" s="5" t="n">
        <v>4.5</v>
      </c>
      <c r="N504" s="5" t="n">
        <v>4.443825442869096</v>
      </c>
      <c r="O504" s="5" t="n">
        <v>4.5</v>
      </c>
      <c r="P504" s="5" t="n">
        <v>0.05617455713090358</v>
      </c>
      <c r="Q504" s="6" t="n">
        <v>0.1887279707099309</v>
      </c>
      <c r="R504" s="6" t="n">
        <v>0.5427981601415209</v>
      </c>
      <c r="S504" s="6" t="n">
        <v>0.442853104682936</v>
      </c>
      <c r="T504" s="2" t="inlineStr">
        <is>
          <t>Under</t>
        </is>
      </c>
      <c r="U504" s="4" t="n">
        <v>119</v>
      </c>
      <c r="V504" s="2" t="n">
        <v>2.19</v>
      </c>
      <c r="W504" s="4" t="n">
        <v>119</v>
      </c>
      <c r="X504" s="2" t="n">
        <v>1</v>
      </c>
      <c r="Y504" s="5" t="n">
        <v>1.19</v>
      </c>
      <c r="Z504" s="7" t="n">
        <v>100</v>
      </c>
      <c r="AA504" s="7">
        <f>Y504*Z504</f>
        <v/>
      </c>
      <c r="AB504" s="6">
        <f>IF(Z504=0,0,AA504/Z504)</f>
        <v/>
      </c>
      <c r="AC504" s="6" t="n"/>
      <c r="AD504" s="2" t="inlineStr">
        <is>
          <t>Win</t>
        </is>
      </c>
      <c r="AE504" s="6">
        <f>IF((COUNTIF($AD$2:AD504,"Win")+COUNTIF($AD$2:AD504,"Loss"))=0,0,COUNTIF($AD$2:AD504,"Win")/(COUNTIF($AD$2:AD504,"Win")+COUNTIF($AD$2:AD504,"Loss")))</f>
        <v/>
      </c>
      <c r="AF504" s="6">
        <f>SUM($Y$2:Y504)/SUM($X$2:X504)</f>
        <v/>
      </c>
      <c r="AG504" s="5">
        <f>SUM($Y$2:Y504)</f>
        <v/>
      </c>
      <c r="AH504" s="7">
        <f>10000.0+SUM($AA$2:AA504)</f>
        <v/>
      </c>
      <c r="AI504" s="2" t="n">
        <v>2026</v>
      </c>
      <c r="AJ504" s="2" t="inlineStr">
        <is>
          <t>2026-04</t>
        </is>
      </c>
      <c r="AK504" s="2" t="inlineStr">
        <is>
          <t>+100 to +120</t>
        </is>
      </c>
      <c r="AL504" s="2" t="inlineStr">
        <is>
          <t>2026 Frozen Test</t>
        </is>
      </c>
      <c r="AM504" s="6" t="n">
        <v>0.1585949333696898</v>
      </c>
    </row>
    <row r="505">
      <c r="A505" s="2" t="inlineStr">
        <is>
          <t>KPROP-00504</t>
        </is>
      </c>
      <c r="B505" s="3" t="n">
        <v>46119.77820601852</v>
      </c>
      <c r="C505" s="3" t="n">
        <v>46119</v>
      </c>
      <c r="D505" s="2" t="inlineStr">
        <is>
          <t>Andrew Abbott</t>
        </is>
      </c>
      <c r="E505" s="2" t="n">
        <v>113</v>
      </c>
      <c r="F505" s="2" t="n">
        <v>146</v>
      </c>
      <c r="G505" s="2" t="inlineStr">
        <is>
          <t>Away</t>
        </is>
      </c>
      <c r="H505" s="2" t="inlineStr">
        <is>
          <t>bovada</t>
        </is>
      </c>
      <c r="I505" s="4" t="n"/>
      <c r="J505" s="4" t="n"/>
      <c r="K505" s="4" t="n">
        <v>-160</v>
      </c>
      <c r="L505" s="4" t="n">
        <v>-160</v>
      </c>
      <c r="M505" s="5" t="n">
        <v>5.5</v>
      </c>
      <c r="N505" s="5" t="n">
        <v>4.443825442869096</v>
      </c>
      <c r="O505" s="5" t="n">
        <v>5.5</v>
      </c>
      <c r="P505" s="5" t="n">
        <v>1.056174557130904</v>
      </c>
      <c r="Q505" s="6" t="n">
        <v>0.1578050648939361</v>
      </c>
      <c r="R505" s="6" t="n">
        <v>0.7124954245501145</v>
      </c>
      <c r="S505" s="6" t="n">
        <v>0.6041412911084043</v>
      </c>
      <c r="T505" s="2" t="inlineStr">
        <is>
          <t>Under</t>
        </is>
      </c>
      <c r="U505" s="4" t="n">
        <v>-160</v>
      </c>
      <c r="V505" s="2" t="n">
        <v>1.625</v>
      </c>
      <c r="W505" s="4" t="n">
        <v>-160</v>
      </c>
      <c r="X505" s="2" t="n">
        <v>1</v>
      </c>
      <c r="Y505" s="5" t="n">
        <v>0.625</v>
      </c>
      <c r="Z505" s="7" t="n">
        <v>100</v>
      </c>
      <c r="AA505" s="7">
        <f>Y505*Z505</f>
        <v/>
      </c>
      <c r="AB505" s="6">
        <f>IF(Z505=0,0,AA505/Z505)</f>
        <v/>
      </c>
      <c r="AC505" s="6" t="n"/>
      <c r="AD505" s="2" t="inlineStr">
        <is>
          <t>Win</t>
        </is>
      </c>
      <c r="AE505" s="6">
        <f>IF((COUNTIF($AD$2:AD505,"Win")+COUNTIF($AD$2:AD505,"Loss"))=0,0,COUNTIF($AD$2:AD505,"Win")/(COUNTIF($AD$2:AD505,"Win")+COUNTIF($AD$2:AD505,"Loss")))</f>
        <v/>
      </c>
      <c r="AF505" s="6">
        <f>SUM($Y$2:Y505)/SUM($X$2:X505)</f>
        <v/>
      </c>
      <c r="AG505" s="5">
        <f>SUM($Y$2:Y505)</f>
        <v/>
      </c>
      <c r="AH505" s="7">
        <f>10000.0+SUM($AA$2:AA505)</f>
        <v/>
      </c>
      <c r="AI505" s="2" t="n">
        <v>2026</v>
      </c>
      <c r="AJ505" s="2" t="inlineStr">
        <is>
          <t>2026-04</t>
        </is>
      </c>
      <c r="AK505" s="2" t="inlineStr">
        <is>
          <t>&lt;= -150</t>
        </is>
      </c>
      <c r="AL505" s="2" t="inlineStr">
        <is>
          <t>2026 Frozen Test</t>
        </is>
      </c>
      <c r="AM505" s="6" t="n">
        <v>0.2524881038302977</v>
      </c>
    </row>
    <row r="506">
      <c r="A506" s="2" t="inlineStr">
        <is>
          <t>KPROP-00505</t>
        </is>
      </c>
      <c r="B506" s="3" t="n">
        <v>46119.67405092593</v>
      </c>
      <c r="C506" s="3" t="n">
        <v>46119</v>
      </c>
      <c r="D506" s="2" t="inlineStr">
        <is>
          <t>Freddy Peralta</t>
        </is>
      </c>
      <c r="E506" s="2" t="n">
        <v>121</v>
      </c>
      <c r="F506" s="2" t="n">
        <v>109</v>
      </c>
      <c r="G506" s="2" t="inlineStr">
        <is>
          <t>Home</t>
        </is>
      </c>
      <c r="H506" s="2" t="inlineStr">
        <is>
          <t>betonlineag</t>
        </is>
      </c>
      <c r="I506" s="4" t="n"/>
      <c r="J506" s="4" t="n"/>
      <c r="K506" s="4" t="n">
        <v>120</v>
      </c>
      <c r="L506" s="4" t="n">
        <v>120</v>
      </c>
      <c r="M506" s="5" t="n">
        <v>5.5</v>
      </c>
      <c r="N506" s="5" t="n">
        <v>5.435591419186276</v>
      </c>
      <c r="O506" s="5" t="n">
        <v>5.5</v>
      </c>
      <c r="P506" s="5" t="n">
        <v>0.06440858081372447</v>
      </c>
      <c r="Q506" s="6" t="n">
        <v>0.187976834919259</v>
      </c>
      <c r="R506" s="6" t="n">
        <v>0.539989470417845</v>
      </c>
      <c r="S506" s="6" t="n">
        <v>0.4409566517189835</v>
      </c>
      <c r="T506" s="2" t="inlineStr">
        <is>
          <t>Under</t>
        </is>
      </c>
      <c r="U506" s="4" t="n">
        <v>120</v>
      </c>
      <c r="V506" s="2" t="n">
        <v>2.2</v>
      </c>
      <c r="W506" s="4" t="n">
        <v>120</v>
      </c>
      <c r="X506" s="2" t="n">
        <v>1</v>
      </c>
      <c r="Y506" s="5" t="n">
        <v>1.2</v>
      </c>
      <c r="Z506" s="7" t="n">
        <v>100</v>
      </c>
      <c r="AA506" s="7">
        <f>Y506*Z506</f>
        <v/>
      </c>
      <c r="AB506" s="6">
        <f>IF(Z506=0,0,AA506/Z506)</f>
        <v/>
      </c>
      <c r="AC506" s="6" t="n"/>
      <c r="AD506" s="2" t="inlineStr">
        <is>
          <t>Win</t>
        </is>
      </c>
      <c r="AE506" s="6">
        <f>IF((COUNTIF($AD$2:AD506,"Win")+COUNTIF($AD$2:AD506,"Loss"))=0,0,COUNTIF($AD$2:AD506,"Win")/(COUNTIF($AD$2:AD506,"Win")+COUNTIF($AD$2:AD506,"Loss")))</f>
        <v/>
      </c>
      <c r="AF506" s="6">
        <f>SUM($Y$2:Y506)/SUM($X$2:X506)</f>
        <v/>
      </c>
      <c r="AG506" s="5">
        <f>SUM($Y$2:Y506)</f>
        <v/>
      </c>
      <c r="AH506" s="7">
        <f>10000.0+SUM($AA$2:AA506)</f>
        <v/>
      </c>
      <c r="AI506" s="2" t="n">
        <v>2026</v>
      </c>
      <c r="AJ506" s="2" t="inlineStr">
        <is>
          <t>2026-04</t>
        </is>
      </c>
      <c r="AK506" s="2" t="inlineStr">
        <is>
          <t>+100 to +120</t>
        </is>
      </c>
      <c r="AL506" s="2" t="inlineStr">
        <is>
          <t>2026 Frozen Test</t>
        </is>
      </c>
      <c r="AM506" s="6" t="n">
        <v>0.1566473624327158</v>
      </c>
    </row>
    <row r="507">
      <c r="A507" s="2" t="inlineStr">
        <is>
          <t>KPROP-00506</t>
        </is>
      </c>
      <c r="B507" s="3" t="n">
        <v>46119.67405092593</v>
      </c>
      <c r="C507" s="3" t="n">
        <v>46119</v>
      </c>
      <c r="D507" s="2" t="inlineStr">
        <is>
          <t>Freddy Peralta</t>
        </is>
      </c>
      <c r="E507" s="2" t="n">
        <v>121</v>
      </c>
      <c r="F507" s="2" t="n">
        <v>109</v>
      </c>
      <c r="G507" s="2" t="inlineStr">
        <is>
          <t>Home</t>
        </is>
      </c>
      <c r="H507" s="2" t="inlineStr">
        <is>
          <t>betmgm</t>
        </is>
      </c>
      <c r="I507" s="4" t="n"/>
      <c r="J507" s="4" t="n"/>
      <c r="K507" s="4" t="n">
        <v>-145</v>
      </c>
      <c r="L507" s="4" t="n">
        <v>-145</v>
      </c>
      <c r="M507" s="5" t="n">
        <v>6.5</v>
      </c>
      <c r="N507" s="5" t="n">
        <v>5.435591419186276</v>
      </c>
      <c r="O507" s="5" t="n">
        <v>6.5</v>
      </c>
      <c r="P507" s="5" t="n">
        <v>1.064408580813724</v>
      </c>
      <c r="Q507" s="6" t="n">
        <v>0.1762107391309113</v>
      </c>
      <c r="R507" s="6" t="n">
        <v>0.6961247231591108</v>
      </c>
      <c r="S507" s="6" t="n">
        <v>0.5967078189300411</v>
      </c>
      <c r="T507" s="2" t="inlineStr">
        <is>
          <t>Under</t>
        </is>
      </c>
      <c r="U507" s="4" t="n">
        <v>-145</v>
      </c>
      <c r="V507" s="2" t="n">
        <v>1.689655172413793</v>
      </c>
      <c r="W507" s="4" t="n">
        <v>-145</v>
      </c>
      <c r="X507" s="2" t="n">
        <v>1</v>
      </c>
      <c r="Y507" s="5" t="n">
        <v>0.6896551724137931</v>
      </c>
      <c r="Z507" s="7" t="n">
        <v>100</v>
      </c>
      <c r="AA507" s="7">
        <f>Y507*Z507</f>
        <v/>
      </c>
      <c r="AB507" s="6">
        <f>IF(Z507=0,0,AA507/Z507)</f>
        <v/>
      </c>
      <c r="AC507" s="6" t="n"/>
      <c r="AD507" s="2" t="inlineStr">
        <is>
          <t>Win</t>
        </is>
      </c>
      <c r="AE507" s="6">
        <f>IF((COUNTIF($AD$2:AD507,"Win")+COUNTIF($AD$2:AD507,"Loss"))=0,0,COUNTIF($AD$2:AD507,"Win")/(COUNTIF($AD$2:AD507,"Win")+COUNTIF($AD$2:AD507,"Loss")))</f>
        <v/>
      </c>
      <c r="AF507" s="6">
        <f>SUM($Y$2:Y507)/SUM($X$2:X507)</f>
        <v/>
      </c>
      <c r="AG507" s="5">
        <f>SUM($Y$2:Y507)</f>
        <v/>
      </c>
      <c r="AH507" s="7">
        <f>10000.0+SUM($AA$2:AA507)</f>
        <v/>
      </c>
      <c r="AI507" s="2" t="n">
        <v>2026</v>
      </c>
      <c r="AJ507" s="2" t="inlineStr">
        <is>
          <t>2026-04</t>
        </is>
      </c>
      <c r="AK507" s="2" t="inlineStr">
        <is>
          <t>-149 to -120</t>
        </is>
      </c>
      <c r="AL507" s="2" t="inlineStr">
        <is>
          <t>2026 Frozen Test</t>
        </is>
      </c>
      <c r="AM507" s="6" t="n">
        <v>0.2555055717398214</v>
      </c>
    </row>
    <row r="508">
      <c r="A508" s="2" t="inlineStr">
        <is>
          <t>KPROP-00507</t>
        </is>
      </c>
      <c r="B508" s="3" t="n">
        <v>46119.78168981482</v>
      </c>
      <c r="C508" s="3" t="n">
        <v>46119</v>
      </c>
      <c r="D508" s="2" t="inlineStr">
        <is>
          <t>Garrett Crochet</t>
        </is>
      </c>
      <c r="E508" s="2" t="n">
        <v>111</v>
      </c>
      <c r="F508" s="2" t="n">
        <v>158</v>
      </c>
      <c r="G508" s="2" t="inlineStr">
        <is>
          <t>Home</t>
        </is>
      </c>
      <c r="H508" s="2" t="inlineStr">
        <is>
          <t>fanduel</t>
        </is>
      </c>
      <c r="I508" s="4" t="n"/>
      <c r="J508" s="4" t="n"/>
      <c r="K508" s="4" t="n">
        <v>-120</v>
      </c>
      <c r="L508" s="4" t="n">
        <v>-120</v>
      </c>
      <c r="M508" s="5" t="n">
        <v>7.5</v>
      </c>
      <c r="N508" s="5" t="n">
        <v>6.438824458464192</v>
      </c>
      <c r="O508" s="5" t="n">
        <v>7.5</v>
      </c>
      <c r="P508" s="5" t="n">
        <v>1.061175541535808</v>
      </c>
      <c r="Q508" s="6" t="n">
        <v>0.2497499527389877</v>
      </c>
      <c r="R508" s="6" t="n">
        <v>0.6816817924030841</v>
      </c>
      <c r="S508" s="6" t="n">
        <v>0.5254529767040552</v>
      </c>
      <c r="T508" s="2" t="inlineStr">
        <is>
          <t>Under</t>
        </is>
      </c>
      <c r="U508" s="4" t="n">
        <v>-120</v>
      </c>
      <c r="V508" s="2" t="n">
        <v>1.833333333333333</v>
      </c>
      <c r="W508" s="4" t="n">
        <v>-120</v>
      </c>
      <c r="X508" s="2" t="n">
        <v>1</v>
      </c>
      <c r="Y508" s="5" t="n">
        <v>0.8333333333333335</v>
      </c>
      <c r="Z508" s="7" t="n">
        <v>100</v>
      </c>
      <c r="AA508" s="7">
        <f>Y508*Z508</f>
        <v/>
      </c>
      <c r="AB508" s="6">
        <f>IF(Z508=0,0,AA508/Z508)</f>
        <v/>
      </c>
      <c r="AC508" s="6" t="n"/>
      <c r="AD508" s="2" t="inlineStr">
        <is>
          <t>Win</t>
        </is>
      </c>
      <c r="AE508" s="6">
        <f>IF((COUNTIF($AD$2:AD508,"Win")+COUNTIF($AD$2:AD508,"Loss"))=0,0,COUNTIF($AD$2:AD508,"Win")/(COUNTIF($AD$2:AD508,"Win")+COUNTIF($AD$2:AD508,"Loss")))</f>
        <v/>
      </c>
      <c r="AF508" s="6">
        <f>SUM($Y$2:Y508)/SUM($X$2:X508)</f>
        <v/>
      </c>
      <c r="AG508" s="5">
        <f>SUM($Y$2:Y508)</f>
        <v/>
      </c>
      <c r="AH508" s="7">
        <f>10000.0+SUM($AA$2:AA508)</f>
        <v/>
      </c>
      <c r="AI508" s="2" t="n">
        <v>2026</v>
      </c>
      <c r="AJ508" s="2" t="inlineStr">
        <is>
          <t>2026-04</t>
        </is>
      </c>
      <c r="AK508" s="2" t="inlineStr">
        <is>
          <t>-149 to -120</t>
        </is>
      </c>
      <c r="AL508" s="2" t="inlineStr">
        <is>
          <t>2026 Frozen Test</t>
        </is>
      </c>
      <c r="AM508" s="6" t="n">
        <v>0.2996999432867852</v>
      </c>
    </row>
    <row r="509">
      <c r="A509" s="2" t="inlineStr">
        <is>
          <t>KPROP-00508</t>
        </is>
      </c>
      <c r="B509" s="3" t="n">
        <v>46119.77820601852</v>
      </c>
      <c r="C509" s="3" t="n">
        <v>46119</v>
      </c>
      <c r="D509" s="2" t="inlineStr">
        <is>
          <t>Javier Assad</t>
        </is>
      </c>
      <c r="E509" s="2" t="n">
        <v>112</v>
      </c>
      <c r="F509" s="2" t="n">
        <v>139</v>
      </c>
      <c r="G509" s="2" t="inlineStr">
        <is>
          <t>Away</t>
        </is>
      </c>
      <c r="H509" s="2" t="inlineStr">
        <is>
          <t>bovada</t>
        </is>
      </c>
      <c r="I509" s="4" t="n"/>
      <c r="J509" s="4" t="n"/>
      <c r="K509" s="4" t="n">
        <v>-120</v>
      </c>
      <c r="L509" s="4" t="n">
        <v>-120</v>
      </c>
      <c r="M509" s="5" t="n">
        <v>3.5</v>
      </c>
      <c r="N509" s="5" t="n">
        <v>3.278368104480284</v>
      </c>
      <c r="O509" s="5" t="n">
        <v>3.5</v>
      </c>
      <c r="P509" s="5" t="n">
        <v>0.2216318955197156</v>
      </c>
      <c r="Q509" s="6" t="n">
        <v>0.07272281538966552</v>
      </c>
      <c r="R509" s="6" t="n">
        <v>0.5851215356670902</v>
      </c>
      <c r="S509" s="6" t="n">
        <v>0.5397489539748954</v>
      </c>
      <c r="T509" s="2" t="inlineStr">
        <is>
          <t>Under</t>
        </is>
      </c>
      <c r="U509" s="4" t="n">
        <v>-120</v>
      </c>
      <c r="V509" s="2" t="n">
        <v>1.833333333333333</v>
      </c>
      <c r="W509" s="4" t="n">
        <v>-120</v>
      </c>
      <c r="X509" s="2" t="n">
        <v>1</v>
      </c>
      <c r="Y509" s="5" t="n">
        <v>0.8333333333333335</v>
      </c>
      <c r="Z509" s="7" t="n">
        <v>100</v>
      </c>
      <c r="AA509" s="7">
        <f>Y509*Z509</f>
        <v/>
      </c>
      <c r="AB509" s="6">
        <f>IF(Z509=0,0,AA509/Z509)</f>
        <v/>
      </c>
      <c r="AC509" s="6" t="n"/>
      <c r="AD509" s="2" t="inlineStr">
        <is>
          <t>Win</t>
        </is>
      </c>
      <c r="AE509" s="6">
        <f>IF((COUNTIF($AD$2:AD509,"Win")+COUNTIF($AD$2:AD509,"Loss"))=0,0,COUNTIF($AD$2:AD509,"Win")/(COUNTIF($AD$2:AD509,"Win")+COUNTIF($AD$2:AD509,"Loss")))</f>
        <v/>
      </c>
      <c r="AF509" s="6">
        <f>SUM($Y$2:Y509)/SUM($X$2:X509)</f>
        <v/>
      </c>
      <c r="AG509" s="5">
        <f>SUM($Y$2:Y509)</f>
        <v/>
      </c>
      <c r="AH509" s="7">
        <f>10000.0+SUM($AA$2:AA509)</f>
        <v/>
      </c>
      <c r="AI509" s="2" t="n">
        <v>2026</v>
      </c>
      <c r="AJ509" s="2" t="inlineStr">
        <is>
          <t>2026-04</t>
        </is>
      </c>
      <c r="AK509" s="2" t="inlineStr">
        <is>
          <t>-149 to -120</t>
        </is>
      </c>
      <c r="AL509" s="2" t="inlineStr">
        <is>
          <t>2026 Frozen Test</t>
        </is>
      </c>
      <c r="AM509" s="6" t="n">
        <v>0.08726737846759861</v>
      </c>
    </row>
    <row r="510">
      <c r="A510" s="2" t="inlineStr">
        <is>
          <t>KPROP-00509</t>
        </is>
      </c>
      <c r="B510" s="3" t="n">
        <v>46119.78168981482</v>
      </c>
      <c r="C510" s="3" t="n">
        <v>46119</v>
      </c>
      <c r="D510" s="2" t="inlineStr">
        <is>
          <t>Matthew Liberatore</t>
        </is>
      </c>
      <c r="E510" s="2" t="n">
        <v>138</v>
      </c>
      <c r="F510" s="2" t="n">
        <v>120</v>
      </c>
      <c r="G510" s="2" t="inlineStr">
        <is>
          <t>Away</t>
        </is>
      </c>
      <c r="H510" s="2" t="inlineStr">
        <is>
          <t>betmgm</t>
        </is>
      </c>
      <c r="I510" s="4" t="n"/>
      <c r="J510" s="4" t="n"/>
      <c r="K510" s="4" t="n">
        <v>-125</v>
      </c>
      <c r="L510" s="4" t="n">
        <v>-125</v>
      </c>
      <c r="M510" s="5" t="n">
        <v>4.5</v>
      </c>
      <c r="N510" s="5" t="n">
        <v>3.841080323390452</v>
      </c>
      <c r="O510" s="5" t="n">
        <v>4.5</v>
      </c>
      <c r="P510" s="5" t="n">
        <v>0.6589196766095484</v>
      </c>
      <c r="Q510" s="6" t="n">
        <v>0.1877322713599902</v>
      </c>
      <c r="R510" s="6" t="n">
        <v>0.6598512618666612</v>
      </c>
      <c r="S510" s="6" t="n">
        <v>0.5324675324675325</v>
      </c>
      <c r="T510" s="2" t="inlineStr">
        <is>
          <t>Under</t>
        </is>
      </c>
      <c r="U510" s="4" t="n">
        <v>-125</v>
      </c>
      <c r="V510" s="2" t="n">
        <v>1.8</v>
      </c>
      <c r="W510" s="4" t="n">
        <v>-125</v>
      </c>
      <c r="X510" s="2" t="n">
        <v>1</v>
      </c>
      <c r="Y510" s="5" t="n">
        <v>-1</v>
      </c>
      <c r="Z510" s="7" t="n">
        <v>100</v>
      </c>
      <c r="AA510" s="7">
        <f>Y510*Z510</f>
        <v/>
      </c>
      <c r="AB510" s="6">
        <f>IF(Z510=0,0,AA510/Z510)</f>
        <v/>
      </c>
      <c r="AC510" s="6" t="n"/>
      <c r="AD510" s="2" t="inlineStr">
        <is>
          <t>Loss</t>
        </is>
      </c>
      <c r="AE510" s="6">
        <f>IF((COUNTIF($AD$2:AD510,"Win")+COUNTIF($AD$2:AD510,"Loss"))=0,0,COUNTIF($AD$2:AD510,"Win")/(COUNTIF($AD$2:AD510,"Win")+COUNTIF($AD$2:AD510,"Loss")))</f>
        <v/>
      </c>
      <c r="AF510" s="6">
        <f>SUM($Y$2:Y510)/SUM($X$2:X510)</f>
        <v/>
      </c>
      <c r="AG510" s="5">
        <f>SUM($Y$2:Y510)</f>
        <v/>
      </c>
      <c r="AH510" s="7">
        <f>10000.0+SUM($AA$2:AA510)</f>
        <v/>
      </c>
      <c r="AI510" s="2" t="n">
        <v>2026</v>
      </c>
      <c r="AJ510" s="2" t="inlineStr">
        <is>
          <t>2026-04</t>
        </is>
      </c>
      <c r="AK510" s="2" t="inlineStr">
        <is>
          <t>-149 to -120</t>
        </is>
      </c>
      <c r="AL510" s="2" t="inlineStr">
        <is>
          <t>2026 Frozen Test</t>
        </is>
      </c>
      <c r="AM510" s="6" t="n">
        <v>0.2346653391999877</v>
      </c>
    </row>
    <row r="511">
      <c r="A511" s="2" t="inlineStr">
        <is>
          <t>KPROP-00510</t>
        </is>
      </c>
      <c r="B511" s="3" t="n">
        <v>46119.77820601852</v>
      </c>
      <c r="C511" s="3" t="n">
        <v>46119</v>
      </c>
      <c r="D511" s="2" t="inlineStr">
        <is>
          <t>Nick Pivetta</t>
        </is>
      </c>
      <c r="E511" s="2" t="n">
        <v>135</v>
      </c>
      <c r="F511" s="2" t="n">
        <v>134</v>
      </c>
      <c r="G511" s="2" t="inlineStr">
        <is>
          <t>Away</t>
        </is>
      </c>
      <c r="H511" s="2" t="inlineStr">
        <is>
          <t>draftkings</t>
        </is>
      </c>
      <c r="I511" s="4" t="n"/>
      <c r="J511" s="4" t="n"/>
      <c r="K511" s="4" t="n">
        <v>-119</v>
      </c>
      <c r="L511" s="4" t="n">
        <v>-119</v>
      </c>
      <c r="M511" s="5" t="n">
        <v>6.5</v>
      </c>
      <c r="N511" s="5" t="n">
        <v>5.625844035244437</v>
      </c>
      <c r="O511" s="5" t="n">
        <v>6.5</v>
      </c>
      <c r="P511" s="5" t="n">
        <v>0.8741559647555626</v>
      </c>
      <c r="Q511" s="6" t="n">
        <v>0.2259592216821394</v>
      </c>
      <c r="R511" s="6" t="n">
        <v>0.6661604903204319</v>
      </c>
      <c r="S511" s="6" t="n">
        <v>0.5207877461706784</v>
      </c>
      <c r="T511" s="2" t="inlineStr">
        <is>
          <t>Under</t>
        </is>
      </c>
      <c r="U511" s="4" t="n">
        <v>-119</v>
      </c>
      <c r="V511" s="2" t="n">
        <v>1.840336134453782</v>
      </c>
      <c r="W511" s="4" t="n">
        <v>-119</v>
      </c>
      <c r="X511" s="2" t="n">
        <v>1</v>
      </c>
      <c r="Y511" s="5" t="n">
        <v>-1</v>
      </c>
      <c r="Z511" s="7" t="n">
        <v>100</v>
      </c>
      <c r="AA511" s="7">
        <f>Y511*Z511</f>
        <v/>
      </c>
      <c r="AB511" s="6">
        <f>IF(Z511=0,0,AA511/Z511)</f>
        <v/>
      </c>
      <c r="AC511" s="6" t="n"/>
      <c r="AD511" s="2" t="inlineStr">
        <is>
          <t>Loss</t>
        </is>
      </c>
      <c r="AE511" s="6">
        <f>IF((COUNTIF($AD$2:AD511,"Win")+COUNTIF($AD$2:AD511,"Loss"))=0,0,COUNTIF($AD$2:AD511,"Win")/(COUNTIF($AD$2:AD511,"Win")+COUNTIF($AD$2:AD511,"Loss")))</f>
        <v/>
      </c>
      <c r="AF511" s="6">
        <f>SUM($Y$2:Y511)/SUM($X$2:X511)</f>
        <v/>
      </c>
      <c r="AG511" s="5">
        <f>SUM($Y$2:Y511)</f>
        <v/>
      </c>
      <c r="AH511" s="7">
        <f>10000.0+SUM($AA$2:AA511)</f>
        <v/>
      </c>
      <c r="AI511" s="2" t="n">
        <v>2026</v>
      </c>
      <c r="AJ511" s="2" t="inlineStr">
        <is>
          <t>2026-04</t>
        </is>
      </c>
      <c r="AK511" s="2" t="inlineStr">
        <is>
          <t>-119 to -101</t>
        </is>
      </c>
      <c r="AL511" s="2" t="inlineStr">
        <is>
          <t>2026 Frozen Test</t>
        </is>
      </c>
      <c r="AM511" s="6" t="n">
        <v>0.2688914738017459</v>
      </c>
    </row>
    <row r="512">
      <c r="A512" s="2" t="inlineStr">
        <is>
          <t>KPROP-00511</t>
        </is>
      </c>
      <c r="B512" s="3" t="n">
        <v>46119.77820601852</v>
      </c>
      <c r="C512" s="3" t="n">
        <v>46119</v>
      </c>
      <c r="D512" s="2" t="inlineStr">
        <is>
          <t>Paul Skenes</t>
        </is>
      </c>
      <c r="E512" s="2" t="n">
        <v>134</v>
      </c>
      <c r="F512" s="2" t="n">
        <v>135</v>
      </c>
      <c r="G512" s="2" t="inlineStr">
        <is>
          <t>Home</t>
        </is>
      </c>
      <c r="H512" s="2" t="inlineStr">
        <is>
          <t>bovada</t>
        </is>
      </c>
      <c r="I512" s="4" t="n"/>
      <c r="J512" s="4" t="n"/>
      <c r="K512" s="4" t="n">
        <v>-105</v>
      </c>
      <c r="L512" s="4" t="n">
        <v>-105</v>
      </c>
      <c r="M512" s="5" t="n">
        <v>6.5</v>
      </c>
      <c r="N512" s="5" t="n">
        <v>5.663586209155944</v>
      </c>
      <c r="O512" s="5" t="n">
        <v>6.5</v>
      </c>
      <c r="P512" s="5" t="n">
        <v>0.8364137908440563</v>
      </c>
      <c r="Q512" s="6" t="n">
        <v>0.2888922641284365</v>
      </c>
      <c r="R512" s="6" t="n">
        <v>0.660164330407248</v>
      </c>
      <c r="S512" s="6" t="n">
        <v>0.4922600619195047</v>
      </c>
      <c r="T512" s="2" t="inlineStr">
        <is>
          <t>Under</t>
        </is>
      </c>
      <c r="U512" s="4" t="n">
        <v>-105</v>
      </c>
      <c r="V512" s="2" t="n">
        <v>1.952380952380952</v>
      </c>
      <c r="W512" s="4" t="n">
        <v>-105</v>
      </c>
      <c r="X512" s="2" t="n">
        <v>1</v>
      </c>
      <c r="Y512" s="5" t="n">
        <v>0.9523809523809523</v>
      </c>
      <c r="Z512" s="7" t="n">
        <v>100</v>
      </c>
      <c r="AA512" s="7">
        <f>Y512*Z512</f>
        <v/>
      </c>
      <c r="AB512" s="6">
        <f>IF(Z512=0,0,AA512/Z512)</f>
        <v/>
      </c>
      <c r="AC512" s="6" t="n"/>
      <c r="AD512" s="2" t="inlineStr">
        <is>
          <t>Win</t>
        </is>
      </c>
      <c r="AE512" s="6">
        <f>IF((COUNTIF($AD$2:AD512,"Win")+COUNTIF($AD$2:AD512,"Loss"))=0,0,COUNTIF($AD$2:AD512,"Win")/(COUNTIF($AD$2:AD512,"Win")+COUNTIF($AD$2:AD512,"Loss")))</f>
        <v/>
      </c>
      <c r="AF512" s="6">
        <f>SUM($Y$2:Y512)/SUM($X$2:X512)</f>
        <v/>
      </c>
      <c r="AG512" s="5">
        <f>SUM($Y$2:Y512)</f>
        <v/>
      </c>
      <c r="AH512" s="7">
        <f>10000.0+SUM($AA$2:AA512)</f>
        <v/>
      </c>
      <c r="AI512" s="2" t="n">
        <v>2026</v>
      </c>
      <c r="AJ512" s="2" t="inlineStr">
        <is>
          <t>2026-04</t>
        </is>
      </c>
      <c r="AK512" s="2" t="inlineStr">
        <is>
          <t>-119 to -101</t>
        </is>
      </c>
      <c r="AL512" s="2" t="inlineStr">
        <is>
          <t>2026 Frozen Test</t>
        </is>
      </c>
      <c r="AM512" s="6" t="n">
        <v>0.3033368773348583</v>
      </c>
    </row>
    <row r="513">
      <c r="A513" s="2" t="inlineStr">
        <is>
          <t>KPROP-00512</t>
        </is>
      </c>
      <c r="B513" s="3" t="n">
        <v>46119.81988425926</v>
      </c>
      <c r="C513" s="3" t="n">
        <v>46119</v>
      </c>
      <c r="D513" s="2" t="inlineStr">
        <is>
          <t>Taj Bradley</t>
        </is>
      </c>
      <c r="E513" s="2" t="n">
        <v>142</v>
      </c>
      <c r="F513" s="2" t="n">
        <v>116</v>
      </c>
      <c r="G513" s="2" t="inlineStr">
        <is>
          <t>Home</t>
        </is>
      </c>
      <c r="H513" s="2" t="inlineStr">
        <is>
          <t>draftkings</t>
        </is>
      </c>
      <c r="I513" s="4" t="n"/>
      <c r="J513" s="4" t="n"/>
      <c r="K513" s="4" t="n">
        <v>124</v>
      </c>
      <c r="L513" s="4" t="n">
        <v>124</v>
      </c>
      <c r="M513" s="5" t="n">
        <v>5.5</v>
      </c>
      <c r="N513" s="5" t="n">
        <v>5.432247320741491</v>
      </c>
      <c r="O513" s="5" t="n">
        <v>5.5</v>
      </c>
      <c r="P513" s="5" t="n">
        <v>0.06775267925850859</v>
      </c>
      <c r="Q513" s="6" t="n">
        <v>0.2108676049001009</v>
      </c>
      <c r="R513" s="6" t="n">
        <v>0.5405658950446879</v>
      </c>
      <c r="S513" s="6" t="n">
        <v>0.4335260115606936</v>
      </c>
      <c r="T513" s="2" t="inlineStr">
        <is>
          <t>Under</t>
        </is>
      </c>
      <c r="U513" s="4" t="n">
        <v>124</v>
      </c>
      <c r="V513" s="2" t="n">
        <v>2.24</v>
      </c>
      <c r="W513" s="4" t="n">
        <v>124</v>
      </c>
      <c r="X513" s="2" t="n">
        <v>1</v>
      </c>
      <c r="Y513" s="5" t="n">
        <v>-1</v>
      </c>
      <c r="Z513" s="7" t="n">
        <v>100</v>
      </c>
      <c r="AA513" s="7">
        <f>Y513*Z513</f>
        <v/>
      </c>
      <c r="AB513" s="6">
        <f>IF(Z513=0,0,AA513/Z513)</f>
        <v/>
      </c>
      <c r="AC513" s="6" t="n"/>
      <c r="AD513" s="2" t="inlineStr">
        <is>
          <t>Loss</t>
        </is>
      </c>
      <c r="AE513" s="6">
        <f>IF((COUNTIF($AD$2:AD513,"Win")+COUNTIF($AD$2:AD513,"Loss"))=0,0,COUNTIF($AD$2:AD513,"Win")/(COUNTIF($AD$2:AD513,"Win")+COUNTIF($AD$2:AD513,"Loss")))</f>
        <v/>
      </c>
      <c r="AF513" s="6">
        <f>SUM($Y$2:Y513)/SUM($X$2:X513)</f>
        <v/>
      </c>
      <c r="AG513" s="5">
        <f>SUM($Y$2:Y513)</f>
        <v/>
      </c>
      <c r="AH513" s="7">
        <f>10000.0+SUM($AA$2:AA513)</f>
        <v/>
      </c>
      <c r="AI513" s="2" t="n">
        <v>2026</v>
      </c>
      <c r="AJ513" s="2" t="inlineStr">
        <is>
          <t>2026-04</t>
        </is>
      </c>
      <c r="AK513" s="2" t="inlineStr">
        <is>
          <t>+121 to +150</t>
        </is>
      </c>
      <c r="AL513" s="2" t="inlineStr">
        <is>
          <t>2026 Frozen Test</t>
        </is>
      </c>
      <c r="AM513" s="6" t="n">
        <v>0.1700545200807265</v>
      </c>
    </row>
    <row r="514">
      <c r="A514" s="2" t="inlineStr">
        <is>
          <t>KPROP-00513</t>
        </is>
      </c>
      <c r="B514" s="3" t="n">
        <v>46119.81988425926</v>
      </c>
      <c r="C514" s="3" t="n">
        <v>46119</v>
      </c>
      <c r="D514" s="2" t="inlineStr">
        <is>
          <t>Taj Bradley</t>
        </is>
      </c>
      <c r="E514" s="2" t="n">
        <v>142</v>
      </c>
      <c r="F514" s="2" t="n">
        <v>116</v>
      </c>
      <c r="G514" s="2" t="inlineStr">
        <is>
          <t>Home</t>
        </is>
      </c>
      <c r="H514" s="2" t="inlineStr">
        <is>
          <t>betrivers</t>
        </is>
      </c>
      <c r="I514" s="4" t="n"/>
      <c r="J514" s="4" t="n"/>
      <c r="K514" s="4" t="n">
        <v>-175</v>
      </c>
      <c r="L514" s="4" t="n">
        <v>-175</v>
      </c>
      <c r="M514" s="5" t="n">
        <v>6.5</v>
      </c>
      <c r="N514" s="5" t="n">
        <v>5.432247320741491</v>
      </c>
      <c r="O514" s="5" t="n">
        <v>6.5</v>
      </c>
      <c r="P514" s="5" t="n">
        <v>1.067752679258509</v>
      </c>
      <c r="Q514" s="6" t="n">
        <v>0.09473062910537644</v>
      </c>
      <c r="R514" s="6" t="n">
        <v>0.6966467639761487</v>
      </c>
      <c r="S514" s="6" t="n">
        <v>0.5919881305637983</v>
      </c>
      <c r="T514" s="2" t="inlineStr">
        <is>
          <t>Under</t>
        </is>
      </c>
      <c r="U514" s="4" t="n">
        <v>-175</v>
      </c>
      <c r="V514" s="2" t="n">
        <v>1.571428571428571</v>
      </c>
      <c r="W514" s="4" t="n">
        <v>-175</v>
      </c>
      <c r="X514" s="2" t="n">
        <v>1</v>
      </c>
      <c r="Y514" s="5" t="n">
        <v>-1</v>
      </c>
      <c r="Z514" s="7" t="n">
        <v>100</v>
      </c>
      <c r="AA514" s="7">
        <f>Y514*Z514</f>
        <v/>
      </c>
      <c r="AB514" s="6">
        <f>IF(Z514=0,0,AA514/Z514)</f>
        <v/>
      </c>
      <c r="AC514" s="6" t="n"/>
      <c r="AD514" s="2" t="inlineStr">
        <is>
          <t>Loss</t>
        </is>
      </c>
      <c r="AE514" s="6">
        <f>IF((COUNTIF($AD$2:AD514,"Win")+COUNTIF($AD$2:AD514,"Loss"))=0,0,COUNTIF($AD$2:AD514,"Win")/(COUNTIF($AD$2:AD514,"Win")+COUNTIF($AD$2:AD514,"Loss")))</f>
        <v/>
      </c>
      <c r="AF514" s="6">
        <f>SUM($Y$2:Y514)/SUM($X$2:X514)</f>
        <v/>
      </c>
      <c r="AG514" s="5">
        <f>SUM($Y$2:Y514)</f>
        <v/>
      </c>
      <c r="AH514" s="7">
        <f>10000.0+SUM($AA$2:AA514)</f>
        <v/>
      </c>
      <c r="AI514" s="2" t="n">
        <v>2026</v>
      </c>
      <c r="AJ514" s="2" t="inlineStr">
        <is>
          <t>2026-04</t>
        </is>
      </c>
      <c r="AK514" s="2" t="inlineStr">
        <is>
          <t>&lt;= -150</t>
        </is>
      </c>
      <c r="AL514" s="2" t="inlineStr">
        <is>
          <t>2026 Frozen Test</t>
        </is>
      </c>
      <c r="AM514" s="6" t="n">
        <v>0.1657786009344088</v>
      </c>
    </row>
    <row r="515">
      <c r="A515" s="2" t="inlineStr">
        <is>
          <t>KPROP-00514</t>
        </is>
      </c>
      <c r="B515" s="3" t="n">
        <v>46119.81988425926</v>
      </c>
      <c r="C515" s="3" t="n">
        <v>46119</v>
      </c>
      <c r="D515" s="2" t="inlineStr">
        <is>
          <t>Tarik Skubal</t>
        </is>
      </c>
      <c r="E515" s="2" t="n">
        <v>116</v>
      </c>
      <c r="F515" s="2" t="n">
        <v>142</v>
      </c>
      <c r="G515" s="2" t="inlineStr">
        <is>
          <t>Away</t>
        </is>
      </c>
      <c r="H515" s="2" t="inlineStr">
        <is>
          <t>draftkings</t>
        </is>
      </c>
      <c r="I515" s="4" t="n"/>
      <c r="J515" s="4" t="n"/>
      <c r="K515" s="4" t="n">
        <v>115</v>
      </c>
      <c r="L515" s="4" t="n">
        <v>115</v>
      </c>
      <c r="M515" s="5" t="n">
        <v>7.5</v>
      </c>
      <c r="N515" s="5" t="n">
        <v>6.701017188779272</v>
      </c>
      <c r="O515" s="5" t="n">
        <v>7.5</v>
      </c>
      <c r="P515" s="5" t="n">
        <v>0.7989828112207276</v>
      </c>
      <c r="Q515" s="6" t="n">
        <v>0.3828077621485849</v>
      </c>
      <c r="R515" s="6" t="n">
        <v>0.6431664009993419</v>
      </c>
      <c r="S515" s="6" t="n">
        <v>0.451422963689892</v>
      </c>
      <c r="T515" s="2" t="inlineStr">
        <is>
          <t>Under</t>
        </is>
      </c>
      <c r="U515" s="4" t="n">
        <v>115</v>
      </c>
      <c r="V515" s="2" t="n">
        <v>2.15</v>
      </c>
      <c r="W515" s="4" t="n">
        <v>115</v>
      </c>
      <c r="X515" s="2" t="n">
        <v>1</v>
      </c>
      <c r="Y515" s="5" t="n">
        <v>1.15</v>
      </c>
      <c r="Z515" s="7" t="n">
        <v>100</v>
      </c>
      <c r="AA515" s="7">
        <f>Y515*Z515</f>
        <v/>
      </c>
      <c r="AB515" s="6">
        <f>IF(Z515=0,0,AA515/Z515)</f>
        <v/>
      </c>
      <c r="AC515" s="6" t="n"/>
      <c r="AD515" s="2" t="inlineStr">
        <is>
          <t>Win</t>
        </is>
      </c>
      <c r="AE515" s="6">
        <f>IF((COUNTIF($AD$2:AD515,"Win")+COUNTIF($AD$2:AD515,"Loss"))=0,0,COUNTIF($AD$2:AD515,"Win")/(COUNTIF($AD$2:AD515,"Win")+COUNTIF($AD$2:AD515,"Loss")))</f>
        <v/>
      </c>
      <c r="AF515" s="6">
        <f>SUM($Y$2:Y515)/SUM($X$2:X515)</f>
        <v/>
      </c>
      <c r="AG515" s="5">
        <f>SUM($Y$2:Y515)</f>
        <v/>
      </c>
      <c r="AH515" s="7">
        <f>10000.0+SUM($AA$2:AA515)</f>
        <v/>
      </c>
      <c r="AI515" s="2" t="n">
        <v>2026</v>
      </c>
      <c r="AJ515" s="2" t="inlineStr">
        <is>
          <t>2026-04</t>
        </is>
      </c>
      <c r="AK515" s="2" t="inlineStr">
        <is>
          <t>+100 to +120</t>
        </is>
      </c>
      <c r="AL515" s="2" t="inlineStr">
        <is>
          <t>2026 Frozen Test</t>
        </is>
      </c>
      <c r="AM515" s="6" t="n">
        <v>0.332876314911813</v>
      </c>
    </row>
    <row r="516">
      <c r="A516" s="2" t="inlineStr">
        <is>
          <t>KPROP-00515</t>
        </is>
      </c>
      <c r="B516" s="3" t="n">
        <v>46119.81988425926</v>
      </c>
      <c r="C516" s="3" t="n">
        <v>46119</v>
      </c>
      <c r="D516" s="2" t="inlineStr">
        <is>
          <t>Tarik Skubal</t>
        </is>
      </c>
      <c r="E516" s="2" t="n">
        <v>116</v>
      </c>
      <c r="F516" s="2" t="n">
        <v>142</v>
      </c>
      <c r="G516" s="2" t="inlineStr">
        <is>
          <t>Away</t>
        </is>
      </c>
      <c r="H516" s="2" t="inlineStr">
        <is>
          <t>betrivers</t>
        </is>
      </c>
      <c r="I516" s="4" t="n"/>
      <c r="J516" s="4" t="n"/>
      <c r="K516" s="4" t="n">
        <v>-180</v>
      </c>
      <c r="L516" s="4" t="n">
        <v>-180</v>
      </c>
      <c r="M516" s="5" t="n">
        <v>8.5</v>
      </c>
      <c r="N516" s="5" t="n">
        <v>6.701017188779272</v>
      </c>
      <c r="O516" s="5" t="n">
        <v>8.5</v>
      </c>
      <c r="P516" s="5" t="n">
        <v>1.798982811220728</v>
      </c>
      <c r="Q516" s="6" t="n">
        <v>0.1933561264324282</v>
      </c>
      <c r="R516" s="6" t="n">
        <v>0.7671575098494181</v>
      </c>
      <c r="S516" s="6" t="n">
        <v>0.5996568487274806</v>
      </c>
      <c r="T516" s="2" t="inlineStr">
        <is>
          <t>Under</t>
        </is>
      </c>
      <c r="U516" s="4" t="n">
        <v>-180</v>
      </c>
      <c r="V516" s="2" t="n">
        <v>1.555555555555556</v>
      </c>
      <c r="W516" s="4" t="n">
        <v>-180</v>
      </c>
      <c r="X516" s="2" t="n">
        <v>1</v>
      </c>
      <c r="Y516" s="5" t="n">
        <v>0.5555555555555556</v>
      </c>
      <c r="Z516" s="7" t="n">
        <v>100</v>
      </c>
      <c r="AA516" s="7">
        <f>Y516*Z516</f>
        <v/>
      </c>
      <c r="AB516" s="6">
        <f>IF(Z516=0,0,AA516/Z516)</f>
        <v/>
      </c>
      <c r="AC516" s="6" t="n"/>
      <c r="AD516" s="2" t="inlineStr">
        <is>
          <t>Win</t>
        </is>
      </c>
      <c r="AE516" s="6">
        <f>IF((COUNTIF($AD$2:AD516,"Win")+COUNTIF($AD$2:AD516,"Loss"))=0,0,COUNTIF($AD$2:AD516,"Win")/(COUNTIF($AD$2:AD516,"Win")+COUNTIF($AD$2:AD516,"Loss")))</f>
        <v/>
      </c>
      <c r="AF516" s="6">
        <f>SUM($Y$2:Y516)/SUM($X$2:X516)</f>
        <v/>
      </c>
      <c r="AG516" s="5">
        <f>SUM($Y$2:Y516)</f>
        <v/>
      </c>
      <c r="AH516" s="7">
        <f>10000.0+SUM($AA$2:AA516)</f>
        <v/>
      </c>
      <c r="AI516" s="2" t="n">
        <v>2026</v>
      </c>
      <c r="AJ516" s="2" t="inlineStr">
        <is>
          <t>2026-04</t>
        </is>
      </c>
      <c r="AK516" s="2" t="inlineStr">
        <is>
          <t>&lt;= -150</t>
        </is>
      </c>
      <c r="AL516" s="2" t="inlineStr">
        <is>
          <t>2026 Frozen Test</t>
        </is>
      </c>
      <c r="AM516" s="6" t="n">
        <v>0.3480410275783707</v>
      </c>
    </row>
    <row r="517">
      <c r="A517" s="2" t="inlineStr">
        <is>
          <t>KPROP-00516</t>
        </is>
      </c>
      <c r="B517" s="3" t="n">
        <v>46119.63238425926</v>
      </c>
      <c r="C517" s="3" t="n">
        <v>46119</v>
      </c>
      <c r="D517" s="2" t="inlineStr">
        <is>
          <t>Trevor Rogers</t>
        </is>
      </c>
      <c r="E517" s="2" t="n">
        <v>110</v>
      </c>
      <c r="F517" s="2" t="n">
        <v>145</v>
      </c>
      <c r="G517" s="2" t="inlineStr">
        <is>
          <t>Away</t>
        </is>
      </c>
      <c r="H517" s="2" t="inlineStr">
        <is>
          <t>draftkings</t>
        </is>
      </c>
      <c r="I517" s="4" t="n"/>
      <c r="J517" s="4" t="n"/>
      <c r="K517" s="4" t="n">
        <v>124</v>
      </c>
      <c r="L517" s="4" t="n">
        <v>124</v>
      </c>
      <c r="M517" s="5" t="n">
        <v>4.5</v>
      </c>
      <c r="N517" s="5" t="n">
        <v>4.597443238653516</v>
      </c>
      <c r="O517" s="5" t="n">
        <v>4.5</v>
      </c>
      <c r="P517" s="5" t="n">
        <v>-0.09744323865351578</v>
      </c>
      <c r="Q517" s="6" t="n">
        <v>0.1507183391744523</v>
      </c>
      <c r="R517" s="6" t="n">
        <v>0.513713544274309</v>
      </c>
      <c r="S517" s="6" t="n">
        <v>0.4266211604095563</v>
      </c>
      <c r="T517" s="2" t="inlineStr">
        <is>
          <t>Under</t>
        </is>
      </c>
      <c r="U517" s="4" t="n">
        <v>124</v>
      </c>
      <c r="V517" s="2" t="n">
        <v>2.24</v>
      </c>
      <c r="W517" s="4" t="n">
        <v>124</v>
      </c>
      <c r="X517" s="2" t="n">
        <v>1</v>
      </c>
      <c r="Y517" s="5" t="n">
        <v>-1</v>
      </c>
      <c r="Z517" s="7" t="n">
        <v>100</v>
      </c>
      <c r="AA517" s="7">
        <f>Y517*Z517</f>
        <v/>
      </c>
      <c r="AB517" s="6">
        <f>IF(Z517=0,0,AA517/Z517)</f>
        <v/>
      </c>
      <c r="AC517" s="6" t="n"/>
      <c r="AD517" s="2" t="inlineStr">
        <is>
          <t>Loss</t>
        </is>
      </c>
      <c r="AE517" s="6">
        <f>IF((COUNTIF($AD$2:AD517,"Win")+COUNTIF($AD$2:AD517,"Loss"))=0,0,COUNTIF($AD$2:AD517,"Win")/(COUNTIF($AD$2:AD517,"Win")+COUNTIF($AD$2:AD517,"Loss")))</f>
        <v/>
      </c>
      <c r="AF517" s="6">
        <f>SUM($Y$2:Y517)/SUM($X$2:X517)</f>
        <v/>
      </c>
      <c r="AG517" s="5">
        <f>SUM($Y$2:Y517)</f>
        <v/>
      </c>
      <c r="AH517" s="7">
        <f>10000.0+SUM($AA$2:AA517)</f>
        <v/>
      </c>
      <c r="AI517" s="2" t="n">
        <v>2026</v>
      </c>
      <c r="AJ517" s="2" t="inlineStr">
        <is>
          <t>2026-04</t>
        </is>
      </c>
      <c r="AK517" s="2" t="inlineStr">
        <is>
          <t>+121 to +150</t>
        </is>
      </c>
      <c r="AL517" s="2" t="inlineStr">
        <is>
          <t>2026 Frozen Test</t>
        </is>
      </c>
      <c r="AM517" s="6" t="n">
        <v>0.1215470477213325</v>
      </c>
    </row>
    <row r="518">
      <c r="A518" s="2" t="inlineStr">
        <is>
          <t>KPROP-00517</t>
        </is>
      </c>
      <c r="B518" s="3" t="n">
        <v>46119.63238425926</v>
      </c>
      <c r="C518" s="3" t="n">
        <v>46119</v>
      </c>
      <c r="D518" s="2" t="inlineStr">
        <is>
          <t>Trevor Rogers</t>
        </is>
      </c>
      <c r="E518" s="2" t="n">
        <v>110</v>
      </c>
      <c r="F518" s="2" t="n">
        <v>145</v>
      </c>
      <c r="G518" s="2" t="inlineStr">
        <is>
          <t>Away</t>
        </is>
      </c>
      <c r="H518" s="2" t="inlineStr">
        <is>
          <t>betmgm</t>
        </is>
      </c>
      <c r="I518" s="4" t="n"/>
      <c r="J518" s="4" t="n"/>
      <c r="K518" s="4" t="n">
        <v>-145</v>
      </c>
      <c r="L518" s="4" t="n">
        <v>-145</v>
      </c>
      <c r="M518" s="5" t="n">
        <v>5.5</v>
      </c>
      <c r="N518" s="5" t="n">
        <v>4.597443238653516</v>
      </c>
      <c r="O518" s="5" t="n">
        <v>5.5</v>
      </c>
      <c r="P518" s="5" t="n">
        <v>0.9025567613464842</v>
      </c>
      <c r="Q518" s="6" t="n">
        <v>0.1594423230397373</v>
      </c>
      <c r="R518" s="6" t="n">
        <v>0.6862005585337221</v>
      </c>
      <c r="S518" s="6" t="n">
        <v>0.5848161328588375</v>
      </c>
      <c r="T518" s="2" t="inlineStr">
        <is>
          <t>Under</t>
        </is>
      </c>
      <c r="U518" s="4" t="n">
        <v>-145</v>
      </c>
      <c r="V518" s="2" t="n">
        <v>1.689655172413793</v>
      </c>
      <c r="W518" s="4" t="n">
        <v>-145</v>
      </c>
      <c r="X518" s="2" t="n">
        <v>1</v>
      </c>
      <c r="Y518" s="5" t="n">
        <v>-1</v>
      </c>
      <c r="Z518" s="7" t="n">
        <v>100</v>
      </c>
      <c r="AA518" s="7">
        <f>Y518*Z518</f>
        <v/>
      </c>
      <c r="AB518" s="6">
        <f>IF(Z518=0,0,AA518/Z518)</f>
        <v/>
      </c>
      <c r="AC518" s="6" t="n"/>
      <c r="AD518" s="2" t="inlineStr">
        <is>
          <t>Loss</t>
        </is>
      </c>
      <c r="AE518" s="6">
        <f>IF((COUNTIF($AD$2:AD518,"Win")+COUNTIF($AD$2:AD518,"Loss"))=0,0,COUNTIF($AD$2:AD518,"Win")/(COUNTIF($AD$2:AD518,"Win")+COUNTIF($AD$2:AD518,"Loss")))</f>
        <v/>
      </c>
      <c r="AF518" s="6">
        <f>SUM($Y$2:Y518)/SUM($X$2:X518)</f>
        <v/>
      </c>
      <c r="AG518" s="5">
        <f>SUM($Y$2:Y518)</f>
        <v/>
      </c>
      <c r="AH518" s="7">
        <f>10000.0+SUM($AA$2:AA518)</f>
        <v/>
      </c>
      <c r="AI518" s="2" t="n">
        <v>2026</v>
      </c>
      <c r="AJ518" s="2" t="inlineStr">
        <is>
          <t>2026-04</t>
        </is>
      </c>
      <c r="AK518" s="2" t="inlineStr">
        <is>
          <t>-149 to -120</t>
        </is>
      </c>
      <c r="AL518" s="2" t="inlineStr">
        <is>
          <t>2026 Frozen Test</t>
        </is>
      </c>
      <c r="AM518" s="6" t="n">
        <v>0.2311913684076191</v>
      </c>
    </row>
    <row r="519">
      <c r="A519" s="2" t="inlineStr">
        <is>
          <t>KPROP-00518</t>
        </is>
      </c>
      <c r="B519" s="3" t="n">
        <v>46120.65668981482</v>
      </c>
      <c r="C519" s="3" t="n">
        <v>46120</v>
      </c>
      <c r="D519" s="2" t="inlineStr">
        <is>
          <t>Aaron Nola</t>
        </is>
      </c>
      <c r="E519" s="2" t="n">
        <v>143</v>
      </c>
      <c r="F519" s="2" t="n">
        <v>137</v>
      </c>
      <c r="G519" s="2" t="inlineStr">
        <is>
          <t>Away</t>
        </is>
      </c>
      <c r="H519" s="2" t="inlineStr">
        <is>
          <t>bovada</t>
        </is>
      </c>
      <c r="I519" s="4" t="n"/>
      <c r="J519" s="4" t="n"/>
      <c r="K519" s="4" t="n">
        <v>-135</v>
      </c>
      <c r="L519" s="4" t="n">
        <v>-135</v>
      </c>
      <c r="M519" s="5" t="n">
        <v>5.5</v>
      </c>
      <c r="N519" s="5" t="n">
        <v>4.869294475458082</v>
      </c>
      <c r="O519" s="5" t="n">
        <v>5.5</v>
      </c>
      <c r="P519" s="5" t="n">
        <v>0.6307055245419182</v>
      </c>
      <c r="Q519" s="6" t="n">
        <v>0.1121278954330022</v>
      </c>
      <c r="R519" s="6" t="n">
        <v>0.6388819824827885</v>
      </c>
      <c r="S519" s="6" t="n">
        <v>0.5582706766917294</v>
      </c>
      <c r="T519" s="2" t="inlineStr">
        <is>
          <t>Under</t>
        </is>
      </c>
      <c r="U519" s="4" t="n">
        <v>-135</v>
      </c>
      <c r="V519" s="2" t="n">
        <v>1.740740740740741</v>
      </c>
      <c r="W519" s="4" t="n">
        <v>-135</v>
      </c>
      <c r="X519" s="2" t="n">
        <v>1</v>
      </c>
      <c r="Y519" s="5" t="n">
        <v>0.7407407407407407</v>
      </c>
      <c r="Z519" s="7" t="n">
        <v>100</v>
      </c>
      <c r="AA519" s="7">
        <f>Y519*Z519</f>
        <v/>
      </c>
      <c r="AB519" s="6">
        <f>IF(Z519=0,0,AA519/Z519)</f>
        <v/>
      </c>
      <c r="AC519" s="6" t="n"/>
      <c r="AD519" s="2" t="inlineStr">
        <is>
          <t>Win</t>
        </is>
      </c>
      <c r="AE519" s="6">
        <f>IF((COUNTIF($AD$2:AD519,"Win")+COUNTIF($AD$2:AD519,"Loss"))=0,0,COUNTIF($AD$2:AD519,"Win")/(COUNTIF($AD$2:AD519,"Win")+COUNTIF($AD$2:AD519,"Loss")))</f>
        <v/>
      </c>
      <c r="AF519" s="6">
        <f>SUM($Y$2:Y519)/SUM($X$2:X519)</f>
        <v/>
      </c>
      <c r="AG519" s="5">
        <f>SUM($Y$2:Y519)</f>
        <v/>
      </c>
      <c r="AH519" s="7">
        <f>10000.0+SUM($AA$2:AA519)</f>
        <v/>
      </c>
      <c r="AI519" s="2" t="n">
        <v>2026</v>
      </c>
      <c r="AJ519" s="2" t="inlineStr">
        <is>
          <t>2026-04</t>
        </is>
      </c>
      <c r="AK519" s="2" t="inlineStr">
        <is>
          <t>-149 to -120</t>
        </is>
      </c>
      <c r="AL519" s="2" t="inlineStr">
        <is>
          <t>2026 Frozen Test</t>
        </is>
      </c>
      <c r="AM519" s="6" t="n">
        <v>0.1513726588345529</v>
      </c>
    </row>
    <row r="520">
      <c r="A520" s="2" t="inlineStr">
        <is>
          <t>KPROP-00519</t>
        </is>
      </c>
      <c r="B520" s="3" t="n">
        <v>46120.81987268518</v>
      </c>
      <c r="C520" s="3" t="n">
        <v>46120</v>
      </c>
      <c r="D520" s="2" t="inlineStr">
        <is>
          <t>Bailey Ober</t>
        </is>
      </c>
      <c r="E520" s="2" t="n">
        <v>142</v>
      </c>
      <c r="F520" s="2" t="n">
        <v>116</v>
      </c>
      <c r="G520" s="2" t="inlineStr">
        <is>
          <t>Home</t>
        </is>
      </c>
      <c r="H520" s="2" t="inlineStr">
        <is>
          <t>draftkings</t>
        </is>
      </c>
      <c r="I520" s="4" t="n"/>
      <c r="J520" s="4" t="n"/>
      <c r="K520" s="4" t="n">
        <v>-111</v>
      </c>
      <c r="L520" s="4" t="n">
        <v>-111</v>
      </c>
      <c r="M520" s="5" t="n">
        <v>4.5</v>
      </c>
      <c r="N520" s="5" t="n">
        <v>3.957380733634164</v>
      </c>
      <c r="O520" s="5" t="n">
        <v>4.5</v>
      </c>
      <c r="P520" s="5" t="n">
        <v>0.5426192663658362</v>
      </c>
      <c r="Q520" s="6" t="n">
        <v>0.2111831352327275</v>
      </c>
      <c r="R520" s="6" t="n">
        <v>0.637162691994468</v>
      </c>
      <c r="S520" s="6" t="n">
        <v>0.5248817833821211</v>
      </c>
      <c r="T520" s="2" t="inlineStr">
        <is>
          <t>Under</t>
        </is>
      </c>
      <c r="U520" s="4" t="n">
        <v>-111</v>
      </c>
      <c r="V520" s="2" t="n">
        <v>1.900900900900901</v>
      </c>
      <c r="W520" s="4" t="n">
        <v>-111</v>
      </c>
      <c r="X520" s="2" t="n">
        <v>1</v>
      </c>
      <c r="Y520" s="5" t="n">
        <v>0.900900900900901</v>
      </c>
      <c r="Z520" s="7" t="n">
        <v>100</v>
      </c>
      <c r="AA520" s="7">
        <f>Y520*Z520</f>
        <v/>
      </c>
      <c r="AB520" s="6">
        <f>IF(Z520=0,0,AA520/Z520)</f>
        <v/>
      </c>
      <c r="AC520" s="6" t="n"/>
      <c r="AD520" s="2" t="inlineStr">
        <is>
          <t>Win</t>
        </is>
      </c>
      <c r="AE520" s="6">
        <f>IF((COUNTIF($AD$2:AD520,"Win")+COUNTIF($AD$2:AD520,"Loss"))=0,0,COUNTIF($AD$2:AD520,"Win")/(COUNTIF($AD$2:AD520,"Win")+COUNTIF($AD$2:AD520,"Loss")))</f>
        <v/>
      </c>
      <c r="AF520" s="6">
        <f>SUM($Y$2:Y520)/SUM($X$2:X520)</f>
        <v/>
      </c>
      <c r="AG520" s="5">
        <f>SUM($Y$2:Y520)</f>
        <v/>
      </c>
      <c r="AH520" s="7">
        <f>10000.0+SUM($AA$2:AA520)</f>
        <v/>
      </c>
      <c r="AI520" s="2" t="n">
        <v>2026</v>
      </c>
      <c r="AJ520" s="2" t="inlineStr">
        <is>
          <t>2026-04</t>
        </is>
      </c>
      <c r="AK520" s="2" t="inlineStr">
        <is>
          <t>-119 to -101</t>
        </is>
      </c>
      <c r="AL520" s="2" t="inlineStr">
        <is>
          <t>2026 Frozen Test</t>
        </is>
      </c>
      <c r="AM520" s="6" t="n">
        <v>0.2344132801083275</v>
      </c>
    </row>
    <row r="521">
      <c r="A521" s="2" t="inlineStr">
        <is>
          <t>KPROP-00520</t>
        </is>
      </c>
      <c r="B521" s="3" t="n">
        <v>46120.77821759259</v>
      </c>
      <c r="C521" s="3" t="n">
        <v>46120</v>
      </c>
      <c r="D521" s="2" t="inlineStr">
        <is>
          <t>Brady Singer</t>
        </is>
      </c>
      <c r="E521" s="2" t="n">
        <v>113</v>
      </c>
      <c r="F521" s="2" t="n">
        <v>146</v>
      </c>
      <c r="G521" s="2" t="inlineStr">
        <is>
          <t>Away</t>
        </is>
      </c>
      <c r="H521" s="2" t="inlineStr">
        <is>
          <t>betrivers</t>
        </is>
      </c>
      <c r="I521" s="4" t="n"/>
      <c r="J521" s="4" t="n"/>
      <c r="K521" s="4" t="n">
        <v>102</v>
      </c>
      <c r="L521" s="4" t="n">
        <v>102</v>
      </c>
      <c r="M521" s="5" t="n">
        <v>4.5</v>
      </c>
      <c r="N521" s="5" t="n">
        <v>4.440331711983765</v>
      </c>
      <c r="O521" s="5" t="n">
        <v>4.5</v>
      </c>
      <c r="P521" s="5" t="n">
        <v>0.05966828801623514</v>
      </c>
      <c r="Q521" s="6" t="n">
        <v>0.09780001774005775</v>
      </c>
      <c r="R521" s="6" t="n">
        <v>0.5434653553168602</v>
      </c>
      <c r="S521" s="6" t="n">
        <v>0.4806617482673821</v>
      </c>
      <c r="T521" s="2" t="inlineStr">
        <is>
          <t>Under</t>
        </is>
      </c>
      <c r="U521" s="4" t="n">
        <v>102</v>
      </c>
      <c r="V521" s="2" t="n">
        <v>2.02</v>
      </c>
      <c r="W521" s="4" t="n">
        <v>102</v>
      </c>
      <c r="X521" s="2" t="n">
        <v>1</v>
      </c>
      <c r="Y521" s="5" t="n">
        <v>1.02</v>
      </c>
      <c r="Z521" s="7" t="n">
        <v>100</v>
      </c>
      <c r="AA521" s="7">
        <f>Y521*Z521</f>
        <v/>
      </c>
      <c r="AB521" s="6">
        <f>IF(Z521=0,0,AA521/Z521)</f>
        <v/>
      </c>
      <c r="AC521" s="6" t="n"/>
      <c r="AD521" s="2" t="inlineStr">
        <is>
          <t>Win</t>
        </is>
      </c>
      <c r="AE521" s="6">
        <f>IF((COUNTIF($AD$2:AD521,"Win")+COUNTIF($AD$2:AD521,"Loss"))=0,0,COUNTIF($AD$2:AD521,"Win")/(COUNTIF($AD$2:AD521,"Win")+COUNTIF($AD$2:AD521,"Loss")))</f>
        <v/>
      </c>
      <c r="AF521" s="6">
        <f>SUM($Y$2:Y521)/SUM($X$2:X521)</f>
        <v/>
      </c>
      <c r="AG521" s="5">
        <f>SUM($Y$2:Y521)</f>
        <v/>
      </c>
      <c r="AH521" s="7">
        <f>10000.0+SUM($AA$2:AA521)</f>
        <v/>
      </c>
      <c r="AI521" s="2" t="n">
        <v>2026</v>
      </c>
      <c r="AJ521" s="2" t="inlineStr">
        <is>
          <t>2026-04</t>
        </is>
      </c>
      <c r="AK521" s="2" t="inlineStr">
        <is>
          <t>+100 to +120</t>
        </is>
      </c>
      <c r="AL521" s="2" t="inlineStr">
        <is>
          <t>2026 Frozen Test</t>
        </is>
      </c>
      <c r="AM521" s="6" t="n">
        <v>0.09588237033338995</v>
      </c>
    </row>
    <row r="522">
      <c r="A522" s="2" t="inlineStr">
        <is>
          <t>KPROP-00521</t>
        </is>
      </c>
      <c r="B522" s="3" t="n">
        <v>46120.54903935185</v>
      </c>
      <c r="C522" s="3" t="n">
        <v>46120</v>
      </c>
      <c r="D522" s="2" t="inlineStr">
        <is>
          <t>Cole Ragans</t>
        </is>
      </c>
      <c r="E522" s="2" t="n">
        <v>118</v>
      </c>
      <c r="F522" s="2" t="n">
        <v>114</v>
      </c>
      <c r="G522" s="2" t="inlineStr">
        <is>
          <t>Away</t>
        </is>
      </c>
      <c r="H522" s="2" t="inlineStr">
        <is>
          <t>bovada</t>
        </is>
      </c>
      <c r="I522" s="4" t="n"/>
      <c r="J522" s="4" t="n"/>
      <c r="K522" s="4" t="n">
        <v>110</v>
      </c>
      <c r="L522" s="4" t="n">
        <v>110</v>
      </c>
      <c r="M522" s="5" t="n">
        <v>6.5</v>
      </c>
      <c r="N522" s="5" t="n">
        <v>5.693119252708569</v>
      </c>
      <c r="O522" s="5" t="n">
        <v>6.5</v>
      </c>
      <c r="P522" s="5" t="n">
        <v>0.806880747291431</v>
      </c>
      <c r="Q522" s="6" t="n">
        <v>0.3764720955812074</v>
      </c>
      <c r="R522" s="6" t="n">
        <v>0.6554629026577178</v>
      </c>
      <c r="S522" s="6" t="n">
        <v>0.4642409033877039</v>
      </c>
      <c r="T522" s="2" t="inlineStr">
        <is>
          <t>Under</t>
        </is>
      </c>
      <c r="U522" s="4" t="n">
        <v>110</v>
      </c>
      <c r="V522" s="2" t="n">
        <v>2.1</v>
      </c>
      <c r="W522" s="4" t="n">
        <v>110</v>
      </c>
      <c r="X522" s="2" t="n">
        <v>1</v>
      </c>
      <c r="Y522" s="5" t="n">
        <v>1.1</v>
      </c>
      <c r="Z522" s="7" t="n">
        <v>100</v>
      </c>
      <c r="AA522" s="7">
        <f>Y522*Z522</f>
        <v/>
      </c>
      <c r="AB522" s="6">
        <f>IF(Z522=0,0,AA522/Z522)</f>
        <v/>
      </c>
      <c r="AC522" s="6" t="n"/>
      <c r="AD522" s="2" t="inlineStr">
        <is>
          <t>Win</t>
        </is>
      </c>
      <c r="AE522" s="6">
        <f>IF((COUNTIF($AD$2:AD522,"Win")+COUNTIF($AD$2:AD522,"Loss"))=0,0,COUNTIF($AD$2:AD522,"Win")/(COUNTIF($AD$2:AD522,"Win")+COUNTIF($AD$2:AD522,"Loss")))</f>
        <v/>
      </c>
      <c r="AF522" s="6">
        <f>SUM($Y$2:Y522)/SUM($X$2:X522)</f>
        <v/>
      </c>
      <c r="AG522" s="5">
        <f>SUM($Y$2:Y522)</f>
        <v/>
      </c>
      <c r="AH522" s="7">
        <f>10000.0+SUM($AA$2:AA522)</f>
        <v/>
      </c>
      <c r="AI522" s="2" t="n">
        <v>2026</v>
      </c>
      <c r="AJ522" s="2" t="inlineStr">
        <is>
          <t>2026-04</t>
        </is>
      </c>
      <c r="AK522" s="2" t="inlineStr">
        <is>
          <t>+100 to +120</t>
        </is>
      </c>
      <c r="AL522" s="2" t="inlineStr">
        <is>
          <t>2026 Frozen Test</t>
        </is>
      </c>
      <c r="AM522" s="6" t="n">
        <v>0.3422473596192794</v>
      </c>
    </row>
    <row r="523">
      <c r="A523" s="2" t="inlineStr">
        <is>
          <t>KPROP-00522</t>
        </is>
      </c>
      <c r="B523" s="3" t="n">
        <v>46120.67405092593</v>
      </c>
      <c r="C523" s="3" t="n">
        <v>46120</v>
      </c>
      <c r="D523" s="2" t="inlineStr">
        <is>
          <t>David Peterson</t>
        </is>
      </c>
      <c r="E523" s="2" t="n">
        <v>121</v>
      </c>
      <c r="F523" s="2" t="n">
        <v>109</v>
      </c>
      <c r="G523" s="2" t="inlineStr">
        <is>
          <t>Home</t>
        </is>
      </c>
      <c r="H523" s="2" t="inlineStr">
        <is>
          <t>draftkings</t>
        </is>
      </c>
      <c r="I523" s="4" t="n"/>
      <c r="J523" s="4" t="n"/>
      <c r="K523" s="4" t="n">
        <v>-159</v>
      </c>
      <c r="L523" s="4" t="n">
        <v>-159</v>
      </c>
      <c r="M523" s="5" t="n">
        <v>4.5</v>
      </c>
      <c r="N523" s="5" t="n">
        <v>3.386258217186197</v>
      </c>
      <c r="O523" s="5" t="n">
        <v>4.5</v>
      </c>
      <c r="P523" s="5" t="n">
        <v>1.113741782813803</v>
      </c>
      <c r="Q523" s="6" t="n">
        <v>0.2163749089467562</v>
      </c>
      <c r="R523" s="6" t="n">
        <v>0.7467320869595917</v>
      </c>
      <c r="S523" s="6" t="n">
        <v>0.5811365915192288</v>
      </c>
      <c r="T523" s="2" t="inlineStr">
        <is>
          <t>Under</t>
        </is>
      </c>
      <c r="U523" s="4" t="n">
        <v>-159</v>
      </c>
      <c r="V523" s="2" t="n">
        <v>1.628930817610063</v>
      </c>
      <c r="W523" s="4" t="n">
        <v>-159</v>
      </c>
      <c r="X523" s="2" t="n">
        <v>1</v>
      </c>
      <c r="Y523" s="5" t="n">
        <v>-1</v>
      </c>
      <c r="Z523" s="7" t="n">
        <v>100</v>
      </c>
      <c r="AA523" s="7">
        <f>Y523*Z523</f>
        <v/>
      </c>
      <c r="AB523" s="6">
        <f>IF(Z523=0,0,AA523/Z523)</f>
        <v/>
      </c>
      <c r="AC523" s="6" t="n"/>
      <c r="AD523" s="2" t="inlineStr">
        <is>
          <t>Loss</t>
        </is>
      </c>
      <c r="AE523" s="6">
        <f>IF((COUNTIF($AD$2:AD523,"Win")+COUNTIF($AD$2:AD523,"Loss"))=0,0,COUNTIF($AD$2:AD523,"Win")/(COUNTIF($AD$2:AD523,"Win")+COUNTIF($AD$2:AD523,"Loss")))</f>
        <v/>
      </c>
      <c r="AF523" s="6">
        <f>SUM($Y$2:Y523)/SUM($X$2:X523)</f>
        <v/>
      </c>
      <c r="AG523" s="5">
        <f>SUM($Y$2:Y523)</f>
        <v/>
      </c>
      <c r="AH523" s="7">
        <f>10000.0+SUM($AA$2:AA523)</f>
        <v/>
      </c>
      <c r="AI523" s="2" t="n">
        <v>2026</v>
      </c>
      <c r="AJ523" s="2" t="inlineStr">
        <is>
          <t>2026-04</t>
        </is>
      </c>
      <c r="AK523" s="2" t="inlineStr">
        <is>
          <t>&lt;= -150</t>
        </is>
      </c>
      <c r="AL523" s="2" t="inlineStr">
        <is>
          <t>2026 Frozen Test</t>
        </is>
      </c>
      <c r="AM523" s="6" t="n">
        <v>0.3440361052253424</v>
      </c>
    </row>
    <row r="524">
      <c r="A524" s="2" t="inlineStr">
        <is>
          <t>KPROP-00523</t>
        </is>
      </c>
      <c r="B524" s="3" t="n">
        <v>46120.62890046297</v>
      </c>
      <c r="C524" s="3" t="n">
        <v>46120</v>
      </c>
      <c r="D524" s="2" t="inlineStr">
        <is>
          <t>Dylan Cease</t>
        </is>
      </c>
      <c r="E524" s="2" t="n">
        <v>141</v>
      </c>
      <c r="F524" s="2" t="n">
        <v>119</v>
      </c>
      <c r="G524" s="2" t="inlineStr">
        <is>
          <t>Home</t>
        </is>
      </c>
      <c r="H524" s="2" t="inlineStr">
        <is>
          <t>fanduel</t>
        </is>
      </c>
      <c r="I524" s="4" t="n"/>
      <c r="J524" s="4" t="n"/>
      <c r="K524" s="4" t="n">
        <v>126</v>
      </c>
      <c r="L524" s="4" t="n">
        <v>126</v>
      </c>
      <c r="M524" s="5" t="n">
        <v>6.5</v>
      </c>
      <c r="N524" s="5" t="n">
        <v>6.447136997158518</v>
      </c>
      <c r="O524" s="5" t="n">
        <v>6.5</v>
      </c>
      <c r="P524" s="5" t="n">
        <v>0.05286300284148204</v>
      </c>
      <c r="Q524" s="6" t="n">
        <v>0.2087949867045483</v>
      </c>
      <c r="R524" s="6" t="n">
        <v>0.5348650383648444</v>
      </c>
      <c r="S524" s="6" t="n">
        <v>0.4238003579508999</v>
      </c>
      <c r="T524" s="2" t="inlineStr">
        <is>
          <t>Under</t>
        </is>
      </c>
      <c r="U524" s="4" t="n">
        <v>126</v>
      </c>
      <c r="V524" s="2" t="n">
        <v>2.26</v>
      </c>
      <c r="W524" s="4" t="n">
        <v>126</v>
      </c>
      <c r="X524" s="2" t="n">
        <v>1</v>
      </c>
      <c r="Y524" s="5" t="n">
        <v>-1</v>
      </c>
      <c r="Z524" s="7" t="n">
        <v>100</v>
      </c>
      <c r="AA524" s="7">
        <f>Y524*Z524</f>
        <v/>
      </c>
      <c r="AB524" s="6">
        <f>IF(Z524=0,0,AA524/Z524)</f>
        <v/>
      </c>
      <c r="AC524" s="6" t="n"/>
      <c r="AD524" s="2" t="inlineStr">
        <is>
          <t>Loss</t>
        </is>
      </c>
      <c r="AE524" s="6">
        <f>IF((COUNTIF($AD$2:AD524,"Win")+COUNTIF($AD$2:AD524,"Loss"))=0,0,COUNTIF($AD$2:AD524,"Win")/(COUNTIF($AD$2:AD524,"Win")+COUNTIF($AD$2:AD524,"Loss")))</f>
        <v/>
      </c>
      <c r="AF524" s="6">
        <f>SUM($Y$2:Y524)/SUM($X$2:X524)</f>
        <v/>
      </c>
      <c r="AG524" s="5">
        <f>SUM($Y$2:Y524)</f>
        <v/>
      </c>
      <c r="AH524" s="7">
        <f>10000.0+SUM($AA$2:AA524)</f>
        <v/>
      </c>
      <c r="AI524" s="2" t="n">
        <v>2026</v>
      </c>
      <c r="AJ524" s="2" t="inlineStr">
        <is>
          <t>2026-04</t>
        </is>
      </c>
      <c r="AK524" s="2" t="inlineStr">
        <is>
          <t>+121 to +150</t>
        </is>
      </c>
      <c r="AL524" s="2" t="inlineStr">
        <is>
          <t>2026 Frozen Test</t>
        </is>
      </c>
      <c r="AM524" s="6" t="n">
        <v>0.1657103069083717</v>
      </c>
    </row>
    <row r="525">
      <c r="A525" s="2" t="inlineStr">
        <is>
          <t>KPROP-00524</t>
        </is>
      </c>
      <c r="B525" s="3" t="n">
        <v>46120.62890046297</v>
      </c>
      <c r="C525" s="3" t="n">
        <v>46120</v>
      </c>
      <c r="D525" s="2" t="inlineStr">
        <is>
          <t>Dylan Cease</t>
        </is>
      </c>
      <c r="E525" s="2" t="n">
        <v>141</v>
      </c>
      <c r="F525" s="2" t="n">
        <v>119</v>
      </c>
      <c r="G525" s="2" t="inlineStr">
        <is>
          <t>Home</t>
        </is>
      </c>
      <c r="H525" s="2" t="inlineStr">
        <is>
          <t>betrivers</t>
        </is>
      </c>
      <c r="I525" s="4" t="n"/>
      <c r="J525" s="4" t="n"/>
      <c r="K525" s="4" t="n">
        <v>-159</v>
      </c>
      <c r="L525" s="4" t="n">
        <v>-159</v>
      </c>
      <c r="M525" s="5" t="n">
        <v>7.5</v>
      </c>
      <c r="N525" s="5" t="n">
        <v>6.447136997158518</v>
      </c>
      <c r="O525" s="5" t="n">
        <v>7.5</v>
      </c>
      <c r="P525" s="5" t="n">
        <v>1.052863002841482</v>
      </c>
      <c r="Q525" s="6" t="n">
        <v>0.108441589246113</v>
      </c>
      <c r="R525" s="6" t="n">
        <v>0.6804718636684632</v>
      </c>
      <c r="S525" s="6" t="n">
        <v>0.5723390905188072</v>
      </c>
      <c r="T525" s="2" t="inlineStr">
        <is>
          <t>Under</t>
        </is>
      </c>
      <c r="U525" s="4" t="n">
        <v>-159</v>
      </c>
      <c r="V525" s="2" t="n">
        <v>1.628930817610063</v>
      </c>
      <c r="W525" s="4" t="n">
        <v>-159</v>
      </c>
      <c r="X525" s="2" t="n">
        <v>1</v>
      </c>
      <c r="Y525" s="5" t="n">
        <v>-1</v>
      </c>
      <c r="Z525" s="7" t="n">
        <v>100</v>
      </c>
      <c r="AA525" s="7">
        <f>Y525*Z525</f>
        <v/>
      </c>
      <c r="AB525" s="6">
        <f>IF(Z525=0,0,AA525/Z525)</f>
        <v/>
      </c>
      <c r="AC525" s="6" t="n"/>
      <c r="AD525" s="2" t="inlineStr">
        <is>
          <t>Loss</t>
        </is>
      </c>
      <c r="AE525" s="6">
        <f>IF((COUNTIF($AD$2:AD525,"Win")+COUNTIF($AD$2:AD525,"Loss"))=0,0,COUNTIF($AD$2:AD525,"Win")/(COUNTIF($AD$2:AD525,"Win")+COUNTIF($AD$2:AD525,"Loss")))</f>
        <v/>
      </c>
      <c r="AF525" s="6">
        <f>SUM($Y$2:Y525)/SUM($X$2:X525)</f>
        <v/>
      </c>
      <c r="AG525" s="5">
        <f>SUM($Y$2:Y525)</f>
        <v/>
      </c>
      <c r="AH525" s="7">
        <f>10000.0+SUM($AA$2:AA525)</f>
        <v/>
      </c>
      <c r="AI525" s="2" t="n">
        <v>2026</v>
      </c>
      <c r="AJ525" s="2" t="inlineStr">
        <is>
          <t>2026-04</t>
        </is>
      </c>
      <c r="AK525" s="2" t="inlineStr">
        <is>
          <t>&lt;= -150</t>
        </is>
      </c>
      <c r="AL525" s="2" t="inlineStr">
        <is>
          <t>2026 Frozen Test</t>
        </is>
      </c>
      <c r="AM525" s="6" t="n">
        <v>0.1724221269013197</v>
      </c>
    </row>
    <row r="526">
      <c r="A526" s="2" t="inlineStr">
        <is>
          <t>KPROP-00525</t>
        </is>
      </c>
      <c r="B526" s="3" t="n">
        <v>46120.54903935185</v>
      </c>
      <c r="C526" s="3" t="n">
        <v>46120</v>
      </c>
      <c r="D526" s="2" t="inlineStr">
        <is>
          <t>Joey Cantillo</t>
        </is>
      </c>
      <c r="E526" s="2" t="n">
        <v>114</v>
      </c>
      <c r="F526" s="2" t="n">
        <v>118</v>
      </c>
      <c r="G526" s="2" t="inlineStr">
        <is>
          <t>Home</t>
        </is>
      </c>
      <c r="H526" s="2" t="inlineStr">
        <is>
          <t>betrivers</t>
        </is>
      </c>
      <c r="I526" s="4" t="n"/>
      <c r="J526" s="4" t="n"/>
      <c r="K526" s="4" t="n">
        <v>128</v>
      </c>
      <c r="L526" s="4" t="n">
        <v>128</v>
      </c>
      <c r="M526" s="5" t="n">
        <v>4.5</v>
      </c>
      <c r="N526" s="5" t="n">
        <v>4.618241063511599</v>
      </c>
      <c r="O526" s="5" t="n">
        <v>4.5</v>
      </c>
      <c r="P526" s="5" t="n">
        <v>-0.1182410635115989</v>
      </c>
      <c r="Q526" s="6" t="n">
        <v>0.1623836666965524</v>
      </c>
      <c r="R526" s="6" t="n">
        <v>0.5098173976739264</v>
      </c>
      <c r="S526" s="6" t="n">
        <v>0.4080118694362018</v>
      </c>
      <c r="T526" s="2" t="inlineStr">
        <is>
          <t>Under</t>
        </is>
      </c>
      <c r="U526" s="4" t="n">
        <v>128</v>
      </c>
      <c r="V526" s="2" t="n">
        <v>2.28</v>
      </c>
      <c r="W526" s="4" t="n">
        <v>128</v>
      </c>
      <c r="X526" s="2" t="n">
        <v>1</v>
      </c>
      <c r="Y526" s="5" t="n">
        <v>-1</v>
      </c>
      <c r="Z526" s="7" t="n">
        <v>100</v>
      </c>
      <c r="AA526" s="7">
        <f>Y526*Z526</f>
        <v/>
      </c>
      <c r="AB526" s="6">
        <f>IF(Z526=0,0,AA526/Z526)</f>
        <v/>
      </c>
      <c r="AC526" s="6" t="n"/>
      <c r="AD526" s="2" t="inlineStr">
        <is>
          <t>Loss</t>
        </is>
      </c>
      <c r="AE526" s="6">
        <f>IF((COUNTIF($AD$2:AD526,"Win")+COUNTIF($AD$2:AD526,"Loss"))=0,0,COUNTIF($AD$2:AD526,"Win")/(COUNTIF($AD$2:AD526,"Win")+COUNTIF($AD$2:AD526,"Loss")))</f>
        <v/>
      </c>
      <c r="AF526" s="6">
        <f>SUM($Y$2:Y526)/SUM($X$2:X526)</f>
        <v/>
      </c>
      <c r="AG526" s="5">
        <f>SUM($Y$2:Y526)</f>
        <v/>
      </c>
      <c r="AH526" s="7">
        <f>10000.0+SUM($AA$2:AA526)</f>
        <v/>
      </c>
      <c r="AI526" s="2" t="n">
        <v>2026</v>
      </c>
      <c r="AJ526" s="2" t="inlineStr">
        <is>
          <t>2026-04</t>
        </is>
      </c>
      <c r="AK526" s="2" t="inlineStr">
        <is>
          <t>+121 to +150</t>
        </is>
      </c>
      <c r="AL526" s="2" t="inlineStr">
        <is>
          <t>2026 Frozen Test</t>
        </is>
      </c>
      <c r="AM526" s="6" t="n">
        <v>0.1268622396066815</v>
      </c>
    </row>
    <row r="527">
      <c r="A527" s="2" t="inlineStr">
        <is>
          <t>KPROP-00526</t>
        </is>
      </c>
      <c r="B527" s="3" t="n">
        <v>46120.54903935185</v>
      </c>
      <c r="C527" s="3" t="n">
        <v>46120</v>
      </c>
      <c r="D527" s="2" t="inlineStr">
        <is>
          <t>Joey Cantillo</t>
        </is>
      </c>
      <c r="E527" s="2" t="n">
        <v>114</v>
      </c>
      <c r="F527" s="2" t="n">
        <v>118</v>
      </c>
      <c r="G527" s="2" t="inlineStr">
        <is>
          <t>Home</t>
        </is>
      </c>
      <c r="H527" s="2" t="inlineStr">
        <is>
          <t>draftkings</t>
        </is>
      </c>
      <c r="I527" s="4" t="n"/>
      <c r="J527" s="4" t="n"/>
      <c r="K527" s="4" t="n">
        <v>-142</v>
      </c>
      <c r="L527" s="4" t="n">
        <v>-142</v>
      </c>
      <c r="M527" s="5" t="n">
        <v>5.5</v>
      </c>
      <c r="N527" s="5" t="n">
        <v>4.618241063511599</v>
      </c>
      <c r="O527" s="5" t="n">
        <v>5.5</v>
      </c>
      <c r="P527" s="5" t="n">
        <v>0.8817589364884011</v>
      </c>
      <c r="Q527" s="6" t="n">
        <v>0.163321261696217</v>
      </c>
      <c r="R527" s="6" t="n">
        <v>0.682609996532491</v>
      </c>
      <c r="S527" s="6" t="n">
        <v>0.5634920634920635</v>
      </c>
      <c r="T527" s="2" t="inlineStr">
        <is>
          <t>Under</t>
        </is>
      </c>
      <c r="U527" s="4" t="n">
        <v>-142</v>
      </c>
      <c r="V527" s="2" t="n">
        <v>1.704225352112676</v>
      </c>
      <c r="W527" s="4" t="n">
        <v>-142</v>
      </c>
      <c r="X527" s="2" t="n">
        <v>1</v>
      </c>
      <c r="Y527" s="5" t="n">
        <v>-1</v>
      </c>
      <c r="Z527" s="7" t="n">
        <v>100</v>
      </c>
      <c r="AA527" s="7">
        <f>Y527*Z527</f>
        <v/>
      </c>
      <c r="AB527" s="6">
        <f>IF(Z527=0,0,AA527/Z527)</f>
        <v/>
      </c>
      <c r="AC527" s="6" t="n"/>
      <c r="AD527" s="2" t="inlineStr">
        <is>
          <t>Loss</t>
        </is>
      </c>
      <c r="AE527" s="6">
        <f>IF((COUNTIF($AD$2:AD527,"Win")+COUNTIF($AD$2:AD527,"Loss"))=0,0,COUNTIF($AD$2:AD527,"Win")/(COUNTIF($AD$2:AD527,"Win")+COUNTIF($AD$2:AD527,"Loss")))</f>
        <v/>
      </c>
      <c r="AF527" s="6">
        <f>SUM($Y$2:Y527)/SUM($X$2:X527)</f>
        <v/>
      </c>
      <c r="AG527" s="5">
        <f>SUM($Y$2:Y527)</f>
        <v/>
      </c>
      <c r="AH527" s="7">
        <f>10000.0+SUM($AA$2:AA527)</f>
        <v/>
      </c>
      <c r="AI527" s="2" t="n">
        <v>2026</v>
      </c>
      <c r="AJ527" s="2" t="inlineStr">
        <is>
          <t>2026-04</t>
        </is>
      </c>
      <c r="AK527" s="2" t="inlineStr">
        <is>
          <t>-149 to -120</t>
        </is>
      </c>
      <c r="AL527" s="2" t="inlineStr">
        <is>
          <t>2026 Frozen Test</t>
        </is>
      </c>
      <c r="AM527" s="6" t="n">
        <v>0.2319161916086282</v>
      </c>
    </row>
    <row r="528">
      <c r="A528" s="2" t="inlineStr">
        <is>
          <t>KPROP-00527</t>
        </is>
      </c>
      <c r="B528" s="3" t="n">
        <v>46120.60807870371</v>
      </c>
      <c r="C528" s="3" t="n">
        <v>46120</v>
      </c>
      <c r="D528" s="2" t="inlineStr">
        <is>
          <t>MacKenzie Gore</t>
        </is>
      </c>
      <c r="E528" s="2" t="n">
        <v>140</v>
      </c>
      <c r="F528" s="2" t="n">
        <v>136</v>
      </c>
      <c r="G528" s="2" t="inlineStr">
        <is>
          <t>Home</t>
        </is>
      </c>
      <c r="H528" s="2" t="inlineStr">
        <is>
          <t>betrivers</t>
        </is>
      </c>
      <c r="I528" s="4" t="n"/>
      <c r="J528" s="4" t="n"/>
      <c r="K528" s="4" t="n">
        <v>140</v>
      </c>
      <c r="L528" s="4" t="n">
        <v>140</v>
      </c>
      <c r="M528" s="5" t="n">
        <v>5.5</v>
      </c>
      <c r="N528" s="5" t="n">
        <v>5.087855754327067</v>
      </c>
      <c r="O528" s="5" t="n">
        <v>5.5</v>
      </c>
      <c r="P528" s="5" t="n">
        <v>0.4121442456729332</v>
      </c>
      <c r="Q528" s="6" t="n">
        <v>0.4413170422886882</v>
      </c>
      <c r="R528" s="6" t="n">
        <v>0.6005487676202867</v>
      </c>
      <c r="S528" s="6" t="n">
        <v>0.388739946380697</v>
      </c>
      <c r="T528" s="2" t="inlineStr">
        <is>
          <t>Under</t>
        </is>
      </c>
      <c r="U528" s="4" t="n">
        <v>140</v>
      </c>
      <c r="V528" s="2" t="n">
        <v>2.4</v>
      </c>
      <c r="W528" s="4" t="n">
        <v>140</v>
      </c>
      <c r="X528" s="2" t="n">
        <v>1</v>
      </c>
      <c r="Y528" s="5" t="n">
        <v>-1</v>
      </c>
      <c r="Z528" s="7" t="n">
        <v>100</v>
      </c>
      <c r="AA528" s="7">
        <f>Y528*Z528</f>
        <v/>
      </c>
      <c r="AB528" s="6">
        <f>IF(Z528=0,0,AA528/Z528)</f>
        <v/>
      </c>
      <c r="AC528" s="6" t="n"/>
      <c r="AD528" s="2" t="inlineStr">
        <is>
          <t>Loss</t>
        </is>
      </c>
      <c r="AE528" s="6">
        <f>IF((COUNTIF($AD$2:AD528,"Win")+COUNTIF($AD$2:AD528,"Loss"))=0,0,COUNTIF($AD$2:AD528,"Win")/(COUNTIF($AD$2:AD528,"Win")+COUNTIF($AD$2:AD528,"Loss")))</f>
        <v/>
      </c>
      <c r="AF528" s="6">
        <f>SUM($Y$2:Y528)/SUM($X$2:X528)</f>
        <v/>
      </c>
      <c r="AG528" s="5">
        <f>SUM($Y$2:Y528)</f>
        <v/>
      </c>
      <c r="AH528" s="7">
        <f>10000.0+SUM($AA$2:AA528)</f>
        <v/>
      </c>
      <c r="AI528" s="2" t="n">
        <v>2026</v>
      </c>
      <c r="AJ528" s="2" t="inlineStr">
        <is>
          <t>2026-04</t>
        </is>
      </c>
      <c r="AK528" s="2" t="inlineStr">
        <is>
          <t>+121 to +150</t>
        </is>
      </c>
      <c r="AL528" s="2" t="inlineStr">
        <is>
          <t>2026 Frozen Test</t>
        </is>
      </c>
      <c r="AM528" s="6" t="n">
        <v>0.3152264587776344</v>
      </c>
    </row>
    <row r="529">
      <c r="A529" s="2" t="inlineStr">
        <is>
          <t>KPROP-00528</t>
        </is>
      </c>
      <c r="B529" s="3" t="n">
        <v>46120.60807870371</v>
      </c>
      <c r="C529" s="3" t="n">
        <v>46120</v>
      </c>
      <c r="D529" s="2" t="inlineStr">
        <is>
          <t>MacKenzie Gore</t>
        </is>
      </c>
      <c r="E529" s="2" t="n">
        <v>140</v>
      </c>
      <c r="F529" s="2" t="n">
        <v>136</v>
      </c>
      <c r="G529" s="2" t="inlineStr">
        <is>
          <t>Home</t>
        </is>
      </c>
      <c r="H529" s="2" t="inlineStr">
        <is>
          <t>betonlineag</t>
        </is>
      </c>
      <c r="I529" s="4" t="n"/>
      <c r="J529" s="4" t="n"/>
      <c r="K529" s="4" t="n">
        <v>-135</v>
      </c>
      <c r="L529" s="4" t="n">
        <v>-135</v>
      </c>
      <c r="M529" s="5" t="n">
        <v>6.5</v>
      </c>
      <c r="N529" s="5" t="n">
        <v>5.087855754327067</v>
      </c>
      <c r="O529" s="5" t="n">
        <v>6.5</v>
      </c>
      <c r="P529" s="5" t="n">
        <v>1.412144245672933</v>
      </c>
      <c r="Q529" s="6" t="n">
        <v>0.3042106640366844</v>
      </c>
      <c r="R529" s="6" t="n">
        <v>0.7492274027444783</v>
      </c>
      <c r="S529" s="6" t="n">
        <v>0.54911742133538</v>
      </c>
      <c r="T529" s="2" t="inlineStr">
        <is>
          <t>Under</t>
        </is>
      </c>
      <c r="U529" s="4" t="n">
        <v>-135</v>
      </c>
      <c r="V529" s="2" t="n">
        <v>1.740740740740741</v>
      </c>
      <c r="W529" s="4" t="n">
        <v>-135</v>
      </c>
      <c r="X529" s="2" t="n">
        <v>1</v>
      </c>
      <c r="Y529" s="5" t="n">
        <v>-1</v>
      </c>
      <c r="Z529" s="7" t="n">
        <v>100</v>
      </c>
      <c r="AA529" s="7">
        <f>Y529*Z529</f>
        <v/>
      </c>
      <c r="AB529" s="6">
        <f>IF(Z529=0,0,AA529/Z529)</f>
        <v/>
      </c>
      <c r="AC529" s="6" t="n"/>
      <c r="AD529" s="2" t="inlineStr">
        <is>
          <t>Loss</t>
        </is>
      </c>
      <c r="AE529" s="6">
        <f>IF((COUNTIF($AD$2:AD529,"Win")+COUNTIF($AD$2:AD529,"Loss"))=0,0,COUNTIF($AD$2:AD529,"Win")/(COUNTIF($AD$2:AD529,"Win")+COUNTIF($AD$2:AD529,"Loss")))</f>
        <v/>
      </c>
      <c r="AF529" s="6">
        <f>SUM($Y$2:Y529)/SUM($X$2:X529)</f>
        <v/>
      </c>
      <c r="AG529" s="5">
        <f>SUM($Y$2:Y529)</f>
        <v/>
      </c>
      <c r="AH529" s="7">
        <f>10000.0+SUM($AA$2:AA529)</f>
        <v/>
      </c>
      <c r="AI529" s="2" t="n">
        <v>2026</v>
      </c>
      <c r="AJ529" s="2" t="inlineStr">
        <is>
          <t>2026-04</t>
        </is>
      </c>
      <c r="AK529" s="2" t="inlineStr">
        <is>
          <t>-149 to -120</t>
        </is>
      </c>
      <c r="AL529" s="2" t="inlineStr">
        <is>
          <t>2026 Frozen Test</t>
        </is>
      </c>
      <c r="AM529" s="6" t="n">
        <v>0.410684396449524</v>
      </c>
    </row>
    <row r="530">
      <c r="A530" s="2" t="inlineStr">
        <is>
          <t>KPROP-00529</t>
        </is>
      </c>
      <c r="B530" s="3" t="n">
        <v>46120.52474537037</v>
      </c>
      <c r="C530" s="3" t="n">
        <v>46120</v>
      </c>
      <c r="D530" s="2" t="inlineStr">
        <is>
          <t>Michael King</t>
        </is>
      </c>
      <c r="E530" s="2" t="n">
        <v>135</v>
      </c>
      <c r="F530" s="2" t="n">
        <v>134</v>
      </c>
      <c r="G530" s="2" t="inlineStr">
        <is>
          <t>Away</t>
        </is>
      </c>
      <c r="H530" s="2" t="inlineStr">
        <is>
          <t>bovada</t>
        </is>
      </c>
      <c r="I530" s="4" t="n"/>
      <c r="J530" s="4" t="n"/>
      <c r="K530" s="4" t="n">
        <v>110</v>
      </c>
      <c r="L530" s="4" t="n">
        <v>110</v>
      </c>
      <c r="M530" s="5" t="n">
        <v>5.5</v>
      </c>
      <c r="N530" s="5" t="n">
        <v>4.756853203927402</v>
      </c>
      <c r="O530" s="5" t="n">
        <v>5.5</v>
      </c>
      <c r="P530" s="5" t="n">
        <v>0.7431467960725984</v>
      </c>
      <c r="Q530" s="6" t="n">
        <v>0.3829318102767825</v>
      </c>
      <c r="R530" s="6" t="n">
        <v>0.6585389572746583</v>
      </c>
      <c r="S530" s="6" t="n">
        <v>0.4597933967996759</v>
      </c>
      <c r="T530" s="2" t="inlineStr">
        <is>
          <t>Under</t>
        </is>
      </c>
      <c r="U530" s="4" t="n">
        <v>110</v>
      </c>
      <c r="V530" s="2" t="n">
        <v>2.1</v>
      </c>
      <c r="W530" s="4" t="n">
        <v>110</v>
      </c>
      <c r="X530" s="2" t="n">
        <v>1</v>
      </c>
      <c r="Y530" s="5" t="n">
        <v>1.1</v>
      </c>
      <c r="Z530" s="7" t="n">
        <v>100</v>
      </c>
      <c r="AA530" s="7">
        <f>Y530*Z530</f>
        <v/>
      </c>
      <c r="AB530" s="6">
        <f>IF(Z530=0,0,AA530/Z530)</f>
        <v/>
      </c>
      <c r="AC530" s="6" t="n"/>
      <c r="AD530" s="2" t="inlineStr">
        <is>
          <t>Win</t>
        </is>
      </c>
      <c r="AE530" s="6">
        <f>IF((COUNTIF($AD$2:AD530,"Win")+COUNTIF($AD$2:AD530,"Loss"))=0,0,COUNTIF($AD$2:AD530,"Win")/(COUNTIF($AD$2:AD530,"Win")+COUNTIF($AD$2:AD530,"Loss")))</f>
        <v/>
      </c>
      <c r="AF530" s="6">
        <f>SUM($Y$2:Y530)/SUM($X$2:X530)</f>
        <v/>
      </c>
      <c r="AG530" s="5">
        <f>SUM($Y$2:Y530)</f>
        <v/>
      </c>
      <c r="AH530" s="7">
        <f>10000.0+SUM($AA$2:AA530)</f>
        <v/>
      </c>
      <c r="AI530" s="2" t="n">
        <v>2026</v>
      </c>
      <c r="AJ530" s="2" t="inlineStr">
        <is>
          <t>2026-04</t>
        </is>
      </c>
      <c r="AK530" s="2" t="inlineStr">
        <is>
          <t>+100 to +120</t>
        </is>
      </c>
      <c r="AL530" s="2" t="inlineStr">
        <is>
          <t>2026 Frozen Test</t>
        </is>
      </c>
      <c r="AM530" s="6" t="n">
        <v>0.3481198275243477</v>
      </c>
    </row>
    <row r="531">
      <c r="A531" s="2" t="inlineStr">
        <is>
          <t>KPROP-00530</t>
        </is>
      </c>
      <c r="B531" s="3" t="n">
        <v>46120.67056712963</v>
      </c>
      <c r="C531" s="3" t="n">
        <v>46120</v>
      </c>
      <c r="D531" s="2" t="inlineStr">
        <is>
          <t>Reid Detmers</t>
        </is>
      </c>
      <c r="E531" s="2" t="n">
        <v>108</v>
      </c>
      <c r="F531" s="2" t="n">
        <v>144</v>
      </c>
      <c r="G531" s="2" t="inlineStr">
        <is>
          <t>Home</t>
        </is>
      </c>
      <c r="H531" s="2" t="inlineStr">
        <is>
          <t>draftkings</t>
        </is>
      </c>
      <c r="I531" s="4" t="n"/>
      <c r="J531" s="4" t="n"/>
      <c r="K531" s="4" t="n">
        <v>106</v>
      </c>
      <c r="L531" s="4" t="n">
        <v>106</v>
      </c>
      <c r="M531" s="5" t="n">
        <v>5.5</v>
      </c>
      <c r="N531" s="5" t="n">
        <v>5.533076531438742</v>
      </c>
      <c r="O531" s="5" t="n">
        <v>5.5</v>
      </c>
      <c r="P531" s="5" t="n">
        <v>-0.03307653143874223</v>
      </c>
      <c r="Q531" s="6" t="n">
        <v>0.07791154504348352</v>
      </c>
      <c r="R531" s="6" t="n">
        <v>0.5232580315745066</v>
      </c>
      <c r="S531" s="6" t="n">
        <v>0.4737784376228112</v>
      </c>
      <c r="T531" s="2" t="inlineStr">
        <is>
          <t>Under</t>
        </is>
      </c>
      <c r="U531" s="4" t="n">
        <v>106</v>
      </c>
      <c r="V531" s="2" t="n">
        <v>2.06</v>
      </c>
      <c r="W531" s="4" t="n">
        <v>106</v>
      </c>
      <c r="X531" s="2" t="n">
        <v>1</v>
      </c>
      <c r="Y531" s="5" t="n">
        <v>1.06</v>
      </c>
      <c r="Z531" s="7" t="n">
        <v>100</v>
      </c>
      <c r="AA531" s="7">
        <f>Y531*Z531</f>
        <v/>
      </c>
      <c r="AB531" s="6">
        <f>IF(Z531=0,0,AA531/Z531)</f>
        <v/>
      </c>
      <c r="AC531" s="6" t="n"/>
      <c r="AD531" s="2" t="inlineStr">
        <is>
          <t>Win</t>
        </is>
      </c>
      <c r="AE531" s="6">
        <f>IF((COUNTIF($AD$2:AD531,"Win")+COUNTIF($AD$2:AD531,"Loss"))=0,0,COUNTIF($AD$2:AD531,"Win")/(COUNTIF($AD$2:AD531,"Win")+COUNTIF($AD$2:AD531,"Loss")))</f>
        <v/>
      </c>
      <c r="AF531" s="6">
        <f>SUM($Y$2:Y531)/SUM($X$2:X531)</f>
        <v/>
      </c>
      <c r="AG531" s="5">
        <f>SUM($Y$2:Y531)</f>
        <v/>
      </c>
      <c r="AH531" s="7">
        <f>10000.0+SUM($AA$2:AA531)</f>
        <v/>
      </c>
      <c r="AI531" s="2" t="n">
        <v>2026</v>
      </c>
      <c r="AJ531" s="2" t="inlineStr">
        <is>
          <t>2026-04</t>
        </is>
      </c>
      <c r="AK531" s="2" t="inlineStr">
        <is>
          <t>+100 to +120</t>
        </is>
      </c>
      <c r="AL531" s="2" t="inlineStr">
        <is>
          <t>2026 Frozen Test</t>
        </is>
      </c>
      <c r="AM531" s="6" t="n">
        <v>0.073501457588192</v>
      </c>
    </row>
    <row r="532">
      <c r="A532" s="2" t="inlineStr">
        <is>
          <t>KPROP-00531</t>
        </is>
      </c>
      <c r="B532" s="3" t="n">
        <v>46120.59070601852</v>
      </c>
      <c r="C532" s="3" t="n">
        <v>46120</v>
      </c>
      <c r="D532" s="2" t="inlineStr">
        <is>
          <t>Sean Burke</t>
        </is>
      </c>
      <c r="E532" s="2" t="n">
        <v>145</v>
      </c>
      <c r="F532" s="2" t="n">
        <v>110</v>
      </c>
      <c r="G532" s="2" t="inlineStr">
        <is>
          <t>Home</t>
        </is>
      </c>
      <c r="H532" s="2" t="inlineStr">
        <is>
          <t>bovada</t>
        </is>
      </c>
      <c r="I532" s="4" t="n"/>
      <c r="J532" s="4" t="n"/>
      <c r="K532" s="4" t="n">
        <v>110</v>
      </c>
      <c r="L532" s="4" t="n">
        <v>110</v>
      </c>
      <c r="M532" s="5" t="n">
        <v>5.5</v>
      </c>
      <c r="N532" s="5" t="n">
        <v>5.561807683209731</v>
      </c>
      <c r="O532" s="5" t="n">
        <v>5.5</v>
      </c>
      <c r="P532" s="5" t="n">
        <v>-0.06180768320973051</v>
      </c>
      <c r="Q532" s="6" t="n">
        <v>0.08854679874784355</v>
      </c>
      <c r="R532" s="6" t="n">
        <v>0.518355618451354</v>
      </c>
      <c r="S532" s="6" t="n">
        <v>0.4532304725168756</v>
      </c>
      <c r="T532" s="2" t="inlineStr">
        <is>
          <t>Under</t>
        </is>
      </c>
      <c r="U532" s="4" t="n">
        <v>110</v>
      </c>
      <c r="V532" s="2" t="n">
        <v>2.1</v>
      </c>
      <c r="W532" s="4" t="n">
        <v>110</v>
      </c>
      <c r="X532" s="2" t="n">
        <v>1</v>
      </c>
      <c r="Y532" s="5" t="n">
        <v>1.1</v>
      </c>
      <c r="Z532" s="7" t="n">
        <v>100</v>
      </c>
      <c r="AA532" s="7">
        <f>Y532*Z532</f>
        <v/>
      </c>
      <c r="AB532" s="6">
        <f>IF(Z532=0,0,AA532/Z532)</f>
        <v/>
      </c>
      <c r="AC532" s="6" t="n"/>
      <c r="AD532" s="2" t="inlineStr">
        <is>
          <t>Win</t>
        </is>
      </c>
      <c r="AE532" s="6">
        <f>IF((COUNTIF($AD$2:AD532,"Win")+COUNTIF($AD$2:AD532,"Loss"))=0,0,COUNTIF($AD$2:AD532,"Win")/(COUNTIF($AD$2:AD532,"Win")+COUNTIF($AD$2:AD532,"Loss")))</f>
        <v/>
      </c>
      <c r="AF532" s="6">
        <f>SUM($Y$2:Y532)/SUM($X$2:X532)</f>
        <v/>
      </c>
      <c r="AG532" s="5">
        <f>SUM($Y$2:Y532)</f>
        <v/>
      </c>
      <c r="AH532" s="7">
        <f>10000.0+SUM($AA$2:AA532)</f>
        <v/>
      </c>
      <c r="AI532" s="2" t="n">
        <v>2026</v>
      </c>
      <c r="AJ532" s="2" t="inlineStr">
        <is>
          <t>2026-04</t>
        </is>
      </c>
      <c r="AK532" s="2" t="inlineStr">
        <is>
          <t>+100 to +120</t>
        </is>
      </c>
      <c r="AL532" s="2" t="inlineStr">
        <is>
          <t>2026 Frozen Test</t>
        </is>
      </c>
      <c r="AM532" s="6" t="n">
        <v>0.08049708977076686</v>
      </c>
    </row>
    <row r="533">
      <c r="A533" s="2" t="inlineStr">
        <is>
          <t>KPROP-00532</t>
        </is>
      </c>
      <c r="B533" s="3" t="n">
        <v>46120.62890046297</v>
      </c>
      <c r="C533" s="3" t="n">
        <v>46120</v>
      </c>
      <c r="D533" s="2" t="inlineStr">
        <is>
          <t>Shohei Ohtani</t>
        </is>
      </c>
      <c r="E533" s="2" t="n">
        <v>119</v>
      </c>
      <c r="F533" s="2" t="n">
        <v>141</v>
      </c>
      <c r="G533" s="2" t="inlineStr">
        <is>
          <t>Away</t>
        </is>
      </c>
      <c r="H533" s="2" t="inlineStr">
        <is>
          <t>draftkings</t>
        </is>
      </c>
      <c r="I533" s="4" t="n"/>
      <c r="J533" s="4" t="n"/>
      <c r="K533" s="4" t="n">
        <v>124</v>
      </c>
      <c r="L533" s="4" t="n">
        <v>124</v>
      </c>
      <c r="M533" s="5" t="n">
        <v>5.5</v>
      </c>
      <c r="N533" s="5" t="n">
        <v>5.619627825784244</v>
      </c>
      <c r="O533" s="5" t="n">
        <v>5.5</v>
      </c>
      <c r="P533" s="5" t="n">
        <v>-0.119627825784244</v>
      </c>
      <c r="Q533" s="6" t="n">
        <v>0.1391148520477287</v>
      </c>
      <c r="R533" s="6" t="n">
        <v>0.5085334160927359</v>
      </c>
      <c r="S533" s="6" t="n">
        <v>0.42997542997543</v>
      </c>
      <c r="T533" s="2" t="inlineStr">
        <is>
          <t>Under</t>
        </is>
      </c>
      <c r="U533" s="4" t="n">
        <v>124</v>
      </c>
      <c r="V533" s="2" t="n">
        <v>2.24</v>
      </c>
      <c r="W533" s="4" t="n">
        <v>124</v>
      </c>
      <c r="X533" s="2" t="n">
        <v>1</v>
      </c>
      <c r="Y533" s="5" t="n">
        <v>1.24</v>
      </c>
      <c r="Z533" s="7" t="n">
        <v>100</v>
      </c>
      <c r="AA533" s="7">
        <f>Y533*Z533</f>
        <v/>
      </c>
      <c r="AB533" s="6">
        <f>IF(Z533=0,0,AA533/Z533)</f>
        <v/>
      </c>
      <c r="AC533" s="6" t="n"/>
      <c r="AD533" s="2" t="inlineStr">
        <is>
          <t>Win</t>
        </is>
      </c>
      <c r="AE533" s="6">
        <f>IF((COUNTIF($AD$2:AD533,"Win")+COUNTIF($AD$2:AD533,"Loss"))=0,0,COUNTIF($AD$2:AD533,"Win")/(COUNTIF($AD$2:AD533,"Win")+COUNTIF($AD$2:AD533,"Loss")))</f>
        <v/>
      </c>
      <c r="AF533" s="6">
        <f>SUM($Y$2:Y533)/SUM($X$2:X533)</f>
        <v/>
      </c>
      <c r="AG533" s="5">
        <f>SUM($Y$2:Y533)</f>
        <v/>
      </c>
      <c r="AH533" s="7">
        <f>10000.0+SUM($AA$2:AA533)</f>
        <v/>
      </c>
      <c r="AI533" s="2" t="n">
        <v>2026</v>
      </c>
      <c r="AJ533" s="2" t="inlineStr">
        <is>
          <t>2026-04</t>
        </is>
      </c>
      <c r="AK533" s="2" t="inlineStr">
        <is>
          <t>+121 to +150</t>
        </is>
      </c>
      <c r="AL533" s="2" t="inlineStr">
        <is>
          <t>2026 Frozen Test</t>
        </is>
      </c>
      <c r="AM533" s="6" t="n">
        <v>0.1121893968126844</v>
      </c>
    </row>
    <row r="534">
      <c r="A534" s="2" t="inlineStr">
        <is>
          <t>KPROP-00533</t>
        </is>
      </c>
      <c r="B534" s="3" t="n">
        <v>46120.56296296296</v>
      </c>
      <c r="C534" s="3" t="n">
        <v>46120</v>
      </c>
      <c r="D534" s="2" t="inlineStr">
        <is>
          <t>Sonny Gray</t>
        </is>
      </c>
      <c r="E534" s="2" t="n">
        <v>111</v>
      </c>
      <c r="F534" s="2" t="n">
        <v>158</v>
      </c>
      <c r="G534" s="2" t="inlineStr">
        <is>
          <t>Home</t>
        </is>
      </c>
      <c r="H534" s="2" t="inlineStr">
        <is>
          <t>betmgm</t>
        </is>
      </c>
      <c r="I534" s="4" t="n"/>
      <c r="J534" s="4" t="n"/>
      <c r="K534" s="4" t="n">
        <v>110</v>
      </c>
      <c r="L534" s="4" t="n">
        <v>110</v>
      </c>
      <c r="M534" s="5" t="n">
        <v>5.5</v>
      </c>
      <c r="N534" s="5" t="n">
        <v>5.517295865305806</v>
      </c>
      <c r="O534" s="5" t="n">
        <v>5.5</v>
      </c>
      <c r="P534" s="5" t="n">
        <v>-0.0172958653058064</v>
      </c>
      <c r="Q534" s="6" t="n">
        <v>0.1045086860331478</v>
      </c>
      <c r="R534" s="6" t="n">
        <v>0.5259565171586418</v>
      </c>
      <c r="S534" s="6" t="n">
        <v>0.4615384615384616</v>
      </c>
      <c r="T534" s="2" t="inlineStr">
        <is>
          <t>Under</t>
        </is>
      </c>
      <c r="U534" s="4" t="n">
        <v>110</v>
      </c>
      <c r="V534" s="2" t="n">
        <v>2.1</v>
      </c>
      <c r="W534" s="4" t="n">
        <v>110</v>
      </c>
      <c r="X534" s="2" t="n">
        <v>1</v>
      </c>
      <c r="Y534" s="5" t="n">
        <v>1.1</v>
      </c>
      <c r="Z534" s="7" t="n">
        <v>100</v>
      </c>
      <c r="AA534" s="7">
        <f>Y534*Z534</f>
        <v/>
      </c>
      <c r="AB534" s="6">
        <f>IF(Z534=0,0,AA534/Z534)</f>
        <v/>
      </c>
      <c r="AC534" s="6" t="n"/>
      <c r="AD534" s="2" t="inlineStr">
        <is>
          <t>Win</t>
        </is>
      </c>
      <c r="AE534" s="6">
        <f>IF((COUNTIF($AD$2:AD534,"Win")+COUNTIF($AD$2:AD534,"Loss"))=0,0,COUNTIF($AD$2:AD534,"Win")/(COUNTIF($AD$2:AD534,"Win")+COUNTIF($AD$2:AD534,"Loss")))</f>
        <v/>
      </c>
      <c r="AF534" s="6">
        <f>SUM($Y$2:Y534)/SUM($X$2:X534)</f>
        <v/>
      </c>
      <c r="AG534" s="5">
        <f>SUM($Y$2:Y534)</f>
        <v/>
      </c>
      <c r="AH534" s="7">
        <f>10000.0+SUM($AA$2:AA534)</f>
        <v/>
      </c>
      <c r="AI534" s="2" t="n">
        <v>2026</v>
      </c>
      <c r="AJ534" s="2" t="inlineStr">
        <is>
          <t>2026-04</t>
        </is>
      </c>
      <c r="AK534" s="2" t="inlineStr">
        <is>
          <t>+100 to +120</t>
        </is>
      </c>
      <c r="AL534" s="2" t="inlineStr">
        <is>
          <t>2026 Frozen Test</t>
        </is>
      </c>
      <c r="AM534" s="6" t="n">
        <v>0.0950078963937707</v>
      </c>
    </row>
    <row r="535">
      <c r="A535" s="2" t="inlineStr">
        <is>
          <t>KPROP-00534</t>
        </is>
      </c>
      <c r="B535" s="3" t="n">
        <v>46120.79557870371</v>
      </c>
      <c r="C535" s="3" t="n">
        <v>46120</v>
      </c>
      <c r="D535" s="2" t="inlineStr">
        <is>
          <t>Will Warren</t>
        </is>
      </c>
      <c r="E535" s="2" t="n">
        <v>147</v>
      </c>
      <c r="F535" s="2" t="n">
        <v>133</v>
      </c>
      <c r="G535" s="2" t="inlineStr">
        <is>
          <t>Home</t>
        </is>
      </c>
      <c r="H535" s="2" t="inlineStr">
        <is>
          <t>betmgm</t>
        </is>
      </c>
      <c r="I535" s="4" t="n"/>
      <c r="J535" s="4" t="n"/>
      <c r="K535" s="4" t="n">
        <v>105</v>
      </c>
      <c r="L535" s="4" t="n">
        <v>105</v>
      </c>
      <c r="M535" s="5" t="n">
        <v>5.5</v>
      </c>
      <c r="N535" s="5" t="n">
        <v>4.748159236698885</v>
      </c>
      <c r="O535" s="5" t="n">
        <v>5.5</v>
      </c>
      <c r="P535" s="5" t="n">
        <v>0.7518407633011153</v>
      </c>
      <c r="Q535" s="6" t="n">
        <v>0.3531124011988716</v>
      </c>
      <c r="R535" s="6" t="n">
        <v>0.6600548298531081</v>
      </c>
      <c r="S535" s="6" t="n">
        <v>0.4866524923222301</v>
      </c>
      <c r="T535" s="2" t="inlineStr">
        <is>
          <t>Under</t>
        </is>
      </c>
      <c r="U535" s="4" t="n">
        <v>105</v>
      </c>
      <c r="V535" s="2" t="n">
        <v>2.05</v>
      </c>
      <c r="W535" s="4" t="n">
        <v>105</v>
      </c>
      <c r="X535" s="2" t="n">
        <v>1</v>
      </c>
      <c r="Y535" s="5" t="n">
        <v>1.05</v>
      </c>
      <c r="Z535" s="7" t="n">
        <v>100</v>
      </c>
      <c r="AA535" s="7">
        <f>Y535*Z535</f>
        <v/>
      </c>
      <c r="AB535" s="6">
        <f>IF(Z535=0,0,AA535/Z535)</f>
        <v/>
      </c>
      <c r="AC535" s="6" t="n"/>
      <c r="AD535" s="2" t="inlineStr">
        <is>
          <t>Win</t>
        </is>
      </c>
      <c r="AE535" s="6">
        <f>IF((COUNTIF($AD$2:AD535,"Win")+COUNTIF($AD$2:AD535,"Loss"))=0,0,COUNTIF($AD$2:AD535,"Win")/(COUNTIF($AD$2:AD535,"Win")+COUNTIF($AD$2:AD535,"Loss")))</f>
        <v/>
      </c>
      <c r="AF535" s="6">
        <f>SUM($Y$2:Y535)/SUM($X$2:X535)</f>
        <v/>
      </c>
      <c r="AG535" s="5">
        <f>SUM($Y$2:Y535)</f>
        <v/>
      </c>
      <c r="AH535" s="7">
        <f>10000.0+SUM($AA$2:AA535)</f>
        <v/>
      </c>
      <c r="AI535" s="2" t="n">
        <v>2026</v>
      </c>
      <c r="AJ535" s="2" t="inlineStr">
        <is>
          <t>2026-04</t>
        </is>
      </c>
      <c r="AK535" s="2" t="inlineStr">
        <is>
          <t>+100 to +120</t>
        </is>
      </c>
      <c r="AL535" s="2" t="inlineStr">
        <is>
          <t>2026 Frozen Test</t>
        </is>
      </c>
      <c r="AM535" s="6" t="n">
        <v>0.3362975249513063</v>
      </c>
    </row>
    <row r="536">
      <c r="A536" s="2" t="inlineStr">
        <is>
          <t>KPROP-00535</t>
        </is>
      </c>
      <c r="B536" s="3" t="n">
        <v>46121.56987268518</v>
      </c>
      <c r="C536" s="3" t="n">
        <v>46121</v>
      </c>
      <c r="D536" s="2" t="inlineStr">
        <is>
          <t>Jack Flaherty</t>
        </is>
      </c>
      <c r="E536" s="2" t="n">
        <v>116</v>
      </c>
      <c r="F536" s="2" t="n">
        <v>142</v>
      </c>
      <c r="G536" s="2" t="inlineStr">
        <is>
          <t>Away</t>
        </is>
      </c>
      <c r="H536" s="2" t="inlineStr">
        <is>
          <t>bovada</t>
        </is>
      </c>
      <c r="I536" s="4" t="n"/>
      <c r="J536" s="4" t="n"/>
      <c r="K536" s="4" t="n">
        <v>115</v>
      </c>
      <c r="L536" s="4" t="n">
        <v>115</v>
      </c>
      <c r="M536" s="5" t="n">
        <v>5.5</v>
      </c>
      <c r="N536" s="5" t="n">
        <v>5.453766894995767</v>
      </c>
      <c r="O536" s="5" t="n">
        <v>5.5</v>
      </c>
      <c r="P536" s="5" t="n">
        <v>0.04623310500423283</v>
      </c>
      <c r="Q536" s="6" t="n">
        <v>0.1542474494066457</v>
      </c>
      <c r="R536" s="6" t="n">
        <v>0.5368592787937887</v>
      </c>
      <c r="S536" s="6" t="n">
        <v>0.4497867390461419</v>
      </c>
      <c r="T536" s="2" t="inlineStr">
        <is>
          <t>Under</t>
        </is>
      </c>
      <c r="U536" s="4" t="n">
        <v>115</v>
      </c>
      <c r="V536" s="2" t="n">
        <v>2.15</v>
      </c>
      <c r="W536" s="4" t="n">
        <v>115</v>
      </c>
      <c r="X536" s="2" t="n">
        <v>1</v>
      </c>
      <c r="Y536" s="5" t="n">
        <v>-1</v>
      </c>
      <c r="Z536" s="7" t="n">
        <v>100</v>
      </c>
      <c r="AA536" s="7">
        <f>Y536*Z536</f>
        <v/>
      </c>
      <c r="AB536" s="6">
        <f>IF(Z536=0,0,AA536/Z536)</f>
        <v/>
      </c>
      <c r="AC536" s="6" t="n"/>
      <c r="AD536" s="2" t="inlineStr">
        <is>
          <t>Loss</t>
        </is>
      </c>
      <c r="AE536" s="6">
        <f>IF((COUNTIF($AD$2:AD536,"Win")+COUNTIF($AD$2:AD536,"Loss"))=0,0,COUNTIF($AD$2:AD536,"Win")/(COUNTIF($AD$2:AD536,"Win")+COUNTIF($AD$2:AD536,"Loss")))</f>
        <v/>
      </c>
      <c r="AF536" s="6">
        <f>SUM($Y$2:Y536)/SUM($X$2:X536)</f>
        <v/>
      </c>
      <c r="AG536" s="5">
        <f>SUM($Y$2:Y536)</f>
        <v/>
      </c>
      <c r="AH536" s="7">
        <f>10000.0+SUM($AA$2:AA536)</f>
        <v/>
      </c>
      <c r="AI536" s="2" t="n">
        <v>2026</v>
      </c>
      <c r="AJ536" s="2" t="inlineStr">
        <is>
          <t>2026-04</t>
        </is>
      </c>
      <c r="AK536" s="2" t="inlineStr">
        <is>
          <t>+100 to +120</t>
        </is>
      </c>
      <c r="AL536" s="2" t="inlineStr">
        <is>
          <t>2026 Frozen Test</t>
        </is>
      </c>
      <c r="AM536" s="6" t="n">
        <v>0.1341282168753441</v>
      </c>
    </row>
    <row r="537">
      <c r="A537" s="2" t="inlineStr">
        <is>
          <t>KPROP-00536</t>
        </is>
      </c>
      <c r="B537" s="3" t="n">
        <v>46121.56987268518</v>
      </c>
      <c r="C537" s="3" t="n">
        <v>46121</v>
      </c>
      <c r="D537" s="2" t="inlineStr">
        <is>
          <t>Jack Flaherty</t>
        </is>
      </c>
      <c r="E537" s="2" t="n">
        <v>116</v>
      </c>
      <c r="F537" s="2" t="n">
        <v>142</v>
      </c>
      <c r="G537" s="2" t="inlineStr">
        <is>
          <t>Away</t>
        </is>
      </c>
      <c r="H537" s="2" t="inlineStr">
        <is>
          <t>betmgm</t>
        </is>
      </c>
      <c r="I537" s="4" t="n"/>
      <c r="J537" s="4" t="n"/>
      <c r="K537" s="4" t="n">
        <v>-160</v>
      </c>
      <c r="L537" s="4" t="n">
        <v>-160</v>
      </c>
      <c r="M537" s="5" t="n">
        <v>6.5</v>
      </c>
      <c r="N537" s="5" t="n">
        <v>5.453766894995767</v>
      </c>
      <c r="O537" s="5" t="n">
        <v>6.5</v>
      </c>
      <c r="P537" s="5" t="n">
        <v>1.046233105004233</v>
      </c>
      <c r="Q537" s="6" t="n">
        <v>0.1265868945768631</v>
      </c>
      <c r="R537" s="6" t="n">
        <v>0.6932842428165311</v>
      </c>
      <c r="S537" s="6" t="n">
        <v>0.5911949685534592</v>
      </c>
      <c r="T537" s="2" t="inlineStr">
        <is>
          <t>Under</t>
        </is>
      </c>
      <c r="U537" s="4" t="n">
        <v>-160</v>
      </c>
      <c r="V537" s="2" t="n">
        <v>1.625</v>
      </c>
      <c r="W537" s="4" t="n">
        <v>-160</v>
      </c>
      <c r="X537" s="2" t="n">
        <v>1</v>
      </c>
      <c r="Y537" s="5" t="n">
        <v>0.625</v>
      </c>
      <c r="Z537" s="7" t="n">
        <v>100</v>
      </c>
      <c r="AA537" s="7">
        <f>Y537*Z537</f>
        <v/>
      </c>
      <c r="AB537" s="6">
        <f>IF(Z537=0,0,AA537/Z537)</f>
        <v/>
      </c>
      <c r="AC537" s="6" t="n"/>
      <c r="AD537" s="2" t="inlineStr">
        <is>
          <t>Win</t>
        </is>
      </c>
      <c r="AE537" s="6">
        <f>IF((COUNTIF($AD$2:AD537,"Win")+COUNTIF($AD$2:AD537,"Loss"))=0,0,COUNTIF($AD$2:AD537,"Win")/(COUNTIF($AD$2:AD537,"Win")+COUNTIF($AD$2:AD537,"Loss")))</f>
        <v/>
      </c>
      <c r="AF537" s="6">
        <f>SUM($Y$2:Y537)/SUM($X$2:X537)</f>
        <v/>
      </c>
      <c r="AG537" s="5">
        <f>SUM($Y$2:Y537)</f>
        <v/>
      </c>
      <c r="AH537" s="7">
        <f>10000.0+SUM($AA$2:AA537)</f>
        <v/>
      </c>
      <c r="AI537" s="2" t="n">
        <v>2026</v>
      </c>
      <c r="AJ537" s="2" t="inlineStr">
        <is>
          <t>2026-04</t>
        </is>
      </c>
      <c r="AK537" s="2" t="inlineStr">
        <is>
          <t>&lt;= -150</t>
        </is>
      </c>
      <c r="AL537" s="2" t="inlineStr">
        <is>
          <t>2026 Frozen Test</t>
        </is>
      </c>
      <c r="AM537" s="6" t="n">
        <v>0.2025390313229809</v>
      </c>
    </row>
    <row r="538">
      <c r="A538" s="2" t="inlineStr">
        <is>
          <t>KPROP-00537</t>
        </is>
      </c>
      <c r="B538" s="3" t="n">
        <v>46121.50738425926</v>
      </c>
      <c r="C538" s="3" t="n">
        <v>46121</v>
      </c>
      <c r="D538" s="2" t="inlineStr">
        <is>
          <t>Max Meyer</t>
        </is>
      </c>
      <c r="E538" s="2" t="n">
        <v>146</v>
      </c>
      <c r="F538" s="2" t="n">
        <v>113</v>
      </c>
      <c r="G538" s="2" t="inlineStr">
        <is>
          <t>Home</t>
        </is>
      </c>
      <c r="H538" s="2" t="inlineStr">
        <is>
          <t>betonlineag</t>
        </is>
      </c>
      <c r="I538" s="4" t="n"/>
      <c r="J538" s="4" t="n"/>
      <c r="K538" s="4" t="n">
        <v>115</v>
      </c>
      <c r="L538" s="4" t="n">
        <v>115</v>
      </c>
      <c r="M538" s="5" t="n">
        <v>5.5</v>
      </c>
      <c r="N538" s="5" t="n">
        <v>5.167443011078546</v>
      </c>
      <c r="O538" s="5" t="n">
        <v>5.5</v>
      </c>
      <c r="P538" s="5" t="n">
        <v>0.3325569889214544</v>
      </c>
      <c r="Q538" s="6" t="n">
        <v>0.2612047394758129</v>
      </c>
      <c r="R538" s="6" t="n">
        <v>0.5866068555701456</v>
      </c>
      <c r="S538" s="6" t="n">
        <v>0.451422963689892</v>
      </c>
      <c r="T538" s="2" t="inlineStr">
        <is>
          <t>Under</t>
        </is>
      </c>
      <c r="U538" s="4" t="n">
        <v>115</v>
      </c>
      <c r="V538" s="2" t="n">
        <v>2.15</v>
      </c>
      <c r="W538" s="4" t="n">
        <v>115</v>
      </c>
      <c r="X538" s="2" t="n">
        <v>1</v>
      </c>
      <c r="Y538" s="5" t="n">
        <v>1.15</v>
      </c>
      <c r="Z538" s="7" t="n">
        <v>100</v>
      </c>
      <c r="AA538" s="7">
        <f>Y538*Z538</f>
        <v/>
      </c>
      <c r="AB538" s="6">
        <f>IF(Z538=0,0,AA538/Z538)</f>
        <v/>
      </c>
      <c r="AC538" s="6" t="n"/>
      <c r="AD538" s="2" t="inlineStr">
        <is>
          <t>Win</t>
        </is>
      </c>
      <c r="AE538" s="6">
        <f>IF((COUNTIF($AD$2:AD538,"Win")+COUNTIF($AD$2:AD538,"Loss"))=0,0,COUNTIF($AD$2:AD538,"Win")/(COUNTIF($AD$2:AD538,"Win")+COUNTIF($AD$2:AD538,"Loss")))</f>
        <v/>
      </c>
      <c r="AF538" s="6">
        <f>SUM($Y$2:Y538)/SUM($X$2:X538)</f>
        <v/>
      </c>
      <c r="AG538" s="5">
        <f>SUM($Y$2:Y538)</f>
        <v/>
      </c>
      <c r="AH538" s="7">
        <f>10000.0+SUM($AA$2:AA538)</f>
        <v/>
      </c>
      <c r="AI538" s="2" t="n">
        <v>2026</v>
      </c>
      <c r="AJ538" s="2" t="inlineStr">
        <is>
          <t>2026-04</t>
        </is>
      </c>
      <c r="AK538" s="2" t="inlineStr">
        <is>
          <t>+100 to +120</t>
        </is>
      </c>
      <c r="AL538" s="2" t="inlineStr">
        <is>
          <t>2026 Frozen Test</t>
        </is>
      </c>
      <c r="AM538" s="6" t="n">
        <v>0.2271345560659243</v>
      </c>
    </row>
    <row r="539">
      <c r="A539" s="2" t="inlineStr">
        <is>
          <t>KPROP-00538</t>
        </is>
      </c>
      <c r="B539" s="3" t="n">
        <v>46121.50738425926</v>
      </c>
      <c r="C539" s="3" t="n">
        <v>46121</v>
      </c>
      <c r="D539" s="2" t="inlineStr">
        <is>
          <t>Max Meyer</t>
        </is>
      </c>
      <c r="E539" s="2" t="n">
        <v>146</v>
      </c>
      <c r="F539" s="2" t="n">
        <v>113</v>
      </c>
      <c r="G539" s="2" t="inlineStr">
        <is>
          <t>Home</t>
        </is>
      </c>
      <c r="H539" s="2" t="inlineStr">
        <is>
          <t>betrivers</t>
        </is>
      </c>
      <c r="I539" s="4" t="n"/>
      <c r="J539" s="4" t="n"/>
      <c r="K539" s="4" t="n">
        <v>-182</v>
      </c>
      <c r="L539" s="4" t="n">
        <v>-182</v>
      </c>
      <c r="M539" s="5" t="n">
        <v>6.5</v>
      </c>
      <c r="N539" s="5" t="n">
        <v>5.167443011078546</v>
      </c>
      <c r="O539" s="5" t="n">
        <v>6.5</v>
      </c>
      <c r="P539" s="5" t="n">
        <v>1.332556988921454</v>
      </c>
      <c r="Q539" s="6" t="n">
        <v>0.1424293519465283</v>
      </c>
      <c r="R539" s="6" t="n">
        <v>0.7373125604761281</v>
      </c>
      <c r="S539" s="6" t="n">
        <v>0.6026490066225165</v>
      </c>
      <c r="T539" s="2" t="inlineStr">
        <is>
          <t>Under</t>
        </is>
      </c>
      <c r="U539" s="4" t="n">
        <v>-182</v>
      </c>
      <c r="V539" s="2" t="n">
        <v>1.549450549450549</v>
      </c>
      <c r="W539" s="4" t="n">
        <v>-182</v>
      </c>
      <c r="X539" s="2" t="n">
        <v>1</v>
      </c>
      <c r="Y539" s="5" t="n">
        <v>0.5494505494505495</v>
      </c>
      <c r="Z539" s="7" t="n">
        <v>100</v>
      </c>
      <c r="AA539" s="7">
        <f>Y539*Z539</f>
        <v/>
      </c>
      <c r="AB539" s="6">
        <f>IF(Z539=0,0,AA539/Z539)</f>
        <v/>
      </c>
      <c r="AC539" s="6" t="n"/>
      <c r="AD539" s="2" t="inlineStr">
        <is>
          <t>Win</t>
        </is>
      </c>
      <c r="AE539" s="6">
        <f>IF((COUNTIF($AD$2:AD539,"Win")+COUNTIF($AD$2:AD539,"Loss"))=0,0,COUNTIF($AD$2:AD539,"Win")/(COUNTIF($AD$2:AD539,"Win")+COUNTIF($AD$2:AD539,"Loss")))</f>
        <v/>
      </c>
      <c r="AF539" s="6">
        <f>SUM($Y$2:Y539)/SUM($X$2:X539)</f>
        <v/>
      </c>
      <c r="AG539" s="5">
        <f>SUM($Y$2:Y539)</f>
        <v/>
      </c>
      <c r="AH539" s="7">
        <f>10000.0+SUM($AA$2:AA539)</f>
        <v/>
      </c>
      <c r="AI539" s="2" t="n">
        <v>2026</v>
      </c>
      <c r="AJ539" s="2" t="inlineStr">
        <is>
          <t>2026-04</t>
        </is>
      </c>
      <c r="AK539" s="2" t="inlineStr">
        <is>
          <t>&lt;= -150</t>
        </is>
      </c>
      <c r="AL539" s="2" t="inlineStr">
        <is>
          <t>2026 Frozen Test</t>
        </is>
      </c>
      <c r="AM539" s="6" t="n">
        <v>0.2592214205426814</v>
      </c>
    </row>
    <row r="540">
      <c r="A540" s="2" t="inlineStr">
        <is>
          <t>KPROP-00539</t>
        </is>
      </c>
      <c r="B540" s="3" t="n">
        <v>46121.56641203703</v>
      </c>
      <c r="C540" s="3" t="n">
        <v>46121</v>
      </c>
      <c r="D540" s="2" t="inlineStr">
        <is>
          <t>Ryan Weathers</t>
        </is>
      </c>
      <c r="E540" s="2" t="n">
        <v>147</v>
      </c>
      <c r="F540" s="2" t="n">
        <v>133</v>
      </c>
      <c r="G540" s="2" t="inlineStr">
        <is>
          <t>Home</t>
        </is>
      </c>
      <c r="H540" s="2" t="inlineStr">
        <is>
          <t>betmgm</t>
        </is>
      </c>
      <c r="I540" s="4" t="n"/>
      <c r="J540" s="4" t="n"/>
      <c r="K540" s="4" t="n">
        <v>110</v>
      </c>
      <c r="L540" s="4" t="n">
        <v>110</v>
      </c>
      <c r="M540" s="5" t="n">
        <v>5.5</v>
      </c>
      <c r="N540" s="5" t="n">
        <v>5.062999348580896</v>
      </c>
      <c r="O540" s="5" t="n">
        <v>5.5</v>
      </c>
      <c r="P540" s="5" t="n">
        <v>0.4370006514191038</v>
      </c>
      <c r="Q540" s="6" t="n">
        <v>0.2703063337623656</v>
      </c>
      <c r="R540" s="6" t="n">
        <v>0.6049077779820788</v>
      </c>
      <c r="S540" s="6" t="n">
        <v>0.4661016949152542</v>
      </c>
      <c r="T540" s="2" t="inlineStr">
        <is>
          <t>Under</t>
        </is>
      </c>
      <c r="U540" s="4" t="n">
        <v>110</v>
      </c>
      <c r="V540" s="2" t="n">
        <v>2.1</v>
      </c>
      <c r="W540" s="4" t="n">
        <v>110</v>
      </c>
      <c r="X540" s="2" t="n">
        <v>1</v>
      </c>
      <c r="Y540" s="5" t="n">
        <v>-1</v>
      </c>
      <c r="Z540" s="7" t="n">
        <v>100</v>
      </c>
      <c r="AA540" s="7">
        <f>Y540*Z540</f>
        <v/>
      </c>
      <c r="AB540" s="6">
        <f>IF(Z540=0,0,AA540/Z540)</f>
        <v/>
      </c>
      <c r="AC540" s="6" t="n"/>
      <c r="AD540" s="2" t="inlineStr">
        <is>
          <t>Loss</t>
        </is>
      </c>
      <c r="AE540" s="6">
        <f>IF((COUNTIF($AD$2:AD540,"Win")+COUNTIF($AD$2:AD540,"Loss"))=0,0,COUNTIF($AD$2:AD540,"Win")/(COUNTIF($AD$2:AD540,"Win")+COUNTIF($AD$2:AD540,"Loss")))</f>
        <v/>
      </c>
      <c r="AF540" s="6">
        <f>SUM($Y$2:Y540)/SUM($X$2:X540)</f>
        <v/>
      </c>
      <c r="AG540" s="5">
        <f>SUM($Y$2:Y540)</f>
        <v/>
      </c>
      <c r="AH540" s="7">
        <f>10000.0+SUM($AA$2:AA540)</f>
        <v/>
      </c>
      <c r="AI540" s="2" t="n">
        <v>2026</v>
      </c>
      <c r="AJ540" s="2" t="inlineStr">
        <is>
          <t>2026-04</t>
        </is>
      </c>
      <c r="AK540" s="2" t="inlineStr">
        <is>
          <t>+100 to +120</t>
        </is>
      </c>
      <c r="AL540" s="2" t="inlineStr">
        <is>
          <t>2026 Frozen Test</t>
        </is>
      </c>
      <c r="AM540" s="6" t="n">
        <v>0.2457330306930596</v>
      </c>
    </row>
    <row r="541">
      <c r="A541" s="2" t="inlineStr">
        <is>
          <t>KPROP-00540</t>
        </is>
      </c>
      <c r="B541" s="3" t="n">
        <v>46121.81987268518</v>
      </c>
      <c r="C541" s="3" t="n">
        <v>46121</v>
      </c>
      <c r="D541" s="2" t="inlineStr">
        <is>
          <t>Seth Lugo</t>
        </is>
      </c>
      <c r="E541" s="2" t="n">
        <v>118</v>
      </c>
      <c r="F541" s="2" t="n">
        <v>145</v>
      </c>
      <c r="G541" s="2" t="inlineStr">
        <is>
          <t>Home</t>
        </is>
      </c>
      <c r="H541" s="2" t="inlineStr">
        <is>
          <t>betonlineag</t>
        </is>
      </c>
      <c r="I541" s="4" t="n"/>
      <c r="J541" s="4" t="n"/>
      <c r="K541" s="4" t="n">
        <v>118</v>
      </c>
      <c r="L541" s="4" t="n">
        <v>118</v>
      </c>
      <c r="M541" s="5" t="n">
        <v>4.5</v>
      </c>
      <c r="N541" s="5" t="n">
        <v>4.627930672731371</v>
      </c>
      <c r="O541" s="5" t="n">
        <v>4.5</v>
      </c>
      <c r="P541" s="5" t="n">
        <v>-0.1279306727313712</v>
      </c>
      <c r="Q541" s="6" t="n">
        <v>0.1074528246186465</v>
      </c>
      <c r="R541" s="6" t="n">
        <v>0.5080058828525902</v>
      </c>
      <c r="S541" s="6" t="n">
        <v>0.4479937670432412</v>
      </c>
      <c r="T541" s="2" t="inlineStr">
        <is>
          <t>Under</t>
        </is>
      </c>
      <c r="U541" s="4" t="n">
        <v>118</v>
      </c>
      <c r="V541" s="2" t="n">
        <v>2.18</v>
      </c>
      <c r="W541" s="4" t="n">
        <v>118</v>
      </c>
      <c r="X541" s="2" t="n">
        <v>1</v>
      </c>
      <c r="Y541" s="5" t="n">
        <v>1.18</v>
      </c>
      <c r="Z541" s="7" t="n">
        <v>100</v>
      </c>
      <c r="AA541" s="7">
        <f>Y541*Z541</f>
        <v/>
      </c>
      <c r="AB541" s="6">
        <f>IF(Z541=0,0,AA541/Z541)</f>
        <v/>
      </c>
      <c r="AC541" s="6" t="n"/>
      <c r="AD541" s="2" t="inlineStr">
        <is>
          <t>Win</t>
        </is>
      </c>
      <c r="AE541" s="6">
        <f>IF((COUNTIF($AD$2:AD541,"Win")+COUNTIF($AD$2:AD541,"Loss"))=0,0,COUNTIF($AD$2:AD541,"Win")/(COUNTIF($AD$2:AD541,"Win")+COUNTIF($AD$2:AD541,"Loss")))</f>
        <v/>
      </c>
      <c r="AF541" s="6">
        <f>SUM($Y$2:Y541)/SUM($X$2:X541)</f>
        <v/>
      </c>
      <c r="AG541" s="5">
        <f>SUM($Y$2:Y541)</f>
        <v/>
      </c>
      <c r="AH541" s="7">
        <f>10000.0+SUM($AA$2:AA541)</f>
        <v/>
      </c>
      <c r="AI541" s="2" t="n">
        <v>2026</v>
      </c>
      <c r="AJ541" s="2" t="inlineStr">
        <is>
          <t>2026-04</t>
        </is>
      </c>
      <c r="AK541" s="2" t="inlineStr">
        <is>
          <t>+100 to +120</t>
        </is>
      </c>
      <c r="AL541" s="2" t="inlineStr">
        <is>
          <t>2026 Frozen Test</t>
        </is>
      </c>
      <c r="AM541" s="6" t="n">
        <v>0.09106171577851398</v>
      </c>
    </row>
    <row r="542">
      <c r="A542" s="2" t="inlineStr">
        <is>
          <t>KPROP-00541</t>
        </is>
      </c>
      <c r="B542" s="3" t="n">
        <v>46122.79905092593</v>
      </c>
      <c r="C542" s="3" t="n">
        <v>46122</v>
      </c>
      <c r="D542" s="2" t="inlineStr">
        <is>
          <t>Clay Holmes</t>
        </is>
      </c>
      <c r="E542" s="2" t="n">
        <v>121</v>
      </c>
      <c r="F542" s="2" t="n">
        <v>133</v>
      </c>
      <c r="G542" s="2" t="inlineStr">
        <is>
          <t>Home</t>
        </is>
      </c>
      <c r="H542" s="2" t="inlineStr">
        <is>
          <t>bovada</t>
        </is>
      </c>
      <c r="I542" s="4" t="n"/>
      <c r="J542" s="4" t="n"/>
      <c r="K542" s="4" t="n">
        <v>125</v>
      </c>
      <c r="L542" s="4" t="n">
        <v>125</v>
      </c>
      <c r="M542" s="5" t="n">
        <v>4.5</v>
      </c>
      <c r="N542" s="5" t="n">
        <v>4.408895355226848</v>
      </c>
      <c r="O542" s="5" t="n">
        <v>4.5</v>
      </c>
      <c r="P542" s="5" t="n">
        <v>0.09110464477315183</v>
      </c>
      <c r="Q542" s="6" t="n">
        <v>0.2363276205505005</v>
      </c>
      <c r="R542" s="6" t="n">
        <v>0.5494789424668891</v>
      </c>
      <c r="S542" s="6" t="n">
        <v>0.4317062248096731</v>
      </c>
      <c r="T542" s="2" t="inlineStr">
        <is>
          <t>Under</t>
        </is>
      </c>
      <c r="U542" s="4" t="n">
        <v>125</v>
      </c>
      <c r="V542" s="2" t="n">
        <v>2.25</v>
      </c>
      <c r="W542" s="4" t="n">
        <v>125</v>
      </c>
      <c r="X542" s="2" t="n">
        <v>1</v>
      </c>
      <c r="Y542" s="5" t="n">
        <v>1.25</v>
      </c>
      <c r="Z542" s="7" t="n">
        <v>100</v>
      </c>
      <c r="AA542" s="7">
        <f>Y542*Z542</f>
        <v/>
      </c>
      <c r="AB542" s="6">
        <f>IF(Z542=0,0,AA542/Z542)</f>
        <v/>
      </c>
      <c r="AC542" s="6" t="n"/>
      <c r="AD542" s="2" t="inlineStr">
        <is>
          <t>Win</t>
        </is>
      </c>
      <c r="AE542" s="6">
        <f>IF((COUNTIF($AD$2:AD542,"Win")+COUNTIF($AD$2:AD542,"Loss"))=0,0,COUNTIF($AD$2:AD542,"Win")/(COUNTIF($AD$2:AD542,"Win")+COUNTIF($AD$2:AD542,"Loss")))</f>
        <v/>
      </c>
      <c r="AF542" s="6">
        <f>SUM($Y$2:Y542)/SUM($X$2:X542)</f>
        <v/>
      </c>
      <c r="AG542" s="5">
        <f>SUM($Y$2:Y542)</f>
        <v/>
      </c>
      <c r="AH542" s="7">
        <f>10000.0+SUM($AA$2:AA542)</f>
        <v/>
      </c>
      <c r="AI542" s="2" t="n">
        <v>2026</v>
      </c>
      <c r="AJ542" s="2" t="inlineStr">
        <is>
          <t>2026-04</t>
        </is>
      </c>
      <c r="AK542" s="2" t="inlineStr">
        <is>
          <t>+121 to +150</t>
        </is>
      </c>
      <c r="AL542" s="2" t="inlineStr">
        <is>
          <t>2026 Frozen Test</t>
        </is>
      </c>
      <c r="AM542" s="6" t="n">
        <v>0.1890620964404004</v>
      </c>
    </row>
    <row r="543">
      <c r="A543" s="2" t="inlineStr">
        <is>
          <t>KPROP-00542</t>
        </is>
      </c>
      <c r="B543" s="3" t="n">
        <v>46122.77821759259</v>
      </c>
      <c r="C543" s="3" t="n">
        <v>46122</v>
      </c>
      <c r="D543" s="2" t="inlineStr">
        <is>
          <t>Jesús Luzardo</t>
        </is>
      </c>
      <c r="E543" s="2" t="n">
        <v>143</v>
      </c>
      <c r="F543" s="2" t="n">
        <v>109</v>
      </c>
      <c r="G543" s="2" t="inlineStr">
        <is>
          <t>Home</t>
        </is>
      </c>
      <c r="H543" s="2" t="inlineStr">
        <is>
          <t>betonlineag</t>
        </is>
      </c>
      <c r="I543" s="4" t="n"/>
      <c r="J543" s="4" t="n"/>
      <c r="K543" s="4" t="n">
        <v>128</v>
      </c>
      <c r="L543" s="4" t="n">
        <v>128</v>
      </c>
      <c r="M543" s="5" t="n">
        <v>5.5</v>
      </c>
      <c r="N543" s="5" t="n">
        <v>5.796867596092296</v>
      </c>
      <c r="O543" s="5" t="n">
        <v>5.5</v>
      </c>
      <c r="P543" s="5" t="n">
        <v>-0.2968675960922962</v>
      </c>
      <c r="Q543" s="6" t="n">
        <v>0.09174041127939091</v>
      </c>
      <c r="R543" s="6" t="n">
        <v>0.478833513719031</v>
      </c>
      <c r="S543" s="6" t="n">
        <v>0.4263349175286553</v>
      </c>
      <c r="T543" s="2" t="inlineStr">
        <is>
          <t>Under</t>
        </is>
      </c>
      <c r="U543" s="4" t="n">
        <v>128</v>
      </c>
      <c r="V543" s="2" t="n">
        <v>2.28</v>
      </c>
      <c r="W543" s="4" t="n">
        <v>128</v>
      </c>
      <c r="X543" s="2" t="n">
        <v>1</v>
      </c>
      <c r="Y543" s="5" t="n">
        <v>-1</v>
      </c>
      <c r="Z543" s="7" t="n">
        <v>100</v>
      </c>
      <c r="AA543" s="7">
        <f>Y543*Z543</f>
        <v/>
      </c>
      <c r="AB543" s="6">
        <f>IF(Z543=0,0,AA543/Z543)</f>
        <v/>
      </c>
      <c r="AC543" s="6" t="n"/>
      <c r="AD543" s="2" t="inlineStr">
        <is>
          <t>Loss</t>
        </is>
      </c>
      <c r="AE543" s="6">
        <f>IF((COUNTIF($AD$2:AD543,"Win")+COUNTIF($AD$2:AD543,"Loss"))=0,0,COUNTIF($AD$2:AD543,"Win")/(COUNTIF($AD$2:AD543,"Win")+COUNTIF($AD$2:AD543,"Loss")))</f>
        <v/>
      </c>
      <c r="AF543" s="6">
        <f>SUM($Y$2:Y543)/SUM($X$2:X543)</f>
        <v/>
      </c>
      <c r="AG543" s="5">
        <f>SUM($Y$2:Y543)</f>
        <v/>
      </c>
      <c r="AH543" s="7">
        <f>10000.0+SUM($AA$2:AA543)</f>
        <v/>
      </c>
      <c r="AI543" s="2" t="n">
        <v>2026</v>
      </c>
      <c r="AJ543" s="2" t="inlineStr">
        <is>
          <t>2026-04</t>
        </is>
      </c>
      <c r="AK543" s="2" t="inlineStr">
        <is>
          <t>+121 to +150</t>
        </is>
      </c>
      <c r="AL543" s="2" t="inlineStr">
        <is>
          <t>2026 Frozen Test</t>
        </is>
      </c>
      <c r="AM543" s="6" t="n">
        <v>0.07167219631202414</v>
      </c>
    </row>
    <row r="544">
      <c r="A544" s="2" t="inlineStr">
        <is>
          <t>KPROP-00543</t>
        </is>
      </c>
      <c r="B544" s="3" t="n">
        <v>46122.81989583333</v>
      </c>
      <c r="C544" s="3" t="n">
        <v>46122</v>
      </c>
      <c r="D544" s="2" t="inlineStr">
        <is>
          <t>Kris Bubic</t>
        </is>
      </c>
      <c r="E544" s="2" t="n">
        <v>118</v>
      </c>
      <c r="F544" s="2" t="n">
        <v>145</v>
      </c>
      <c r="G544" s="2" t="inlineStr">
        <is>
          <t>Home</t>
        </is>
      </c>
      <c r="H544" s="2" t="inlineStr">
        <is>
          <t>draftkings</t>
        </is>
      </c>
      <c r="I544" s="4" t="n"/>
      <c r="J544" s="4" t="n"/>
      <c r="K544" s="4" t="n">
        <v>124</v>
      </c>
      <c r="L544" s="4" t="n">
        <v>124</v>
      </c>
      <c r="M544" s="5" t="n">
        <v>5.5</v>
      </c>
      <c r="N544" s="5" t="n">
        <v>4.653630472312055</v>
      </c>
      <c r="O544" s="5" t="n">
        <v>5.5</v>
      </c>
      <c r="P544" s="5" t="n">
        <v>0.846369527687945</v>
      </c>
      <c r="Q544" s="6" t="n">
        <v>0.5153293437058157</v>
      </c>
      <c r="R544" s="6" t="n">
        <v>0.676486314154382</v>
      </c>
      <c r="S544" s="6" t="n">
        <v>0.4372906587272051</v>
      </c>
      <c r="T544" s="2" t="inlineStr">
        <is>
          <t>Under</t>
        </is>
      </c>
      <c r="U544" s="4" t="n">
        <v>124</v>
      </c>
      <c r="V544" s="2" t="n">
        <v>2.24</v>
      </c>
      <c r="W544" s="4" t="n">
        <v>124</v>
      </c>
      <c r="X544" s="2" t="n">
        <v>1</v>
      </c>
      <c r="Y544" s="5" t="n">
        <v>-1</v>
      </c>
      <c r="Z544" s="7" t="n">
        <v>100</v>
      </c>
      <c r="AA544" s="7">
        <f>Y544*Z544</f>
        <v/>
      </c>
      <c r="AB544" s="6">
        <f>IF(Z544=0,0,AA544/Z544)</f>
        <v/>
      </c>
      <c r="AC544" s="6" t="n"/>
      <c r="AD544" s="2" t="inlineStr">
        <is>
          <t>Loss</t>
        </is>
      </c>
      <c r="AE544" s="6">
        <f>IF((COUNTIF($AD$2:AD544,"Win")+COUNTIF($AD$2:AD544,"Loss"))=0,0,COUNTIF($AD$2:AD544,"Win")/(COUNTIF($AD$2:AD544,"Win")+COUNTIF($AD$2:AD544,"Loss")))</f>
        <v/>
      </c>
      <c r="AF544" s="6">
        <f>SUM($Y$2:Y544)/SUM($X$2:X544)</f>
        <v/>
      </c>
      <c r="AG544" s="5">
        <f>SUM($Y$2:Y544)</f>
        <v/>
      </c>
      <c r="AH544" s="7">
        <f>10000.0+SUM($AA$2:AA544)</f>
        <v/>
      </c>
      <c r="AI544" s="2" t="n">
        <v>2026</v>
      </c>
      <c r="AJ544" s="2" t="inlineStr">
        <is>
          <t>2026-04</t>
        </is>
      </c>
      <c r="AK544" s="2" t="inlineStr">
        <is>
          <t>+121 to +150</t>
        </is>
      </c>
      <c r="AL544" s="2" t="inlineStr">
        <is>
          <t>2026 Frozen Test</t>
        </is>
      </c>
      <c r="AM544" s="6" t="n">
        <v>0.4155881804079158</v>
      </c>
    </row>
    <row r="545">
      <c r="A545" s="2" t="inlineStr">
        <is>
          <t>KPROP-00544</t>
        </is>
      </c>
      <c r="B545" s="3" t="n">
        <v>46122.81989583333</v>
      </c>
      <c r="C545" s="3" t="n">
        <v>46122</v>
      </c>
      <c r="D545" s="2" t="inlineStr">
        <is>
          <t>Kris Bubic</t>
        </is>
      </c>
      <c r="E545" s="2" t="n">
        <v>118</v>
      </c>
      <c r="F545" s="2" t="n">
        <v>145</v>
      </c>
      <c r="G545" s="2" t="inlineStr">
        <is>
          <t>Home</t>
        </is>
      </c>
      <c r="H545" s="2" t="inlineStr">
        <is>
          <t>betrivers</t>
        </is>
      </c>
      <c r="I545" s="4" t="n"/>
      <c r="J545" s="4" t="n"/>
      <c r="K545" s="4" t="n">
        <v>-190</v>
      </c>
      <c r="L545" s="4" t="n">
        <v>-190</v>
      </c>
      <c r="M545" s="5" t="n">
        <v>6.5</v>
      </c>
      <c r="N545" s="5" t="n">
        <v>4.653630472312055</v>
      </c>
      <c r="O545" s="5" t="n">
        <v>6.5</v>
      </c>
      <c r="P545" s="5" t="n">
        <v>1.846369527687945</v>
      </c>
      <c r="Q545" s="6" t="n">
        <v>0.2376560998621774</v>
      </c>
      <c r="R545" s="6" t="n">
        <v>0.8108781343924611</v>
      </c>
      <c r="S545" s="6" t="n">
        <v>0.6112600536193029</v>
      </c>
      <c r="T545" s="2" t="inlineStr">
        <is>
          <t>Under</t>
        </is>
      </c>
      <c r="U545" s="4" t="n">
        <v>-190</v>
      </c>
      <c r="V545" s="2" t="n">
        <v>1.526315789473684</v>
      </c>
      <c r="W545" s="4" t="n">
        <v>-190</v>
      </c>
      <c r="X545" s="2" t="n">
        <v>1</v>
      </c>
      <c r="Y545" s="5" t="n">
        <v>-1</v>
      </c>
      <c r="Z545" s="7" t="n">
        <v>100</v>
      </c>
      <c r="AA545" s="7">
        <f>Y545*Z545</f>
        <v/>
      </c>
      <c r="AB545" s="6">
        <f>IF(Z545=0,0,AA545/Z545)</f>
        <v/>
      </c>
      <c r="AC545" s="6" t="n"/>
      <c r="AD545" s="2" t="inlineStr">
        <is>
          <t>Loss</t>
        </is>
      </c>
      <c r="AE545" s="6">
        <f>IF((COUNTIF($AD$2:AD545,"Win")+COUNTIF($AD$2:AD545,"Loss"))=0,0,COUNTIF($AD$2:AD545,"Win")/(COUNTIF($AD$2:AD545,"Win")+COUNTIF($AD$2:AD545,"Loss")))</f>
        <v/>
      </c>
      <c r="AF545" s="6">
        <f>SUM($Y$2:Y545)/SUM($X$2:X545)</f>
        <v/>
      </c>
      <c r="AG545" s="5">
        <f>SUM($Y$2:Y545)</f>
        <v/>
      </c>
      <c r="AH545" s="7">
        <f>10000.0+SUM($AA$2:AA545)</f>
        <v/>
      </c>
      <c r="AI545" s="2" t="n">
        <v>2026</v>
      </c>
      <c r="AJ545" s="2" t="inlineStr">
        <is>
          <t>2026-04</t>
        </is>
      </c>
      <c r="AK545" s="2" t="inlineStr">
        <is>
          <t>&lt;= -150</t>
        </is>
      </c>
      <c r="AL545" s="2" t="inlineStr">
        <is>
          <t>2026 Frozen Test</t>
        </is>
      </c>
      <c r="AM545" s="6" t="n">
        <v>0.4515465897381373</v>
      </c>
    </row>
    <row r="546">
      <c r="A546" s="2" t="inlineStr">
        <is>
          <t>KPROP-00545</t>
        </is>
      </c>
      <c r="B546" s="3" t="n">
        <v>46122.80252314815</v>
      </c>
      <c r="C546" s="3" t="n">
        <v>46122</v>
      </c>
      <c r="D546" s="2" t="inlineStr">
        <is>
          <t>Landen Roupp</t>
        </is>
      </c>
      <c r="E546" s="2" t="n">
        <v>137</v>
      </c>
      <c r="F546" s="2" t="n">
        <v>110</v>
      </c>
      <c r="G546" s="2" t="inlineStr">
        <is>
          <t>Away</t>
        </is>
      </c>
      <c r="H546" s="2" t="inlineStr">
        <is>
          <t>betonlineag</t>
        </is>
      </c>
      <c r="I546" s="4" t="n"/>
      <c r="J546" s="4" t="n"/>
      <c r="K546" s="4" t="n">
        <v>110</v>
      </c>
      <c r="L546" s="4" t="n">
        <v>110</v>
      </c>
      <c r="M546" s="5" t="n">
        <v>5.5</v>
      </c>
      <c r="N546" s="5" t="n">
        <v>4.998019042633723</v>
      </c>
      <c r="O546" s="5" t="n">
        <v>5.5</v>
      </c>
      <c r="P546" s="5" t="n">
        <v>0.5019809573662775</v>
      </c>
      <c r="Q546" s="6" t="n">
        <v>0.2942473211491662</v>
      </c>
      <c r="R546" s="6" t="n">
        <v>0.6163082481662696</v>
      </c>
      <c r="S546" s="6" t="n">
        <v>0.4615384615384616</v>
      </c>
      <c r="T546" s="2" t="inlineStr">
        <is>
          <t>Under</t>
        </is>
      </c>
      <c r="U546" s="4" t="n">
        <v>110</v>
      </c>
      <c r="V546" s="2" t="n">
        <v>2.1</v>
      </c>
      <c r="W546" s="4" t="n">
        <v>110</v>
      </c>
      <c r="X546" s="2" t="n">
        <v>1</v>
      </c>
      <c r="Y546" s="5" t="n">
        <v>1.1</v>
      </c>
      <c r="Z546" s="7" t="n">
        <v>100</v>
      </c>
      <c r="AA546" s="7">
        <f>Y546*Z546</f>
        <v/>
      </c>
      <c r="AB546" s="6">
        <f>IF(Z546=0,0,AA546/Z546)</f>
        <v/>
      </c>
      <c r="AC546" s="6" t="n"/>
      <c r="AD546" s="2" t="inlineStr">
        <is>
          <t>Win</t>
        </is>
      </c>
      <c r="AE546" s="6">
        <f>IF((COUNTIF($AD$2:AD546,"Win")+COUNTIF($AD$2:AD546,"Loss"))=0,0,COUNTIF($AD$2:AD546,"Win")/(COUNTIF($AD$2:AD546,"Win")+COUNTIF($AD$2:AD546,"Loss")))</f>
        <v/>
      </c>
      <c r="AF546" s="6">
        <f>SUM($Y$2:Y546)/SUM($X$2:X546)</f>
        <v/>
      </c>
      <c r="AG546" s="5">
        <f>SUM($Y$2:Y546)</f>
        <v/>
      </c>
      <c r="AH546" s="7">
        <f>10000.0+SUM($AA$2:AA546)</f>
        <v/>
      </c>
      <c r="AI546" s="2" t="n">
        <v>2026</v>
      </c>
      <c r="AJ546" s="2" t="inlineStr">
        <is>
          <t>2026-04</t>
        </is>
      </c>
      <c r="AK546" s="2" t="inlineStr">
        <is>
          <t>+100 to +120</t>
        </is>
      </c>
      <c r="AL546" s="2" t="inlineStr">
        <is>
          <t>2026 Frozen Test</t>
        </is>
      </c>
      <c r="AM546" s="6" t="n">
        <v>0.2674975646810602</v>
      </c>
    </row>
    <row r="547">
      <c r="A547" s="2" t="inlineStr">
        <is>
          <t>KPROP-00546</t>
        </is>
      </c>
      <c r="B547" s="3" t="n">
        <v>46122.77821759259</v>
      </c>
      <c r="C547" s="3" t="n">
        <v>46122</v>
      </c>
      <c r="D547" s="2" t="inlineStr">
        <is>
          <t>Michael Soroka</t>
        </is>
      </c>
      <c r="E547" s="2" t="n">
        <v>109</v>
      </c>
      <c r="F547" s="2" t="n">
        <v>143</v>
      </c>
      <c r="G547" s="2" t="inlineStr">
        <is>
          <t>Away</t>
        </is>
      </c>
      <c r="H547" s="2" t="inlineStr">
        <is>
          <t>betmgm</t>
        </is>
      </c>
      <c r="I547" s="4" t="n"/>
      <c r="J547" s="4" t="n"/>
      <c r="K547" s="4" t="n">
        <v>-145</v>
      </c>
      <c r="L547" s="4" t="n">
        <v>-145</v>
      </c>
      <c r="M547" s="5" t="n">
        <v>5.5</v>
      </c>
      <c r="N547" s="5" t="n">
        <v>4.820569078354389</v>
      </c>
      <c r="O547" s="5" t="n">
        <v>5.5</v>
      </c>
      <c r="P547" s="5" t="n">
        <v>0.6794309216456114</v>
      </c>
      <c r="Q547" s="6" t="n">
        <v>0.09390058899808112</v>
      </c>
      <c r="R547" s="6" t="n">
        <v>0.6474105526723337</v>
      </c>
      <c r="S547" s="6" t="n">
        <v>0.5764909248055315</v>
      </c>
      <c r="T547" s="2" t="inlineStr">
        <is>
          <t>Under</t>
        </is>
      </c>
      <c r="U547" s="4" t="n">
        <v>-145</v>
      </c>
      <c r="V547" s="2" t="n">
        <v>1.689655172413793</v>
      </c>
      <c r="W547" s="4" t="n">
        <v>-145</v>
      </c>
      <c r="X547" s="2" t="n">
        <v>1</v>
      </c>
      <c r="Y547" s="5" t="n">
        <v>-1</v>
      </c>
      <c r="Z547" s="7" t="n">
        <v>100</v>
      </c>
      <c r="AA547" s="7">
        <f>Y547*Z547</f>
        <v/>
      </c>
      <c r="AB547" s="6">
        <f>IF(Z547=0,0,AA547/Z547)</f>
        <v/>
      </c>
      <c r="AC547" s="6" t="n"/>
      <c r="AD547" s="2" t="inlineStr">
        <is>
          <t>Loss</t>
        </is>
      </c>
      <c r="AE547" s="6">
        <f>IF((COUNTIF($AD$2:AD547,"Win")+COUNTIF($AD$2:AD547,"Loss"))=0,0,COUNTIF($AD$2:AD547,"Win")/(COUNTIF($AD$2:AD547,"Win")+COUNTIF($AD$2:AD547,"Loss")))</f>
        <v/>
      </c>
      <c r="AF547" s="6">
        <f>SUM($Y$2:Y547)/SUM($X$2:X547)</f>
        <v/>
      </c>
      <c r="AG547" s="5">
        <f>SUM($Y$2:Y547)</f>
        <v/>
      </c>
      <c r="AH547" s="7">
        <f>10000.0+SUM($AA$2:AA547)</f>
        <v/>
      </c>
      <c r="AI547" s="2" t="n">
        <v>2026</v>
      </c>
      <c r="AJ547" s="2" t="inlineStr">
        <is>
          <t>2026-04</t>
        </is>
      </c>
      <c r="AK547" s="2" t="inlineStr">
        <is>
          <t>-149 to -120</t>
        </is>
      </c>
      <c r="AL547" s="2" t="inlineStr">
        <is>
          <t>2026 Frozen Test</t>
        </is>
      </c>
      <c r="AM547" s="6" t="n">
        <v>0.1361558540472176</v>
      </c>
    </row>
    <row r="548">
      <c r="A548" s="2" t="inlineStr">
        <is>
          <t>KPROP-00547</t>
        </is>
      </c>
      <c r="B548" s="3" t="n">
        <v>46122.79557870371</v>
      </c>
      <c r="C548" s="3" t="n">
        <v>46122</v>
      </c>
      <c r="D548" s="2" t="inlineStr">
        <is>
          <t>Patrick Corbin</t>
        </is>
      </c>
      <c r="E548" s="2" t="n">
        <v>141</v>
      </c>
      <c r="F548" s="2" t="n">
        <v>142</v>
      </c>
      <c r="G548" s="2" t="inlineStr">
        <is>
          <t>Home</t>
        </is>
      </c>
      <c r="H548" s="2" t="inlineStr">
        <is>
          <t>betmgm</t>
        </is>
      </c>
      <c r="I548" s="4" t="n"/>
      <c r="J548" s="4" t="n"/>
      <c r="K548" s="4" t="n">
        <v>-125</v>
      </c>
      <c r="L548" s="4" t="n">
        <v>-125</v>
      </c>
      <c r="M548" s="5" t="n">
        <v>4.5</v>
      </c>
      <c r="N548" s="5" t="n">
        <v>4.049995526647294</v>
      </c>
      <c r="O548" s="5" t="n">
        <v>4.5</v>
      </c>
      <c r="P548" s="5" t="n">
        <v>0.4500044733527062</v>
      </c>
      <c r="Q548" s="6" t="n">
        <v>0.1143268626359973</v>
      </c>
      <c r="R548" s="6" t="n">
        <v>0.6190704792422207</v>
      </c>
      <c r="S548" s="6" t="n">
        <v>0.5544554455445545</v>
      </c>
      <c r="T548" s="2" t="inlineStr">
        <is>
          <t>Under</t>
        </is>
      </c>
      <c r="U548" s="4" t="n">
        <v>-125</v>
      </c>
      <c r="V548" s="2" t="n">
        <v>1.8</v>
      </c>
      <c r="W548" s="4" t="n">
        <v>-125</v>
      </c>
      <c r="X548" s="2" t="n">
        <v>1</v>
      </c>
      <c r="Y548" s="5" t="n">
        <v>0.8</v>
      </c>
      <c r="Z548" s="7" t="n">
        <v>100</v>
      </c>
      <c r="AA548" s="7">
        <f>Y548*Z548</f>
        <v/>
      </c>
      <c r="AB548" s="6">
        <f>IF(Z548=0,0,AA548/Z548)</f>
        <v/>
      </c>
      <c r="AC548" s="6" t="n"/>
      <c r="AD548" s="2" t="inlineStr">
        <is>
          <t>Win</t>
        </is>
      </c>
      <c r="AE548" s="6">
        <f>IF((COUNTIF($AD$2:AD548,"Win")+COUNTIF($AD$2:AD548,"Loss"))=0,0,COUNTIF($AD$2:AD548,"Win")/(COUNTIF($AD$2:AD548,"Win")+COUNTIF($AD$2:AD548,"Loss")))</f>
        <v/>
      </c>
      <c r="AF548" s="6">
        <f>SUM($Y$2:Y548)/SUM($X$2:X548)</f>
        <v/>
      </c>
      <c r="AG548" s="5">
        <f>SUM($Y$2:Y548)</f>
        <v/>
      </c>
      <c r="AH548" s="7">
        <f>10000.0+SUM($AA$2:AA548)</f>
        <v/>
      </c>
      <c r="AI548" s="2" t="n">
        <v>2026</v>
      </c>
      <c r="AJ548" s="2" t="inlineStr">
        <is>
          <t>2026-04</t>
        </is>
      </c>
      <c r="AK548" s="2" t="inlineStr">
        <is>
          <t>-149 to -120</t>
        </is>
      </c>
      <c r="AL548" s="2" t="inlineStr">
        <is>
          <t>2026 Frozen Test</t>
        </is>
      </c>
      <c r="AM548" s="6" t="n">
        <v>0.1429085782949966</v>
      </c>
    </row>
    <row r="549">
      <c r="A549" s="2" t="inlineStr">
        <is>
          <t>KPROP-00548</t>
        </is>
      </c>
      <c r="B549" s="3" t="n">
        <v>46122.80252314815</v>
      </c>
      <c r="C549" s="3" t="n">
        <v>46122</v>
      </c>
      <c r="D549" s="2" t="inlineStr">
        <is>
          <t>Shane Baz</t>
        </is>
      </c>
      <c r="E549" s="2" t="n">
        <v>110</v>
      </c>
      <c r="F549" s="2" t="n">
        <v>137</v>
      </c>
      <c r="G549" s="2" t="inlineStr">
        <is>
          <t>Home</t>
        </is>
      </c>
      <c r="H549" s="2" t="inlineStr">
        <is>
          <t>bovada</t>
        </is>
      </c>
      <c r="I549" s="4" t="n"/>
      <c r="J549" s="4" t="n"/>
      <c r="K549" s="4" t="n">
        <v>-125</v>
      </c>
      <c r="L549" s="4" t="n">
        <v>-125</v>
      </c>
      <c r="M549" s="5" t="n">
        <v>5.5</v>
      </c>
      <c r="N549" s="5" t="n">
        <v>4.816328831690644</v>
      </c>
      <c r="O549" s="5" t="n">
        <v>5.5</v>
      </c>
      <c r="P549" s="5" t="n">
        <v>0.6836711683093561</v>
      </c>
      <c r="Q549" s="6" t="n">
        <v>0.1666737229938277</v>
      </c>
      <c r="R549" s="6" t="n">
        <v>0.6481520683299042</v>
      </c>
      <c r="S549" s="6" t="n">
        <v>0.5324675324675325</v>
      </c>
      <c r="T549" s="2" t="inlineStr">
        <is>
          <t>Under</t>
        </is>
      </c>
      <c r="U549" s="4" t="n">
        <v>-125</v>
      </c>
      <c r="V549" s="2" t="n">
        <v>1.8</v>
      </c>
      <c r="W549" s="4" t="n">
        <v>-125</v>
      </c>
      <c r="X549" s="2" t="n">
        <v>1</v>
      </c>
      <c r="Y549" s="5" t="n">
        <v>0.8</v>
      </c>
      <c r="Z549" s="7" t="n">
        <v>100</v>
      </c>
      <c r="AA549" s="7">
        <f>Y549*Z549</f>
        <v/>
      </c>
      <c r="AB549" s="6">
        <f>IF(Z549=0,0,AA549/Z549)</f>
        <v/>
      </c>
      <c r="AC549" s="6" t="n"/>
      <c r="AD549" s="2" t="inlineStr">
        <is>
          <t>Win</t>
        </is>
      </c>
      <c r="AE549" s="6">
        <f>IF((COUNTIF($AD$2:AD549,"Win")+COUNTIF($AD$2:AD549,"Loss"))=0,0,COUNTIF($AD$2:AD549,"Win")/(COUNTIF($AD$2:AD549,"Win")+COUNTIF($AD$2:AD549,"Loss")))</f>
        <v/>
      </c>
      <c r="AF549" s="6">
        <f>SUM($Y$2:Y549)/SUM($X$2:X549)</f>
        <v/>
      </c>
      <c r="AG549" s="5">
        <f>SUM($Y$2:Y549)</f>
        <v/>
      </c>
      <c r="AH549" s="7">
        <f>10000.0+SUM($AA$2:AA549)</f>
        <v/>
      </c>
      <c r="AI549" s="2" t="n">
        <v>2026</v>
      </c>
      <c r="AJ549" s="2" t="inlineStr">
        <is>
          <t>2026-04</t>
        </is>
      </c>
      <c r="AK549" s="2" t="inlineStr">
        <is>
          <t>-149 to -120</t>
        </is>
      </c>
      <c r="AL549" s="2" t="inlineStr">
        <is>
          <t>2026 Frozen Test</t>
        </is>
      </c>
      <c r="AM549" s="6" t="n">
        <v>0.2083421537422846</v>
      </c>
    </row>
    <row r="550">
      <c r="A550" s="2" t="inlineStr">
        <is>
          <t>KPROP-00549</t>
        </is>
      </c>
      <c r="B550" s="3" t="n">
        <v>46122.59766203703</v>
      </c>
      <c r="C550" s="3" t="n">
        <v>46122</v>
      </c>
      <c r="D550" s="2" t="inlineStr">
        <is>
          <t>Shota Imanaga</t>
        </is>
      </c>
      <c r="E550" s="2" t="n">
        <v>112</v>
      </c>
      <c r="F550" s="2" t="n">
        <v>134</v>
      </c>
      <c r="G550" s="2" t="inlineStr">
        <is>
          <t>Home</t>
        </is>
      </c>
      <c r="H550" s="2" t="inlineStr">
        <is>
          <t>betonlineag</t>
        </is>
      </c>
      <c r="I550" s="4" t="n"/>
      <c r="J550" s="4" t="n"/>
      <c r="K550" s="4" t="n">
        <v>113</v>
      </c>
      <c r="L550" s="4" t="n">
        <v>113</v>
      </c>
      <c r="M550" s="5" t="n">
        <v>5.5</v>
      </c>
      <c r="N550" s="5" t="n">
        <v>5.202561260249063</v>
      </c>
      <c r="O550" s="5" t="n">
        <v>5.5</v>
      </c>
      <c r="P550" s="5" t="n">
        <v>0.2974387397509366</v>
      </c>
      <c r="Q550" s="6" t="n">
        <v>0.2363912099743957</v>
      </c>
      <c r="R550" s="6" t="n">
        <v>0.5804653567954909</v>
      </c>
      <c r="S550" s="6" t="n">
        <v>0.449717730360731</v>
      </c>
      <c r="T550" s="2" t="inlineStr">
        <is>
          <t>Under</t>
        </is>
      </c>
      <c r="U550" s="4" t="n">
        <v>113</v>
      </c>
      <c r="V550" s="2" t="n">
        <v>2.13</v>
      </c>
      <c r="W550" s="4" t="n">
        <v>113</v>
      </c>
      <c r="X550" s="2" t="n">
        <v>1</v>
      </c>
      <c r="Y550" s="5" t="n">
        <v>-1</v>
      </c>
      <c r="Z550" s="7" t="n">
        <v>100</v>
      </c>
      <c r="AA550" s="7">
        <f>Y550*Z550</f>
        <v/>
      </c>
      <c r="AB550" s="6">
        <f>IF(Z550=0,0,AA550/Z550)</f>
        <v/>
      </c>
      <c r="AC550" s="6" t="n"/>
      <c r="AD550" s="2" t="inlineStr">
        <is>
          <t>Loss</t>
        </is>
      </c>
      <c r="AE550" s="6">
        <f>IF((COUNTIF($AD$2:AD550,"Win")+COUNTIF($AD$2:AD550,"Loss"))=0,0,COUNTIF($AD$2:AD550,"Win")/(COUNTIF($AD$2:AD550,"Win")+COUNTIF($AD$2:AD550,"Loss")))</f>
        <v/>
      </c>
      <c r="AF550" s="6">
        <f>SUM($Y$2:Y550)/SUM($X$2:X550)</f>
        <v/>
      </c>
      <c r="AG550" s="5">
        <f>SUM($Y$2:Y550)</f>
        <v/>
      </c>
      <c r="AH550" s="7">
        <f>10000.0+SUM($AA$2:AA550)</f>
        <v/>
      </c>
      <c r="AI550" s="2" t="n">
        <v>2026</v>
      </c>
      <c r="AJ550" s="2" t="inlineStr">
        <is>
          <t>2026-04</t>
        </is>
      </c>
      <c r="AK550" s="2" t="inlineStr">
        <is>
          <t>+100 to +120</t>
        </is>
      </c>
      <c r="AL550" s="2" t="inlineStr">
        <is>
          <t>2026 Frozen Test</t>
        </is>
      </c>
      <c r="AM550" s="6" t="n">
        <v>0.2091957610392882</v>
      </c>
    </row>
    <row r="551">
      <c r="A551" s="2" t="inlineStr">
        <is>
          <t>KPROP-00550</t>
        </is>
      </c>
      <c r="B551" s="3" t="n">
        <v>46122.80252314815</v>
      </c>
      <c r="C551" s="3" t="n">
        <v>46122</v>
      </c>
      <c r="D551" s="2" t="inlineStr">
        <is>
          <t>Slade Cecconi</t>
        </is>
      </c>
      <c r="E551" s="2" t="n">
        <v>114</v>
      </c>
      <c r="F551" s="2" t="n">
        <v>144</v>
      </c>
      <c r="G551" s="2" t="inlineStr">
        <is>
          <t>Away</t>
        </is>
      </c>
      <c r="H551" s="2" t="inlineStr">
        <is>
          <t>draftkings</t>
        </is>
      </c>
      <c r="I551" s="4" t="n"/>
      <c r="J551" s="4" t="n"/>
      <c r="K551" s="4" t="n">
        <v>-136</v>
      </c>
      <c r="L551" s="4" t="n">
        <v>-136</v>
      </c>
      <c r="M551" s="5" t="n">
        <v>4.5</v>
      </c>
      <c r="N551" s="5" t="n">
        <v>4.055237616558765</v>
      </c>
      <c r="O551" s="5" t="n">
        <v>4.5</v>
      </c>
      <c r="P551" s="5" t="n">
        <v>0.4447623834412351</v>
      </c>
      <c r="Q551" s="6" t="n">
        <v>0.07249280362526211</v>
      </c>
      <c r="R551" s="6" t="n">
        <v>0.6180467003942188</v>
      </c>
      <c r="S551" s="6" t="n">
        <v>0.5533686601059804</v>
      </c>
      <c r="T551" s="2" t="inlineStr">
        <is>
          <t>Under</t>
        </is>
      </c>
      <c r="U551" s="4" t="n">
        <v>-136</v>
      </c>
      <c r="V551" s="2" t="n">
        <v>1.735294117647059</v>
      </c>
      <c r="W551" s="4" t="n">
        <v>-136</v>
      </c>
      <c r="X551" s="2" t="n">
        <v>1</v>
      </c>
      <c r="Y551" s="5" t="n">
        <v>0.7352941176470589</v>
      </c>
      <c r="Z551" s="7" t="n">
        <v>100</v>
      </c>
      <c r="AA551" s="7">
        <f>Y551*Z551</f>
        <v/>
      </c>
      <c r="AB551" s="6">
        <f>IF(Z551=0,0,AA551/Z551)</f>
        <v/>
      </c>
      <c r="AC551" s="6" t="n"/>
      <c r="AD551" s="2" t="inlineStr">
        <is>
          <t>Win</t>
        </is>
      </c>
      <c r="AE551" s="6">
        <f>IF((COUNTIF($AD$2:AD551,"Win")+COUNTIF($AD$2:AD551,"Loss"))=0,0,COUNTIF($AD$2:AD551,"Win")/(COUNTIF($AD$2:AD551,"Win")+COUNTIF($AD$2:AD551,"Loss")))</f>
        <v/>
      </c>
      <c r="AF551" s="6">
        <f>SUM($Y$2:Y551)/SUM($X$2:X551)</f>
        <v/>
      </c>
      <c r="AG551" s="5">
        <f>SUM($Y$2:Y551)</f>
        <v/>
      </c>
      <c r="AH551" s="7">
        <f>10000.0+SUM($AA$2:AA551)</f>
        <v/>
      </c>
      <c r="AI551" s="2" t="n">
        <v>2026</v>
      </c>
      <c r="AJ551" s="2" t="inlineStr">
        <is>
          <t>2026-04</t>
        </is>
      </c>
      <c r="AK551" s="2" t="inlineStr">
        <is>
          <t>-149 to -120</t>
        </is>
      </c>
      <c r="AL551" s="2" t="inlineStr">
        <is>
          <t>2026 Frozen Test</t>
        </is>
      </c>
      <c r="AM551" s="6" t="n">
        <v>0.09859021293035647</v>
      </c>
    </row>
    <row r="552">
      <c r="A552" s="2" t="inlineStr">
        <is>
          <t>KPROP-00551</t>
        </is>
      </c>
      <c r="B552" s="3" t="n">
        <v>46122.79905092593</v>
      </c>
      <c r="C552" s="3" t="n">
        <v>46122</v>
      </c>
      <c r="D552" s="2" t="inlineStr">
        <is>
          <t>Steven Matz</t>
        </is>
      </c>
      <c r="E552" s="2" t="n">
        <v>139</v>
      </c>
      <c r="F552" s="2" t="n">
        <v>147</v>
      </c>
      <c r="G552" s="2" t="inlineStr">
        <is>
          <t>Home</t>
        </is>
      </c>
      <c r="H552" s="2" t="inlineStr">
        <is>
          <t>betmgm</t>
        </is>
      </c>
      <c r="I552" s="4" t="n"/>
      <c r="J552" s="4" t="n"/>
      <c r="K552" s="4" t="n">
        <v>-120</v>
      </c>
      <c r="L552" s="4" t="n">
        <v>-120</v>
      </c>
      <c r="M552" s="5" t="n">
        <v>4.5</v>
      </c>
      <c r="N552" s="5" t="n">
        <v>4.211045630863996</v>
      </c>
      <c r="O552" s="5" t="n">
        <v>4.5</v>
      </c>
      <c r="P552" s="5" t="n">
        <v>0.2889543691360039</v>
      </c>
      <c r="Q552" s="6" t="n">
        <v>0.0774134506498379</v>
      </c>
      <c r="R552" s="6" t="n">
        <v>0.5876800639908206</v>
      </c>
      <c r="S552" s="6" t="n">
        <v>0.5278969957081545</v>
      </c>
      <c r="T552" s="2" t="inlineStr">
        <is>
          <t>Under</t>
        </is>
      </c>
      <c r="U552" s="4" t="n">
        <v>-120</v>
      </c>
      <c r="V552" s="2" t="n">
        <v>1.833333333333333</v>
      </c>
      <c r="W552" s="4" t="n">
        <v>-120</v>
      </c>
      <c r="X552" s="2" t="n">
        <v>1</v>
      </c>
      <c r="Y552" s="5" t="n">
        <v>-1</v>
      </c>
      <c r="Z552" s="7" t="n">
        <v>100</v>
      </c>
      <c r="AA552" s="7">
        <f>Y552*Z552</f>
        <v/>
      </c>
      <c r="AB552" s="6">
        <f>IF(Z552=0,0,AA552/Z552)</f>
        <v/>
      </c>
      <c r="AC552" s="6" t="n"/>
      <c r="AD552" s="2" t="inlineStr">
        <is>
          <t>Loss</t>
        </is>
      </c>
      <c r="AE552" s="6">
        <f>IF((COUNTIF($AD$2:AD552,"Win")+COUNTIF($AD$2:AD552,"Loss"))=0,0,COUNTIF($AD$2:AD552,"Win")/(COUNTIF($AD$2:AD552,"Win")+COUNTIF($AD$2:AD552,"Loss")))</f>
        <v/>
      </c>
      <c r="AF552" s="6">
        <f>SUM($Y$2:Y552)/SUM($X$2:X552)</f>
        <v/>
      </c>
      <c r="AG552" s="5">
        <f>SUM($Y$2:Y552)</f>
        <v/>
      </c>
      <c r="AH552" s="7">
        <f>10000.0+SUM($AA$2:AA552)</f>
        <v/>
      </c>
      <c r="AI552" s="2" t="n">
        <v>2026</v>
      </c>
      <c r="AJ552" s="2" t="inlineStr">
        <is>
          <t>2026-04</t>
        </is>
      </c>
      <c r="AK552" s="2" t="inlineStr">
        <is>
          <t>-149 to -120</t>
        </is>
      </c>
      <c r="AL552" s="2" t="inlineStr">
        <is>
          <t>2026 Frozen Test</t>
        </is>
      </c>
      <c r="AM552" s="6" t="n">
        <v>0.09289614077980546</v>
      </c>
    </row>
    <row r="553">
      <c r="A553" s="2" t="inlineStr">
        <is>
          <t>KPROP-00552</t>
        </is>
      </c>
      <c r="B553" s="3" t="n">
        <v>46123.80252314815</v>
      </c>
      <c r="C553" s="3" t="n">
        <v>46123</v>
      </c>
      <c r="D553" s="2" t="inlineStr">
        <is>
          <t>Chris Bassitt</t>
        </is>
      </c>
      <c r="E553" s="2" t="n">
        <v>110</v>
      </c>
      <c r="F553" s="2" t="n">
        <v>137</v>
      </c>
      <c r="G553" s="2" t="inlineStr">
        <is>
          <t>Home</t>
        </is>
      </c>
      <c r="H553" s="2" t="inlineStr">
        <is>
          <t>betonlineag</t>
        </is>
      </c>
      <c r="I553" s="4" t="n"/>
      <c r="J553" s="4" t="n"/>
      <c r="K553" s="4" t="n">
        <v>110</v>
      </c>
      <c r="L553" s="4" t="n">
        <v>110</v>
      </c>
      <c r="M553" s="5" t="n">
        <v>4.5</v>
      </c>
      <c r="N553" s="5" t="n">
        <v>3.989744798294767</v>
      </c>
      <c r="O553" s="5" t="n">
        <v>4.5</v>
      </c>
      <c r="P553" s="5" t="n">
        <v>0.5102552017052329</v>
      </c>
      <c r="Q553" s="6" t="n">
        <v>0.3247649502111625</v>
      </c>
      <c r="R553" s="6" t="n">
        <v>0.6308404524815059</v>
      </c>
      <c r="S553" s="6" t="n">
        <v>0.4709748083242059</v>
      </c>
      <c r="T553" s="2" t="inlineStr">
        <is>
          <t>Under</t>
        </is>
      </c>
      <c r="U553" s="4" t="n">
        <v>110</v>
      </c>
      <c r="V553" s="2" t="n">
        <v>2.1</v>
      </c>
      <c r="W553" s="4" t="n">
        <v>110</v>
      </c>
      <c r="X553" s="2" t="n">
        <v>1</v>
      </c>
      <c r="Y553" s="5" t="n">
        <v>1.1</v>
      </c>
      <c r="Z553" s="7" t="n">
        <v>100</v>
      </c>
      <c r="AA553" s="7">
        <f>Y553*Z553</f>
        <v/>
      </c>
      <c r="AB553" s="6">
        <f>IF(Z553=0,0,AA553/Z553)</f>
        <v/>
      </c>
      <c r="AC553" s="6" t="n"/>
      <c r="AD553" s="2" t="inlineStr">
        <is>
          <t>Win</t>
        </is>
      </c>
      <c r="AE553" s="6">
        <f>IF((COUNTIF($AD$2:AD553,"Win")+COUNTIF($AD$2:AD553,"Loss"))=0,0,COUNTIF($AD$2:AD553,"Win")/(COUNTIF($AD$2:AD553,"Win")+COUNTIF($AD$2:AD553,"Loss")))</f>
        <v/>
      </c>
      <c r="AF553" s="6">
        <f>SUM($Y$2:Y553)/SUM($X$2:X553)</f>
        <v/>
      </c>
      <c r="AG553" s="5">
        <f>SUM($Y$2:Y553)</f>
        <v/>
      </c>
      <c r="AH553" s="7">
        <f>10000.0+SUM($AA$2:AA553)</f>
        <v/>
      </c>
      <c r="AI553" s="2" t="n">
        <v>2026</v>
      </c>
      <c r="AJ553" s="2" t="inlineStr">
        <is>
          <t>2026-04</t>
        </is>
      </c>
      <c r="AK553" s="2" t="inlineStr">
        <is>
          <t>+100 to +120</t>
        </is>
      </c>
      <c r="AL553" s="2" t="inlineStr">
        <is>
          <t>2026 Frozen Test</t>
        </is>
      </c>
      <c r="AM553" s="6" t="n">
        <v>0.2952408638283295</v>
      </c>
    </row>
    <row r="554">
      <c r="A554" s="2" t="inlineStr">
        <is>
          <t>KPROP-00553</t>
        </is>
      </c>
      <c r="B554" s="3" t="n">
        <v>46123.59765046297</v>
      </c>
      <c r="C554" s="3" t="n">
        <v>46123</v>
      </c>
      <c r="D554" s="2" t="inlineStr">
        <is>
          <t>Edward Cabrera</t>
        </is>
      </c>
      <c r="E554" s="2" t="n">
        <v>112</v>
      </c>
      <c r="F554" s="2" t="n">
        <v>134</v>
      </c>
      <c r="G554" s="2" t="inlineStr">
        <is>
          <t>Home</t>
        </is>
      </c>
      <c r="H554" s="2" t="inlineStr">
        <is>
          <t>betrivers</t>
        </is>
      </c>
      <c r="I554" s="4" t="n"/>
      <c r="J554" s="4" t="n"/>
      <c r="K554" s="4" t="n">
        <v>138</v>
      </c>
      <c r="L554" s="4" t="n">
        <v>138</v>
      </c>
      <c r="M554" s="5" t="n">
        <v>5.5</v>
      </c>
      <c r="N554" s="5" t="n">
        <v>5.654742232739626</v>
      </c>
      <c r="O554" s="5" t="n">
        <v>5.5</v>
      </c>
      <c r="P554" s="5" t="n">
        <v>-0.1547422327396255</v>
      </c>
      <c r="Q554" s="6" t="n">
        <v>0.1961844501362564</v>
      </c>
      <c r="R554" s="6" t="n">
        <v>0.5025985084606119</v>
      </c>
      <c r="S554" s="6" t="n">
        <v>0.3924905308228578</v>
      </c>
      <c r="T554" s="2" t="inlineStr">
        <is>
          <t>Under</t>
        </is>
      </c>
      <c r="U554" s="4" t="n">
        <v>138</v>
      </c>
      <c r="V554" s="2" t="n">
        <v>2.38</v>
      </c>
      <c r="W554" s="4" t="n">
        <v>138</v>
      </c>
      <c r="X554" s="2" t="n">
        <v>1</v>
      </c>
      <c r="Y554" s="5" t="n">
        <v>1.38</v>
      </c>
      <c r="Z554" s="7" t="n">
        <v>100</v>
      </c>
      <c r="AA554" s="7">
        <f>Y554*Z554</f>
        <v/>
      </c>
      <c r="AB554" s="6">
        <f>IF(Z554=0,0,AA554/Z554)</f>
        <v/>
      </c>
      <c r="AC554" s="6" t="n"/>
      <c r="AD554" s="2" t="inlineStr">
        <is>
          <t>Win</t>
        </is>
      </c>
      <c r="AE554" s="6">
        <f>IF((COUNTIF($AD$2:AD554,"Win")+COUNTIF($AD$2:AD554,"Loss"))=0,0,COUNTIF($AD$2:AD554,"Win")/(COUNTIF($AD$2:AD554,"Win")+COUNTIF($AD$2:AD554,"Loss")))</f>
        <v/>
      </c>
      <c r="AF554" s="6">
        <f>SUM($Y$2:Y554)/SUM($X$2:X554)</f>
        <v/>
      </c>
      <c r="AG554" s="5">
        <f>SUM($Y$2:Y554)</f>
        <v/>
      </c>
      <c r="AH554" s="7">
        <f>10000.0+SUM($AA$2:AA554)</f>
        <v/>
      </c>
      <c r="AI554" s="2" t="n">
        <v>2026</v>
      </c>
      <c r="AJ554" s="2" t="inlineStr">
        <is>
          <t>2026-04</t>
        </is>
      </c>
      <c r="AK554" s="2" t="inlineStr">
        <is>
          <t>+121 to +150</t>
        </is>
      </c>
      <c r="AL554" s="2" t="inlineStr">
        <is>
          <t>2026 Frozen Test</t>
        </is>
      </c>
      <c r="AM554" s="6" t="n">
        <v>0.1421626450262728</v>
      </c>
    </row>
    <row r="555">
      <c r="A555" s="2" t="inlineStr">
        <is>
          <t>KPROP-00554</t>
        </is>
      </c>
      <c r="B555" s="3" t="n">
        <v>46123.59765046297</v>
      </c>
      <c r="C555" s="3" t="n">
        <v>46123</v>
      </c>
      <c r="D555" s="2" t="inlineStr">
        <is>
          <t>Edward Cabrera</t>
        </is>
      </c>
      <c r="E555" s="2" t="n">
        <v>112</v>
      </c>
      <c r="F555" s="2" t="n">
        <v>134</v>
      </c>
      <c r="G555" s="2" t="inlineStr">
        <is>
          <t>Home</t>
        </is>
      </c>
      <c r="H555" s="2" t="inlineStr">
        <is>
          <t>fanatics</t>
        </is>
      </c>
      <c r="I555" s="4" t="n"/>
      <c r="J555" s="4" t="n"/>
      <c r="K555" s="4" t="n">
        <v>-145</v>
      </c>
      <c r="L555" s="4" t="n">
        <v>-145</v>
      </c>
      <c r="M555" s="5" t="n">
        <v>6.5</v>
      </c>
      <c r="N555" s="5" t="n">
        <v>5.654742232739626</v>
      </c>
      <c r="O555" s="5" t="n">
        <v>6.5</v>
      </c>
      <c r="P555" s="5" t="n">
        <v>0.8452577672603745</v>
      </c>
      <c r="Q555" s="6" t="n">
        <v>0.1178262749519479</v>
      </c>
      <c r="R555" s="6" t="n">
        <v>0.6615706525225814</v>
      </c>
      <c r="S555" s="6" t="n">
        <v>0.5610892153350053</v>
      </c>
      <c r="T555" s="2" t="inlineStr">
        <is>
          <t>Under</t>
        </is>
      </c>
      <c r="U555" s="4" t="n">
        <v>-145</v>
      </c>
      <c r="V555" s="2" t="n">
        <v>1.689655172413793</v>
      </c>
      <c r="W555" s="4" t="n">
        <v>-145</v>
      </c>
      <c r="X555" s="2" t="n">
        <v>1</v>
      </c>
      <c r="Y555" s="5" t="n">
        <v>0.6896551724137931</v>
      </c>
      <c r="Z555" s="7" t="n">
        <v>100</v>
      </c>
      <c r="AA555" s="7">
        <f>Y555*Z555</f>
        <v/>
      </c>
      <c r="AB555" s="6">
        <f>IF(Z555=0,0,AA555/Z555)</f>
        <v/>
      </c>
      <c r="AC555" s="6" t="n"/>
      <c r="AD555" s="2" t="inlineStr">
        <is>
          <t>Win</t>
        </is>
      </c>
      <c r="AE555" s="6">
        <f>IF((COUNTIF($AD$2:AD555,"Win")+COUNTIF($AD$2:AD555,"Loss"))=0,0,COUNTIF($AD$2:AD555,"Win")/(COUNTIF($AD$2:AD555,"Win")+COUNTIF($AD$2:AD555,"Loss")))</f>
        <v/>
      </c>
      <c r="AF555" s="6">
        <f>SUM($Y$2:Y555)/SUM($X$2:X555)</f>
        <v/>
      </c>
      <c r="AG555" s="5">
        <f>SUM($Y$2:Y555)</f>
        <v/>
      </c>
      <c r="AH555" s="7">
        <f>10000.0+SUM($AA$2:AA555)</f>
        <v/>
      </c>
      <c r="AI555" s="2" t="n">
        <v>2026</v>
      </c>
      <c r="AJ555" s="2" t="inlineStr">
        <is>
          <t>2026-04</t>
        </is>
      </c>
      <c r="AK555" s="2" t="inlineStr">
        <is>
          <t>-149 to -120</t>
        </is>
      </c>
      <c r="AL555" s="2" t="inlineStr">
        <is>
          <t>2026 Frozen Test</t>
        </is>
      </c>
      <c r="AM555" s="6" t="n">
        <v>0.1708480986803245</v>
      </c>
    </row>
    <row r="556">
      <c r="A556" s="2" t="inlineStr">
        <is>
          <t>KPROP-00555</t>
        </is>
      </c>
      <c r="B556" s="3" t="n">
        <v>46123.62892361111</v>
      </c>
      <c r="C556" s="3" t="n">
        <v>46123</v>
      </c>
      <c r="D556" s="2" t="inlineStr">
        <is>
          <t>Eric Lauer</t>
        </is>
      </c>
      <c r="E556" s="2" t="n">
        <v>141</v>
      </c>
      <c r="F556" s="2" t="n">
        <v>142</v>
      </c>
      <c r="G556" s="2" t="inlineStr">
        <is>
          <t>Home</t>
        </is>
      </c>
      <c r="H556" s="2" t="inlineStr">
        <is>
          <t>betmgm</t>
        </is>
      </c>
      <c r="I556" s="4" t="n"/>
      <c r="J556" s="4" t="n"/>
      <c r="K556" s="4" t="n">
        <v>-105</v>
      </c>
      <c r="L556" s="4" t="n">
        <v>-105</v>
      </c>
      <c r="M556" s="5" t="n">
        <v>4.5</v>
      </c>
      <c r="N556" s="5" t="n">
        <v>4.184577065458323</v>
      </c>
      <c r="O556" s="5" t="n">
        <v>4.5</v>
      </c>
      <c r="P556" s="5" t="n">
        <v>0.3154229345416768</v>
      </c>
      <c r="Q556" s="6" t="n">
        <v>0.1574235160085481</v>
      </c>
      <c r="R556" s="6" t="n">
        <v>0.5928266789312076</v>
      </c>
      <c r="S556" s="6" t="n">
        <v>0.5011698642957417</v>
      </c>
      <c r="T556" s="2" t="inlineStr">
        <is>
          <t>Under</t>
        </is>
      </c>
      <c r="U556" s="4" t="n">
        <v>-105</v>
      </c>
      <c r="V556" s="2" t="n">
        <v>1.952380952380952</v>
      </c>
      <c r="W556" s="4" t="n">
        <v>-105</v>
      </c>
      <c r="X556" s="2" t="n">
        <v>1</v>
      </c>
      <c r="Y556" s="5" t="n">
        <v>0.9523809523809523</v>
      </c>
      <c r="Z556" s="7" t="n">
        <v>100</v>
      </c>
      <c r="AA556" s="7">
        <f>Y556*Z556</f>
        <v/>
      </c>
      <c r="AB556" s="6">
        <f>IF(Z556=0,0,AA556/Z556)</f>
        <v/>
      </c>
      <c r="AC556" s="6" t="n"/>
      <c r="AD556" s="2" t="inlineStr">
        <is>
          <t>Win</t>
        </is>
      </c>
      <c r="AE556" s="6">
        <f>IF((COUNTIF($AD$2:AD556,"Win")+COUNTIF($AD$2:AD556,"Loss"))=0,0,COUNTIF($AD$2:AD556,"Win")/(COUNTIF($AD$2:AD556,"Win")+COUNTIF($AD$2:AD556,"Loss")))</f>
        <v/>
      </c>
      <c r="AF556" s="6">
        <f>SUM($Y$2:Y556)/SUM($X$2:X556)</f>
        <v/>
      </c>
      <c r="AG556" s="5">
        <f>SUM($Y$2:Y556)</f>
        <v/>
      </c>
      <c r="AH556" s="7">
        <f>10000.0+SUM($AA$2:AA556)</f>
        <v/>
      </c>
      <c r="AI556" s="2" t="n">
        <v>2026</v>
      </c>
      <c r="AJ556" s="2" t="inlineStr">
        <is>
          <t>2026-04</t>
        </is>
      </c>
      <c r="AK556" s="2" t="inlineStr">
        <is>
          <t>-119 to -101</t>
        </is>
      </c>
      <c r="AL556" s="2" t="inlineStr">
        <is>
          <t>2026 Frozen Test</t>
        </is>
      </c>
      <c r="AM556" s="6" t="n">
        <v>0.1652946918089755</v>
      </c>
    </row>
    <row r="557">
      <c r="A557" s="2" t="inlineStr">
        <is>
          <t>KPROP-00556</t>
        </is>
      </c>
      <c r="B557" s="3" t="n">
        <v>46123.67403935185</v>
      </c>
      <c r="C557" s="3" t="n">
        <v>46123</v>
      </c>
      <c r="D557" s="2" t="inlineStr">
        <is>
          <t>Kodai Senga</t>
        </is>
      </c>
      <c r="E557" s="2" t="n">
        <v>121</v>
      </c>
      <c r="F557" s="2" t="n">
        <v>133</v>
      </c>
      <c r="G557" s="2" t="inlineStr">
        <is>
          <t>Home</t>
        </is>
      </c>
      <c r="H557" s="2" t="inlineStr">
        <is>
          <t>betrivers</t>
        </is>
      </c>
      <c r="I557" s="4" t="n"/>
      <c r="J557" s="4" t="n"/>
      <c r="K557" s="4" t="n">
        <v>140</v>
      </c>
      <c r="L557" s="4" t="n">
        <v>140</v>
      </c>
      <c r="M557" s="5" t="n">
        <v>5.5</v>
      </c>
      <c r="N557" s="5" t="n">
        <v>5.261338047205609</v>
      </c>
      <c r="O557" s="5" t="n">
        <v>5.5</v>
      </c>
      <c r="P557" s="5" t="n">
        <v>0.2386619527943914</v>
      </c>
      <c r="Q557" s="6" t="n">
        <v>0.3684941685493243</v>
      </c>
      <c r="R557" s="6" t="n">
        <v>0.5702059035622185</v>
      </c>
      <c r="S557" s="6" t="n">
        <v>0.388739946380697</v>
      </c>
      <c r="T557" s="2" t="inlineStr">
        <is>
          <t>Under</t>
        </is>
      </c>
      <c r="U557" s="4" t="n">
        <v>140</v>
      </c>
      <c r="V557" s="2" t="n">
        <v>2.4</v>
      </c>
      <c r="W557" s="4" t="n">
        <v>140</v>
      </c>
      <c r="X557" s="2" t="n">
        <v>1</v>
      </c>
      <c r="Y557" s="5" t="n">
        <v>1.4</v>
      </c>
      <c r="Z557" s="7" t="n">
        <v>100</v>
      </c>
      <c r="AA557" s="7">
        <f>Y557*Z557</f>
        <v/>
      </c>
      <c r="AB557" s="6">
        <f>IF(Z557=0,0,AA557/Z557)</f>
        <v/>
      </c>
      <c r="AC557" s="6" t="n"/>
      <c r="AD557" s="2" t="inlineStr">
        <is>
          <t>Win</t>
        </is>
      </c>
      <c r="AE557" s="6">
        <f>IF((COUNTIF($AD$2:AD557,"Win")+COUNTIF($AD$2:AD557,"Loss"))=0,0,COUNTIF($AD$2:AD557,"Win")/(COUNTIF($AD$2:AD557,"Win")+COUNTIF($AD$2:AD557,"Loss")))</f>
        <v/>
      </c>
      <c r="AF557" s="6">
        <f>SUM($Y$2:Y557)/SUM($X$2:X557)</f>
        <v/>
      </c>
      <c r="AG557" s="5">
        <f>SUM($Y$2:Y557)</f>
        <v/>
      </c>
      <c r="AH557" s="7">
        <f>10000.0+SUM($AA$2:AA557)</f>
        <v/>
      </c>
      <c r="AI557" s="2" t="n">
        <v>2026</v>
      </c>
      <c r="AJ557" s="2" t="inlineStr">
        <is>
          <t>2026-04</t>
        </is>
      </c>
      <c r="AK557" s="2" t="inlineStr">
        <is>
          <t>+121 to +150</t>
        </is>
      </c>
      <c r="AL557" s="2" t="inlineStr">
        <is>
          <t>2026 Frozen Test</t>
        </is>
      </c>
      <c r="AM557" s="6" t="n">
        <v>0.2632101203923745</v>
      </c>
    </row>
    <row r="558">
      <c r="A558" s="2" t="inlineStr">
        <is>
          <t>KPROP-00557</t>
        </is>
      </c>
      <c r="B558" s="3" t="n">
        <v>46123.67403935185</v>
      </c>
      <c r="C558" s="3" t="n">
        <v>46123</v>
      </c>
      <c r="D558" s="2" t="inlineStr">
        <is>
          <t>Kodai Senga</t>
        </is>
      </c>
      <c r="E558" s="2" t="n">
        <v>121</v>
      </c>
      <c r="F558" s="2" t="n">
        <v>133</v>
      </c>
      <c r="G558" s="2" t="inlineStr">
        <is>
          <t>Home</t>
        </is>
      </c>
      <c r="H558" s="2" t="inlineStr">
        <is>
          <t>fanduel</t>
        </is>
      </c>
      <c r="I558" s="4" t="n"/>
      <c r="J558" s="4" t="n"/>
      <c r="K558" s="4" t="n">
        <v>-120</v>
      </c>
      <c r="L558" s="4" t="n">
        <v>-120</v>
      </c>
      <c r="M558" s="5" t="n">
        <v>6.5</v>
      </c>
      <c r="N558" s="5" t="n">
        <v>5.261338047205609</v>
      </c>
      <c r="O558" s="5" t="n">
        <v>6.5</v>
      </c>
      <c r="P558" s="5" t="n">
        <v>1.238661952794391</v>
      </c>
      <c r="Q558" s="6" t="n">
        <v>0.3256084383805147</v>
      </c>
      <c r="R558" s="6" t="n">
        <v>0.7230591482075535</v>
      </c>
      <c r="S558" s="6" t="n">
        <v>0.5303159692570453</v>
      </c>
      <c r="T558" s="2" t="inlineStr">
        <is>
          <t>Under</t>
        </is>
      </c>
      <c r="U558" s="4" t="n">
        <v>-120</v>
      </c>
      <c r="V558" s="2" t="n">
        <v>1.833333333333333</v>
      </c>
      <c r="W558" s="4" t="n">
        <v>-120</v>
      </c>
      <c r="X558" s="2" t="n">
        <v>1</v>
      </c>
      <c r="Y558" s="5" t="n">
        <v>0.8333333333333335</v>
      </c>
      <c r="Z558" s="7" t="n">
        <v>100</v>
      </c>
      <c r="AA558" s="7">
        <f>Y558*Z558</f>
        <v/>
      </c>
      <c r="AB558" s="6">
        <f>IF(Z558=0,0,AA558/Z558)</f>
        <v/>
      </c>
      <c r="AC558" s="6" t="n"/>
      <c r="AD558" s="2" t="inlineStr">
        <is>
          <t>Win</t>
        </is>
      </c>
      <c r="AE558" s="6">
        <f>IF((COUNTIF($AD$2:AD558,"Win")+COUNTIF($AD$2:AD558,"Loss"))=0,0,COUNTIF($AD$2:AD558,"Win")/(COUNTIF($AD$2:AD558,"Win")+COUNTIF($AD$2:AD558,"Loss")))</f>
        <v/>
      </c>
      <c r="AF558" s="6">
        <f>SUM($Y$2:Y558)/SUM($X$2:X558)</f>
        <v/>
      </c>
      <c r="AG558" s="5">
        <f>SUM($Y$2:Y558)</f>
        <v/>
      </c>
      <c r="AH558" s="7">
        <f>10000.0+SUM($AA$2:AA558)</f>
        <v/>
      </c>
      <c r="AI558" s="2" t="n">
        <v>2026</v>
      </c>
      <c r="AJ558" s="2" t="inlineStr">
        <is>
          <t>2026-04</t>
        </is>
      </c>
      <c r="AK558" s="2" t="inlineStr">
        <is>
          <t>-149 to -120</t>
        </is>
      </c>
      <c r="AL558" s="2" t="inlineStr">
        <is>
          <t>2026 Frozen Test</t>
        </is>
      </c>
      <c r="AM558" s="6" t="n">
        <v>0.3907301260566177</v>
      </c>
    </row>
    <row r="559">
      <c r="A559" s="2" t="inlineStr">
        <is>
          <t>KPROP-00558</t>
        </is>
      </c>
      <c r="B559" s="3" t="n">
        <v>46123.7990625</v>
      </c>
      <c r="C559" s="3" t="n">
        <v>46123</v>
      </c>
      <c r="D559" s="2" t="inlineStr">
        <is>
          <t>Kyle Harrison</t>
        </is>
      </c>
      <c r="E559" s="2" t="n">
        <v>158</v>
      </c>
      <c r="F559" s="2" t="n">
        <v>120</v>
      </c>
      <c r="G559" s="2" t="inlineStr">
        <is>
          <t>Home</t>
        </is>
      </c>
      <c r="H559" s="2" t="inlineStr">
        <is>
          <t>draftkings</t>
        </is>
      </c>
      <c r="I559" s="4" t="n"/>
      <c r="J559" s="4" t="n"/>
      <c r="K559" s="4" t="n">
        <v>120</v>
      </c>
      <c r="L559" s="4" t="n">
        <v>120</v>
      </c>
      <c r="M559" s="5" t="n">
        <v>5.5</v>
      </c>
      <c r="N559" s="5" t="n">
        <v>4.946699866170924</v>
      </c>
      <c r="O559" s="5" t="n">
        <v>5.5</v>
      </c>
      <c r="P559" s="5" t="n">
        <v>0.5533001338290759</v>
      </c>
      <c r="Q559" s="6" t="n">
        <v>0.375686837369042</v>
      </c>
      <c r="R559" s="6" t="n">
        <v>0.6253121988041099</v>
      </c>
      <c r="S559" s="6" t="n">
        <v>0.4545454545454545</v>
      </c>
      <c r="T559" s="2" t="inlineStr">
        <is>
          <t>Under</t>
        </is>
      </c>
      <c r="U559" s="4" t="n">
        <v>120</v>
      </c>
      <c r="V559" s="2" t="n">
        <v>2.2</v>
      </c>
      <c r="W559" s="4" t="n">
        <v>120</v>
      </c>
      <c r="X559" s="2" t="n">
        <v>1</v>
      </c>
      <c r="Y559" s="5" t="n">
        <v>1.2</v>
      </c>
      <c r="Z559" s="7" t="n">
        <v>100</v>
      </c>
      <c r="AA559" s="7">
        <f>Y559*Z559</f>
        <v/>
      </c>
      <c r="AB559" s="6">
        <f>IF(Z559=0,0,AA559/Z559)</f>
        <v/>
      </c>
      <c r="AC559" s="6" t="n"/>
      <c r="AD559" s="2" t="inlineStr">
        <is>
          <t>Win</t>
        </is>
      </c>
      <c r="AE559" s="6">
        <f>IF((COUNTIF($AD$2:AD559,"Win")+COUNTIF($AD$2:AD559,"Loss"))=0,0,COUNTIF($AD$2:AD559,"Win")/(COUNTIF($AD$2:AD559,"Win")+COUNTIF($AD$2:AD559,"Loss")))</f>
        <v/>
      </c>
      <c r="AF559" s="6">
        <f>SUM($Y$2:Y559)/SUM($X$2:X559)</f>
        <v/>
      </c>
      <c r="AG559" s="5">
        <f>SUM($Y$2:Y559)</f>
        <v/>
      </c>
      <c r="AH559" s="7">
        <f>10000.0+SUM($AA$2:AA559)</f>
        <v/>
      </c>
      <c r="AI559" s="2" t="n">
        <v>2026</v>
      </c>
      <c r="AJ559" s="2" t="inlineStr">
        <is>
          <t>2026-04</t>
        </is>
      </c>
      <c r="AK559" s="2" t="inlineStr">
        <is>
          <t>+100 to +120</t>
        </is>
      </c>
      <c r="AL559" s="2" t="inlineStr">
        <is>
          <t>2026 Frozen Test</t>
        </is>
      </c>
      <c r="AM559" s="6" t="n">
        <v>0.3130723644742016</v>
      </c>
    </row>
    <row r="560">
      <c r="A560" s="2" t="inlineStr">
        <is>
          <t>KPROP-00559</t>
        </is>
      </c>
      <c r="B560" s="3" t="n">
        <v>46123.7990625</v>
      </c>
      <c r="C560" s="3" t="n">
        <v>46123</v>
      </c>
      <c r="D560" s="2" t="inlineStr">
        <is>
          <t>Kyle Harrison</t>
        </is>
      </c>
      <c r="E560" s="2" t="n">
        <v>158</v>
      </c>
      <c r="F560" s="2" t="n">
        <v>120</v>
      </c>
      <c r="G560" s="2" t="inlineStr">
        <is>
          <t>Home</t>
        </is>
      </c>
      <c r="H560" s="2" t="inlineStr">
        <is>
          <t>betrivers</t>
        </is>
      </c>
      <c r="I560" s="4" t="n"/>
      <c r="J560" s="4" t="n"/>
      <c r="K560" s="4" t="n">
        <v>-182</v>
      </c>
      <c r="L560" s="4" t="n">
        <v>-182</v>
      </c>
      <c r="M560" s="5" t="n">
        <v>6.5</v>
      </c>
      <c r="N560" s="5" t="n">
        <v>4.946699866170924</v>
      </c>
      <c r="O560" s="5" t="n">
        <v>6.5</v>
      </c>
      <c r="P560" s="5" t="n">
        <v>1.553300133829076</v>
      </c>
      <c r="Q560" s="6" t="n">
        <v>0.1929760255160529</v>
      </c>
      <c r="R560" s="6" t="n">
        <v>0.7699348817160341</v>
      </c>
      <c r="S560" s="6" t="n">
        <v>0.6026490066225165</v>
      </c>
      <c r="T560" s="2" t="inlineStr">
        <is>
          <t>Under</t>
        </is>
      </c>
      <c r="U560" s="4" t="n">
        <v>-182</v>
      </c>
      <c r="V560" s="2" t="n">
        <v>1.549450549450549</v>
      </c>
      <c r="W560" s="4" t="n">
        <v>-182</v>
      </c>
      <c r="X560" s="2" t="n">
        <v>1</v>
      </c>
      <c r="Y560" s="5" t="n">
        <v>0.5494505494505495</v>
      </c>
      <c r="Z560" s="7" t="n">
        <v>100</v>
      </c>
      <c r="AA560" s="7">
        <f>Y560*Z560</f>
        <v/>
      </c>
      <c r="AB560" s="6">
        <f>IF(Z560=0,0,AA560/Z560)</f>
        <v/>
      </c>
      <c r="AC560" s="6" t="n"/>
      <c r="AD560" s="2" t="inlineStr">
        <is>
          <t>Win</t>
        </is>
      </c>
      <c r="AE560" s="6">
        <f>IF((COUNTIF($AD$2:AD560,"Win")+COUNTIF($AD$2:AD560,"Loss"))=0,0,COUNTIF($AD$2:AD560,"Win")/(COUNTIF($AD$2:AD560,"Win")+COUNTIF($AD$2:AD560,"Loss")))</f>
        <v/>
      </c>
      <c r="AF560" s="6">
        <f>SUM($Y$2:Y560)/SUM($X$2:X560)</f>
        <v/>
      </c>
      <c r="AG560" s="5">
        <f>SUM($Y$2:Y560)</f>
        <v/>
      </c>
      <c r="AH560" s="7">
        <f>10000.0+SUM($AA$2:AA560)</f>
        <v/>
      </c>
      <c r="AI560" s="2" t="n">
        <v>2026</v>
      </c>
      <c r="AJ560" s="2" t="inlineStr">
        <is>
          <t>2026-04</t>
        </is>
      </c>
      <c r="AK560" s="2" t="inlineStr">
        <is>
          <t>&lt;= -150</t>
        </is>
      </c>
      <c r="AL560" s="2" t="inlineStr">
        <is>
          <t>2026 Frozen Test</t>
        </is>
      </c>
      <c r="AM560" s="6" t="n">
        <v>0.3512163664392162</v>
      </c>
    </row>
    <row r="561">
      <c r="A561" s="2" t="inlineStr">
        <is>
          <t>KPROP-00560</t>
        </is>
      </c>
      <c r="B561" s="3" t="n">
        <v>46123.75738425926</v>
      </c>
      <c r="C561" s="3" t="n">
        <v>46123</v>
      </c>
      <c r="D561" s="2" t="inlineStr">
        <is>
          <t>Nick Martinez</t>
        </is>
      </c>
      <c r="E561" s="2" t="n">
        <v>139</v>
      </c>
      <c r="F561" s="2" t="n">
        <v>147</v>
      </c>
      <c r="G561" s="2" t="inlineStr">
        <is>
          <t>Home</t>
        </is>
      </c>
      <c r="H561" s="2" t="inlineStr">
        <is>
          <t>betonlineag</t>
        </is>
      </c>
      <c r="I561" s="4" t="n"/>
      <c r="J561" s="4" t="n"/>
      <c r="K561" s="4" t="n">
        <v>100</v>
      </c>
      <c r="L561" s="4" t="n">
        <v>100</v>
      </c>
      <c r="M561" s="5" t="n">
        <v>4.5</v>
      </c>
      <c r="N561" s="5" t="n">
        <v>4.311675973808254</v>
      </c>
      <c r="O561" s="5" t="n">
        <v>4.5</v>
      </c>
      <c r="P561" s="5" t="n">
        <v>0.1883240261917463</v>
      </c>
      <c r="Q561" s="6" t="n">
        <v>0.1363645127729134</v>
      </c>
      <c r="R561" s="6" t="n">
        <v>0.5681822563864567</v>
      </c>
      <c r="S561" s="6" t="n">
        <v>0.4883720930232558</v>
      </c>
      <c r="T561" s="2" t="inlineStr">
        <is>
          <t>Under</t>
        </is>
      </c>
      <c r="U561" s="4" t="n">
        <v>100</v>
      </c>
      <c r="V561" s="2" t="n">
        <v>2</v>
      </c>
      <c r="W561" s="4" t="n">
        <v>100</v>
      </c>
      <c r="X561" s="2" t="n">
        <v>1</v>
      </c>
      <c r="Y561" s="5" t="n">
        <v>1</v>
      </c>
      <c r="Z561" s="7" t="n">
        <v>100</v>
      </c>
      <c r="AA561" s="7">
        <f>Y561*Z561</f>
        <v/>
      </c>
      <c r="AB561" s="6">
        <f>IF(Z561=0,0,AA561/Z561)</f>
        <v/>
      </c>
      <c r="AC561" s="6" t="n"/>
      <c r="AD561" s="2" t="inlineStr">
        <is>
          <t>Win</t>
        </is>
      </c>
      <c r="AE561" s="6">
        <f>IF((COUNTIF($AD$2:AD561,"Win")+COUNTIF($AD$2:AD561,"Loss"))=0,0,COUNTIF($AD$2:AD561,"Win")/(COUNTIF($AD$2:AD561,"Win")+COUNTIF($AD$2:AD561,"Loss")))</f>
        <v/>
      </c>
      <c r="AF561" s="6">
        <f>SUM($Y$2:Y561)/SUM($X$2:X561)</f>
        <v/>
      </c>
      <c r="AG561" s="5">
        <f>SUM($Y$2:Y561)</f>
        <v/>
      </c>
      <c r="AH561" s="7">
        <f>10000.0+SUM($AA$2:AA561)</f>
        <v/>
      </c>
      <c r="AI561" s="2" t="n">
        <v>2026</v>
      </c>
      <c r="AJ561" s="2" t="inlineStr">
        <is>
          <t>2026-04</t>
        </is>
      </c>
      <c r="AK561" s="2" t="inlineStr">
        <is>
          <t>+100 to +120</t>
        </is>
      </c>
      <c r="AL561" s="2" t="inlineStr">
        <is>
          <t>2026 Frozen Test</t>
        </is>
      </c>
      <c r="AM561" s="6" t="n">
        <v>0.1363645127729134</v>
      </c>
    </row>
    <row r="562">
      <c r="A562" s="2" t="inlineStr">
        <is>
          <t>KPROP-00561</t>
        </is>
      </c>
      <c r="B562" s="3" t="n">
        <v>46123.80252314815</v>
      </c>
      <c r="C562" s="3" t="n">
        <v>46123</v>
      </c>
      <c r="D562" s="2" t="inlineStr">
        <is>
          <t>Ranger Suarez</t>
        </is>
      </c>
      <c r="E562" s="2" t="n">
        <v>111</v>
      </c>
      <c r="F562" s="2" t="n">
        <v>138</v>
      </c>
      <c r="G562" s="2" t="inlineStr">
        <is>
          <t>Away</t>
        </is>
      </c>
      <c r="H562" s="2" t="inlineStr">
        <is>
          <t>bovada</t>
        </is>
      </c>
      <c r="I562" s="4" t="n"/>
      <c r="J562" s="4" t="n"/>
      <c r="K562" s="4" t="n">
        <v>110</v>
      </c>
      <c r="L562" s="4" t="n">
        <v>110</v>
      </c>
      <c r="M562" s="5" t="n">
        <v>4.5</v>
      </c>
      <c r="N562" s="5" t="n">
        <v>4.105536204754475</v>
      </c>
      <c r="O562" s="5" t="n">
        <v>4.5</v>
      </c>
      <c r="P562" s="5" t="n">
        <v>0.3944637952455254</v>
      </c>
      <c r="Q562" s="6" t="n">
        <v>0.2772790170704691</v>
      </c>
      <c r="R562" s="6" t="n">
        <v>0.60822810336689</v>
      </c>
      <c r="S562" s="6" t="n">
        <v>0.4709748083242059</v>
      </c>
      <c r="T562" s="2" t="inlineStr">
        <is>
          <t>Under</t>
        </is>
      </c>
      <c r="U562" s="4" t="n">
        <v>110</v>
      </c>
      <c r="V562" s="2" t="n">
        <v>2.1</v>
      </c>
      <c r="W562" s="4" t="n">
        <v>110</v>
      </c>
      <c r="X562" s="2" t="n">
        <v>1</v>
      </c>
      <c r="Y562" s="5" t="n">
        <v>-1</v>
      </c>
      <c r="Z562" s="7" t="n">
        <v>100</v>
      </c>
      <c r="AA562" s="7">
        <f>Y562*Z562</f>
        <v/>
      </c>
      <c r="AB562" s="6">
        <f>IF(Z562=0,0,AA562/Z562)</f>
        <v/>
      </c>
      <c r="AC562" s="6" t="n"/>
      <c r="AD562" s="2" t="inlineStr">
        <is>
          <t>Loss</t>
        </is>
      </c>
      <c r="AE562" s="6">
        <f>IF((COUNTIF($AD$2:AD562,"Win")+COUNTIF($AD$2:AD562,"Loss"))=0,0,COUNTIF($AD$2:AD562,"Win")/(COUNTIF($AD$2:AD562,"Win")+COUNTIF($AD$2:AD562,"Loss")))</f>
        <v/>
      </c>
      <c r="AF562" s="6">
        <f>SUM($Y$2:Y562)/SUM($X$2:X562)</f>
        <v/>
      </c>
      <c r="AG562" s="5">
        <f>SUM($Y$2:Y562)</f>
        <v/>
      </c>
      <c r="AH562" s="7">
        <f>10000.0+SUM($AA$2:AA562)</f>
        <v/>
      </c>
      <c r="AI562" s="2" t="n">
        <v>2026</v>
      </c>
      <c r="AJ562" s="2" t="inlineStr">
        <is>
          <t>2026-04</t>
        </is>
      </c>
      <c r="AK562" s="2" t="inlineStr">
        <is>
          <t>+100 to +120</t>
        </is>
      </c>
      <c r="AL562" s="2" t="inlineStr">
        <is>
          <t>2026 Frozen Test</t>
        </is>
      </c>
      <c r="AM562" s="6" t="n">
        <v>0.2520718337004264</v>
      </c>
    </row>
    <row r="563">
      <c r="A563" s="2" t="inlineStr">
        <is>
          <t>KPROP-00562</t>
        </is>
      </c>
      <c r="B563" s="3" t="n">
        <v>46124.59070601852</v>
      </c>
      <c r="C563" s="3" t="n">
        <v>46124</v>
      </c>
      <c r="D563" s="2" t="inlineStr">
        <is>
          <t>Brandon Woodruff</t>
        </is>
      </c>
      <c r="E563" s="2" t="n">
        <v>158</v>
      </c>
      <c r="F563" s="2" t="n">
        <v>120</v>
      </c>
      <c r="G563" s="2" t="inlineStr">
        <is>
          <t>Home</t>
        </is>
      </c>
      <c r="H563" s="2" t="inlineStr">
        <is>
          <t>bovada</t>
        </is>
      </c>
      <c r="I563" s="4" t="n"/>
      <c r="J563" s="4" t="n"/>
      <c r="K563" s="4" t="n">
        <v>125</v>
      </c>
      <c r="L563" s="4" t="n">
        <v>125</v>
      </c>
      <c r="M563" s="5" t="n">
        <v>5.5</v>
      </c>
      <c r="N563" s="5" t="n">
        <v>4.95368326422097</v>
      </c>
      <c r="O563" s="5" t="n">
        <v>5.5</v>
      </c>
      <c r="P563" s="5" t="n">
        <v>0.5463167357790297</v>
      </c>
      <c r="Q563" s="6" t="n">
        <v>0.4041960803372027</v>
      </c>
      <c r="R563" s="6" t="n">
        <v>0.6240871468165345</v>
      </c>
      <c r="S563" s="6" t="n">
        <v>0.4199432509120389</v>
      </c>
      <c r="T563" s="2" t="inlineStr">
        <is>
          <t>Under</t>
        </is>
      </c>
      <c r="U563" s="4" t="n">
        <v>125</v>
      </c>
      <c r="V563" s="2" t="n">
        <v>2.25</v>
      </c>
      <c r="W563" s="4" t="n">
        <v>125</v>
      </c>
      <c r="X563" s="2" t="n">
        <v>1</v>
      </c>
      <c r="Y563" s="5" t="n">
        <v>-1</v>
      </c>
      <c r="Z563" s="7" t="n">
        <v>100</v>
      </c>
      <c r="AA563" s="7">
        <f>Y563*Z563</f>
        <v/>
      </c>
      <c r="AB563" s="6">
        <f>IF(Z563=0,0,AA563/Z563)</f>
        <v/>
      </c>
      <c r="AC563" s="6" t="n"/>
      <c r="AD563" s="2" t="inlineStr">
        <is>
          <t>Loss</t>
        </is>
      </c>
      <c r="AE563" s="6">
        <f>IF((COUNTIF($AD$2:AD563,"Win")+COUNTIF($AD$2:AD563,"Loss"))=0,0,COUNTIF($AD$2:AD563,"Win")/(COUNTIF($AD$2:AD563,"Win")+COUNTIF($AD$2:AD563,"Loss")))</f>
        <v/>
      </c>
      <c r="AF563" s="6">
        <f>SUM($Y$2:Y563)/SUM($X$2:X563)</f>
        <v/>
      </c>
      <c r="AG563" s="5">
        <f>SUM($Y$2:Y563)</f>
        <v/>
      </c>
      <c r="AH563" s="7">
        <f>10000.0+SUM($AA$2:AA563)</f>
        <v/>
      </c>
      <c r="AI563" s="2" t="n">
        <v>2026</v>
      </c>
      <c r="AJ563" s="2" t="inlineStr">
        <is>
          <t>2026-04</t>
        </is>
      </c>
      <c r="AK563" s="2" t="inlineStr">
        <is>
          <t>+121 to +150</t>
        </is>
      </c>
      <c r="AL563" s="2" t="inlineStr">
        <is>
          <t>2026 Frozen Test</t>
        </is>
      </c>
      <c r="AM563" s="6" t="n">
        <v>0.3233568642697621</v>
      </c>
    </row>
    <row r="564">
      <c r="A564" s="2" t="inlineStr">
        <is>
          <t>KPROP-00563</t>
        </is>
      </c>
      <c r="B564" s="3" t="n">
        <v>46124.59070601852</v>
      </c>
      <c r="C564" s="3" t="n">
        <v>46124</v>
      </c>
      <c r="D564" s="2" t="inlineStr">
        <is>
          <t>Brandon Woodruff</t>
        </is>
      </c>
      <c r="E564" s="2" t="n">
        <v>158</v>
      </c>
      <c r="F564" s="2" t="n">
        <v>120</v>
      </c>
      <c r="G564" s="2" t="inlineStr">
        <is>
          <t>Home</t>
        </is>
      </c>
      <c r="H564" s="2" t="inlineStr">
        <is>
          <t>draftkings</t>
        </is>
      </c>
      <c r="I564" s="4" t="n"/>
      <c r="J564" s="4" t="n"/>
      <c r="K564" s="4" t="n">
        <v>-149</v>
      </c>
      <c r="L564" s="4" t="n">
        <v>-149</v>
      </c>
      <c r="M564" s="5" t="n">
        <v>6.5</v>
      </c>
      <c r="N564" s="5" t="n">
        <v>4.95368326422097</v>
      </c>
      <c r="O564" s="5" t="n">
        <v>6.5</v>
      </c>
      <c r="P564" s="5" t="n">
        <v>1.54631673577903</v>
      </c>
      <c r="Q564" s="6" t="n">
        <v>0.2849806677956841</v>
      </c>
      <c r="R564" s="6" t="n">
        <v>0.7689241747050479</v>
      </c>
      <c r="S564" s="6" t="n">
        <v>0.5812874150803794</v>
      </c>
      <c r="T564" s="2" t="inlineStr">
        <is>
          <t>Under</t>
        </is>
      </c>
      <c r="U564" s="4" t="n">
        <v>-149</v>
      </c>
      <c r="V564" s="2" t="n">
        <v>1.671140939597315</v>
      </c>
      <c r="W564" s="4" t="n">
        <v>-149</v>
      </c>
      <c r="X564" s="2" t="n">
        <v>1</v>
      </c>
      <c r="Y564" s="5" t="n">
        <v>0.6711409395973154</v>
      </c>
      <c r="Z564" s="7" t="n">
        <v>100</v>
      </c>
      <c r="AA564" s="7">
        <f>Y564*Z564</f>
        <v/>
      </c>
      <c r="AB564" s="6">
        <f>IF(Z564=0,0,AA564/Z564)</f>
        <v/>
      </c>
      <c r="AC564" s="6" t="n"/>
      <c r="AD564" s="2" t="inlineStr">
        <is>
          <t>Win</t>
        </is>
      </c>
      <c r="AE564" s="6">
        <f>IF((COUNTIF($AD$2:AD564,"Win")+COUNTIF($AD$2:AD564,"Loss"))=0,0,COUNTIF($AD$2:AD564,"Win")/(COUNTIF($AD$2:AD564,"Win")+COUNTIF($AD$2:AD564,"Loss")))</f>
        <v/>
      </c>
      <c r="AF564" s="6">
        <f>SUM($Y$2:Y564)/SUM($X$2:X564)</f>
        <v/>
      </c>
      <c r="AG564" s="5">
        <f>SUM($Y$2:Y564)</f>
        <v/>
      </c>
      <c r="AH564" s="7">
        <f>10000.0+SUM($AA$2:AA564)</f>
        <v/>
      </c>
      <c r="AI564" s="2" t="n">
        <v>2026</v>
      </c>
      <c r="AJ564" s="2" t="inlineStr">
        <is>
          <t>2026-04</t>
        </is>
      </c>
      <c r="AK564" s="2" t="inlineStr">
        <is>
          <t>-149 to -120</t>
        </is>
      </c>
      <c r="AL564" s="2" t="inlineStr">
        <is>
          <t>2026 Frozen Test</t>
        </is>
      </c>
      <c r="AM564" s="6" t="n">
        <v>0.4246211950155693</v>
      </c>
    </row>
    <row r="565">
      <c r="A565" s="2" t="inlineStr">
        <is>
          <t>KPROP-00564</t>
        </is>
      </c>
      <c r="B565" s="3" t="n">
        <v>46124.56640046297</v>
      </c>
      <c r="C565" s="3" t="n">
        <v>46124</v>
      </c>
      <c r="D565" s="2" t="inlineStr">
        <is>
          <t>Cade Povich</t>
        </is>
      </c>
      <c r="E565" s="2" t="n">
        <v>110</v>
      </c>
      <c r="F565" s="2" t="n">
        <v>137</v>
      </c>
      <c r="G565" s="2" t="inlineStr">
        <is>
          <t>Home</t>
        </is>
      </c>
      <c r="H565" s="2" t="inlineStr">
        <is>
          <t>draftkings</t>
        </is>
      </c>
      <c r="I565" s="4" t="n"/>
      <c r="J565" s="4" t="n"/>
      <c r="K565" s="4" t="n">
        <v>-130</v>
      </c>
      <c r="L565" s="4" t="n">
        <v>-130</v>
      </c>
      <c r="M565" s="5" t="n">
        <v>5.5</v>
      </c>
      <c r="N565" s="5" t="n">
        <v>4.478503272483075</v>
      </c>
      <c r="O565" s="5" t="n">
        <v>5.5</v>
      </c>
      <c r="P565" s="5" t="n">
        <v>1.021496727516925</v>
      </c>
      <c r="Q565" s="6" t="n">
        <v>0.250135279244012</v>
      </c>
      <c r="R565" s="6" t="n">
        <v>0.7065982013118329</v>
      </c>
      <c r="S565" s="6" t="n">
        <v>0.5427435387673957</v>
      </c>
      <c r="T565" s="2" t="inlineStr">
        <is>
          <t>Under</t>
        </is>
      </c>
      <c r="U565" s="4" t="n">
        <v>-130</v>
      </c>
      <c r="V565" s="2" t="n">
        <v>1.769230769230769</v>
      </c>
      <c r="W565" s="4" t="n">
        <v>-130</v>
      </c>
      <c r="X565" s="2" t="n">
        <v>1</v>
      </c>
      <c r="Y565" s="5" t="n">
        <v>0.7692307692307692</v>
      </c>
      <c r="Z565" s="7" t="n">
        <v>100</v>
      </c>
      <c r="AA565" s="7">
        <f>Y565*Z565</f>
        <v/>
      </c>
      <c r="AB565" s="6">
        <f>IF(Z565=0,0,AA565/Z565)</f>
        <v/>
      </c>
      <c r="AC565" s="6" t="n"/>
      <c r="AD565" s="2" t="inlineStr">
        <is>
          <t>Win</t>
        </is>
      </c>
      <c r="AE565" s="6">
        <f>IF((COUNTIF($AD$2:AD565,"Win")+COUNTIF($AD$2:AD565,"Loss"))=0,0,COUNTIF($AD$2:AD565,"Win")/(COUNTIF($AD$2:AD565,"Win")+COUNTIF($AD$2:AD565,"Loss")))</f>
        <v/>
      </c>
      <c r="AF565" s="6">
        <f>SUM($Y$2:Y565)/SUM($X$2:X565)</f>
        <v/>
      </c>
      <c r="AG565" s="5">
        <f>SUM($Y$2:Y565)</f>
        <v/>
      </c>
      <c r="AH565" s="7">
        <f>10000.0+SUM($AA$2:AA565)</f>
        <v/>
      </c>
      <c r="AI565" s="2" t="n">
        <v>2026</v>
      </c>
      <c r="AJ565" s="2" t="inlineStr">
        <is>
          <t>2026-04</t>
        </is>
      </c>
      <c r="AK565" s="2" t="inlineStr">
        <is>
          <t>-149 to -120</t>
        </is>
      </c>
      <c r="AL565" s="2" t="inlineStr">
        <is>
          <t>2026 Frozen Test</t>
        </is>
      </c>
      <c r="AM565" s="6" t="n">
        <v>0.3251758630172157</v>
      </c>
    </row>
    <row r="566">
      <c r="A566" s="2" t="inlineStr">
        <is>
          <t>KPROP-00565</t>
        </is>
      </c>
      <c r="B566" s="3" t="n">
        <v>46124.80598379629</v>
      </c>
      <c r="C566" s="3" t="n">
        <v>46124</v>
      </c>
      <c r="D566" s="2" t="inlineStr">
        <is>
          <t>Chris Sale</t>
        </is>
      </c>
      <c r="E566" s="2" t="n">
        <v>144</v>
      </c>
      <c r="F566" s="2" t="n">
        <v>114</v>
      </c>
      <c r="G566" s="2" t="inlineStr">
        <is>
          <t>Home</t>
        </is>
      </c>
      <c r="H566" s="2" t="inlineStr">
        <is>
          <t>betonlineag</t>
        </is>
      </c>
      <c r="I566" s="4" t="n"/>
      <c r="J566" s="4" t="n"/>
      <c r="K566" s="4" t="n">
        <v>132</v>
      </c>
      <c r="L566" s="4" t="n">
        <v>132</v>
      </c>
      <c r="M566" s="5" t="n">
        <v>6.5</v>
      </c>
      <c r="N566" s="5" t="n">
        <v>6.003093483170852</v>
      </c>
      <c r="O566" s="5" t="n">
        <v>6.5</v>
      </c>
      <c r="P566" s="5" t="n">
        <v>0.4969065168291475</v>
      </c>
      <c r="Q566" s="6" t="n">
        <v>0.4054696823414263</v>
      </c>
      <c r="R566" s="6" t="n">
        <v>0.6058058975609595</v>
      </c>
      <c r="S566" s="6" t="n">
        <v>0.4220869083863825</v>
      </c>
      <c r="T566" s="2" t="inlineStr">
        <is>
          <t>Under</t>
        </is>
      </c>
      <c r="U566" s="4" t="n">
        <v>132</v>
      </c>
      <c r="V566" s="2" t="n">
        <v>2.32</v>
      </c>
      <c r="W566" s="4" t="n">
        <v>132</v>
      </c>
      <c r="X566" s="2" t="n">
        <v>1</v>
      </c>
      <c r="Y566" s="5" t="n">
        <v>1.32</v>
      </c>
      <c r="Z566" s="7" t="n">
        <v>100</v>
      </c>
      <c r="AA566" s="7">
        <f>Y566*Z566</f>
        <v/>
      </c>
      <c r="AB566" s="6">
        <f>IF(Z566=0,0,AA566/Z566)</f>
        <v/>
      </c>
      <c r="AC566" s="6" t="n"/>
      <c r="AD566" s="2" t="inlineStr">
        <is>
          <t>Win</t>
        </is>
      </c>
      <c r="AE566" s="6">
        <f>IF((COUNTIF($AD$2:AD566,"Win")+COUNTIF($AD$2:AD566,"Loss"))=0,0,COUNTIF($AD$2:AD566,"Win")/(COUNTIF($AD$2:AD566,"Win")+COUNTIF($AD$2:AD566,"Loss")))</f>
        <v/>
      </c>
      <c r="AF566" s="6">
        <f>SUM($Y$2:Y566)/SUM($X$2:X566)</f>
        <v/>
      </c>
      <c r="AG566" s="5">
        <f>SUM($Y$2:Y566)</f>
        <v/>
      </c>
      <c r="AH566" s="7">
        <f>10000.0+SUM($AA$2:AA566)</f>
        <v/>
      </c>
      <c r="AI566" s="2" t="n">
        <v>2026</v>
      </c>
      <c r="AJ566" s="2" t="inlineStr">
        <is>
          <t>2026-04</t>
        </is>
      </c>
      <c r="AK566" s="2" t="inlineStr">
        <is>
          <t>+121 to +150</t>
        </is>
      </c>
      <c r="AL566" s="2" t="inlineStr">
        <is>
          <t>2026 Frozen Test</t>
        </is>
      </c>
      <c r="AM566" s="6" t="n">
        <v>0.3071740017738077</v>
      </c>
    </row>
    <row r="567">
      <c r="A567" s="2" t="inlineStr">
        <is>
          <t>KPROP-00566</t>
        </is>
      </c>
      <c r="B567" s="3" t="n">
        <v>46124.80598379629</v>
      </c>
      <c r="C567" s="3" t="n">
        <v>46124</v>
      </c>
      <c r="D567" s="2" t="inlineStr">
        <is>
          <t>Chris Sale</t>
        </is>
      </c>
      <c r="E567" s="2" t="n">
        <v>144</v>
      </c>
      <c r="F567" s="2" t="n">
        <v>114</v>
      </c>
      <c r="G567" s="2" t="inlineStr">
        <is>
          <t>Home</t>
        </is>
      </c>
      <c r="H567" s="2" t="inlineStr">
        <is>
          <t>betrivers</t>
        </is>
      </c>
      <c r="I567" s="4" t="n"/>
      <c r="J567" s="4" t="n"/>
      <c r="K567" s="4" t="n">
        <v>-159</v>
      </c>
      <c r="L567" s="4" t="n">
        <v>-159</v>
      </c>
      <c r="M567" s="5" t="n">
        <v>7.5</v>
      </c>
      <c r="N567" s="5" t="n">
        <v>6.003093483170852</v>
      </c>
      <c r="O567" s="5" t="n">
        <v>7.5</v>
      </c>
      <c r="P567" s="5" t="n">
        <v>1.496906516829148</v>
      </c>
      <c r="Q567" s="6" t="n">
        <v>0.2111976168805855</v>
      </c>
      <c r="R567" s="6" t="n">
        <v>0.743553749359124</v>
      </c>
      <c r="S567" s="6" t="n">
        <v>0.5745729303547964</v>
      </c>
      <c r="T567" s="2" t="inlineStr">
        <is>
          <t>Under</t>
        </is>
      </c>
      <c r="U567" s="4" t="n">
        <v>-159</v>
      </c>
      <c r="V567" s="2" t="n">
        <v>1.628930817610063</v>
      </c>
      <c r="W567" s="4" t="n">
        <v>-159</v>
      </c>
      <c r="X567" s="2" t="n">
        <v>1</v>
      </c>
      <c r="Y567" s="5" t="n">
        <v>0.6289308176100628</v>
      </c>
      <c r="Z567" s="7" t="n">
        <v>100</v>
      </c>
      <c r="AA567" s="7">
        <f>Y567*Z567</f>
        <v/>
      </c>
      <c r="AB567" s="6">
        <f>IF(Z567=0,0,AA567/Z567)</f>
        <v/>
      </c>
      <c r="AC567" s="6" t="n"/>
      <c r="AD567" s="2" t="inlineStr">
        <is>
          <t>Win</t>
        </is>
      </c>
      <c r="AE567" s="6">
        <f>IF((COUNTIF($AD$2:AD567,"Win")+COUNTIF($AD$2:AD567,"Loss"))=0,0,COUNTIF($AD$2:AD567,"Win")/(COUNTIF($AD$2:AD567,"Win")+COUNTIF($AD$2:AD567,"Loss")))</f>
        <v/>
      </c>
      <c r="AF567" s="6">
        <f>SUM($Y$2:Y567)/SUM($X$2:X567)</f>
        <v/>
      </c>
      <c r="AG567" s="5">
        <f>SUM($Y$2:Y567)</f>
        <v/>
      </c>
      <c r="AH567" s="7">
        <f>10000.0+SUM($AA$2:AA567)</f>
        <v/>
      </c>
      <c r="AI567" s="2" t="n">
        <v>2026</v>
      </c>
      <c r="AJ567" s="2" t="inlineStr">
        <is>
          <t>2026-04</t>
        </is>
      </c>
      <c r="AK567" s="2" t="inlineStr">
        <is>
          <t>&lt;= -150</t>
        </is>
      </c>
      <c r="AL567" s="2" t="inlineStr">
        <is>
          <t>2026 Frozen Test</t>
        </is>
      </c>
      <c r="AM567" s="6" t="n">
        <v>0.3358042108401311</v>
      </c>
    </row>
    <row r="568">
      <c r="A568" s="2" t="inlineStr">
        <is>
          <t>KPROP-00567</t>
        </is>
      </c>
      <c r="B568" s="3" t="n">
        <v>46124.56987268518</v>
      </c>
      <c r="C568" s="3" t="n">
        <v>46124</v>
      </c>
      <c r="D568" s="2" t="inlineStr">
        <is>
          <t>Freddy Peralta</t>
        </is>
      </c>
      <c r="E568" s="2" t="n">
        <v>121</v>
      </c>
      <c r="F568" s="2" t="n">
        <v>133</v>
      </c>
      <c r="G568" s="2" t="inlineStr">
        <is>
          <t>Home</t>
        </is>
      </c>
      <c r="H568" s="2" t="inlineStr">
        <is>
          <t>betmgm</t>
        </is>
      </c>
      <c r="I568" s="4" t="n"/>
      <c r="J568" s="4" t="n"/>
      <c r="K568" s="4" t="n">
        <v>110</v>
      </c>
      <c r="L568" s="4" t="n">
        <v>110</v>
      </c>
      <c r="M568" s="5" t="n">
        <v>6.5</v>
      </c>
      <c r="N568" s="5" t="n">
        <v>6.197819942679645</v>
      </c>
      <c r="O568" s="5" t="n">
        <v>6.5</v>
      </c>
      <c r="P568" s="5" t="n">
        <v>0.3021800573203555</v>
      </c>
      <c r="Q568" s="6" t="n">
        <v>0.2065807678689796</v>
      </c>
      <c r="R568" s="6" t="n">
        <v>0.5745622704137998</v>
      </c>
      <c r="S568" s="6" t="n">
        <v>0.4532304725168756</v>
      </c>
      <c r="T568" s="2" t="inlineStr">
        <is>
          <t>Under</t>
        </is>
      </c>
      <c r="U568" s="4" t="n">
        <v>110</v>
      </c>
      <c r="V568" s="2" t="n">
        <v>2.1</v>
      </c>
      <c r="W568" s="4" t="n">
        <v>110</v>
      </c>
      <c r="X568" s="2" t="n">
        <v>1</v>
      </c>
      <c r="Y568" s="5" t="n">
        <v>1.1</v>
      </c>
      <c r="Z568" s="7" t="n">
        <v>100</v>
      </c>
      <c r="AA568" s="7">
        <f>Y568*Z568</f>
        <v/>
      </c>
      <c r="AB568" s="6">
        <f>IF(Z568=0,0,AA568/Z568)</f>
        <v/>
      </c>
      <c r="AC568" s="6" t="n"/>
      <c r="AD568" s="2" t="inlineStr">
        <is>
          <t>Win</t>
        </is>
      </c>
      <c r="AE568" s="6">
        <f>IF((COUNTIF($AD$2:AD568,"Win")+COUNTIF($AD$2:AD568,"Loss"))=0,0,COUNTIF($AD$2:AD568,"Win")/(COUNTIF($AD$2:AD568,"Win")+COUNTIF($AD$2:AD568,"Loss")))</f>
        <v/>
      </c>
      <c r="AF568" s="6">
        <f>SUM($Y$2:Y568)/SUM($X$2:X568)</f>
        <v/>
      </c>
      <c r="AG568" s="5">
        <f>SUM($Y$2:Y568)</f>
        <v/>
      </c>
      <c r="AH568" s="7">
        <f>10000.0+SUM($AA$2:AA568)</f>
        <v/>
      </c>
      <c r="AI568" s="2" t="n">
        <v>2026</v>
      </c>
      <c r="AJ568" s="2" t="inlineStr">
        <is>
          <t>2026-04</t>
        </is>
      </c>
      <c r="AK568" s="2" t="inlineStr">
        <is>
          <t>+100 to +120</t>
        </is>
      </c>
      <c r="AL568" s="2" t="inlineStr">
        <is>
          <t>2026 Frozen Test</t>
        </is>
      </c>
      <c r="AM568" s="6" t="n">
        <v>0.1878006980627087</v>
      </c>
    </row>
    <row r="569">
      <c r="A569" s="2" t="inlineStr">
        <is>
          <t>KPROP-00568</t>
        </is>
      </c>
      <c r="B569" s="3" t="n">
        <v>46124.56987268518</v>
      </c>
      <c r="C569" s="3" t="n">
        <v>46124</v>
      </c>
      <c r="D569" s="2" t="inlineStr">
        <is>
          <t>Freddy Peralta</t>
        </is>
      </c>
      <c r="E569" s="2" t="n">
        <v>121</v>
      </c>
      <c r="F569" s="2" t="n">
        <v>133</v>
      </c>
      <c r="G569" s="2" t="inlineStr">
        <is>
          <t>Home</t>
        </is>
      </c>
      <c r="H569" s="2" t="inlineStr">
        <is>
          <t>betrivers</t>
        </is>
      </c>
      <c r="I569" s="4" t="n"/>
      <c r="J569" s="4" t="n"/>
      <c r="K569" s="4" t="n">
        <v>-186</v>
      </c>
      <c r="L569" s="4" t="n">
        <v>-186</v>
      </c>
      <c r="M569" s="5" t="n">
        <v>7.5</v>
      </c>
      <c r="N569" s="5" t="n">
        <v>6.197819942679645</v>
      </c>
      <c r="O569" s="5" t="n">
        <v>7.5</v>
      </c>
      <c r="P569" s="5" t="n">
        <v>1.302180057320355</v>
      </c>
      <c r="Q569" s="6" t="n">
        <v>0.1014465105256143</v>
      </c>
      <c r="R569" s="6" t="n">
        <v>0.7163253529991758</v>
      </c>
      <c r="S569" s="6" t="n">
        <v>0.6075094691771422</v>
      </c>
      <c r="T569" s="2" t="inlineStr">
        <is>
          <t>Under</t>
        </is>
      </c>
      <c r="U569" s="4" t="n">
        <v>-186</v>
      </c>
      <c r="V569" s="2" t="n">
        <v>1.537634408602151</v>
      </c>
      <c r="W569" s="4" t="n">
        <v>-186</v>
      </c>
      <c r="X569" s="2" t="n">
        <v>1</v>
      </c>
      <c r="Y569" s="5" t="n">
        <v>0.5376344086021505</v>
      </c>
      <c r="Z569" s="7" t="n">
        <v>100</v>
      </c>
      <c r="AA569" s="7">
        <f>Y569*Z569</f>
        <v/>
      </c>
      <c r="AB569" s="6">
        <f>IF(Z569=0,0,AA569/Z569)</f>
        <v/>
      </c>
      <c r="AC569" s="6" t="n"/>
      <c r="AD569" s="2" t="inlineStr">
        <is>
          <t>Win</t>
        </is>
      </c>
      <c r="AE569" s="6">
        <f>IF((COUNTIF($AD$2:AD569,"Win")+COUNTIF($AD$2:AD569,"Loss"))=0,0,COUNTIF($AD$2:AD569,"Win")/(COUNTIF($AD$2:AD569,"Win")+COUNTIF($AD$2:AD569,"Loss")))</f>
        <v/>
      </c>
      <c r="AF569" s="6">
        <f>SUM($Y$2:Y569)/SUM($X$2:X569)</f>
        <v/>
      </c>
      <c r="AG569" s="5">
        <f>SUM($Y$2:Y569)</f>
        <v/>
      </c>
      <c r="AH569" s="7">
        <f>10000.0+SUM($AA$2:AA569)</f>
        <v/>
      </c>
      <c r="AI569" s="2" t="n">
        <v>2026</v>
      </c>
      <c r="AJ569" s="2" t="inlineStr">
        <is>
          <t>2026-04</t>
        </is>
      </c>
      <c r="AK569" s="2" t="inlineStr">
        <is>
          <t>&lt;= -150</t>
        </is>
      </c>
      <c r="AL569" s="2" t="inlineStr">
        <is>
          <t>2026 Frozen Test</t>
        </is>
      </c>
      <c r="AM569" s="6" t="n">
        <v>0.1886905095776426</v>
      </c>
    </row>
    <row r="570">
      <c r="A570" s="2" t="inlineStr">
        <is>
          <t>KPROP-00569</t>
        </is>
      </c>
      <c r="B570" s="3" t="n">
        <v>46124.59765046297</v>
      </c>
      <c r="C570" s="3" t="n">
        <v>46124</v>
      </c>
      <c r="D570" s="2" t="inlineStr">
        <is>
          <t>Jameson Taillon</t>
        </is>
      </c>
      <c r="E570" s="2" t="n">
        <v>112</v>
      </c>
      <c r="F570" s="2" t="n">
        <v>134</v>
      </c>
      <c r="G570" s="2" t="inlineStr">
        <is>
          <t>Home</t>
        </is>
      </c>
      <c r="H570" s="2" t="inlineStr">
        <is>
          <t>betrivers</t>
        </is>
      </c>
      <c r="I570" s="4" t="n"/>
      <c r="J570" s="4" t="n"/>
      <c r="K570" s="4" t="n">
        <v>108</v>
      </c>
      <c r="L570" s="4" t="n">
        <v>108</v>
      </c>
      <c r="M570" s="5" t="n">
        <v>4.5</v>
      </c>
      <c r="N570" s="5" t="n">
        <v>4.423500892352125</v>
      </c>
      <c r="O570" s="5" t="n">
        <v>4.5</v>
      </c>
      <c r="P570" s="5" t="n">
        <v>0.07649910764787471</v>
      </c>
      <c r="Q570" s="6" t="n">
        <v>0.1371000906456411</v>
      </c>
      <c r="R570" s="6" t="n">
        <v>0.5466827358873274</v>
      </c>
      <c r="S570" s="6" t="n">
        <v>0.4723582925122463</v>
      </c>
      <c r="T570" s="2" t="inlineStr">
        <is>
          <t>Under</t>
        </is>
      </c>
      <c r="U570" s="4" t="n">
        <v>108</v>
      </c>
      <c r="V570" s="2" t="n">
        <v>2.08</v>
      </c>
      <c r="W570" s="4" t="n">
        <v>108</v>
      </c>
      <c r="X570" s="2" t="n">
        <v>1</v>
      </c>
      <c r="Y570" s="5" t="n">
        <v>-1</v>
      </c>
      <c r="Z570" s="7" t="n">
        <v>100</v>
      </c>
      <c r="AA570" s="7">
        <f>Y570*Z570</f>
        <v/>
      </c>
      <c r="AB570" s="6">
        <f>IF(Z570=0,0,AA570/Z570)</f>
        <v/>
      </c>
      <c r="AC570" s="6" t="n"/>
      <c r="AD570" s="2" t="inlineStr">
        <is>
          <t>Loss</t>
        </is>
      </c>
      <c r="AE570" s="6">
        <f>IF((COUNTIF($AD$2:AD570,"Win")+COUNTIF($AD$2:AD570,"Loss"))=0,0,COUNTIF($AD$2:AD570,"Win")/(COUNTIF($AD$2:AD570,"Win")+COUNTIF($AD$2:AD570,"Loss")))</f>
        <v/>
      </c>
      <c r="AF570" s="6">
        <f>SUM($Y$2:Y570)/SUM($X$2:X570)</f>
        <v/>
      </c>
      <c r="AG570" s="5">
        <f>SUM($Y$2:Y570)</f>
        <v/>
      </c>
      <c r="AH570" s="7">
        <f>10000.0+SUM($AA$2:AA570)</f>
        <v/>
      </c>
      <c r="AI570" s="2" t="n">
        <v>2026</v>
      </c>
      <c r="AJ570" s="2" t="inlineStr">
        <is>
          <t>2026-04</t>
        </is>
      </c>
      <c r="AK570" s="2" t="inlineStr">
        <is>
          <t>+100 to +120</t>
        </is>
      </c>
      <c r="AL570" s="2" t="inlineStr">
        <is>
          <t>2026 Frozen Test</t>
        </is>
      </c>
      <c r="AM570" s="6" t="n">
        <v>0.1269445283755936</v>
      </c>
    </row>
    <row r="571">
      <c r="A571" s="2" t="inlineStr">
        <is>
          <t>KPROP-00570</t>
        </is>
      </c>
      <c r="B571" s="3" t="n">
        <v>46124.67403935185</v>
      </c>
      <c r="C571" s="3" t="n">
        <v>46124</v>
      </c>
      <c r="D571" s="2" t="inlineStr">
        <is>
          <t>Logan Gilbert</t>
        </is>
      </c>
      <c r="E571" s="2" t="n">
        <v>136</v>
      </c>
      <c r="F571" s="2" t="n">
        <v>117</v>
      </c>
      <c r="G571" s="2" t="inlineStr">
        <is>
          <t>Home</t>
        </is>
      </c>
      <c r="H571" s="2" t="inlineStr">
        <is>
          <t>betrivers</t>
        </is>
      </c>
      <c r="I571" s="4" t="n"/>
      <c r="J571" s="4" t="n"/>
      <c r="K571" s="4" t="n">
        <v>135</v>
      </c>
      <c r="L571" s="4" t="n">
        <v>135</v>
      </c>
      <c r="M571" s="5" t="n">
        <v>5.5</v>
      </c>
      <c r="N571" s="5" t="n">
        <v>5.569424880382461</v>
      </c>
      <c r="O571" s="5" t="n">
        <v>5.5</v>
      </c>
      <c r="P571" s="5" t="n">
        <v>-0.06942488038246086</v>
      </c>
      <c r="Q571" s="6" t="n">
        <v>0.2150868852204019</v>
      </c>
      <c r="R571" s="6" t="n">
        <v>0.5170582490299582</v>
      </c>
      <c r="S571" s="6" t="n">
        <v>0.4059747223286097</v>
      </c>
      <c r="T571" s="2" t="inlineStr">
        <is>
          <t>Under</t>
        </is>
      </c>
      <c r="U571" s="4" t="n">
        <v>135</v>
      </c>
      <c r="V571" s="2" t="n">
        <v>2.35</v>
      </c>
      <c r="W571" s="4" t="n">
        <v>135</v>
      </c>
      <c r="X571" s="2" t="n">
        <v>1</v>
      </c>
      <c r="Y571" s="5" t="n">
        <v>-1</v>
      </c>
      <c r="Z571" s="7" t="n">
        <v>100</v>
      </c>
      <c r="AA571" s="7">
        <f>Y571*Z571</f>
        <v/>
      </c>
      <c r="AB571" s="6">
        <f>IF(Z571=0,0,AA571/Z571)</f>
        <v/>
      </c>
      <c r="AC571" s="6" t="n"/>
      <c r="AD571" s="2" t="inlineStr">
        <is>
          <t>Loss</t>
        </is>
      </c>
      <c r="AE571" s="6">
        <f>IF((COUNTIF($AD$2:AD571,"Win")+COUNTIF($AD$2:AD571,"Loss"))=0,0,COUNTIF($AD$2:AD571,"Win")/(COUNTIF($AD$2:AD571,"Win")+COUNTIF($AD$2:AD571,"Loss")))</f>
        <v/>
      </c>
      <c r="AF571" s="6">
        <f>SUM($Y$2:Y571)/SUM($X$2:X571)</f>
        <v/>
      </c>
      <c r="AG571" s="5">
        <f>SUM($Y$2:Y571)</f>
        <v/>
      </c>
      <c r="AH571" s="7">
        <f>10000.0+SUM($AA$2:AA571)</f>
        <v/>
      </c>
      <c r="AI571" s="2" t="n">
        <v>2026</v>
      </c>
      <c r="AJ571" s="2" t="inlineStr">
        <is>
          <t>2026-04</t>
        </is>
      </c>
      <c r="AK571" s="2" t="inlineStr">
        <is>
          <t>+121 to +150</t>
        </is>
      </c>
      <c r="AL571" s="2" t="inlineStr">
        <is>
          <t>2026 Frozen Test</t>
        </is>
      </c>
      <c r="AM571" s="6" t="n">
        <v>0.1593236186817792</v>
      </c>
    </row>
    <row r="572">
      <c r="A572" s="2" t="inlineStr">
        <is>
          <t>KPROP-00571</t>
        </is>
      </c>
      <c r="B572" s="3" t="n">
        <v>46124.67403935185</v>
      </c>
      <c r="C572" s="3" t="n">
        <v>46124</v>
      </c>
      <c r="D572" s="2" t="inlineStr">
        <is>
          <t>Logan Gilbert</t>
        </is>
      </c>
      <c r="E572" s="2" t="n">
        <v>136</v>
      </c>
      <c r="F572" s="2" t="n">
        <v>117</v>
      </c>
      <c r="G572" s="2" t="inlineStr">
        <is>
          <t>Home</t>
        </is>
      </c>
      <c r="H572" s="2" t="inlineStr">
        <is>
          <t>bovada</t>
        </is>
      </c>
      <c r="I572" s="4" t="n"/>
      <c r="J572" s="4" t="n"/>
      <c r="K572" s="4" t="n">
        <v>-145</v>
      </c>
      <c r="L572" s="4" t="n">
        <v>-145</v>
      </c>
      <c r="M572" s="5" t="n">
        <v>6.5</v>
      </c>
      <c r="N572" s="5" t="n">
        <v>5.569424880382461</v>
      </c>
      <c r="O572" s="5" t="n">
        <v>6.5</v>
      </c>
      <c r="P572" s="5" t="n">
        <v>0.9305751196175391</v>
      </c>
      <c r="Q572" s="6" t="n">
        <v>0.1406783868690961</v>
      </c>
      <c r="R572" s="6" t="n">
        <v>0.6750953718204854</v>
      </c>
      <c r="S572" s="6" t="n">
        <v>0.5667167742505969</v>
      </c>
      <c r="T572" s="2" t="inlineStr">
        <is>
          <t>Under</t>
        </is>
      </c>
      <c r="U572" s="4" t="n">
        <v>-145</v>
      </c>
      <c r="V572" s="2" t="n">
        <v>1.689655172413793</v>
      </c>
      <c r="W572" s="4" t="n">
        <v>-145</v>
      </c>
      <c r="X572" s="2" t="n">
        <v>1</v>
      </c>
      <c r="Y572" s="5" t="n">
        <v>-1</v>
      </c>
      <c r="Z572" s="7" t="n">
        <v>100</v>
      </c>
      <c r="AA572" s="7">
        <f>Y572*Z572</f>
        <v/>
      </c>
      <c r="AB572" s="6">
        <f>IF(Z572=0,0,AA572/Z572)</f>
        <v/>
      </c>
      <c r="AC572" s="6" t="n"/>
      <c r="AD572" s="2" t="inlineStr">
        <is>
          <t>Loss</t>
        </is>
      </c>
      <c r="AE572" s="6">
        <f>IF((COUNTIF($AD$2:AD572,"Win")+COUNTIF($AD$2:AD572,"Loss"))=0,0,COUNTIF($AD$2:AD572,"Win")/(COUNTIF($AD$2:AD572,"Win")+COUNTIF($AD$2:AD572,"Loss")))</f>
        <v/>
      </c>
      <c r="AF572" s="6">
        <f>SUM($Y$2:Y572)/SUM($X$2:X572)</f>
        <v/>
      </c>
      <c r="AG572" s="5">
        <f>SUM($Y$2:Y572)</f>
        <v/>
      </c>
      <c r="AH572" s="7">
        <f>10000.0+SUM($AA$2:AA572)</f>
        <v/>
      </c>
      <c r="AI572" s="2" t="n">
        <v>2026</v>
      </c>
      <c r="AJ572" s="2" t="inlineStr">
        <is>
          <t>2026-04</t>
        </is>
      </c>
      <c r="AK572" s="2" t="inlineStr">
        <is>
          <t>-149 to -120</t>
        </is>
      </c>
      <c r="AL572" s="2" t="inlineStr">
        <is>
          <t>2026 Frozen Test</t>
        </is>
      </c>
      <c r="AM572" s="6" t="n">
        <v>0.2039836609601893</v>
      </c>
    </row>
    <row r="573">
      <c r="A573" s="2" t="inlineStr">
        <is>
          <t>KPROP-00572</t>
        </is>
      </c>
      <c r="B573" s="3" t="n">
        <v>46124.56640046297</v>
      </c>
      <c r="C573" s="3" t="n">
        <v>46124</v>
      </c>
      <c r="D573" s="2" t="inlineStr">
        <is>
          <t>Max Scherzer</t>
        </is>
      </c>
      <c r="E573" s="2" t="n">
        <v>141</v>
      </c>
      <c r="F573" s="2" t="n">
        <v>142</v>
      </c>
      <c r="G573" s="2" t="inlineStr">
        <is>
          <t>Home</t>
        </is>
      </c>
      <c r="H573" s="2" t="inlineStr">
        <is>
          <t>betonlineag</t>
        </is>
      </c>
      <c r="I573" s="4" t="n"/>
      <c r="J573" s="4" t="n"/>
      <c r="K573" s="4" t="n">
        <v>130</v>
      </c>
      <c r="L573" s="4" t="n">
        <v>130</v>
      </c>
      <c r="M573" s="5" t="n">
        <v>4.5</v>
      </c>
      <c r="N573" s="5" t="n">
        <v>4.729283465203942</v>
      </c>
      <c r="O573" s="5" t="n">
        <v>4.5</v>
      </c>
      <c r="P573" s="5" t="n">
        <v>-0.2292834652039417</v>
      </c>
      <c r="Q573" s="6" t="n">
        <v>0.1251725720903579</v>
      </c>
      <c r="R573" s="6" t="n">
        <v>0.4892054661262426</v>
      </c>
      <c r="S573" s="6" t="n">
        <v>0.4235090751944685</v>
      </c>
      <c r="T573" s="2" t="inlineStr">
        <is>
          <t>Under</t>
        </is>
      </c>
      <c r="U573" s="4" t="n">
        <v>130</v>
      </c>
      <c r="V573" s="2" t="n">
        <v>2.3</v>
      </c>
      <c r="W573" s="4" t="n">
        <v>130</v>
      </c>
      <c r="X573" s="2" t="n">
        <v>1</v>
      </c>
      <c r="Y573" s="5" t="n">
        <v>1.3</v>
      </c>
      <c r="Z573" s="7" t="n">
        <v>100</v>
      </c>
      <c r="AA573" s="7">
        <f>Y573*Z573</f>
        <v/>
      </c>
      <c r="AB573" s="6">
        <f>IF(Z573=0,0,AA573/Z573)</f>
        <v/>
      </c>
      <c r="AC573" s="6" t="n"/>
      <c r="AD573" s="2" t="inlineStr">
        <is>
          <t>Win</t>
        </is>
      </c>
      <c r="AE573" s="6">
        <f>IF((COUNTIF($AD$2:AD573,"Win")+COUNTIF($AD$2:AD573,"Loss"))=0,0,COUNTIF($AD$2:AD573,"Win")/(COUNTIF($AD$2:AD573,"Win")+COUNTIF($AD$2:AD573,"Loss")))</f>
        <v/>
      </c>
      <c r="AF573" s="6">
        <f>SUM($Y$2:Y573)/SUM($X$2:X573)</f>
        <v/>
      </c>
      <c r="AG573" s="5">
        <f>SUM($Y$2:Y573)</f>
        <v/>
      </c>
      <c r="AH573" s="7">
        <f>10000.0+SUM($AA$2:AA573)</f>
        <v/>
      </c>
      <c r="AI573" s="2" t="n">
        <v>2026</v>
      </c>
      <c r="AJ573" s="2" t="inlineStr">
        <is>
          <t>2026-04</t>
        </is>
      </c>
      <c r="AK573" s="2" t="inlineStr">
        <is>
          <t>+121 to +150</t>
        </is>
      </c>
      <c r="AL573" s="2" t="inlineStr">
        <is>
          <t>2026 Frozen Test</t>
        </is>
      </c>
      <c r="AM573" s="6" t="n">
        <v>0.09628659391565995</v>
      </c>
    </row>
    <row r="574">
      <c r="A574" s="2" t="inlineStr">
        <is>
          <t>KPROP-00573</t>
        </is>
      </c>
      <c r="B574" s="3" t="n">
        <v>46124.67403935185</v>
      </c>
      <c r="C574" s="3" t="n">
        <v>46124</v>
      </c>
      <c r="D574" s="2" t="inlineStr">
        <is>
          <t>Nick Pivetta</t>
        </is>
      </c>
      <c r="E574" s="2" t="n">
        <v>135</v>
      </c>
      <c r="F574" s="2" t="n">
        <v>115</v>
      </c>
      <c r="G574" s="2" t="inlineStr">
        <is>
          <t>Home</t>
        </is>
      </c>
      <c r="H574" s="2" t="inlineStr">
        <is>
          <t>bovada</t>
        </is>
      </c>
      <c r="I574" s="4" t="n"/>
      <c r="J574" s="4" t="n"/>
      <c r="K574" s="4" t="n">
        <v>-125</v>
      </c>
      <c r="L574" s="4" t="n">
        <v>-125</v>
      </c>
      <c r="M574" s="5" t="n">
        <v>7.5</v>
      </c>
      <c r="N574" s="5" t="n">
        <v>6.098157997601136</v>
      </c>
      <c r="O574" s="5" t="n">
        <v>7.5</v>
      </c>
      <c r="P574" s="5" t="n">
        <v>1.401842002398864</v>
      </c>
      <c r="Q574" s="6" t="n">
        <v>0.3146457529589876</v>
      </c>
      <c r="R574" s="6" t="n">
        <v>0.730358751643882</v>
      </c>
      <c r="S574" s="6" t="n">
        <v>0.5360824742268041</v>
      </c>
      <c r="T574" s="2" t="inlineStr">
        <is>
          <t>Under</t>
        </is>
      </c>
      <c r="U574" s="4" t="n">
        <v>-125</v>
      </c>
      <c r="V574" s="2" t="n">
        <v>1.8</v>
      </c>
      <c r="W574" s="4" t="n">
        <v>-125</v>
      </c>
      <c r="X574" s="2" t="n">
        <v>1</v>
      </c>
      <c r="Y574" s="5" t="n">
        <v>0.8</v>
      </c>
      <c r="Z574" s="7" t="n">
        <v>100</v>
      </c>
      <c r="AA574" s="7">
        <f>Y574*Z574</f>
        <v/>
      </c>
      <c r="AB574" s="6">
        <f>IF(Z574=0,0,AA574/Z574)</f>
        <v/>
      </c>
      <c r="AC574" s="6" t="n"/>
      <c r="AD574" s="2" t="inlineStr">
        <is>
          <t>Win</t>
        </is>
      </c>
      <c r="AE574" s="6">
        <f>IF((COUNTIF($AD$2:AD574,"Win")+COUNTIF($AD$2:AD574,"Loss"))=0,0,COUNTIF($AD$2:AD574,"Win")/(COUNTIF($AD$2:AD574,"Win")+COUNTIF($AD$2:AD574,"Loss")))</f>
        <v/>
      </c>
      <c r="AF574" s="6">
        <f>SUM($Y$2:Y574)/SUM($X$2:X574)</f>
        <v/>
      </c>
      <c r="AG574" s="5">
        <f>SUM($Y$2:Y574)</f>
        <v/>
      </c>
      <c r="AH574" s="7">
        <f>10000.0+SUM($AA$2:AA574)</f>
        <v/>
      </c>
      <c r="AI574" s="2" t="n">
        <v>2026</v>
      </c>
      <c r="AJ574" s="2" t="inlineStr">
        <is>
          <t>2026-04</t>
        </is>
      </c>
      <c r="AK574" s="2" t="inlineStr">
        <is>
          <t>-149 to -120</t>
        </is>
      </c>
      <c r="AL574" s="2" t="inlineStr">
        <is>
          <t>2026 Frozen Test</t>
        </is>
      </c>
      <c r="AM574" s="6" t="n">
        <v>0.3933071911987344</v>
      </c>
    </row>
    <row r="575">
      <c r="A575" s="2" t="inlineStr">
        <is>
          <t>KPROP-00574</t>
        </is>
      </c>
      <c r="B575" s="3" t="n">
        <v>46124.59070601852</v>
      </c>
      <c r="C575" s="3" t="n">
        <v>46124</v>
      </c>
      <c r="D575" s="2" t="inlineStr">
        <is>
          <t>Noah Cameron</t>
        </is>
      </c>
      <c r="E575" s="2" t="n">
        <v>118</v>
      </c>
      <c r="F575" s="2" t="n">
        <v>145</v>
      </c>
      <c r="G575" s="2" t="inlineStr">
        <is>
          <t>Home</t>
        </is>
      </c>
      <c r="H575" s="2" t="inlineStr">
        <is>
          <t>draftkings</t>
        </is>
      </c>
      <c r="I575" s="4" t="n"/>
      <c r="J575" s="4" t="n"/>
      <c r="K575" s="4" t="n">
        <v>118</v>
      </c>
      <c r="L575" s="4" t="n">
        <v>118</v>
      </c>
      <c r="M575" s="5" t="n">
        <v>4.5</v>
      </c>
      <c r="N575" s="5" t="n">
        <v>4.635464880907063</v>
      </c>
      <c r="O575" s="5" t="n">
        <v>4.5</v>
      </c>
      <c r="P575" s="5" t="n">
        <v>-0.1354648809070627</v>
      </c>
      <c r="Q575" s="6" t="n">
        <v>0.1043857611518193</v>
      </c>
      <c r="R575" s="6" t="n">
        <v>0.5065989730054218</v>
      </c>
      <c r="S575" s="6" t="n">
        <v>0.4549553242069022</v>
      </c>
      <c r="T575" s="2" t="inlineStr">
        <is>
          <t>Under</t>
        </is>
      </c>
      <c r="U575" s="4" t="n">
        <v>118</v>
      </c>
      <c r="V575" s="2" t="n">
        <v>2.18</v>
      </c>
      <c r="W575" s="4" t="n">
        <v>118</v>
      </c>
      <c r="X575" s="2" t="n">
        <v>1</v>
      </c>
      <c r="Y575" s="5" t="n">
        <v>1.18</v>
      </c>
      <c r="Z575" s="7" t="n">
        <v>100</v>
      </c>
      <c r="AA575" s="7">
        <f>Y575*Z575</f>
        <v/>
      </c>
      <c r="AB575" s="6">
        <f>IF(Z575=0,0,AA575/Z575)</f>
        <v/>
      </c>
      <c r="AC575" s="6" t="n"/>
      <c r="AD575" s="2" t="inlineStr">
        <is>
          <t>Win</t>
        </is>
      </c>
      <c r="AE575" s="6">
        <f>IF((COUNTIF($AD$2:AD575,"Win")+COUNTIF($AD$2:AD575,"Loss"))=0,0,COUNTIF($AD$2:AD575,"Win")/(COUNTIF($AD$2:AD575,"Win")+COUNTIF($AD$2:AD575,"Loss")))</f>
        <v/>
      </c>
      <c r="AF575" s="6">
        <f>SUM($Y$2:Y575)/SUM($X$2:X575)</f>
        <v/>
      </c>
      <c r="AG575" s="5">
        <f>SUM($Y$2:Y575)</f>
        <v/>
      </c>
      <c r="AH575" s="7">
        <f>10000.0+SUM($AA$2:AA575)</f>
        <v/>
      </c>
      <c r="AI575" s="2" t="n">
        <v>2026</v>
      </c>
      <c r="AJ575" s="2" t="inlineStr">
        <is>
          <t>2026-04</t>
        </is>
      </c>
      <c r="AK575" s="2" t="inlineStr">
        <is>
          <t>+100 to +120</t>
        </is>
      </c>
      <c r="AL575" s="2" t="inlineStr">
        <is>
          <t>2026 Frozen Test</t>
        </is>
      </c>
      <c r="AM575" s="6" t="n">
        <v>0.08846250945069434</v>
      </c>
    </row>
    <row r="576">
      <c r="A576" s="2" t="inlineStr">
        <is>
          <t>KPROP-00575</t>
        </is>
      </c>
      <c r="B576" s="3" t="n">
        <v>46124.80598379629</v>
      </c>
      <c r="C576" s="3" t="n">
        <v>46124</v>
      </c>
      <c r="D576" s="2" t="inlineStr">
        <is>
          <t>Tanner Bibee</t>
        </is>
      </c>
      <c r="E576" s="2" t="n">
        <v>114</v>
      </c>
      <c r="F576" s="2" t="n">
        <v>144</v>
      </c>
      <c r="G576" s="2" t="inlineStr">
        <is>
          <t>Away</t>
        </is>
      </c>
      <c r="H576" s="2" t="inlineStr">
        <is>
          <t>betrivers</t>
        </is>
      </c>
      <c r="I576" s="4" t="n"/>
      <c r="J576" s="4" t="n"/>
      <c r="K576" s="4" t="n">
        <v>104</v>
      </c>
      <c r="L576" s="4" t="n">
        <v>104</v>
      </c>
      <c r="M576" s="5" t="n">
        <v>4.5</v>
      </c>
      <c r="N576" s="5" t="n">
        <v>4.521023141748282</v>
      </c>
      <c r="O576" s="5" t="n">
        <v>4.5</v>
      </c>
      <c r="P576" s="5" t="n">
        <v>-0.02102314174828201</v>
      </c>
      <c r="Q576" s="6" t="n">
        <v>0.07736059474871637</v>
      </c>
      <c r="R576" s="6" t="n">
        <v>0.5281179386023119</v>
      </c>
      <c r="S576" s="6" t="n">
        <v>0.4705435516542876</v>
      </c>
      <c r="T576" s="2" t="inlineStr">
        <is>
          <t>Under</t>
        </is>
      </c>
      <c r="U576" s="4" t="n">
        <v>104</v>
      </c>
      <c r="V576" s="2" t="n">
        <v>2.04</v>
      </c>
      <c r="W576" s="4" t="n">
        <v>104</v>
      </c>
      <c r="X576" s="2" t="n">
        <v>1</v>
      </c>
      <c r="Y576" s="5" t="n">
        <v>1.04</v>
      </c>
      <c r="Z576" s="7" t="n">
        <v>100</v>
      </c>
      <c r="AA576" s="7">
        <f>Y576*Z576</f>
        <v/>
      </c>
      <c r="AB576" s="6">
        <f>IF(Z576=0,0,AA576/Z576)</f>
        <v/>
      </c>
      <c r="AC576" s="6" t="n"/>
      <c r="AD576" s="2" t="inlineStr">
        <is>
          <t>Win</t>
        </is>
      </c>
      <c r="AE576" s="6">
        <f>IF((COUNTIF($AD$2:AD576,"Win")+COUNTIF($AD$2:AD576,"Loss"))=0,0,COUNTIF($AD$2:AD576,"Win")/(COUNTIF($AD$2:AD576,"Win")+COUNTIF($AD$2:AD576,"Loss")))</f>
        <v/>
      </c>
      <c r="AF576" s="6">
        <f>SUM($Y$2:Y576)/SUM($X$2:X576)</f>
        <v/>
      </c>
      <c r="AG576" s="5">
        <f>SUM($Y$2:Y576)</f>
        <v/>
      </c>
      <c r="AH576" s="7">
        <f>10000.0+SUM($AA$2:AA576)</f>
        <v/>
      </c>
      <c r="AI576" s="2" t="n">
        <v>2026</v>
      </c>
      <c r="AJ576" s="2" t="inlineStr">
        <is>
          <t>2026-04</t>
        </is>
      </c>
      <c r="AK576" s="2" t="inlineStr">
        <is>
          <t>+100 to +120</t>
        </is>
      </c>
      <c r="AL576" s="2" t="inlineStr">
        <is>
          <t>2026 Frozen Test</t>
        </is>
      </c>
      <c r="AM576" s="6" t="n">
        <v>0.07438518725838113</v>
      </c>
    </row>
    <row r="577">
      <c r="A577" s="2" t="inlineStr">
        <is>
          <t>KPROP-00576</t>
        </is>
      </c>
      <c r="B577" s="3" t="n">
        <v>46124.56987268518</v>
      </c>
      <c r="C577" s="3" t="n">
        <v>46124</v>
      </c>
      <c r="D577" s="2" t="inlineStr">
        <is>
          <t>Tarik Skubal</t>
        </is>
      </c>
      <c r="E577" s="2" t="n">
        <v>116</v>
      </c>
      <c r="F577" s="2" t="n">
        <v>146</v>
      </c>
      <c r="G577" s="2" t="inlineStr">
        <is>
          <t>Home</t>
        </is>
      </c>
      <c r="H577" s="2" t="inlineStr">
        <is>
          <t>bovada</t>
        </is>
      </c>
      <c r="I577" s="4" t="n"/>
      <c r="J577" s="4" t="n"/>
      <c r="K577" s="4" t="n">
        <v>105</v>
      </c>
      <c r="L577" s="4" t="n">
        <v>105</v>
      </c>
      <c r="M577" s="5" t="n">
        <v>7.5</v>
      </c>
      <c r="N577" s="5" t="n">
        <v>5.949525818072354</v>
      </c>
      <c r="O577" s="5" t="n">
        <v>7.5</v>
      </c>
      <c r="P577" s="5" t="n">
        <v>1.550474181927646</v>
      </c>
      <c r="Q577" s="6" t="n">
        <v>0.5393433051998515</v>
      </c>
      <c r="R577" s="6" t="n">
        <v>0.7508991732682203</v>
      </c>
      <c r="S577" s="6" t="n">
        <v>0.4740160904544466</v>
      </c>
      <c r="T577" s="2" t="inlineStr">
        <is>
          <t>Under</t>
        </is>
      </c>
      <c r="U577" s="4" t="n">
        <v>105</v>
      </c>
      <c r="V577" s="2" t="n">
        <v>2.05</v>
      </c>
      <c r="W577" s="4" t="n">
        <v>105</v>
      </c>
      <c r="X577" s="2" t="n">
        <v>1</v>
      </c>
      <c r="Y577" s="5" t="n">
        <v>1.05</v>
      </c>
      <c r="Z577" s="7" t="n">
        <v>100</v>
      </c>
      <c r="AA577" s="7">
        <f>Y577*Z577</f>
        <v/>
      </c>
      <c r="AB577" s="6">
        <f>IF(Z577=0,0,AA577/Z577)</f>
        <v/>
      </c>
      <c r="AC577" s="6" t="n"/>
      <c r="AD577" s="2" t="inlineStr">
        <is>
          <t>Win</t>
        </is>
      </c>
      <c r="AE577" s="6">
        <f>IF((COUNTIF($AD$2:AD577,"Win")+COUNTIF($AD$2:AD577,"Loss"))=0,0,COUNTIF($AD$2:AD577,"Win")/(COUNTIF($AD$2:AD577,"Win")+COUNTIF($AD$2:AD577,"Loss")))</f>
        <v/>
      </c>
      <c r="AF577" s="6">
        <f>SUM($Y$2:Y577)/SUM($X$2:X577)</f>
        <v/>
      </c>
      <c r="AG577" s="5">
        <f>SUM($Y$2:Y577)</f>
        <v/>
      </c>
      <c r="AH577" s="7">
        <f>10000.0+SUM($AA$2:AA577)</f>
        <v/>
      </c>
      <c r="AI577" s="2" t="n">
        <v>2026</v>
      </c>
      <c r="AJ577" s="2" t="inlineStr">
        <is>
          <t>2026-04</t>
        </is>
      </c>
      <c r="AK577" s="2" t="inlineStr">
        <is>
          <t>+100 to +120</t>
        </is>
      </c>
      <c r="AL577" s="2" t="inlineStr">
        <is>
          <t>2026 Frozen Test</t>
        </is>
      </c>
      <c r="AM577" s="6" t="n">
        <v>0.5136602906665253</v>
      </c>
    </row>
    <row r="578">
      <c r="A578" s="2" t="inlineStr">
        <is>
          <t>KPROP-00577</t>
        </is>
      </c>
      <c r="B578" s="3" t="n">
        <v>46124.56640046297</v>
      </c>
      <c r="C578" s="3" t="n">
        <v>46124</v>
      </c>
      <c r="D578" s="2" t="inlineStr">
        <is>
          <t>Zac Gallen</t>
        </is>
      </c>
      <c r="E578" s="2" t="n">
        <v>109</v>
      </c>
      <c r="F578" s="2" t="n">
        <v>143</v>
      </c>
      <c r="G578" s="2" t="inlineStr">
        <is>
          <t>Away</t>
        </is>
      </c>
      <c r="H578" s="2" t="inlineStr">
        <is>
          <t>betmgm</t>
        </is>
      </c>
      <c r="I578" s="4" t="n"/>
      <c r="J578" s="4" t="n"/>
      <c r="K578" s="4" t="n">
        <v>-125</v>
      </c>
      <c r="L578" s="4" t="n">
        <v>-125</v>
      </c>
      <c r="M578" s="5" t="n">
        <v>5.5</v>
      </c>
      <c r="N578" s="5" t="n">
        <v>4.694363063676444</v>
      </c>
      <c r="O578" s="5" t="n">
        <v>5.5</v>
      </c>
      <c r="P578" s="5" t="n">
        <v>0.8056369363235563</v>
      </c>
      <c r="Q578" s="6" t="n">
        <v>0.2049527146567284</v>
      </c>
      <c r="R578" s="6" t="n">
        <v>0.6694181748092936</v>
      </c>
      <c r="S578" s="6" t="n">
        <v>0.5511221945137158</v>
      </c>
      <c r="T578" s="2" t="inlineStr">
        <is>
          <t>Under</t>
        </is>
      </c>
      <c r="U578" s="4" t="n">
        <v>-125</v>
      </c>
      <c r="V578" s="2" t="n">
        <v>1.8</v>
      </c>
      <c r="W578" s="4" t="n">
        <v>-125</v>
      </c>
      <c r="X578" s="2" t="n">
        <v>1</v>
      </c>
      <c r="Y578" s="5" t="n">
        <v>0.8</v>
      </c>
      <c r="Z578" s="7" t="n">
        <v>100</v>
      </c>
      <c r="AA578" s="7">
        <f>Y578*Z578</f>
        <v/>
      </c>
      <c r="AB578" s="6">
        <f>IF(Z578=0,0,AA578/Z578)</f>
        <v/>
      </c>
      <c r="AC578" s="6" t="n"/>
      <c r="AD578" s="2" t="inlineStr">
        <is>
          <t>Win</t>
        </is>
      </c>
      <c r="AE578" s="6">
        <f>IF((COUNTIF($AD$2:AD578,"Win")+COUNTIF($AD$2:AD578,"Loss"))=0,0,COUNTIF($AD$2:AD578,"Win")/(COUNTIF($AD$2:AD578,"Win")+COUNTIF($AD$2:AD578,"Loss")))</f>
        <v/>
      </c>
      <c r="AF578" s="6">
        <f>SUM($Y$2:Y578)/SUM($X$2:X578)</f>
        <v/>
      </c>
      <c r="AG578" s="5">
        <f>SUM($Y$2:Y578)</f>
        <v/>
      </c>
      <c r="AH578" s="7">
        <f>10000.0+SUM($AA$2:AA578)</f>
        <v/>
      </c>
      <c r="AI578" s="2" t="n">
        <v>2026</v>
      </c>
      <c r="AJ578" s="2" t="inlineStr">
        <is>
          <t>2026-04</t>
        </is>
      </c>
      <c r="AK578" s="2" t="inlineStr">
        <is>
          <t>-149 to -120</t>
        </is>
      </c>
      <c r="AL578" s="2" t="inlineStr">
        <is>
          <t>2026 Frozen Test</t>
        </is>
      </c>
      <c r="AM578" s="6" t="n">
        <v>0.2561908933209104</v>
      </c>
    </row>
    <row r="579">
      <c r="A579" s="2" t="inlineStr">
        <is>
          <t>KPROP-00578</t>
        </is>
      </c>
      <c r="B579" s="3" t="n">
        <v>46125.77821759259</v>
      </c>
      <c r="C579" s="3" t="n">
        <v>46125</v>
      </c>
      <c r="D579" s="2" t="inlineStr">
        <is>
          <t>Cristopher Sánchez</t>
        </is>
      </c>
      <c r="E579" s="2" t="n">
        <v>143</v>
      </c>
      <c r="F579" s="2" t="n">
        <v>112</v>
      </c>
      <c r="G579" s="2" t="inlineStr">
        <is>
          <t>Home</t>
        </is>
      </c>
      <c r="H579" s="2" t="inlineStr">
        <is>
          <t>draftkings</t>
        </is>
      </c>
      <c r="I579" s="4" t="n"/>
      <c r="J579" s="4" t="n"/>
      <c r="K579" s="4" t="n">
        <v>-132</v>
      </c>
      <c r="L579" s="4" t="n">
        <v>-132</v>
      </c>
      <c r="M579" s="5" t="n">
        <v>6.5</v>
      </c>
      <c r="N579" s="5" t="n">
        <v>5.760280751404272</v>
      </c>
      <c r="O579" s="5" t="n">
        <v>6.5</v>
      </c>
      <c r="P579" s="5" t="n">
        <v>0.739719248595728</v>
      </c>
      <c r="Q579" s="6" t="n">
        <v>0.1331875002439889</v>
      </c>
      <c r="R579" s="6" t="n">
        <v>0.6447446122077868</v>
      </c>
      <c r="S579" s="6" t="n">
        <v>0.555895865237366</v>
      </c>
      <c r="T579" s="2" t="inlineStr">
        <is>
          <t>Under</t>
        </is>
      </c>
      <c r="U579" s="4" t="n">
        <v>-132</v>
      </c>
      <c r="V579" s="2" t="n">
        <v>1.757575757575758</v>
      </c>
      <c r="W579" s="4" t="n">
        <v>-132</v>
      </c>
      <c r="X579" s="2" t="n">
        <v>1</v>
      </c>
      <c r="Y579" s="5" t="n">
        <v>-1</v>
      </c>
      <c r="Z579" s="7" t="n">
        <v>100</v>
      </c>
      <c r="AA579" s="7">
        <f>Y579*Z579</f>
        <v/>
      </c>
      <c r="AB579" s="6">
        <f>IF(Z579=0,0,AA579/Z579)</f>
        <v/>
      </c>
      <c r="AC579" s="6" t="n"/>
      <c r="AD579" s="2" t="inlineStr">
        <is>
          <t>Loss</t>
        </is>
      </c>
      <c r="AE579" s="6">
        <f>IF((COUNTIF($AD$2:AD579,"Win")+COUNTIF($AD$2:AD579,"Loss"))=0,0,COUNTIF($AD$2:AD579,"Win")/(COUNTIF($AD$2:AD579,"Win")+COUNTIF($AD$2:AD579,"Loss")))</f>
        <v/>
      </c>
      <c r="AF579" s="6">
        <f>SUM($Y$2:Y579)/SUM($X$2:X579)</f>
        <v/>
      </c>
      <c r="AG579" s="5">
        <f>SUM($Y$2:Y579)</f>
        <v/>
      </c>
      <c r="AH579" s="7">
        <f>10000.0+SUM($AA$2:AA579)</f>
        <v/>
      </c>
      <c r="AI579" s="2" t="n">
        <v>2026</v>
      </c>
      <c r="AJ579" s="2" t="inlineStr">
        <is>
          <t>2026-04</t>
        </is>
      </c>
      <c r="AK579" s="2" t="inlineStr">
        <is>
          <t>-149 to -120</t>
        </is>
      </c>
      <c r="AL579" s="2" t="inlineStr">
        <is>
          <t>2026 Frozen Test</t>
        </is>
      </c>
      <c r="AM579" s="6" t="n">
        <v>0.1758075003220654</v>
      </c>
    </row>
    <row r="580">
      <c r="A580" s="2" t="inlineStr">
        <is>
          <t>KPROP-00579</t>
        </is>
      </c>
      <c r="B580" s="3" t="n">
        <v>46125.81988425926</v>
      </c>
      <c r="C580" s="3" t="n">
        <v>46125</v>
      </c>
      <c r="D580" s="2" t="inlineStr">
        <is>
          <t>Garrett Crochet</t>
        </is>
      </c>
      <c r="E580" s="2" t="n">
        <v>111</v>
      </c>
      <c r="F580" s="2" t="n">
        <v>142</v>
      </c>
      <c r="G580" s="2" t="inlineStr">
        <is>
          <t>Away</t>
        </is>
      </c>
      <c r="H580" s="2" t="inlineStr">
        <is>
          <t>betmgm</t>
        </is>
      </c>
      <c r="I580" s="4" t="n"/>
      <c r="J580" s="4" t="n"/>
      <c r="K580" s="4" t="n">
        <v>-110</v>
      </c>
      <c r="L580" s="4" t="n">
        <v>-110</v>
      </c>
      <c r="M580" s="5" t="n">
        <v>7.5</v>
      </c>
      <c r="N580" s="5" t="n">
        <v>6.6691674957043</v>
      </c>
      <c r="O580" s="5" t="n">
        <v>7.5</v>
      </c>
      <c r="P580" s="5" t="n">
        <v>0.8308325042957003</v>
      </c>
      <c r="Q580" s="6" t="n">
        <v>0.2368571036263496</v>
      </c>
      <c r="R580" s="6" t="n">
        <v>0.647877530470945</v>
      </c>
      <c r="S580" s="6" t="n">
        <v>0.4989251934651763</v>
      </c>
      <c r="T580" s="2" t="inlineStr">
        <is>
          <t>Under</t>
        </is>
      </c>
      <c r="U580" s="4" t="n">
        <v>-110</v>
      </c>
      <c r="V580" s="2" t="n">
        <v>1.909090909090909</v>
      </c>
      <c r="W580" s="4" t="n">
        <v>-110</v>
      </c>
      <c r="X580" s="2" t="n">
        <v>1</v>
      </c>
      <c r="Y580" s="5" t="n">
        <v>0.9090909090909092</v>
      </c>
      <c r="Z580" s="7" t="n">
        <v>100</v>
      </c>
      <c r="AA580" s="7">
        <f>Y580*Z580</f>
        <v/>
      </c>
      <c r="AB580" s="6">
        <f>IF(Z580=0,0,AA580/Z580)</f>
        <v/>
      </c>
      <c r="AC580" s="6" t="n"/>
      <c r="AD580" s="2" t="inlineStr">
        <is>
          <t>Win</t>
        </is>
      </c>
      <c r="AE580" s="6">
        <f>IF((COUNTIF($AD$2:AD580,"Win")+COUNTIF($AD$2:AD580,"Loss"))=0,0,COUNTIF($AD$2:AD580,"Win")/(COUNTIF($AD$2:AD580,"Win")+COUNTIF($AD$2:AD580,"Loss")))</f>
        <v/>
      </c>
      <c r="AF580" s="6">
        <f>SUM($Y$2:Y580)/SUM($X$2:X580)</f>
        <v/>
      </c>
      <c r="AG580" s="5">
        <f>SUM($Y$2:Y580)</f>
        <v/>
      </c>
      <c r="AH580" s="7">
        <f>10000.0+SUM($AA$2:AA580)</f>
        <v/>
      </c>
      <c r="AI580" s="2" t="n">
        <v>2026</v>
      </c>
      <c r="AJ580" s="2" t="inlineStr">
        <is>
          <t>2026-04</t>
        </is>
      </c>
      <c r="AK580" s="2" t="inlineStr">
        <is>
          <t>-119 to -101</t>
        </is>
      </c>
      <c r="AL580" s="2" t="inlineStr">
        <is>
          <t>2026 Frozen Test</t>
        </is>
      </c>
      <c r="AM580" s="6" t="n">
        <v>0.2605428139889845</v>
      </c>
    </row>
    <row r="581">
      <c r="A581" s="2" t="inlineStr">
        <is>
          <t>KPROP-00580</t>
        </is>
      </c>
      <c r="B581" s="3" t="n">
        <v>46125.80252314815</v>
      </c>
      <c r="C581" s="3" t="n">
        <v>46125</v>
      </c>
      <c r="D581" s="2" t="inlineStr">
        <is>
          <t>Grant Holmes</t>
        </is>
      </c>
      <c r="E581" s="2" t="n">
        <v>144</v>
      </c>
      <c r="F581" s="2" t="n">
        <v>146</v>
      </c>
      <c r="G581" s="2" t="inlineStr">
        <is>
          <t>Home</t>
        </is>
      </c>
      <c r="H581" s="2" t="inlineStr">
        <is>
          <t>betrivers</t>
        </is>
      </c>
      <c r="I581" s="4" t="n"/>
      <c r="J581" s="4" t="n"/>
      <c r="K581" s="4" t="n">
        <v>145</v>
      </c>
      <c r="L581" s="4" t="n">
        <v>145</v>
      </c>
      <c r="M581" s="5" t="n">
        <v>4.5</v>
      </c>
      <c r="N581" s="5" t="n">
        <v>4.790823127414338</v>
      </c>
      <c r="O581" s="5" t="n">
        <v>4.5</v>
      </c>
      <c r="P581" s="5" t="n">
        <v>-0.2908231274143382</v>
      </c>
      <c r="Q581" s="6" t="n">
        <v>0.1709296836105981</v>
      </c>
      <c r="R581" s="6" t="n">
        <v>0.4779304831063665</v>
      </c>
      <c r="S581" s="6" t="n">
        <v>0.3987730061349693</v>
      </c>
      <c r="T581" s="2" t="inlineStr">
        <is>
          <t>Under</t>
        </is>
      </c>
      <c r="U581" s="4" t="n">
        <v>145</v>
      </c>
      <c r="V581" s="2" t="n">
        <v>2.45</v>
      </c>
      <c r="W581" s="4" t="n">
        <v>145</v>
      </c>
      <c r="X581" s="2" t="n">
        <v>1</v>
      </c>
      <c r="Y581" s="5" t="n">
        <v>1.45</v>
      </c>
      <c r="Z581" s="7" t="n">
        <v>100</v>
      </c>
      <c r="AA581" s="7">
        <f>Y581*Z581</f>
        <v/>
      </c>
      <c r="AB581" s="6">
        <f>IF(Z581=0,0,AA581/Z581)</f>
        <v/>
      </c>
      <c r="AC581" s="6" t="n"/>
      <c r="AD581" s="2" t="inlineStr">
        <is>
          <t>Win</t>
        </is>
      </c>
      <c r="AE581" s="6">
        <f>IF((COUNTIF($AD$2:AD581,"Win")+COUNTIF($AD$2:AD581,"Loss"))=0,0,COUNTIF($AD$2:AD581,"Win")/(COUNTIF($AD$2:AD581,"Win")+COUNTIF($AD$2:AD581,"Loss")))</f>
        <v/>
      </c>
      <c r="AF581" s="6">
        <f>SUM($Y$2:Y581)/SUM($X$2:X581)</f>
        <v/>
      </c>
      <c r="AG581" s="5">
        <f>SUM($Y$2:Y581)</f>
        <v/>
      </c>
      <c r="AH581" s="7">
        <f>10000.0+SUM($AA$2:AA581)</f>
        <v/>
      </c>
      <c r="AI581" s="2" t="n">
        <v>2026</v>
      </c>
      <c r="AJ581" s="2" t="inlineStr">
        <is>
          <t>2026-04</t>
        </is>
      </c>
      <c r="AK581" s="2" t="inlineStr">
        <is>
          <t>+121 to +150</t>
        </is>
      </c>
      <c r="AL581" s="2" t="inlineStr">
        <is>
          <t>2026 Frozen Test</t>
        </is>
      </c>
      <c r="AM581" s="6" t="n">
        <v>0.1178825404211021</v>
      </c>
    </row>
    <row r="582">
      <c r="A582" s="2" t="inlineStr">
        <is>
          <t>KPROP-00581</t>
        </is>
      </c>
      <c r="B582" s="3" t="n">
        <v>46125.80252314815</v>
      </c>
      <c r="C582" s="3" t="n">
        <v>46125</v>
      </c>
      <c r="D582" s="2" t="inlineStr">
        <is>
          <t>Grant Holmes</t>
        </is>
      </c>
      <c r="E582" s="2" t="n">
        <v>144</v>
      </c>
      <c r="F582" s="2" t="n">
        <v>146</v>
      </c>
      <c r="G582" s="2" t="inlineStr">
        <is>
          <t>Home</t>
        </is>
      </c>
      <c r="H582" s="2" t="inlineStr">
        <is>
          <t>betrivers</t>
        </is>
      </c>
      <c r="I582" s="4" t="n"/>
      <c r="J582" s="4" t="n"/>
      <c r="K582" s="4" t="n">
        <v>-143</v>
      </c>
      <c r="L582" s="4" t="n">
        <v>-143</v>
      </c>
      <c r="M582" s="5" t="n">
        <v>5.5</v>
      </c>
      <c r="N582" s="5" t="n">
        <v>4.790823127414338</v>
      </c>
      <c r="O582" s="5" t="n">
        <v>5.5</v>
      </c>
      <c r="P582" s="5" t="n">
        <v>0.7091768725856618</v>
      </c>
      <c r="Q582" s="6" t="n">
        <v>0.1089802267331857</v>
      </c>
      <c r="R582" s="6" t="n">
        <v>0.6526097630569776</v>
      </c>
      <c r="S582" s="6" t="n">
        <v>0.5630832299476779</v>
      </c>
      <c r="T582" s="2" t="inlineStr">
        <is>
          <t>Under</t>
        </is>
      </c>
      <c r="U582" s="4" t="n">
        <v>-143</v>
      </c>
      <c r="V582" s="2" t="n">
        <v>1.699300699300699</v>
      </c>
      <c r="W582" s="4" t="n">
        <v>-143</v>
      </c>
      <c r="X582" s="2" t="n">
        <v>1</v>
      </c>
      <c r="Y582" s="5" t="n">
        <v>0.6993006993006992</v>
      </c>
      <c r="Z582" s="7" t="n">
        <v>100</v>
      </c>
      <c r="AA582" s="7">
        <f>Y582*Z582</f>
        <v/>
      </c>
      <c r="AB582" s="6">
        <f>IF(Z582=0,0,AA582/Z582)</f>
        <v/>
      </c>
      <c r="AC582" s="6" t="n"/>
      <c r="AD582" s="2" t="inlineStr">
        <is>
          <t>Win</t>
        </is>
      </c>
      <c r="AE582" s="6">
        <f>IF((COUNTIF($AD$2:AD582,"Win")+COUNTIF($AD$2:AD582,"Loss"))=0,0,COUNTIF($AD$2:AD582,"Win")/(COUNTIF($AD$2:AD582,"Win")+COUNTIF($AD$2:AD582,"Loss")))</f>
        <v/>
      </c>
      <c r="AF582" s="6">
        <f>SUM($Y$2:Y582)/SUM($X$2:X582)</f>
        <v/>
      </c>
      <c r="AG582" s="5">
        <f>SUM($Y$2:Y582)</f>
        <v/>
      </c>
      <c r="AH582" s="7">
        <f>10000.0+SUM($AA$2:AA582)</f>
        <v/>
      </c>
      <c r="AI582" s="2" t="n">
        <v>2026</v>
      </c>
      <c r="AJ582" s="2" t="inlineStr">
        <is>
          <t>2026-04</t>
        </is>
      </c>
      <c r="AK582" s="2" t="inlineStr">
        <is>
          <t>-149 to -120</t>
        </is>
      </c>
      <c r="AL582" s="2" t="inlineStr">
        <is>
          <t>2026 Frozen Test</t>
        </is>
      </c>
      <c r="AM582" s="6" t="n">
        <v>0.1558417242284555</v>
      </c>
    </row>
    <row r="583">
      <c r="A583" s="2" t="inlineStr">
        <is>
          <t>KPROP-00582</t>
        </is>
      </c>
      <c r="B583" s="3" t="n">
        <v>46125.77821759259</v>
      </c>
      <c r="C583" s="3" t="n">
        <v>46125</v>
      </c>
      <c r="D583" s="2" t="inlineStr">
        <is>
          <t>Paul Skenes</t>
        </is>
      </c>
      <c r="E583" s="2" t="n">
        <v>134</v>
      </c>
      <c r="F583" s="2" t="n">
        <v>120</v>
      </c>
      <c r="G583" s="2" t="inlineStr">
        <is>
          <t>Home</t>
        </is>
      </c>
      <c r="H583" s="2" t="inlineStr">
        <is>
          <t>draftkings</t>
        </is>
      </c>
      <c r="I583" s="4" t="n"/>
      <c r="J583" s="4" t="n"/>
      <c r="K583" s="4" t="n">
        <v>109</v>
      </c>
      <c r="L583" s="4" t="n">
        <v>109</v>
      </c>
      <c r="M583" s="5" t="n">
        <v>6.5</v>
      </c>
      <c r="N583" s="5" t="n">
        <v>5.631090300472817</v>
      </c>
      <c r="O583" s="5" t="n">
        <v>6.5</v>
      </c>
      <c r="P583" s="5" t="n">
        <v>0.8689096995271832</v>
      </c>
      <c r="Q583" s="6" t="n">
        <v>0.3905352513515172</v>
      </c>
      <c r="R583" s="6" t="n">
        <v>0.6653278714600561</v>
      </c>
      <c r="S583" s="6" t="n">
        <v>0.4721642692434392</v>
      </c>
      <c r="T583" s="2" t="inlineStr">
        <is>
          <t>Under</t>
        </is>
      </c>
      <c r="U583" s="4" t="n">
        <v>109</v>
      </c>
      <c r="V583" s="2" t="n">
        <v>2.09</v>
      </c>
      <c r="W583" s="4" t="n">
        <v>109</v>
      </c>
      <c r="X583" s="2" t="n">
        <v>1</v>
      </c>
      <c r="Y583" s="5" t="n">
        <v>1.09</v>
      </c>
      <c r="Z583" s="7" t="n">
        <v>100</v>
      </c>
      <c r="AA583" s="7">
        <f>Y583*Z583</f>
        <v/>
      </c>
      <c r="AB583" s="6">
        <f>IF(Z583=0,0,AA583/Z583)</f>
        <v/>
      </c>
      <c r="AC583" s="6" t="n"/>
      <c r="AD583" s="2" t="inlineStr">
        <is>
          <t>Win</t>
        </is>
      </c>
      <c r="AE583" s="6">
        <f>IF((COUNTIF($AD$2:AD583,"Win")+COUNTIF($AD$2:AD583,"Loss"))=0,0,COUNTIF($AD$2:AD583,"Win")/(COUNTIF($AD$2:AD583,"Win")+COUNTIF($AD$2:AD583,"Loss")))</f>
        <v/>
      </c>
      <c r="AF583" s="6">
        <f>SUM($Y$2:Y583)/SUM($X$2:X583)</f>
        <v/>
      </c>
      <c r="AG583" s="5">
        <f>SUM($Y$2:Y583)</f>
        <v/>
      </c>
      <c r="AH583" s="7">
        <f>10000.0+SUM($AA$2:AA583)</f>
        <v/>
      </c>
      <c r="AI583" s="2" t="n">
        <v>2026</v>
      </c>
      <c r="AJ583" s="2" t="inlineStr">
        <is>
          <t>2026-04</t>
        </is>
      </c>
      <c r="AK583" s="2" t="inlineStr">
        <is>
          <t>+100 to +120</t>
        </is>
      </c>
      <c r="AL583" s="2" t="inlineStr">
        <is>
          <t>2026 Frozen Test</t>
        </is>
      </c>
      <c r="AM583" s="6" t="n">
        <v>0.3582892214234104</v>
      </c>
    </row>
    <row r="584">
      <c r="A584" s="2" t="inlineStr">
        <is>
          <t>KPROP-00583</t>
        </is>
      </c>
      <c r="B584" s="3" t="n">
        <v>46125.79556712963</v>
      </c>
      <c r="C584" s="3" t="n">
        <v>46125</v>
      </c>
      <c r="D584" s="2" t="inlineStr">
        <is>
          <t>Will Warren</t>
        </is>
      </c>
      <c r="E584" s="2" t="n">
        <v>147</v>
      </c>
      <c r="F584" s="2" t="n">
        <v>108</v>
      </c>
      <c r="G584" s="2" t="inlineStr">
        <is>
          <t>Home</t>
        </is>
      </c>
      <c r="H584" s="2" t="inlineStr">
        <is>
          <t>betmgm</t>
        </is>
      </c>
      <c r="I584" s="4" t="n"/>
      <c r="J584" s="4" t="n"/>
      <c r="K584" s="4" t="n">
        <v>120</v>
      </c>
      <c r="L584" s="4" t="n">
        <v>120</v>
      </c>
      <c r="M584" s="5" t="n">
        <v>5.5</v>
      </c>
      <c r="N584" s="5" t="n">
        <v>5.150479137848643</v>
      </c>
      <c r="O584" s="5" t="n">
        <v>5.5</v>
      </c>
      <c r="P584" s="5" t="n">
        <v>0.3495208621513575</v>
      </c>
      <c r="Q584" s="6" t="n">
        <v>0.2970674166412114</v>
      </c>
      <c r="R584" s="6" t="n">
        <v>0.5895760984732779</v>
      </c>
      <c r="S584" s="6" t="n">
        <v>0.4465678627145086</v>
      </c>
      <c r="T584" s="2" t="inlineStr">
        <is>
          <t>Under</t>
        </is>
      </c>
      <c r="U584" s="4" t="n">
        <v>120</v>
      </c>
      <c r="V584" s="2" t="n">
        <v>2.2</v>
      </c>
      <c r="W584" s="4" t="n">
        <v>120</v>
      </c>
      <c r="X584" s="2" t="n">
        <v>1</v>
      </c>
      <c r="Y584" s="5" t="n">
        <v>-1</v>
      </c>
      <c r="Z584" s="7" t="n">
        <v>100</v>
      </c>
      <c r="AA584" s="7">
        <f>Y584*Z584</f>
        <v/>
      </c>
      <c r="AB584" s="6">
        <f>IF(Z584=0,0,AA584/Z584)</f>
        <v/>
      </c>
      <c r="AC584" s="6" t="n"/>
      <c r="AD584" s="2" t="inlineStr">
        <is>
          <t>Loss</t>
        </is>
      </c>
      <c r="AE584" s="6">
        <f>IF((COUNTIF($AD$2:AD584,"Win")+COUNTIF($AD$2:AD584,"Loss"))=0,0,COUNTIF($AD$2:AD584,"Win")/(COUNTIF($AD$2:AD584,"Win")+COUNTIF($AD$2:AD584,"Loss")))</f>
        <v/>
      </c>
      <c r="AF584" s="6">
        <f>SUM($Y$2:Y584)/SUM($X$2:X584)</f>
        <v/>
      </c>
      <c r="AG584" s="5">
        <f>SUM($Y$2:Y584)</f>
        <v/>
      </c>
      <c r="AH584" s="7">
        <f>10000.0+SUM($AA$2:AA584)</f>
        <v/>
      </c>
      <c r="AI584" s="2" t="n">
        <v>2026</v>
      </c>
      <c r="AJ584" s="2" t="inlineStr">
        <is>
          <t>2026-04</t>
        </is>
      </c>
      <c r="AK584" s="2" t="inlineStr">
        <is>
          <t>+100 to +120</t>
        </is>
      </c>
      <c r="AL584" s="2" t="inlineStr">
        <is>
          <t>2026 Frozen Test</t>
        </is>
      </c>
      <c r="AM584" s="6" t="n">
        <v>0.2475561805343428</v>
      </c>
    </row>
    <row r="585">
      <c r="A585" s="2" t="inlineStr">
        <is>
          <t>KPROP-00584</t>
        </is>
      </c>
      <c r="B585" s="3" t="n">
        <v>46125.79556712963</v>
      </c>
      <c r="C585" s="3" t="n">
        <v>46125</v>
      </c>
      <c r="D585" s="2" t="inlineStr">
        <is>
          <t>Yusei Kikuchi</t>
        </is>
      </c>
      <c r="E585" s="2" t="n">
        <v>108</v>
      </c>
      <c r="F585" s="2" t="n">
        <v>147</v>
      </c>
      <c r="G585" s="2" t="inlineStr">
        <is>
          <t>Away</t>
        </is>
      </c>
      <c r="H585" s="2" t="inlineStr">
        <is>
          <t>betrivers</t>
        </is>
      </c>
      <c r="I585" s="4" t="n"/>
      <c r="J585" s="4" t="n"/>
      <c r="K585" s="4" t="n">
        <v>-132</v>
      </c>
      <c r="L585" s="4" t="n">
        <v>-132</v>
      </c>
      <c r="M585" s="5" t="n">
        <v>5.5</v>
      </c>
      <c r="N585" s="5" t="n">
        <v>4.980028239689363</v>
      </c>
      <c r="O585" s="5" t="n">
        <v>5.5</v>
      </c>
      <c r="P585" s="5" t="n">
        <v>0.5199717603106366</v>
      </c>
      <c r="Q585" s="6" t="n">
        <v>0.0887566673667321</v>
      </c>
      <c r="R585" s="6" t="n">
        <v>0.6194650003983131</v>
      </c>
      <c r="S585" s="6" t="n">
        <v>0.5443833464257659</v>
      </c>
      <c r="T585" s="2" t="inlineStr">
        <is>
          <t>Under</t>
        </is>
      </c>
      <c r="U585" s="4" t="n">
        <v>-132</v>
      </c>
      <c r="V585" s="2" t="n">
        <v>1.757575757575758</v>
      </c>
      <c r="W585" s="4" t="n">
        <v>-132</v>
      </c>
      <c r="X585" s="2" t="n">
        <v>1</v>
      </c>
      <c r="Y585" s="5" t="n">
        <v>0.7575757575757576</v>
      </c>
      <c r="Z585" s="7" t="n">
        <v>100</v>
      </c>
      <c r="AA585" s="7">
        <f>Y585*Z585</f>
        <v/>
      </c>
      <c r="AB585" s="6">
        <f>IF(Z585=0,0,AA585/Z585)</f>
        <v/>
      </c>
      <c r="AC585" s="6" t="n"/>
      <c r="AD585" s="2" t="inlineStr">
        <is>
          <t>Win</t>
        </is>
      </c>
      <c r="AE585" s="6">
        <f>IF((COUNTIF($AD$2:AD585,"Win")+COUNTIF($AD$2:AD585,"Loss"))=0,0,COUNTIF($AD$2:AD585,"Win")/(COUNTIF($AD$2:AD585,"Win")+COUNTIF($AD$2:AD585,"Loss")))</f>
        <v/>
      </c>
      <c r="AF585" s="6">
        <f>SUM($Y$2:Y585)/SUM($X$2:X585)</f>
        <v/>
      </c>
      <c r="AG585" s="5">
        <f>SUM($Y$2:Y585)</f>
        <v/>
      </c>
      <c r="AH585" s="7">
        <f>10000.0+SUM($AA$2:AA585)</f>
        <v/>
      </c>
      <c r="AI585" s="2" t="n">
        <v>2026</v>
      </c>
      <c r="AJ585" s="2" t="inlineStr">
        <is>
          <t>2026-04</t>
        </is>
      </c>
      <c r="AK585" s="2" t="inlineStr">
        <is>
          <t>-149 to -120</t>
        </is>
      </c>
      <c r="AL585" s="2" t="inlineStr">
        <is>
          <t>2026 Frozen Test</t>
        </is>
      </c>
      <c r="AM585" s="6" t="n">
        <v>0.1171588009240864</v>
      </c>
    </row>
    <row r="586">
      <c r="A586" s="2" t="inlineStr">
        <is>
          <t>KPROP-00585</t>
        </is>
      </c>
      <c r="B586" s="3" t="n">
        <v>46126.77474537037</v>
      </c>
      <c r="C586" s="3" t="n">
        <v>46126</v>
      </c>
      <c r="D586" s="2" t="inlineStr">
        <is>
          <t>Aaron Nola</t>
        </is>
      </c>
      <c r="E586" s="2" t="n">
        <v>143</v>
      </c>
      <c r="F586" s="2" t="n">
        <v>112</v>
      </c>
      <c r="G586" s="2" t="inlineStr">
        <is>
          <t>Home</t>
        </is>
      </c>
      <c r="H586" s="2" t="inlineStr">
        <is>
          <t>betmgm</t>
        </is>
      </c>
      <c r="I586" s="4" t="n"/>
      <c r="J586" s="4" t="n"/>
      <c r="K586" s="4" t="n">
        <v>-135</v>
      </c>
      <c r="L586" s="4" t="n">
        <v>-135</v>
      </c>
      <c r="M586" s="5" t="n">
        <v>5.5</v>
      </c>
      <c r="N586" s="5" t="n">
        <v>4.93245570663885</v>
      </c>
      <c r="O586" s="5" t="n">
        <v>5.5</v>
      </c>
      <c r="P586" s="5" t="n">
        <v>0.5675442933611503</v>
      </c>
      <c r="Q586" s="6" t="n">
        <v>0.09285559324758214</v>
      </c>
      <c r="R586" s="6" t="n">
        <v>0.6278106599507387</v>
      </c>
      <c r="S586" s="6" t="n">
        <v>0.5627093412727949</v>
      </c>
      <c r="T586" s="2" t="inlineStr">
        <is>
          <t>Under</t>
        </is>
      </c>
      <c r="U586" s="4" t="n">
        <v>-135</v>
      </c>
      <c r="V586" s="2" t="n">
        <v>1.740740740740741</v>
      </c>
      <c r="W586" s="4" t="n">
        <v>-135</v>
      </c>
      <c r="X586" s="2" t="n">
        <v>1</v>
      </c>
      <c r="Y586" s="5" t="n">
        <v>0.7407407407407407</v>
      </c>
      <c r="Z586" s="7" t="n">
        <v>100</v>
      </c>
      <c r="AA586" s="7">
        <f>Y586*Z586</f>
        <v/>
      </c>
      <c r="AB586" s="6">
        <f>IF(Z586=0,0,AA586/Z586)</f>
        <v/>
      </c>
      <c r="AC586" s="6" t="n"/>
      <c r="AD586" s="2" t="inlineStr">
        <is>
          <t>Win</t>
        </is>
      </c>
      <c r="AE586" s="6">
        <f>IF((COUNTIF($AD$2:AD586,"Win")+COUNTIF($AD$2:AD586,"Loss"))=0,0,COUNTIF($AD$2:AD586,"Win")/(COUNTIF($AD$2:AD586,"Win")+COUNTIF($AD$2:AD586,"Loss")))</f>
        <v/>
      </c>
      <c r="AF586" s="6">
        <f>SUM($Y$2:Y586)/SUM($X$2:X586)</f>
        <v/>
      </c>
      <c r="AG586" s="5">
        <f>SUM($Y$2:Y586)</f>
        <v/>
      </c>
      <c r="AH586" s="7">
        <f>10000.0+SUM($AA$2:AA586)</f>
        <v/>
      </c>
      <c r="AI586" s="2" t="n">
        <v>2026</v>
      </c>
      <c r="AJ586" s="2" t="inlineStr">
        <is>
          <t>2026-04</t>
        </is>
      </c>
      <c r="AK586" s="2" t="inlineStr">
        <is>
          <t>-149 to -120</t>
        </is>
      </c>
      <c r="AL586" s="2" t="inlineStr">
        <is>
          <t>2026 Frozen Test</t>
        </is>
      </c>
      <c r="AM586" s="6" t="n">
        <v>0.1253550508842359</v>
      </c>
    </row>
    <row r="587">
      <c r="A587" s="2" t="inlineStr">
        <is>
          <t>KPROP-00586</t>
        </is>
      </c>
      <c r="B587" s="3" t="n">
        <v>46126.77474537037</v>
      </c>
      <c r="C587" s="3" t="n">
        <v>46126</v>
      </c>
      <c r="D587" s="2" t="inlineStr">
        <is>
          <t>Brady Singer</t>
        </is>
      </c>
      <c r="E587" s="2" t="n">
        <v>113</v>
      </c>
      <c r="F587" s="2" t="n">
        <v>137</v>
      </c>
      <c r="G587" s="2" t="inlineStr">
        <is>
          <t>Home</t>
        </is>
      </c>
      <c r="H587" s="2" t="inlineStr">
        <is>
          <t>betmgm</t>
        </is>
      </c>
      <c r="I587" s="4" t="n"/>
      <c r="J587" s="4" t="n"/>
      <c r="K587" s="4" t="n">
        <v>-118</v>
      </c>
      <c r="L587" s="4" t="n">
        <v>-118</v>
      </c>
      <c r="M587" s="5" t="n">
        <v>4.5</v>
      </c>
      <c r="N587" s="5" t="n">
        <v>3.858197143117274</v>
      </c>
      <c r="O587" s="5" t="n">
        <v>4.5</v>
      </c>
      <c r="P587" s="5" t="n">
        <v>0.6418028568827263</v>
      </c>
      <c r="Q587" s="6" t="n">
        <v>0.2128871439705791</v>
      </c>
      <c r="R587" s="6" t="n">
        <v>0.6565168944427905</v>
      </c>
      <c r="S587" s="6" t="n">
        <v>0.5319879776728209</v>
      </c>
      <c r="T587" s="2" t="inlineStr">
        <is>
          <t>Under</t>
        </is>
      </c>
      <c r="U587" s="4" t="n">
        <v>-118</v>
      </c>
      <c r="V587" s="2" t="n">
        <v>1.847457627118644</v>
      </c>
      <c r="W587" s="4" t="n">
        <v>-118</v>
      </c>
      <c r="X587" s="2" t="n">
        <v>1</v>
      </c>
      <c r="Y587" s="5" t="n">
        <v>0.847457627118644</v>
      </c>
      <c r="Z587" s="7" t="n">
        <v>100</v>
      </c>
      <c r="AA587" s="7">
        <f>Y587*Z587</f>
        <v/>
      </c>
      <c r="AB587" s="6">
        <f>IF(Z587=0,0,AA587/Z587)</f>
        <v/>
      </c>
      <c r="AC587" s="6" t="n"/>
      <c r="AD587" s="2" t="inlineStr">
        <is>
          <t>Win</t>
        </is>
      </c>
      <c r="AE587" s="6">
        <f>IF((COUNTIF($AD$2:AD587,"Win")+COUNTIF($AD$2:AD587,"Loss"))=0,0,COUNTIF($AD$2:AD587,"Win")/(COUNTIF($AD$2:AD587,"Win")+COUNTIF($AD$2:AD587,"Loss")))</f>
        <v/>
      </c>
      <c r="AF587" s="6">
        <f>SUM($Y$2:Y587)/SUM($X$2:X587)</f>
        <v/>
      </c>
      <c r="AG587" s="5">
        <f>SUM($Y$2:Y587)</f>
        <v/>
      </c>
      <c r="AH587" s="7">
        <f>10000.0+SUM($AA$2:AA587)</f>
        <v/>
      </c>
      <c r="AI587" s="2" t="n">
        <v>2026</v>
      </c>
      <c r="AJ587" s="2" t="inlineStr">
        <is>
          <t>2026-04</t>
        </is>
      </c>
      <c r="AK587" s="2" t="inlineStr">
        <is>
          <t>-119 to -101</t>
        </is>
      </c>
      <c r="AL587" s="2" t="inlineStr">
        <is>
          <t>2026 Frozen Test</t>
        </is>
      </c>
      <c r="AM587" s="6" t="n">
        <v>0.2512068298852833</v>
      </c>
    </row>
    <row r="588">
      <c r="A588" s="2" t="inlineStr">
        <is>
          <t>KPROP-00587</t>
        </is>
      </c>
      <c r="B588" s="3" t="n">
        <v>46126.77474537037</v>
      </c>
      <c r="C588" s="3" t="n">
        <v>46126</v>
      </c>
      <c r="D588" s="2" t="inlineStr">
        <is>
          <t>Cole Ragans</t>
        </is>
      </c>
      <c r="E588" s="2" t="n">
        <v>118</v>
      </c>
      <c r="F588" s="2" t="n">
        <v>116</v>
      </c>
      <c r="G588" s="2" t="inlineStr">
        <is>
          <t>Away</t>
        </is>
      </c>
      <c r="H588" s="2" t="inlineStr">
        <is>
          <t>draftkings</t>
        </is>
      </c>
      <c r="I588" s="4" t="n"/>
      <c r="J588" s="4" t="n"/>
      <c r="K588" s="4" t="n">
        <v>113</v>
      </c>
      <c r="L588" s="4" t="n">
        <v>113</v>
      </c>
      <c r="M588" s="5" t="n">
        <v>6.5</v>
      </c>
      <c r="N588" s="5" t="n">
        <v>6.023428585631172</v>
      </c>
      <c r="O588" s="5" t="n">
        <v>6.5</v>
      </c>
      <c r="P588" s="5" t="n">
        <v>0.476571414368828</v>
      </c>
      <c r="Q588" s="6" t="n">
        <v>0.2834094899931412</v>
      </c>
      <c r="R588" s="6" t="n">
        <v>0.6025396666634466</v>
      </c>
      <c r="S588" s="6" t="n">
        <v>0.449717730360731</v>
      </c>
      <c r="T588" s="2" t="inlineStr">
        <is>
          <t>Under</t>
        </is>
      </c>
      <c r="U588" s="4" t="n">
        <v>113</v>
      </c>
      <c r="V588" s="2" t="n">
        <v>2.13</v>
      </c>
      <c r="W588" s="4" t="n">
        <v>113</v>
      </c>
      <c r="X588" s="2" t="n">
        <v>1</v>
      </c>
      <c r="Y588" s="5" t="n">
        <v>1.13</v>
      </c>
      <c r="Z588" s="7" t="n">
        <v>100</v>
      </c>
      <c r="AA588" s="7">
        <f>Y588*Z588</f>
        <v/>
      </c>
      <c r="AB588" s="6">
        <f>IF(Z588=0,0,AA588/Z588)</f>
        <v/>
      </c>
      <c r="AC588" s="6" t="n"/>
      <c r="AD588" s="2" t="inlineStr">
        <is>
          <t>Win</t>
        </is>
      </c>
      <c r="AE588" s="6">
        <f>IF((COUNTIF($AD$2:AD588,"Win")+COUNTIF($AD$2:AD588,"Loss"))=0,0,COUNTIF($AD$2:AD588,"Win")/(COUNTIF($AD$2:AD588,"Win")+COUNTIF($AD$2:AD588,"Loss")))</f>
        <v/>
      </c>
      <c r="AF588" s="6">
        <f>SUM($Y$2:Y588)/SUM($X$2:X588)</f>
        <v/>
      </c>
      <c r="AG588" s="5">
        <f>SUM($Y$2:Y588)</f>
        <v/>
      </c>
      <c r="AH588" s="7">
        <f>10000.0+SUM($AA$2:AA588)</f>
        <v/>
      </c>
      <c r="AI588" s="2" t="n">
        <v>2026</v>
      </c>
      <c r="AJ588" s="2" t="inlineStr">
        <is>
          <t>2026-04</t>
        </is>
      </c>
      <c r="AK588" s="2" t="inlineStr">
        <is>
          <t>+100 to +120</t>
        </is>
      </c>
      <c r="AL588" s="2" t="inlineStr">
        <is>
          <t>2026 Frozen Test</t>
        </is>
      </c>
      <c r="AM588" s="6" t="n">
        <v>0.2508048584010099</v>
      </c>
    </row>
    <row r="589">
      <c r="A589" s="2" t="inlineStr">
        <is>
          <t>KPROP-00588</t>
        </is>
      </c>
      <c r="B589" s="3" t="n">
        <v>46126.77474537037</v>
      </c>
      <c r="C589" s="3" t="n">
        <v>46126</v>
      </c>
      <c r="D589" s="2" t="inlineStr">
        <is>
          <t>Cole Ragans</t>
        </is>
      </c>
      <c r="E589" s="2" t="n">
        <v>118</v>
      </c>
      <c r="F589" s="2" t="n">
        <v>116</v>
      </c>
      <c r="G589" s="2" t="inlineStr">
        <is>
          <t>Away</t>
        </is>
      </c>
      <c r="H589" s="2" t="inlineStr">
        <is>
          <t>betrivers</t>
        </is>
      </c>
      <c r="I589" s="4" t="n"/>
      <c r="J589" s="4" t="n"/>
      <c r="K589" s="4" t="n">
        <v>-175</v>
      </c>
      <c r="L589" s="4" t="n">
        <v>-175</v>
      </c>
      <c r="M589" s="5" t="n">
        <v>7.5</v>
      </c>
      <c r="N589" s="5" t="n">
        <v>6.023428585631172</v>
      </c>
      <c r="O589" s="5" t="n">
        <v>7.5</v>
      </c>
      <c r="P589" s="5" t="n">
        <v>1.476571414368828</v>
      </c>
      <c r="Q589" s="6" t="n">
        <v>0.1640324696845533</v>
      </c>
      <c r="R589" s="6" t="n">
        <v>0.7407479352538067</v>
      </c>
      <c r="S589" s="6" t="n">
        <v>0.5919881305637983</v>
      </c>
      <c r="T589" s="2" t="inlineStr">
        <is>
          <t>Under</t>
        </is>
      </c>
      <c r="U589" s="4" t="n">
        <v>-175</v>
      </c>
      <c r="V589" s="2" t="n">
        <v>1.571428571428571</v>
      </c>
      <c r="W589" s="4" t="n">
        <v>-175</v>
      </c>
      <c r="X589" s="2" t="n">
        <v>1</v>
      </c>
      <c r="Y589" s="5" t="n">
        <v>0.5714285714285714</v>
      </c>
      <c r="Z589" s="7" t="n">
        <v>100</v>
      </c>
      <c r="AA589" s="7">
        <f>Y589*Z589</f>
        <v/>
      </c>
      <c r="AB589" s="6">
        <f>IF(Z589=0,0,AA589/Z589)</f>
        <v/>
      </c>
      <c r="AC589" s="6" t="n"/>
      <c r="AD589" s="2" t="inlineStr">
        <is>
          <t>Win</t>
        </is>
      </c>
      <c r="AE589" s="6">
        <f>IF((COUNTIF($AD$2:AD589,"Win")+COUNTIF($AD$2:AD589,"Loss"))=0,0,COUNTIF($AD$2:AD589,"Win")/(COUNTIF($AD$2:AD589,"Win")+COUNTIF($AD$2:AD589,"Loss")))</f>
        <v/>
      </c>
      <c r="AF589" s="6">
        <f>SUM($Y$2:Y589)/SUM($X$2:X589)</f>
        <v/>
      </c>
      <c r="AG589" s="5">
        <f>SUM($Y$2:Y589)</f>
        <v/>
      </c>
      <c r="AH589" s="7">
        <f>10000.0+SUM($AA$2:AA589)</f>
        <v/>
      </c>
      <c r="AI589" s="2" t="n">
        <v>2026</v>
      </c>
      <c r="AJ589" s="2" t="inlineStr">
        <is>
          <t>2026-04</t>
        </is>
      </c>
      <c r="AK589" s="2" t="inlineStr">
        <is>
          <t>&lt;= -150</t>
        </is>
      </c>
      <c r="AL589" s="2" t="inlineStr">
        <is>
          <t>2026 Frozen Test</t>
        </is>
      </c>
      <c r="AM589" s="6" t="n">
        <v>0.2870568219479683</v>
      </c>
    </row>
    <row r="590">
      <c r="A590" s="2" t="inlineStr">
        <is>
          <t>KPROP-00589</t>
        </is>
      </c>
      <c r="B590" s="3" t="n">
        <v>46126.81988425926</v>
      </c>
      <c r="C590" s="3" t="n">
        <v>46126</v>
      </c>
      <c r="D590" s="2" t="inlineStr">
        <is>
          <t>Joey Cantillo</t>
        </is>
      </c>
      <c r="E590" s="2" t="n">
        <v>114</v>
      </c>
      <c r="F590" s="2" t="n">
        <v>138</v>
      </c>
      <c r="G590" s="2" t="inlineStr">
        <is>
          <t>Away</t>
        </is>
      </c>
      <c r="H590" s="2" t="inlineStr">
        <is>
          <t>betrivers</t>
        </is>
      </c>
      <c r="I590" s="4" t="n"/>
      <c r="J590" s="4" t="n"/>
      <c r="K590" s="4" t="n">
        <v>138</v>
      </c>
      <c r="L590" s="4" t="n">
        <v>138</v>
      </c>
      <c r="M590" s="5" t="n">
        <v>4.5</v>
      </c>
      <c r="N590" s="5" t="n">
        <v>4.887141259561666</v>
      </c>
      <c r="O590" s="5" t="n">
        <v>4.5</v>
      </c>
      <c r="P590" s="5" t="n">
        <v>-0.3871412595616661</v>
      </c>
      <c r="Q590" s="6" t="n">
        <v>0.09602469950955639</v>
      </c>
      <c r="R590" s="6" t="n">
        <v>0.4605145796258641</v>
      </c>
      <c r="S590" s="6" t="n">
        <v>0.4151838671411625</v>
      </c>
      <c r="T590" s="2" t="inlineStr">
        <is>
          <t>Under</t>
        </is>
      </c>
      <c r="U590" s="4" t="n">
        <v>138</v>
      </c>
      <c r="V590" s="2" t="n">
        <v>2.38</v>
      </c>
      <c r="W590" s="4" t="n">
        <v>138</v>
      </c>
      <c r="X590" s="2" t="n">
        <v>1</v>
      </c>
      <c r="Y590" s="5" t="n">
        <v>1.38</v>
      </c>
      <c r="Z590" s="7" t="n">
        <v>100</v>
      </c>
      <c r="AA590" s="7">
        <f>Y590*Z590</f>
        <v/>
      </c>
      <c r="AB590" s="6">
        <f>IF(Z590=0,0,AA590/Z590)</f>
        <v/>
      </c>
      <c r="AC590" s="6" t="n"/>
      <c r="AD590" s="2" t="inlineStr">
        <is>
          <t>Win</t>
        </is>
      </c>
      <c r="AE590" s="6">
        <f>IF((COUNTIF($AD$2:AD590,"Win")+COUNTIF($AD$2:AD590,"Loss"))=0,0,COUNTIF($AD$2:AD590,"Win")/(COUNTIF($AD$2:AD590,"Win")+COUNTIF($AD$2:AD590,"Loss")))</f>
        <v/>
      </c>
      <c r="AF590" s="6">
        <f>SUM($Y$2:Y590)/SUM($X$2:X590)</f>
        <v/>
      </c>
      <c r="AG590" s="5">
        <f>SUM($Y$2:Y590)</f>
        <v/>
      </c>
      <c r="AH590" s="7">
        <f>10000.0+SUM($AA$2:AA590)</f>
        <v/>
      </c>
      <c r="AI590" s="2" t="n">
        <v>2026</v>
      </c>
      <c r="AJ590" s="2" t="inlineStr">
        <is>
          <t>2026-04</t>
        </is>
      </c>
      <c r="AK590" s="2" t="inlineStr">
        <is>
          <t>+121 to +150</t>
        </is>
      </c>
      <c r="AL590" s="2" t="inlineStr">
        <is>
          <t>2026 Frozen Test</t>
        </is>
      </c>
      <c r="AM590" s="6" t="n">
        <v>0.06958311558663507</v>
      </c>
    </row>
    <row r="591">
      <c r="A591" s="2" t="inlineStr">
        <is>
          <t>KPROP-00590</t>
        </is>
      </c>
      <c r="B591" s="3" t="n">
        <v>46126.81641203703</v>
      </c>
      <c r="C591" s="3" t="n">
        <v>46126</v>
      </c>
      <c r="D591" s="2" t="inlineStr">
        <is>
          <t>Kevin Gausman</t>
        </is>
      </c>
      <c r="E591" s="2" t="n">
        <v>141</v>
      </c>
      <c r="F591" s="2" t="n">
        <v>158</v>
      </c>
      <c r="G591" s="2" t="inlineStr">
        <is>
          <t>Away</t>
        </is>
      </c>
      <c r="H591" s="2" t="inlineStr">
        <is>
          <t>betrivers</t>
        </is>
      </c>
      <c r="I591" s="4" t="n"/>
      <c r="J591" s="4" t="n"/>
      <c r="K591" s="4" t="n">
        <v>140</v>
      </c>
      <c r="L591" s="4" t="n">
        <v>140</v>
      </c>
      <c r="M591" s="5" t="n">
        <v>5.5</v>
      </c>
      <c r="N591" s="5" t="n">
        <v>5.61217894614391</v>
      </c>
      <c r="O591" s="5" t="n">
        <v>5.5</v>
      </c>
      <c r="P591" s="5" t="n">
        <v>-0.11217894614391</v>
      </c>
      <c r="Q591" s="6" t="n">
        <v>0.223508946290689</v>
      </c>
      <c r="R591" s="6" t="n">
        <v>0.5097953942877871</v>
      </c>
      <c r="S591" s="6" t="n">
        <v>0.4073123797305965</v>
      </c>
      <c r="T591" s="2" t="inlineStr">
        <is>
          <t>Under</t>
        </is>
      </c>
      <c r="U591" s="4" t="n">
        <v>140</v>
      </c>
      <c r="V591" s="2" t="n">
        <v>2.4</v>
      </c>
      <c r="W591" s="4" t="n">
        <v>140</v>
      </c>
      <c r="X591" s="2" t="n">
        <v>1</v>
      </c>
      <c r="Y591" s="5" t="n">
        <v>1.4</v>
      </c>
      <c r="Z591" s="7" t="n">
        <v>100</v>
      </c>
      <c r="AA591" s="7">
        <f>Y591*Z591</f>
        <v/>
      </c>
      <c r="AB591" s="6">
        <f>IF(Z591=0,0,AA591/Z591)</f>
        <v/>
      </c>
      <c r="AC591" s="6" t="n"/>
      <c r="AD591" s="2" t="inlineStr">
        <is>
          <t>Win</t>
        </is>
      </c>
      <c r="AE591" s="6">
        <f>IF((COUNTIF($AD$2:AD591,"Win")+COUNTIF($AD$2:AD591,"Loss"))=0,0,COUNTIF($AD$2:AD591,"Win")/(COUNTIF($AD$2:AD591,"Win")+COUNTIF($AD$2:AD591,"Loss")))</f>
        <v/>
      </c>
      <c r="AF591" s="6">
        <f>SUM($Y$2:Y591)/SUM($X$2:X591)</f>
        <v/>
      </c>
      <c r="AG591" s="5">
        <f>SUM($Y$2:Y591)</f>
        <v/>
      </c>
      <c r="AH591" s="7">
        <f>10000.0+SUM($AA$2:AA591)</f>
        <v/>
      </c>
      <c r="AI591" s="2" t="n">
        <v>2026</v>
      </c>
      <c r="AJ591" s="2" t="inlineStr">
        <is>
          <t>2026-04</t>
        </is>
      </c>
      <c r="AK591" s="2" t="inlineStr">
        <is>
          <t>+121 to +150</t>
        </is>
      </c>
      <c r="AL591" s="2" t="inlineStr">
        <is>
          <t>2026 Frozen Test</t>
        </is>
      </c>
      <c r="AM591" s="6" t="n">
        <v>0.1596492473504921</v>
      </c>
    </row>
    <row r="592">
      <c r="A592" s="2" t="inlineStr">
        <is>
          <t>KPROP-00591</t>
        </is>
      </c>
      <c r="B592" s="3" t="n">
        <v>46126.81641203703</v>
      </c>
      <c r="C592" s="3" t="n">
        <v>46126</v>
      </c>
      <c r="D592" s="2" t="inlineStr">
        <is>
          <t>Kevin Gausman</t>
        </is>
      </c>
      <c r="E592" s="2" t="n">
        <v>141</v>
      </c>
      <c r="F592" s="2" t="n">
        <v>158</v>
      </c>
      <c r="G592" s="2" t="inlineStr">
        <is>
          <t>Away</t>
        </is>
      </c>
      <c r="H592" s="2" t="inlineStr">
        <is>
          <t>betrivers</t>
        </is>
      </c>
      <c r="I592" s="4" t="n"/>
      <c r="J592" s="4" t="n"/>
      <c r="K592" s="4" t="n">
        <v>-143</v>
      </c>
      <c r="L592" s="4" t="n">
        <v>-143</v>
      </c>
      <c r="M592" s="5" t="n">
        <v>6.5</v>
      </c>
      <c r="N592" s="5" t="n">
        <v>5.61217894614391</v>
      </c>
      <c r="O592" s="5" t="n">
        <v>6.5</v>
      </c>
      <c r="P592" s="5" t="n">
        <v>0.88782105385609</v>
      </c>
      <c r="Q592" s="6" t="n">
        <v>0.1356900014574174</v>
      </c>
      <c r="R592" s="6" t="n">
        <v>0.6683278609399618</v>
      </c>
      <c r="S592" s="6" t="n">
        <v>0.5642037302725968</v>
      </c>
      <c r="T592" s="2" t="inlineStr">
        <is>
          <t>Under</t>
        </is>
      </c>
      <c r="U592" s="4" t="n">
        <v>-143</v>
      </c>
      <c r="V592" s="2" t="n">
        <v>1.699300699300699</v>
      </c>
      <c r="W592" s="4" t="n">
        <v>-143</v>
      </c>
      <c r="X592" s="2" t="n">
        <v>1</v>
      </c>
      <c r="Y592" s="5" t="n">
        <v>0.6993006993006992</v>
      </c>
      <c r="Z592" s="7" t="n">
        <v>100</v>
      </c>
      <c r="AA592" s="7">
        <f>Y592*Z592</f>
        <v/>
      </c>
      <c r="AB592" s="6">
        <f>IF(Z592=0,0,AA592/Z592)</f>
        <v/>
      </c>
      <c r="AC592" s="6" t="n"/>
      <c r="AD592" s="2" t="inlineStr">
        <is>
          <t>Win</t>
        </is>
      </c>
      <c r="AE592" s="6">
        <f>IF((COUNTIF($AD$2:AD592,"Win")+COUNTIF($AD$2:AD592,"Loss"))=0,0,COUNTIF($AD$2:AD592,"Win")/(COUNTIF($AD$2:AD592,"Win")+COUNTIF($AD$2:AD592,"Loss")))</f>
        <v/>
      </c>
      <c r="AF592" s="6">
        <f>SUM($Y$2:Y592)/SUM($X$2:X592)</f>
        <v/>
      </c>
      <c r="AG592" s="5">
        <f>SUM($Y$2:Y592)</f>
        <v/>
      </c>
      <c r="AH592" s="7">
        <f>10000.0+SUM($AA$2:AA592)</f>
        <v/>
      </c>
      <c r="AI592" s="2" t="n">
        <v>2026</v>
      </c>
      <c r="AJ592" s="2" t="inlineStr">
        <is>
          <t>2026-04</t>
        </is>
      </c>
      <c r="AK592" s="2" t="inlineStr">
        <is>
          <t>-149 to -120</t>
        </is>
      </c>
      <c r="AL592" s="2" t="inlineStr">
        <is>
          <t>2026 Frozen Test</t>
        </is>
      </c>
      <c r="AM592" s="6" t="n">
        <v>0.194036702084107</v>
      </c>
    </row>
    <row r="593">
      <c r="A593" s="2" t="inlineStr">
        <is>
          <t>KPROP-00592</t>
        </is>
      </c>
      <c r="B593" s="3" t="n">
        <v>46126.79903935185</v>
      </c>
      <c r="C593" s="3" t="n">
        <v>46126</v>
      </c>
      <c r="D593" s="2" t="inlineStr">
        <is>
          <t>Reynaldo López</t>
        </is>
      </c>
      <c r="E593" s="2" t="n">
        <v>144</v>
      </c>
      <c r="F593" s="2" t="n">
        <v>146</v>
      </c>
      <c r="G593" s="2" t="inlineStr">
        <is>
          <t>Home</t>
        </is>
      </c>
      <c r="H593" s="2" t="inlineStr">
        <is>
          <t>betmgm</t>
        </is>
      </c>
      <c r="I593" s="4" t="n"/>
      <c r="J593" s="4" t="n"/>
      <c r="K593" s="4" t="n">
        <v>-110</v>
      </c>
      <c r="L593" s="4" t="n">
        <v>-110</v>
      </c>
      <c r="M593" s="5" t="n">
        <v>4.5</v>
      </c>
      <c r="N593" s="5" t="n">
        <v>4.29685659576939</v>
      </c>
      <c r="O593" s="5" t="n">
        <v>4.5</v>
      </c>
      <c r="P593" s="5" t="n">
        <v>0.2031434042306097</v>
      </c>
      <c r="Q593" s="6" t="n">
        <v>0.09017823876073215</v>
      </c>
      <c r="R593" s="6" t="n">
        <v>0.5710457441127644</v>
      </c>
      <c r="S593" s="6" t="n">
        <v>0.5128740431454418</v>
      </c>
      <c r="T593" s="2" t="inlineStr">
        <is>
          <t>Under</t>
        </is>
      </c>
      <c r="U593" s="4" t="n">
        <v>-110</v>
      </c>
      <c r="V593" s="2" t="n">
        <v>1.909090909090909</v>
      </c>
      <c r="W593" s="4" t="n">
        <v>-110</v>
      </c>
      <c r="X593" s="2" t="n">
        <v>1</v>
      </c>
      <c r="Y593" s="5" t="n">
        <v>-1</v>
      </c>
      <c r="Z593" s="7" t="n">
        <v>100</v>
      </c>
      <c r="AA593" s="7">
        <f>Y593*Z593</f>
        <v/>
      </c>
      <c r="AB593" s="6">
        <f>IF(Z593=0,0,AA593/Z593)</f>
        <v/>
      </c>
      <c r="AC593" s="6" t="n"/>
      <c r="AD593" s="2" t="inlineStr">
        <is>
          <t>Loss</t>
        </is>
      </c>
      <c r="AE593" s="6">
        <f>IF((COUNTIF($AD$2:AD593,"Win")+COUNTIF($AD$2:AD593,"Loss"))=0,0,COUNTIF($AD$2:AD593,"Win")/(COUNTIF($AD$2:AD593,"Win")+COUNTIF($AD$2:AD593,"Loss")))</f>
        <v/>
      </c>
      <c r="AF593" s="6">
        <f>SUM($Y$2:Y593)/SUM($X$2:X593)</f>
        <v/>
      </c>
      <c r="AG593" s="5">
        <f>SUM($Y$2:Y593)</f>
        <v/>
      </c>
      <c r="AH593" s="7">
        <f>10000.0+SUM($AA$2:AA593)</f>
        <v/>
      </c>
      <c r="AI593" s="2" t="n">
        <v>2026</v>
      </c>
      <c r="AJ593" s="2" t="inlineStr">
        <is>
          <t>2026-04</t>
        </is>
      </c>
      <c r="AK593" s="2" t="inlineStr">
        <is>
          <t>-119 to -101</t>
        </is>
      </c>
      <c r="AL593" s="2" t="inlineStr">
        <is>
          <t>2026 Frozen Test</t>
        </is>
      </c>
      <c r="AM593" s="6" t="n">
        <v>0.09919606263680537</v>
      </c>
    </row>
    <row r="594">
      <c r="A594" s="2" t="inlineStr">
        <is>
          <t>KPROP-00593</t>
        </is>
      </c>
      <c r="B594" s="3" t="n">
        <v>46126.81641203703</v>
      </c>
      <c r="C594" s="3" t="n">
        <v>46126</v>
      </c>
      <c r="D594" s="2" t="inlineStr">
        <is>
          <t>Sonny Gray</t>
        </is>
      </c>
      <c r="E594" s="2" t="n">
        <v>111</v>
      </c>
      <c r="F594" s="2" t="n">
        <v>142</v>
      </c>
      <c r="G594" s="2" t="inlineStr">
        <is>
          <t>Away</t>
        </is>
      </c>
      <c r="H594" s="2" t="inlineStr">
        <is>
          <t>fanduel</t>
        </is>
      </c>
      <c r="I594" s="4" t="n"/>
      <c r="J594" s="4" t="n"/>
      <c r="K594" s="4" t="n">
        <v>116</v>
      </c>
      <c r="L594" s="4" t="n">
        <v>116</v>
      </c>
      <c r="M594" s="5" t="n">
        <v>5.5</v>
      </c>
      <c r="N594" s="5" t="n">
        <v>5.394469174375988</v>
      </c>
      <c r="O594" s="5" t="n">
        <v>5.5</v>
      </c>
      <c r="P594" s="5" t="n">
        <v>0.1055308256240117</v>
      </c>
      <c r="Q594" s="6" t="n">
        <v>0.1817103910537908</v>
      </c>
      <c r="R594" s="6" t="n">
        <v>0.5470881440063846</v>
      </c>
      <c r="S594" s="6" t="n">
        <v>0.4462590201291302</v>
      </c>
      <c r="T594" s="2" t="inlineStr">
        <is>
          <t>Under</t>
        </is>
      </c>
      <c r="U594" s="4" t="n">
        <v>116</v>
      </c>
      <c r="V594" s="2" t="n">
        <v>2.16</v>
      </c>
      <c r="W594" s="4" t="n">
        <v>116</v>
      </c>
      <c r="X594" s="2" t="n">
        <v>1</v>
      </c>
      <c r="Y594" s="5" t="n">
        <v>1.16</v>
      </c>
      <c r="Z594" s="7" t="n">
        <v>100</v>
      </c>
      <c r="AA594" s="7">
        <f>Y594*Z594</f>
        <v/>
      </c>
      <c r="AB594" s="6">
        <f>IF(Z594=0,0,AA594/Z594)</f>
        <v/>
      </c>
      <c r="AC594" s="6" t="n"/>
      <c r="AD594" s="2" t="inlineStr">
        <is>
          <t>Win</t>
        </is>
      </c>
      <c r="AE594" s="6">
        <f>IF((COUNTIF($AD$2:AD594,"Win")+COUNTIF($AD$2:AD594,"Loss"))=0,0,COUNTIF($AD$2:AD594,"Win")/(COUNTIF($AD$2:AD594,"Win")+COUNTIF($AD$2:AD594,"Loss")))</f>
        <v/>
      </c>
      <c r="AF594" s="6">
        <f>SUM($Y$2:Y594)/SUM($X$2:X594)</f>
        <v/>
      </c>
      <c r="AG594" s="5">
        <f>SUM($Y$2:Y594)</f>
        <v/>
      </c>
      <c r="AH594" s="7">
        <f>10000.0+SUM($AA$2:AA594)</f>
        <v/>
      </c>
      <c r="AI594" s="2" t="n">
        <v>2026</v>
      </c>
      <c r="AJ594" s="2" t="inlineStr">
        <is>
          <t>2026-04</t>
        </is>
      </c>
      <c r="AK594" s="2" t="inlineStr">
        <is>
          <t>+100 to +120</t>
        </is>
      </c>
      <c r="AL594" s="2" t="inlineStr">
        <is>
          <t>2026 Frozen Test</t>
        </is>
      </c>
      <c r="AM594" s="6" t="n">
        <v>0.1566468888394748</v>
      </c>
    </row>
    <row r="595">
      <c r="A595" s="2" t="inlineStr">
        <is>
          <t>KPROP-00594</t>
        </is>
      </c>
      <c r="B595" s="3" t="n">
        <v>46126.81641203703</v>
      </c>
      <c r="C595" s="3" t="n">
        <v>46126</v>
      </c>
      <c r="D595" s="2" t="inlineStr">
        <is>
          <t>Sonny Gray</t>
        </is>
      </c>
      <c r="E595" s="2" t="n">
        <v>111</v>
      </c>
      <c r="F595" s="2" t="n">
        <v>142</v>
      </c>
      <c r="G595" s="2" t="inlineStr">
        <is>
          <t>Away</t>
        </is>
      </c>
      <c r="H595" s="2" t="inlineStr">
        <is>
          <t>betrivers</t>
        </is>
      </c>
      <c r="I595" s="4" t="n"/>
      <c r="J595" s="4" t="n"/>
      <c r="K595" s="4" t="n">
        <v>-186</v>
      </c>
      <c r="L595" s="4" t="n">
        <v>-186</v>
      </c>
      <c r="M595" s="5" t="n">
        <v>6.5</v>
      </c>
      <c r="N595" s="5" t="n">
        <v>5.394469174375988</v>
      </c>
      <c r="O595" s="5" t="n">
        <v>6.5</v>
      </c>
      <c r="P595" s="5" t="n">
        <v>1.105530825624012</v>
      </c>
      <c r="Q595" s="6" t="n">
        <v>0.08023629867672299</v>
      </c>
      <c r="R595" s="6" t="n">
        <v>0.7025312991394073</v>
      </c>
      <c r="S595" s="6" t="n">
        <v>0.6075094691771422</v>
      </c>
      <c r="T595" s="2" t="inlineStr">
        <is>
          <t>Under</t>
        </is>
      </c>
      <c r="U595" s="4" t="n">
        <v>-186</v>
      </c>
      <c r="V595" s="2" t="n">
        <v>1.537634408602151</v>
      </c>
      <c r="W595" s="4" t="n">
        <v>-186</v>
      </c>
      <c r="X595" s="2" t="n">
        <v>1</v>
      </c>
      <c r="Y595" s="5" t="n">
        <v>0.5376344086021505</v>
      </c>
      <c r="Z595" s="7" t="n">
        <v>100</v>
      </c>
      <c r="AA595" s="7">
        <f>Y595*Z595</f>
        <v/>
      </c>
      <c r="AB595" s="6">
        <f>IF(Z595=0,0,AA595/Z595)</f>
        <v/>
      </c>
      <c r="AC595" s="6" t="n"/>
      <c r="AD595" s="2" t="inlineStr">
        <is>
          <t>Win</t>
        </is>
      </c>
      <c r="AE595" s="6">
        <f>IF((COUNTIF($AD$2:AD595,"Win")+COUNTIF($AD$2:AD595,"Loss"))=0,0,COUNTIF($AD$2:AD595,"Win")/(COUNTIF($AD$2:AD595,"Win")+COUNTIF($AD$2:AD595,"Loss")))</f>
        <v/>
      </c>
      <c r="AF595" s="6">
        <f>SUM($Y$2:Y595)/SUM($X$2:X595)</f>
        <v/>
      </c>
      <c r="AG595" s="5">
        <f>SUM($Y$2:Y595)</f>
        <v/>
      </c>
      <c r="AH595" s="7">
        <f>10000.0+SUM($AA$2:AA595)</f>
        <v/>
      </c>
      <c r="AI595" s="2" t="n">
        <v>2026</v>
      </c>
      <c r="AJ595" s="2" t="inlineStr">
        <is>
          <t>2026-04</t>
        </is>
      </c>
      <c r="AK595" s="2" t="inlineStr">
        <is>
          <t>&lt;= -150</t>
        </is>
      </c>
      <c r="AL595" s="2" t="inlineStr">
        <is>
          <t>2026 Frozen Test</t>
        </is>
      </c>
      <c r="AM595" s="6" t="n">
        <v>0.1492395155387048</v>
      </c>
    </row>
    <row r="596">
      <c r="A596" s="2" t="inlineStr">
        <is>
          <t>KPROP-00595</t>
        </is>
      </c>
      <c r="B596" s="3" t="n">
        <v>46127.77820601852</v>
      </c>
      <c r="C596" s="3" t="n">
        <v>46127</v>
      </c>
      <c r="D596" s="2" t="inlineStr">
        <is>
          <t>Jack Flaherty</t>
        </is>
      </c>
      <c r="E596" s="2" t="n">
        <v>116</v>
      </c>
      <c r="F596" s="2" t="n">
        <v>118</v>
      </c>
      <c r="G596" s="2" t="inlineStr">
        <is>
          <t>Home</t>
        </is>
      </c>
      <c r="H596" s="2" t="inlineStr">
        <is>
          <t>betrivers</t>
        </is>
      </c>
      <c r="I596" s="4" t="n"/>
      <c r="J596" s="4" t="n"/>
      <c r="K596" s="4" t="n">
        <v>140</v>
      </c>
      <c r="L596" s="4" t="n">
        <v>140</v>
      </c>
      <c r="M596" s="5" t="n">
        <v>4.5</v>
      </c>
      <c r="N596" s="5" t="n">
        <v>4.46045509723795</v>
      </c>
      <c r="O596" s="5" t="n">
        <v>4.5</v>
      </c>
      <c r="P596" s="5" t="n">
        <v>0.03954490276205025</v>
      </c>
      <c r="Q596" s="6" t="n">
        <v>0.2951015002623399</v>
      </c>
      <c r="R596" s="6" t="n">
        <v>0.5396256251093083</v>
      </c>
      <c r="S596" s="6" t="n">
        <v>0.4104846686449061</v>
      </c>
      <c r="T596" s="2" t="inlineStr">
        <is>
          <t>Under</t>
        </is>
      </c>
      <c r="U596" s="4" t="n">
        <v>140</v>
      </c>
      <c r="V596" s="2" t="n">
        <v>2.4</v>
      </c>
      <c r="W596" s="4" t="n">
        <v>140</v>
      </c>
      <c r="X596" s="2" t="n">
        <v>1</v>
      </c>
      <c r="Y596" s="5" t="n">
        <v>-1</v>
      </c>
      <c r="Z596" s="7" t="n">
        <v>100</v>
      </c>
      <c r="AA596" s="7">
        <f>Y596*Z596</f>
        <v/>
      </c>
      <c r="AB596" s="6">
        <f>IF(Z596=0,0,AA596/Z596)</f>
        <v/>
      </c>
      <c r="AC596" s="6" t="n"/>
      <c r="AD596" s="2" t="inlineStr">
        <is>
          <t>Loss</t>
        </is>
      </c>
      <c r="AE596" s="6">
        <f>IF((COUNTIF($AD$2:AD596,"Win")+COUNTIF($AD$2:AD596,"Loss"))=0,0,COUNTIF($AD$2:AD596,"Win")/(COUNTIF($AD$2:AD596,"Win")+COUNTIF($AD$2:AD596,"Loss")))</f>
        <v/>
      </c>
      <c r="AF596" s="6">
        <f>SUM($Y$2:Y596)/SUM($X$2:X596)</f>
        <v/>
      </c>
      <c r="AG596" s="5">
        <f>SUM($Y$2:Y596)</f>
        <v/>
      </c>
      <c r="AH596" s="7">
        <f>10000.0+SUM($AA$2:AA596)</f>
        <v/>
      </c>
      <c r="AI596" s="2" t="n">
        <v>2026</v>
      </c>
      <c r="AJ596" s="2" t="inlineStr">
        <is>
          <t>2026-04</t>
        </is>
      </c>
      <c r="AK596" s="2" t="inlineStr">
        <is>
          <t>+121 to +150</t>
        </is>
      </c>
      <c r="AL596" s="2" t="inlineStr">
        <is>
          <t>2026 Frozen Test</t>
        </is>
      </c>
      <c r="AM596" s="6" t="n">
        <v>0.2107867859016714</v>
      </c>
    </row>
    <row r="597">
      <c r="A597" s="2" t="inlineStr">
        <is>
          <t>KPROP-00596</t>
        </is>
      </c>
      <c r="B597" s="3" t="n">
        <v>46127.77820601852</v>
      </c>
      <c r="C597" s="3" t="n">
        <v>46127</v>
      </c>
      <c r="D597" s="2" t="inlineStr">
        <is>
          <t>Jack Flaherty</t>
        </is>
      </c>
      <c r="E597" s="2" t="n">
        <v>116</v>
      </c>
      <c r="F597" s="2" t="n">
        <v>118</v>
      </c>
      <c r="G597" s="2" t="inlineStr">
        <is>
          <t>Home</t>
        </is>
      </c>
      <c r="H597" s="2" t="inlineStr">
        <is>
          <t>betrivers</t>
        </is>
      </c>
      <c r="I597" s="4" t="n"/>
      <c r="J597" s="4" t="n"/>
      <c r="K597" s="4" t="n">
        <v>-155</v>
      </c>
      <c r="L597" s="4" t="n">
        <v>-155</v>
      </c>
      <c r="M597" s="5" t="n">
        <v>5.5</v>
      </c>
      <c r="N597" s="5" t="n">
        <v>4.46045509723795</v>
      </c>
      <c r="O597" s="5" t="n">
        <v>5.5</v>
      </c>
      <c r="P597" s="5" t="n">
        <v>1.03954490276205</v>
      </c>
      <c r="Q597" s="6" t="n">
        <v>0.1675224549627241</v>
      </c>
      <c r="R597" s="6" t="n">
        <v>0.7096705118400872</v>
      </c>
      <c r="S597" s="6" t="n">
        <v>0.5922935486449755</v>
      </c>
      <c r="T597" s="2" t="inlineStr">
        <is>
          <t>Under</t>
        </is>
      </c>
      <c r="U597" s="4" t="n">
        <v>-155</v>
      </c>
      <c r="V597" s="2" t="n">
        <v>1.645161290322581</v>
      </c>
      <c r="W597" s="4" t="n">
        <v>-155</v>
      </c>
      <c r="X597" s="2" t="n">
        <v>1</v>
      </c>
      <c r="Y597" s="5" t="n">
        <v>-1</v>
      </c>
      <c r="Z597" s="7" t="n">
        <v>100</v>
      </c>
      <c r="AA597" s="7">
        <f>Y597*Z597</f>
        <v/>
      </c>
      <c r="AB597" s="6">
        <f>IF(Z597=0,0,AA597/Z597)</f>
        <v/>
      </c>
      <c r="AC597" s="6" t="n"/>
      <c r="AD597" s="2" t="inlineStr">
        <is>
          <t>Loss</t>
        </is>
      </c>
      <c r="AE597" s="6">
        <f>IF((COUNTIF($AD$2:AD597,"Win")+COUNTIF($AD$2:AD597,"Loss"))=0,0,COUNTIF($AD$2:AD597,"Win")/(COUNTIF($AD$2:AD597,"Win")+COUNTIF($AD$2:AD597,"Loss")))</f>
        <v/>
      </c>
      <c r="AF597" s="6">
        <f>SUM($Y$2:Y597)/SUM($X$2:X597)</f>
        <v/>
      </c>
      <c r="AG597" s="5">
        <f>SUM($Y$2:Y597)</f>
        <v/>
      </c>
      <c r="AH597" s="7">
        <f>10000.0+SUM($AA$2:AA597)</f>
        <v/>
      </c>
      <c r="AI597" s="2" t="n">
        <v>2026</v>
      </c>
      <c r="AJ597" s="2" t="inlineStr">
        <is>
          <t>2026-04</t>
        </is>
      </c>
      <c r="AK597" s="2" t="inlineStr">
        <is>
          <t>&lt;= -150</t>
        </is>
      </c>
      <c r="AL597" s="2" t="inlineStr">
        <is>
          <t>2026 Frozen Test</t>
        </is>
      </c>
      <c r="AM597" s="6" t="n">
        <v>0.2596598051922223</v>
      </c>
    </row>
    <row r="598">
      <c r="A598" s="2" t="inlineStr">
        <is>
          <t>KPROP-00597</t>
        </is>
      </c>
      <c r="B598" s="3" t="n">
        <v>46127.77820601852</v>
      </c>
      <c r="C598" s="3" t="n">
        <v>46127</v>
      </c>
      <c r="D598" s="2" t="inlineStr">
        <is>
          <t>Rhett Lowder</t>
        </is>
      </c>
      <c r="E598" s="2" t="n">
        <v>113</v>
      </c>
      <c r="F598" s="2" t="n">
        <v>137</v>
      </c>
      <c r="G598" s="2" t="inlineStr">
        <is>
          <t>Home</t>
        </is>
      </c>
      <c r="H598" s="2" t="inlineStr">
        <is>
          <t>bovada</t>
        </is>
      </c>
      <c r="I598" s="4" t="n"/>
      <c r="J598" s="4" t="n"/>
      <c r="K598" s="4" t="n">
        <v>100</v>
      </c>
      <c r="L598" s="4" t="n">
        <v>100</v>
      </c>
      <c r="M598" s="5" t="n">
        <v>3.5</v>
      </c>
      <c r="N598" s="5" t="n">
        <v>3.482342135994474</v>
      </c>
      <c r="O598" s="5" t="n">
        <v>3.5</v>
      </c>
      <c r="P598" s="5" t="n">
        <v>0.01765786400552649</v>
      </c>
      <c r="Q598" s="6" t="n">
        <v>0.08089547911572303</v>
      </c>
      <c r="R598" s="6" t="n">
        <v>0.5404477395578615</v>
      </c>
      <c r="S598" s="6" t="n">
        <v>0.4883720930232558</v>
      </c>
      <c r="T598" s="2" t="inlineStr">
        <is>
          <t>Under</t>
        </is>
      </c>
      <c r="U598" s="4" t="n">
        <v>100</v>
      </c>
      <c r="V598" s="2" t="n">
        <v>2</v>
      </c>
      <c r="W598" s="4" t="n">
        <v>100</v>
      </c>
      <c r="X598" s="2" t="n">
        <v>1</v>
      </c>
      <c r="Y598" s="5" t="n">
        <v>-1</v>
      </c>
      <c r="Z598" s="7" t="n">
        <v>100</v>
      </c>
      <c r="AA598" s="7">
        <f>Y598*Z598</f>
        <v/>
      </c>
      <c r="AB598" s="6">
        <f>IF(Z598=0,0,AA598/Z598)</f>
        <v/>
      </c>
      <c r="AC598" s="6" t="n"/>
      <c r="AD598" s="2" t="inlineStr">
        <is>
          <t>Loss</t>
        </is>
      </c>
      <c r="AE598" s="6">
        <f>IF((COUNTIF($AD$2:AD598,"Win")+COUNTIF($AD$2:AD598,"Loss"))=0,0,COUNTIF($AD$2:AD598,"Win")/(COUNTIF($AD$2:AD598,"Win")+COUNTIF($AD$2:AD598,"Loss")))</f>
        <v/>
      </c>
      <c r="AF598" s="6">
        <f>SUM($Y$2:Y598)/SUM($X$2:X598)</f>
        <v/>
      </c>
      <c r="AG598" s="5">
        <f>SUM($Y$2:Y598)</f>
        <v/>
      </c>
      <c r="AH598" s="7">
        <f>10000.0+SUM($AA$2:AA598)</f>
        <v/>
      </c>
      <c r="AI598" s="2" t="n">
        <v>2026</v>
      </c>
      <c r="AJ598" s="2" t="inlineStr">
        <is>
          <t>2026-04</t>
        </is>
      </c>
      <c r="AK598" s="2" t="inlineStr">
        <is>
          <t>+100 to +120</t>
        </is>
      </c>
      <c r="AL598" s="2" t="inlineStr">
        <is>
          <t>2026 Frozen Test</t>
        </is>
      </c>
      <c r="AM598" s="6" t="n">
        <v>0.08089547911572303</v>
      </c>
    </row>
    <row r="599">
      <c r="A599" s="2" t="inlineStr">
        <is>
          <t>KPROP-00598</t>
        </is>
      </c>
      <c r="B599" s="3" t="n">
        <v>46127.77820601852</v>
      </c>
      <c r="C599" s="3" t="n">
        <v>46127</v>
      </c>
      <c r="D599" s="2" t="inlineStr">
        <is>
          <t>Shota Imanaga</t>
        </is>
      </c>
      <c r="E599" s="2" t="n">
        <v>112</v>
      </c>
      <c r="F599" s="2" t="n">
        <v>143</v>
      </c>
      <c r="G599" s="2" t="inlineStr">
        <is>
          <t>Away</t>
        </is>
      </c>
      <c r="H599" s="2" t="inlineStr">
        <is>
          <t>betmgm</t>
        </is>
      </c>
      <c r="I599" s="4" t="n"/>
      <c r="J599" s="4" t="n"/>
      <c r="K599" s="4" t="n">
        <v>-105</v>
      </c>
      <c r="L599" s="4" t="n">
        <v>-105</v>
      </c>
      <c r="M599" s="5" t="n">
        <v>5.5</v>
      </c>
      <c r="N599" s="5" t="n">
        <v>5.1915548295655</v>
      </c>
      <c r="O599" s="5" t="n">
        <v>5.5</v>
      </c>
      <c r="P599" s="5" t="n">
        <v>0.3084451704345001</v>
      </c>
      <c r="Q599" s="6" t="n">
        <v>0.1370458351150389</v>
      </c>
      <c r="R599" s="6" t="n">
        <v>0.5823893301808736</v>
      </c>
      <c r="S599" s="6" t="n">
        <v>0.5047835446065534</v>
      </c>
      <c r="T599" s="2" t="inlineStr">
        <is>
          <t>Under</t>
        </is>
      </c>
      <c r="U599" s="4" t="n">
        <v>-105</v>
      </c>
      <c r="V599" s="2" t="n">
        <v>1.952380952380952</v>
      </c>
      <c r="W599" s="4" t="n">
        <v>-105</v>
      </c>
      <c r="X599" s="2" t="n">
        <v>1</v>
      </c>
      <c r="Y599" s="5" t="n">
        <v>-1</v>
      </c>
      <c r="Z599" s="7" t="n">
        <v>100</v>
      </c>
      <c r="AA599" s="7">
        <f>Y599*Z599</f>
        <v/>
      </c>
      <c r="AB599" s="6">
        <f>IF(Z599=0,0,AA599/Z599)</f>
        <v/>
      </c>
      <c r="AC599" s="6" t="n"/>
      <c r="AD599" s="2" t="inlineStr">
        <is>
          <t>Loss</t>
        </is>
      </c>
      <c r="AE599" s="6">
        <f>IF((COUNTIF($AD$2:AD599,"Win")+COUNTIF($AD$2:AD599,"Loss"))=0,0,COUNTIF($AD$2:AD599,"Win")/(COUNTIF($AD$2:AD599,"Win")+COUNTIF($AD$2:AD599,"Loss")))</f>
        <v/>
      </c>
      <c r="AF599" s="6">
        <f>SUM($Y$2:Y599)/SUM($X$2:X599)</f>
        <v/>
      </c>
      <c r="AG599" s="5">
        <f>SUM($Y$2:Y599)</f>
        <v/>
      </c>
      <c r="AH599" s="7">
        <f>10000.0+SUM($AA$2:AA599)</f>
        <v/>
      </c>
      <c r="AI599" s="2" t="n">
        <v>2026</v>
      </c>
      <c r="AJ599" s="2" t="inlineStr">
        <is>
          <t>2026-04</t>
        </is>
      </c>
      <c r="AK599" s="2" t="inlineStr">
        <is>
          <t>-119 to -101</t>
        </is>
      </c>
      <c r="AL599" s="2" t="inlineStr">
        <is>
          <t>2026 Frozen Test</t>
        </is>
      </c>
      <c r="AM599" s="6" t="n">
        <v>0.1438981268707908</v>
      </c>
    </row>
    <row r="600">
      <c r="A600" s="2" t="inlineStr">
        <is>
          <t>KPROP-00599</t>
        </is>
      </c>
      <c r="B600" s="3" t="n">
        <v>46128.62891203703</v>
      </c>
      <c r="C600" s="3" t="n">
        <v>46128</v>
      </c>
      <c r="D600" s="2" t="inlineStr">
        <is>
          <t>Jacob Lopez</t>
        </is>
      </c>
      <c r="E600" s="2" t="n">
        <v>133</v>
      </c>
      <c r="F600" s="2" t="n">
        <v>140</v>
      </c>
      <c r="G600" s="2" t="inlineStr">
        <is>
          <t>Home</t>
        </is>
      </c>
      <c r="H600" s="2" t="inlineStr">
        <is>
          <t>betmgm</t>
        </is>
      </c>
      <c r="I600" s="4" t="n"/>
      <c r="J600" s="4" t="n"/>
      <c r="K600" s="4" t="n">
        <v>-105</v>
      </c>
      <c r="L600" s="4" t="n">
        <v>-105</v>
      </c>
      <c r="M600" s="5" t="n">
        <v>5.5</v>
      </c>
      <c r="N600" s="5" t="n">
        <v>4.835032242713285</v>
      </c>
      <c r="O600" s="5" t="n">
        <v>5.5</v>
      </c>
      <c r="P600" s="5" t="n">
        <v>0.664967757286715</v>
      </c>
      <c r="Q600" s="6" t="n">
        <v>0.2590522777358936</v>
      </c>
      <c r="R600" s="6" t="n">
        <v>0.6448804349378967</v>
      </c>
      <c r="S600" s="6" t="n">
        <v>0.5</v>
      </c>
      <c r="T600" s="2" t="inlineStr">
        <is>
          <t>Under</t>
        </is>
      </c>
      <c r="U600" s="4" t="n">
        <v>-105</v>
      </c>
      <c r="V600" s="2" t="n">
        <v>1.952380952380952</v>
      </c>
      <c r="W600" s="4" t="n">
        <v>-105</v>
      </c>
      <c r="X600" s="2" t="n">
        <v>1</v>
      </c>
      <c r="Y600" s="5" t="n">
        <v>0.9523809523809523</v>
      </c>
      <c r="Z600" s="7" t="n">
        <v>100</v>
      </c>
      <c r="AA600" s="7">
        <f>Y600*Z600</f>
        <v/>
      </c>
      <c r="AB600" s="6">
        <f>IF(Z600=0,0,AA600/Z600)</f>
        <v/>
      </c>
      <c r="AC600" s="6" t="n"/>
      <c r="AD600" s="2" t="inlineStr">
        <is>
          <t>Win</t>
        </is>
      </c>
      <c r="AE600" s="6">
        <f>IF((COUNTIF($AD$2:AD600,"Win")+COUNTIF($AD$2:AD600,"Loss"))=0,0,COUNTIF($AD$2:AD600,"Win")/(COUNTIF($AD$2:AD600,"Win")+COUNTIF($AD$2:AD600,"Loss")))</f>
        <v/>
      </c>
      <c r="AF600" s="6">
        <f>SUM($Y$2:Y600)/SUM($X$2:X600)</f>
        <v/>
      </c>
      <c r="AG600" s="5">
        <f>SUM($Y$2:Y600)</f>
        <v/>
      </c>
      <c r="AH600" s="7">
        <f>10000.0+SUM($AA$2:AA600)</f>
        <v/>
      </c>
      <c r="AI600" s="2" t="n">
        <v>2026</v>
      </c>
      <c r="AJ600" s="2" t="inlineStr">
        <is>
          <t>2026-04</t>
        </is>
      </c>
      <c r="AK600" s="2" t="inlineStr">
        <is>
          <t>-119 to -101</t>
        </is>
      </c>
      <c r="AL600" s="2" t="inlineStr">
        <is>
          <t>2026 Frozen Test</t>
        </is>
      </c>
      <c r="AM600" s="6" t="n">
        <v>0.2720048916226883</v>
      </c>
    </row>
    <row r="601">
      <c r="A601" s="2" t="inlineStr">
        <is>
          <t>KPROP-00600</t>
        </is>
      </c>
      <c r="B601" s="3" t="n">
        <v>46128.54905092593</v>
      </c>
      <c r="C601" s="3" t="n">
        <v>46128</v>
      </c>
      <c r="D601" s="2" t="inlineStr">
        <is>
          <t>Kris Bubic</t>
        </is>
      </c>
      <c r="E601" s="2" t="n">
        <v>118</v>
      </c>
      <c r="F601" s="2" t="n">
        <v>116</v>
      </c>
      <c r="G601" s="2" t="inlineStr">
        <is>
          <t>Away</t>
        </is>
      </c>
      <c r="H601" s="2" t="inlineStr">
        <is>
          <t>betrivers</t>
        </is>
      </c>
      <c r="I601" s="4" t="n"/>
      <c r="J601" s="4" t="n"/>
      <c r="K601" s="4" t="n">
        <v>102</v>
      </c>
      <c r="L601" s="4" t="n">
        <v>102</v>
      </c>
      <c r="M601" s="5" t="n">
        <v>5.5</v>
      </c>
      <c r="N601" s="5" t="n">
        <v>5.020421221501871</v>
      </c>
      <c r="O601" s="5" t="n">
        <v>5.5</v>
      </c>
      <c r="P601" s="5" t="n">
        <v>0.4795787784981291</v>
      </c>
      <c r="Q601" s="6" t="n">
        <v>0.2370024419643781</v>
      </c>
      <c r="R601" s="6" t="n">
        <v>0.6123774465170189</v>
      </c>
      <c r="S601" s="6" t="n">
        <v>0.4757785467128028</v>
      </c>
      <c r="T601" s="2" t="inlineStr">
        <is>
          <t>Under</t>
        </is>
      </c>
      <c r="U601" s="4" t="n">
        <v>102</v>
      </c>
      <c r="V601" s="2" t="n">
        <v>2.02</v>
      </c>
      <c r="W601" s="4" t="n">
        <v>102</v>
      </c>
      <c r="X601" s="2" t="n">
        <v>1</v>
      </c>
      <c r="Y601" s="5" t="n">
        <v>1.02</v>
      </c>
      <c r="Z601" s="7" t="n">
        <v>100</v>
      </c>
      <c r="AA601" s="7">
        <f>Y601*Z601</f>
        <v/>
      </c>
      <c r="AB601" s="6">
        <f>IF(Z601=0,0,AA601/Z601)</f>
        <v/>
      </c>
      <c r="AC601" s="6" t="n"/>
      <c r="AD601" s="2" t="inlineStr">
        <is>
          <t>Win</t>
        </is>
      </c>
      <c r="AE601" s="6">
        <f>IF((COUNTIF($AD$2:AD601,"Win")+COUNTIF($AD$2:AD601,"Loss"))=0,0,COUNTIF($AD$2:AD601,"Win")/(COUNTIF($AD$2:AD601,"Win")+COUNTIF($AD$2:AD601,"Loss")))</f>
        <v/>
      </c>
      <c r="AF601" s="6">
        <f>SUM($Y$2:Y601)/SUM($X$2:X601)</f>
        <v/>
      </c>
      <c r="AG601" s="5">
        <f>SUM($Y$2:Y601)</f>
        <v/>
      </c>
      <c r="AH601" s="7">
        <f>10000.0+SUM($AA$2:AA601)</f>
        <v/>
      </c>
      <c r="AI601" s="2" t="n">
        <v>2026</v>
      </c>
      <c r="AJ601" s="2" t="inlineStr">
        <is>
          <t>2026-04</t>
        </is>
      </c>
      <c r="AK601" s="2" t="inlineStr">
        <is>
          <t>+100 to +120</t>
        </is>
      </c>
      <c r="AL601" s="2" t="inlineStr">
        <is>
          <t>2026 Frozen Test</t>
        </is>
      </c>
      <c r="AM601" s="6" t="n">
        <v>0.2323553352591942</v>
      </c>
    </row>
    <row r="602">
      <c r="A602" s="2" t="inlineStr">
        <is>
          <t>KPROP-00601</t>
        </is>
      </c>
      <c r="B602" s="3" t="n">
        <v>46128.52821759259</v>
      </c>
      <c r="C602" s="3" t="n">
        <v>46128</v>
      </c>
      <c r="D602" s="2" t="inlineStr">
        <is>
          <t>Landen Roupp</t>
        </is>
      </c>
      <c r="E602" s="2" t="n">
        <v>137</v>
      </c>
      <c r="F602" s="2" t="n">
        <v>113</v>
      </c>
      <c r="G602" s="2" t="inlineStr">
        <is>
          <t>Away</t>
        </is>
      </c>
      <c r="H602" s="2" t="inlineStr">
        <is>
          <t>betmgm</t>
        </is>
      </c>
      <c r="I602" s="4" t="n"/>
      <c r="J602" s="4" t="n"/>
      <c r="K602" s="4" t="n">
        <v>110</v>
      </c>
      <c r="L602" s="4" t="n">
        <v>110</v>
      </c>
      <c r="M602" s="5" t="n">
        <v>5.5</v>
      </c>
      <c r="N602" s="5" t="n">
        <v>5.355735152584763</v>
      </c>
      <c r="O602" s="5" t="n">
        <v>5.5</v>
      </c>
      <c r="P602" s="5" t="n">
        <v>0.1442648474152373</v>
      </c>
      <c r="Q602" s="6" t="n">
        <v>0.1629676906738769</v>
      </c>
      <c r="R602" s="6" t="n">
        <v>0.5537941384161318</v>
      </c>
      <c r="S602" s="6" t="n">
        <v>0.4761904761904762</v>
      </c>
      <c r="T602" s="2" t="inlineStr">
        <is>
          <t>Under</t>
        </is>
      </c>
      <c r="U602" s="4" t="n">
        <v>110</v>
      </c>
      <c r="V602" s="2" t="n">
        <v>2.1</v>
      </c>
      <c r="W602" s="4" t="n">
        <v>110</v>
      </c>
      <c r="X602" s="2" t="n">
        <v>1</v>
      </c>
      <c r="Y602" s="5" t="n">
        <v>-1</v>
      </c>
      <c r="Z602" s="7" t="n">
        <v>100</v>
      </c>
      <c r="AA602" s="7">
        <f>Y602*Z602</f>
        <v/>
      </c>
      <c r="AB602" s="6">
        <f>IF(Z602=0,0,AA602/Z602)</f>
        <v/>
      </c>
      <c r="AC602" s="6" t="n"/>
      <c r="AD602" s="2" t="inlineStr">
        <is>
          <t>Loss</t>
        </is>
      </c>
      <c r="AE602" s="6">
        <f>IF((COUNTIF($AD$2:AD602,"Win")+COUNTIF($AD$2:AD602,"Loss"))=0,0,COUNTIF($AD$2:AD602,"Win")/(COUNTIF($AD$2:AD602,"Win")+COUNTIF($AD$2:AD602,"Loss")))</f>
        <v/>
      </c>
      <c r="AF602" s="6">
        <f>SUM($Y$2:Y602)/SUM($X$2:X602)</f>
        <v/>
      </c>
      <c r="AG602" s="5">
        <f>SUM($Y$2:Y602)</f>
        <v/>
      </c>
      <c r="AH602" s="7">
        <f>10000.0+SUM($AA$2:AA602)</f>
        <v/>
      </c>
      <c r="AI602" s="2" t="n">
        <v>2026</v>
      </c>
      <c r="AJ602" s="2" t="inlineStr">
        <is>
          <t>2026-04</t>
        </is>
      </c>
      <c r="AK602" s="2" t="inlineStr">
        <is>
          <t>+100 to +120</t>
        </is>
      </c>
      <c r="AL602" s="2" t="inlineStr">
        <is>
          <t>2026 Frozen Test</t>
        </is>
      </c>
      <c r="AM602" s="6" t="n">
        <v>0.1481524460671607</v>
      </c>
    </row>
    <row r="603">
      <c r="A603" s="2" t="inlineStr">
        <is>
          <t>KPROP-00602</t>
        </is>
      </c>
      <c r="B603" s="3" t="n">
        <v>46128.75738425926</v>
      </c>
      <c r="C603" s="3" t="n">
        <v>46128</v>
      </c>
      <c r="D603" s="2" t="inlineStr">
        <is>
          <t>Shane Baz</t>
        </is>
      </c>
      <c r="E603" s="2" t="n">
        <v>110</v>
      </c>
      <c r="F603" s="2" t="n">
        <v>114</v>
      </c>
      <c r="G603" s="2" t="inlineStr">
        <is>
          <t>Away</t>
        </is>
      </c>
      <c r="H603" s="2" t="inlineStr">
        <is>
          <t>fanduel</t>
        </is>
      </c>
      <c r="I603" s="4" t="n"/>
      <c r="J603" s="4" t="n"/>
      <c r="K603" s="4" t="n">
        <v>-172</v>
      </c>
      <c r="L603" s="4" t="n">
        <v>-172</v>
      </c>
      <c r="M603" s="5" t="n">
        <v>5.5</v>
      </c>
      <c r="N603" s="5" t="n">
        <v>4.615852055260258</v>
      </c>
      <c r="O603" s="5" t="n">
        <v>5.5</v>
      </c>
      <c r="P603" s="5" t="n">
        <v>0.884147944739742</v>
      </c>
      <c r="Q603" s="6" t="n">
        <v>0.08012901364225516</v>
      </c>
      <c r="R603" s="6" t="n">
        <v>0.6830227586267201</v>
      </c>
      <c r="S603" s="6" t="n">
        <v>0.5977521443359953</v>
      </c>
      <c r="T603" s="2" t="inlineStr">
        <is>
          <t>Under</t>
        </is>
      </c>
      <c r="U603" s="4" t="n">
        <v>-172</v>
      </c>
      <c r="V603" s="2" t="n">
        <v>1.581395348837209</v>
      </c>
      <c r="W603" s="4" t="n">
        <v>-172</v>
      </c>
      <c r="X603" s="2" t="n">
        <v>1</v>
      </c>
      <c r="Y603" s="5" t="n">
        <v>-1</v>
      </c>
      <c r="Z603" s="7" t="n">
        <v>100</v>
      </c>
      <c r="AA603" s="7">
        <f>Y603*Z603</f>
        <v/>
      </c>
      <c r="AB603" s="6">
        <f>IF(Z603=0,0,AA603/Z603)</f>
        <v/>
      </c>
      <c r="AC603" s="6" t="n"/>
      <c r="AD603" s="2" t="inlineStr">
        <is>
          <t>Loss</t>
        </is>
      </c>
      <c r="AE603" s="6">
        <f>IF((COUNTIF($AD$2:AD603,"Win")+COUNTIF($AD$2:AD603,"Loss"))=0,0,COUNTIF($AD$2:AD603,"Win")/(COUNTIF($AD$2:AD603,"Win")+COUNTIF($AD$2:AD603,"Loss")))</f>
        <v/>
      </c>
      <c r="AF603" s="6">
        <f>SUM($Y$2:Y603)/SUM($X$2:X603)</f>
        <v/>
      </c>
      <c r="AG603" s="5">
        <f>SUM($Y$2:Y603)</f>
        <v/>
      </c>
      <c r="AH603" s="7">
        <f>10000.0+SUM($AA$2:AA603)</f>
        <v/>
      </c>
      <c r="AI603" s="2" t="n">
        <v>2026</v>
      </c>
      <c r="AJ603" s="2" t="inlineStr">
        <is>
          <t>2026-04</t>
        </is>
      </c>
      <c r="AK603" s="2" t="inlineStr">
        <is>
          <t>&lt;= -150</t>
        </is>
      </c>
      <c r="AL603" s="2" t="inlineStr">
        <is>
          <t>2026 Frozen Test</t>
        </is>
      </c>
      <c r="AM603" s="6" t="n">
        <v>0.1378219034646788</v>
      </c>
    </row>
    <row r="604">
      <c r="A604" s="2" t="inlineStr">
        <is>
          <t>KPROP-00603</t>
        </is>
      </c>
      <c r="B604" s="3" t="n">
        <v>46128.59071759259</v>
      </c>
      <c r="C604" s="3" t="n">
        <v>46128</v>
      </c>
      <c r="D604" s="2" t="inlineStr">
        <is>
          <t>Steven Matz</t>
        </is>
      </c>
      <c r="E604" s="2" t="n">
        <v>139</v>
      </c>
      <c r="F604" s="2" t="n">
        <v>145</v>
      </c>
      <c r="G604" s="2" t="inlineStr">
        <is>
          <t>Away</t>
        </is>
      </c>
      <c r="H604" s="2" t="inlineStr">
        <is>
          <t>betrivers</t>
        </is>
      </c>
      <c r="I604" s="4" t="n"/>
      <c r="J604" s="4" t="n"/>
      <c r="K604" s="4" t="n">
        <v>120</v>
      </c>
      <c r="L604" s="4" t="n">
        <v>120</v>
      </c>
      <c r="M604" s="5" t="n">
        <v>4.5</v>
      </c>
      <c r="N604" s="5" t="n">
        <v>4.000331696526165</v>
      </c>
      <c r="O604" s="5" t="n">
        <v>4.5</v>
      </c>
      <c r="P604" s="5" t="n">
        <v>0.4996683034738352</v>
      </c>
      <c r="Q604" s="6" t="n">
        <v>0.3832986919100122</v>
      </c>
      <c r="R604" s="6" t="n">
        <v>0.6287721326863691</v>
      </c>
      <c r="S604" s="6" t="n">
        <v>0.4357962697274032</v>
      </c>
      <c r="T604" s="2" t="inlineStr">
        <is>
          <t>Under</t>
        </is>
      </c>
      <c r="U604" s="4" t="n">
        <v>120</v>
      </c>
      <c r="V604" s="2" t="n">
        <v>2.2</v>
      </c>
      <c r="W604" s="4" t="n">
        <v>120</v>
      </c>
      <c r="X604" s="2" t="n">
        <v>1</v>
      </c>
      <c r="Y604" s="5" t="n">
        <v>1.2</v>
      </c>
      <c r="Z604" s="7" t="n">
        <v>100</v>
      </c>
      <c r="AA604" s="7">
        <f>Y604*Z604</f>
        <v/>
      </c>
      <c r="AB604" s="6">
        <f>IF(Z604=0,0,AA604/Z604)</f>
        <v/>
      </c>
      <c r="AC604" s="6" t="n"/>
      <c r="AD604" s="2" t="inlineStr">
        <is>
          <t>Win</t>
        </is>
      </c>
      <c r="AE604" s="6">
        <f>IF((COUNTIF($AD$2:AD604,"Win")+COUNTIF($AD$2:AD604,"Loss"))=0,0,COUNTIF($AD$2:AD604,"Win")/(COUNTIF($AD$2:AD604,"Win")+COUNTIF($AD$2:AD604,"Loss")))</f>
        <v/>
      </c>
      <c r="AF604" s="6">
        <f>SUM($Y$2:Y604)/SUM($X$2:X604)</f>
        <v/>
      </c>
      <c r="AG604" s="5">
        <f>SUM($Y$2:Y604)</f>
        <v/>
      </c>
      <c r="AH604" s="7">
        <f>10000.0+SUM($AA$2:AA604)</f>
        <v/>
      </c>
      <c r="AI604" s="2" t="n">
        <v>2026</v>
      </c>
      <c r="AJ604" s="2" t="inlineStr">
        <is>
          <t>2026-04</t>
        </is>
      </c>
      <c r="AK604" s="2" t="inlineStr">
        <is>
          <t>+100 to +120</t>
        </is>
      </c>
      <c r="AL604" s="2" t="inlineStr">
        <is>
          <t>2026 Frozen Test</t>
        </is>
      </c>
      <c r="AM604" s="6" t="n">
        <v>0.3194155765916768</v>
      </c>
    </row>
    <row r="605">
      <c r="A605" s="2" t="inlineStr">
        <is>
          <t>KPROP-00604</t>
        </is>
      </c>
      <c r="B605" s="3" t="n">
        <v>46128.59071759259</v>
      </c>
      <c r="C605" s="3" t="n">
        <v>46128</v>
      </c>
      <c r="D605" s="2" t="inlineStr">
        <is>
          <t>Steven Matz</t>
        </is>
      </c>
      <c r="E605" s="2" t="n">
        <v>139</v>
      </c>
      <c r="F605" s="2" t="n">
        <v>145</v>
      </c>
      <c r="G605" s="2" t="inlineStr">
        <is>
          <t>Away</t>
        </is>
      </c>
      <c r="H605" s="2" t="inlineStr">
        <is>
          <t>bovada</t>
        </is>
      </c>
      <c r="I605" s="4" t="n"/>
      <c r="J605" s="4" t="n"/>
      <c r="K605" s="4" t="n">
        <v>-165</v>
      </c>
      <c r="L605" s="4" t="n">
        <v>-165</v>
      </c>
      <c r="M605" s="5" t="n">
        <v>5.5</v>
      </c>
      <c r="N605" s="5" t="n">
        <v>4.000331696526165</v>
      </c>
      <c r="O605" s="5" t="n">
        <v>5.5</v>
      </c>
      <c r="P605" s="5" t="n">
        <v>1.499668303473835</v>
      </c>
      <c r="Q605" s="6" t="n">
        <v>0.2608837203928682</v>
      </c>
      <c r="R605" s="6" t="n">
        <v>0.7850785428861256</v>
      </c>
      <c r="S605" s="6" t="n">
        <v>0.5909231244211176</v>
      </c>
      <c r="T605" s="2" t="inlineStr">
        <is>
          <t>Under</t>
        </is>
      </c>
      <c r="U605" s="4" t="n">
        <v>-165</v>
      </c>
      <c r="V605" s="2" t="n">
        <v>1.606060606060606</v>
      </c>
      <c r="W605" s="4" t="n">
        <v>-165</v>
      </c>
      <c r="X605" s="2" t="n">
        <v>1</v>
      </c>
      <c r="Y605" s="5" t="n">
        <v>0.606060606060606</v>
      </c>
      <c r="Z605" s="7" t="n">
        <v>100</v>
      </c>
      <c r="AA605" s="7">
        <f>Y605*Z605</f>
        <v/>
      </c>
      <c r="AB605" s="6">
        <f>IF(Z605=0,0,AA605/Z605)</f>
        <v/>
      </c>
      <c r="AC605" s="6" t="n"/>
      <c r="AD605" s="2" t="inlineStr">
        <is>
          <t>Win</t>
        </is>
      </c>
      <c r="AE605" s="6">
        <f>IF((COUNTIF($AD$2:AD605,"Win")+COUNTIF($AD$2:AD605,"Loss"))=0,0,COUNTIF($AD$2:AD605,"Win")/(COUNTIF($AD$2:AD605,"Win")+COUNTIF($AD$2:AD605,"Loss")))</f>
        <v/>
      </c>
      <c r="AF605" s="6">
        <f>SUM($Y$2:Y605)/SUM($X$2:X605)</f>
        <v/>
      </c>
      <c r="AG605" s="5">
        <f>SUM($Y$2:Y605)</f>
        <v/>
      </c>
      <c r="AH605" s="7">
        <f>10000.0+SUM($AA$2:AA605)</f>
        <v/>
      </c>
      <c r="AI605" s="2" t="n">
        <v>2026</v>
      </c>
      <c r="AJ605" s="2" t="inlineStr">
        <is>
          <t>2026-04</t>
        </is>
      </c>
      <c r="AK605" s="2" t="inlineStr">
        <is>
          <t>&lt;= -150</t>
        </is>
      </c>
      <c r="AL605" s="2" t="inlineStr">
        <is>
          <t>2026 Frozen Test</t>
        </is>
      </c>
      <c r="AM605" s="6" t="n">
        <v>0.4304581386482326</v>
      </c>
    </row>
    <row r="606">
      <c r="A606" s="2" t="inlineStr">
        <is>
          <t>KPROP-00605</t>
        </is>
      </c>
      <c r="B606" s="3" t="n">
        <v>46129.59766203703</v>
      </c>
      <c r="C606" s="3" t="n">
        <v>46129</v>
      </c>
      <c r="D606" s="2" t="inlineStr">
        <is>
          <t>Edward Cabrera</t>
        </is>
      </c>
      <c r="E606" s="2" t="n">
        <v>112</v>
      </c>
      <c r="F606" s="2" t="n">
        <v>121</v>
      </c>
      <c r="G606" s="2" t="inlineStr">
        <is>
          <t>Home</t>
        </is>
      </c>
      <c r="H606" s="2" t="inlineStr">
        <is>
          <t>draftkings</t>
        </is>
      </c>
      <c r="I606" s="4" t="n"/>
      <c r="J606" s="4" t="n"/>
      <c r="K606" s="4" t="n">
        <v>121</v>
      </c>
      <c r="L606" s="4" t="n">
        <v>121</v>
      </c>
      <c r="M606" s="5" t="n">
        <v>5.5</v>
      </c>
      <c r="N606" s="5" t="n">
        <v>5.570329988649346</v>
      </c>
      <c r="O606" s="5" t="n">
        <v>5.5</v>
      </c>
      <c r="P606" s="5" t="n">
        <v>-0.07032998864934559</v>
      </c>
      <c r="Q606" s="6" t="n">
        <v>0.1423581867620726</v>
      </c>
      <c r="R606" s="6" t="n">
        <v>0.5169041569059152</v>
      </c>
      <c r="S606" s="6" t="n">
        <v>0.4488778054862843</v>
      </c>
      <c r="T606" s="2" t="inlineStr">
        <is>
          <t>Under</t>
        </is>
      </c>
      <c r="U606" s="4" t="n">
        <v>121</v>
      </c>
      <c r="V606" s="2" t="n">
        <v>2.21</v>
      </c>
      <c r="W606" s="4" t="n">
        <v>121</v>
      </c>
      <c r="X606" s="2" t="n">
        <v>1</v>
      </c>
      <c r="Y606" s="5" t="n">
        <v>1.21</v>
      </c>
      <c r="Z606" s="7" t="n">
        <v>100</v>
      </c>
      <c r="AA606" s="7">
        <f>Y606*Z606</f>
        <v/>
      </c>
      <c r="AB606" s="6">
        <f>IF(Z606=0,0,AA606/Z606)</f>
        <v/>
      </c>
      <c r="AC606" s="6" t="n"/>
      <c r="AD606" s="2" t="inlineStr">
        <is>
          <t>Win</t>
        </is>
      </c>
      <c r="AE606" s="6">
        <f>IF((COUNTIF($AD$2:AD606,"Win")+COUNTIF($AD$2:AD606,"Loss"))=0,0,COUNTIF($AD$2:AD606,"Win")/(COUNTIF($AD$2:AD606,"Win")+COUNTIF($AD$2:AD606,"Loss")))</f>
        <v/>
      </c>
      <c r="AF606" s="6">
        <f>SUM($Y$2:Y606)/SUM($X$2:X606)</f>
        <v/>
      </c>
      <c r="AG606" s="5">
        <f>SUM($Y$2:Y606)</f>
        <v/>
      </c>
      <c r="AH606" s="7">
        <f>10000.0+SUM($AA$2:AA606)</f>
        <v/>
      </c>
      <c r="AI606" s="2" t="n">
        <v>2026</v>
      </c>
      <c r="AJ606" s="2" t="inlineStr">
        <is>
          <t>2026-04</t>
        </is>
      </c>
      <c r="AK606" s="2" t="inlineStr">
        <is>
          <t>+121 to +150</t>
        </is>
      </c>
      <c r="AL606" s="2" t="inlineStr">
        <is>
          <t>2026 Frozen Test</t>
        </is>
      </c>
      <c r="AM606" s="6" t="n">
        <v>0.1176513940182418</v>
      </c>
    </row>
    <row r="607">
      <c r="A607" s="2" t="inlineStr">
        <is>
          <t>KPROP-00606</t>
        </is>
      </c>
      <c r="B607" s="3" t="n">
        <v>46129.59766203703</v>
      </c>
      <c r="C607" s="3" t="n">
        <v>46129</v>
      </c>
      <c r="D607" s="2" t="inlineStr">
        <is>
          <t>Kodai Senga</t>
        </is>
      </c>
      <c r="E607" s="2" t="n">
        <v>121</v>
      </c>
      <c r="F607" s="2" t="n">
        <v>112</v>
      </c>
      <c r="G607" s="2" t="inlineStr">
        <is>
          <t>Away</t>
        </is>
      </c>
      <c r="H607" s="2" t="inlineStr">
        <is>
          <t>betonlineag</t>
        </is>
      </c>
      <c r="I607" s="4" t="n"/>
      <c r="J607" s="4" t="n"/>
      <c r="K607" s="4" t="n">
        <v>117</v>
      </c>
      <c r="L607" s="4" t="n">
        <v>117</v>
      </c>
      <c r="M607" s="5" t="n">
        <v>4.5</v>
      </c>
      <c r="N607" s="5" t="n">
        <v>4.663738485287541</v>
      </c>
      <c r="O607" s="5" t="n">
        <v>4.5</v>
      </c>
      <c r="P607" s="5" t="n">
        <v>-0.1637384852875412</v>
      </c>
      <c r="Q607" s="6" t="n">
        <v>0.08789114806935039</v>
      </c>
      <c r="R607" s="6" t="n">
        <v>0.5013323262992398</v>
      </c>
      <c r="S607" s="6" t="n">
        <v>0.4413387274733358</v>
      </c>
      <c r="T607" s="2" t="inlineStr">
        <is>
          <t>Under</t>
        </is>
      </c>
      <c r="U607" s="4" t="n">
        <v>117</v>
      </c>
      <c r="V607" s="2" t="n">
        <v>2.17</v>
      </c>
      <c r="W607" s="4" t="n">
        <v>117</v>
      </c>
      <c r="X607" s="2" t="n">
        <v>1</v>
      </c>
      <c r="Y607" s="5" t="n">
        <v>1.17</v>
      </c>
      <c r="Z607" s="7" t="n">
        <v>100</v>
      </c>
      <c r="AA607" s="7">
        <f>Y607*Z607</f>
        <v/>
      </c>
      <c r="AB607" s="6">
        <f>IF(Z607=0,0,AA607/Z607)</f>
        <v/>
      </c>
      <c r="AC607" s="6" t="n"/>
      <c r="AD607" s="2" t="inlineStr">
        <is>
          <t>Win</t>
        </is>
      </c>
      <c r="AE607" s="6">
        <f>IF((COUNTIF($AD$2:AD607,"Win")+COUNTIF($AD$2:AD607,"Loss"))=0,0,COUNTIF($AD$2:AD607,"Win")/(COUNTIF($AD$2:AD607,"Win")+COUNTIF($AD$2:AD607,"Loss")))</f>
        <v/>
      </c>
      <c r="AF607" s="6">
        <f>SUM($Y$2:Y607)/SUM($X$2:X607)</f>
        <v/>
      </c>
      <c r="AG607" s="5">
        <f>SUM($Y$2:Y607)</f>
        <v/>
      </c>
      <c r="AH607" s="7">
        <f>10000.0+SUM($AA$2:AA607)</f>
        <v/>
      </c>
      <c r="AI607" s="2" t="n">
        <v>2026</v>
      </c>
      <c r="AJ607" s="2" t="inlineStr">
        <is>
          <t>2026-04</t>
        </is>
      </c>
      <c r="AK607" s="2" t="inlineStr">
        <is>
          <t>+100 to +120</t>
        </is>
      </c>
      <c r="AL607" s="2" t="inlineStr">
        <is>
          <t>2026 Frozen Test</t>
        </is>
      </c>
      <c r="AM607" s="6" t="n">
        <v>0.07512063937551315</v>
      </c>
    </row>
    <row r="608">
      <c r="A608" s="2" t="inlineStr">
        <is>
          <t>KPROP-00607</t>
        </is>
      </c>
      <c r="B608" s="3" t="n">
        <v>46129.59766203703</v>
      </c>
      <c r="C608" s="3" t="n">
        <v>46129</v>
      </c>
      <c r="D608" s="2" t="inlineStr">
        <is>
          <t>Kodai Senga</t>
        </is>
      </c>
      <c r="E608" s="2" t="n">
        <v>121</v>
      </c>
      <c r="F608" s="2" t="n">
        <v>112</v>
      </c>
      <c r="G608" s="2" t="inlineStr">
        <is>
          <t>Away</t>
        </is>
      </c>
      <c r="H608" s="2" t="inlineStr">
        <is>
          <t>bovada</t>
        </is>
      </c>
      <c r="I608" s="4" t="n"/>
      <c r="J608" s="4" t="n"/>
      <c r="K608" s="4" t="n">
        <v>-150</v>
      </c>
      <c r="L608" s="4" t="n">
        <v>-150</v>
      </c>
      <c r="M608" s="5" t="n">
        <v>5.5</v>
      </c>
      <c r="N608" s="5" t="n">
        <v>4.663738485287541</v>
      </c>
      <c r="O608" s="5" t="n">
        <v>5.5</v>
      </c>
      <c r="P608" s="5" t="n">
        <v>0.8362615147124588</v>
      </c>
      <c r="Q608" s="6" t="n">
        <v>0.124557018441827</v>
      </c>
      <c r="R608" s="6" t="n">
        <v>0.6747342110650962</v>
      </c>
      <c r="S608" s="6" t="n">
        <v>0.5755517826825127</v>
      </c>
      <c r="T608" s="2" t="inlineStr">
        <is>
          <t>Under</t>
        </is>
      </c>
      <c r="U608" s="4" t="n">
        <v>-150</v>
      </c>
      <c r="V608" s="2" t="n">
        <v>1.666666666666667</v>
      </c>
      <c r="W608" s="4" t="n">
        <v>-150</v>
      </c>
      <c r="X608" s="2" t="n">
        <v>1</v>
      </c>
      <c r="Y608" s="5" t="n">
        <v>0.6666666666666665</v>
      </c>
      <c r="Z608" s="7" t="n">
        <v>100</v>
      </c>
      <c r="AA608" s="7">
        <f>Y608*Z608</f>
        <v/>
      </c>
      <c r="AB608" s="6">
        <f>IF(Z608=0,0,AA608/Z608)</f>
        <v/>
      </c>
      <c r="AC608" s="6" t="n"/>
      <c r="AD608" s="2" t="inlineStr">
        <is>
          <t>Win</t>
        </is>
      </c>
      <c r="AE608" s="6">
        <f>IF((COUNTIF($AD$2:AD608,"Win")+COUNTIF($AD$2:AD608,"Loss"))=0,0,COUNTIF($AD$2:AD608,"Win")/(COUNTIF($AD$2:AD608,"Win")+COUNTIF($AD$2:AD608,"Loss")))</f>
        <v/>
      </c>
      <c r="AF608" s="6">
        <f>SUM($Y$2:Y608)/SUM($X$2:X608)</f>
        <v/>
      </c>
      <c r="AG608" s="5">
        <f>SUM($Y$2:Y608)</f>
        <v/>
      </c>
      <c r="AH608" s="7">
        <f>10000.0+SUM($AA$2:AA608)</f>
        <v/>
      </c>
      <c r="AI608" s="2" t="n">
        <v>2026</v>
      </c>
      <c r="AJ608" s="2" t="inlineStr">
        <is>
          <t>2026-04</t>
        </is>
      </c>
      <c r="AK608" s="2" t="inlineStr">
        <is>
          <t>&lt;= -150</t>
        </is>
      </c>
      <c r="AL608" s="2" t="inlineStr">
        <is>
          <t>2026 Frozen Test</t>
        </is>
      </c>
      <c r="AM608" s="6" t="n">
        <v>0.1868355276627405</v>
      </c>
    </row>
    <row r="609">
      <c r="A609" s="2" t="inlineStr">
        <is>
          <t>KPROP-00608</t>
        </is>
      </c>
      <c r="B609" s="3" t="n">
        <v>46129.80252314815</v>
      </c>
      <c r="C609" s="3" t="n">
        <v>46129</v>
      </c>
      <c r="D609" s="2" t="inlineStr">
        <is>
          <t>Ranger Suarez</t>
        </is>
      </c>
      <c r="E609" s="2" t="n">
        <v>111</v>
      </c>
      <c r="F609" s="2" t="n">
        <v>116</v>
      </c>
      <c r="G609" s="2" t="inlineStr">
        <is>
          <t>Home</t>
        </is>
      </c>
      <c r="H609" s="2" t="inlineStr">
        <is>
          <t>betmgm</t>
        </is>
      </c>
      <c r="I609" s="4" t="n"/>
      <c r="J609" s="4" t="n"/>
      <c r="K609" s="4" t="n">
        <v>105</v>
      </c>
      <c r="L609" s="4" t="n">
        <v>105</v>
      </c>
      <c r="M609" s="5" t="n">
        <v>4.5</v>
      </c>
      <c r="N609" s="5" t="n">
        <v>4.141397168574283</v>
      </c>
      <c r="O609" s="5" t="n">
        <v>4.5</v>
      </c>
      <c r="P609" s="5" t="n">
        <v>0.358602831425717</v>
      </c>
      <c r="Q609" s="6" t="n">
        <v>0.2325321973615315</v>
      </c>
      <c r="R609" s="6" t="n">
        <v>0.6012352182251374</v>
      </c>
      <c r="S609" s="6" t="n">
        <v>0.4779986598168416</v>
      </c>
      <c r="T609" s="2" t="inlineStr">
        <is>
          <t>Under</t>
        </is>
      </c>
      <c r="U609" s="4" t="n">
        <v>105</v>
      </c>
      <c r="V609" s="2" t="n">
        <v>2.05</v>
      </c>
      <c r="W609" s="4" t="n">
        <v>105</v>
      </c>
      <c r="X609" s="2" t="n">
        <v>1</v>
      </c>
      <c r="Y609" s="5" t="n">
        <v>1.05</v>
      </c>
      <c r="Z609" s="7" t="n">
        <v>100</v>
      </c>
      <c r="AA609" s="7">
        <f>Y609*Z609</f>
        <v/>
      </c>
      <c r="AB609" s="6">
        <f>IF(Z609=0,0,AA609/Z609)</f>
        <v/>
      </c>
      <c r="AC609" s="6" t="n"/>
      <c r="AD609" s="2" t="inlineStr">
        <is>
          <t>Win</t>
        </is>
      </c>
      <c r="AE609" s="6">
        <f>IF((COUNTIF($AD$2:AD609,"Win")+COUNTIF($AD$2:AD609,"Loss"))=0,0,COUNTIF($AD$2:AD609,"Win")/(COUNTIF($AD$2:AD609,"Win")+COUNTIF($AD$2:AD609,"Loss")))</f>
        <v/>
      </c>
      <c r="AF609" s="6">
        <f>SUM($Y$2:Y609)/SUM($X$2:X609)</f>
        <v/>
      </c>
      <c r="AG609" s="5">
        <f>SUM($Y$2:Y609)</f>
        <v/>
      </c>
      <c r="AH609" s="7">
        <f>10000.0+SUM($AA$2:AA609)</f>
        <v/>
      </c>
      <c r="AI609" s="2" t="n">
        <v>2026</v>
      </c>
      <c r="AJ609" s="2" t="inlineStr">
        <is>
          <t>2026-04</t>
        </is>
      </c>
      <c r="AK609" s="2" t="inlineStr">
        <is>
          <t>+100 to +120</t>
        </is>
      </c>
      <c r="AL609" s="2" t="inlineStr">
        <is>
          <t>2026 Frozen Test</t>
        </is>
      </c>
      <c r="AM609" s="6" t="n">
        <v>0.221459235582411</v>
      </c>
    </row>
    <row r="610">
      <c r="A610" s="2" t="inlineStr">
        <is>
          <t>KPROP-00609</t>
        </is>
      </c>
      <c r="B610" s="3" t="n">
        <v>46129.75738425926</v>
      </c>
      <c r="C610" s="3" t="n">
        <v>46129</v>
      </c>
      <c r="D610" s="2" t="inlineStr">
        <is>
          <t>Tanner Bibee</t>
        </is>
      </c>
      <c r="E610" s="2" t="n">
        <v>114</v>
      </c>
      <c r="F610" s="2" t="n">
        <v>110</v>
      </c>
      <c r="G610" s="2" t="inlineStr">
        <is>
          <t>Home</t>
        </is>
      </c>
      <c r="H610" s="2" t="inlineStr">
        <is>
          <t>draftkings</t>
        </is>
      </c>
      <c r="I610" s="4" t="n"/>
      <c r="J610" s="4" t="n"/>
      <c r="K610" s="4" t="n">
        <v>108</v>
      </c>
      <c r="L610" s="4" t="n">
        <v>108</v>
      </c>
      <c r="M610" s="5" t="n">
        <v>5.5</v>
      </c>
      <c r="N610" s="5" t="n">
        <v>5.539160104345701</v>
      </c>
      <c r="O610" s="5" t="n">
        <v>5.5</v>
      </c>
      <c r="P610" s="5" t="n">
        <v>-0.03916010434570083</v>
      </c>
      <c r="Q610" s="6" t="n">
        <v>0.08621517261231926</v>
      </c>
      <c r="R610" s="6" t="n">
        <v>0.5222188329866919</v>
      </c>
      <c r="S610" s="6" t="n">
        <v>0.4639175257731958</v>
      </c>
      <c r="T610" s="2" t="inlineStr">
        <is>
          <t>Under</t>
        </is>
      </c>
      <c r="U610" s="4" t="n">
        <v>108</v>
      </c>
      <c r="V610" s="2" t="n">
        <v>2.08</v>
      </c>
      <c r="W610" s="4" t="n">
        <v>108</v>
      </c>
      <c r="X610" s="2" t="n">
        <v>1</v>
      </c>
      <c r="Y610" s="5" t="n">
        <v>1.08</v>
      </c>
      <c r="Z610" s="7" t="n">
        <v>100</v>
      </c>
      <c r="AA610" s="7">
        <f>Y610*Z610</f>
        <v/>
      </c>
      <c r="AB610" s="6">
        <f>IF(Z610=0,0,AA610/Z610)</f>
        <v/>
      </c>
      <c r="AC610" s="6" t="n"/>
      <c r="AD610" s="2" t="inlineStr">
        <is>
          <t>Win</t>
        </is>
      </c>
      <c r="AE610" s="6">
        <f>IF((COUNTIF($AD$2:AD610,"Win")+COUNTIF($AD$2:AD610,"Loss"))=0,0,COUNTIF($AD$2:AD610,"Win")/(COUNTIF($AD$2:AD610,"Win")+COUNTIF($AD$2:AD610,"Loss")))</f>
        <v/>
      </c>
      <c r="AF610" s="6">
        <f>SUM($Y$2:Y610)/SUM($X$2:X610)</f>
        <v/>
      </c>
      <c r="AG610" s="5">
        <f>SUM($Y$2:Y610)</f>
        <v/>
      </c>
      <c r="AH610" s="7">
        <f>10000.0+SUM($AA$2:AA610)</f>
        <v/>
      </c>
      <c r="AI610" s="2" t="n">
        <v>2026</v>
      </c>
      <c r="AJ610" s="2" t="inlineStr">
        <is>
          <t>2026-04</t>
        </is>
      </c>
      <c r="AK610" s="2" t="inlineStr">
        <is>
          <t>+100 to +120</t>
        </is>
      </c>
      <c r="AL610" s="2" t="inlineStr">
        <is>
          <t>2026 Frozen Test</t>
        </is>
      </c>
      <c r="AM610" s="6" t="n">
        <v>0.07982886352992523</v>
      </c>
    </row>
    <row r="611">
      <c r="A611" s="2" t="inlineStr">
        <is>
          <t>KPROP-00610</t>
        </is>
      </c>
      <c r="B611" s="3" t="n">
        <v>46130.80252314815</v>
      </c>
      <c r="C611" s="3" t="n">
        <v>46130</v>
      </c>
      <c r="D611" s="2" t="inlineStr">
        <is>
          <t>Chris Sale</t>
        </is>
      </c>
      <c r="E611" s="2" t="n">
        <v>144</v>
      </c>
      <c r="F611" s="2" t="n">
        <v>143</v>
      </c>
      <c r="G611" s="2" t="inlineStr">
        <is>
          <t>Away</t>
        </is>
      </c>
      <c r="H611" s="2" t="inlineStr">
        <is>
          <t>mybookieag</t>
        </is>
      </c>
      <c r="I611" s="4" t="n"/>
      <c r="J611" s="4" t="n"/>
      <c r="K611" s="4" t="n">
        <v>100</v>
      </c>
      <c r="L611" s="4" t="n">
        <v>100</v>
      </c>
      <c r="M611" s="5" t="n">
        <v>7.5</v>
      </c>
      <c r="N611" s="5" t="n">
        <v>6.754614369863081</v>
      </c>
      <c r="O611" s="5" t="n">
        <v>7.5</v>
      </c>
      <c r="P611" s="5" t="n">
        <v>0.7453856301369193</v>
      </c>
      <c r="Q611" s="6" t="n">
        <v>0.2704473775389591</v>
      </c>
      <c r="R611" s="6" t="n">
        <v>0.6352236887694795</v>
      </c>
      <c r="S611" s="6" t="n">
        <v>0.5121951219512195</v>
      </c>
      <c r="T611" s="2" t="inlineStr">
        <is>
          <t>Under</t>
        </is>
      </c>
      <c r="U611" s="4" t="n">
        <v>100</v>
      </c>
      <c r="V611" s="2" t="n">
        <v>2</v>
      </c>
      <c r="W611" s="4" t="n">
        <v>100</v>
      </c>
      <c r="X611" s="2" t="n">
        <v>1</v>
      </c>
      <c r="Y611" s="5" t="n">
        <v>1</v>
      </c>
      <c r="Z611" s="7" t="n">
        <v>100</v>
      </c>
      <c r="AA611" s="7">
        <f>Y611*Z611</f>
        <v/>
      </c>
      <c r="AB611" s="6">
        <f>IF(Z611=0,0,AA611/Z611)</f>
        <v/>
      </c>
      <c r="AC611" s="6" t="n"/>
      <c r="AD611" s="2" t="inlineStr">
        <is>
          <t>Win</t>
        </is>
      </c>
      <c r="AE611" s="6">
        <f>IF((COUNTIF($AD$2:AD611,"Win")+COUNTIF($AD$2:AD611,"Loss"))=0,0,COUNTIF($AD$2:AD611,"Win")/(COUNTIF($AD$2:AD611,"Win")+COUNTIF($AD$2:AD611,"Loss")))</f>
        <v/>
      </c>
      <c r="AF611" s="6">
        <f>SUM($Y$2:Y611)/SUM($X$2:X611)</f>
        <v/>
      </c>
      <c r="AG611" s="5">
        <f>SUM($Y$2:Y611)</f>
        <v/>
      </c>
      <c r="AH611" s="7">
        <f>10000.0+SUM($AA$2:AA611)</f>
        <v/>
      </c>
      <c r="AI611" s="2" t="n">
        <v>2026</v>
      </c>
      <c r="AJ611" s="2" t="inlineStr">
        <is>
          <t>2026-04</t>
        </is>
      </c>
      <c r="AK611" s="2" t="inlineStr">
        <is>
          <t>+100 to +120</t>
        </is>
      </c>
      <c r="AL611" s="2" t="inlineStr">
        <is>
          <t>2026 Frozen Test</t>
        </is>
      </c>
      <c r="AM611" s="6" t="n">
        <v>0.2704473775389591</v>
      </c>
    </row>
    <row r="612">
      <c r="A612" s="2" t="inlineStr">
        <is>
          <t>KPROP-00611</t>
        </is>
      </c>
      <c r="B612" s="3" t="n">
        <v>46130.80252314815</v>
      </c>
      <c r="C612" s="3" t="n">
        <v>46130</v>
      </c>
      <c r="D612" s="2" t="inlineStr">
        <is>
          <t>Cristopher Sánchez</t>
        </is>
      </c>
      <c r="E612" s="2" t="n">
        <v>143</v>
      </c>
      <c r="F612" s="2" t="n">
        <v>144</v>
      </c>
      <c r="G612" s="2" t="inlineStr">
        <is>
          <t>Home</t>
        </is>
      </c>
      <c r="H612" s="2" t="inlineStr">
        <is>
          <t>betrivers</t>
        </is>
      </c>
      <c r="I612" s="4" t="n"/>
      <c r="J612" s="4" t="n"/>
      <c r="K612" s="4" t="n">
        <v>188</v>
      </c>
      <c r="L612" s="4" t="n">
        <v>188</v>
      </c>
      <c r="M612" s="5" t="n">
        <v>5.5</v>
      </c>
      <c r="N612" s="5" t="n">
        <v>5.835418627194001</v>
      </c>
      <c r="O612" s="5" t="n">
        <v>5.5</v>
      </c>
      <c r="P612" s="5" t="n">
        <v>-0.3354186271940014</v>
      </c>
      <c r="Q612" s="6" t="n">
        <v>0.3606962527935313</v>
      </c>
      <c r="R612" s="6" t="n">
        <v>0.4724639766644206</v>
      </c>
      <c r="S612" s="6" t="n">
        <v>0.3607103218645949</v>
      </c>
      <c r="T612" s="2" t="inlineStr">
        <is>
          <t>Under</t>
        </is>
      </c>
      <c r="U612" s="4" t="n">
        <v>188</v>
      </c>
      <c r="V612" s="2" t="n">
        <v>2.88</v>
      </c>
      <c r="W612" s="4" t="n">
        <v>188</v>
      </c>
      <c r="X612" s="2" t="n">
        <v>1</v>
      </c>
      <c r="Y612" s="5" t="n">
        <v>-1</v>
      </c>
      <c r="Z612" s="7" t="n">
        <v>100</v>
      </c>
      <c r="AA612" s="7">
        <f>Y612*Z612</f>
        <v/>
      </c>
      <c r="AB612" s="6">
        <f>IF(Z612=0,0,AA612/Z612)</f>
        <v/>
      </c>
      <c r="AC612" s="6" t="n"/>
      <c r="AD612" s="2" t="inlineStr">
        <is>
          <t>Loss</t>
        </is>
      </c>
      <c r="AE612" s="6">
        <f>IF((COUNTIF($AD$2:AD612,"Win")+COUNTIF($AD$2:AD612,"Loss"))=0,0,COUNTIF($AD$2:AD612,"Win")/(COUNTIF($AD$2:AD612,"Win")+COUNTIF($AD$2:AD612,"Loss")))</f>
        <v/>
      </c>
      <c r="AF612" s="6">
        <f>SUM($Y$2:Y612)/SUM($X$2:X612)</f>
        <v/>
      </c>
      <c r="AG612" s="5">
        <f>SUM($Y$2:Y612)</f>
        <v/>
      </c>
      <c r="AH612" s="7">
        <f>10000.0+SUM($AA$2:AA612)</f>
        <v/>
      </c>
      <c r="AI612" s="2" t="n">
        <v>2026</v>
      </c>
      <c r="AJ612" s="2" t="inlineStr">
        <is>
          <t>2026-04</t>
        </is>
      </c>
      <c r="AK612" s="2" t="inlineStr">
        <is>
          <t>&gt;= +151</t>
        </is>
      </c>
      <c r="AL612" s="2" t="inlineStr">
        <is>
          <t>2026 Frozen Test</t>
        </is>
      </c>
      <c r="AM612" s="6" t="n">
        <v>0.1918597089327294</v>
      </c>
    </row>
    <row r="613">
      <c r="A613" s="2" t="inlineStr">
        <is>
          <t>KPROP-00612</t>
        </is>
      </c>
      <c r="B613" s="3" t="n">
        <v>46130.80252314815</v>
      </c>
      <c r="C613" s="3" t="n">
        <v>46130</v>
      </c>
      <c r="D613" s="2" t="inlineStr">
        <is>
          <t>Cristopher Sánchez</t>
        </is>
      </c>
      <c r="E613" s="2" t="n">
        <v>143</v>
      </c>
      <c r="F613" s="2" t="n">
        <v>144</v>
      </c>
      <c r="G613" s="2" t="inlineStr">
        <is>
          <t>Home</t>
        </is>
      </c>
      <c r="H613" s="2" t="inlineStr">
        <is>
          <t>betrivers</t>
        </is>
      </c>
      <c r="I613" s="4" t="n"/>
      <c r="J613" s="4" t="n"/>
      <c r="K613" s="4" t="n">
        <v>-108</v>
      </c>
      <c r="L613" s="4" t="n">
        <v>-108</v>
      </c>
      <c r="M613" s="5" t="n">
        <v>6.5</v>
      </c>
      <c r="N613" s="5" t="n">
        <v>5.835418627194001</v>
      </c>
      <c r="O613" s="5" t="n">
        <v>6.5</v>
      </c>
      <c r="P613" s="5" t="n">
        <v>0.6645813728059986</v>
      </c>
      <c r="Q613" s="6" t="n">
        <v>0.2185683955638977</v>
      </c>
      <c r="R613" s="6" t="n">
        <v>0.6327182053889469</v>
      </c>
      <c r="S613" s="6" t="n">
        <v>0.5286439448875998</v>
      </c>
      <c r="T613" s="2" t="inlineStr">
        <is>
          <t>Under</t>
        </is>
      </c>
      <c r="U613" s="4" t="n">
        <v>-108</v>
      </c>
      <c r="V613" s="2" t="n">
        <v>1.925925925925926</v>
      </c>
      <c r="W613" s="4" t="n">
        <v>-108</v>
      </c>
      <c r="X613" s="2" t="n">
        <v>1</v>
      </c>
      <c r="Y613" s="5" t="n">
        <v>-1</v>
      </c>
      <c r="Z613" s="7" t="n">
        <v>100</v>
      </c>
      <c r="AA613" s="7">
        <f>Y613*Z613</f>
        <v/>
      </c>
      <c r="AB613" s="6">
        <f>IF(Z613=0,0,AA613/Z613)</f>
        <v/>
      </c>
      <c r="AC613" s="6" t="n"/>
      <c r="AD613" s="2" t="inlineStr">
        <is>
          <t>Loss</t>
        </is>
      </c>
      <c r="AE613" s="6">
        <f>IF((COUNTIF($AD$2:AD613,"Win")+COUNTIF($AD$2:AD613,"Loss"))=0,0,COUNTIF($AD$2:AD613,"Win")/(COUNTIF($AD$2:AD613,"Win")+COUNTIF($AD$2:AD613,"Loss")))</f>
        <v/>
      </c>
      <c r="AF613" s="6">
        <f>SUM($Y$2:Y613)/SUM($X$2:X613)</f>
        <v/>
      </c>
      <c r="AG613" s="5">
        <f>SUM($Y$2:Y613)</f>
        <v/>
      </c>
      <c r="AH613" s="7">
        <f>10000.0+SUM($AA$2:AA613)</f>
        <v/>
      </c>
      <c r="AI613" s="2" t="n">
        <v>2026</v>
      </c>
      <c r="AJ613" s="2" t="inlineStr">
        <is>
          <t>2026-04</t>
        </is>
      </c>
      <c r="AK613" s="2" t="inlineStr">
        <is>
          <t>-119 to -101</t>
        </is>
      </c>
      <c r="AL613" s="2" t="inlineStr">
        <is>
          <t>2026 Frozen Test</t>
        </is>
      </c>
      <c r="AM613" s="6" t="n">
        <v>0.2360538672090095</v>
      </c>
    </row>
    <row r="614">
      <c r="A614" s="2" t="inlineStr">
        <is>
          <t>KPROP-00613</t>
        </is>
      </c>
      <c r="B614" s="3" t="n">
        <v>46130.59766203703</v>
      </c>
      <c r="C614" s="3" t="n">
        <v>46130</v>
      </c>
      <c r="D614" s="2" t="inlineStr">
        <is>
          <t>Freddy Peralta</t>
        </is>
      </c>
      <c r="E614" s="2" t="n">
        <v>121</v>
      </c>
      <c r="F614" s="2" t="n">
        <v>112</v>
      </c>
      <c r="G614" s="2" t="inlineStr">
        <is>
          <t>Away</t>
        </is>
      </c>
      <c r="H614" s="2" t="inlineStr">
        <is>
          <t>draftkings</t>
        </is>
      </c>
      <c r="I614" s="4" t="n"/>
      <c r="J614" s="4" t="n"/>
      <c r="K614" s="4" t="n">
        <v>106</v>
      </c>
      <c r="L614" s="4" t="n">
        <v>106</v>
      </c>
      <c r="M614" s="5" t="n">
        <v>5.5</v>
      </c>
      <c r="N614" s="5" t="n">
        <v>5.540825895704296</v>
      </c>
      <c r="O614" s="5" t="n">
        <v>5.5</v>
      </c>
      <c r="P614" s="5" t="n">
        <v>-0.0408258957042964</v>
      </c>
      <c r="Q614" s="6" t="n">
        <v>0.07518484095638811</v>
      </c>
      <c r="R614" s="6" t="n">
        <v>0.5219343888137806</v>
      </c>
      <c r="S614" s="6" t="n">
        <v>0.4620329449578144</v>
      </c>
      <c r="T614" s="2" t="inlineStr">
        <is>
          <t>Under</t>
        </is>
      </c>
      <c r="U614" s="4" t="n">
        <v>106</v>
      </c>
      <c r="V614" s="2" t="n">
        <v>2.06</v>
      </c>
      <c r="W614" s="4" t="n">
        <v>106</v>
      </c>
      <c r="X614" s="2" t="n">
        <v>1</v>
      </c>
      <c r="Y614" s="5" t="n">
        <v>1.06</v>
      </c>
      <c r="Z614" s="7" t="n">
        <v>100</v>
      </c>
      <c r="AA614" s="7">
        <f>Y614*Z614</f>
        <v/>
      </c>
      <c r="AB614" s="6">
        <f>IF(Z614=0,0,AA614/Z614)</f>
        <v/>
      </c>
      <c r="AC614" s="6" t="n"/>
      <c r="AD614" s="2" t="inlineStr">
        <is>
          <t>Win</t>
        </is>
      </c>
      <c r="AE614" s="6">
        <f>IF((COUNTIF($AD$2:AD614,"Win")+COUNTIF($AD$2:AD614,"Loss"))=0,0,COUNTIF($AD$2:AD614,"Win")/(COUNTIF($AD$2:AD614,"Win")+COUNTIF($AD$2:AD614,"Loss")))</f>
        <v/>
      </c>
      <c r="AF614" s="6">
        <f>SUM($Y$2:Y614)/SUM($X$2:X614)</f>
        <v/>
      </c>
      <c r="AG614" s="5">
        <f>SUM($Y$2:Y614)</f>
        <v/>
      </c>
      <c r="AH614" s="7">
        <f>10000.0+SUM($AA$2:AA614)</f>
        <v/>
      </c>
      <c r="AI614" s="2" t="n">
        <v>2026</v>
      </c>
      <c r="AJ614" s="2" t="inlineStr">
        <is>
          <t>2026-04</t>
        </is>
      </c>
      <c r="AK614" s="2" t="inlineStr">
        <is>
          <t>+100 to +120</t>
        </is>
      </c>
      <c r="AL614" s="2" t="inlineStr">
        <is>
          <t>2026 Frozen Test</t>
        </is>
      </c>
      <c r="AM614" s="6" t="n">
        <v>0.07092909524187557</v>
      </c>
    </row>
    <row r="615">
      <c r="A615" s="2" t="inlineStr">
        <is>
          <t>KPROP-00614</t>
        </is>
      </c>
      <c r="B615" s="3" t="n">
        <v>46130.79905092593</v>
      </c>
      <c r="C615" s="3" t="n">
        <v>46130</v>
      </c>
      <c r="D615" s="2" t="inlineStr">
        <is>
          <t>Lance McCullers Jr.</t>
        </is>
      </c>
      <c r="E615" s="2" t="n">
        <v>117</v>
      </c>
      <c r="F615" s="2" t="n">
        <v>138</v>
      </c>
      <c r="G615" s="2" t="inlineStr">
        <is>
          <t>Home</t>
        </is>
      </c>
      <c r="H615" s="2" t="inlineStr">
        <is>
          <t>fanduel</t>
        </is>
      </c>
      <c r="I615" s="4" t="n"/>
      <c r="J615" s="4" t="n"/>
      <c r="K615" s="4" t="n">
        <v>118</v>
      </c>
      <c r="L615" s="4" t="n">
        <v>118</v>
      </c>
      <c r="M615" s="5" t="n">
        <v>4.5</v>
      </c>
      <c r="N615" s="5" t="n">
        <v>4.615560636245791</v>
      </c>
      <c r="O615" s="5" t="n">
        <v>4.5</v>
      </c>
      <c r="P615" s="5" t="n">
        <v>-0.1155606362457915</v>
      </c>
      <c r="Q615" s="6" t="n">
        <v>0.112495271080541</v>
      </c>
      <c r="R615" s="6" t="n">
        <v>0.5103189316883217</v>
      </c>
      <c r="S615" s="6" t="n">
        <v>0.4432091346153846</v>
      </c>
      <c r="T615" s="2" t="inlineStr">
        <is>
          <t>Under</t>
        </is>
      </c>
      <c r="U615" s="4" t="n">
        <v>118</v>
      </c>
      <c r="V615" s="2" t="n">
        <v>2.18</v>
      </c>
      <c r="W615" s="4" t="n">
        <v>118</v>
      </c>
      <c r="X615" s="2" t="n">
        <v>1</v>
      </c>
      <c r="Y615" s="5" t="n">
        <v>1.18</v>
      </c>
      <c r="Z615" s="7" t="n">
        <v>100</v>
      </c>
      <c r="AA615" s="7">
        <f>Y615*Z615</f>
        <v/>
      </c>
      <c r="AB615" s="6">
        <f>IF(Z615=0,0,AA615/Z615)</f>
        <v/>
      </c>
      <c r="AC615" s="6" t="n"/>
      <c r="AD615" s="2" t="inlineStr">
        <is>
          <t>Win</t>
        </is>
      </c>
      <c r="AE615" s="6">
        <f>IF((COUNTIF($AD$2:AD615,"Win")+COUNTIF($AD$2:AD615,"Loss"))=0,0,COUNTIF($AD$2:AD615,"Win")/(COUNTIF($AD$2:AD615,"Win")+COUNTIF($AD$2:AD615,"Loss")))</f>
        <v/>
      </c>
      <c r="AF615" s="6">
        <f>SUM($Y$2:Y615)/SUM($X$2:X615)</f>
        <v/>
      </c>
      <c r="AG615" s="5">
        <f>SUM($Y$2:Y615)</f>
        <v/>
      </c>
      <c r="AH615" s="7">
        <f>10000.0+SUM($AA$2:AA615)</f>
        <v/>
      </c>
      <c r="AI615" s="2" t="n">
        <v>2026</v>
      </c>
      <c r="AJ615" s="2" t="inlineStr">
        <is>
          <t>2026-04</t>
        </is>
      </c>
      <c r="AK615" s="2" t="inlineStr">
        <is>
          <t>+100 to +120</t>
        </is>
      </c>
      <c r="AL615" s="2" t="inlineStr">
        <is>
          <t>2026 Frozen Test</t>
        </is>
      </c>
      <c r="AM615" s="6" t="n">
        <v>0.09533497549198394</v>
      </c>
    </row>
    <row r="616">
      <c r="A616" s="2" t="inlineStr">
        <is>
          <t>KPROP-00615</t>
        </is>
      </c>
      <c r="B616" s="3" t="n">
        <v>46130.80252314815</v>
      </c>
      <c r="C616" s="3" t="n">
        <v>46130</v>
      </c>
      <c r="D616" s="2" t="inlineStr">
        <is>
          <t>Nathan Eovaldi</t>
        </is>
      </c>
      <c r="E616" s="2" t="n">
        <v>140</v>
      </c>
      <c r="F616" s="2" t="n">
        <v>136</v>
      </c>
      <c r="G616" s="2" t="inlineStr">
        <is>
          <t>Away</t>
        </is>
      </c>
      <c r="H616" s="2" t="inlineStr">
        <is>
          <t>draftkings</t>
        </is>
      </c>
      <c r="I616" s="4" t="n"/>
      <c r="J616" s="4" t="n"/>
      <c r="K616" s="4" t="n">
        <v>114</v>
      </c>
      <c r="L616" s="4" t="n">
        <v>114</v>
      </c>
      <c r="M616" s="5" t="n">
        <v>5.5</v>
      </c>
      <c r="N616" s="5" t="n">
        <v>5.225371242988249</v>
      </c>
      <c r="O616" s="5" t="n">
        <v>5.5</v>
      </c>
      <c r="P616" s="5" t="n">
        <v>0.2746287570117509</v>
      </c>
      <c r="Q616" s="6" t="n">
        <v>0.2336687886925846</v>
      </c>
      <c r="R616" s="6" t="n">
        <v>0.5764807423797125</v>
      </c>
      <c r="S616" s="6" t="n">
        <v>0.4525777253049981</v>
      </c>
      <c r="T616" s="2" t="inlineStr">
        <is>
          <t>Under</t>
        </is>
      </c>
      <c r="U616" s="4" t="n">
        <v>114</v>
      </c>
      <c r="V616" s="2" t="n">
        <v>2.14</v>
      </c>
      <c r="W616" s="4" t="n">
        <v>114</v>
      </c>
      <c r="X616" s="2" t="n">
        <v>1</v>
      </c>
      <c r="Y616" s="5" t="n">
        <v>1.14</v>
      </c>
      <c r="Z616" s="7" t="n">
        <v>100</v>
      </c>
      <c r="AA616" s="7">
        <f>Y616*Z616</f>
        <v/>
      </c>
      <c r="AB616" s="6">
        <f>IF(Z616=0,0,AA616/Z616)</f>
        <v/>
      </c>
      <c r="AC616" s="6" t="n"/>
      <c r="AD616" s="2" t="inlineStr">
        <is>
          <t>Win</t>
        </is>
      </c>
      <c r="AE616" s="6">
        <f>IF((COUNTIF($AD$2:AD616,"Win")+COUNTIF($AD$2:AD616,"Loss"))=0,0,COUNTIF($AD$2:AD616,"Win")/(COUNTIF($AD$2:AD616,"Win")+COUNTIF($AD$2:AD616,"Loss")))</f>
        <v/>
      </c>
      <c r="AF616" s="6">
        <f>SUM($Y$2:Y616)/SUM($X$2:X616)</f>
        <v/>
      </c>
      <c r="AG616" s="5">
        <f>SUM($Y$2:Y616)</f>
        <v/>
      </c>
      <c r="AH616" s="7">
        <f>10000.0+SUM($AA$2:AA616)</f>
        <v/>
      </c>
      <c r="AI616" s="2" t="n">
        <v>2026</v>
      </c>
      <c r="AJ616" s="2" t="inlineStr">
        <is>
          <t>2026-04</t>
        </is>
      </c>
      <c r="AK616" s="2" t="inlineStr">
        <is>
          <t>+100 to +120</t>
        </is>
      </c>
      <c r="AL616" s="2" t="inlineStr">
        <is>
          <t>2026 Frozen Test</t>
        </is>
      </c>
      <c r="AM616" s="6" t="n">
        <v>0.2049726216601619</v>
      </c>
    </row>
    <row r="617">
      <c r="A617" s="2" t="inlineStr">
        <is>
          <t>KPROP-00616</t>
        </is>
      </c>
      <c r="B617" s="3" t="n">
        <v>46130.80252314815</v>
      </c>
      <c r="C617" s="3" t="n">
        <v>46130</v>
      </c>
      <c r="D617" s="2" t="inlineStr">
        <is>
          <t>Nathan Eovaldi</t>
        </is>
      </c>
      <c r="E617" s="2" t="n">
        <v>140</v>
      </c>
      <c r="F617" s="2" t="n">
        <v>136</v>
      </c>
      <c r="G617" s="2" t="inlineStr">
        <is>
          <t>Away</t>
        </is>
      </c>
      <c r="H617" s="2" t="inlineStr">
        <is>
          <t>betrivers</t>
        </is>
      </c>
      <c r="I617" s="4" t="n"/>
      <c r="J617" s="4" t="n"/>
      <c r="K617" s="4" t="n">
        <v>-190</v>
      </c>
      <c r="L617" s="4" t="n">
        <v>-190</v>
      </c>
      <c r="M617" s="5" t="n">
        <v>6.5</v>
      </c>
      <c r="N617" s="5" t="n">
        <v>5.225371242988249</v>
      </c>
      <c r="O617" s="5" t="n">
        <v>6.5</v>
      </c>
      <c r="P617" s="5" t="n">
        <v>1.274628757011751</v>
      </c>
      <c r="Q617" s="6" t="n">
        <v>0.1119861914937575</v>
      </c>
      <c r="R617" s="6" t="n">
        <v>0.7285426771855653</v>
      </c>
      <c r="S617" s="6" t="n">
        <v>0.6112600536193029</v>
      </c>
      <c r="T617" s="2" t="inlineStr">
        <is>
          <t>Under</t>
        </is>
      </c>
      <c r="U617" s="4" t="n">
        <v>-190</v>
      </c>
      <c r="V617" s="2" t="n">
        <v>1.526315789473684</v>
      </c>
      <c r="W617" s="4" t="n">
        <v>-190</v>
      </c>
      <c r="X617" s="2" t="n">
        <v>1</v>
      </c>
      <c r="Y617" s="5" t="n">
        <v>0.5263157894736841</v>
      </c>
      <c r="Z617" s="7" t="n">
        <v>100</v>
      </c>
      <c r="AA617" s="7">
        <f>Y617*Z617</f>
        <v/>
      </c>
      <c r="AB617" s="6">
        <f>IF(Z617=0,0,AA617/Z617)</f>
        <v/>
      </c>
      <c r="AC617" s="6" t="n"/>
      <c r="AD617" s="2" t="inlineStr">
        <is>
          <t>Win</t>
        </is>
      </c>
      <c r="AE617" s="6">
        <f>IF((COUNTIF($AD$2:AD617,"Win")+COUNTIF($AD$2:AD617,"Loss"))=0,0,COUNTIF($AD$2:AD617,"Win")/(COUNTIF($AD$2:AD617,"Win")+COUNTIF($AD$2:AD617,"Loss")))</f>
        <v/>
      </c>
      <c r="AF617" s="6">
        <f>SUM($Y$2:Y617)/SUM($X$2:X617)</f>
        <v/>
      </c>
      <c r="AG617" s="5">
        <f>SUM($Y$2:Y617)</f>
        <v/>
      </c>
      <c r="AH617" s="7">
        <f>10000.0+SUM($AA$2:AA617)</f>
        <v/>
      </c>
      <c r="AI617" s="2" t="n">
        <v>2026</v>
      </c>
      <c r="AJ617" s="2" t="inlineStr">
        <is>
          <t>2026-04</t>
        </is>
      </c>
      <c r="AK617" s="2" t="inlineStr">
        <is>
          <t>&lt;= -150</t>
        </is>
      </c>
      <c r="AL617" s="2" t="inlineStr">
        <is>
          <t>2026 Frozen Test</t>
        </is>
      </c>
      <c r="AM617" s="6" t="n">
        <v>0.2127737638381393</v>
      </c>
    </row>
    <row r="618">
      <c r="A618" s="2" t="inlineStr">
        <is>
          <t>KPROP-00617</t>
        </is>
      </c>
      <c r="B618" s="3" t="n">
        <v>46130.67057870371</v>
      </c>
      <c r="C618" s="3" t="n">
        <v>46130</v>
      </c>
      <c r="D618" s="2" t="inlineStr">
        <is>
          <t>Paul Skenes</t>
        </is>
      </c>
      <c r="E618" s="2" t="n">
        <v>134</v>
      </c>
      <c r="F618" s="2" t="n">
        <v>139</v>
      </c>
      <c r="G618" s="2" t="inlineStr">
        <is>
          <t>Home</t>
        </is>
      </c>
      <c r="H618" s="2" t="inlineStr">
        <is>
          <t>betmgm</t>
        </is>
      </c>
      <c r="I618" s="4" t="n"/>
      <c r="J618" s="4" t="n"/>
      <c r="K618" s="4" t="n">
        <v>-135</v>
      </c>
      <c r="L618" s="4" t="n">
        <v>-135</v>
      </c>
      <c r="M618" s="5" t="n">
        <v>6.5</v>
      </c>
      <c r="N618" s="5" t="n">
        <v>5.563787964470715</v>
      </c>
      <c r="O618" s="5" t="n">
        <v>6.5</v>
      </c>
      <c r="P618" s="5" t="n">
        <v>0.9362120355292847</v>
      </c>
      <c r="Q618" s="6" t="n">
        <v>0.1767164030906573</v>
      </c>
      <c r="R618" s="6" t="n">
        <v>0.6759860187967606</v>
      </c>
      <c r="S618" s="6" t="n">
        <v>0.54911742133538</v>
      </c>
      <c r="T618" s="2" t="inlineStr">
        <is>
          <t>Under</t>
        </is>
      </c>
      <c r="U618" s="4" t="n">
        <v>-135</v>
      </c>
      <c r="V618" s="2" t="n">
        <v>1.740740740740741</v>
      </c>
      <c r="W618" s="4" t="n">
        <v>-135</v>
      </c>
      <c r="X618" s="2" t="n">
        <v>1</v>
      </c>
      <c r="Y618" s="5" t="n">
        <v>0.7407407407407407</v>
      </c>
      <c r="Z618" s="7" t="n">
        <v>100</v>
      </c>
      <c r="AA618" s="7">
        <f>Y618*Z618</f>
        <v/>
      </c>
      <c r="AB618" s="6">
        <f>IF(Z618=0,0,AA618/Z618)</f>
        <v/>
      </c>
      <c r="AC618" s="6" t="n"/>
      <c r="AD618" s="2" t="inlineStr">
        <is>
          <t>Win</t>
        </is>
      </c>
      <c r="AE618" s="6">
        <f>IF((COUNTIF($AD$2:AD618,"Win")+COUNTIF($AD$2:AD618,"Loss"))=0,0,COUNTIF($AD$2:AD618,"Win")/(COUNTIF($AD$2:AD618,"Win")+COUNTIF($AD$2:AD618,"Loss")))</f>
        <v/>
      </c>
      <c r="AF618" s="6">
        <f>SUM($Y$2:Y618)/SUM($X$2:X618)</f>
        <v/>
      </c>
      <c r="AG618" s="5">
        <f>SUM($Y$2:Y618)</f>
        <v/>
      </c>
      <c r="AH618" s="7">
        <f>10000.0+SUM($AA$2:AA618)</f>
        <v/>
      </c>
      <c r="AI618" s="2" t="n">
        <v>2026</v>
      </c>
      <c r="AJ618" s="2" t="inlineStr">
        <is>
          <t>2026-04</t>
        </is>
      </c>
      <c r="AK618" s="2" t="inlineStr">
        <is>
          <t>-149 to -120</t>
        </is>
      </c>
      <c r="AL618" s="2" t="inlineStr">
        <is>
          <t>2026 Frozen Test</t>
        </is>
      </c>
      <c r="AM618" s="6" t="n">
        <v>0.2385671441723873</v>
      </c>
    </row>
    <row r="619">
      <c r="A619" s="2" t="inlineStr">
        <is>
          <t>KPROP-00618</t>
        </is>
      </c>
      <c r="B619" s="3" t="n">
        <v>46130.67405092593</v>
      </c>
      <c r="C619" s="3" t="n">
        <v>46130</v>
      </c>
      <c r="D619" s="2" t="inlineStr">
        <is>
          <t>Tarik Skubal</t>
        </is>
      </c>
      <c r="E619" s="2" t="n">
        <v>116</v>
      </c>
      <c r="F619" s="2" t="n">
        <v>111</v>
      </c>
      <c r="G619" s="2" t="inlineStr">
        <is>
          <t>Away</t>
        </is>
      </c>
      <c r="H619" s="2" t="inlineStr">
        <is>
          <t>betrivers</t>
        </is>
      </c>
      <c r="I619" s="4" t="n"/>
      <c r="J619" s="4" t="n"/>
      <c r="K619" s="4" t="n">
        <v>-103</v>
      </c>
      <c r="L619" s="4" t="n">
        <v>-103</v>
      </c>
      <c r="M619" s="5" t="n">
        <v>7.5</v>
      </c>
      <c r="N619" s="5" t="n">
        <v>6.931393333480867</v>
      </c>
      <c r="O619" s="5" t="n">
        <v>7.5</v>
      </c>
      <c r="P619" s="5" t="n">
        <v>0.5686066665191332</v>
      </c>
      <c r="Q619" s="6" t="n">
        <v>0.2001345580672189</v>
      </c>
      <c r="R619" s="6" t="n">
        <v>0.6089352683789337</v>
      </c>
      <c r="S619" s="6" t="n">
        <v>0.4976431769974075</v>
      </c>
      <c r="T619" s="2" t="inlineStr">
        <is>
          <t>Under</t>
        </is>
      </c>
      <c r="U619" s="4" t="n">
        <v>-103</v>
      </c>
      <c r="V619" s="2" t="n">
        <v>1.970873786407767</v>
      </c>
      <c r="W619" s="4" t="n">
        <v>-103</v>
      </c>
      <c r="X619" s="2" t="n">
        <v>1</v>
      </c>
      <c r="Y619" s="5" t="n">
        <v>-1</v>
      </c>
      <c r="Z619" s="7" t="n">
        <v>100</v>
      </c>
      <c r="AA619" s="7">
        <f>Y619*Z619</f>
        <v/>
      </c>
      <c r="AB619" s="6">
        <f>IF(Z619=0,0,AA619/Z619)</f>
        <v/>
      </c>
      <c r="AC619" s="6" t="n"/>
      <c r="AD619" s="2" t="inlineStr">
        <is>
          <t>Loss</t>
        </is>
      </c>
      <c r="AE619" s="6">
        <f>IF((COUNTIF($AD$2:AD619,"Win")+COUNTIF($AD$2:AD619,"Loss"))=0,0,COUNTIF($AD$2:AD619,"Win")/(COUNTIF($AD$2:AD619,"Win")+COUNTIF($AD$2:AD619,"Loss")))</f>
        <v/>
      </c>
      <c r="AF619" s="6">
        <f>SUM($Y$2:Y619)/SUM($X$2:X619)</f>
        <v/>
      </c>
      <c r="AG619" s="5">
        <f>SUM($Y$2:Y619)</f>
        <v/>
      </c>
      <c r="AH619" s="7">
        <f>10000.0+SUM($AA$2:AA619)</f>
        <v/>
      </c>
      <c r="AI619" s="2" t="n">
        <v>2026</v>
      </c>
      <c r="AJ619" s="2" t="inlineStr">
        <is>
          <t>2026-04</t>
        </is>
      </c>
      <c r="AK619" s="2" t="inlineStr">
        <is>
          <t>-119 to -101</t>
        </is>
      </c>
      <c r="AL619" s="2" t="inlineStr">
        <is>
          <t>2026 Frozen Test</t>
        </is>
      </c>
      <c r="AM619" s="6" t="n">
        <v>0.2061385948092355</v>
      </c>
    </row>
    <row r="620">
      <c r="A620" s="2" t="inlineStr">
        <is>
          <t>KPROP-00619</t>
        </is>
      </c>
      <c r="B620" s="3" t="n">
        <v>46130.56641203703</v>
      </c>
      <c r="C620" s="3" t="n">
        <v>46130</v>
      </c>
      <c r="D620" s="2" t="inlineStr">
        <is>
          <t>Will Warren</t>
        </is>
      </c>
      <c r="E620" s="2" t="n">
        <v>147</v>
      </c>
      <c r="F620" s="2" t="n">
        <v>118</v>
      </c>
      <c r="G620" s="2" t="inlineStr">
        <is>
          <t>Home</t>
        </is>
      </c>
      <c r="H620" s="2" t="inlineStr">
        <is>
          <t>betonlineag</t>
        </is>
      </c>
      <c r="I620" s="4" t="n"/>
      <c r="J620" s="4" t="n"/>
      <c r="K620" s="4" t="n">
        <v>128</v>
      </c>
      <c r="L620" s="4" t="n">
        <v>128</v>
      </c>
      <c r="M620" s="5" t="n">
        <v>4.5</v>
      </c>
      <c r="N620" s="5" t="n">
        <v>4.454961074289693</v>
      </c>
      <c r="O620" s="5" t="n">
        <v>4.5</v>
      </c>
      <c r="P620" s="5" t="n">
        <v>0.04503892571030743</v>
      </c>
      <c r="Q620" s="6" t="n">
        <v>0.2327347998683624</v>
      </c>
      <c r="R620" s="6" t="n">
        <v>0.540673157837001</v>
      </c>
      <c r="S620" s="6" t="n">
        <v>0.4329403095062638</v>
      </c>
      <c r="T620" s="2" t="inlineStr">
        <is>
          <t>Under</t>
        </is>
      </c>
      <c r="U620" s="4" t="n">
        <v>128</v>
      </c>
      <c r="V620" s="2" t="n">
        <v>2.28</v>
      </c>
      <c r="W620" s="4" t="n">
        <v>128</v>
      </c>
      <c r="X620" s="2" t="n">
        <v>1</v>
      </c>
      <c r="Y620" s="5" t="n">
        <v>-1</v>
      </c>
      <c r="Z620" s="7" t="n">
        <v>100</v>
      </c>
      <c r="AA620" s="7">
        <f>Y620*Z620</f>
        <v/>
      </c>
      <c r="AB620" s="6">
        <f>IF(Z620=0,0,AA620/Z620)</f>
        <v/>
      </c>
      <c r="AC620" s="6" t="n"/>
      <c r="AD620" s="2" t="inlineStr">
        <is>
          <t>Loss</t>
        </is>
      </c>
      <c r="AE620" s="6">
        <f>IF((COUNTIF($AD$2:AD620,"Win")+COUNTIF($AD$2:AD620,"Loss"))=0,0,COUNTIF($AD$2:AD620,"Win")/(COUNTIF($AD$2:AD620,"Win")+COUNTIF($AD$2:AD620,"Loss")))</f>
        <v/>
      </c>
      <c r="AF620" s="6">
        <f>SUM($Y$2:Y620)/SUM($X$2:X620)</f>
        <v/>
      </c>
      <c r="AG620" s="5">
        <f>SUM($Y$2:Y620)</f>
        <v/>
      </c>
      <c r="AH620" s="7">
        <f>10000.0+SUM($AA$2:AA620)</f>
        <v/>
      </c>
      <c r="AI620" s="2" t="n">
        <v>2026</v>
      </c>
      <c r="AJ620" s="2" t="inlineStr">
        <is>
          <t>2026-04</t>
        </is>
      </c>
      <c r="AK620" s="2" t="inlineStr">
        <is>
          <t>+121 to +150</t>
        </is>
      </c>
      <c r="AL620" s="2" t="inlineStr">
        <is>
          <t>2026 Frozen Test</t>
        </is>
      </c>
      <c r="AM620" s="6" t="n">
        <v>0.1818240623971581</v>
      </c>
    </row>
    <row r="621">
      <c r="A621" s="2" t="inlineStr">
        <is>
          <t>KPROP-00620</t>
        </is>
      </c>
      <c r="B621" s="3" t="n">
        <v>46131.80598379629</v>
      </c>
      <c r="C621" s="3" t="n">
        <v>46131</v>
      </c>
      <c r="D621" s="2" t="inlineStr">
        <is>
          <t>Andrew Painter</t>
        </is>
      </c>
      <c r="E621" s="2" t="n">
        <v>143</v>
      </c>
      <c r="F621" s="2" t="n">
        <v>144</v>
      </c>
      <c r="G621" s="2" t="inlineStr">
        <is>
          <t>Home</t>
        </is>
      </c>
      <c r="H621" s="2" t="inlineStr">
        <is>
          <t>bovada</t>
        </is>
      </c>
      <c r="I621" s="4" t="n"/>
      <c r="J621" s="4" t="n"/>
      <c r="K621" s="4" t="n">
        <v>-110</v>
      </c>
      <c r="L621" s="4" t="n">
        <v>-110</v>
      </c>
      <c r="M621" s="5" t="n">
        <v>4.5</v>
      </c>
      <c r="N621" s="5" t="n">
        <v>4.303616517788342</v>
      </c>
      <c r="O621" s="5" t="n">
        <v>4.5</v>
      </c>
      <c r="P621" s="5" t="n">
        <v>0.1963834822116581</v>
      </c>
      <c r="Q621" s="6" t="n">
        <v>0.08768388952675921</v>
      </c>
      <c r="R621" s="6" t="n">
        <v>0.5697391802283024</v>
      </c>
      <c r="S621" s="6" t="n">
        <v>0.495787700084246</v>
      </c>
      <c r="T621" s="2" t="inlineStr">
        <is>
          <t>Under</t>
        </is>
      </c>
      <c r="U621" s="4" t="n">
        <v>-110</v>
      </c>
      <c r="V621" s="2" t="n">
        <v>1.909090909090909</v>
      </c>
      <c r="W621" s="4" t="n">
        <v>-110</v>
      </c>
      <c r="X621" s="2" t="n">
        <v>1</v>
      </c>
      <c r="Y621" s="5" t="n">
        <v>0.9090909090909092</v>
      </c>
      <c r="Z621" s="7" t="n">
        <v>100</v>
      </c>
      <c r="AA621" s="7">
        <f>Y621*Z621</f>
        <v/>
      </c>
      <c r="AB621" s="6">
        <f>IF(Z621=0,0,AA621/Z621)</f>
        <v/>
      </c>
      <c r="AC621" s="6" t="n"/>
      <c r="AD621" s="2" t="inlineStr">
        <is>
          <t>Win</t>
        </is>
      </c>
      <c r="AE621" s="6">
        <f>IF((COUNTIF($AD$2:AD621,"Win")+COUNTIF($AD$2:AD621,"Loss"))=0,0,COUNTIF($AD$2:AD621,"Win")/(COUNTIF($AD$2:AD621,"Win")+COUNTIF($AD$2:AD621,"Loss")))</f>
        <v/>
      </c>
      <c r="AF621" s="6">
        <f>SUM($Y$2:Y621)/SUM($X$2:X621)</f>
        <v/>
      </c>
      <c r="AG621" s="5">
        <f>SUM($Y$2:Y621)</f>
        <v/>
      </c>
      <c r="AH621" s="7">
        <f>10000.0+SUM($AA$2:AA621)</f>
        <v/>
      </c>
      <c r="AI621" s="2" t="n">
        <v>2026</v>
      </c>
      <c r="AJ621" s="2" t="inlineStr">
        <is>
          <t>2026-04</t>
        </is>
      </c>
      <c r="AK621" s="2" t="inlineStr">
        <is>
          <t>-119 to -101</t>
        </is>
      </c>
      <c r="AL621" s="2" t="inlineStr">
        <is>
          <t>2026 Frozen Test</t>
        </is>
      </c>
      <c r="AM621" s="6" t="n">
        <v>0.09645227847943512</v>
      </c>
    </row>
    <row r="622">
      <c r="A622" s="2" t="inlineStr">
        <is>
          <t>KPROP-00621</t>
        </is>
      </c>
      <c r="B622" s="3" t="n">
        <v>46131.59071759259</v>
      </c>
      <c r="C622" s="3" t="n">
        <v>46131</v>
      </c>
      <c r="D622" s="2" t="inlineStr">
        <is>
          <t>Bailey Ober</t>
        </is>
      </c>
      <c r="E622" s="2" t="n">
        <v>142</v>
      </c>
      <c r="F622" s="2" t="n">
        <v>113</v>
      </c>
      <c r="G622" s="2" t="inlineStr">
        <is>
          <t>Home</t>
        </is>
      </c>
      <c r="H622" s="2" t="inlineStr">
        <is>
          <t>bovada</t>
        </is>
      </c>
      <c r="I622" s="4" t="n"/>
      <c r="J622" s="4" t="n"/>
      <c r="K622" s="4" t="n">
        <v>120</v>
      </c>
      <c r="L622" s="4" t="n">
        <v>120</v>
      </c>
      <c r="M622" s="5" t="n">
        <v>4.5</v>
      </c>
      <c r="N622" s="5" t="n">
        <v>4.597537478531545</v>
      </c>
      <c r="O622" s="5" t="n">
        <v>4.5</v>
      </c>
      <c r="P622" s="5" t="n">
        <v>-0.09753747853154504</v>
      </c>
      <c r="Q622" s="6" t="n">
        <v>0.1301309050011547</v>
      </c>
      <c r="R622" s="6" t="n">
        <v>0.5136958659096157</v>
      </c>
      <c r="S622" s="6" t="n">
        <v>0.4260237780713342</v>
      </c>
      <c r="T622" s="2" t="inlineStr">
        <is>
          <t>Under</t>
        </is>
      </c>
      <c r="U622" s="4" t="n">
        <v>120</v>
      </c>
      <c r="V622" s="2" t="n">
        <v>2.2</v>
      </c>
      <c r="W622" s="4" t="n">
        <v>120</v>
      </c>
      <c r="X622" s="2" t="n">
        <v>1</v>
      </c>
      <c r="Y622" s="5" t="n">
        <v>-1</v>
      </c>
      <c r="Z622" s="7" t="n">
        <v>100</v>
      </c>
      <c r="AA622" s="7">
        <f>Y622*Z622</f>
        <v/>
      </c>
      <c r="AB622" s="6">
        <f>IF(Z622=0,0,AA622/Z622)</f>
        <v/>
      </c>
      <c r="AC622" s="6" t="n"/>
      <c r="AD622" s="2" t="inlineStr">
        <is>
          <t>Loss</t>
        </is>
      </c>
      <c r="AE622" s="6">
        <f>IF((COUNTIF($AD$2:AD622,"Win")+COUNTIF($AD$2:AD622,"Loss"))=0,0,COUNTIF($AD$2:AD622,"Win")/(COUNTIF($AD$2:AD622,"Win")+COUNTIF($AD$2:AD622,"Loss")))</f>
        <v/>
      </c>
      <c r="AF622" s="6">
        <f>SUM($Y$2:Y622)/SUM($X$2:X622)</f>
        <v/>
      </c>
      <c r="AG622" s="5">
        <f>SUM($Y$2:Y622)</f>
        <v/>
      </c>
      <c r="AH622" s="7">
        <f>10000.0+SUM($AA$2:AA622)</f>
        <v/>
      </c>
      <c r="AI622" s="2" t="n">
        <v>2026</v>
      </c>
      <c r="AJ622" s="2" t="inlineStr">
        <is>
          <t>2026-04</t>
        </is>
      </c>
      <c r="AK622" s="2" t="inlineStr">
        <is>
          <t>+100 to +120</t>
        </is>
      </c>
      <c r="AL622" s="2" t="inlineStr">
        <is>
          <t>2026 Frozen Test</t>
        </is>
      </c>
      <c r="AM622" s="6" t="n">
        <v>0.1084424208342955</v>
      </c>
    </row>
    <row r="623">
      <c r="A623" s="2" t="inlineStr">
        <is>
          <t>KPROP-00622</t>
        </is>
      </c>
      <c r="B623" s="3" t="n">
        <v>46131.59071759259</v>
      </c>
      <c r="C623" s="3" t="n">
        <v>46131</v>
      </c>
      <c r="D623" s="2" t="inlineStr">
        <is>
          <t>Bailey Ober</t>
        </is>
      </c>
      <c r="E623" s="2" t="n">
        <v>142</v>
      </c>
      <c r="F623" s="2" t="n">
        <v>113</v>
      </c>
      <c r="G623" s="2" t="inlineStr">
        <is>
          <t>Home</t>
        </is>
      </c>
      <c r="H623" s="2" t="inlineStr">
        <is>
          <t>betonlineag</t>
        </is>
      </c>
      <c r="I623" s="4" t="n"/>
      <c r="J623" s="4" t="n"/>
      <c r="K623" s="4" t="n">
        <v>-159</v>
      </c>
      <c r="L623" s="4" t="n">
        <v>-159</v>
      </c>
      <c r="M623" s="5" t="n">
        <v>5.5</v>
      </c>
      <c r="N623" s="5" t="n">
        <v>4.597537478531545</v>
      </c>
      <c r="O623" s="5" t="n">
        <v>5.5</v>
      </c>
      <c r="P623" s="5" t="n">
        <v>0.902462521468455</v>
      </c>
      <c r="Q623" s="6" t="n">
        <v>0.1177467582243533</v>
      </c>
      <c r="R623" s="6" t="n">
        <v>0.6861843033114756</v>
      </c>
      <c r="S623" s="6" t="n">
        <v>0.5885427423070201</v>
      </c>
      <c r="T623" s="2" t="inlineStr">
        <is>
          <t>Under</t>
        </is>
      </c>
      <c r="U623" s="4" t="n">
        <v>-159</v>
      </c>
      <c r="V623" s="2" t="n">
        <v>1.628930817610063</v>
      </c>
      <c r="W623" s="4" t="n">
        <v>-159</v>
      </c>
      <c r="X623" s="2" t="n">
        <v>1</v>
      </c>
      <c r="Y623" s="5" t="n">
        <v>-1</v>
      </c>
      <c r="Z623" s="7" t="n">
        <v>100</v>
      </c>
      <c r="AA623" s="7">
        <f>Y623*Z623</f>
        <v/>
      </c>
      <c r="AB623" s="6">
        <f>IF(Z623=0,0,AA623/Z623)</f>
        <v/>
      </c>
      <c r="AC623" s="6" t="n"/>
      <c r="AD623" s="2" t="inlineStr">
        <is>
          <t>Loss</t>
        </is>
      </c>
      <c r="AE623" s="6">
        <f>IF((COUNTIF($AD$2:AD623,"Win")+COUNTIF($AD$2:AD623,"Loss"))=0,0,COUNTIF($AD$2:AD623,"Win")/(COUNTIF($AD$2:AD623,"Win")+COUNTIF($AD$2:AD623,"Loss")))</f>
        <v/>
      </c>
      <c r="AF623" s="6">
        <f>SUM($Y$2:Y623)/SUM($X$2:X623)</f>
        <v/>
      </c>
      <c r="AG623" s="5">
        <f>SUM($Y$2:Y623)</f>
        <v/>
      </c>
      <c r="AH623" s="7">
        <f>10000.0+SUM($AA$2:AA623)</f>
        <v/>
      </c>
      <c r="AI623" s="2" t="n">
        <v>2026</v>
      </c>
      <c r="AJ623" s="2" t="inlineStr">
        <is>
          <t>2026-04</t>
        </is>
      </c>
      <c r="AK623" s="2" t="inlineStr">
        <is>
          <t>&lt;= -150</t>
        </is>
      </c>
      <c r="AL623" s="2" t="inlineStr">
        <is>
          <t>2026 Frozen Test</t>
        </is>
      </c>
      <c r="AM623" s="6" t="n">
        <v>0.1872173455767217</v>
      </c>
    </row>
    <row r="624">
      <c r="A624" s="2" t="inlineStr">
        <is>
          <t>KPROP-00623</t>
        </is>
      </c>
      <c r="B624" s="3" t="n">
        <v>46131.59071759259</v>
      </c>
      <c r="C624" s="3" t="n">
        <v>46131</v>
      </c>
      <c r="D624" s="2" t="inlineStr">
        <is>
          <t>Brady Singer</t>
        </is>
      </c>
      <c r="E624" s="2" t="n">
        <v>113</v>
      </c>
      <c r="F624" s="2" t="n">
        <v>142</v>
      </c>
      <c r="G624" s="2" t="inlineStr">
        <is>
          <t>Away</t>
        </is>
      </c>
      <c r="H624" s="2" t="inlineStr">
        <is>
          <t>bovada</t>
        </is>
      </c>
      <c r="I624" s="4" t="n"/>
      <c r="J624" s="4" t="n"/>
      <c r="K624" s="4" t="n">
        <v>105</v>
      </c>
      <c r="L624" s="4" t="n">
        <v>105</v>
      </c>
      <c r="M624" s="5" t="n">
        <v>4.5</v>
      </c>
      <c r="N624" s="5" t="n">
        <v>4.515116632290745</v>
      </c>
      <c r="O624" s="5" t="n">
        <v>4.5</v>
      </c>
      <c r="P624" s="5" t="n">
        <v>-0.015116632290745</v>
      </c>
      <c r="Q624" s="6" t="n">
        <v>0.08493534606372977</v>
      </c>
      <c r="R624" s="6" t="n">
        <v>0.5292367541774292</v>
      </c>
      <c r="S624" s="6" t="n">
        <v>0.4721030042918455</v>
      </c>
      <c r="T624" s="2" t="inlineStr">
        <is>
          <t>Under</t>
        </is>
      </c>
      <c r="U624" s="4" t="n">
        <v>105</v>
      </c>
      <c r="V624" s="2" t="n">
        <v>2.05</v>
      </c>
      <c r="W624" s="4" t="n">
        <v>105</v>
      </c>
      <c r="X624" s="2" t="n">
        <v>1</v>
      </c>
      <c r="Y624" s="5" t="n">
        <v>1.05</v>
      </c>
      <c r="Z624" s="7" t="n">
        <v>100</v>
      </c>
      <c r="AA624" s="7">
        <f>Y624*Z624</f>
        <v/>
      </c>
      <c r="AB624" s="6">
        <f>IF(Z624=0,0,AA624/Z624)</f>
        <v/>
      </c>
      <c r="AC624" s="6" t="n"/>
      <c r="AD624" s="2" t="inlineStr">
        <is>
          <t>Win</t>
        </is>
      </c>
      <c r="AE624" s="6">
        <f>IF((COUNTIF($AD$2:AD624,"Win")+COUNTIF($AD$2:AD624,"Loss"))=0,0,COUNTIF($AD$2:AD624,"Win")/(COUNTIF($AD$2:AD624,"Win")+COUNTIF($AD$2:AD624,"Loss")))</f>
        <v/>
      </c>
      <c r="AF624" s="6">
        <f>SUM($Y$2:Y624)/SUM($X$2:X624)</f>
        <v/>
      </c>
      <c r="AG624" s="5">
        <f>SUM($Y$2:Y624)</f>
        <v/>
      </c>
      <c r="AH624" s="7">
        <f>10000.0+SUM($AA$2:AA624)</f>
        <v/>
      </c>
      <c r="AI624" s="2" t="n">
        <v>2026</v>
      </c>
      <c r="AJ624" s="2" t="inlineStr">
        <is>
          <t>2026-04</t>
        </is>
      </c>
      <c r="AK624" s="2" t="inlineStr">
        <is>
          <t>+100 to +120</t>
        </is>
      </c>
      <c r="AL624" s="2" t="inlineStr">
        <is>
          <t>2026 Frozen Test</t>
        </is>
      </c>
      <c r="AM624" s="6" t="n">
        <v>0.08089080577498074</v>
      </c>
    </row>
    <row r="625">
      <c r="A625" s="2" t="inlineStr">
        <is>
          <t>KPROP-00624</t>
        </is>
      </c>
      <c r="B625" s="3" t="n">
        <v>46131.56640046297</v>
      </c>
      <c r="C625" s="3" t="n">
        <v>46131</v>
      </c>
      <c r="D625" s="2" t="inlineStr">
        <is>
          <t>Cole Ragans</t>
        </is>
      </c>
      <c r="E625" s="2" t="n">
        <v>118</v>
      </c>
      <c r="F625" s="2" t="n">
        <v>147</v>
      </c>
      <c r="G625" s="2" t="inlineStr">
        <is>
          <t>Away</t>
        </is>
      </c>
      <c r="H625" s="2" t="inlineStr">
        <is>
          <t>betrivers</t>
        </is>
      </c>
      <c r="I625" s="4" t="n"/>
      <c r="J625" s="4" t="n"/>
      <c r="K625" s="4" t="n">
        <v>-117</v>
      </c>
      <c r="L625" s="4" t="n">
        <v>-117</v>
      </c>
      <c r="M625" s="5" t="n">
        <v>6.5</v>
      </c>
      <c r="N625" s="5" t="n">
        <v>6.119342249948927</v>
      </c>
      <c r="O625" s="5" t="n">
        <v>6.5</v>
      </c>
      <c r="P625" s="5" t="n">
        <v>0.3806577500510731</v>
      </c>
      <c r="Q625" s="6" t="n">
        <v>0.08897121502002679</v>
      </c>
      <c r="R625" s="6" t="n">
        <v>0.5871411620154061</v>
      </c>
      <c r="S625" s="6" t="n">
        <v>0.5250082083834957</v>
      </c>
      <c r="T625" s="2" t="inlineStr">
        <is>
          <t>Under</t>
        </is>
      </c>
      <c r="U625" s="4" t="n">
        <v>-117</v>
      </c>
      <c r="V625" s="2" t="n">
        <v>1.854700854700855</v>
      </c>
      <c r="W625" s="4" t="n">
        <v>-117</v>
      </c>
      <c r="X625" s="2" t="n">
        <v>1</v>
      </c>
      <c r="Y625" s="5" t="n">
        <v>0.8547008547008548</v>
      </c>
      <c r="Z625" s="7" t="n">
        <v>100</v>
      </c>
      <c r="AA625" s="7">
        <f>Y625*Z625</f>
        <v/>
      </c>
      <c r="AB625" s="6">
        <f>IF(Z625=0,0,AA625/Z625)</f>
        <v/>
      </c>
      <c r="AC625" s="6" t="n"/>
      <c r="AD625" s="2" t="inlineStr">
        <is>
          <t>Win</t>
        </is>
      </c>
      <c r="AE625" s="6">
        <f>IF((COUNTIF($AD$2:AD625,"Win")+COUNTIF($AD$2:AD625,"Loss"))=0,0,COUNTIF($AD$2:AD625,"Win")/(COUNTIF($AD$2:AD625,"Win")+COUNTIF($AD$2:AD625,"Loss")))</f>
        <v/>
      </c>
      <c r="AF625" s="6">
        <f>SUM($Y$2:Y625)/SUM($X$2:X625)</f>
        <v/>
      </c>
      <c r="AG625" s="5">
        <f>SUM($Y$2:Y625)</f>
        <v/>
      </c>
      <c r="AH625" s="7">
        <f>10000.0+SUM($AA$2:AA625)</f>
        <v/>
      </c>
      <c r="AI625" s="2" t="n">
        <v>2026</v>
      </c>
      <c r="AJ625" s="2" t="inlineStr">
        <is>
          <t>2026-04</t>
        </is>
      </c>
      <c r="AK625" s="2" t="inlineStr">
        <is>
          <t>-119 to -101</t>
        </is>
      </c>
      <c r="AL625" s="2" t="inlineStr">
        <is>
          <t>2026 Frozen Test</t>
        </is>
      </c>
      <c r="AM625" s="6" t="n">
        <v>0.1040963215734313</v>
      </c>
    </row>
    <row r="626">
      <c r="A626" s="2" t="inlineStr">
        <is>
          <t>KPROP-00625</t>
        </is>
      </c>
      <c r="B626" s="3" t="n">
        <v>46131.68800925926</v>
      </c>
      <c r="C626" s="3" t="n">
        <v>46131</v>
      </c>
      <c r="D626" s="2" t="inlineStr">
        <is>
          <t>Garrett Crochet</t>
        </is>
      </c>
      <c r="E626" s="2" t="n">
        <v>111</v>
      </c>
      <c r="F626" s="2" t="n">
        <v>116</v>
      </c>
      <c r="G626" s="2" t="inlineStr">
        <is>
          <t>Home</t>
        </is>
      </c>
      <c r="H626" s="2" t="inlineStr">
        <is>
          <t>betrivers</t>
        </is>
      </c>
      <c r="I626" s="4" t="n"/>
      <c r="J626" s="4" t="n"/>
      <c r="K626" s="4" t="n">
        <v>125</v>
      </c>
      <c r="L626" s="4" t="n">
        <v>125</v>
      </c>
      <c r="M626" s="5" t="n">
        <v>6.5</v>
      </c>
      <c r="N626" s="5" t="n">
        <v>6.271398392195959</v>
      </c>
      <c r="O626" s="5" t="n">
        <v>6.5</v>
      </c>
      <c r="P626" s="5" t="n">
        <v>0.2286016078040412</v>
      </c>
      <c r="Q626" s="6" t="n">
        <v>0.2662932327295364</v>
      </c>
      <c r="R626" s="6" t="n">
        <v>0.5627969923242384</v>
      </c>
      <c r="S626" s="6" t="n">
        <v>0.4154025670945157</v>
      </c>
      <c r="T626" s="2" t="inlineStr">
        <is>
          <t>Under</t>
        </is>
      </c>
      <c r="U626" s="4" t="n">
        <v>125</v>
      </c>
      <c r="V626" s="2" t="n">
        <v>2.25</v>
      </c>
      <c r="W626" s="4" t="n">
        <v>125</v>
      </c>
      <c r="X626" s="2" t="n">
        <v>1</v>
      </c>
      <c r="Y626" s="5" t="n">
        <v>-1</v>
      </c>
      <c r="Z626" s="7" t="n">
        <v>100</v>
      </c>
      <c r="AA626" s="7">
        <f>Y626*Z626</f>
        <v/>
      </c>
      <c r="AB626" s="6">
        <f>IF(Z626=0,0,AA626/Z626)</f>
        <v/>
      </c>
      <c r="AC626" s="6" t="n"/>
      <c r="AD626" s="2" t="inlineStr">
        <is>
          <t>Loss</t>
        </is>
      </c>
      <c r="AE626" s="6">
        <f>IF((COUNTIF($AD$2:AD626,"Win")+COUNTIF($AD$2:AD626,"Loss"))=0,0,COUNTIF($AD$2:AD626,"Win")/(COUNTIF($AD$2:AD626,"Win")+COUNTIF($AD$2:AD626,"Loss")))</f>
        <v/>
      </c>
      <c r="AF626" s="6">
        <f>SUM($Y$2:Y626)/SUM($X$2:X626)</f>
        <v/>
      </c>
      <c r="AG626" s="5">
        <f>SUM($Y$2:Y626)</f>
        <v/>
      </c>
      <c r="AH626" s="7">
        <f>10000.0+SUM($AA$2:AA626)</f>
        <v/>
      </c>
      <c r="AI626" s="2" t="n">
        <v>2026</v>
      </c>
      <c r="AJ626" s="2" t="inlineStr">
        <is>
          <t>2026-04</t>
        </is>
      </c>
      <c r="AK626" s="2" t="inlineStr">
        <is>
          <t>+121 to +150</t>
        </is>
      </c>
      <c r="AL626" s="2" t="inlineStr">
        <is>
          <t>2026 Frozen Test</t>
        </is>
      </c>
      <c r="AM626" s="6" t="n">
        <v>0.2130345861836291</v>
      </c>
    </row>
    <row r="627">
      <c r="A627" s="2" t="inlineStr">
        <is>
          <t>KPROP-00626</t>
        </is>
      </c>
      <c r="B627" s="3" t="n">
        <v>46131.68800925926</v>
      </c>
      <c r="C627" s="3" t="n">
        <v>46131</v>
      </c>
      <c r="D627" s="2" t="inlineStr">
        <is>
          <t>Garrett Crochet</t>
        </is>
      </c>
      <c r="E627" s="2" t="n">
        <v>111</v>
      </c>
      <c r="F627" s="2" t="n">
        <v>116</v>
      </c>
      <c r="G627" s="2" t="inlineStr">
        <is>
          <t>Home</t>
        </is>
      </c>
      <c r="H627" s="2" t="inlineStr">
        <is>
          <t>draftkings</t>
        </is>
      </c>
      <c r="I627" s="4" t="n"/>
      <c r="J627" s="4" t="n"/>
      <c r="K627" s="4" t="n">
        <v>-133</v>
      </c>
      <c r="L627" s="4" t="n">
        <v>-133</v>
      </c>
      <c r="M627" s="5" t="n">
        <v>7.5</v>
      </c>
      <c r="N627" s="5" t="n">
        <v>6.271398392195959</v>
      </c>
      <c r="O627" s="5" t="n">
        <v>7.5</v>
      </c>
      <c r="P627" s="5" t="n">
        <v>1.228601607804041</v>
      </c>
      <c r="Q627" s="6" t="n">
        <v>0.2365582192189641</v>
      </c>
      <c r="R627" s="6" t="n">
        <v>0.7058465371507392</v>
      </c>
      <c r="S627" s="6" t="n">
        <v>0.556697108066971</v>
      </c>
      <c r="T627" s="2" t="inlineStr">
        <is>
          <t>Under</t>
        </is>
      </c>
      <c r="U627" s="4" t="n">
        <v>-133</v>
      </c>
      <c r="V627" s="2" t="n">
        <v>1.75187969924812</v>
      </c>
      <c r="W627" s="4" t="n">
        <v>-133</v>
      </c>
      <c r="X627" s="2" t="n">
        <v>1</v>
      </c>
      <c r="Y627" s="5" t="n">
        <v>-1</v>
      </c>
      <c r="Z627" s="7" t="n">
        <v>100</v>
      </c>
      <c r="AA627" s="7">
        <f>Y627*Z627</f>
        <v/>
      </c>
      <c r="AB627" s="6">
        <f>IF(Z627=0,0,AA627/Z627)</f>
        <v/>
      </c>
      <c r="AC627" s="6" t="n"/>
      <c r="AD627" s="2" t="inlineStr">
        <is>
          <t>Loss</t>
        </is>
      </c>
      <c r="AE627" s="6">
        <f>IF((COUNTIF($AD$2:AD627,"Win")+COUNTIF($AD$2:AD627,"Loss"))=0,0,COUNTIF($AD$2:AD627,"Win")/(COUNTIF($AD$2:AD627,"Win")+COUNTIF($AD$2:AD627,"Loss")))</f>
        <v/>
      </c>
      <c r="AF627" s="6">
        <f>SUM($Y$2:Y627)/SUM($X$2:X627)</f>
        <v/>
      </c>
      <c r="AG627" s="5">
        <f>SUM($Y$2:Y627)</f>
        <v/>
      </c>
      <c r="AH627" s="7">
        <f>10000.0+SUM($AA$2:AA627)</f>
        <v/>
      </c>
      <c r="AI627" s="2" t="n">
        <v>2026</v>
      </c>
      <c r="AJ627" s="2" t="inlineStr">
        <is>
          <t>2026-04</t>
        </is>
      </c>
      <c r="AK627" s="2" t="inlineStr">
        <is>
          <t>-149 to -120</t>
        </is>
      </c>
      <c r="AL627" s="2" t="inlineStr">
        <is>
          <t>2026 Frozen Test</t>
        </is>
      </c>
      <c r="AM627" s="6" t="n">
        <v>0.3146224315612223</v>
      </c>
    </row>
    <row r="628">
      <c r="A628" s="2" t="inlineStr">
        <is>
          <t>KPROP-00627</t>
        </is>
      </c>
      <c r="B628" s="3" t="n">
        <v>46131.67057870371</v>
      </c>
      <c r="C628" s="3" t="n">
        <v>46131</v>
      </c>
      <c r="D628" s="2" t="inlineStr">
        <is>
          <t>Jeffrey Springs</t>
        </is>
      </c>
      <c r="E628" s="2" t="n">
        <v>133</v>
      </c>
      <c r="F628" s="2" t="n">
        <v>145</v>
      </c>
      <c r="G628" s="2" t="inlineStr">
        <is>
          <t>Home</t>
        </is>
      </c>
      <c r="H628" s="2" t="inlineStr">
        <is>
          <t>betonlineag</t>
        </is>
      </c>
      <c r="I628" s="4" t="n"/>
      <c r="J628" s="4" t="n"/>
      <c r="K628" s="4" t="n">
        <v>-145</v>
      </c>
      <c r="L628" s="4" t="n">
        <v>-145</v>
      </c>
      <c r="M628" s="5" t="n">
        <v>5.5</v>
      </c>
      <c r="N628" s="5" t="n">
        <v>4.826795416734394</v>
      </c>
      <c r="O628" s="5" t="n">
        <v>5.5</v>
      </c>
      <c r="P628" s="5" t="n">
        <v>0.6732045832656057</v>
      </c>
      <c r="Q628" s="6" t="n">
        <v>0.09206047689794072</v>
      </c>
      <c r="R628" s="6" t="n">
        <v>0.6463215067355159</v>
      </c>
      <c r="S628" s="6" t="n">
        <v>0.5622263914946841</v>
      </c>
      <c r="T628" s="2" t="inlineStr">
        <is>
          <t>Under</t>
        </is>
      </c>
      <c r="U628" s="4" t="n">
        <v>-145</v>
      </c>
      <c r="V628" s="2" t="n">
        <v>1.689655172413793</v>
      </c>
      <c r="W628" s="4" t="n">
        <v>-145</v>
      </c>
      <c r="X628" s="2" t="n">
        <v>1</v>
      </c>
      <c r="Y628" s="5" t="n">
        <v>-1</v>
      </c>
      <c r="Z628" s="7" t="n">
        <v>100</v>
      </c>
      <c r="AA628" s="7">
        <f>Y628*Z628</f>
        <v/>
      </c>
      <c r="AB628" s="6">
        <f>IF(Z628=0,0,AA628/Z628)</f>
        <v/>
      </c>
      <c r="AC628" s="6" t="n"/>
      <c r="AD628" s="2" t="inlineStr">
        <is>
          <t>Loss</t>
        </is>
      </c>
      <c r="AE628" s="6">
        <f>IF((COUNTIF($AD$2:AD628,"Win")+COUNTIF($AD$2:AD628,"Loss"))=0,0,COUNTIF($AD$2:AD628,"Win")/(COUNTIF($AD$2:AD628,"Win")+COUNTIF($AD$2:AD628,"Loss")))</f>
        <v/>
      </c>
      <c r="AF628" s="6">
        <f>SUM($Y$2:Y628)/SUM($X$2:X628)</f>
        <v/>
      </c>
      <c r="AG628" s="5">
        <f>SUM($Y$2:Y628)</f>
        <v/>
      </c>
      <c r="AH628" s="7">
        <f>10000.0+SUM($AA$2:AA628)</f>
        <v/>
      </c>
      <c r="AI628" s="2" t="n">
        <v>2026</v>
      </c>
      <c r="AJ628" s="2" t="inlineStr">
        <is>
          <t>2026-04</t>
        </is>
      </c>
      <c r="AK628" s="2" t="inlineStr">
        <is>
          <t>-149 to -120</t>
        </is>
      </c>
      <c r="AL628" s="2" t="inlineStr">
        <is>
          <t>2026 Frozen Test</t>
        </is>
      </c>
      <c r="AM628" s="6" t="n">
        <v>0.133487691502014</v>
      </c>
    </row>
    <row r="629">
      <c r="A629" s="2" t="inlineStr">
        <is>
          <t>KPROP-00628</t>
        </is>
      </c>
      <c r="B629" s="3" t="n">
        <v>46131.67405092593</v>
      </c>
      <c r="C629" s="3" t="n">
        <v>46131</v>
      </c>
      <c r="D629" s="2" t="inlineStr">
        <is>
          <t>MacKenzie Gore</t>
        </is>
      </c>
      <c r="E629" s="2" t="n">
        <v>140</v>
      </c>
      <c r="F629" s="2" t="n">
        <v>136</v>
      </c>
      <c r="G629" s="2" t="inlineStr">
        <is>
          <t>Away</t>
        </is>
      </c>
      <c r="H629" s="2" t="inlineStr">
        <is>
          <t>bovada</t>
        </is>
      </c>
      <c r="I629" s="4" t="n"/>
      <c r="J629" s="4" t="n"/>
      <c r="K629" s="4" t="n">
        <v>-110</v>
      </c>
      <c r="L629" s="4" t="n">
        <v>-110</v>
      </c>
      <c r="M629" s="5" t="n">
        <v>6.5</v>
      </c>
      <c r="N629" s="5" t="n">
        <v>5.770867525699857</v>
      </c>
      <c r="O629" s="5" t="n">
        <v>6.5</v>
      </c>
      <c r="P629" s="5" t="n">
        <v>0.7291324743001431</v>
      </c>
      <c r="Q629" s="6" t="n">
        <v>0.2276449381355263</v>
      </c>
      <c r="R629" s="6" t="n">
        <v>0.6430521104519423</v>
      </c>
      <c r="S629" s="6" t="n">
        <v>0.5067750677506776</v>
      </c>
      <c r="T629" s="2" t="inlineStr">
        <is>
          <t>Under</t>
        </is>
      </c>
      <c r="U629" s="4" t="n">
        <v>-110</v>
      </c>
      <c r="V629" s="2" t="n">
        <v>1.909090909090909</v>
      </c>
      <c r="W629" s="4" t="n">
        <v>-110</v>
      </c>
      <c r="X629" s="2" t="n">
        <v>1</v>
      </c>
      <c r="Y629" s="5" t="n">
        <v>0.9090909090909092</v>
      </c>
      <c r="Z629" s="7" t="n">
        <v>100</v>
      </c>
      <c r="AA629" s="7">
        <f>Y629*Z629</f>
        <v/>
      </c>
      <c r="AB629" s="6">
        <f>IF(Z629=0,0,AA629/Z629)</f>
        <v/>
      </c>
      <c r="AC629" s="6" t="n"/>
      <c r="AD629" s="2" t="inlineStr">
        <is>
          <t>Win</t>
        </is>
      </c>
      <c r="AE629" s="6">
        <f>IF((COUNTIF($AD$2:AD629,"Win")+COUNTIF($AD$2:AD629,"Loss"))=0,0,COUNTIF($AD$2:AD629,"Win")/(COUNTIF($AD$2:AD629,"Win")+COUNTIF($AD$2:AD629,"Loss")))</f>
        <v/>
      </c>
      <c r="AF629" s="6">
        <f>SUM($Y$2:Y629)/SUM($X$2:X629)</f>
        <v/>
      </c>
      <c r="AG629" s="5">
        <f>SUM($Y$2:Y629)</f>
        <v/>
      </c>
      <c r="AH629" s="7">
        <f>10000.0+SUM($AA$2:AA629)</f>
        <v/>
      </c>
      <c r="AI629" s="2" t="n">
        <v>2026</v>
      </c>
      <c r="AJ629" s="2" t="inlineStr">
        <is>
          <t>2026-04</t>
        </is>
      </c>
      <c r="AK629" s="2" t="inlineStr">
        <is>
          <t>-119 to -101</t>
        </is>
      </c>
      <c r="AL629" s="2" t="inlineStr">
        <is>
          <t>2026 Frozen Test</t>
        </is>
      </c>
      <c r="AM629" s="6" t="n">
        <v>0.2504094319490789</v>
      </c>
    </row>
    <row r="630">
      <c r="A630" s="2" t="inlineStr">
        <is>
          <t>KPROP-00629</t>
        </is>
      </c>
      <c r="B630" s="3" t="n">
        <v>46131.56640046297</v>
      </c>
      <c r="C630" s="3" t="n">
        <v>46131</v>
      </c>
      <c r="D630" s="2" t="inlineStr">
        <is>
          <t>Robbie Ray</t>
        </is>
      </c>
      <c r="E630" s="2" t="n">
        <v>137</v>
      </c>
      <c r="F630" s="2" t="n">
        <v>120</v>
      </c>
      <c r="G630" s="2" t="inlineStr">
        <is>
          <t>Away</t>
        </is>
      </c>
      <c r="H630" s="2" t="inlineStr">
        <is>
          <t>fanatics</t>
        </is>
      </c>
      <c r="I630" s="4" t="n"/>
      <c r="J630" s="4" t="n"/>
      <c r="K630" s="4" t="n">
        <v>120</v>
      </c>
      <c r="L630" s="4" t="n">
        <v>120</v>
      </c>
      <c r="M630" s="5" t="n">
        <v>5.5</v>
      </c>
      <c r="N630" s="5" t="n">
        <v>5.328124362687071</v>
      </c>
      <c r="O630" s="5" t="n">
        <v>5.5</v>
      </c>
      <c r="P630" s="5" t="n">
        <v>0.1718756373129287</v>
      </c>
      <c r="Q630" s="6" t="n">
        <v>0.2288870448966149</v>
      </c>
      <c r="R630" s="6" t="n">
        <v>0.5585850204075522</v>
      </c>
      <c r="S630" s="6" t="n">
        <v>0.4350927246790299</v>
      </c>
      <c r="T630" s="2" t="inlineStr">
        <is>
          <t>Under</t>
        </is>
      </c>
      <c r="U630" s="4" t="n">
        <v>120</v>
      </c>
      <c r="V630" s="2" t="n">
        <v>2.2</v>
      </c>
      <c r="W630" s="4" t="n">
        <v>120</v>
      </c>
      <c r="X630" s="2" t="n">
        <v>1</v>
      </c>
      <c r="Y630" s="5" t="n">
        <v>-1</v>
      </c>
      <c r="Z630" s="7" t="n">
        <v>100</v>
      </c>
      <c r="AA630" s="7">
        <f>Y630*Z630</f>
        <v/>
      </c>
      <c r="AB630" s="6">
        <f>IF(Z630=0,0,AA630/Z630)</f>
        <v/>
      </c>
      <c r="AC630" s="6" t="n"/>
      <c r="AD630" s="2" t="inlineStr">
        <is>
          <t>Loss</t>
        </is>
      </c>
      <c r="AE630" s="6">
        <f>IF((COUNTIF($AD$2:AD630,"Win")+COUNTIF($AD$2:AD630,"Loss"))=0,0,COUNTIF($AD$2:AD630,"Win")/(COUNTIF($AD$2:AD630,"Win")+COUNTIF($AD$2:AD630,"Loss")))</f>
        <v/>
      </c>
      <c r="AF630" s="6">
        <f>SUM($Y$2:Y630)/SUM($X$2:X630)</f>
        <v/>
      </c>
      <c r="AG630" s="5">
        <f>SUM($Y$2:Y630)</f>
        <v/>
      </c>
      <c r="AH630" s="7">
        <f>10000.0+SUM($AA$2:AA630)</f>
        <v/>
      </c>
      <c r="AI630" s="2" t="n">
        <v>2026</v>
      </c>
      <c r="AJ630" s="2" t="inlineStr">
        <is>
          <t>2026-04</t>
        </is>
      </c>
      <c r="AK630" s="2" t="inlineStr">
        <is>
          <t>+100 to +120</t>
        </is>
      </c>
      <c r="AL630" s="2" t="inlineStr">
        <is>
          <t>2026 Frozen Test</t>
        </is>
      </c>
      <c r="AM630" s="6" t="n">
        <v>0.1907392040805124</v>
      </c>
    </row>
    <row r="631">
      <c r="A631" s="2" t="inlineStr">
        <is>
          <t>KPROP-00630</t>
        </is>
      </c>
      <c r="B631" s="3" t="n">
        <v>46131.56640046297</v>
      </c>
      <c r="C631" s="3" t="n">
        <v>46131</v>
      </c>
      <c r="D631" s="2" t="inlineStr">
        <is>
          <t>Robbie Ray</t>
        </is>
      </c>
      <c r="E631" s="2" t="n">
        <v>137</v>
      </c>
      <c r="F631" s="2" t="n">
        <v>120</v>
      </c>
      <c r="G631" s="2" t="inlineStr">
        <is>
          <t>Away</t>
        </is>
      </c>
      <c r="H631" s="2" t="inlineStr">
        <is>
          <t>draftkings</t>
        </is>
      </c>
      <c r="I631" s="4" t="n"/>
      <c r="J631" s="4" t="n"/>
      <c r="K631" s="4" t="n">
        <v>-145</v>
      </c>
      <c r="L631" s="4" t="n">
        <v>-145</v>
      </c>
      <c r="M631" s="5" t="n">
        <v>6.5</v>
      </c>
      <c r="N631" s="5" t="n">
        <v>5.328124362687071</v>
      </c>
      <c r="O631" s="5" t="n">
        <v>6.5</v>
      </c>
      <c r="P631" s="5" t="n">
        <v>1.171875637312929</v>
      </c>
      <c r="Q631" s="6" t="n">
        <v>0.2043934377710771</v>
      </c>
      <c r="R631" s="6" t="n">
        <v>0.7128042794971681</v>
      </c>
      <c r="S631" s="6" t="n">
        <v>0.5868465430016863</v>
      </c>
      <c r="T631" s="2" t="inlineStr">
        <is>
          <t>Under</t>
        </is>
      </c>
      <c r="U631" s="4" t="n">
        <v>-145</v>
      </c>
      <c r="V631" s="2" t="n">
        <v>1.689655172413793</v>
      </c>
      <c r="W631" s="4" t="n">
        <v>-145</v>
      </c>
      <c r="X631" s="2" t="n">
        <v>1</v>
      </c>
      <c r="Y631" s="5" t="n">
        <v>-1</v>
      </c>
      <c r="Z631" s="7" t="n">
        <v>100</v>
      </c>
      <c r="AA631" s="7">
        <f>Y631*Z631</f>
        <v/>
      </c>
      <c r="AB631" s="6">
        <f>IF(Z631=0,0,AA631/Z631)</f>
        <v/>
      </c>
      <c r="AC631" s="6" t="n"/>
      <c r="AD631" s="2" t="inlineStr">
        <is>
          <t>Loss</t>
        </is>
      </c>
      <c r="AE631" s="6">
        <f>IF((COUNTIF($AD$2:AD631,"Win")+COUNTIF($AD$2:AD631,"Loss"))=0,0,COUNTIF($AD$2:AD631,"Win")/(COUNTIF($AD$2:AD631,"Win")+COUNTIF($AD$2:AD631,"Loss")))</f>
        <v/>
      </c>
      <c r="AF631" s="6">
        <f>SUM($Y$2:Y631)/SUM($X$2:X631)</f>
        <v/>
      </c>
      <c r="AG631" s="5">
        <f>SUM($Y$2:Y631)</f>
        <v/>
      </c>
      <c r="AH631" s="7">
        <f>10000.0+SUM($AA$2:AA631)</f>
        <v/>
      </c>
      <c r="AI631" s="2" t="n">
        <v>2026</v>
      </c>
      <c r="AJ631" s="2" t="inlineStr">
        <is>
          <t>2026-04</t>
        </is>
      </c>
      <c r="AK631" s="2" t="inlineStr">
        <is>
          <t>-149 to -120</t>
        </is>
      </c>
      <c r="AL631" s="2" t="inlineStr">
        <is>
          <t>2026 Frozen Test</t>
        </is>
      </c>
      <c r="AM631" s="6" t="n">
        <v>0.2963704847680618</v>
      </c>
    </row>
    <row r="632">
      <c r="A632" s="2" t="inlineStr">
        <is>
          <t>KPROP-00631</t>
        </is>
      </c>
      <c r="B632" s="3" t="n">
        <v>46131.56640046297</v>
      </c>
      <c r="C632" s="3" t="n">
        <v>46131</v>
      </c>
      <c r="D632" s="2" t="inlineStr">
        <is>
          <t>Ryan Weathers</t>
        </is>
      </c>
      <c r="E632" s="2" t="n">
        <v>147</v>
      </c>
      <c r="F632" s="2" t="n">
        <v>118</v>
      </c>
      <c r="G632" s="2" t="inlineStr">
        <is>
          <t>Home</t>
        </is>
      </c>
      <c r="H632" s="2" t="inlineStr">
        <is>
          <t>betmgm</t>
        </is>
      </c>
      <c r="I632" s="4" t="n"/>
      <c r="J632" s="4" t="n"/>
      <c r="K632" s="4" t="n">
        <v>-125</v>
      </c>
      <c r="L632" s="4" t="n">
        <v>-125</v>
      </c>
      <c r="M632" s="5" t="n">
        <v>5.5</v>
      </c>
      <c r="N632" s="5" t="n">
        <v>4.941968481886692</v>
      </c>
      <c r="O632" s="5" t="n">
        <v>5.5</v>
      </c>
      <c r="P632" s="5" t="n">
        <v>0.5580315181133084</v>
      </c>
      <c r="Q632" s="6" t="n">
        <v>0.1270558575129102</v>
      </c>
      <c r="R632" s="6" t="n">
        <v>0.6261421430627279</v>
      </c>
      <c r="S632" s="6" t="n">
        <v>0.5443037974683544</v>
      </c>
      <c r="T632" s="2" t="inlineStr">
        <is>
          <t>Under</t>
        </is>
      </c>
      <c r="U632" s="4" t="n">
        <v>-125</v>
      </c>
      <c r="V632" s="2" t="n">
        <v>1.8</v>
      </c>
      <c r="W632" s="4" t="n">
        <v>-125</v>
      </c>
      <c r="X632" s="2" t="n">
        <v>1</v>
      </c>
      <c r="Y632" s="5" t="n">
        <v>-1</v>
      </c>
      <c r="Z632" s="7" t="n">
        <v>100</v>
      </c>
      <c r="AA632" s="7">
        <f>Y632*Z632</f>
        <v/>
      </c>
      <c r="AB632" s="6">
        <f>IF(Z632=0,0,AA632/Z632)</f>
        <v/>
      </c>
      <c r="AC632" s="6" t="n"/>
      <c r="AD632" s="2" t="inlineStr">
        <is>
          <t>Loss</t>
        </is>
      </c>
      <c r="AE632" s="6">
        <f>IF((COUNTIF($AD$2:AD632,"Win")+COUNTIF($AD$2:AD632,"Loss"))=0,0,COUNTIF($AD$2:AD632,"Win")/(COUNTIF($AD$2:AD632,"Win")+COUNTIF($AD$2:AD632,"Loss")))</f>
        <v/>
      </c>
      <c r="AF632" s="6">
        <f>SUM($Y$2:Y632)/SUM($X$2:X632)</f>
        <v/>
      </c>
      <c r="AG632" s="5">
        <f>SUM($Y$2:Y632)</f>
        <v/>
      </c>
      <c r="AH632" s="7">
        <f>10000.0+SUM($AA$2:AA632)</f>
        <v/>
      </c>
      <c r="AI632" s="2" t="n">
        <v>2026</v>
      </c>
      <c r="AJ632" s="2" t="inlineStr">
        <is>
          <t>2026-04</t>
        </is>
      </c>
      <c r="AK632" s="2" t="inlineStr">
        <is>
          <t>-149 to -120</t>
        </is>
      </c>
      <c r="AL632" s="2" t="inlineStr">
        <is>
          <t>2026 Frozen Test</t>
        </is>
      </c>
      <c r="AM632" s="6" t="n">
        <v>0.1588198218911377</v>
      </c>
    </row>
    <row r="633">
      <c r="A633" s="2" t="inlineStr">
        <is>
          <t>KPROP-00632</t>
        </is>
      </c>
      <c r="B633" s="3" t="n">
        <v>46132.81988425926</v>
      </c>
      <c r="C633" s="3" t="n">
        <v>46132</v>
      </c>
      <c r="D633" s="2" t="inlineStr">
        <is>
          <t>Aaron Nola</t>
        </is>
      </c>
      <c r="E633" s="2" t="n">
        <v>143</v>
      </c>
      <c r="F633" s="2" t="n">
        <v>112</v>
      </c>
      <c r="G633" s="2" t="inlineStr">
        <is>
          <t>Away</t>
        </is>
      </c>
      <c r="H633" s="2" t="inlineStr">
        <is>
          <t>betmgm</t>
        </is>
      </c>
      <c r="I633" s="4" t="n"/>
      <c r="J633" s="4" t="n"/>
      <c r="K633" s="4" t="n">
        <v>-135</v>
      </c>
      <c r="L633" s="4" t="n">
        <v>-135</v>
      </c>
      <c r="M633" s="5" t="n">
        <v>5.5</v>
      </c>
      <c r="N633" s="5" t="n">
        <v>4.895679255292786</v>
      </c>
      <c r="O633" s="5" t="n">
        <v>5.5</v>
      </c>
      <c r="P633" s="5" t="n">
        <v>0.6043207447072136</v>
      </c>
      <c r="Q633" s="6" t="n">
        <v>0.1040801912907727</v>
      </c>
      <c r="R633" s="6" t="n">
        <v>0.6342588332946992</v>
      </c>
      <c r="S633" s="6" t="n">
        <v>0.5537409798708697</v>
      </c>
      <c r="T633" s="2" t="inlineStr">
        <is>
          <t>Under</t>
        </is>
      </c>
      <c r="U633" s="4" t="n">
        <v>-135</v>
      </c>
      <c r="V633" s="2" t="n">
        <v>1.740740740740741</v>
      </c>
      <c r="W633" s="4" t="n">
        <v>-135</v>
      </c>
      <c r="X633" s="2" t="n">
        <v>1</v>
      </c>
      <c r="Y633" s="5" t="n">
        <v>0.7407407407407407</v>
      </c>
      <c r="Z633" s="7" t="n">
        <v>100</v>
      </c>
      <c r="AA633" s="7">
        <f>Y633*Z633</f>
        <v/>
      </c>
      <c r="AB633" s="6">
        <f>IF(Z633=0,0,AA633/Z633)</f>
        <v/>
      </c>
      <c r="AC633" s="6" t="n"/>
      <c r="AD633" s="2" t="inlineStr">
        <is>
          <t>Win</t>
        </is>
      </c>
      <c r="AE633" s="6">
        <f>IF((COUNTIF($AD$2:AD633,"Win")+COUNTIF($AD$2:AD633,"Loss"))=0,0,COUNTIF($AD$2:AD633,"Win")/(COUNTIF($AD$2:AD633,"Win")+COUNTIF($AD$2:AD633,"Loss")))</f>
        <v/>
      </c>
      <c r="AF633" s="6">
        <f>SUM($Y$2:Y633)/SUM($X$2:X633)</f>
        <v/>
      </c>
      <c r="AG633" s="5">
        <f>SUM($Y$2:Y633)</f>
        <v/>
      </c>
      <c r="AH633" s="7">
        <f>10000.0+SUM($AA$2:AA633)</f>
        <v/>
      </c>
      <c r="AI633" s="2" t="n">
        <v>2026</v>
      </c>
      <c r="AJ633" s="2" t="inlineStr">
        <is>
          <t>2026-04</t>
        </is>
      </c>
      <c r="AK633" s="2" t="inlineStr">
        <is>
          <t>-149 to -120</t>
        </is>
      </c>
      <c r="AL633" s="2" t="inlineStr">
        <is>
          <t>2026 Frozen Test</t>
        </is>
      </c>
      <c r="AM633" s="6" t="n">
        <v>0.1405082582425432</v>
      </c>
    </row>
    <row r="634">
      <c r="A634" s="2" t="inlineStr">
        <is>
          <t>KPROP-00633</t>
        </is>
      </c>
      <c r="B634" s="3" t="n">
        <v>46132.46571759259</v>
      </c>
      <c r="C634" s="3" t="n">
        <v>46132</v>
      </c>
      <c r="D634" s="2" t="inlineStr">
        <is>
          <t>Jack Flaherty</t>
        </is>
      </c>
      <c r="E634" s="2" t="n">
        <v>116</v>
      </c>
      <c r="F634" s="2" t="n">
        <v>111</v>
      </c>
      <c r="G634" s="2" t="inlineStr">
        <is>
          <t>Away</t>
        </is>
      </c>
      <c r="H634" s="2" t="inlineStr">
        <is>
          <t>fanduel</t>
        </is>
      </c>
      <c r="I634" s="4" t="n"/>
      <c r="J634" s="4" t="n"/>
      <c r="K634" s="4" t="n">
        <v>126</v>
      </c>
      <c r="L634" s="4" t="n">
        <v>126</v>
      </c>
      <c r="M634" s="5" t="n">
        <v>5.5</v>
      </c>
      <c r="N634" s="5" t="n">
        <v>5.113140912326362</v>
      </c>
      <c r="O634" s="5" t="n">
        <v>5.5</v>
      </c>
      <c r="P634" s="5" t="n">
        <v>0.3868590876736384</v>
      </c>
      <c r="Q634" s="6" t="n">
        <v>0.3472232669294966</v>
      </c>
      <c r="R634" s="6" t="n">
        <v>0.5961164897918128</v>
      </c>
      <c r="S634" s="6" t="n">
        <v>0.4251032881483252</v>
      </c>
      <c r="T634" s="2" t="inlineStr">
        <is>
          <t>Under</t>
        </is>
      </c>
      <c r="U634" s="4" t="n">
        <v>126</v>
      </c>
      <c r="V634" s="2" t="n">
        <v>2.26</v>
      </c>
      <c r="W634" s="4" t="n">
        <v>126</v>
      </c>
      <c r="X634" s="2" t="n">
        <v>1</v>
      </c>
      <c r="Y634" s="5" t="n">
        <v>1.26</v>
      </c>
      <c r="Z634" s="7" t="n">
        <v>100</v>
      </c>
      <c r="AA634" s="7">
        <f>Y634*Z634</f>
        <v/>
      </c>
      <c r="AB634" s="6">
        <f>IF(Z634=0,0,AA634/Z634)</f>
        <v/>
      </c>
      <c r="AC634" s="6" t="n"/>
      <c r="AD634" s="2" t="inlineStr">
        <is>
          <t>Win</t>
        </is>
      </c>
      <c r="AE634" s="6">
        <f>IF((COUNTIF($AD$2:AD634,"Win")+COUNTIF($AD$2:AD634,"Loss"))=0,0,COUNTIF($AD$2:AD634,"Win")/(COUNTIF($AD$2:AD634,"Win")+COUNTIF($AD$2:AD634,"Loss")))</f>
        <v/>
      </c>
      <c r="AF634" s="6">
        <f>SUM($Y$2:Y634)/SUM($X$2:X634)</f>
        <v/>
      </c>
      <c r="AG634" s="5">
        <f>SUM($Y$2:Y634)</f>
        <v/>
      </c>
      <c r="AH634" s="7">
        <f>10000.0+SUM($AA$2:AA634)</f>
        <v/>
      </c>
      <c r="AI634" s="2" t="n">
        <v>2026</v>
      </c>
      <c r="AJ634" s="2" t="inlineStr">
        <is>
          <t>2026-04</t>
        </is>
      </c>
      <c r="AK634" s="2" t="inlineStr">
        <is>
          <t>+121 to +150</t>
        </is>
      </c>
      <c r="AL634" s="2" t="inlineStr">
        <is>
          <t>2026 Frozen Test</t>
        </is>
      </c>
      <c r="AM634" s="6" t="n">
        <v>0.2755740213726164</v>
      </c>
    </row>
    <row r="635">
      <c r="A635" s="2" t="inlineStr">
        <is>
          <t>KPROP-00634</t>
        </is>
      </c>
      <c r="B635" s="3" t="n">
        <v>46132.46571759259</v>
      </c>
      <c r="C635" s="3" t="n">
        <v>46132</v>
      </c>
      <c r="D635" s="2" t="inlineStr">
        <is>
          <t>Jack Flaherty</t>
        </is>
      </c>
      <c r="E635" s="2" t="n">
        <v>116</v>
      </c>
      <c r="F635" s="2" t="n">
        <v>111</v>
      </c>
      <c r="G635" s="2" t="inlineStr">
        <is>
          <t>Away</t>
        </is>
      </c>
      <c r="H635" s="2" t="inlineStr">
        <is>
          <t>betmgm</t>
        </is>
      </c>
      <c r="I635" s="4" t="n"/>
      <c r="J635" s="4" t="n"/>
      <c r="K635" s="4" t="n">
        <v>-140</v>
      </c>
      <c r="L635" s="4" t="n">
        <v>-140</v>
      </c>
      <c r="M635" s="5" t="n">
        <v>6.5</v>
      </c>
      <c r="N635" s="5" t="n">
        <v>5.113140912326362</v>
      </c>
      <c r="O635" s="5" t="n">
        <v>6.5</v>
      </c>
      <c r="P635" s="5" t="n">
        <v>1.386859087673638</v>
      </c>
      <c r="Q635" s="6" t="n">
        <v>0.2779307415549973</v>
      </c>
      <c r="R635" s="6" t="n">
        <v>0.745459599240415</v>
      </c>
      <c r="S635" s="6" t="n">
        <v>0.5445920303605313</v>
      </c>
      <c r="T635" s="2" t="inlineStr">
        <is>
          <t>Under</t>
        </is>
      </c>
      <c r="U635" s="4" t="n">
        <v>-140</v>
      </c>
      <c r="V635" s="2" t="n">
        <v>1.714285714285714</v>
      </c>
      <c r="W635" s="4" t="n">
        <v>-140</v>
      </c>
      <c r="X635" s="2" t="n">
        <v>1</v>
      </c>
      <c r="Y635" s="5" t="n">
        <v>0.7142857142857144</v>
      </c>
      <c r="Z635" s="7" t="n">
        <v>100</v>
      </c>
      <c r="AA635" s="7">
        <f>Y635*Z635</f>
        <v/>
      </c>
      <c r="AB635" s="6">
        <f>IF(Z635=0,0,AA635/Z635)</f>
        <v/>
      </c>
      <c r="AC635" s="6" t="n"/>
      <c r="AD635" s="2" t="inlineStr">
        <is>
          <t>Win</t>
        </is>
      </c>
      <c r="AE635" s="6">
        <f>IF((COUNTIF($AD$2:AD635,"Win")+COUNTIF($AD$2:AD635,"Loss"))=0,0,COUNTIF($AD$2:AD635,"Win")/(COUNTIF($AD$2:AD635,"Win")+COUNTIF($AD$2:AD635,"Loss")))</f>
        <v/>
      </c>
      <c r="AF635" s="6">
        <f>SUM($Y$2:Y635)/SUM($X$2:X635)</f>
        <v/>
      </c>
      <c r="AG635" s="5">
        <f>SUM($Y$2:Y635)</f>
        <v/>
      </c>
      <c r="AH635" s="7">
        <f>10000.0+SUM($AA$2:AA635)</f>
        <v/>
      </c>
      <c r="AI635" s="2" t="n">
        <v>2026</v>
      </c>
      <c r="AJ635" s="2" t="inlineStr">
        <is>
          <t>2026-04</t>
        </is>
      </c>
      <c r="AK635" s="2" t="inlineStr">
        <is>
          <t>-149 to -120</t>
        </is>
      </c>
      <c r="AL635" s="2" t="inlineStr">
        <is>
          <t>2026 Frozen Test</t>
        </is>
      </c>
      <c r="AM635" s="6" t="n">
        <v>0.3891030381769962</v>
      </c>
    </row>
    <row r="636">
      <c r="A636" s="2" t="inlineStr">
        <is>
          <t>KPROP-00635</t>
        </is>
      </c>
      <c r="B636" s="3" t="n">
        <v>46133.78168981482</v>
      </c>
      <c r="C636" s="3" t="n">
        <v>46133</v>
      </c>
      <c r="D636" s="2" t="inlineStr">
        <is>
          <t>Foster Griffin</t>
        </is>
      </c>
      <c r="E636" s="2" t="n">
        <v>120</v>
      </c>
      <c r="F636" s="2" t="n">
        <v>144</v>
      </c>
      <c r="G636" s="2" t="inlineStr">
        <is>
          <t>Home</t>
        </is>
      </c>
      <c r="H636" s="2" t="inlineStr">
        <is>
          <t>betrivers</t>
        </is>
      </c>
      <c r="I636" s="4" t="n"/>
      <c r="J636" s="4" t="n"/>
      <c r="K636" s="4" t="n">
        <v>155</v>
      </c>
      <c r="L636" s="4" t="n">
        <v>155</v>
      </c>
      <c r="M636" s="5" t="n">
        <v>3.5</v>
      </c>
      <c r="N636" s="5" t="n">
        <v>3.813214753860155</v>
      </c>
      <c r="O636" s="5" t="n">
        <v>3.5</v>
      </c>
      <c r="P636" s="5" t="n">
        <v>-0.3132147538601546</v>
      </c>
      <c r="Q636" s="6" t="n">
        <v>0.200501838139969</v>
      </c>
      <c r="R636" s="6" t="n">
        <v>0.4707850345646938</v>
      </c>
      <c r="S636" s="6" t="n">
        <v>0.3892215568862276</v>
      </c>
      <c r="T636" s="2" t="inlineStr">
        <is>
          <t>Under</t>
        </is>
      </c>
      <c r="U636" s="4" t="n">
        <v>155</v>
      </c>
      <c r="V636" s="2" t="n">
        <v>2.55</v>
      </c>
      <c r="W636" s="4" t="n">
        <v>155</v>
      </c>
      <c r="X636" s="2" t="n">
        <v>1</v>
      </c>
      <c r="Y636" s="5" t="n">
        <v>1.55</v>
      </c>
      <c r="Z636" s="7" t="n">
        <v>100</v>
      </c>
      <c r="AA636" s="7">
        <f>Y636*Z636</f>
        <v/>
      </c>
      <c r="AB636" s="6">
        <f>IF(Z636=0,0,AA636/Z636)</f>
        <v/>
      </c>
      <c r="AC636" s="6" t="n"/>
      <c r="AD636" s="2" t="inlineStr">
        <is>
          <t>Win</t>
        </is>
      </c>
      <c r="AE636" s="6">
        <f>IF((COUNTIF($AD$2:AD636,"Win")+COUNTIF($AD$2:AD636,"Loss"))=0,0,COUNTIF($AD$2:AD636,"Win")/(COUNTIF($AD$2:AD636,"Win")+COUNTIF($AD$2:AD636,"Loss")))</f>
        <v/>
      </c>
      <c r="AF636" s="6">
        <f>SUM($Y$2:Y636)/SUM($X$2:X636)</f>
        <v/>
      </c>
      <c r="AG636" s="5">
        <f>SUM($Y$2:Y636)</f>
        <v/>
      </c>
      <c r="AH636" s="7">
        <f>10000.0+SUM($AA$2:AA636)</f>
        <v/>
      </c>
      <c r="AI636" s="2" t="n">
        <v>2026</v>
      </c>
      <c r="AJ636" s="2" t="inlineStr">
        <is>
          <t>2026-04</t>
        </is>
      </c>
      <c r="AK636" s="2" t="inlineStr">
        <is>
          <t>&gt;= +151</t>
        </is>
      </c>
      <c r="AL636" s="2" t="inlineStr">
        <is>
          <t>2026 Frozen Test</t>
        </is>
      </c>
      <c r="AM636" s="6" t="n">
        <v>0.1293560246064316</v>
      </c>
    </row>
    <row r="637">
      <c r="A637" s="2" t="inlineStr">
        <is>
          <t>KPROP-00636</t>
        </is>
      </c>
      <c r="B637" s="3" t="n">
        <v>46133.78168981482</v>
      </c>
      <c r="C637" s="3" t="n">
        <v>46133</v>
      </c>
      <c r="D637" s="2" t="inlineStr">
        <is>
          <t>Foster Griffin</t>
        </is>
      </c>
      <c r="E637" s="2" t="n">
        <v>120</v>
      </c>
      <c r="F637" s="2" t="n">
        <v>144</v>
      </c>
      <c r="G637" s="2" t="inlineStr">
        <is>
          <t>Home</t>
        </is>
      </c>
      <c r="H637" s="2" t="inlineStr">
        <is>
          <t>bovada</t>
        </is>
      </c>
      <c r="I637" s="4" t="n"/>
      <c r="J637" s="4" t="n"/>
      <c r="K637" s="4" t="n">
        <v>-130</v>
      </c>
      <c r="L637" s="4" t="n">
        <v>-130</v>
      </c>
      <c r="M637" s="5" t="n">
        <v>4.5</v>
      </c>
      <c r="N637" s="5" t="n">
        <v>3.813214753860155</v>
      </c>
      <c r="O637" s="5" t="n">
        <v>4.5</v>
      </c>
      <c r="P637" s="5" t="n">
        <v>0.6867852461398454</v>
      </c>
      <c r="Q637" s="6" t="n">
        <v>0.1770238052180596</v>
      </c>
      <c r="R637" s="6" t="n">
        <v>0.6652743246884685</v>
      </c>
      <c r="S637" s="6" t="n">
        <v>0.5403677058353318</v>
      </c>
      <c r="T637" s="2" t="inlineStr">
        <is>
          <t>Under</t>
        </is>
      </c>
      <c r="U637" s="4" t="n">
        <v>-130</v>
      </c>
      <c r="V637" s="2" t="n">
        <v>1.769230769230769</v>
      </c>
      <c r="W637" s="4" t="n">
        <v>-130</v>
      </c>
      <c r="X637" s="2" t="n">
        <v>1</v>
      </c>
      <c r="Y637" s="5" t="n">
        <v>0.7692307692307692</v>
      </c>
      <c r="Z637" s="7" t="n">
        <v>100</v>
      </c>
      <c r="AA637" s="7">
        <f>Y637*Z637</f>
        <v/>
      </c>
      <c r="AB637" s="6">
        <f>IF(Z637=0,0,AA637/Z637)</f>
        <v/>
      </c>
      <c r="AC637" s="6" t="n"/>
      <c r="AD637" s="2" t="inlineStr">
        <is>
          <t>Win</t>
        </is>
      </c>
      <c r="AE637" s="6">
        <f>IF((COUNTIF($AD$2:AD637,"Win")+COUNTIF($AD$2:AD637,"Loss"))=0,0,COUNTIF($AD$2:AD637,"Win")/(COUNTIF($AD$2:AD637,"Win")+COUNTIF($AD$2:AD637,"Loss")))</f>
        <v/>
      </c>
      <c r="AF637" s="6">
        <f>SUM($Y$2:Y637)/SUM($X$2:X637)</f>
        <v/>
      </c>
      <c r="AG637" s="5">
        <f>SUM($Y$2:Y637)</f>
        <v/>
      </c>
      <c r="AH637" s="7">
        <f>10000.0+SUM($AA$2:AA637)</f>
        <v/>
      </c>
      <c r="AI637" s="2" t="n">
        <v>2026</v>
      </c>
      <c r="AJ637" s="2" t="inlineStr">
        <is>
          <t>2026-04</t>
        </is>
      </c>
      <c r="AK637" s="2" t="inlineStr">
        <is>
          <t>-149 to -120</t>
        </is>
      </c>
      <c r="AL637" s="2" t="inlineStr">
        <is>
          <t>2026 Frozen Test</t>
        </is>
      </c>
      <c r="AM637" s="6" t="n">
        <v>0.2301309467834775</v>
      </c>
    </row>
    <row r="638">
      <c r="A638" s="2" t="inlineStr">
        <is>
          <t>KPROP-00637</t>
        </is>
      </c>
      <c r="B638" s="3" t="n">
        <v>46133.81988425926</v>
      </c>
      <c r="C638" s="3" t="n">
        <v>46133</v>
      </c>
      <c r="D638" s="2" t="inlineStr">
        <is>
          <t>Kris Bubic</t>
        </is>
      </c>
      <c r="E638" s="2" t="n">
        <v>118</v>
      </c>
      <c r="F638" s="2" t="n">
        <v>110</v>
      </c>
      <c r="G638" s="2" t="inlineStr">
        <is>
          <t>Home</t>
        </is>
      </c>
      <c r="H638" s="2" t="inlineStr">
        <is>
          <t>betonlineag</t>
        </is>
      </c>
      <c r="I638" s="4" t="n"/>
      <c r="J638" s="4" t="n"/>
      <c r="K638" s="4" t="n">
        <v>-120</v>
      </c>
      <c r="L638" s="4" t="n">
        <v>-120</v>
      </c>
      <c r="M638" s="5" t="n">
        <v>6.5</v>
      </c>
      <c r="N638" s="5" t="n">
        <v>5.57335987565204</v>
      </c>
      <c r="O638" s="5" t="n">
        <v>6.5</v>
      </c>
      <c r="P638" s="5" t="n">
        <v>0.9266401243479603</v>
      </c>
      <c r="Q638" s="6" t="n">
        <v>0.2365345706969118</v>
      </c>
      <c r="R638" s="6" t="n">
        <v>0.6744734021983154</v>
      </c>
      <c r="S638" s="6" t="n">
        <v>0.5278969957081545</v>
      </c>
      <c r="T638" s="2" t="inlineStr">
        <is>
          <t>Under</t>
        </is>
      </c>
      <c r="U638" s="4" t="n">
        <v>-120</v>
      </c>
      <c r="V638" s="2" t="n">
        <v>1.833333333333333</v>
      </c>
      <c r="W638" s="4" t="n">
        <v>-120</v>
      </c>
      <c r="X638" s="2" t="n">
        <v>1</v>
      </c>
      <c r="Y638" s="5" t="n">
        <v>0.8333333333333335</v>
      </c>
      <c r="Z638" s="7" t="n">
        <v>100</v>
      </c>
      <c r="AA638" s="7">
        <f>Y638*Z638</f>
        <v/>
      </c>
      <c r="AB638" s="6">
        <f>IF(Z638=0,0,AA638/Z638)</f>
        <v/>
      </c>
      <c r="AC638" s="6" t="n"/>
      <c r="AD638" s="2" t="inlineStr">
        <is>
          <t>Win</t>
        </is>
      </c>
      <c r="AE638" s="6">
        <f>IF((COUNTIF($AD$2:AD638,"Win")+COUNTIF($AD$2:AD638,"Loss"))=0,0,COUNTIF($AD$2:AD638,"Win")/(COUNTIF($AD$2:AD638,"Win")+COUNTIF($AD$2:AD638,"Loss")))</f>
        <v/>
      </c>
      <c r="AF638" s="6">
        <f>SUM($Y$2:Y638)/SUM($X$2:X638)</f>
        <v/>
      </c>
      <c r="AG638" s="5">
        <f>SUM($Y$2:Y638)</f>
        <v/>
      </c>
      <c r="AH638" s="7">
        <f>10000.0+SUM($AA$2:AA638)</f>
        <v/>
      </c>
      <c r="AI638" s="2" t="n">
        <v>2026</v>
      </c>
      <c r="AJ638" s="2" t="inlineStr">
        <is>
          <t>2026-04</t>
        </is>
      </c>
      <c r="AK638" s="2" t="inlineStr">
        <is>
          <t>-149 to -120</t>
        </is>
      </c>
      <c r="AL638" s="2" t="inlineStr">
        <is>
          <t>2026 Frozen Test</t>
        </is>
      </c>
      <c r="AM638" s="6" t="n">
        <v>0.2838414848362941</v>
      </c>
    </row>
    <row r="639">
      <c r="A639" s="2" t="inlineStr">
        <is>
          <t>KPROP-00638</t>
        </is>
      </c>
      <c r="B639" s="3" t="n">
        <v>46133.81988425926</v>
      </c>
      <c r="C639" s="3" t="n">
        <v>46133</v>
      </c>
      <c r="D639" s="2" t="inlineStr">
        <is>
          <t>Shota Imanaga</t>
        </is>
      </c>
      <c r="E639" s="2" t="n">
        <v>112</v>
      </c>
      <c r="F639" s="2" t="n">
        <v>143</v>
      </c>
      <c r="G639" s="2" t="inlineStr">
        <is>
          <t>Home</t>
        </is>
      </c>
      <c r="H639" s="2" t="inlineStr">
        <is>
          <t>betrivers</t>
        </is>
      </c>
      <c r="I639" s="4" t="n"/>
      <c r="J639" s="4" t="n"/>
      <c r="K639" s="4" t="n">
        <v>135</v>
      </c>
      <c r="L639" s="4" t="n">
        <v>135</v>
      </c>
      <c r="M639" s="5" t="n">
        <v>5.5</v>
      </c>
      <c r="N639" s="5" t="n">
        <v>5.759390191815107</v>
      </c>
      <c r="O639" s="5" t="n">
        <v>5.5</v>
      </c>
      <c r="P639" s="5" t="n">
        <v>-0.2593901918151067</v>
      </c>
      <c r="Q639" s="6" t="n">
        <v>0.1398865705044424</v>
      </c>
      <c r="R639" s="6" t="n">
        <v>0.4850581151082733</v>
      </c>
      <c r="S639" s="6" t="n">
        <v>0.3973509933774834</v>
      </c>
      <c r="T639" s="2" t="inlineStr">
        <is>
          <t>Under</t>
        </is>
      </c>
      <c r="U639" s="4" t="n">
        <v>135</v>
      </c>
      <c r="V639" s="2" t="n">
        <v>2.35</v>
      </c>
      <c r="W639" s="4" t="n">
        <v>135</v>
      </c>
      <c r="X639" s="2" t="n">
        <v>1</v>
      </c>
      <c r="Y639" s="5" t="n">
        <v>1.35</v>
      </c>
      <c r="Z639" s="7" t="n">
        <v>100</v>
      </c>
      <c r="AA639" s="7">
        <f>Y639*Z639</f>
        <v/>
      </c>
      <c r="AB639" s="6">
        <f>IF(Z639=0,0,AA639/Z639)</f>
        <v/>
      </c>
      <c r="AC639" s="6" t="n"/>
      <c r="AD639" s="2" t="inlineStr">
        <is>
          <t>Win</t>
        </is>
      </c>
      <c r="AE639" s="6">
        <f>IF((COUNTIF($AD$2:AD639,"Win")+COUNTIF($AD$2:AD639,"Loss"))=0,0,COUNTIF($AD$2:AD639,"Win")/(COUNTIF($AD$2:AD639,"Win")+COUNTIF($AD$2:AD639,"Loss")))</f>
        <v/>
      </c>
      <c r="AF639" s="6">
        <f>SUM($Y$2:Y639)/SUM($X$2:X639)</f>
        <v/>
      </c>
      <c r="AG639" s="5">
        <f>SUM($Y$2:Y639)</f>
        <v/>
      </c>
      <c r="AH639" s="7">
        <f>10000.0+SUM($AA$2:AA639)</f>
        <v/>
      </c>
      <c r="AI639" s="2" t="n">
        <v>2026</v>
      </c>
      <c r="AJ639" s="2" t="inlineStr">
        <is>
          <t>2026-04</t>
        </is>
      </c>
      <c r="AK639" s="2" t="inlineStr">
        <is>
          <t>+121 to +150</t>
        </is>
      </c>
      <c r="AL639" s="2" t="inlineStr">
        <is>
          <t>2026 Frozen Test</t>
        </is>
      </c>
      <c r="AM639" s="6" t="n">
        <v>0.1036196818551425</v>
      </c>
    </row>
    <row r="640">
      <c r="A640" s="2" t="inlineStr">
        <is>
          <t>KPROP-00639</t>
        </is>
      </c>
      <c r="B640" s="3" t="n">
        <v>46133.81988425926</v>
      </c>
      <c r="C640" s="3" t="n">
        <v>46133</v>
      </c>
      <c r="D640" s="2" t="inlineStr">
        <is>
          <t>Shota Imanaga</t>
        </is>
      </c>
      <c r="E640" s="2" t="n">
        <v>112</v>
      </c>
      <c r="F640" s="2" t="n">
        <v>143</v>
      </c>
      <c r="G640" s="2" t="inlineStr">
        <is>
          <t>Home</t>
        </is>
      </c>
      <c r="H640" s="2" t="inlineStr">
        <is>
          <t>fanatics</t>
        </is>
      </c>
      <c r="I640" s="4" t="n"/>
      <c r="J640" s="4" t="n"/>
      <c r="K640" s="4" t="n">
        <v>-125</v>
      </c>
      <c r="L640" s="4" t="n">
        <v>-125</v>
      </c>
      <c r="M640" s="5" t="n">
        <v>6.5</v>
      </c>
      <c r="N640" s="5" t="n">
        <v>5.759390191815107</v>
      </c>
      <c r="O640" s="5" t="n">
        <v>6.5</v>
      </c>
      <c r="P640" s="5" t="n">
        <v>0.7406098081848933</v>
      </c>
      <c r="Q640" s="6" t="n">
        <v>0.1607965135199233</v>
      </c>
      <c r="R640" s="6" t="n">
        <v>0.6448869519555129</v>
      </c>
      <c r="S640" s="6" t="n">
        <v>0.5431472081218274</v>
      </c>
      <c r="T640" s="2" t="inlineStr">
        <is>
          <t>Under</t>
        </is>
      </c>
      <c r="U640" s="4" t="n">
        <v>-125</v>
      </c>
      <c r="V640" s="2" t="n">
        <v>1.8</v>
      </c>
      <c r="W640" s="4" t="n">
        <v>-125</v>
      </c>
      <c r="X640" s="2" t="n">
        <v>1</v>
      </c>
      <c r="Y640" s="5" t="n">
        <v>0.8</v>
      </c>
      <c r="Z640" s="7" t="n">
        <v>100</v>
      </c>
      <c r="AA640" s="7">
        <f>Y640*Z640</f>
        <v/>
      </c>
      <c r="AB640" s="6">
        <f>IF(Z640=0,0,AA640/Z640)</f>
        <v/>
      </c>
      <c r="AC640" s="6" t="n"/>
      <c r="AD640" s="2" t="inlineStr">
        <is>
          <t>Win</t>
        </is>
      </c>
      <c r="AE640" s="6">
        <f>IF((COUNTIF($AD$2:AD640,"Win")+COUNTIF($AD$2:AD640,"Loss"))=0,0,COUNTIF($AD$2:AD640,"Win")/(COUNTIF($AD$2:AD640,"Win")+COUNTIF($AD$2:AD640,"Loss")))</f>
        <v/>
      </c>
      <c r="AF640" s="6">
        <f>SUM($Y$2:Y640)/SUM($X$2:X640)</f>
        <v/>
      </c>
      <c r="AG640" s="5">
        <f>SUM($Y$2:Y640)</f>
        <v/>
      </c>
      <c r="AH640" s="7">
        <f>10000.0+SUM($AA$2:AA640)</f>
        <v/>
      </c>
      <c r="AI640" s="2" t="n">
        <v>2026</v>
      </c>
      <c r="AJ640" s="2" t="inlineStr">
        <is>
          <t>2026-04</t>
        </is>
      </c>
      <c r="AK640" s="2" t="inlineStr">
        <is>
          <t>-149 to -120</t>
        </is>
      </c>
      <c r="AL640" s="2" t="inlineStr">
        <is>
          <t>2026 Frozen Test</t>
        </is>
      </c>
      <c r="AM640" s="6" t="n">
        <v>0.2009956418999041</v>
      </c>
    </row>
    <row r="641">
      <c r="A641" s="2" t="inlineStr">
        <is>
          <t>KPROP-00640</t>
        </is>
      </c>
      <c r="B641" s="3" t="n">
        <v>46133.77821759259</v>
      </c>
      <c r="C641" s="3" t="n">
        <v>46133</v>
      </c>
      <c r="D641" s="2" t="inlineStr">
        <is>
          <t>Steven Matz</t>
        </is>
      </c>
      <c r="E641" s="2" t="n">
        <v>139</v>
      </c>
      <c r="F641" s="2" t="n">
        <v>113</v>
      </c>
      <c r="G641" s="2" t="inlineStr">
        <is>
          <t>Home</t>
        </is>
      </c>
      <c r="H641" s="2" t="inlineStr">
        <is>
          <t>betrivers</t>
        </is>
      </c>
      <c r="I641" s="4" t="n"/>
      <c r="J641" s="4" t="n"/>
      <c r="K641" s="4" t="n">
        <v>140</v>
      </c>
      <c r="L641" s="4" t="n">
        <v>140</v>
      </c>
      <c r="M641" s="5" t="n">
        <v>4.5</v>
      </c>
      <c r="N641" s="5" t="n">
        <v>4.800859808996825</v>
      </c>
      <c r="O641" s="5" t="n">
        <v>4.5</v>
      </c>
      <c r="P641" s="5" t="n">
        <v>-0.3008598089968251</v>
      </c>
      <c r="Q641" s="6" t="n">
        <v>0.1426454115455257</v>
      </c>
      <c r="R641" s="6" t="n">
        <v>0.4761022548106357</v>
      </c>
      <c r="S641" s="6" t="n">
        <v>0.4009077155824509</v>
      </c>
      <c r="T641" s="2" t="inlineStr">
        <is>
          <t>Under</t>
        </is>
      </c>
      <c r="U641" s="4" t="n">
        <v>140</v>
      </c>
      <c r="V641" s="2" t="n">
        <v>2.4</v>
      </c>
      <c r="W641" s="4" t="n">
        <v>140</v>
      </c>
      <c r="X641" s="2" t="n">
        <v>1</v>
      </c>
      <c r="Y641" s="5" t="n">
        <v>1.4</v>
      </c>
      <c r="Z641" s="7" t="n">
        <v>100</v>
      </c>
      <c r="AA641" s="7">
        <f>Y641*Z641</f>
        <v/>
      </c>
      <c r="AB641" s="6">
        <f>IF(Z641=0,0,AA641/Z641)</f>
        <v/>
      </c>
      <c r="AC641" s="6" t="n"/>
      <c r="AD641" s="2" t="inlineStr">
        <is>
          <t>Win</t>
        </is>
      </c>
      <c r="AE641" s="6">
        <f>IF((COUNTIF($AD$2:AD641,"Win")+COUNTIF($AD$2:AD641,"Loss"))=0,0,COUNTIF($AD$2:AD641,"Win")/(COUNTIF($AD$2:AD641,"Win")+COUNTIF($AD$2:AD641,"Loss")))</f>
        <v/>
      </c>
      <c r="AF641" s="6">
        <f>SUM($Y$2:Y641)/SUM($X$2:X641)</f>
        <v/>
      </c>
      <c r="AG641" s="5">
        <f>SUM($Y$2:Y641)</f>
        <v/>
      </c>
      <c r="AH641" s="7">
        <f>10000.0+SUM($AA$2:AA641)</f>
        <v/>
      </c>
      <c r="AI641" s="2" t="n">
        <v>2026</v>
      </c>
      <c r="AJ641" s="2" t="inlineStr">
        <is>
          <t>2026-04</t>
        </is>
      </c>
      <c r="AK641" s="2" t="inlineStr">
        <is>
          <t>+121 to +150</t>
        </is>
      </c>
      <c r="AL641" s="2" t="inlineStr">
        <is>
          <t>2026 Frozen Test</t>
        </is>
      </c>
      <c r="AM641" s="6" t="n">
        <v>0.1018895796753755</v>
      </c>
    </row>
    <row r="642">
      <c r="A642" s="2" t="inlineStr">
        <is>
          <t>KPROP-00641</t>
        </is>
      </c>
      <c r="B642" s="3" t="n">
        <v>46133.77821759259</v>
      </c>
      <c r="C642" s="3" t="n">
        <v>46133</v>
      </c>
      <c r="D642" s="2" t="inlineStr">
        <is>
          <t>Steven Matz</t>
        </is>
      </c>
      <c r="E642" s="2" t="n">
        <v>139</v>
      </c>
      <c r="F642" s="2" t="n">
        <v>113</v>
      </c>
      <c r="G642" s="2" t="inlineStr">
        <is>
          <t>Home</t>
        </is>
      </c>
      <c r="H642" s="2" t="inlineStr">
        <is>
          <t>fanatics</t>
        </is>
      </c>
      <c r="I642" s="4" t="n"/>
      <c r="J642" s="4" t="n"/>
      <c r="K642" s="4" t="n">
        <v>-130</v>
      </c>
      <c r="L642" s="4" t="n">
        <v>-130</v>
      </c>
      <c r="M642" s="5" t="n">
        <v>5.5</v>
      </c>
      <c r="N642" s="5" t="n">
        <v>4.800859808996825</v>
      </c>
      <c r="O642" s="5" t="n">
        <v>5.5</v>
      </c>
      <c r="P642" s="5" t="n">
        <v>0.6991401910031749</v>
      </c>
      <c r="Q642" s="6" t="n">
        <v>0.1515147887604007</v>
      </c>
      <c r="R642" s="6" t="n">
        <v>0.6508561849515309</v>
      </c>
      <c r="S642" s="6" t="n">
        <v>0.5564982645584265</v>
      </c>
      <c r="T642" s="2" t="inlineStr">
        <is>
          <t>Under</t>
        </is>
      </c>
      <c r="U642" s="4" t="n">
        <v>-130</v>
      </c>
      <c r="V642" s="2" t="n">
        <v>1.769230769230769</v>
      </c>
      <c r="W642" s="4" t="n">
        <v>-130</v>
      </c>
      <c r="X642" s="2" t="n">
        <v>1</v>
      </c>
      <c r="Y642" s="5" t="n">
        <v>0.7692307692307692</v>
      </c>
      <c r="Z642" s="7" t="n">
        <v>100</v>
      </c>
      <c r="AA642" s="7">
        <f>Y642*Z642</f>
        <v/>
      </c>
      <c r="AB642" s="6">
        <f>IF(Z642=0,0,AA642/Z642)</f>
        <v/>
      </c>
      <c r="AC642" s="6" t="n"/>
      <c r="AD642" s="2" t="inlineStr">
        <is>
          <t>Win</t>
        </is>
      </c>
      <c r="AE642" s="6">
        <f>IF((COUNTIF($AD$2:AD642,"Win")+COUNTIF($AD$2:AD642,"Loss"))=0,0,COUNTIF($AD$2:AD642,"Win")/(COUNTIF($AD$2:AD642,"Win")+COUNTIF($AD$2:AD642,"Loss")))</f>
        <v/>
      </c>
      <c r="AF642" s="6">
        <f>SUM($Y$2:Y642)/SUM($X$2:X642)</f>
        <v/>
      </c>
      <c r="AG642" s="5">
        <f>SUM($Y$2:Y642)</f>
        <v/>
      </c>
      <c r="AH642" s="7">
        <f>10000.0+SUM($AA$2:AA642)</f>
        <v/>
      </c>
      <c r="AI642" s="2" t="n">
        <v>2026</v>
      </c>
      <c r="AJ642" s="2" t="inlineStr">
        <is>
          <t>2026-04</t>
        </is>
      </c>
      <c r="AK642" s="2" t="inlineStr">
        <is>
          <t>-149 to -120</t>
        </is>
      </c>
      <c r="AL642" s="2" t="inlineStr">
        <is>
          <t>2026 Frozen Test</t>
        </is>
      </c>
      <c r="AM642" s="6" t="n">
        <v>0.1969692253885209</v>
      </c>
    </row>
    <row r="643">
      <c r="A643" s="2" t="inlineStr">
        <is>
          <t>KPROP-00642</t>
        </is>
      </c>
      <c r="B643" s="3" t="n">
        <v>46134.67405092593</v>
      </c>
      <c r="C643" s="3" t="n">
        <v>46134</v>
      </c>
      <c r="D643" s="2" t="inlineStr">
        <is>
          <t>Aaron Civale</t>
        </is>
      </c>
      <c r="E643" s="2" t="n">
        <v>133</v>
      </c>
      <c r="F643" s="2" t="n">
        <v>136</v>
      </c>
      <c r="G643" s="2" t="inlineStr">
        <is>
          <t>Away</t>
        </is>
      </c>
      <c r="H643" s="2" t="inlineStr">
        <is>
          <t>bovada</t>
        </is>
      </c>
      <c r="I643" s="4" t="n"/>
      <c r="J643" s="4" t="n"/>
      <c r="K643" s="4" t="n">
        <v>110</v>
      </c>
      <c r="L643" s="4" t="n">
        <v>110</v>
      </c>
      <c r="M643" s="5" t="n">
        <v>4.5</v>
      </c>
      <c r="N643" s="5" t="n">
        <v>4.465722995986637</v>
      </c>
      <c r="O643" s="5" t="n">
        <v>4.5</v>
      </c>
      <c r="P643" s="5" t="n">
        <v>0.03427700401336331</v>
      </c>
      <c r="Q643" s="6" t="n">
        <v>0.1311057057848016</v>
      </c>
      <c r="R643" s="6" t="n">
        <v>0.5386217646594293</v>
      </c>
      <c r="S643" s="6" t="n">
        <v>0.4580916183236647</v>
      </c>
      <c r="T643" s="2" t="inlineStr">
        <is>
          <t>Under</t>
        </is>
      </c>
      <c r="U643" s="4" t="n">
        <v>110</v>
      </c>
      <c r="V643" s="2" t="n">
        <v>2.1</v>
      </c>
      <c r="W643" s="4" t="n">
        <v>110</v>
      </c>
      <c r="X643" s="2" t="n">
        <v>1</v>
      </c>
      <c r="Y643" s="5" t="n">
        <v>-1</v>
      </c>
      <c r="Z643" s="7" t="n">
        <v>100</v>
      </c>
      <c r="AA643" s="7">
        <f>Y643*Z643</f>
        <v/>
      </c>
      <c r="AB643" s="6">
        <f>IF(Z643=0,0,AA643/Z643)</f>
        <v/>
      </c>
      <c r="AC643" s="6" t="n"/>
      <c r="AD643" s="2" t="inlineStr">
        <is>
          <t>Loss</t>
        </is>
      </c>
      <c r="AE643" s="6">
        <f>IF((COUNTIF($AD$2:AD643,"Win")+COUNTIF($AD$2:AD643,"Loss"))=0,0,COUNTIF($AD$2:AD643,"Win")/(COUNTIF($AD$2:AD643,"Win")+COUNTIF($AD$2:AD643,"Loss")))</f>
        <v/>
      </c>
      <c r="AF643" s="6">
        <f>SUM($Y$2:Y643)/SUM($X$2:X643)</f>
        <v/>
      </c>
      <c r="AG643" s="5">
        <f>SUM($Y$2:Y643)</f>
        <v/>
      </c>
      <c r="AH643" s="7">
        <f>10000.0+SUM($AA$2:AA643)</f>
        <v/>
      </c>
      <c r="AI643" s="2" t="n">
        <v>2026</v>
      </c>
      <c r="AJ643" s="2" t="inlineStr">
        <is>
          <t>2026-04</t>
        </is>
      </c>
      <c r="AK643" s="2" t="inlineStr">
        <is>
          <t>+100 to +120</t>
        </is>
      </c>
      <c r="AL643" s="2" t="inlineStr">
        <is>
          <t>2026 Frozen Test</t>
        </is>
      </c>
      <c r="AM643" s="6" t="n">
        <v>0.1191870052589106</v>
      </c>
    </row>
    <row r="644">
      <c r="A644" s="2" t="inlineStr">
        <is>
          <t>KPROP-00643</t>
        </is>
      </c>
      <c r="B644" s="3" t="n">
        <v>46134.79905092593</v>
      </c>
      <c r="C644" s="3" t="n">
        <v>46134</v>
      </c>
      <c r="D644" s="2" t="inlineStr">
        <is>
          <t>Clay Holmes</t>
        </is>
      </c>
      <c r="E644" s="2" t="n">
        <v>121</v>
      </c>
      <c r="F644" s="2" t="n">
        <v>142</v>
      </c>
      <c r="G644" s="2" t="inlineStr">
        <is>
          <t>Home</t>
        </is>
      </c>
      <c r="H644" s="2" t="inlineStr">
        <is>
          <t>bovada</t>
        </is>
      </c>
      <c r="I644" s="4" t="n"/>
      <c r="J644" s="4" t="n"/>
      <c r="K644" s="4" t="n">
        <v>-110</v>
      </c>
      <c r="L644" s="4" t="n">
        <v>-110</v>
      </c>
      <c r="M644" s="5" t="n">
        <v>4.5</v>
      </c>
      <c r="N644" s="5" t="n">
        <v>4.201722261500246</v>
      </c>
      <c r="O644" s="5" t="n">
        <v>4.5</v>
      </c>
      <c r="P644" s="5" t="n">
        <v>0.2982777384997544</v>
      </c>
      <c r="Q644" s="6" t="n">
        <v>0.125394174625362</v>
      </c>
      <c r="R644" s="6" t="n">
        <v>0.5894921867085229</v>
      </c>
      <c r="S644" s="6" t="n">
        <v>0.5</v>
      </c>
      <c r="T644" s="2" t="inlineStr">
        <is>
          <t>Under</t>
        </is>
      </c>
      <c r="U644" s="4" t="n">
        <v>-110</v>
      </c>
      <c r="V644" s="2" t="n">
        <v>1.909090909090909</v>
      </c>
      <c r="W644" s="4" t="n">
        <v>-110</v>
      </c>
      <c r="X644" s="2" t="n">
        <v>1</v>
      </c>
      <c r="Y644" s="5" t="n">
        <v>0.9090909090909092</v>
      </c>
      <c r="Z644" s="7" t="n">
        <v>100</v>
      </c>
      <c r="AA644" s="7">
        <f>Y644*Z644</f>
        <v/>
      </c>
      <c r="AB644" s="6">
        <f>IF(Z644=0,0,AA644/Z644)</f>
        <v/>
      </c>
      <c r="AC644" s="6" t="n"/>
      <c r="AD644" s="2" t="inlineStr">
        <is>
          <t>Win</t>
        </is>
      </c>
      <c r="AE644" s="6">
        <f>IF((COUNTIF($AD$2:AD644,"Win")+COUNTIF($AD$2:AD644,"Loss"))=0,0,COUNTIF($AD$2:AD644,"Win")/(COUNTIF($AD$2:AD644,"Win")+COUNTIF($AD$2:AD644,"Loss")))</f>
        <v/>
      </c>
      <c r="AF644" s="6">
        <f>SUM($Y$2:Y644)/SUM($X$2:X644)</f>
        <v/>
      </c>
      <c r="AG644" s="5">
        <f>SUM($Y$2:Y644)</f>
        <v/>
      </c>
      <c r="AH644" s="7">
        <f>10000.0+SUM($AA$2:AA644)</f>
        <v/>
      </c>
      <c r="AI644" s="2" t="n">
        <v>2026</v>
      </c>
      <c r="AJ644" s="2" t="inlineStr">
        <is>
          <t>2026-04</t>
        </is>
      </c>
      <c r="AK644" s="2" t="inlineStr">
        <is>
          <t>-119 to -101</t>
        </is>
      </c>
      <c r="AL644" s="2" t="inlineStr">
        <is>
          <t>2026 Frozen Test</t>
        </is>
      </c>
      <c r="AM644" s="6" t="n">
        <v>0.1379335920878981</v>
      </c>
    </row>
    <row r="645">
      <c r="A645" s="2" t="inlineStr">
        <is>
          <t>KPROP-00644</t>
        </is>
      </c>
      <c r="B645" s="3" t="n">
        <v>46134.50738425926</v>
      </c>
      <c r="C645" s="3" t="n">
        <v>46134</v>
      </c>
      <c r="D645" s="2" t="inlineStr">
        <is>
          <t>Kyle Leahy</t>
        </is>
      </c>
      <c r="E645" s="2" t="n">
        <v>138</v>
      </c>
      <c r="F645" s="2" t="n">
        <v>146</v>
      </c>
      <c r="G645" s="2" t="inlineStr">
        <is>
          <t>Away</t>
        </is>
      </c>
      <c r="H645" s="2" t="inlineStr">
        <is>
          <t>betmgm</t>
        </is>
      </c>
      <c r="I645" s="4" t="n"/>
      <c r="J645" s="4" t="n"/>
      <c r="K645" s="4" t="n">
        <v>105</v>
      </c>
      <c r="L645" s="4" t="n">
        <v>105</v>
      </c>
      <c r="M645" s="5" t="n">
        <v>3.5</v>
      </c>
      <c r="N645" s="5" t="n">
        <v>3.226154572518802</v>
      </c>
      <c r="O645" s="5" t="n">
        <v>3.5</v>
      </c>
      <c r="P645" s="5" t="n">
        <v>0.2738454274811977</v>
      </c>
      <c r="Q645" s="6" t="n">
        <v>0.223239608857105</v>
      </c>
      <c r="R645" s="6" t="n">
        <v>0.5967022482229781</v>
      </c>
      <c r="S645" s="6" t="n">
        <v>0.4779986598168416</v>
      </c>
      <c r="T645" s="2" t="inlineStr">
        <is>
          <t>Under</t>
        </is>
      </c>
      <c r="U645" s="4" t="n">
        <v>105</v>
      </c>
      <c r="V645" s="2" t="n">
        <v>2.05</v>
      </c>
      <c r="W645" s="4" t="n">
        <v>105</v>
      </c>
      <c r="X645" s="2" t="n">
        <v>1</v>
      </c>
      <c r="Y645" s="5" t="n">
        <v>1.05</v>
      </c>
      <c r="Z645" s="7" t="n">
        <v>100</v>
      </c>
      <c r="AA645" s="7">
        <f>Y645*Z645</f>
        <v/>
      </c>
      <c r="AB645" s="6">
        <f>IF(Z645=0,0,AA645/Z645)</f>
        <v/>
      </c>
      <c r="AC645" s="6" t="n"/>
      <c r="AD645" s="2" t="inlineStr">
        <is>
          <t>Win</t>
        </is>
      </c>
      <c r="AE645" s="6">
        <f>IF((COUNTIF($AD$2:AD645,"Win")+COUNTIF($AD$2:AD645,"Loss"))=0,0,COUNTIF($AD$2:AD645,"Win")/(COUNTIF($AD$2:AD645,"Win")+COUNTIF($AD$2:AD645,"Loss")))</f>
        <v/>
      </c>
      <c r="AF645" s="6">
        <f>SUM($Y$2:Y645)/SUM($X$2:X645)</f>
        <v/>
      </c>
      <c r="AG645" s="5">
        <f>SUM($Y$2:Y645)</f>
        <v/>
      </c>
      <c r="AH645" s="7">
        <f>10000.0+SUM($AA$2:AA645)</f>
        <v/>
      </c>
      <c r="AI645" s="2" t="n">
        <v>2026</v>
      </c>
      <c r="AJ645" s="2" t="inlineStr">
        <is>
          <t>2026-04</t>
        </is>
      </c>
      <c r="AK645" s="2" t="inlineStr">
        <is>
          <t>+100 to +120</t>
        </is>
      </c>
      <c r="AL645" s="2" t="inlineStr">
        <is>
          <t>2026 Frozen Test</t>
        </is>
      </c>
      <c r="AM645" s="6" t="n">
        <v>0.212609151292481</v>
      </c>
    </row>
    <row r="646">
      <c r="A646" s="2" t="inlineStr">
        <is>
          <t>KPROP-00645</t>
        </is>
      </c>
      <c r="B646" s="3" t="n">
        <v>46134.67405092593</v>
      </c>
      <c r="C646" s="3" t="n">
        <v>46134</v>
      </c>
      <c r="D646" s="2" t="inlineStr">
        <is>
          <t>Logan Gilbert</t>
        </is>
      </c>
      <c r="E646" s="2" t="n">
        <v>136</v>
      </c>
      <c r="F646" s="2" t="n">
        <v>133</v>
      </c>
      <c r="G646" s="2" t="inlineStr">
        <is>
          <t>Home</t>
        </is>
      </c>
      <c r="H646" s="2" t="inlineStr">
        <is>
          <t>draftkings</t>
        </is>
      </c>
      <c r="I646" s="4" t="n"/>
      <c r="J646" s="4" t="n"/>
      <c r="K646" s="4" t="n">
        <v>111</v>
      </c>
      <c r="L646" s="4" t="n">
        <v>111</v>
      </c>
      <c r="M646" s="5" t="n">
        <v>6.5</v>
      </c>
      <c r="N646" s="5" t="n">
        <v>5.825702012677056</v>
      </c>
      <c r="O646" s="5" t="n">
        <v>6.5</v>
      </c>
      <c r="P646" s="5" t="n">
        <v>0.6742979873229435</v>
      </c>
      <c r="Q646" s="6" t="n">
        <v>0.3383204953743716</v>
      </c>
      <c r="R646" s="6" t="n">
        <v>0.6342751162911713</v>
      </c>
      <c r="S646" s="6" t="n">
        <v>0.4649196956889265</v>
      </c>
      <c r="T646" s="2" t="inlineStr">
        <is>
          <t>Under</t>
        </is>
      </c>
      <c r="U646" s="4" t="n">
        <v>111</v>
      </c>
      <c r="V646" s="2" t="n">
        <v>2.11</v>
      </c>
      <c r="W646" s="4" t="n">
        <v>111</v>
      </c>
      <c r="X646" s="2" t="n">
        <v>1</v>
      </c>
      <c r="Y646" s="5" t="n">
        <v>1.11</v>
      </c>
      <c r="Z646" s="7" t="n">
        <v>100</v>
      </c>
      <c r="AA646" s="7">
        <f>Y646*Z646</f>
        <v/>
      </c>
      <c r="AB646" s="6">
        <f>IF(Z646=0,0,AA646/Z646)</f>
        <v/>
      </c>
      <c r="AC646" s="6" t="n"/>
      <c r="AD646" s="2" t="inlineStr">
        <is>
          <t>Win</t>
        </is>
      </c>
      <c r="AE646" s="6">
        <f>IF((COUNTIF($AD$2:AD646,"Win")+COUNTIF($AD$2:AD646,"Loss"))=0,0,COUNTIF($AD$2:AD646,"Win")/(COUNTIF($AD$2:AD646,"Win")+COUNTIF($AD$2:AD646,"Loss")))</f>
        <v/>
      </c>
      <c r="AF646" s="6">
        <f>SUM($Y$2:Y646)/SUM($X$2:X646)</f>
        <v/>
      </c>
      <c r="AG646" s="5">
        <f>SUM($Y$2:Y646)</f>
        <v/>
      </c>
      <c r="AH646" s="7">
        <f>10000.0+SUM($AA$2:AA646)</f>
        <v/>
      </c>
      <c r="AI646" s="2" t="n">
        <v>2026</v>
      </c>
      <c r="AJ646" s="2" t="inlineStr">
        <is>
          <t>2026-04</t>
        </is>
      </c>
      <c r="AK646" s="2" t="inlineStr">
        <is>
          <t>+100 to +120</t>
        </is>
      </c>
      <c r="AL646" s="2" t="inlineStr">
        <is>
          <t>2026 Frozen Test</t>
        </is>
      </c>
      <c r="AM646" s="6" t="n">
        <v>0.3047932390760104</v>
      </c>
    </row>
    <row r="647">
      <c r="A647" s="2" t="inlineStr">
        <is>
          <t>KPROP-00646</t>
        </is>
      </c>
      <c r="B647" s="3" t="n">
        <v>46134.81988425926</v>
      </c>
      <c r="C647" s="3" t="n">
        <v>46134</v>
      </c>
      <c r="D647" s="2" t="inlineStr">
        <is>
          <t>Matthew Boyd</t>
        </is>
      </c>
      <c r="E647" s="2" t="n">
        <v>112</v>
      </c>
      <c r="F647" s="2" t="n">
        <v>143</v>
      </c>
      <c r="G647" s="2" t="inlineStr">
        <is>
          <t>Home</t>
        </is>
      </c>
      <c r="H647" s="2" t="inlineStr">
        <is>
          <t>betrivers</t>
        </is>
      </c>
      <c r="I647" s="4" t="n"/>
      <c r="J647" s="4" t="n"/>
      <c r="K647" s="4" t="n">
        <v>135</v>
      </c>
      <c r="L647" s="4" t="n">
        <v>135</v>
      </c>
      <c r="M647" s="5" t="n">
        <v>4.5</v>
      </c>
      <c r="N647" s="5" t="n">
        <v>4.651267154235171</v>
      </c>
      <c r="O647" s="5" t="n">
        <v>4.5</v>
      </c>
      <c r="P647" s="5" t="n">
        <v>-0.1512671542351711</v>
      </c>
      <c r="Q647" s="6" t="n">
        <v>0.1835841953229743</v>
      </c>
      <c r="R647" s="6" t="n">
        <v>0.5036528490736061</v>
      </c>
      <c r="S647" s="6" t="n">
        <v>0.4093890776890856</v>
      </c>
      <c r="T647" s="2" t="inlineStr">
        <is>
          <t>Under</t>
        </is>
      </c>
      <c r="U647" s="4" t="n">
        <v>135</v>
      </c>
      <c r="V647" s="2" t="n">
        <v>2.35</v>
      </c>
      <c r="W647" s="4" t="n">
        <v>135</v>
      </c>
      <c r="X647" s="2" t="n">
        <v>1</v>
      </c>
      <c r="Y647" s="5" t="n">
        <v>-1</v>
      </c>
      <c r="Z647" s="7" t="n">
        <v>100</v>
      </c>
      <c r="AA647" s="7">
        <f>Y647*Z647</f>
        <v/>
      </c>
      <c r="AB647" s="6">
        <f>IF(Z647=0,0,AA647/Z647)</f>
        <v/>
      </c>
      <c r="AC647" s="6" t="n"/>
      <c r="AD647" s="2" t="inlineStr">
        <is>
          <t>Loss</t>
        </is>
      </c>
      <c r="AE647" s="6">
        <f>IF((COUNTIF($AD$2:AD647,"Win")+COUNTIF($AD$2:AD647,"Loss"))=0,0,COUNTIF($AD$2:AD647,"Win")/(COUNTIF($AD$2:AD647,"Win")+COUNTIF($AD$2:AD647,"Loss")))</f>
        <v/>
      </c>
      <c r="AF647" s="6">
        <f>SUM($Y$2:Y647)/SUM($X$2:X647)</f>
        <v/>
      </c>
      <c r="AG647" s="5">
        <f>SUM($Y$2:Y647)</f>
        <v/>
      </c>
      <c r="AH647" s="7">
        <f>10000.0+SUM($AA$2:AA647)</f>
        <v/>
      </c>
      <c r="AI647" s="2" t="n">
        <v>2026</v>
      </c>
      <c r="AJ647" s="2" t="inlineStr">
        <is>
          <t>2026-04</t>
        </is>
      </c>
      <c r="AK647" s="2" t="inlineStr">
        <is>
          <t>+121 to +150</t>
        </is>
      </c>
      <c r="AL647" s="2" t="inlineStr">
        <is>
          <t>2026 Frozen Test</t>
        </is>
      </c>
      <c r="AM647" s="6" t="n">
        <v>0.1359882928318328</v>
      </c>
    </row>
    <row r="648">
      <c r="A648" s="2" t="inlineStr">
        <is>
          <t>KPROP-00647</t>
        </is>
      </c>
      <c r="B648" s="3" t="n">
        <v>46134.81988425926</v>
      </c>
      <c r="C648" s="3" t="n">
        <v>46134</v>
      </c>
      <c r="D648" s="2" t="inlineStr">
        <is>
          <t>Matthew Boyd</t>
        </is>
      </c>
      <c r="E648" s="2" t="n">
        <v>112</v>
      </c>
      <c r="F648" s="2" t="n">
        <v>143</v>
      </c>
      <c r="G648" s="2" t="inlineStr">
        <is>
          <t>Home</t>
        </is>
      </c>
      <c r="H648" s="2" t="inlineStr">
        <is>
          <t>betmgm</t>
        </is>
      </c>
      <c r="I648" s="4" t="n"/>
      <c r="J648" s="4" t="n"/>
      <c r="K648" s="4" t="n">
        <v>-150</v>
      </c>
      <c r="L648" s="4" t="n">
        <v>-150</v>
      </c>
      <c r="M648" s="5" t="n">
        <v>5.5</v>
      </c>
      <c r="N648" s="5" t="n">
        <v>4.651267154235171</v>
      </c>
      <c r="O648" s="5" t="n">
        <v>5.5</v>
      </c>
      <c r="P648" s="5" t="n">
        <v>0.8487328457648289</v>
      </c>
      <c r="Q648" s="6" t="n">
        <v>0.1281596308148265</v>
      </c>
      <c r="R648" s="6" t="n">
        <v>0.6768957784888959</v>
      </c>
      <c r="S648" s="6" t="n">
        <v>0.5819397993311037</v>
      </c>
      <c r="T648" s="2" t="inlineStr">
        <is>
          <t>Under</t>
        </is>
      </c>
      <c r="U648" s="4" t="n">
        <v>-150</v>
      </c>
      <c r="V648" s="2" t="n">
        <v>1.666666666666667</v>
      </c>
      <c r="W648" s="4" t="n">
        <v>-150</v>
      </c>
      <c r="X648" s="2" t="n">
        <v>1</v>
      </c>
      <c r="Y648" s="5" t="n">
        <v>0.6666666666666665</v>
      </c>
      <c r="Z648" s="7" t="n">
        <v>100</v>
      </c>
      <c r="AA648" s="7">
        <f>Y648*Z648</f>
        <v/>
      </c>
      <c r="AB648" s="6">
        <f>IF(Z648=0,0,AA648/Z648)</f>
        <v/>
      </c>
      <c r="AC648" s="6" t="n"/>
      <c r="AD648" s="2" t="inlineStr">
        <is>
          <t>Win</t>
        </is>
      </c>
      <c r="AE648" s="6">
        <f>IF((COUNTIF($AD$2:AD648,"Win")+COUNTIF($AD$2:AD648,"Loss"))=0,0,COUNTIF($AD$2:AD648,"Win")/(COUNTIF($AD$2:AD648,"Win")+COUNTIF($AD$2:AD648,"Loss")))</f>
        <v/>
      </c>
      <c r="AF648" s="6">
        <f>SUM($Y$2:Y648)/SUM($X$2:X648)</f>
        <v/>
      </c>
      <c r="AG648" s="5">
        <f>SUM($Y$2:Y648)</f>
        <v/>
      </c>
      <c r="AH648" s="7">
        <f>10000.0+SUM($AA$2:AA648)</f>
        <v/>
      </c>
      <c r="AI648" s="2" t="n">
        <v>2026</v>
      </c>
      <c r="AJ648" s="2" t="inlineStr">
        <is>
          <t>2026-04</t>
        </is>
      </c>
      <c r="AK648" s="2" t="inlineStr">
        <is>
          <t>&lt;= -150</t>
        </is>
      </c>
      <c r="AL648" s="2" t="inlineStr">
        <is>
          <t>2026 Frozen Test</t>
        </is>
      </c>
      <c r="AM648" s="6" t="n">
        <v>0.1922394462222397</v>
      </c>
    </row>
    <row r="649">
      <c r="A649" s="2" t="inlineStr">
        <is>
          <t>KPROP-00648</t>
        </is>
      </c>
      <c r="B649" s="3" t="n">
        <v>46134.54905092593</v>
      </c>
      <c r="C649" s="3" t="n">
        <v>46134</v>
      </c>
      <c r="D649" s="2" t="inlineStr">
        <is>
          <t>Peter Lambert</t>
        </is>
      </c>
      <c r="E649" s="2" t="n">
        <v>117</v>
      </c>
      <c r="F649" s="2" t="n">
        <v>114</v>
      </c>
      <c r="G649" s="2" t="inlineStr">
        <is>
          <t>Away</t>
        </is>
      </c>
      <c r="H649" s="2" t="inlineStr">
        <is>
          <t>draftkings</t>
        </is>
      </c>
      <c r="I649" s="4" t="n"/>
      <c r="J649" s="4" t="n"/>
      <c r="K649" s="4" t="n">
        <v>128</v>
      </c>
      <c r="L649" s="4" t="n">
        <v>128</v>
      </c>
      <c r="M649" s="5" t="n">
        <v>3.5</v>
      </c>
      <c r="N649" s="5" t="n">
        <v>3.630647724800153</v>
      </c>
      <c r="O649" s="5" t="n">
        <v>3.5</v>
      </c>
      <c r="P649" s="5" t="n">
        <v>-0.130647724800153</v>
      </c>
      <c r="Q649" s="6" t="n">
        <v>0.1598844440643007</v>
      </c>
      <c r="R649" s="6" t="n">
        <v>0.5087212473966231</v>
      </c>
      <c r="S649" s="6" t="n">
        <v>0.4161331626120358</v>
      </c>
      <c r="T649" s="2" t="inlineStr">
        <is>
          <t>Under</t>
        </is>
      </c>
      <c r="U649" s="4" t="n">
        <v>128</v>
      </c>
      <c r="V649" s="2" t="n">
        <v>2.28</v>
      </c>
      <c r="W649" s="4" t="n">
        <v>128</v>
      </c>
      <c r="X649" s="2" t="n">
        <v>1</v>
      </c>
      <c r="Y649" s="5" t="n">
        <v>-1</v>
      </c>
      <c r="Z649" s="7" t="n">
        <v>100</v>
      </c>
      <c r="AA649" s="7">
        <f>Y649*Z649</f>
        <v/>
      </c>
      <c r="AB649" s="6">
        <f>IF(Z649=0,0,AA649/Z649)</f>
        <v/>
      </c>
      <c r="AC649" s="6" t="n"/>
      <c r="AD649" s="2" t="inlineStr">
        <is>
          <t>Loss</t>
        </is>
      </c>
      <c r="AE649" s="6">
        <f>IF((COUNTIF($AD$2:AD649,"Win")+COUNTIF($AD$2:AD649,"Loss"))=0,0,COUNTIF($AD$2:AD649,"Win")/(COUNTIF($AD$2:AD649,"Win")+COUNTIF($AD$2:AD649,"Loss")))</f>
        <v/>
      </c>
      <c r="AF649" s="6">
        <f>SUM($Y$2:Y649)/SUM($X$2:X649)</f>
        <v/>
      </c>
      <c r="AG649" s="5">
        <f>SUM($Y$2:Y649)</f>
        <v/>
      </c>
      <c r="AH649" s="7">
        <f>10000.0+SUM($AA$2:AA649)</f>
        <v/>
      </c>
      <c r="AI649" s="2" t="n">
        <v>2026</v>
      </c>
      <c r="AJ649" s="2" t="inlineStr">
        <is>
          <t>2026-04</t>
        </is>
      </c>
      <c r="AK649" s="2" t="inlineStr">
        <is>
          <t>+121 to +150</t>
        </is>
      </c>
      <c r="AL649" s="2" t="inlineStr">
        <is>
          <t>2026 Frozen Test</t>
        </is>
      </c>
      <c r="AM649" s="6" t="n">
        <v>0.1249097219252349</v>
      </c>
    </row>
    <row r="650">
      <c r="A650" s="2" t="inlineStr">
        <is>
          <t>KPROP-00649</t>
        </is>
      </c>
      <c r="B650" s="3" t="n">
        <v>46134.54905092593</v>
      </c>
      <c r="C650" s="3" t="n">
        <v>46134</v>
      </c>
      <c r="D650" s="2" t="inlineStr">
        <is>
          <t>Peter Lambert</t>
        </is>
      </c>
      <c r="E650" s="2" t="n">
        <v>117</v>
      </c>
      <c r="F650" s="2" t="n">
        <v>114</v>
      </c>
      <c r="G650" s="2" t="inlineStr">
        <is>
          <t>Away</t>
        </is>
      </c>
      <c r="H650" s="2" t="inlineStr">
        <is>
          <t>fanduel</t>
        </is>
      </c>
      <c r="I650" s="4" t="n"/>
      <c r="J650" s="4" t="n"/>
      <c r="K650" s="4" t="n">
        <v>-158</v>
      </c>
      <c r="L650" s="4" t="n">
        <v>-158</v>
      </c>
      <c r="M650" s="5" t="n">
        <v>4.5</v>
      </c>
      <c r="N650" s="5" t="n">
        <v>3.630647724800153</v>
      </c>
      <c r="O650" s="5" t="n">
        <v>4.5</v>
      </c>
      <c r="P650" s="5" t="n">
        <v>0.869352275199847</v>
      </c>
      <c r="Q650" s="6" t="n">
        <v>0.1439658160215562</v>
      </c>
      <c r="R650" s="6" t="n">
        <v>0.7005682129124259</v>
      </c>
      <c r="S650" s="6" t="n">
        <v>0.5900206578738281</v>
      </c>
      <c r="T650" s="2" t="inlineStr">
        <is>
          <t>Under</t>
        </is>
      </c>
      <c r="U650" s="4" t="n">
        <v>-158</v>
      </c>
      <c r="V650" s="2" t="n">
        <v>1.632911392405063</v>
      </c>
      <c r="W650" s="4" t="n">
        <v>-158</v>
      </c>
      <c r="X650" s="2" t="n">
        <v>1</v>
      </c>
      <c r="Y650" s="5" t="n">
        <v>-1</v>
      </c>
      <c r="Z650" s="7" t="n">
        <v>100</v>
      </c>
      <c r="AA650" s="7">
        <f>Y650*Z650</f>
        <v/>
      </c>
      <c r="AB650" s="6">
        <f>IF(Z650=0,0,AA650/Z650)</f>
        <v/>
      </c>
      <c r="AC650" s="6" t="n"/>
      <c r="AD650" s="2" t="inlineStr">
        <is>
          <t>Loss</t>
        </is>
      </c>
      <c r="AE650" s="6">
        <f>IF((COUNTIF($AD$2:AD650,"Win")+COUNTIF($AD$2:AD650,"Loss"))=0,0,COUNTIF($AD$2:AD650,"Win")/(COUNTIF($AD$2:AD650,"Win")+COUNTIF($AD$2:AD650,"Loss")))</f>
        <v/>
      </c>
      <c r="AF650" s="6">
        <f>SUM($Y$2:Y650)/SUM($X$2:X650)</f>
        <v/>
      </c>
      <c r="AG650" s="5">
        <f>SUM($Y$2:Y650)</f>
        <v/>
      </c>
      <c r="AH650" s="7">
        <f>10000.0+SUM($AA$2:AA650)</f>
        <v/>
      </c>
      <c r="AI650" s="2" t="n">
        <v>2026</v>
      </c>
      <c r="AJ650" s="2" t="inlineStr">
        <is>
          <t>2026-04</t>
        </is>
      </c>
      <c r="AK650" s="2" t="inlineStr">
        <is>
          <t>&lt;= -150</t>
        </is>
      </c>
      <c r="AL650" s="2" t="inlineStr">
        <is>
          <t>2026 Frozen Test</t>
        </is>
      </c>
      <c r="AM650" s="6" t="n">
        <v>0.2274659893140588</v>
      </c>
    </row>
    <row r="651">
      <c r="A651" s="2" t="inlineStr">
        <is>
          <t>KPROP-00650</t>
        </is>
      </c>
      <c r="B651" s="3" t="n">
        <v>46134.78168981482</v>
      </c>
      <c r="C651" s="3" t="n">
        <v>46134</v>
      </c>
      <c r="D651" s="2" t="inlineStr">
        <is>
          <t>Ranger Suarez</t>
        </is>
      </c>
      <c r="E651" s="2" t="n">
        <v>111</v>
      </c>
      <c r="F651" s="2" t="n">
        <v>147</v>
      </c>
      <c r="G651" s="2" t="inlineStr">
        <is>
          <t>Home</t>
        </is>
      </c>
      <c r="H651" s="2" t="inlineStr">
        <is>
          <t>betrivers</t>
        </is>
      </c>
      <c r="I651" s="4" t="n"/>
      <c r="J651" s="4" t="n"/>
      <c r="K651" s="4" t="n">
        <v>132</v>
      </c>
      <c r="L651" s="4" t="n">
        <v>132</v>
      </c>
      <c r="M651" s="5" t="n">
        <v>4.5</v>
      </c>
      <c r="N651" s="5" t="n">
        <v>4.613032692499726</v>
      </c>
      <c r="O651" s="5" t="n">
        <v>4.5</v>
      </c>
      <c r="P651" s="5" t="n">
        <v>-0.1130326924997265</v>
      </c>
      <c r="Q651" s="6" t="n">
        <v>0.1850376693827724</v>
      </c>
      <c r="R651" s="6" t="n">
        <v>0.5107920988718846</v>
      </c>
      <c r="S651" s="6" t="n">
        <v>0.4028270606712814</v>
      </c>
      <c r="T651" s="2" t="inlineStr">
        <is>
          <t>Under</t>
        </is>
      </c>
      <c r="U651" s="4" t="n">
        <v>132</v>
      </c>
      <c r="V651" s="2" t="n">
        <v>2.32</v>
      </c>
      <c r="W651" s="4" t="n">
        <v>132</v>
      </c>
      <c r="X651" s="2" t="n">
        <v>1</v>
      </c>
      <c r="Y651" s="5" t="n">
        <v>1.32</v>
      </c>
      <c r="Z651" s="7" t="n">
        <v>100</v>
      </c>
      <c r="AA651" s="7">
        <f>Y651*Z651</f>
        <v/>
      </c>
      <c r="AB651" s="6">
        <f>IF(Z651=0,0,AA651/Z651)</f>
        <v/>
      </c>
      <c r="AC651" s="6" t="n"/>
      <c r="AD651" s="2" t="inlineStr">
        <is>
          <t>Win</t>
        </is>
      </c>
      <c r="AE651" s="6">
        <f>IF((COUNTIF($AD$2:AD651,"Win")+COUNTIF($AD$2:AD651,"Loss"))=0,0,COUNTIF($AD$2:AD651,"Win")/(COUNTIF($AD$2:AD651,"Win")+COUNTIF($AD$2:AD651,"Loss")))</f>
        <v/>
      </c>
      <c r="AF651" s="6">
        <f>SUM($Y$2:Y651)/SUM($X$2:X651)</f>
        <v/>
      </c>
      <c r="AG651" s="5">
        <f>SUM($Y$2:Y651)</f>
        <v/>
      </c>
      <c r="AH651" s="7">
        <f>10000.0+SUM($AA$2:AA651)</f>
        <v/>
      </c>
      <c r="AI651" s="2" t="n">
        <v>2026</v>
      </c>
      <c r="AJ651" s="2" t="inlineStr">
        <is>
          <t>2026-04</t>
        </is>
      </c>
      <c r="AK651" s="2" t="inlineStr">
        <is>
          <t>+121 to +150</t>
        </is>
      </c>
      <c r="AL651" s="2" t="inlineStr">
        <is>
          <t>2026 Frozen Test</t>
        </is>
      </c>
      <c r="AM651" s="6" t="n">
        <v>0.1401800525627064</v>
      </c>
    </row>
    <row r="652">
      <c r="A652" s="2" t="inlineStr">
        <is>
          <t>KPROP-00651</t>
        </is>
      </c>
      <c r="B652" s="3" t="n">
        <v>46134.78168981482</v>
      </c>
      <c r="C652" s="3" t="n">
        <v>46134</v>
      </c>
      <c r="D652" s="2" t="inlineStr">
        <is>
          <t>Ranger Suarez</t>
        </is>
      </c>
      <c r="E652" s="2" t="n">
        <v>111</v>
      </c>
      <c r="F652" s="2" t="n">
        <v>147</v>
      </c>
      <c r="G652" s="2" t="inlineStr">
        <is>
          <t>Home</t>
        </is>
      </c>
      <c r="H652" s="2" t="inlineStr">
        <is>
          <t>betrivers</t>
        </is>
      </c>
      <c r="I652" s="4" t="n"/>
      <c r="J652" s="4" t="n"/>
      <c r="K652" s="4" t="n">
        <v>-159</v>
      </c>
      <c r="L652" s="4" t="n">
        <v>-159</v>
      </c>
      <c r="M652" s="5" t="n">
        <v>5.5</v>
      </c>
      <c r="N652" s="5" t="n">
        <v>4.613032692499726</v>
      </c>
      <c r="O652" s="5" t="n">
        <v>5.5</v>
      </c>
      <c r="P652" s="5" t="n">
        <v>0.8869673075002735</v>
      </c>
      <c r="Q652" s="6" t="n">
        <v>0.1133901282178493</v>
      </c>
      <c r="R652" s="6" t="n">
        <v>0.6835097698325794</v>
      </c>
      <c r="S652" s="6" t="n">
        <v>0.5854009924763887</v>
      </c>
      <c r="T652" s="2" t="inlineStr">
        <is>
          <t>Under</t>
        </is>
      </c>
      <c r="U652" s="4" t="n">
        <v>-159</v>
      </c>
      <c r="V652" s="2" t="n">
        <v>1.628930817610063</v>
      </c>
      <c r="W652" s="4" t="n">
        <v>-159</v>
      </c>
      <c r="X652" s="2" t="n">
        <v>1</v>
      </c>
      <c r="Y652" s="5" t="n">
        <v>0.6289308176100628</v>
      </c>
      <c r="Z652" s="7" t="n">
        <v>100</v>
      </c>
      <c r="AA652" s="7">
        <f>Y652*Z652</f>
        <v/>
      </c>
      <c r="AB652" s="6">
        <f>IF(Z652=0,0,AA652/Z652)</f>
        <v/>
      </c>
      <c r="AC652" s="6" t="n"/>
      <c r="AD652" s="2" t="inlineStr">
        <is>
          <t>Win</t>
        </is>
      </c>
      <c r="AE652" s="6">
        <f>IF((COUNTIF($AD$2:AD652,"Win")+COUNTIF($AD$2:AD652,"Loss"))=0,0,COUNTIF($AD$2:AD652,"Win")/(COUNTIF($AD$2:AD652,"Win")+COUNTIF($AD$2:AD652,"Loss")))</f>
        <v/>
      </c>
      <c r="AF652" s="6">
        <f>SUM($Y$2:Y652)/SUM($X$2:X652)</f>
        <v/>
      </c>
      <c r="AG652" s="5">
        <f>SUM($Y$2:Y652)</f>
        <v/>
      </c>
      <c r="AH652" s="7">
        <f>10000.0+SUM($AA$2:AA652)</f>
        <v/>
      </c>
      <c r="AI652" s="2" t="n">
        <v>2026</v>
      </c>
      <c r="AJ652" s="2" t="inlineStr">
        <is>
          <t>2026-04</t>
        </is>
      </c>
      <c r="AK652" s="2" t="inlineStr">
        <is>
          <t>&lt;= -150</t>
        </is>
      </c>
      <c r="AL652" s="2" t="inlineStr">
        <is>
          <t>2026 Frozen Test</t>
        </is>
      </c>
      <c r="AM652" s="6" t="n">
        <v>0.1802903038663805</v>
      </c>
    </row>
    <row r="653">
      <c r="A653" s="2" t="inlineStr">
        <is>
          <t>KPROP-00652</t>
        </is>
      </c>
      <c r="B653" s="3" t="n">
        <v>46135.79905092593</v>
      </c>
      <c r="C653" s="3" t="n">
        <v>46135</v>
      </c>
      <c r="D653" s="2" t="inlineStr">
        <is>
          <t>Joe Ryan</t>
        </is>
      </c>
      <c r="E653" s="2" t="n">
        <v>142</v>
      </c>
      <c r="F653" s="2" t="n">
        <v>121</v>
      </c>
      <c r="G653" s="2" t="inlineStr">
        <is>
          <t>Away</t>
        </is>
      </c>
      <c r="H653" s="2" t="inlineStr">
        <is>
          <t>betrivers</t>
        </is>
      </c>
      <c r="I653" s="4" t="n"/>
      <c r="J653" s="4" t="n"/>
      <c r="K653" s="4" t="n">
        <v>125</v>
      </c>
      <c r="L653" s="4" t="n">
        <v>125</v>
      </c>
      <c r="M653" s="5" t="n">
        <v>5.5</v>
      </c>
      <c r="N653" s="5" t="n">
        <v>5.809102809147594</v>
      </c>
      <c r="O653" s="5" t="n">
        <v>5.5</v>
      </c>
      <c r="P653" s="5" t="n">
        <v>-0.3091028091475945</v>
      </c>
      <c r="Q653" s="6" t="n">
        <v>0.07281854969169765</v>
      </c>
      <c r="R653" s="6" t="n">
        <v>0.4768082443074212</v>
      </c>
      <c r="S653" s="6" t="n">
        <v>0.4281984334203655</v>
      </c>
      <c r="T653" s="2" t="inlineStr">
        <is>
          <t>Under</t>
        </is>
      </c>
      <c r="U653" s="4" t="n">
        <v>125</v>
      </c>
      <c r="V653" s="2" t="n">
        <v>2.25</v>
      </c>
      <c r="W653" s="4" t="n">
        <v>125</v>
      </c>
      <c r="X653" s="2" t="n">
        <v>1</v>
      </c>
      <c r="Y653" s="5" t="n">
        <v>1.25</v>
      </c>
      <c r="Z653" s="7" t="n">
        <v>100</v>
      </c>
      <c r="AA653" s="7">
        <f>Y653*Z653</f>
        <v/>
      </c>
      <c r="AB653" s="6">
        <f>IF(Z653=0,0,AA653/Z653)</f>
        <v/>
      </c>
      <c r="AC653" s="6" t="n"/>
      <c r="AD653" s="2" t="inlineStr">
        <is>
          <t>Win</t>
        </is>
      </c>
      <c r="AE653" s="6">
        <f>IF((COUNTIF($AD$2:AD653,"Win")+COUNTIF($AD$2:AD653,"Loss"))=0,0,COUNTIF($AD$2:AD653,"Win")/(COUNTIF($AD$2:AD653,"Win")+COUNTIF($AD$2:AD653,"Loss")))</f>
        <v/>
      </c>
      <c r="AF653" s="6">
        <f>SUM($Y$2:Y653)/SUM($X$2:X653)</f>
        <v/>
      </c>
      <c r="AG653" s="5">
        <f>SUM($Y$2:Y653)</f>
        <v/>
      </c>
      <c r="AH653" s="7">
        <f>10000.0+SUM($AA$2:AA653)</f>
        <v/>
      </c>
      <c r="AI653" s="2" t="n">
        <v>2026</v>
      </c>
      <c r="AJ653" s="2" t="inlineStr">
        <is>
          <t>2026-04</t>
        </is>
      </c>
      <c r="AK653" s="2" t="inlineStr">
        <is>
          <t>+121 to +150</t>
        </is>
      </c>
      <c r="AL653" s="2" t="inlineStr">
        <is>
          <t>2026 Frozen Test</t>
        </is>
      </c>
      <c r="AM653" s="6" t="n">
        <v>0.05825483975335812</v>
      </c>
    </row>
    <row r="654">
      <c r="A654" s="2" t="inlineStr">
        <is>
          <t>KPROP-00653</t>
        </is>
      </c>
      <c r="B654" s="3" t="n">
        <v>46135.65668981482</v>
      </c>
      <c r="C654" s="3" t="n">
        <v>46135</v>
      </c>
      <c r="D654" s="2" t="inlineStr">
        <is>
          <t>Logan Webb</t>
        </is>
      </c>
      <c r="E654" s="2" t="n">
        <v>137</v>
      </c>
      <c r="F654" s="2" t="n">
        <v>119</v>
      </c>
      <c r="G654" s="2" t="inlineStr">
        <is>
          <t>Home</t>
        </is>
      </c>
      <c r="H654" s="2" t="inlineStr">
        <is>
          <t>betonlineag</t>
        </is>
      </c>
      <c r="I654" s="4" t="n"/>
      <c r="J654" s="4" t="n"/>
      <c r="K654" s="4" t="n">
        <v>118</v>
      </c>
      <c r="L654" s="4" t="n">
        <v>118</v>
      </c>
      <c r="M654" s="5" t="n">
        <v>5.5</v>
      </c>
      <c r="N654" s="5" t="n">
        <v>5.528982023113532</v>
      </c>
      <c r="O654" s="5" t="n">
        <v>5.5</v>
      </c>
      <c r="P654" s="5" t="n">
        <v>-0.02898202311353248</v>
      </c>
      <c r="Q654" s="6" t="n">
        <v>0.1422280054585612</v>
      </c>
      <c r="R654" s="6" t="n">
        <v>0.5239578006690648</v>
      </c>
      <c r="S654" s="6" t="n">
        <v>0.4549553242069022</v>
      </c>
      <c r="T654" s="2" t="inlineStr">
        <is>
          <t>Under</t>
        </is>
      </c>
      <c r="U654" s="4" t="n">
        <v>118</v>
      </c>
      <c r="V654" s="2" t="n">
        <v>2.18</v>
      </c>
      <c r="W654" s="4" t="n">
        <v>118</v>
      </c>
      <c r="X654" s="2" t="n">
        <v>1</v>
      </c>
      <c r="Y654" s="5" t="n">
        <v>1.18</v>
      </c>
      <c r="Z654" s="7" t="n">
        <v>100</v>
      </c>
      <c r="AA654" s="7">
        <f>Y654*Z654</f>
        <v/>
      </c>
      <c r="AB654" s="6">
        <f>IF(Z654=0,0,AA654/Z654)</f>
        <v/>
      </c>
      <c r="AC654" s="6" t="n"/>
      <c r="AD654" s="2" t="inlineStr">
        <is>
          <t>Win</t>
        </is>
      </c>
      <c r="AE654" s="6">
        <f>IF((COUNTIF($AD$2:AD654,"Win")+COUNTIF($AD$2:AD654,"Loss"))=0,0,COUNTIF($AD$2:AD654,"Win")/(COUNTIF($AD$2:AD654,"Win")+COUNTIF($AD$2:AD654,"Loss")))</f>
        <v/>
      </c>
      <c r="AF654" s="6">
        <f>SUM($Y$2:Y654)/SUM($X$2:X654)</f>
        <v/>
      </c>
      <c r="AG654" s="5">
        <f>SUM($Y$2:Y654)</f>
        <v/>
      </c>
      <c r="AH654" s="7">
        <f>10000.0+SUM($AA$2:AA654)</f>
        <v/>
      </c>
      <c r="AI654" s="2" t="n">
        <v>2026</v>
      </c>
      <c r="AJ654" s="2" t="inlineStr">
        <is>
          <t>2026-04</t>
        </is>
      </c>
      <c r="AK654" s="2" t="inlineStr">
        <is>
          <t>+100 to +120</t>
        </is>
      </c>
      <c r="AL654" s="2" t="inlineStr">
        <is>
          <t>2026 Frozen Test</t>
        </is>
      </c>
      <c r="AM654" s="6" t="n">
        <v>0.1205322080157298</v>
      </c>
    </row>
    <row r="655">
      <c r="A655" s="2" t="inlineStr">
        <is>
          <t>KPROP-00654</t>
        </is>
      </c>
      <c r="B655" s="3" t="n">
        <v>46135.65321759259</v>
      </c>
      <c r="C655" s="3" t="n">
        <v>46135</v>
      </c>
      <c r="D655" s="2" t="inlineStr">
        <is>
          <t>Michael Soroka</t>
        </is>
      </c>
      <c r="E655" s="2" t="n">
        <v>109</v>
      </c>
      <c r="F655" s="2" t="n">
        <v>145</v>
      </c>
      <c r="G655" s="2" t="inlineStr">
        <is>
          <t>Home</t>
        </is>
      </c>
      <c r="H655" s="2" t="inlineStr">
        <is>
          <t>draftkings</t>
        </is>
      </c>
      <c r="I655" s="4" t="n"/>
      <c r="J655" s="4" t="n"/>
      <c r="K655" s="4" t="n">
        <v>103</v>
      </c>
      <c r="L655" s="4" t="n">
        <v>103</v>
      </c>
      <c r="M655" s="5" t="n">
        <v>5.5</v>
      </c>
      <c r="N655" s="5" t="n">
        <v>5.364317239892636</v>
      </c>
      <c r="O655" s="5" t="n">
        <v>5.5</v>
      </c>
      <c r="P655" s="5" t="n">
        <v>0.1356827601073638</v>
      </c>
      <c r="Q655" s="6" t="n">
        <v>0.1211827593501694</v>
      </c>
      <c r="R655" s="6" t="n">
        <v>0.5523067780050095</v>
      </c>
      <c r="S655" s="6" t="n">
        <v>0.4745470232959448</v>
      </c>
      <c r="T655" s="2" t="inlineStr">
        <is>
          <t>Under</t>
        </is>
      </c>
      <c r="U655" s="4" t="n">
        <v>103</v>
      </c>
      <c r="V655" s="2" t="n">
        <v>2.03</v>
      </c>
      <c r="W655" s="4" t="n">
        <v>103</v>
      </c>
      <c r="X655" s="2" t="n">
        <v>1</v>
      </c>
      <c r="Y655" s="5" t="n">
        <v>-1</v>
      </c>
      <c r="Z655" s="7" t="n">
        <v>100</v>
      </c>
      <c r="AA655" s="7">
        <f>Y655*Z655</f>
        <v/>
      </c>
      <c r="AB655" s="6">
        <f>IF(Z655=0,0,AA655/Z655)</f>
        <v/>
      </c>
      <c r="AC655" s="6" t="n"/>
      <c r="AD655" s="2" t="inlineStr">
        <is>
          <t>Loss</t>
        </is>
      </c>
      <c r="AE655" s="6">
        <f>IF((COUNTIF($AD$2:AD655,"Win")+COUNTIF($AD$2:AD655,"Loss"))=0,0,COUNTIF($AD$2:AD655,"Win")/(COUNTIF($AD$2:AD655,"Win")+COUNTIF($AD$2:AD655,"Loss")))</f>
        <v/>
      </c>
      <c r="AF655" s="6">
        <f>SUM($Y$2:Y655)/SUM($X$2:X655)</f>
        <v/>
      </c>
      <c r="AG655" s="5">
        <f>SUM($Y$2:Y655)</f>
        <v/>
      </c>
      <c r="AH655" s="7">
        <f>10000.0+SUM($AA$2:AA655)</f>
        <v/>
      </c>
      <c r="AI655" s="2" t="n">
        <v>2026</v>
      </c>
      <c r="AJ655" s="2" t="inlineStr">
        <is>
          <t>2026-04</t>
        </is>
      </c>
      <c r="AK655" s="2" t="inlineStr">
        <is>
          <t>+100 to +120</t>
        </is>
      </c>
      <c r="AL655" s="2" t="inlineStr">
        <is>
          <t>2026 Frozen Test</t>
        </is>
      </c>
      <c r="AM655" s="6" t="n">
        <v>0.1176531644176402</v>
      </c>
    </row>
    <row r="656">
      <c r="A656" s="2" t="inlineStr">
        <is>
          <t>KPROP-00655</t>
        </is>
      </c>
      <c r="B656" s="3" t="n">
        <v>46135.54903935185</v>
      </c>
      <c r="C656" s="3" t="n">
        <v>46135</v>
      </c>
      <c r="D656" s="2" t="inlineStr">
        <is>
          <t>Tarik Skubal</t>
        </is>
      </c>
      <c r="E656" s="2" t="n">
        <v>116</v>
      </c>
      <c r="F656" s="2" t="n">
        <v>158</v>
      </c>
      <c r="G656" s="2" t="inlineStr">
        <is>
          <t>Home</t>
        </is>
      </c>
      <c r="H656" s="2" t="inlineStr">
        <is>
          <t>betrivers</t>
        </is>
      </c>
      <c r="I656" s="4" t="n"/>
      <c r="J656" s="4" t="n"/>
      <c r="K656" s="4" t="n">
        <v>148</v>
      </c>
      <c r="L656" s="4" t="n">
        <v>148</v>
      </c>
      <c r="M656" s="5" t="n">
        <v>6.5</v>
      </c>
      <c r="N656" s="5" t="n">
        <v>6.485738061076645</v>
      </c>
      <c r="O656" s="5" t="n">
        <v>6.5</v>
      </c>
      <c r="P656" s="5" t="n">
        <v>0.01426193892335537</v>
      </c>
      <c r="Q656" s="6" t="n">
        <v>0.3113517234026749</v>
      </c>
      <c r="R656" s="6" t="n">
        <v>0.528770856210756</v>
      </c>
      <c r="S656" s="6" t="n">
        <v>0.3988113856740694</v>
      </c>
      <c r="T656" s="2" t="inlineStr">
        <is>
          <t>Under</t>
        </is>
      </c>
      <c r="U656" s="4" t="n">
        <v>148</v>
      </c>
      <c r="V656" s="2" t="n">
        <v>2.48</v>
      </c>
      <c r="W656" s="4" t="n">
        <v>148</v>
      </c>
      <c r="X656" s="2" t="n">
        <v>1</v>
      </c>
      <c r="Y656" s="5" t="n">
        <v>1.48</v>
      </c>
      <c r="Z656" s="7" t="n">
        <v>100</v>
      </c>
      <c r="AA656" s="7">
        <f>Y656*Z656</f>
        <v/>
      </c>
      <c r="AB656" s="6">
        <f>IF(Z656=0,0,AA656/Z656)</f>
        <v/>
      </c>
      <c r="AC656" s="6" t="n"/>
      <c r="AD656" s="2" t="inlineStr">
        <is>
          <t>Win</t>
        </is>
      </c>
      <c r="AE656" s="6">
        <f>IF((COUNTIF($AD$2:AD656,"Win")+COUNTIF($AD$2:AD656,"Loss"))=0,0,COUNTIF($AD$2:AD656,"Win")/(COUNTIF($AD$2:AD656,"Win")+COUNTIF($AD$2:AD656,"Loss")))</f>
        <v/>
      </c>
      <c r="AF656" s="6">
        <f>SUM($Y$2:Y656)/SUM($X$2:X656)</f>
        <v/>
      </c>
      <c r="AG656" s="5">
        <f>SUM($Y$2:Y656)</f>
        <v/>
      </c>
      <c r="AH656" s="7">
        <f>10000.0+SUM($AA$2:AA656)</f>
        <v/>
      </c>
      <c r="AI656" s="2" t="n">
        <v>2026</v>
      </c>
      <c r="AJ656" s="2" t="inlineStr">
        <is>
          <t>2026-04</t>
        </is>
      </c>
      <c r="AK656" s="2" t="inlineStr">
        <is>
          <t>+121 to +150</t>
        </is>
      </c>
      <c r="AL656" s="2" t="inlineStr">
        <is>
          <t>2026 Frozen Test</t>
        </is>
      </c>
      <c r="AM656" s="6" t="n">
        <v>0.2103727860828885</v>
      </c>
    </row>
    <row r="657">
      <c r="A657" s="2" t="inlineStr">
        <is>
          <t>KPROP-00656</t>
        </is>
      </c>
      <c r="B657" s="3" t="n">
        <v>46135.54903935185</v>
      </c>
      <c r="C657" s="3" t="n">
        <v>46135</v>
      </c>
      <c r="D657" s="2" t="inlineStr">
        <is>
          <t>Tarik Skubal</t>
        </is>
      </c>
      <c r="E657" s="2" t="n">
        <v>116</v>
      </c>
      <c r="F657" s="2" t="n">
        <v>158</v>
      </c>
      <c r="G657" s="2" t="inlineStr">
        <is>
          <t>Home</t>
        </is>
      </c>
      <c r="H657" s="2" t="inlineStr">
        <is>
          <t>betrivers</t>
        </is>
      </c>
      <c r="I657" s="4" t="n"/>
      <c r="J657" s="4" t="n"/>
      <c r="K657" s="4" t="n">
        <v>-137</v>
      </c>
      <c r="L657" s="4" t="n">
        <v>-137</v>
      </c>
      <c r="M657" s="5" t="n">
        <v>7.5</v>
      </c>
      <c r="N657" s="5" t="n">
        <v>6.485738061076645</v>
      </c>
      <c r="O657" s="5" t="n">
        <v>7.5</v>
      </c>
      <c r="P657" s="5" t="n">
        <v>1.014261938923355</v>
      </c>
      <c r="Q657" s="6" t="n">
        <v>0.167427760313587</v>
      </c>
      <c r="R657" s="6" t="n">
        <v>0.6748422074386558</v>
      </c>
      <c r="S657" s="6" t="n">
        <v>0.5685889034512888</v>
      </c>
      <c r="T657" s="2" t="inlineStr">
        <is>
          <t>Under</t>
        </is>
      </c>
      <c r="U657" s="4" t="n">
        <v>-137</v>
      </c>
      <c r="V657" s="2" t="n">
        <v>1.72992700729927</v>
      </c>
      <c r="W657" s="4" t="n">
        <v>-137</v>
      </c>
      <c r="X657" s="2" t="n">
        <v>1</v>
      </c>
      <c r="Y657" s="5" t="n">
        <v>0.7299270072992701</v>
      </c>
      <c r="Z657" s="7" t="n">
        <v>100</v>
      </c>
      <c r="AA657" s="7">
        <f>Y657*Z657</f>
        <v/>
      </c>
      <c r="AB657" s="6">
        <f>IF(Z657=0,0,AA657/Z657)</f>
        <v/>
      </c>
      <c r="AC657" s="6" t="n"/>
      <c r="AD657" s="2" t="inlineStr">
        <is>
          <t>Win</t>
        </is>
      </c>
      <c r="AE657" s="6">
        <f>IF((COUNTIF($AD$2:AD657,"Win")+COUNTIF($AD$2:AD657,"Loss"))=0,0,COUNTIF($AD$2:AD657,"Win")/(COUNTIF($AD$2:AD657,"Win")+COUNTIF($AD$2:AD657,"Loss")))</f>
        <v/>
      </c>
      <c r="AF657" s="6">
        <f>SUM($Y$2:Y657)/SUM($X$2:X657)</f>
        <v/>
      </c>
      <c r="AG657" s="5">
        <f>SUM($Y$2:Y657)</f>
        <v/>
      </c>
      <c r="AH657" s="7">
        <f>10000.0+SUM($AA$2:AA657)</f>
        <v/>
      </c>
      <c r="AI657" s="2" t="n">
        <v>2026</v>
      </c>
      <c r="AJ657" s="2" t="inlineStr">
        <is>
          <t>2026-04</t>
        </is>
      </c>
      <c r="AK657" s="2" t="inlineStr">
        <is>
          <t>-149 to -120</t>
        </is>
      </c>
      <c r="AL657" s="2" t="inlineStr">
        <is>
          <t>2026 Frozen Test</t>
        </is>
      </c>
      <c r="AM657" s="6" t="n">
        <v>0.2293760316296141</v>
      </c>
    </row>
    <row r="658">
      <c r="A658" s="2" t="inlineStr">
        <is>
          <t>KPROP-00657</t>
        </is>
      </c>
      <c r="B658" s="3" t="n">
        <v>46135.65668981482</v>
      </c>
      <c r="C658" s="3" t="n">
        <v>46135</v>
      </c>
      <c r="D658" s="2" t="inlineStr">
        <is>
          <t>Tyler Glasnow</t>
        </is>
      </c>
      <c r="E658" s="2" t="n">
        <v>119</v>
      </c>
      <c r="F658" s="2" t="n">
        <v>137</v>
      </c>
      <c r="G658" s="2" t="inlineStr">
        <is>
          <t>Away</t>
        </is>
      </c>
      <c r="H658" s="2" t="inlineStr">
        <is>
          <t>betmgm</t>
        </is>
      </c>
      <c r="I658" s="4" t="n"/>
      <c r="J658" s="4" t="n"/>
      <c r="K658" s="4" t="n">
        <v>-140</v>
      </c>
      <c r="L658" s="4" t="n">
        <v>-140</v>
      </c>
      <c r="M658" s="5" t="n">
        <v>6.5</v>
      </c>
      <c r="N658" s="5" t="n">
        <v>5.634757650180573</v>
      </c>
      <c r="O658" s="5" t="n">
        <v>6.5</v>
      </c>
      <c r="P658" s="5" t="n">
        <v>0.865242349819427</v>
      </c>
      <c r="Q658" s="6" t="n">
        <v>0.1395640010426072</v>
      </c>
      <c r="R658" s="6" t="n">
        <v>0.6647456672748542</v>
      </c>
      <c r="S658" s="6" t="n">
        <v>0.5750708215297451</v>
      </c>
      <c r="T658" s="2" t="inlineStr">
        <is>
          <t>Under</t>
        </is>
      </c>
      <c r="U658" s="4" t="n">
        <v>-140</v>
      </c>
      <c r="V658" s="2" t="n">
        <v>1.714285714285714</v>
      </c>
      <c r="W658" s="4" t="n">
        <v>-140</v>
      </c>
      <c r="X658" s="2" t="n">
        <v>1</v>
      </c>
      <c r="Y658" s="5" t="n">
        <v>-1</v>
      </c>
      <c r="Z658" s="7" t="n">
        <v>100</v>
      </c>
      <c r="AA658" s="7">
        <f>Y658*Z658</f>
        <v/>
      </c>
      <c r="AB658" s="6">
        <f>IF(Z658=0,0,AA658/Z658)</f>
        <v/>
      </c>
      <c r="AC658" s="6" t="n"/>
      <c r="AD658" s="2" t="inlineStr">
        <is>
          <t>Loss</t>
        </is>
      </c>
      <c r="AE658" s="6">
        <f>IF((COUNTIF($AD$2:AD658,"Win")+COUNTIF($AD$2:AD658,"Loss"))=0,0,COUNTIF($AD$2:AD658,"Win")/(COUNTIF($AD$2:AD658,"Win")+COUNTIF($AD$2:AD658,"Loss")))</f>
        <v/>
      </c>
      <c r="AF658" s="6">
        <f>SUM($Y$2:Y658)/SUM($X$2:X658)</f>
        <v/>
      </c>
      <c r="AG658" s="5">
        <f>SUM($Y$2:Y658)</f>
        <v/>
      </c>
      <c r="AH658" s="7">
        <f>10000.0+SUM($AA$2:AA658)</f>
        <v/>
      </c>
      <c r="AI658" s="2" t="n">
        <v>2026</v>
      </c>
      <c r="AJ658" s="2" t="inlineStr">
        <is>
          <t>2026-04</t>
        </is>
      </c>
      <c r="AK658" s="2" t="inlineStr">
        <is>
          <t>-149 to -120</t>
        </is>
      </c>
      <c r="AL658" s="2" t="inlineStr">
        <is>
          <t>2026 Frozen Test</t>
        </is>
      </c>
      <c r="AM658" s="6" t="n">
        <v>0.1953896014596501</v>
      </c>
    </row>
    <row r="659">
      <c r="A659" s="2" t="inlineStr">
        <is>
          <t>KPROP-00658</t>
        </is>
      </c>
      <c r="B659" s="3" t="n">
        <v>46136.79905092593</v>
      </c>
      <c r="C659" s="3" t="n">
        <v>46136</v>
      </c>
      <c r="D659" s="2" t="inlineStr">
        <is>
          <t>Freddy Peralta</t>
        </is>
      </c>
      <c r="E659" s="2" t="n">
        <v>121</v>
      </c>
      <c r="F659" s="2" t="n">
        <v>115</v>
      </c>
      <c r="G659" s="2" t="inlineStr">
        <is>
          <t>Home</t>
        </is>
      </c>
      <c r="H659" s="2" t="inlineStr">
        <is>
          <t>betonlineag</t>
        </is>
      </c>
      <c r="I659" s="4" t="n"/>
      <c r="J659" s="4" t="n"/>
      <c r="K659" s="4" t="n">
        <v>114</v>
      </c>
      <c r="L659" s="4" t="n">
        <v>114</v>
      </c>
      <c r="M659" s="5" t="n">
        <v>6.5</v>
      </c>
      <c r="N659" s="5" t="n">
        <v>6.034345384898523</v>
      </c>
      <c r="O659" s="5" t="n">
        <v>6.5</v>
      </c>
      <c r="P659" s="5" t="n">
        <v>0.4656546151014771</v>
      </c>
      <c r="Q659" s="6" t="n">
        <v>0.2856826799719443</v>
      </c>
      <c r="R659" s="6" t="n">
        <v>0.6007862990523105</v>
      </c>
      <c r="S659" s="6" t="n">
        <v>0.4447739065974796</v>
      </c>
      <c r="T659" s="2" t="inlineStr">
        <is>
          <t>Under</t>
        </is>
      </c>
      <c r="U659" s="4" t="n">
        <v>114</v>
      </c>
      <c r="V659" s="2" t="n">
        <v>2.14</v>
      </c>
      <c r="W659" s="4" t="n">
        <v>114</v>
      </c>
      <c r="X659" s="2" t="n">
        <v>1</v>
      </c>
      <c r="Y659" s="5" t="n">
        <v>-1</v>
      </c>
      <c r="Z659" s="7" t="n">
        <v>100</v>
      </c>
      <c r="AA659" s="7">
        <f>Y659*Z659</f>
        <v/>
      </c>
      <c r="AB659" s="6">
        <f>IF(Z659=0,0,AA659/Z659)</f>
        <v/>
      </c>
      <c r="AC659" s="6" t="n"/>
      <c r="AD659" s="2" t="inlineStr">
        <is>
          <t>Loss</t>
        </is>
      </c>
      <c r="AE659" s="6">
        <f>IF((COUNTIF($AD$2:AD659,"Win")+COUNTIF($AD$2:AD659,"Loss"))=0,0,COUNTIF($AD$2:AD659,"Win")/(COUNTIF($AD$2:AD659,"Win")+COUNTIF($AD$2:AD659,"Loss")))</f>
        <v/>
      </c>
      <c r="AF659" s="6">
        <f>SUM($Y$2:Y659)/SUM($X$2:X659)</f>
        <v/>
      </c>
      <c r="AG659" s="5">
        <f>SUM($Y$2:Y659)</f>
        <v/>
      </c>
      <c r="AH659" s="7">
        <f>10000.0+SUM($AA$2:AA659)</f>
        <v/>
      </c>
      <c r="AI659" s="2" t="n">
        <v>2026</v>
      </c>
      <c r="AJ659" s="2" t="inlineStr">
        <is>
          <t>2026-04</t>
        </is>
      </c>
      <c r="AK659" s="2" t="inlineStr">
        <is>
          <t>+100 to +120</t>
        </is>
      </c>
      <c r="AL659" s="2" t="inlineStr">
        <is>
          <t>2026 Frozen Test</t>
        </is>
      </c>
      <c r="AM659" s="6" t="n">
        <v>0.250598842080653</v>
      </c>
    </row>
    <row r="660">
      <c r="A660" s="2" t="inlineStr">
        <is>
          <t>KPROP-00659</t>
        </is>
      </c>
      <c r="B660" s="3" t="n">
        <v>46136.79905092593</v>
      </c>
      <c r="C660" s="3" t="n">
        <v>46136</v>
      </c>
      <c r="D660" s="2" t="inlineStr">
        <is>
          <t>Freddy Peralta</t>
        </is>
      </c>
      <c r="E660" s="2" t="n">
        <v>121</v>
      </c>
      <c r="F660" s="2" t="n">
        <v>115</v>
      </c>
      <c r="G660" s="2" t="inlineStr">
        <is>
          <t>Home</t>
        </is>
      </c>
      <c r="H660" s="2" t="inlineStr">
        <is>
          <t>draftkings</t>
        </is>
      </c>
      <c r="I660" s="4" t="n"/>
      <c r="J660" s="4" t="n"/>
      <c r="K660" s="4" t="n">
        <v>-153</v>
      </c>
      <c r="L660" s="4" t="n">
        <v>-153</v>
      </c>
      <c r="M660" s="5" t="n">
        <v>7.5</v>
      </c>
      <c r="N660" s="5" t="n">
        <v>6.034345384898523</v>
      </c>
      <c r="O660" s="5" t="n">
        <v>7.5</v>
      </c>
      <c r="P660" s="5" t="n">
        <v>1.465654615101477</v>
      </c>
      <c r="Q660" s="6" t="n">
        <v>0.2223997824437863</v>
      </c>
      <c r="R660" s="6" t="n">
        <v>0.7392378130984163</v>
      </c>
      <c r="S660" s="6" t="n">
        <v>0.586972492041466</v>
      </c>
      <c r="T660" s="2" t="inlineStr">
        <is>
          <t>Under</t>
        </is>
      </c>
      <c r="U660" s="4" t="n">
        <v>-153</v>
      </c>
      <c r="V660" s="2" t="n">
        <v>1.65359477124183</v>
      </c>
      <c r="W660" s="4" t="n">
        <v>-153</v>
      </c>
      <c r="X660" s="2" t="n">
        <v>1</v>
      </c>
      <c r="Y660" s="5" t="n">
        <v>-1</v>
      </c>
      <c r="Z660" s="7" t="n">
        <v>100</v>
      </c>
      <c r="AA660" s="7">
        <f>Y660*Z660</f>
        <v/>
      </c>
      <c r="AB660" s="6">
        <f>IF(Z660=0,0,AA660/Z660)</f>
        <v/>
      </c>
      <c r="AC660" s="6" t="n"/>
      <c r="AD660" s="2" t="inlineStr">
        <is>
          <t>Loss</t>
        </is>
      </c>
      <c r="AE660" s="6">
        <f>IF((COUNTIF($AD$2:AD660,"Win")+COUNTIF($AD$2:AD660,"Loss"))=0,0,COUNTIF($AD$2:AD660,"Win")/(COUNTIF($AD$2:AD660,"Win")+COUNTIF($AD$2:AD660,"Loss")))</f>
        <v/>
      </c>
      <c r="AF660" s="6">
        <f>SUM($Y$2:Y660)/SUM($X$2:X660)</f>
        <v/>
      </c>
      <c r="AG660" s="5">
        <f>SUM($Y$2:Y660)</f>
        <v/>
      </c>
      <c r="AH660" s="7">
        <f>10000.0+SUM($AA$2:AA660)</f>
        <v/>
      </c>
      <c r="AI660" s="2" t="n">
        <v>2026</v>
      </c>
      <c r="AJ660" s="2" t="inlineStr">
        <is>
          <t>2026-04</t>
        </is>
      </c>
      <c r="AK660" s="2" t="inlineStr">
        <is>
          <t>&lt;= -150</t>
        </is>
      </c>
      <c r="AL660" s="2" t="inlineStr">
        <is>
          <t>2026 Frozen Test</t>
        </is>
      </c>
      <c r="AM660" s="6" t="n">
        <v>0.3402716671389932</v>
      </c>
    </row>
    <row r="661">
      <c r="A661" s="2" t="inlineStr">
        <is>
          <t>KPROP-00660</t>
        </is>
      </c>
      <c r="B661" s="3" t="n">
        <v>46136.79905092593</v>
      </c>
      <c r="C661" s="3" t="n">
        <v>46136</v>
      </c>
      <c r="D661" s="2" t="inlineStr">
        <is>
          <t>Taj Bradley</t>
        </is>
      </c>
      <c r="E661" s="2" t="n">
        <v>142</v>
      </c>
      <c r="F661" s="2" t="n">
        <v>139</v>
      </c>
      <c r="G661" s="2" t="inlineStr">
        <is>
          <t>Away</t>
        </is>
      </c>
      <c r="H661" s="2" t="inlineStr">
        <is>
          <t>betrivers</t>
        </is>
      </c>
      <c r="I661" s="4" t="n"/>
      <c r="J661" s="4" t="n"/>
      <c r="K661" s="4" t="n">
        <v>135</v>
      </c>
      <c r="L661" s="4" t="n">
        <v>135</v>
      </c>
      <c r="M661" s="5" t="n">
        <v>4.5</v>
      </c>
      <c r="N661" s="5" t="n">
        <v>4.822219750486386</v>
      </c>
      <c r="O661" s="5" t="n">
        <v>4.5</v>
      </c>
      <c r="P661" s="5" t="n">
        <v>-0.3222197504863864</v>
      </c>
      <c r="Q661" s="6" t="n">
        <v>0.1097208910504179</v>
      </c>
      <c r="R661" s="6" t="n">
        <v>0.4722216557661353</v>
      </c>
      <c r="S661" s="6" t="n">
        <v>0.4217926186291739</v>
      </c>
      <c r="T661" s="2" t="inlineStr">
        <is>
          <t>Under</t>
        </is>
      </c>
      <c r="U661" s="4" t="n">
        <v>135</v>
      </c>
      <c r="V661" s="2" t="n">
        <v>2.35</v>
      </c>
      <c r="W661" s="4" t="n">
        <v>135</v>
      </c>
      <c r="X661" s="2" t="n">
        <v>1</v>
      </c>
      <c r="Y661" s="5" t="n">
        <v>1.35</v>
      </c>
      <c r="Z661" s="7" t="n">
        <v>100</v>
      </c>
      <c r="AA661" s="7">
        <f>Y661*Z661</f>
        <v/>
      </c>
      <c r="AB661" s="6">
        <f>IF(Z661=0,0,AA661/Z661)</f>
        <v/>
      </c>
      <c r="AC661" s="6" t="n"/>
      <c r="AD661" s="2" t="inlineStr">
        <is>
          <t>Win</t>
        </is>
      </c>
      <c r="AE661" s="6">
        <f>IF((COUNTIF($AD$2:AD661,"Win")+COUNTIF($AD$2:AD661,"Loss"))=0,0,COUNTIF($AD$2:AD661,"Win")/(COUNTIF($AD$2:AD661,"Win")+COUNTIF($AD$2:AD661,"Loss")))</f>
        <v/>
      </c>
      <c r="AF661" s="6">
        <f>SUM($Y$2:Y661)/SUM($X$2:X661)</f>
        <v/>
      </c>
      <c r="AG661" s="5">
        <f>SUM($Y$2:Y661)</f>
        <v/>
      </c>
      <c r="AH661" s="7">
        <f>10000.0+SUM($AA$2:AA661)</f>
        <v/>
      </c>
      <c r="AI661" s="2" t="n">
        <v>2026</v>
      </c>
      <c r="AJ661" s="2" t="inlineStr">
        <is>
          <t>2026-04</t>
        </is>
      </c>
      <c r="AK661" s="2" t="inlineStr">
        <is>
          <t>+121 to +150</t>
        </is>
      </c>
      <c r="AL661" s="2" t="inlineStr">
        <is>
          <t>2026 Frozen Test</t>
        </is>
      </c>
      <c r="AM661" s="6" t="n">
        <v>0.08127473411142069</v>
      </c>
    </row>
    <row r="662">
      <c r="A662" s="2" t="inlineStr">
        <is>
          <t>KPROP-00661</t>
        </is>
      </c>
      <c r="B662" s="3" t="n">
        <v>46136.81988425926</v>
      </c>
      <c r="C662" s="3" t="n">
        <v>46136</v>
      </c>
      <c r="D662" s="2" t="inlineStr">
        <is>
          <t>Yusei Kikuchi</t>
        </is>
      </c>
      <c r="E662" s="2" t="n">
        <v>108</v>
      </c>
      <c r="F662" s="2" t="n">
        <v>118</v>
      </c>
      <c r="G662" s="2" t="inlineStr">
        <is>
          <t>Away</t>
        </is>
      </c>
      <c r="H662" s="2" t="inlineStr">
        <is>
          <t>draftkings</t>
        </is>
      </c>
      <c r="I662" s="4" t="n"/>
      <c r="J662" s="4" t="n"/>
      <c r="K662" s="4" t="n">
        <v>125</v>
      </c>
      <c r="L662" s="4" t="n">
        <v>125</v>
      </c>
      <c r="M662" s="5" t="n">
        <v>4.5</v>
      </c>
      <c r="N662" s="5" t="n">
        <v>4.59115103380268</v>
      </c>
      <c r="O662" s="5" t="n">
        <v>4.5</v>
      </c>
      <c r="P662" s="5" t="n">
        <v>-0.09115103380267975</v>
      </c>
      <c r="Q662" s="6" t="n">
        <v>0.1585123576196994</v>
      </c>
      <c r="R662" s="6" t="n">
        <v>0.5148943811643109</v>
      </c>
      <c r="S662" s="6" t="n">
        <v>0.4242424242424243</v>
      </c>
      <c r="T662" s="2" t="inlineStr">
        <is>
          <t>Under</t>
        </is>
      </c>
      <c r="U662" s="4" t="n">
        <v>125</v>
      </c>
      <c r="V662" s="2" t="n">
        <v>2.25</v>
      </c>
      <c r="W662" s="4" t="n">
        <v>125</v>
      </c>
      <c r="X662" s="2" t="n">
        <v>1</v>
      </c>
      <c r="Y662" s="5" t="n">
        <v>-1</v>
      </c>
      <c r="Z662" s="7" t="n">
        <v>100</v>
      </c>
      <c r="AA662" s="7">
        <f>Y662*Z662</f>
        <v/>
      </c>
      <c r="AB662" s="6">
        <f>IF(Z662=0,0,AA662/Z662)</f>
        <v/>
      </c>
      <c r="AC662" s="6" t="n"/>
      <c r="AD662" s="2" t="inlineStr">
        <is>
          <t>Loss</t>
        </is>
      </c>
      <c r="AE662" s="6">
        <f>IF((COUNTIF($AD$2:AD662,"Win")+COUNTIF($AD$2:AD662,"Loss"))=0,0,COUNTIF($AD$2:AD662,"Win")/(COUNTIF($AD$2:AD662,"Win")+COUNTIF($AD$2:AD662,"Loss")))</f>
        <v/>
      </c>
      <c r="AF662" s="6">
        <f>SUM($Y$2:Y662)/SUM($X$2:X662)</f>
        <v/>
      </c>
      <c r="AG662" s="5">
        <f>SUM($Y$2:Y662)</f>
        <v/>
      </c>
      <c r="AH662" s="7">
        <f>10000.0+SUM($AA$2:AA662)</f>
        <v/>
      </c>
      <c r="AI662" s="2" t="n">
        <v>2026</v>
      </c>
      <c r="AJ662" s="2" t="inlineStr">
        <is>
          <t>2026-04</t>
        </is>
      </c>
      <c r="AK662" s="2" t="inlineStr">
        <is>
          <t>+121 to +150</t>
        </is>
      </c>
      <c r="AL662" s="2" t="inlineStr">
        <is>
          <t>2026 Frozen Test</t>
        </is>
      </c>
      <c r="AM662" s="6" t="n">
        <v>0.1268098860957595</v>
      </c>
    </row>
    <row r="663">
      <c r="A663" s="2" t="inlineStr">
        <is>
          <t>KPROP-00662</t>
        </is>
      </c>
      <c r="B663" s="3" t="n">
        <v>46136.81988425926</v>
      </c>
      <c r="C663" s="3" t="n">
        <v>46136</v>
      </c>
      <c r="D663" s="2" t="inlineStr">
        <is>
          <t>Yusei Kikuchi</t>
        </is>
      </c>
      <c r="E663" s="2" t="n">
        <v>108</v>
      </c>
      <c r="F663" s="2" t="n">
        <v>118</v>
      </c>
      <c r="G663" s="2" t="inlineStr">
        <is>
          <t>Away</t>
        </is>
      </c>
      <c r="H663" s="2" t="inlineStr">
        <is>
          <t>betmgm</t>
        </is>
      </c>
      <c r="I663" s="4" t="n"/>
      <c r="J663" s="4" t="n"/>
      <c r="K663" s="4" t="n">
        <v>-160</v>
      </c>
      <c r="L663" s="4" t="n">
        <v>-160</v>
      </c>
      <c r="M663" s="5" t="n">
        <v>5.5</v>
      </c>
      <c r="N663" s="5" t="n">
        <v>4.59115103380268</v>
      </c>
      <c r="O663" s="5" t="n">
        <v>5.5</v>
      </c>
      <c r="P663" s="5" t="n">
        <v>0.9088489661973203</v>
      </c>
      <c r="Q663" s="6" t="n">
        <v>0.1168390700046896</v>
      </c>
      <c r="R663" s="6" t="n">
        <v>0.6872855815413474</v>
      </c>
      <c r="S663" s="6" t="n">
        <v>0.5891276864728192</v>
      </c>
      <c r="T663" s="2" t="inlineStr">
        <is>
          <t>Under</t>
        </is>
      </c>
      <c r="U663" s="4" t="n">
        <v>-160</v>
      </c>
      <c r="V663" s="2" t="n">
        <v>1.625</v>
      </c>
      <c r="W663" s="4" t="n">
        <v>-160</v>
      </c>
      <c r="X663" s="2" t="n">
        <v>1</v>
      </c>
      <c r="Y663" s="5" t="n">
        <v>0.625</v>
      </c>
      <c r="Z663" s="7" t="n">
        <v>100</v>
      </c>
      <c r="AA663" s="7">
        <f>Y663*Z663</f>
        <v/>
      </c>
      <c r="AB663" s="6">
        <f>IF(Z663=0,0,AA663/Z663)</f>
        <v/>
      </c>
      <c r="AC663" s="6" t="n"/>
      <c r="AD663" s="2" t="inlineStr">
        <is>
          <t>Win</t>
        </is>
      </c>
      <c r="AE663" s="6">
        <f>IF((COUNTIF($AD$2:AD663,"Win")+COUNTIF($AD$2:AD663,"Loss"))=0,0,COUNTIF($AD$2:AD663,"Win")/(COUNTIF($AD$2:AD663,"Win")+COUNTIF($AD$2:AD663,"Loss")))</f>
        <v/>
      </c>
      <c r="AF663" s="6">
        <f>SUM($Y$2:Y663)/SUM($X$2:X663)</f>
        <v/>
      </c>
      <c r="AG663" s="5">
        <f>SUM($Y$2:Y663)</f>
        <v/>
      </c>
      <c r="AH663" s="7">
        <f>10000.0+SUM($AA$2:AA663)</f>
        <v/>
      </c>
      <c r="AI663" s="2" t="n">
        <v>2026</v>
      </c>
      <c r="AJ663" s="2" t="inlineStr">
        <is>
          <t>2026-04</t>
        </is>
      </c>
      <c r="AK663" s="2" t="inlineStr">
        <is>
          <t>&lt;= -150</t>
        </is>
      </c>
      <c r="AL663" s="2" t="inlineStr">
        <is>
          <t>2026 Frozen Test</t>
        </is>
      </c>
      <c r="AM663" s="6" t="n">
        <v>0.1869425120075034</v>
      </c>
    </row>
    <row r="664">
      <c r="A664" s="2" t="inlineStr">
        <is>
          <t>KPROP-00663</t>
        </is>
      </c>
      <c r="B664" s="3" t="n">
        <v>46137.67403935185</v>
      </c>
      <c r="C664" s="3" t="n">
        <v>46137</v>
      </c>
      <c r="D664" s="2" t="inlineStr">
        <is>
          <t>Bailey Ober</t>
        </is>
      </c>
      <c r="E664" s="2" t="n">
        <v>142</v>
      </c>
      <c r="F664" s="2" t="n">
        <v>139</v>
      </c>
      <c r="G664" s="2" t="inlineStr">
        <is>
          <t>Away</t>
        </is>
      </c>
      <c r="H664" s="2" t="inlineStr">
        <is>
          <t>betrivers</t>
        </is>
      </c>
      <c r="I664" s="4" t="n"/>
      <c r="J664" s="4" t="n"/>
      <c r="K664" s="4" t="n">
        <v>143</v>
      </c>
      <c r="L664" s="4" t="n">
        <v>143</v>
      </c>
      <c r="M664" s="5" t="n">
        <v>3.5</v>
      </c>
      <c r="N664" s="5" t="n">
        <v>3.699502728402563</v>
      </c>
      <c r="O664" s="5" t="n">
        <v>3.5</v>
      </c>
      <c r="P664" s="5" t="n">
        <v>-0.199502728402563</v>
      </c>
      <c r="Q664" s="6" t="n">
        <v>0.2010446062883748</v>
      </c>
      <c r="R664" s="6" t="n">
        <v>0.4942570396248457</v>
      </c>
      <c r="S664" s="6" t="n">
        <v>0.4136504653567735</v>
      </c>
      <c r="T664" s="2" t="inlineStr">
        <is>
          <t>Under</t>
        </is>
      </c>
      <c r="U664" s="4" t="n">
        <v>143</v>
      </c>
      <c r="V664" s="2" t="n">
        <v>2.43</v>
      </c>
      <c r="W664" s="4" t="n">
        <v>143</v>
      </c>
      <c r="X664" s="2" t="n">
        <v>1</v>
      </c>
      <c r="Y664" s="5" t="n">
        <v>1.43</v>
      </c>
      <c r="Z664" s="7" t="n">
        <v>100</v>
      </c>
      <c r="AA664" s="7">
        <f>Y664*Z664</f>
        <v/>
      </c>
      <c r="AB664" s="6">
        <f>IF(Z664=0,0,AA664/Z664)</f>
        <v/>
      </c>
      <c r="AC664" s="6" t="n"/>
      <c r="AD664" s="2" t="inlineStr">
        <is>
          <t>Win</t>
        </is>
      </c>
      <c r="AE664" s="6">
        <f>IF((COUNTIF($AD$2:AD664,"Win")+COUNTIF($AD$2:AD664,"Loss"))=0,0,COUNTIF($AD$2:AD664,"Win")/(COUNTIF($AD$2:AD664,"Win")+COUNTIF($AD$2:AD664,"Loss")))</f>
        <v/>
      </c>
      <c r="AF664" s="6">
        <f>SUM($Y$2:Y664)/SUM($X$2:X664)</f>
        <v/>
      </c>
      <c r="AG664" s="5">
        <f>SUM($Y$2:Y664)</f>
        <v/>
      </c>
      <c r="AH664" s="7">
        <f>10000.0+SUM($AA$2:AA664)</f>
        <v/>
      </c>
      <c r="AI664" s="2" t="n">
        <v>2026</v>
      </c>
      <c r="AJ664" s="2" t="inlineStr">
        <is>
          <t>2026-04</t>
        </is>
      </c>
      <c r="AK664" s="2" t="inlineStr">
        <is>
          <t>+121 to +150</t>
        </is>
      </c>
      <c r="AL664" s="2" t="inlineStr">
        <is>
          <t>2026 Frozen Test</t>
        </is>
      </c>
      <c r="AM664" s="6" t="n">
        <v>0.1405906337680943</v>
      </c>
    </row>
    <row r="665">
      <c r="A665" s="2" t="inlineStr">
        <is>
          <t>KPROP-00664</t>
        </is>
      </c>
      <c r="B665" s="3" t="n">
        <v>46137.67403935185</v>
      </c>
      <c r="C665" s="3" t="n">
        <v>46137</v>
      </c>
      <c r="D665" s="2" t="inlineStr">
        <is>
          <t>Bailey Ober</t>
        </is>
      </c>
      <c r="E665" s="2" t="n">
        <v>142</v>
      </c>
      <c r="F665" s="2" t="n">
        <v>139</v>
      </c>
      <c r="G665" s="2" t="inlineStr">
        <is>
          <t>Away</t>
        </is>
      </c>
      <c r="H665" s="2" t="inlineStr">
        <is>
          <t>betrivers</t>
        </is>
      </c>
      <c r="I665" s="4" t="n"/>
      <c r="J665" s="4" t="n"/>
      <c r="K665" s="4" t="n">
        <v>-165</v>
      </c>
      <c r="L665" s="4" t="n">
        <v>-165</v>
      </c>
      <c r="M665" s="5" t="n">
        <v>4.5</v>
      </c>
      <c r="N665" s="5" t="n">
        <v>3.699502728402563</v>
      </c>
      <c r="O665" s="5" t="n">
        <v>4.5</v>
      </c>
      <c r="P665" s="5" t="n">
        <v>0.800497271597437</v>
      </c>
      <c r="Q665" s="6" t="n">
        <v>0.1038701392696273</v>
      </c>
      <c r="R665" s="6" t="n">
        <v>0.6873153697339189</v>
      </c>
      <c r="S665" s="6" t="n">
        <v>0.5888285492629945</v>
      </c>
      <c r="T665" s="2" t="inlineStr">
        <is>
          <t>Under</t>
        </is>
      </c>
      <c r="U665" s="4" t="n">
        <v>-165</v>
      </c>
      <c r="V665" s="2" t="n">
        <v>1.606060606060606</v>
      </c>
      <c r="W665" s="4" t="n">
        <v>-165</v>
      </c>
      <c r="X665" s="2" t="n">
        <v>1</v>
      </c>
      <c r="Y665" s="5" t="n">
        <v>0.606060606060606</v>
      </c>
      <c r="Z665" s="7" t="n">
        <v>100</v>
      </c>
      <c r="AA665" s="7">
        <f>Y665*Z665</f>
        <v/>
      </c>
      <c r="AB665" s="6">
        <f>IF(Z665=0,0,AA665/Z665)</f>
        <v/>
      </c>
      <c r="AC665" s="6" t="n"/>
      <c r="AD665" s="2" t="inlineStr">
        <is>
          <t>Win</t>
        </is>
      </c>
      <c r="AE665" s="6">
        <f>IF((COUNTIF($AD$2:AD665,"Win")+COUNTIF($AD$2:AD665,"Loss"))=0,0,COUNTIF($AD$2:AD665,"Win")/(COUNTIF($AD$2:AD665,"Win")+COUNTIF($AD$2:AD665,"Loss")))</f>
        <v/>
      </c>
      <c r="AF665" s="6">
        <f>SUM($Y$2:Y665)/SUM($X$2:X665)</f>
        <v/>
      </c>
      <c r="AG665" s="5">
        <f>SUM($Y$2:Y665)</f>
        <v/>
      </c>
      <c r="AH665" s="7">
        <f>10000.0+SUM($AA$2:AA665)</f>
        <v/>
      </c>
      <c r="AI665" s="2" t="n">
        <v>2026</v>
      </c>
      <c r="AJ665" s="2" t="inlineStr">
        <is>
          <t>2026-04</t>
        </is>
      </c>
      <c r="AK665" s="2" t="inlineStr">
        <is>
          <t>&lt;= -150</t>
        </is>
      </c>
      <c r="AL665" s="2" t="inlineStr">
        <is>
          <t>2026 Frozen Test</t>
        </is>
      </c>
      <c r="AM665" s="6" t="n">
        <v>0.1713857297948851</v>
      </c>
    </row>
    <row r="666">
      <c r="A666" s="2" t="inlineStr">
        <is>
          <t>KPROP-00665</t>
        </is>
      </c>
      <c r="B666" s="3" t="n">
        <v>46137.80252314815</v>
      </c>
      <c r="C666" s="3" t="n">
        <v>46137</v>
      </c>
      <c r="D666" s="2" t="inlineStr">
        <is>
          <t>Brady Singer</t>
        </is>
      </c>
      <c r="E666" s="2" t="n">
        <v>113</v>
      </c>
      <c r="F666" s="2" t="n">
        <v>116</v>
      </c>
      <c r="G666" s="2" t="inlineStr">
        <is>
          <t>Home</t>
        </is>
      </c>
      <c r="H666" s="2" t="inlineStr">
        <is>
          <t>draftkings</t>
        </is>
      </c>
      <c r="I666" s="4" t="n"/>
      <c r="J666" s="4" t="n"/>
      <c r="K666" s="4" t="n">
        <v>115</v>
      </c>
      <c r="L666" s="4" t="n">
        <v>115</v>
      </c>
      <c r="M666" s="5" t="n">
        <v>4.5</v>
      </c>
      <c r="N666" s="5" t="n">
        <v>4.31554085652604</v>
      </c>
      <c r="O666" s="5" t="n">
        <v>4.5</v>
      </c>
      <c r="P666" s="5" t="n">
        <v>0.1844591434739602</v>
      </c>
      <c r="Q666" s="6" t="n">
        <v>0.2199873131813158</v>
      </c>
      <c r="R666" s="6" t="n">
        <v>0.5674359596192167</v>
      </c>
      <c r="S666" s="6" t="n">
        <v>0.4428925847652301</v>
      </c>
      <c r="T666" s="2" t="inlineStr">
        <is>
          <t>Under</t>
        </is>
      </c>
      <c r="U666" s="4" t="n">
        <v>115</v>
      </c>
      <c r="V666" s="2" t="n">
        <v>2.15</v>
      </c>
      <c r="W666" s="4" t="n">
        <v>115</v>
      </c>
      <c r="X666" s="2" t="n">
        <v>1</v>
      </c>
      <c r="Y666" s="5" t="n">
        <v>1.15</v>
      </c>
      <c r="Z666" s="7" t="n">
        <v>100</v>
      </c>
      <c r="AA666" s="7">
        <f>Y666*Z666</f>
        <v/>
      </c>
      <c r="AB666" s="6">
        <f>IF(Z666=0,0,AA666/Z666)</f>
        <v/>
      </c>
      <c r="AC666" s="6" t="n"/>
      <c r="AD666" s="2" t="inlineStr">
        <is>
          <t>Win</t>
        </is>
      </c>
      <c r="AE666" s="6">
        <f>IF((COUNTIF($AD$2:AD666,"Win")+COUNTIF($AD$2:AD666,"Loss"))=0,0,COUNTIF($AD$2:AD666,"Win")/(COUNTIF($AD$2:AD666,"Win")+COUNTIF($AD$2:AD666,"Loss")))</f>
        <v/>
      </c>
      <c r="AF666" s="6">
        <f>SUM($Y$2:Y666)/SUM($X$2:X666)</f>
        <v/>
      </c>
      <c r="AG666" s="5">
        <f>SUM($Y$2:Y666)</f>
        <v/>
      </c>
      <c r="AH666" s="7">
        <f>10000.0+SUM($AA$2:AA666)</f>
        <v/>
      </c>
      <c r="AI666" s="2" t="n">
        <v>2026</v>
      </c>
      <c r="AJ666" s="2" t="inlineStr">
        <is>
          <t>2026-04</t>
        </is>
      </c>
      <c r="AK666" s="2" t="inlineStr">
        <is>
          <t>+100 to +120</t>
        </is>
      </c>
      <c r="AL666" s="2" t="inlineStr">
        <is>
          <t>2026 Frozen Test</t>
        </is>
      </c>
      <c r="AM666" s="6" t="n">
        <v>0.1912933158098399</v>
      </c>
    </row>
    <row r="667">
      <c r="A667" s="2" t="inlineStr">
        <is>
          <t>KPROP-00666</t>
        </is>
      </c>
      <c r="B667" s="3" t="n">
        <v>46137.50391203703</v>
      </c>
      <c r="C667" s="3" t="n">
        <v>46137</v>
      </c>
      <c r="D667" s="2" t="inlineStr">
        <is>
          <t>Garrett Crochet</t>
        </is>
      </c>
      <c r="E667" s="2" t="n">
        <v>111</v>
      </c>
      <c r="F667" s="2" t="n">
        <v>110</v>
      </c>
      <c r="G667" s="2" t="inlineStr">
        <is>
          <t>Away</t>
        </is>
      </c>
      <c r="H667" s="2" t="inlineStr">
        <is>
          <t>draftkings</t>
        </is>
      </c>
      <c r="I667" s="4" t="n"/>
      <c r="J667" s="4" t="n"/>
      <c r="K667" s="4" t="n">
        <v>-107</v>
      </c>
      <c r="L667" s="4" t="n">
        <v>-107</v>
      </c>
      <c r="M667" s="5" t="n">
        <v>7.5</v>
      </c>
      <c r="N667" s="5" t="n">
        <v>6.501203652666904</v>
      </c>
      <c r="O667" s="5" t="n">
        <v>7.5</v>
      </c>
      <c r="P667" s="5" t="n">
        <v>0.9987963473330961</v>
      </c>
      <c r="Q667" s="6" t="n">
        <v>0.3011628380279967</v>
      </c>
      <c r="R667" s="6" t="n">
        <v>0.6725817568550514</v>
      </c>
      <c r="S667" s="6" t="n">
        <v>0.4914548173467208</v>
      </c>
      <c r="T667" s="2" t="inlineStr">
        <is>
          <t>Under</t>
        </is>
      </c>
      <c r="U667" s="4" t="n">
        <v>-107</v>
      </c>
      <c r="V667" s="2" t="n">
        <v>1.934579439252337</v>
      </c>
      <c r="W667" s="4" t="n">
        <v>-107</v>
      </c>
      <c r="X667" s="2" t="n">
        <v>1</v>
      </c>
      <c r="Y667" s="5" t="n">
        <v>0.9345794392523366</v>
      </c>
      <c r="Z667" s="7" t="n">
        <v>100</v>
      </c>
      <c r="AA667" s="7">
        <f>Y667*Z667</f>
        <v/>
      </c>
      <c r="AB667" s="6">
        <f>IF(Z667=0,0,AA667/Z667)</f>
        <v/>
      </c>
      <c r="AC667" s="6" t="n"/>
      <c r="AD667" s="2" t="inlineStr">
        <is>
          <t>Win</t>
        </is>
      </c>
      <c r="AE667" s="6">
        <f>IF((COUNTIF($AD$2:AD667,"Win")+COUNTIF($AD$2:AD667,"Loss"))=0,0,COUNTIF($AD$2:AD667,"Win")/(COUNTIF($AD$2:AD667,"Win")+COUNTIF($AD$2:AD667,"Loss")))</f>
        <v/>
      </c>
      <c r="AF667" s="6">
        <f>SUM($Y$2:Y667)/SUM($X$2:X667)</f>
        <v/>
      </c>
      <c r="AG667" s="5">
        <f>SUM($Y$2:Y667)</f>
        <v/>
      </c>
      <c r="AH667" s="7">
        <f>10000.0+SUM($AA$2:AA667)</f>
        <v/>
      </c>
      <c r="AI667" s="2" t="n">
        <v>2026</v>
      </c>
      <c r="AJ667" s="2" t="inlineStr">
        <is>
          <t>2026-04</t>
        </is>
      </c>
      <c r="AK667" s="2" t="inlineStr">
        <is>
          <t>-119 to -101</t>
        </is>
      </c>
      <c r="AL667" s="2" t="inlineStr">
        <is>
          <t>2026 Frozen Test</t>
        </is>
      </c>
      <c r="AM667" s="6" t="n">
        <v>0.3222442366899564</v>
      </c>
    </row>
    <row r="668">
      <c r="A668" s="2" t="inlineStr">
        <is>
          <t>KPROP-00667</t>
        </is>
      </c>
      <c r="B668" s="3" t="n">
        <v>46137.80252314815</v>
      </c>
      <c r="C668" s="3" t="n">
        <v>46137</v>
      </c>
      <c r="D668" s="2" t="inlineStr">
        <is>
          <t>Jack Flaherty</t>
        </is>
      </c>
      <c r="E668" s="2" t="n">
        <v>116</v>
      </c>
      <c r="F668" s="2" t="n">
        <v>113</v>
      </c>
      <c r="G668" s="2" t="inlineStr">
        <is>
          <t>Away</t>
        </is>
      </c>
      <c r="H668" s="2" t="inlineStr">
        <is>
          <t>betrivers</t>
        </is>
      </c>
      <c r="I668" s="4" t="n"/>
      <c r="J668" s="4" t="n"/>
      <c r="K668" s="4" t="n">
        <v>107</v>
      </c>
      <c r="L668" s="4" t="n">
        <v>107</v>
      </c>
      <c r="M668" s="5" t="n">
        <v>5.5</v>
      </c>
      <c r="N668" s="5" t="n">
        <v>5.291139850922868</v>
      </c>
      <c r="O668" s="5" t="n">
        <v>5.5</v>
      </c>
      <c r="P668" s="5" t="n">
        <v>0.2088601490771316</v>
      </c>
      <c r="Q668" s="6" t="n">
        <v>0.1695811411015526</v>
      </c>
      <c r="R668" s="6" t="n">
        <v>0.5650150440104118</v>
      </c>
      <c r="S668" s="6" t="n">
        <v>0.4745613066990398</v>
      </c>
      <c r="T668" s="2" t="inlineStr">
        <is>
          <t>Under</t>
        </is>
      </c>
      <c r="U668" s="4" t="n">
        <v>107</v>
      </c>
      <c r="V668" s="2" t="n">
        <v>2.07</v>
      </c>
      <c r="W668" s="4" t="n">
        <v>107</v>
      </c>
      <c r="X668" s="2" t="n">
        <v>1</v>
      </c>
      <c r="Y668" s="5" t="n">
        <v>1.07</v>
      </c>
      <c r="Z668" s="7" t="n">
        <v>100</v>
      </c>
      <c r="AA668" s="7">
        <f>Y668*Z668</f>
        <v/>
      </c>
      <c r="AB668" s="6">
        <f>IF(Z668=0,0,AA668/Z668)</f>
        <v/>
      </c>
      <c r="AC668" s="6" t="n"/>
      <c r="AD668" s="2" t="inlineStr">
        <is>
          <t>Win</t>
        </is>
      </c>
      <c r="AE668" s="6">
        <f>IF((COUNTIF($AD$2:AD668,"Win")+COUNTIF($AD$2:AD668,"Loss"))=0,0,COUNTIF($AD$2:AD668,"Win")/(COUNTIF($AD$2:AD668,"Win")+COUNTIF($AD$2:AD668,"Loss")))</f>
        <v/>
      </c>
      <c r="AF668" s="6">
        <f>SUM($Y$2:Y668)/SUM($X$2:X668)</f>
        <v/>
      </c>
      <c r="AG668" s="5">
        <f>SUM($Y$2:Y668)</f>
        <v/>
      </c>
      <c r="AH668" s="7">
        <f>10000.0+SUM($AA$2:AA668)</f>
        <v/>
      </c>
      <c r="AI668" s="2" t="n">
        <v>2026</v>
      </c>
      <c r="AJ668" s="2" t="inlineStr">
        <is>
          <t>2026-04</t>
        </is>
      </c>
      <c r="AK668" s="2" t="inlineStr">
        <is>
          <t>+100 to +120</t>
        </is>
      </c>
      <c r="AL668" s="2" t="inlineStr">
        <is>
          <t>2026 Frozen Test</t>
        </is>
      </c>
      <c r="AM668" s="6" t="n">
        <v>0.1584870477584604</v>
      </c>
    </row>
    <row r="669">
      <c r="A669" s="2" t="inlineStr">
        <is>
          <t>KPROP-00668</t>
        </is>
      </c>
      <c r="B669" s="3" t="n">
        <v>46137.80252314815</v>
      </c>
      <c r="C669" s="3" t="n">
        <v>46137</v>
      </c>
      <c r="D669" s="2" t="inlineStr">
        <is>
          <t>Jack Flaherty</t>
        </is>
      </c>
      <c r="E669" s="2" t="n">
        <v>116</v>
      </c>
      <c r="F669" s="2" t="n">
        <v>113</v>
      </c>
      <c r="G669" s="2" t="inlineStr">
        <is>
          <t>Away</t>
        </is>
      </c>
      <c r="H669" s="2" t="inlineStr">
        <is>
          <t>betrivers</t>
        </is>
      </c>
      <c r="I669" s="4" t="n"/>
      <c r="J669" s="4" t="n"/>
      <c r="K669" s="4" t="n">
        <v>-190</v>
      </c>
      <c r="L669" s="4" t="n">
        <v>-190</v>
      </c>
      <c r="M669" s="5" t="n">
        <v>6.5</v>
      </c>
      <c r="N669" s="5" t="n">
        <v>5.291139850922868</v>
      </c>
      <c r="O669" s="5" t="n">
        <v>6.5</v>
      </c>
      <c r="P669" s="5" t="n">
        <v>1.208860149077132</v>
      </c>
      <c r="Q669" s="6" t="n">
        <v>0.09664942216107536</v>
      </c>
      <c r="R669" s="6" t="n">
        <v>0.7184944490020839</v>
      </c>
      <c r="S669" s="6" t="n">
        <v>0.6112600536193029</v>
      </c>
      <c r="T669" s="2" t="inlineStr">
        <is>
          <t>Under</t>
        </is>
      </c>
      <c r="U669" s="4" t="n">
        <v>-190</v>
      </c>
      <c r="V669" s="2" t="n">
        <v>1.526315789473684</v>
      </c>
      <c r="W669" s="4" t="n">
        <v>-190</v>
      </c>
      <c r="X669" s="2" t="n">
        <v>1</v>
      </c>
      <c r="Y669" s="5" t="n">
        <v>0.5263157894736841</v>
      </c>
      <c r="Z669" s="7" t="n">
        <v>100</v>
      </c>
      <c r="AA669" s="7">
        <f>Y669*Z669</f>
        <v/>
      </c>
      <c r="AB669" s="6">
        <f>IF(Z669=0,0,AA669/Z669)</f>
        <v/>
      </c>
      <c r="AC669" s="6" t="n"/>
      <c r="AD669" s="2" t="inlineStr">
        <is>
          <t>Win</t>
        </is>
      </c>
      <c r="AE669" s="6">
        <f>IF((COUNTIF($AD$2:AD669,"Win")+COUNTIF($AD$2:AD669,"Loss"))=0,0,COUNTIF($AD$2:AD669,"Win")/(COUNTIF($AD$2:AD669,"Win")+COUNTIF($AD$2:AD669,"Loss")))</f>
        <v/>
      </c>
      <c r="AF669" s="6">
        <f>SUM($Y$2:Y669)/SUM($X$2:X669)</f>
        <v/>
      </c>
      <c r="AG669" s="5">
        <f>SUM($Y$2:Y669)</f>
        <v/>
      </c>
      <c r="AH669" s="7">
        <f>10000.0+SUM($AA$2:AA669)</f>
        <v/>
      </c>
      <c r="AI669" s="2" t="n">
        <v>2026</v>
      </c>
      <c r="AJ669" s="2" t="inlineStr">
        <is>
          <t>2026-04</t>
        </is>
      </c>
      <c r="AK669" s="2" t="inlineStr">
        <is>
          <t>&lt;= -150</t>
        </is>
      </c>
      <c r="AL669" s="2" t="inlineStr">
        <is>
          <t>2026 Frozen Test</t>
        </is>
      </c>
      <c r="AM669" s="6" t="n">
        <v>0.1836339021060432</v>
      </c>
    </row>
    <row r="670">
      <c r="A670" s="2" t="inlineStr">
        <is>
          <t>KPROP-00669</t>
        </is>
      </c>
      <c r="B670" s="3" t="n">
        <v>46137.79556712963</v>
      </c>
      <c r="C670" s="3" t="n">
        <v>46137</v>
      </c>
      <c r="D670" s="2" t="inlineStr">
        <is>
          <t>Jeffrey Springs</t>
        </is>
      </c>
      <c r="E670" s="2" t="n">
        <v>133</v>
      </c>
      <c r="F670" s="2" t="n">
        <v>140</v>
      </c>
      <c r="G670" s="2" t="inlineStr">
        <is>
          <t>Away</t>
        </is>
      </c>
      <c r="H670" s="2" t="inlineStr">
        <is>
          <t>betmgm</t>
        </is>
      </c>
      <c r="I670" s="4" t="n"/>
      <c r="J670" s="4" t="n"/>
      <c r="K670" s="4" t="n">
        <v>115</v>
      </c>
      <c r="L670" s="4" t="n">
        <v>115</v>
      </c>
      <c r="M670" s="5" t="n">
        <v>4.5</v>
      </c>
      <c r="N670" s="5" t="n">
        <v>4.658206750045639</v>
      </c>
      <c r="O670" s="5" t="n">
        <v>4.5</v>
      </c>
      <c r="P670" s="5" t="n">
        <v>-0.1582067500456388</v>
      </c>
      <c r="Q670" s="6" t="n">
        <v>0.08007637374878229</v>
      </c>
      <c r="R670" s="6" t="n">
        <v>0.5023611040692011</v>
      </c>
      <c r="S670" s="6" t="n">
        <v>0.4400538841490795</v>
      </c>
      <c r="T670" s="2" t="inlineStr">
        <is>
          <t>Under</t>
        </is>
      </c>
      <c r="U670" s="4" t="n">
        <v>115</v>
      </c>
      <c r="V670" s="2" t="n">
        <v>2.15</v>
      </c>
      <c r="W670" s="4" t="n">
        <v>115</v>
      </c>
      <c r="X670" s="2" t="n">
        <v>1</v>
      </c>
      <c r="Y670" s="5" t="n">
        <v>1.15</v>
      </c>
      <c r="Z670" s="7" t="n">
        <v>100</v>
      </c>
      <c r="AA670" s="7">
        <f>Y670*Z670</f>
        <v/>
      </c>
      <c r="AB670" s="6">
        <f>IF(Z670=0,0,AA670/Z670)</f>
        <v/>
      </c>
      <c r="AC670" s="6" t="n"/>
      <c r="AD670" s="2" t="inlineStr">
        <is>
          <t>Win</t>
        </is>
      </c>
      <c r="AE670" s="6">
        <f>IF((COUNTIF($AD$2:AD670,"Win")+COUNTIF($AD$2:AD670,"Loss"))=0,0,COUNTIF($AD$2:AD670,"Win")/(COUNTIF($AD$2:AD670,"Win")+COUNTIF($AD$2:AD670,"Loss")))</f>
        <v/>
      </c>
      <c r="AF670" s="6">
        <f>SUM($Y$2:Y670)/SUM($X$2:X670)</f>
        <v/>
      </c>
      <c r="AG670" s="5">
        <f>SUM($Y$2:Y670)</f>
        <v/>
      </c>
      <c r="AH670" s="7">
        <f>10000.0+SUM($AA$2:AA670)</f>
        <v/>
      </c>
      <c r="AI670" s="2" t="n">
        <v>2026</v>
      </c>
      <c r="AJ670" s="2" t="inlineStr">
        <is>
          <t>2026-04</t>
        </is>
      </c>
      <c r="AK670" s="2" t="inlineStr">
        <is>
          <t>+100 to +120</t>
        </is>
      </c>
      <c r="AL670" s="2" t="inlineStr">
        <is>
          <t>2026 Frozen Test</t>
        </is>
      </c>
      <c r="AM670" s="6" t="n">
        <v>0.06963162934676721</v>
      </c>
    </row>
    <row r="671">
      <c r="A671" s="2" t="inlineStr">
        <is>
          <t>KPROP-00670</t>
        </is>
      </c>
      <c r="B671" s="3" t="n">
        <v>46137.79556712963</v>
      </c>
      <c r="C671" s="3" t="n">
        <v>46137</v>
      </c>
      <c r="D671" s="2" t="inlineStr">
        <is>
          <t>Jeffrey Springs</t>
        </is>
      </c>
      <c r="E671" s="2" t="n">
        <v>133</v>
      </c>
      <c r="F671" s="2" t="n">
        <v>140</v>
      </c>
      <c r="G671" s="2" t="inlineStr">
        <is>
          <t>Away</t>
        </is>
      </c>
      <c r="H671" s="2" t="inlineStr">
        <is>
          <t>draftkings</t>
        </is>
      </c>
      <c r="I671" s="4" t="n"/>
      <c r="J671" s="4" t="n"/>
      <c r="K671" s="4" t="n">
        <v>-155</v>
      </c>
      <c r="L671" s="4" t="n">
        <v>-155</v>
      </c>
      <c r="M671" s="5" t="n">
        <v>5.5</v>
      </c>
      <c r="N671" s="5" t="n">
        <v>4.658206750045639</v>
      </c>
      <c r="O671" s="5" t="n">
        <v>5.5</v>
      </c>
      <c r="P671" s="5" t="n">
        <v>0.8417932499543612</v>
      </c>
      <c r="Q671" s="6" t="n">
        <v>0.1116243494091265</v>
      </c>
      <c r="R671" s="6" t="n">
        <v>0.6756932319937828</v>
      </c>
      <c r="S671" s="6" t="n">
        <v>0.5933014354066986</v>
      </c>
      <c r="T671" s="2" t="inlineStr">
        <is>
          <t>Under</t>
        </is>
      </c>
      <c r="U671" s="4" t="n">
        <v>-155</v>
      </c>
      <c r="V671" s="2" t="n">
        <v>1.645161290322581</v>
      </c>
      <c r="W671" s="4" t="n">
        <v>-155</v>
      </c>
      <c r="X671" s="2" t="n">
        <v>1</v>
      </c>
      <c r="Y671" s="5" t="n">
        <v>0.6451612903225805</v>
      </c>
      <c r="Z671" s="7" t="n">
        <v>100</v>
      </c>
      <c r="AA671" s="7">
        <f>Y671*Z671</f>
        <v/>
      </c>
      <c r="AB671" s="6">
        <f>IF(Z671=0,0,AA671/Z671)</f>
        <v/>
      </c>
      <c r="AC671" s="6" t="n"/>
      <c r="AD671" s="2" t="inlineStr">
        <is>
          <t>Win</t>
        </is>
      </c>
      <c r="AE671" s="6">
        <f>IF((COUNTIF($AD$2:AD671,"Win")+COUNTIF($AD$2:AD671,"Loss"))=0,0,COUNTIF($AD$2:AD671,"Win")/(COUNTIF($AD$2:AD671,"Win")+COUNTIF($AD$2:AD671,"Loss")))</f>
        <v/>
      </c>
      <c r="AF671" s="6">
        <f>SUM($Y$2:Y671)/SUM($X$2:X671)</f>
        <v/>
      </c>
      <c r="AG671" s="5">
        <f>SUM($Y$2:Y671)</f>
        <v/>
      </c>
      <c r="AH671" s="7">
        <f>10000.0+SUM($AA$2:AA671)</f>
        <v/>
      </c>
      <c r="AI671" s="2" t="n">
        <v>2026</v>
      </c>
      <c r="AJ671" s="2" t="inlineStr">
        <is>
          <t>2026-04</t>
        </is>
      </c>
      <c r="AK671" s="2" t="inlineStr">
        <is>
          <t>&lt;= -150</t>
        </is>
      </c>
      <c r="AL671" s="2" t="inlineStr">
        <is>
          <t>2026 Frozen Test</t>
        </is>
      </c>
      <c r="AM671" s="6" t="n">
        <v>0.1730177415841462</v>
      </c>
    </row>
    <row r="672">
      <c r="A672" s="2" t="inlineStr">
        <is>
          <t>KPROP-00671</t>
        </is>
      </c>
      <c r="B672" s="3" t="n">
        <v>46137.62891203703</v>
      </c>
      <c r="C672" s="3" t="n">
        <v>46137</v>
      </c>
      <c r="D672" s="2" t="inlineStr">
        <is>
          <t>Kevin Gausman</t>
        </is>
      </c>
      <c r="E672" s="2" t="n">
        <v>141</v>
      </c>
      <c r="F672" s="2" t="n">
        <v>114</v>
      </c>
      <c r="G672" s="2" t="inlineStr">
        <is>
          <t>Home</t>
        </is>
      </c>
      <c r="H672" s="2" t="inlineStr">
        <is>
          <t>betmgm</t>
        </is>
      </c>
      <c r="I672" s="4" t="n"/>
      <c r="J672" s="4" t="n"/>
      <c r="K672" s="4" t="n">
        <v>100</v>
      </c>
      <c r="L672" s="4" t="n">
        <v>100</v>
      </c>
      <c r="M672" s="5" t="n">
        <v>5.5</v>
      </c>
      <c r="N672" s="5" t="n">
        <v>5.417355802903619</v>
      </c>
      <c r="O672" s="5" t="n">
        <v>5.5</v>
      </c>
      <c r="P672" s="5" t="n">
        <v>0.08264419709638116</v>
      </c>
      <c r="Q672" s="6" t="n">
        <v>0.08626920872532029</v>
      </c>
      <c r="R672" s="6" t="n">
        <v>0.5431346043626601</v>
      </c>
      <c r="S672" s="6" t="n">
        <v>0.522673031026253</v>
      </c>
      <c r="T672" s="2" t="inlineStr">
        <is>
          <t>Under</t>
        </is>
      </c>
      <c r="U672" s="4" t="n">
        <v>100</v>
      </c>
      <c r="V672" s="2" t="n">
        <v>2</v>
      </c>
      <c r="W672" s="4" t="n">
        <v>100</v>
      </c>
      <c r="X672" s="2" t="n">
        <v>1</v>
      </c>
      <c r="Y672" s="5" t="n">
        <v>1</v>
      </c>
      <c r="Z672" s="7" t="n">
        <v>100</v>
      </c>
      <c r="AA672" s="7">
        <f>Y672*Z672</f>
        <v/>
      </c>
      <c r="AB672" s="6">
        <f>IF(Z672=0,0,AA672/Z672)</f>
        <v/>
      </c>
      <c r="AC672" s="6" t="n"/>
      <c r="AD672" s="2" t="inlineStr">
        <is>
          <t>Win</t>
        </is>
      </c>
      <c r="AE672" s="6">
        <f>IF((COUNTIF($AD$2:AD672,"Win")+COUNTIF($AD$2:AD672,"Loss"))=0,0,COUNTIF($AD$2:AD672,"Win")/(COUNTIF($AD$2:AD672,"Win")+COUNTIF($AD$2:AD672,"Loss")))</f>
        <v/>
      </c>
      <c r="AF672" s="6">
        <f>SUM($Y$2:Y672)/SUM($X$2:X672)</f>
        <v/>
      </c>
      <c r="AG672" s="5">
        <f>SUM($Y$2:Y672)</f>
        <v/>
      </c>
      <c r="AH672" s="7">
        <f>10000.0+SUM($AA$2:AA672)</f>
        <v/>
      </c>
      <c r="AI672" s="2" t="n">
        <v>2026</v>
      </c>
      <c r="AJ672" s="2" t="inlineStr">
        <is>
          <t>2026-04</t>
        </is>
      </c>
      <c r="AK672" s="2" t="inlineStr">
        <is>
          <t>+100 to +120</t>
        </is>
      </c>
      <c r="AL672" s="2" t="inlineStr">
        <is>
          <t>2026 Frozen Test</t>
        </is>
      </c>
      <c r="AM672" s="6" t="n">
        <v>0.08626920872532029</v>
      </c>
    </row>
    <row r="673">
      <c r="A673" s="2" t="inlineStr">
        <is>
          <t>KPROP-00672</t>
        </is>
      </c>
      <c r="B673" s="3" t="n">
        <v>46137.79556712963</v>
      </c>
      <c r="C673" s="3" t="n">
        <v>46137</v>
      </c>
      <c r="D673" s="2" t="inlineStr">
        <is>
          <t>MacKenzie Gore</t>
        </is>
      </c>
      <c r="E673" s="2" t="n">
        <v>140</v>
      </c>
      <c r="F673" s="2" t="n">
        <v>133</v>
      </c>
      <c r="G673" s="2" t="inlineStr">
        <is>
          <t>Home</t>
        </is>
      </c>
      <c r="H673" s="2" t="inlineStr">
        <is>
          <t>betrivers</t>
        </is>
      </c>
      <c r="I673" s="4" t="n"/>
      <c r="J673" s="4" t="n"/>
      <c r="K673" s="4" t="n">
        <v>105</v>
      </c>
      <c r="L673" s="4" t="n">
        <v>105</v>
      </c>
      <c r="M673" s="5" t="n">
        <v>6.5</v>
      </c>
      <c r="N673" s="5" t="n">
        <v>5.67830557062105</v>
      </c>
      <c r="O673" s="5" t="n">
        <v>6.5</v>
      </c>
      <c r="P673" s="5" t="n">
        <v>0.8216944293789501</v>
      </c>
      <c r="Q673" s="6" t="n">
        <v>0.3485353198770403</v>
      </c>
      <c r="R673" s="6" t="n">
        <v>0.6578221072570929</v>
      </c>
      <c r="S673" s="6" t="n">
        <v>0.4675324675324675</v>
      </c>
      <c r="T673" s="2" t="inlineStr">
        <is>
          <t>Under</t>
        </is>
      </c>
      <c r="U673" s="4" t="n">
        <v>105</v>
      </c>
      <c r="V673" s="2" t="n">
        <v>2.05</v>
      </c>
      <c r="W673" s="4" t="n">
        <v>105</v>
      </c>
      <c r="X673" s="2" t="n">
        <v>1</v>
      </c>
      <c r="Y673" s="5" t="n">
        <v>-1</v>
      </c>
      <c r="Z673" s="7" t="n">
        <v>100</v>
      </c>
      <c r="AA673" s="7">
        <f>Y673*Z673</f>
        <v/>
      </c>
      <c r="AB673" s="6">
        <f>IF(Z673=0,0,AA673/Z673)</f>
        <v/>
      </c>
      <c r="AC673" s="6" t="n"/>
      <c r="AD673" s="2" t="inlineStr">
        <is>
          <t>Loss</t>
        </is>
      </c>
      <c r="AE673" s="6">
        <f>IF((COUNTIF($AD$2:AD673,"Win")+COUNTIF($AD$2:AD673,"Loss"))=0,0,COUNTIF($AD$2:AD673,"Win")/(COUNTIF($AD$2:AD673,"Win")+COUNTIF($AD$2:AD673,"Loss")))</f>
        <v/>
      </c>
      <c r="AF673" s="6">
        <f>SUM($Y$2:Y673)/SUM($X$2:X673)</f>
        <v/>
      </c>
      <c r="AG673" s="5">
        <f>SUM($Y$2:Y673)</f>
        <v/>
      </c>
      <c r="AH673" s="7">
        <f>10000.0+SUM($AA$2:AA673)</f>
        <v/>
      </c>
      <c r="AI673" s="2" t="n">
        <v>2026</v>
      </c>
      <c r="AJ673" s="2" t="inlineStr">
        <is>
          <t>2026-04</t>
        </is>
      </c>
      <c r="AK673" s="2" t="inlineStr">
        <is>
          <t>+100 to +120</t>
        </is>
      </c>
      <c r="AL673" s="2" t="inlineStr">
        <is>
          <t>2026 Frozen Test</t>
        </is>
      </c>
      <c r="AM673" s="6" t="n">
        <v>0.3319383998828956</v>
      </c>
    </row>
    <row r="674">
      <c r="A674" s="2" t="inlineStr">
        <is>
          <t>KPROP-00673</t>
        </is>
      </c>
      <c r="B674" s="3" t="n">
        <v>46137.67403935185</v>
      </c>
      <c r="C674" s="3" t="n">
        <v>46137</v>
      </c>
      <c r="D674" s="2" t="inlineStr">
        <is>
          <t>Noah Schultz</t>
        </is>
      </c>
      <c r="E674" s="2" t="n">
        <v>145</v>
      </c>
      <c r="F674" s="2" t="n">
        <v>120</v>
      </c>
      <c r="G674" s="2" t="inlineStr">
        <is>
          <t>Home</t>
        </is>
      </c>
      <c r="H674" s="2" t="inlineStr">
        <is>
          <t>betonlineag</t>
        </is>
      </c>
      <c r="I674" s="4" t="n"/>
      <c r="J674" s="4" t="n"/>
      <c r="K674" s="4" t="n">
        <v>128</v>
      </c>
      <c r="L674" s="4" t="n">
        <v>128</v>
      </c>
      <c r="M674" s="5" t="n">
        <v>4.5</v>
      </c>
      <c r="N674" s="5" t="n">
        <v>4.830841477605175</v>
      </c>
      <c r="O674" s="5" t="n">
        <v>4.5</v>
      </c>
      <c r="P674" s="5" t="n">
        <v>-0.3308414776051753</v>
      </c>
      <c r="Q674" s="6" t="n">
        <v>0.07310314204222623</v>
      </c>
      <c r="R674" s="6" t="n">
        <v>0.4706592728255378</v>
      </c>
      <c r="S674" s="6" t="n">
        <v>0.4411764705882352</v>
      </c>
      <c r="T674" s="2" t="inlineStr">
        <is>
          <t>Under</t>
        </is>
      </c>
      <c r="U674" s="4" t="n">
        <v>128</v>
      </c>
      <c r="V674" s="2" t="n">
        <v>2.28</v>
      </c>
      <c r="W674" s="4" t="n">
        <v>128</v>
      </c>
      <c r="X674" s="2" t="n">
        <v>1</v>
      </c>
      <c r="Y674" s="5" t="n">
        <v>-1</v>
      </c>
      <c r="Z674" s="7" t="n">
        <v>100</v>
      </c>
      <c r="AA674" s="7">
        <f>Y674*Z674</f>
        <v/>
      </c>
      <c r="AB674" s="6">
        <f>IF(Z674=0,0,AA674/Z674)</f>
        <v/>
      </c>
      <c r="AC674" s="6" t="n"/>
      <c r="AD674" s="2" t="inlineStr">
        <is>
          <t>Loss</t>
        </is>
      </c>
      <c r="AE674" s="6">
        <f>IF((COUNTIF($AD$2:AD674,"Win")+COUNTIF($AD$2:AD674,"Loss"))=0,0,COUNTIF($AD$2:AD674,"Win")/(COUNTIF($AD$2:AD674,"Win")+COUNTIF($AD$2:AD674,"Loss")))</f>
        <v/>
      </c>
      <c r="AF674" s="6">
        <f>SUM($Y$2:Y674)/SUM($X$2:X674)</f>
        <v/>
      </c>
      <c r="AG674" s="5">
        <f>SUM($Y$2:Y674)</f>
        <v/>
      </c>
      <c r="AH674" s="7">
        <f>10000.0+SUM($AA$2:AA674)</f>
        <v/>
      </c>
      <c r="AI674" s="2" t="n">
        <v>2026</v>
      </c>
      <c r="AJ674" s="2" t="inlineStr">
        <is>
          <t>2026-04</t>
        </is>
      </c>
      <c r="AK674" s="2" t="inlineStr">
        <is>
          <t>+121 to +150</t>
        </is>
      </c>
      <c r="AL674" s="2" t="inlineStr">
        <is>
          <t>2026 Frozen Test</t>
        </is>
      </c>
      <c r="AM674" s="6" t="n">
        <v>0.05711182972048923</v>
      </c>
    </row>
    <row r="675">
      <c r="A675" s="2" t="inlineStr">
        <is>
          <t>KPROP-00674</t>
        </is>
      </c>
      <c r="B675" s="3" t="n">
        <v>46137.67056712963</v>
      </c>
      <c r="C675" s="3" t="n">
        <v>46137</v>
      </c>
      <c r="D675" s="2" t="inlineStr">
        <is>
          <t>Robbie Ray</t>
        </is>
      </c>
      <c r="E675" s="2" t="n">
        <v>137</v>
      </c>
      <c r="F675" s="2" t="n">
        <v>146</v>
      </c>
      <c r="G675" s="2" t="inlineStr">
        <is>
          <t>Home</t>
        </is>
      </c>
      <c r="H675" s="2" t="inlineStr">
        <is>
          <t>bovada</t>
        </is>
      </c>
      <c r="I675" s="4" t="n"/>
      <c r="J675" s="4" t="n"/>
      <c r="K675" s="4" t="n">
        <v>120</v>
      </c>
      <c r="L675" s="4" t="n">
        <v>120</v>
      </c>
      <c r="M675" s="5" t="n">
        <v>5.5</v>
      </c>
      <c r="N675" s="5" t="n">
        <v>5.338687069668536</v>
      </c>
      <c r="O675" s="5" t="n">
        <v>5.5</v>
      </c>
      <c r="P675" s="5" t="n">
        <v>0.161312930331464</v>
      </c>
      <c r="Q675" s="6" t="n">
        <v>0.2248527210438719</v>
      </c>
      <c r="R675" s="6" t="n">
        <v>0.5567512368381236</v>
      </c>
      <c r="S675" s="6" t="n">
        <v>0.4343971631205674</v>
      </c>
      <c r="T675" s="2" t="inlineStr">
        <is>
          <t>Under</t>
        </is>
      </c>
      <c r="U675" s="4" t="n">
        <v>120</v>
      </c>
      <c r="V675" s="2" t="n">
        <v>2.2</v>
      </c>
      <c r="W675" s="4" t="n">
        <v>120</v>
      </c>
      <c r="X675" s="2" t="n">
        <v>1</v>
      </c>
      <c r="Y675" s="5" t="n">
        <v>1.2</v>
      </c>
      <c r="Z675" s="7" t="n">
        <v>100</v>
      </c>
      <c r="AA675" s="7">
        <f>Y675*Z675</f>
        <v/>
      </c>
      <c r="AB675" s="6">
        <f>IF(Z675=0,0,AA675/Z675)</f>
        <v/>
      </c>
      <c r="AC675" s="6" t="n"/>
      <c r="AD675" s="2" t="inlineStr">
        <is>
          <t>Win</t>
        </is>
      </c>
      <c r="AE675" s="6">
        <f>IF((COUNTIF($AD$2:AD675,"Win")+COUNTIF($AD$2:AD675,"Loss"))=0,0,COUNTIF($AD$2:AD675,"Win")/(COUNTIF($AD$2:AD675,"Win")+COUNTIF($AD$2:AD675,"Loss")))</f>
        <v/>
      </c>
      <c r="AF675" s="6">
        <f>SUM($Y$2:Y675)/SUM($X$2:X675)</f>
        <v/>
      </c>
      <c r="AG675" s="5">
        <f>SUM($Y$2:Y675)</f>
        <v/>
      </c>
      <c r="AH675" s="7">
        <f>10000.0+SUM($AA$2:AA675)</f>
        <v/>
      </c>
      <c r="AI675" s="2" t="n">
        <v>2026</v>
      </c>
      <c r="AJ675" s="2" t="inlineStr">
        <is>
          <t>2026-04</t>
        </is>
      </c>
      <c r="AK675" s="2" t="inlineStr">
        <is>
          <t>+100 to +120</t>
        </is>
      </c>
      <c r="AL675" s="2" t="inlineStr">
        <is>
          <t>2026 Frozen Test</t>
        </is>
      </c>
      <c r="AM675" s="6" t="n">
        <v>0.1873772675365599</v>
      </c>
    </row>
    <row r="676">
      <c r="A676" s="2" t="inlineStr">
        <is>
          <t>KPROP-00675</t>
        </is>
      </c>
      <c r="B676" s="3" t="n">
        <v>46137.67056712963</v>
      </c>
      <c r="C676" s="3" t="n">
        <v>46137</v>
      </c>
      <c r="D676" s="2" t="inlineStr">
        <is>
          <t>Robbie Ray</t>
        </is>
      </c>
      <c r="E676" s="2" t="n">
        <v>137</v>
      </c>
      <c r="F676" s="2" t="n">
        <v>146</v>
      </c>
      <c r="G676" s="2" t="inlineStr">
        <is>
          <t>Home</t>
        </is>
      </c>
      <c r="H676" s="2" t="inlineStr">
        <is>
          <t>betrivers</t>
        </is>
      </c>
      <c r="I676" s="4" t="n"/>
      <c r="J676" s="4" t="n"/>
      <c r="K676" s="4" t="n">
        <v>-180</v>
      </c>
      <c r="L676" s="4" t="n">
        <v>-180</v>
      </c>
      <c r="M676" s="5" t="n">
        <v>6.5</v>
      </c>
      <c r="N676" s="5" t="n">
        <v>5.338687069668536</v>
      </c>
      <c r="O676" s="5" t="n">
        <v>6.5</v>
      </c>
      <c r="P676" s="5" t="n">
        <v>1.161312930331464</v>
      </c>
      <c r="Q676" s="6" t="n">
        <v>0.1062710208867348</v>
      </c>
      <c r="R676" s="6" t="n">
        <v>0.711174227712901</v>
      </c>
      <c r="S676" s="6" t="n">
        <v>0.5996568487274806</v>
      </c>
      <c r="T676" s="2" t="inlineStr">
        <is>
          <t>Under</t>
        </is>
      </c>
      <c r="U676" s="4" t="n">
        <v>-180</v>
      </c>
      <c r="V676" s="2" t="n">
        <v>1.555555555555556</v>
      </c>
      <c r="W676" s="4" t="n">
        <v>-180</v>
      </c>
      <c r="X676" s="2" t="n">
        <v>1</v>
      </c>
      <c r="Y676" s="5" t="n">
        <v>0.5555555555555556</v>
      </c>
      <c r="Z676" s="7" t="n">
        <v>100</v>
      </c>
      <c r="AA676" s="7">
        <f>Y676*Z676</f>
        <v/>
      </c>
      <c r="AB676" s="6">
        <f>IF(Z676=0,0,AA676/Z676)</f>
        <v/>
      </c>
      <c r="AC676" s="6" t="n"/>
      <c r="AD676" s="2" t="inlineStr">
        <is>
          <t>Win</t>
        </is>
      </c>
      <c r="AE676" s="6">
        <f>IF((COUNTIF($AD$2:AD676,"Win")+COUNTIF($AD$2:AD676,"Loss"))=0,0,COUNTIF($AD$2:AD676,"Win")/(COUNTIF($AD$2:AD676,"Win")+COUNTIF($AD$2:AD676,"Loss")))</f>
        <v/>
      </c>
      <c r="AF676" s="6">
        <f>SUM($Y$2:Y676)/SUM($X$2:X676)</f>
        <v/>
      </c>
      <c r="AG676" s="5">
        <f>SUM($Y$2:Y676)</f>
        <v/>
      </c>
      <c r="AH676" s="7">
        <f>10000.0+SUM($AA$2:AA676)</f>
        <v/>
      </c>
      <c r="AI676" s="2" t="n">
        <v>2026</v>
      </c>
      <c r="AJ676" s="2" t="inlineStr">
        <is>
          <t>2026-04</t>
        </is>
      </c>
      <c r="AK676" s="2" t="inlineStr">
        <is>
          <t>&lt;= -150</t>
        </is>
      </c>
      <c r="AL676" s="2" t="inlineStr">
        <is>
          <t>2026 Frozen Test</t>
        </is>
      </c>
      <c r="AM676" s="6" t="n">
        <v>0.1912878375961227</v>
      </c>
    </row>
    <row r="677">
      <c r="A677" s="2" t="inlineStr">
        <is>
          <t>KPROP-00676</t>
        </is>
      </c>
      <c r="B677" s="3" t="n">
        <v>46137.50391203703</v>
      </c>
      <c r="C677" s="3" t="n">
        <v>46137</v>
      </c>
      <c r="D677" s="2" t="inlineStr">
        <is>
          <t>Trevor Rogers</t>
        </is>
      </c>
      <c r="E677" s="2" t="n">
        <v>110</v>
      </c>
      <c r="F677" s="2" t="n">
        <v>111</v>
      </c>
      <c r="G677" s="2" t="inlineStr">
        <is>
          <t>Home</t>
        </is>
      </c>
      <c r="H677" s="2" t="inlineStr">
        <is>
          <t>betmgm</t>
        </is>
      </c>
      <c r="I677" s="4" t="n"/>
      <c r="J677" s="4" t="n"/>
      <c r="K677" s="4" t="n">
        <v>-125</v>
      </c>
      <c r="L677" s="4" t="n">
        <v>-125</v>
      </c>
      <c r="M677" s="5" t="n">
        <v>5.5</v>
      </c>
      <c r="N677" s="5" t="n">
        <v>5.102021118689743</v>
      </c>
      <c r="O677" s="5" t="n">
        <v>5.5</v>
      </c>
      <c r="P677" s="5" t="n">
        <v>0.3979788813102569</v>
      </c>
      <c r="Q677" s="6" t="n">
        <v>0.07651776275210365</v>
      </c>
      <c r="R677" s="6" t="n">
        <v>0.5980654237511687</v>
      </c>
      <c r="S677" s="6" t="n">
        <v>0.5384615384615385</v>
      </c>
      <c r="T677" s="2" t="inlineStr">
        <is>
          <t>Under</t>
        </is>
      </c>
      <c r="U677" s="4" t="n">
        <v>-125</v>
      </c>
      <c r="V677" s="2" t="n">
        <v>1.8</v>
      </c>
      <c r="W677" s="4" t="n">
        <v>-125</v>
      </c>
      <c r="X677" s="2" t="n">
        <v>1</v>
      </c>
      <c r="Y677" s="5" t="n">
        <v>0.8</v>
      </c>
      <c r="Z677" s="7" t="n">
        <v>100</v>
      </c>
      <c r="AA677" s="7">
        <f>Y677*Z677</f>
        <v/>
      </c>
      <c r="AB677" s="6">
        <f>IF(Z677=0,0,AA677/Z677)</f>
        <v/>
      </c>
      <c r="AC677" s="6" t="n"/>
      <c r="AD677" s="2" t="inlineStr">
        <is>
          <t>Win</t>
        </is>
      </c>
      <c r="AE677" s="6">
        <f>IF((COUNTIF($AD$2:AD677,"Win")+COUNTIF($AD$2:AD677,"Loss"))=0,0,COUNTIF($AD$2:AD677,"Win")/(COUNTIF($AD$2:AD677,"Win")+COUNTIF($AD$2:AD677,"Loss")))</f>
        <v/>
      </c>
      <c r="AF677" s="6">
        <f>SUM($Y$2:Y677)/SUM($X$2:X677)</f>
        <v/>
      </c>
      <c r="AG677" s="5">
        <f>SUM($Y$2:Y677)</f>
        <v/>
      </c>
      <c r="AH677" s="7">
        <f>10000.0+SUM($AA$2:AA677)</f>
        <v/>
      </c>
      <c r="AI677" s="2" t="n">
        <v>2026</v>
      </c>
      <c r="AJ677" s="2" t="inlineStr">
        <is>
          <t>2026-04</t>
        </is>
      </c>
      <c r="AK677" s="2" t="inlineStr">
        <is>
          <t>-149 to -120</t>
        </is>
      </c>
      <c r="AL677" s="2" t="inlineStr">
        <is>
          <t>2026 Frozen Test</t>
        </is>
      </c>
      <c r="AM677" s="6" t="n">
        <v>0.09564720344012956</v>
      </c>
    </row>
    <row r="678">
      <c r="A678" s="2" t="inlineStr">
        <is>
          <t>KPROP-00677</t>
        </is>
      </c>
      <c r="B678" s="3" t="n">
        <v>46138.56640046297</v>
      </c>
      <c r="C678" s="3" t="n">
        <v>46138</v>
      </c>
      <c r="D678" s="2" t="inlineStr">
        <is>
          <t>Aaron Nola</t>
        </is>
      </c>
      <c r="E678" s="2" t="n">
        <v>143</v>
      </c>
      <c r="F678" s="2" t="n">
        <v>144</v>
      </c>
      <c r="G678" s="2" t="inlineStr">
        <is>
          <t>Away</t>
        </is>
      </c>
      <c r="H678" s="2" t="inlineStr">
        <is>
          <t>betrivers</t>
        </is>
      </c>
      <c r="I678" s="4" t="n"/>
      <c r="J678" s="4" t="n"/>
      <c r="K678" s="4" t="n">
        <v>125</v>
      </c>
      <c r="L678" s="4" t="n">
        <v>125</v>
      </c>
      <c r="M678" s="5" t="n">
        <v>4.5</v>
      </c>
      <c r="N678" s="5" t="n">
        <v>4.728928264006021</v>
      </c>
      <c r="O678" s="5" t="n">
        <v>4.5</v>
      </c>
      <c r="P678" s="5" t="n">
        <v>-0.2289282640060213</v>
      </c>
      <c r="Q678" s="6" t="n">
        <v>0.1008594409894343</v>
      </c>
      <c r="R678" s="6" t="n">
        <v>0.4892708626619708</v>
      </c>
      <c r="S678" s="6" t="n">
        <v>0.4193548387096774</v>
      </c>
      <c r="T678" s="2" t="inlineStr">
        <is>
          <t>Under</t>
        </is>
      </c>
      <c r="U678" s="4" t="n">
        <v>125</v>
      </c>
      <c r="V678" s="2" t="n">
        <v>2.25</v>
      </c>
      <c r="W678" s="4" t="n">
        <v>125</v>
      </c>
      <c r="X678" s="2" t="n">
        <v>1</v>
      </c>
      <c r="Y678" s="5" t="n">
        <v>-1</v>
      </c>
      <c r="Z678" s="7" t="n">
        <v>100</v>
      </c>
      <c r="AA678" s="7">
        <f>Y678*Z678</f>
        <v/>
      </c>
      <c r="AB678" s="6">
        <f>IF(Z678=0,0,AA678/Z678)</f>
        <v/>
      </c>
      <c r="AC678" s="6" t="n"/>
      <c r="AD678" s="2" t="inlineStr">
        <is>
          <t>Loss</t>
        </is>
      </c>
      <c r="AE678" s="6">
        <f>IF((COUNTIF($AD$2:AD678,"Win")+COUNTIF($AD$2:AD678,"Loss"))=0,0,COUNTIF($AD$2:AD678,"Win")/(COUNTIF($AD$2:AD678,"Win")+COUNTIF($AD$2:AD678,"Loss")))</f>
        <v/>
      </c>
      <c r="AF678" s="6">
        <f>SUM($Y$2:Y678)/SUM($X$2:X678)</f>
        <v/>
      </c>
      <c r="AG678" s="5">
        <f>SUM($Y$2:Y678)</f>
        <v/>
      </c>
      <c r="AH678" s="7">
        <f>10000.0+SUM($AA$2:AA678)</f>
        <v/>
      </c>
      <c r="AI678" s="2" t="n">
        <v>2026</v>
      </c>
      <c r="AJ678" s="2" t="inlineStr">
        <is>
          <t>2026-04</t>
        </is>
      </c>
      <c r="AK678" s="2" t="inlineStr">
        <is>
          <t>+121 to +150</t>
        </is>
      </c>
      <c r="AL678" s="2" t="inlineStr">
        <is>
          <t>2026 Frozen Test</t>
        </is>
      </c>
      <c r="AM678" s="6" t="n">
        <v>0.08068755279154746</v>
      </c>
    </row>
    <row r="679">
      <c r="A679" s="2" t="inlineStr">
        <is>
          <t>KPROP-00678</t>
        </is>
      </c>
      <c r="B679" s="3" t="n">
        <v>46138.59070601852</v>
      </c>
      <c r="C679" s="3" t="n">
        <v>46138</v>
      </c>
      <c r="D679" s="2" t="inlineStr">
        <is>
          <t>Carmen Mlodzinski</t>
        </is>
      </c>
      <c r="E679" s="2" t="n">
        <v>134</v>
      </c>
      <c r="F679" s="2" t="n">
        <v>158</v>
      </c>
      <c r="G679" s="2" t="inlineStr">
        <is>
          <t>Away</t>
        </is>
      </c>
      <c r="H679" s="2" t="inlineStr">
        <is>
          <t>betrivers</t>
        </is>
      </c>
      <c r="I679" s="4" t="n"/>
      <c r="J679" s="4" t="n"/>
      <c r="K679" s="4" t="n">
        <v>108</v>
      </c>
      <c r="L679" s="4" t="n">
        <v>108</v>
      </c>
      <c r="M679" s="5" t="n">
        <v>4.5</v>
      </c>
      <c r="N679" s="5" t="n">
        <v>4.572053871670708</v>
      </c>
      <c r="O679" s="5" t="n">
        <v>4.5</v>
      </c>
      <c r="P679" s="5" t="n">
        <v>-0.07205387167070842</v>
      </c>
      <c r="Q679" s="6" t="n">
        <v>0.07844694442448708</v>
      </c>
      <c r="R679" s="6" t="n">
        <v>0.518484107896388</v>
      </c>
      <c r="S679" s="6" t="n">
        <v>0.4684838160136286</v>
      </c>
      <c r="T679" s="2" t="inlineStr">
        <is>
          <t>Under</t>
        </is>
      </c>
      <c r="U679" s="4" t="n">
        <v>108</v>
      </c>
      <c r="V679" s="2" t="n">
        <v>2.08</v>
      </c>
      <c r="W679" s="4" t="n">
        <v>108</v>
      </c>
      <c r="X679" s="2" t="n">
        <v>1</v>
      </c>
      <c r="Y679" s="5" t="n">
        <v>1.08</v>
      </c>
      <c r="Z679" s="7" t="n">
        <v>100</v>
      </c>
      <c r="AA679" s="7">
        <f>Y679*Z679</f>
        <v/>
      </c>
      <c r="AB679" s="6">
        <f>IF(Z679=0,0,AA679/Z679)</f>
        <v/>
      </c>
      <c r="AC679" s="6" t="n"/>
      <c r="AD679" s="2" t="inlineStr">
        <is>
          <t>Win</t>
        </is>
      </c>
      <c r="AE679" s="6">
        <f>IF((COUNTIF($AD$2:AD679,"Win")+COUNTIF($AD$2:AD679,"Loss"))=0,0,COUNTIF($AD$2:AD679,"Win")/(COUNTIF($AD$2:AD679,"Win")+COUNTIF($AD$2:AD679,"Loss")))</f>
        <v/>
      </c>
      <c r="AF679" s="6">
        <f>SUM($Y$2:Y679)/SUM($X$2:X679)</f>
        <v/>
      </c>
      <c r="AG679" s="5">
        <f>SUM($Y$2:Y679)</f>
        <v/>
      </c>
      <c r="AH679" s="7">
        <f>10000.0+SUM($AA$2:AA679)</f>
        <v/>
      </c>
      <c r="AI679" s="2" t="n">
        <v>2026</v>
      </c>
      <c r="AJ679" s="2" t="inlineStr">
        <is>
          <t>2026-04</t>
        </is>
      </c>
      <c r="AK679" s="2" t="inlineStr">
        <is>
          <t>+100 to +120</t>
        </is>
      </c>
      <c r="AL679" s="2" t="inlineStr">
        <is>
          <t>2026 Frozen Test</t>
        </is>
      </c>
      <c r="AM679" s="6" t="n">
        <v>0.07263605965230284</v>
      </c>
    </row>
    <row r="680">
      <c r="A680" s="2" t="inlineStr">
        <is>
          <t>KPROP-00679</t>
        </is>
      </c>
      <c r="B680" s="3" t="n">
        <v>46138.56640046297</v>
      </c>
      <c r="C680" s="3" t="n">
        <v>46138</v>
      </c>
      <c r="D680" s="2" t="inlineStr">
        <is>
          <t>Chris Sale</t>
        </is>
      </c>
      <c r="E680" s="2" t="n">
        <v>144</v>
      </c>
      <c r="F680" s="2" t="n">
        <v>143</v>
      </c>
      <c r="G680" s="2" t="inlineStr">
        <is>
          <t>Home</t>
        </is>
      </c>
      <c r="H680" s="2" t="inlineStr">
        <is>
          <t>betrivers</t>
        </is>
      </c>
      <c r="I680" s="4" t="n"/>
      <c r="J680" s="4" t="n"/>
      <c r="K680" s="4" t="n">
        <v>112</v>
      </c>
      <c r="L680" s="4" t="n">
        <v>112</v>
      </c>
      <c r="M680" s="5" t="n">
        <v>6.5</v>
      </c>
      <c r="N680" s="5" t="n">
        <v>6.371434766829218</v>
      </c>
      <c r="O680" s="5" t="n">
        <v>6.5</v>
      </c>
      <c r="P680" s="5" t="n">
        <v>0.1285652331707823</v>
      </c>
      <c r="Q680" s="6" t="n">
        <v>0.159349229363806</v>
      </c>
      <c r="R680" s="6" t="n">
        <v>0.5468628440395311</v>
      </c>
      <c r="S680" s="6" t="n">
        <v>0.4508825786646201</v>
      </c>
      <c r="T680" s="2" t="inlineStr">
        <is>
          <t>Under</t>
        </is>
      </c>
      <c r="U680" s="4" t="n">
        <v>112</v>
      </c>
      <c r="V680" s="2" t="n">
        <v>2.12</v>
      </c>
      <c r="W680" s="4" t="n">
        <v>112</v>
      </c>
      <c r="X680" s="2" t="n">
        <v>1</v>
      </c>
      <c r="Y680" s="5" t="n">
        <v>-1</v>
      </c>
      <c r="Z680" s="7" t="n">
        <v>100</v>
      </c>
      <c r="AA680" s="7">
        <f>Y680*Z680</f>
        <v/>
      </c>
      <c r="AB680" s="6">
        <f>IF(Z680=0,0,AA680/Z680)</f>
        <v/>
      </c>
      <c r="AC680" s="6" t="n"/>
      <c r="AD680" s="2" t="inlineStr">
        <is>
          <t>Loss</t>
        </is>
      </c>
      <c r="AE680" s="6">
        <f>IF((COUNTIF($AD$2:AD680,"Win")+COUNTIF($AD$2:AD680,"Loss"))=0,0,COUNTIF($AD$2:AD680,"Win")/(COUNTIF($AD$2:AD680,"Win")+COUNTIF($AD$2:AD680,"Loss")))</f>
        <v/>
      </c>
      <c r="AF680" s="6">
        <f>SUM($Y$2:Y680)/SUM($X$2:X680)</f>
        <v/>
      </c>
      <c r="AG680" s="5">
        <f>SUM($Y$2:Y680)</f>
        <v/>
      </c>
      <c r="AH680" s="7">
        <f>10000.0+SUM($AA$2:AA680)</f>
        <v/>
      </c>
      <c r="AI680" s="2" t="n">
        <v>2026</v>
      </c>
      <c r="AJ680" s="2" t="inlineStr">
        <is>
          <t>2026-04</t>
        </is>
      </c>
      <c r="AK680" s="2" t="inlineStr">
        <is>
          <t>+100 to +120</t>
        </is>
      </c>
      <c r="AL680" s="2" t="inlineStr">
        <is>
          <t>2026 Frozen Test</t>
        </is>
      </c>
      <c r="AM680" s="6" t="n">
        <v>0.1422760976462554</v>
      </c>
    </row>
    <row r="681">
      <c r="A681" s="2" t="inlineStr">
        <is>
          <t>KPROP-00680</t>
        </is>
      </c>
      <c r="B681" s="3" t="n">
        <v>46138.56640046297</v>
      </c>
      <c r="C681" s="3" t="n">
        <v>46138</v>
      </c>
      <c r="D681" s="2" t="inlineStr">
        <is>
          <t>Chris Sale</t>
        </is>
      </c>
      <c r="E681" s="2" t="n">
        <v>144</v>
      </c>
      <c r="F681" s="2" t="n">
        <v>143</v>
      </c>
      <c r="G681" s="2" t="inlineStr">
        <is>
          <t>Home</t>
        </is>
      </c>
      <c r="H681" s="2" t="inlineStr">
        <is>
          <t>betrivers</t>
        </is>
      </c>
      <c r="I681" s="4" t="n"/>
      <c r="J681" s="4" t="n"/>
      <c r="K681" s="4" t="n">
        <v>-182</v>
      </c>
      <c r="L681" s="4" t="n">
        <v>-182</v>
      </c>
      <c r="M681" s="5" t="n">
        <v>7.5</v>
      </c>
      <c r="N681" s="5" t="n">
        <v>6.371434766829218</v>
      </c>
      <c r="O681" s="5" t="n">
        <v>7.5</v>
      </c>
      <c r="P681" s="5" t="n">
        <v>1.128565233170782</v>
      </c>
      <c r="Q681" s="6" t="n">
        <v>0.07137866018305011</v>
      </c>
      <c r="R681" s="6" t="n">
        <v>0.6914571494798408</v>
      </c>
      <c r="S681" s="6" t="n">
        <v>0.6026490066225165</v>
      </c>
      <c r="T681" s="2" t="inlineStr">
        <is>
          <t>Under</t>
        </is>
      </c>
      <c r="U681" s="4" t="n">
        <v>-182</v>
      </c>
      <c r="V681" s="2" t="n">
        <v>1.549450549450549</v>
      </c>
      <c r="W681" s="4" t="n">
        <v>-182</v>
      </c>
      <c r="X681" s="2" t="n">
        <v>1</v>
      </c>
      <c r="Y681" s="5" t="n">
        <v>-1</v>
      </c>
      <c r="Z681" s="7" t="n">
        <v>100</v>
      </c>
      <c r="AA681" s="7">
        <f>Y681*Z681</f>
        <v/>
      </c>
      <c r="AB681" s="6">
        <f>IF(Z681=0,0,AA681/Z681)</f>
        <v/>
      </c>
      <c r="AC681" s="6" t="n"/>
      <c r="AD681" s="2" t="inlineStr">
        <is>
          <t>Loss</t>
        </is>
      </c>
      <c r="AE681" s="6">
        <f>IF((COUNTIF($AD$2:AD681,"Win")+COUNTIF($AD$2:AD681,"Loss"))=0,0,COUNTIF($AD$2:AD681,"Win")/(COUNTIF($AD$2:AD681,"Win")+COUNTIF($AD$2:AD681,"Loss")))</f>
        <v/>
      </c>
      <c r="AF681" s="6">
        <f>SUM($Y$2:Y681)/SUM($X$2:X681)</f>
        <v/>
      </c>
      <c r="AG681" s="5">
        <f>SUM($Y$2:Y681)</f>
        <v/>
      </c>
      <c r="AH681" s="7">
        <f>10000.0+SUM($AA$2:AA681)</f>
        <v/>
      </c>
      <c r="AI681" s="2" t="n">
        <v>2026</v>
      </c>
      <c r="AJ681" s="2" t="inlineStr">
        <is>
          <t>2026-04</t>
        </is>
      </c>
      <c r="AK681" s="2" t="inlineStr">
        <is>
          <t>&lt;= -150</t>
        </is>
      </c>
      <c r="AL681" s="2" t="inlineStr">
        <is>
          <t>2026 Frozen Test</t>
        </is>
      </c>
      <c r="AM681" s="6" t="n">
        <v>0.1299091615331512</v>
      </c>
    </row>
    <row r="682">
      <c r="A682" s="2" t="inlineStr">
        <is>
          <t>KPROP-00681</t>
        </is>
      </c>
      <c r="B682" s="3" t="n">
        <v>46138.71571759259</v>
      </c>
      <c r="C682" s="3" t="n">
        <v>46138</v>
      </c>
      <c r="D682" s="2" t="inlineStr">
        <is>
          <t>Kodai Senga</t>
        </is>
      </c>
      <c r="E682" s="2" t="n">
        <v>121</v>
      </c>
      <c r="F682" s="2" t="n">
        <v>115</v>
      </c>
      <c r="G682" s="2" t="inlineStr">
        <is>
          <t>Home</t>
        </is>
      </c>
      <c r="H682" s="2" t="inlineStr">
        <is>
          <t>bovada</t>
        </is>
      </c>
      <c r="I682" s="4" t="n"/>
      <c r="J682" s="4" t="n"/>
      <c r="K682" s="4" t="n">
        <v>110</v>
      </c>
      <c r="L682" s="4" t="n">
        <v>110</v>
      </c>
      <c r="M682" s="5" t="n">
        <v>5.5</v>
      </c>
      <c r="N682" s="5" t="n">
        <v>5.343346600781352</v>
      </c>
      <c r="O682" s="5" t="n">
        <v>5.5</v>
      </c>
      <c r="P682" s="5" t="n">
        <v>0.1566533992186478</v>
      </c>
      <c r="Q682" s="6" t="n">
        <v>0.1674796438598332</v>
      </c>
      <c r="R682" s="6" t="n">
        <v>0.5559426875523015</v>
      </c>
      <c r="S682" s="6" t="n">
        <v>0.4465592972181552</v>
      </c>
      <c r="T682" s="2" t="inlineStr">
        <is>
          <t>Under</t>
        </is>
      </c>
      <c r="U682" s="4" t="n">
        <v>110</v>
      </c>
      <c r="V682" s="2" t="n">
        <v>2.1</v>
      </c>
      <c r="W682" s="4" t="n">
        <v>110</v>
      </c>
      <c r="X682" s="2" t="n">
        <v>1</v>
      </c>
      <c r="Y682" s="5" t="n">
        <v>1.1</v>
      </c>
      <c r="Z682" s="7" t="n">
        <v>100</v>
      </c>
      <c r="AA682" s="7">
        <f>Y682*Z682</f>
        <v/>
      </c>
      <c r="AB682" s="6">
        <f>IF(Z682=0,0,AA682/Z682)</f>
        <v/>
      </c>
      <c r="AC682" s="6" t="n"/>
      <c r="AD682" s="2" t="inlineStr">
        <is>
          <t>Win</t>
        </is>
      </c>
      <c r="AE682" s="6">
        <f>IF((COUNTIF($AD$2:AD682,"Win")+COUNTIF($AD$2:AD682,"Loss"))=0,0,COUNTIF($AD$2:AD682,"Win")/(COUNTIF($AD$2:AD682,"Win")+COUNTIF($AD$2:AD682,"Loss")))</f>
        <v/>
      </c>
      <c r="AF682" s="6">
        <f>SUM($Y$2:Y682)/SUM($X$2:X682)</f>
        <v/>
      </c>
      <c r="AG682" s="5">
        <f>SUM($Y$2:Y682)</f>
        <v/>
      </c>
      <c r="AH682" s="7">
        <f>10000.0+SUM($AA$2:AA682)</f>
        <v/>
      </c>
      <c r="AI682" s="2" t="n">
        <v>2026</v>
      </c>
      <c r="AJ682" s="2" t="inlineStr">
        <is>
          <t>2026-04</t>
        </is>
      </c>
      <c r="AK682" s="2" t="inlineStr">
        <is>
          <t>+100 to +120</t>
        </is>
      </c>
      <c r="AL682" s="2" t="inlineStr">
        <is>
          <t>2026 Frozen Test</t>
        </is>
      </c>
      <c r="AM682" s="6" t="n">
        <v>0.1522542216907574</v>
      </c>
    </row>
    <row r="683">
      <c r="A683" s="2" t="inlineStr">
        <is>
          <t>KPROP-00682</t>
        </is>
      </c>
      <c r="B683" s="3" t="n">
        <v>46138.60806712963</v>
      </c>
      <c r="C683" s="3" t="n">
        <v>46138</v>
      </c>
      <c r="D683" s="2" t="inlineStr">
        <is>
          <t>Kumar Rocker</t>
        </is>
      </c>
      <c r="E683" s="2" t="n">
        <v>140</v>
      </c>
      <c r="F683" s="2" t="n">
        <v>133</v>
      </c>
      <c r="G683" s="2" t="inlineStr">
        <is>
          <t>Home</t>
        </is>
      </c>
      <c r="H683" s="2" t="inlineStr">
        <is>
          <t>betrivers</t>
        </is>
      </c>
      <c r="I683" s="4" t="n"/>
      <c r="J683" s="4" t="n"/>
      <c r="K683" s="4" t="n">
        <v>-108</v>
      </c>
      <c r="L683" s="4" t="n">
        <v>-108</v>
      </c>
      <c r="M683" s="5" t="n">
        <v>4.5</v>
      </c>
      <c r="N683" s="5" t="n">
        <v>4.311000638859488</v>
      </c>
      <c r="O683" s="5" t="n">
        <v>4.5</v>
      </c>
      <c r="P683" s="5" t="n">
        <v>0.1889993611405121</v>
      </c>
      <c r="Q683" s="6" t="n">
        <v>0.09452813007114781</v>
      </c>
      <c r="R683" s="6" t="n">
        <v>0.5683126829215575</v>
      </c>
      <c r="S683" s="6" t="n">
        <v>0.5034106412005458</v>
      </c>
      <c r="T683" s="2" t="inlineStr">
        <is>
          <t>Under</t>
        </is>
      </c>
      <c r="U683" s="4" t="n">
        <v>-108</v>
      </c>
      <c r="V683" s="2" t="n">
        <v>1.925925925925926</v>
      </c>
      <c r="W683" s="4" t="n">
        <v>-108</v>
      </c>
      <c r="X683" s="2" t="n">
        <v>1</v>
      </c>
      <c r="Y683" s="5" t="n">
        <v>0.925925925925926</v>
      </c>
      <c r="Z683" s="7" t="n">
        <v>100</v>
      </c>
      <c r="AA683" s="7">
        <f>Y683*Z683</f>
        <v/>
      </c>
      <c r="AB683" s="6">
        <f>IF(Z683=0,0,AA683/Z683)</f>
        <v/>
      </c>
      <c r="AC683" s="6" t="n"/>
      <c r="AD683" s="2" t="inlineStr">
        <is>
          <t>Win</t>
        </is>
      </c>
      <c r="AE683" s="6">
        <f>IF((COUNTIF($AD$2:AD683,"Win")+COUNTIF($AD$2:AD683,"Loss"))=0,0,COUNTIF($AD$2:AD683,"Win")/(COUNTIF($AD$2:AD683,"Win")+COUNTIF($AD$2:AD683,"Loss")))</f>
        <v/>
      </c>
      <c r="AF683" s="6">
        <f>SUM($Y$2:Y683)/SUM($X$2:X683)</f>
        <v/>
      </c>
      <c r="AG683" s="5">
        <f>SUM($Y$2:Y683)</f>
        <v/>
      </c>
      <c r="AH683" s="7">
        <f>10000.0+SUM($AA$2:AA683)</f>
        <v/>
      </c>
      <c r="AI683" s="2" t="n">
        <v>2026</v>
      </c>
      <c r="AJ683" s="2" t="inlineStr">
        <is>
          <t>2026-04</t>
        </is>
      </c>
      <c r="AK683" s="2" t="inlineStr">
        <is>
          <t>-119 to -101</t>
        </is>
      </c>
      <c r="AL683" s="2" t="inlineStr">
        <is>
          <t>2026 Frozen Test</t>
        </is>
      </c>
      <c r="AM683" s="6" t="n">
        <v>0.1020903804768396</v>
      </c>
    </row>
    <row r="684">
      <c r="A684" s="2" t="inlineStr">
        <is>
          <t>KPROP-00683</t>
        </is>
      </c>
      <c r="B684" s="3" t="n">
        <v>46138.59070601852</v>
      </c>
      <c r="C684" s="3" t="n">
        <v>46138</v>
      </c>
      <c r="D684" s="2" t="inlineStr">
        <is>
          <t>Kyle Harrison</t>
        </is>
      </c>
      <c r="E684" s="2" t="n">
        <v>158</v>
      </c>
      <c r="F684" s="2" t="n">
        <v>134</v>
      </c>
      <c r="G684" s="2" t="inlineStr">
        <is>
          <t>Home</t>
        </is>
      </c>
      <c r="H684" s="2" t="inlineStr">
        <is>
          <t>fanduel</t>
        </is>
      </c>
      <c r="I684" s="4" t="n"/>
      <c r="J684" s="4" t="n"/>
      <c r="K684" s="4" t="n">
        <v>106</v>
      </c>
      <c r="L684" s="4" t="n">
        <v>106</v>
      </c>
      <c r="M684" s="5" t="n">
        <v>5.5</v>
      </c>
      <c r="N684" s="5" t="n">
        <v>5.028285501619282</v>
      </c>
      <c r="O684" s="5" t="n">
        <v>5.5</v>
      </c>
      <c r="P684" s="5" t="n">
        <v>0.4717144983807184</v>
      </c>
      <c r="Q684" s="6" t="n">
        <v>0.2586550647511423</v>
      </c>
      <c r="R684" s="6" t="n">
        <v>0.6109976042481273</v>
      </c>
      <c r="S684" s="6" t="n">
        <v>0.4690272965435646</v>
      </c>
      <c r="T684" s="2" t="inlineStr">
        <is>
          <t>Under</t>
        </is>
      </c>
      <c r="U684" s="4" t="n">
        <v>106</v>
      </c>
      <c r="V684" s="2" t="n">
        <v>2.06</v>
      </c>
      <c r="W684" s="4" t="n">
        <v>106</v>
      </c>
      <c r="X684" s="2" t="n">
        <v>1</v>
      </c>
      <c r="Y684" s="5" t="n">
        <v>-1</v>
      </c>
      <c r="Z684" s="7" t="n">
        <v>100</v>
      </c>
      <c r="AA684" s="7">
        <f>Y684*Z684</f>
        <v/>
      </c>
      <c r="AB684" s="6">
        <f>IF(Z684=0,0,AA684/Z684)</f>
        <v/>
      </c>
      <c r="AC684" s="6" t="n"/>
      <c r="AD684" s="2" t="inlineStr">
        <is>
          <t>Loss</t>
        </is>
      </c>
      <c r="AE684" s="6">
        <f>IF((COUNTIF($AD$2:AD684,"Win")+COUNTIF($AD$2:AD684,"Loss"))=0,0,COUNTIF($AD$2:AD684,"Win")/(COUNTIF($AD$2:AD684,"Win")+COUNTIF($AD$2:AD684,"Loss")))</f>
        <v/>
      </c>
      <c r="AF684" s="6">
        <f>SUM($Y$2:Y684)/SUM($X$2:X684)</f>
        <v/>
      </c>
      <c r="AG684" s="5">
        <f>SUM($Y$2:Y684)</f>
        <v/>
      </c>
      <c r="AH684" s="7">
        <f>10000.0+SUM($AA$2:AA684)</f>
        <v/>
      </c>
      <c r="AI684" s="2" t="n">
        <v>2026</v>
      </c>
      <c r="AJ684" s="2" t="inlineStr">
        <is>
          <t>2026-04</t>
        </is>
      </c>
      <c r="AK684" s="2" t="inlineStr">
        <is>
          <t>+100 to +120</t>
        </is>
      </c>
      <c r="AL684" s="2" t="inlineStr">
        <is>
          <t>2026 Frozen Test</t>
        </is>
      </c>
      <c r="AM684" s="6" t="n">
        <v>0.2440142120293795</v>
      </c>
    </row>
    <row r="685">
      <c r="A685" s="2" t="inlineStr">
        <is>
          <t>KPROP-00684</t>
        </is>
      </c>
      <c r="B685" s="3" t="n">
        <v>46139.75737268518</v>
      </c>
      <c r="C685" s="3" t="n">
        <v>46139</v>
      </c>
      <c r="D685" s="2" t="inlineStr">
        <is>
          <t>Steven Matz</t>
        </is>
      </c>
      <c r="E685" s="2" t="n">
        <v>139</v>
      </c>
      <c r="F685" s="2" t="n">
        <v>114</v>
      </c>
      <c r="G685" s="2" t="inlineStr">
        <is>
          <t>Away</t>
        </is>
      </c>
      <c r="H685" s="2" t="inlineStr">
        <is>
          <t>betrivers</t>
        </is>
      </c>
      <c r="I685" s="4" t="n"/>
      <c r="J685" s="4" t="n"/>
      <c r="K685" s="4" t="n">
        <v>145</v>
      </c>
      <c r="L685" s="4" t="n">
        <v>145</v>
      </c>
      <c r="M685" s="5" t="n">
        <v>3.5</v>
      </c>
      <c r="N685" s="5" t="n">
        <v>3.751889003765403</v>
      </c>
      <c r="O685" s="5" t="n">
        <v>3.5</v>
      </c>
      <c r="P685" s="5" t="n">
        <v>-0.2518890037654034</v>
      </c>
      <c r="Q685" s="6" t="n">
        <v>0.1842736506822787</v>
      </c>
      <c r="R685" s="6" t="n">
        <v>0.4833770002784811</v>
      </c>
      <c r="S685" s="6" t="n">
        <v>0.4088471849865952</v>
      </c>
      <c r="T685" s="2" t="inlineStr">
        <is>
          <t>Under</t>
        </is>
      </c>
      <c r="U685" s="4" t="n">
        <v>145</v>
      </c>
      <c r="V685" s="2" t="n">
        <v>2.45</v>
      </c>
      <c r="W685" s="4" t="n">
        <v>145</v>
      </c>
      <c r="X685" s="2" t="n">
        <v>1</v>
      </c>
      <c r="Y685" s="5" t="n">
        <v>1.45</v>
      </c>
      <c r="Z685" s="7" t="n">
        <v>100</v>
      </c>
      <c r="AA685" s="7">
        <f>Y685*Z685</f>
        <v/>
      </c>
      <c r="AB685" s="6">
        <f>IF(Z685=0,0,AA685/Z685)</f>
        <v/>
      </c>
      <c r="AC685" s="6" t="n"/>
      <c r="AD685" s="2" t="inlineStr">
        <is>
          <t>Win</t>
        </is>
      </c>
      <c r="AE685" s="6">
        <f>IF((COUNTIF($AD$2:AD685,"Win")+COUNTIF($AD$2:AD685,"Loss"))=0,0,COUNTIF($AD$2:AD685,"Win")/(COUNTIF($AD$2:AD685,"Win")+COUNTIF($AD$2:AD685,"Loss")))</f>
        <v/>
      </c>
      <c r="AF685" s="6">
        <f>SUM($Y$2:Y685)/SUM($X$2:X685)</f>
        <v/>
      </c>
      <c r="AG685" s="5">
        <f>SUM($Y$2:Y685)</f>
        <v/>
      </c>
      <c r="AH685" s="7">
        <f>10000.0+SUM($AA$2:AA685)</f>
        <v/>
      </c>
      <c r="AI685" s="2" t="n">
        <v>2026</v>
      </c>
      <c r="AJ685" s="2" t="inlineStr">
        <is>
          <t>2026-04</t>
        </is>
      </c>
      <c r="AK685" s="2" t="inlineStr">
        <is>
          <t>+121 to +150</t>
        </is>
      </c>
      <c r="AL685" s="2" t="inlineStr">
        <is>
          <t>2026 Frozen Test</t>
        </is>
      </c>
      <c r="AM685" s="6" t="n">
        <v>0.127085276332606</v>
      </c>
    </row>
    <row r="686">
      <c r="A686" s="2" t="inlineStr">
        <is>
          <t>KPROP-00685</t>
        </is>
      </c>
      <c r="B686" s="3" t="n">
        <v>46139.75737268518</v>
      </c>
      <c r="C686" s="3" t="n">
        <v>46139</v>
      </c>
      <c r="D686" s="2" t="inlineStr">
        <is>
          <t>Steven Matz</t>
        </is>
      </c>
      <c r="E686" s="2" t="n">
        <v>139</v>
      </c>
      <c r="F686" s="2" t="n">
        <v>114</v>
      </c>
      <c r="G686" s="2" t="inlineStr">
        <is>
          <t>Away</t>
        </is>
      </c>
      <c r="H686" s="2" t="inlineStr">
        <is>
          <t>betrivers</t>
        </is>
      </c>
      <c r="I686" s="4" t="n"/>
      <c r="J686" s="4" t="n"/>
      <c r="K686" s="4" t="n">
        <v>-150</v>
      </c>
      <c r="L686" s="4" t="n">
        <v>-150</v>
      </c>
      <c r="M686" s="5" t="n">
        <v>4.5</v>
      </c>
      <c r="N686" s="5" t="n">
        <v>3.751889003765403</v>
      </c>
      <c r="O686" s="5" t="n">
        <v>4.5</v>
      </c>
      <c r="P686" s="5" t="n">
        <v>0.7481109962345966</v>
      </c>
      <c r="Q686" s="6" t="n">
        <v>0.1286359358098087</v>
      </c>
      <c r="R686" s="6" t="n">
        <v>0.6771815614858853</v>
      </c>
      <c r="S686" s="6" t="n">
        <v>0.5850622406639003</v>
      </c>
      <c r="T686" s="2" t="inlineStr">
        <is>
          <t>Under</t>
        </is>
      </c>
      <c r="U686" s="4" t="n">
        <v>-150</v>
      </c>
      <c r="V686" s="2" t="n">
        <v>1.666666666666667</v>
      </c>
      <c r="W686" s="4" t="n">
        <v>-150</v>
      </c>
      <c r="X686" s="2" t="n">
        <v>1</v>
      </c>
      <c r="Y686" s="5" t="n">
        <v>0.6666666666666665</v>
      </c>
      <c r="Z686" s="7" t="n">
        <v>100</v>
      </c>
      <c r="AA686" s="7">
        <f>Y686*Z686</f>
        <v/>
      </c>
      <c r="AB686" s="6">
        <f>IF(Z686=0,0,AA686/Z686)</f>
        <v/>
      </c>
      <c r="AC686" s="6" t="n"/>
      <c r="AD686" s="2" t="inlineStr">
        <is>
          <t>Win</t>
        </is>
      </c>
      <c r="AE686" s="6">
        <f>IF((COUNTIF($AD$2:AD686,"Win")+COUNTIF($AD$2:AD686,"Loss"))=0,0,COUNTIF($AD$2:AD686,"Win")/(COUNTIF($AD$2:AD686,"Win")+COUNTIF($AD$2:AD686,"Loss")))</f>
        <v/>
      </c>
      <c r="AF686" s="6">
        <f>SUM($Y$2:Y686)/SUM($X$2:X686)</f>
        <v/>
      </c>
      <c r="AG686" s="5">
        <f>SUM($Y$2:Y686)</f>
        <v/>
      </c>
      <c r="AH686" s="7">
        <f>10000.0+SUM($AA$2:AA686)</f>
        <v/>
      </c>
      <c r="AI686" s="2" t="n">
        <v>2026</v>
      </c>
      <c r="AJ686" s="2" t="inlineStr">
        <is>
          <t>2026-04</t>
        </is>
      </c>
      <c r="AK686" s="2" t="inlineStr">
        <is>
          <t>&lt;= -150</t>
        </is>
      </c>
      <c r="AL686" s="2" t="inlineStr">
        <is>
          <t>2026 Frozen Test</t>
        </is>
      </c>
      <c r="AM686" s="6" t="n">
        <v>0.1929539037147131</v>
      </c>
    </row>
    <row r="687">
      <c r="A687" s="2" t="inlineStr">
        <is>
          <t>KPROP-00686</t>
        </is>
      </c>
      <c r="B687" s="3" t="n">
        <v>46140.77820601852</v>
      </c>
      <c r="C687" s="3" t="n">
        <v>46140</v>
      </c>
      <c r="D687" s="2" t="inlineStr">
        <is>
          <t>Braxton Ashcraft</t>
        </is>
      </c>
      <c r="E687" s="2" t="n">
        <v>134</v>
      </c>
      <c r="F687" s="2" t="n">
        <v>138</v>
      </c>
      <c r="G687" s="2" t="inlineStr">
        <is>
          <t>Home</t>
        </is>
      </c>
      <c r="H687" s="2" t="inlineStr">
        <is>
          <t>draftkings</t>
        </is>
      </c>
      <c r="I687" s="4" t="n"/>
      <c r="J687" s="4" t="n"/>
      <c r="K687" s="4" t="n">
        <v>106</v>
      </c>
      <c r="L687" s="4" t="n">
        <v>106</v>
      </c>
      <c r="M687" s="5" t="n">
        <v>5.5</v>
      </c>
      <c r="N687" s="5" t="n">
        <v>5.546441415081595</v>
      </c>
      <c r="O687" s="5" t="n">
        <v>5.5</v>
      </c>
      <c r="P687" s="5" t="n">
        <v>-0.04644141508159549</v>
      </c>
      <c r="Q687" s="6" t="n">
        <v>0.07321024190312997</v>
      </c>
      <c r="R687" s="6" t="n">
        <v>0.5209758455840436</v>
      </c>
      <c r="S687" s="6" t="n">
        <v>0.4708904109589041</v>
      </c>
      <c r="T687" s="2" t="inlineStr">
        <is>
          <t>Under</t>
        </is>
      </c>
      <c r="U687" s="4" t="n">
        <v>106</v>
      </c>
      <c r="V687" s="2" t="n">
        <v>2.06</v>
      </c>
      <c r="W687" s="4" t="n">
        <v>106</v>
      </c>
      <c r="X687" s="2" t="n">
        <v>1</v>
      </c>
      <c r="Y687" s="5" t="n">
        <v>-1</v>
      </c>
      <c r="Z687" s="7" t="n">
        <v>100</v>
      </c>
      <c r="AA687" s="7">
        <f>Y687*Z687</f>
        <v/>
      </c>
      <c r="AB687" s="6">
        <f>IF(Z687=0,0,AA687/Z687)</f>
        <v/>
      </c>
      <c r="AC687" s="6" t="n"/>
      <c r="AD687" s="2" t="inlineStr">
        <is>
          <t>Loss</t>
        </is>
      </c>
      <c r="AE687" s="6">
        <f>IF((COUNTIF($AD$2:AD687,"Win")+COUNTIF($AD$2:AD687,"Loss"))=0,0,COUNTIF($AD$2:AD687,"Win")/(COUNTIF($AD$2:AD687,"Win")+COUNTIF($AD$2:AD687,"Loss")))</f>
        <v/>
      </c>
      <c r="AF687" s="6">
        <f>SUM($Y$2:Y687)/SUM($X$2:X687)</f>
        <v/>
      </c>
      <c r="AG687" s="5">
        <f>SUM($Y$2:Y687)</f>
        <v/>
      </c>
      <c r="AH687" s="7">
        <f>10000.0+SUM($AA$2:AA687)</f>
        <v/>
      </c>
      <c r="AI687" s="2" t="n">
        <v>2026</v>
      </c>
      <c r="AJ687" s="2" t="inlineStr">
        <is>
          <t>2026-04</t>
        </is>
      </c>
      <c r="AK687" s="2" t="inlineStr">
        <is>
          <t>+100 to +120</t>
        </is>
      </c>
      <c r="AL687" s="2" t="inlineStr">
        <is>
          <t>2026 Frozen Test</t>
        </is>
      </c>
      <c r="AM687" s="6" t="n">
        <v>0.06906626594634903</v>
      </c>
    </row>
    <row r="688">
      <c r="A688" s="2" t="inlineStr">
        <is>
          <t>KPROP-00687</t>
        </is>
      </c>
      <c r="B688" s="3" t="n">
        <v>46140.80252314815</v>
      </c>
      <c r="C688" s="3" t="n">
        <v>46140</v>
      </c>
      <c r="D688" s="2" t="inlineStr">
        <is>
          <t>Casey Mize</t>
        </is>
      </c>
      <c r="E688" s="2" t="n">
        <v>116</v>
      </c>
      <c r="F688" s="2" t="n">
        <v>144</v>
      </c>
      <c r="G688" s="2" t="inlineStr">
        <is>
          <t>Away</t>
        </is>
      </c>
      <c r="H688" s="2" t="inlineStr">
        <is>
          <t>betmgm</t>
        </is>
      </c>
      <c r="I688" s="4" t="n"/>
      <c r="J688" s="4" t="n"/>
      <c r="K688" s="4" t="n">
        <v>100</v>
      </c>
      <c r="L688" s="4" t="n">
        <v>100</v>
      </c>
      <c r="M688" s="5" t="n">
        <v>4.5</v>
      </c>
      <c r="N688" s="5" t="n">
        <v>4.469610947732616</v>
      </c>
      <c r="O688" s="5" t="n">
        <v>4.5</v>
      </c>
      <c r="P688" s="5" t="n">
        <v>0.03038905226738375</v>
      </c>
      <c r="Q688" s="6" t="n">
        <v>0.07576244553955513</v>
      </c>
      <c r="R688" s="6" t="n">
        <v>0.5378812227697776</v>
      </c>
      <c r="S688" s="6" t="n">
        <v>0.4883720930232558</v>
      </c>
      <c r="T688" s="2" t="inlineStr">
        <is>
          <t>Under</t>
        </is>
      </c>
      <c r="U688" s="4" t="n">
        <v>100</v>
      </c>
      <c r="V688" s="2" t="n">
        <v>2</v>
      </c>
      <c r="W688" s="4" t="n">
        <v>100</v>
      </c>
      <c r="X688" s="2" t="n">
        <v>1</v>
      </c>
      <c r="Y688" s="5" t="n">
        <v>1</v>
      </c>
      <c r="Z688" s="7" t="n">
        <v>100</v>
      </c>
      <c r="AA688" s="7">
        <f>Y688*Z688</f>
        <v/>
      </c>
      <c r="AB688" s="6">
        <f>IF(Z688=0,0,AA688/Z688)</f>
        <v/>
      </c>
      <c r="AC688" s="6" t="n"/>
      <c r="AD688" s="2" t="inlineStr">
        <is>
          <t>Win</t>
        </is>
      </c>
      <c r="AE688" s="6">
        <f>IF((COUNTIF($AD$2:AD688,"Win")+COUNTIF($AD$2:AD688,"Loss"))=0,0,COUNTIF($AD$2:AD688,"Win")/(COUNTIF($AD$2:AD688,"Win")+COUNTIF($AD$2:AD688,"Loss")))</f>
        <v/>
      </c>
      <c r="AF688" s="6">
        <f>SUM($Y$2:Y688)/SUM($X$2:X688)</f>
        <v/>
      </c>
      <c r="AG688" s="5">
        <f>SUM($Y$2:Y688)</f>
        <v/>
      </c>
      <c r="AH688" s="7">
        <f>10000.0+SUM($AA$2:AA688)</f>
        <v/>
      </c>
      <c r="AI688" s="2" t="n">
        <v>2026</v>
      </c>
      <c r="AJ688" s="2" t="inlineStr">
        <is>
          <t>2026-04</t>
        </is>
      </c>
      <c r="AK688" s="2" t="inlineStr">
        <is>
          <t>+100 to +120</t>
        </is>
      </c>
      <c r="AL688" s="2" t="inlineStr">
        <is>
          <t>2026 Frozen Test</t>
        </is>
      </c>
      <c r="AM688" s="6" t="n">
        <v>0.07576244553955513</v>
      </c>
    </row>
    <row r="689">
      <c r="A689" s="2" t="inlineStr">
        <is>
          <t>KPROP-00688</t>
        </is>
      </c>
      <c r="B689" s="3" t="n">
        <v>46140.79905092593</v>
      </c>
      <c r="C689" s="3" t="n">
        <v>46140</v>
      </c>
      <c r="D689" s="2" t="inlineStr">
        <is>
          <t>Clay Holmes</t>
        </is>
      </c>
      <c r="E689" s="2" t="n">
        <v>121</v>
      </c>
      <c r="F689" s="2" t="n">
        <v>120</v>
      </c>
      <c r="G689" s="2" t="inlineStr">
        <is>
          <t>Home</t>
        </is>
      </c>
      <c r="H689" s="2" t="inlineStr">
        <is>
          <t>betonlineag</t>
        </is>
      </c>
      <c r="I689" s="4" t="n"/>
      <c r="J689" s="4" t="n"/>
      <c r="K689" s="4" t="n">
        <v>-154</v>
      </c>
      <c r="L689" s="4" t="n">
        <v>-154</v>
      </c>
      <c r="M689" s="5" t="n">
        <v>4.5</v>
      </c>
      <c r="N689" s="5" t="n">
        <v>3.879449762420199</v>
      </c>
      <c r="O689" s="5" t="n">
        <v>4.5</v>
      </c>
      <c r="P689" s="5" t="n">
        <v>0.6205502375798009</v>
      </c>
      <c r="Q689" s="6" t="n">
        <v>0.07599344671150665</v>
      </c>
      <c r="R689" s="6" t="n">
        <v>0.6523739795022521</v>
      </c>
      <c r="S689" s="6" t="n">
        <v>0.5844784714042665</v>
      </c>
      <c r="T689" s="2" t="inlineStr">
        <is>
          <t>Under</t>
        </is>
      </c>
      <c r="U689" s="4" t="n">
        <v>-154</v>
      </c>
      <c r="V689" s="2" t="n">
        <v>1.649350649350649</v>
      </c>
      <c r="W689" s="4" t="n">
        <v>-154</v>
      </c>
      <c r="X689" s="2" t="n">
        <v>1</v>
      </c>
      <c r="Y689" s="5" t="n">
        <v>-1</v>
      </c>
      <c r="Z689" s="7" t="n">
        <v>100</v>
      </c>
      <c r="AA689" s="7">
        <f>Y689*Z689</f>
        <v/>
      </c>
      <c r="AB689" s="6">
        <f>IF(Z689=0,0,AA689/Z689)</f>
        <v/>
      </c>
      <c r="AC689" s="6" t="n"/>
      <c r="AD689" s="2" t="inlineStr">
        <is>
          <t>Loss</t>
        </is>
      </c>
      <c r="AE689" s="6">
        <f>IF((COUNTIF($AD$2:AD689,"Win")+COUNTIF($AD$2:AD689,"Loss"))=0,0,COUNTIF($AD$2:AD689,"Win")/(COUNTIF($AD$2:AD689,"Win")+COUNTIF($AD$2:AD689,"Loss")))</f>
        <v/>
      </c>
      <c r="AF689" s="6">
        <f>SUM($Y$2:Y689)/SUM($X$2:X689)</f>
        <v/>
      </c>
      <c r="AG689" s="5">
        <f>SUM($Y$2:Y689)</f>
        <v/>
      </c>
      <c r="AH689" s="7">
        <f>10000.0+SUM($AA$2:AA689)</f>
        <v/>
      </c>
      <c r="AI689" s="2" t="n">
        <v>2026</v>
      </c>
      <c r="AJ689" s="2" t="inlineStr">
        <is>
          <t>2026-04</t>
        </is>
      </c>
      <c r="AK689" s="2" t="inlineStr">
        <is>
          <t>&lt;= -150</t>
        </is>
      </c>
      <c r="AL689" s="2" t="inlineStr">
        <is>
          <t>2026 Frozen Test</t>
        </is>
      </c>
      <c r="AM689" s="6" t="n">
        <v>0.1170299079357202</v>
      </c>
    </row>
    <row r="690">
      <c r="A690" s="2" t="inlineStr">
        <is>
          <t>KPROP-00689</t>
        </is>
      </c>
      <c r="B690" s="3" t="n">
        <v>46140.77820601852</v>
      </c>
      <c r="C690" s="3" t="n">
        <v>46140</v>
      </c>
      <c r="D690" s="2" t="inlineStr">
        <is>
          <t>Jesús Luzardo</t>
        </is>
      </c>
      <c r="E690" s="2" t="n">
        <v>143</v>
      </c>
      <c r="F690" s="2" t="n">
        <v>137</v>
      </c>
      <c r="G690" s="2" t="inlineStr">
        <is>
          <t>Home</t>
        </is>
      </c>
      <c r="H690" s="2" t="inlineStr">
        <is>
          <t>betmgm</t>
        </is>
      </c>
      <c r="I690" s="4" t="n"/>
      <c r="J690" s="4" t="n"/>
      <c r="K690" s="4" t="n">
        <v>115</v>
      </c>
      <c r="L690" s="4" t="n">
        <v>115</v>
      </c>
      <c r="M690" s="5" t="n">
        <v>6.5</v>
      </c>
      <c r="N690" s="5" t="n">
        <v>6.116106028782781</v>
      </c>
      <c r="O690" s="5" t="n">
        <v>6.5</v>
      </c>
      <c r="P690" s="5" t="n">
        <v>0.3838939712172191</v>
      </c>
      <c r="Q690" s="6" t="n">
        <v>0.2634698207113467</v>
      </c>
      <c r="R690" s="6" t="n">
        <v>0.5876603817262078</v>
      </c>
      <c r="S690" s="6" t="n">
        <v>0.451422963689892</v>
      </c>
      <c r="T690" s="2" t="inlineStr">
        <is>
          <t>Under</t>
        </is>
      </c>
      <c r="U690" s="4" t="n">
        <v>115</v>
      </c>
      <c r="V690" s="2" t="n">
        <v>2.15</v>
      </c>
      <c r="W690" s="4" t="n">
        <v>115</v>
      </c>
      <c r="X690" s="2" t="n">
        <v>1</v>
      </c>
      <c r="Y690" s="5" t="n">
        <v>-1</v>
      </c>
      <c r="Z690" s="7" t="n">
        <v>100</v>
      </c>
      <c r="AA690" s="7">
        <f>Y690*Z690</f>
        <v/>
      </c>
      <c r="AB690" s="6">
        <f>IF(Z690=0,0,AA690/Z690)</f>
        <v/>
      </c>
      <c r="AC690" s="6" t="n"/>
      <c r="AD690" s="2" t="inlineStr">
        <is>
          <t>Loss</t>
        </is>
      </c>
      <c r="AE690" s="6">
        <f>IF((COUNTIF($AD$2:AD690,"Win")+COUNTIF($AD$2:AD690,"Loss"))=0,0,COUNTIF($AD$2:AD690,"Win")/(COUNTIF($AD$2:AD690,"Win")+COUNTIF($AD$2:AD690,"Loss")))</f>
        <v/>
      </c>
      <c r="AF690" s="6">
        <f>SUM($Y$2:Y690)/SUM($X$2:X690)</f>
        <v/>
      </c>
      <c r="AG690" s="5">
        <f>SUM($Y$2:Y690)</f>
        <v/>
      </c>
      <c r="AH690" s="7">
        <f>10000.0+SUM($AA$2:AA690)</f>
        <v/>
      </c>
      <c r="AI690" s="2" t="n">
        <v>2026</v>
      </c>
      <c r="AJ690" s="2" t="inlineStr">
        <is>
          <t>2026-04</t>
        </is>
      </c>
      <c r="AK690" s="2" t="inlineStr">
        <is>
          <t>+100 to +120</t>
        </is>
      </c>
      <c r="AL690" s="2" t="inlineStr">
        <is>
          <t>2026 Frozen Test</t>
        </is>
      </c>
      <c r="AM690" s="6" t="n">
        <v>0.2291041919229102</v>
      </c>
    </row>
    <row r="691">
      <c r="A691" s="2" t="inlineStr">
        <is>
          <t>KPROP-00690</t>
        </is>
      </c>
      <c r="B691" s="3" t="n">
        <v>46140.77820601852</v>
      </c>
      <c r="C691" s="3" t="n">
        <v>46140</v>
      </c>
      <c r="D691" s="2" t="inlineStr">
        <is>
          <t>Kyle Leahy</t>
        </is>
      </c>
      <c r="E691" s="2" t="n">
        <v>138</v>
      </c>
      <c r="F691" s="2" t="n">
        <v>134</v>
      </c>
      <c r="G691" s="2" t="inlineStr">
        <is>
          <t>Away</t>
        </is>
      </c>
      <c r="H691" s="2" t="inlineStr">
        <is>
          <t>bovada</t>
        </is>
      </c>
      <c r="I691" s="4" t="n"/>
      <c r="J691" s="4" t="n"/>
      <c r="K691" s="4" t="n">
        <v>130</v>
      </c>
      <c r="L691" s="4" t="n">
        <v>130</v>
      </c>
      <c r="M691" s="5" t="n">
        <v>3.5</v>
      </c>
      <c r="N691" s="5" t="n">
        <v>3.772853206457573</v>
      </c>
      <c r="O691" s="5" t="n">
        <v>3.5</v>
      </c>
      <c r="P691" s="5" t="n">
        <v>-0.2728532064575728</v>
      </c>
      <c r="Q691" s="6" t="n">
        <v>0.101825382229662</v>
      </c>
      <c r="R691" s="6" t="n">
        <v>0.4790545140128966</v>
      </c>
      <c r="S691" s="6" t="n">
        <v>0.4140127388535032</v>
      </c>
      <c r="T691" s="2" t="inlineStr">
        <is>
          <t>Under</t>
        </is>
      </c>
      <c r="U691" s="4" t="n">
        <v>130</v>
      </c>
      <c r="V691" s="2" t="n">
        <v>2.3</v>
      </c>
      <c r="W691" s="4" t="n">
        <v>130</v>
      </c>
      <c r="X691" s="2" t="n">
        <v>1</v>
      </c>
      <c r="Y691" s="5" t="n">
        <v>-1</v>
      </c>
      <c r="Z691" s="7" t="n">
        <v>100</v>
      </c>
      <c r="AA691" s="7">
        <f>Y691*Z691</f>
        <v/>
      </c>
      <c r="AB691" s="6">
        <f>IF(Z691=0,0,AA691/Z691)</f>
        <v/>
      </c>
      <c r="AC691" s="6" t="n"/>
      <c r="AD691" s="2" t="inlineStr">
        <is>
          <t>Loss</t>
        </is>
      </c>
      <c r="AE691" s="6">
        <f>IF((COUNTIF($AD$2:AD691,"Win")+COUNTIF($AD$2:AD691,"Loss"))=0,0,COUNTIF($AD$2:AD691,"Win")/(COUNTIF($AD$2:AD691,"Win")+COUNTIF($AD$2:AD691,"Loss")))</f>
        <v/>
      </c>
      <c r="AF691" s="6">
        <f>SUM($Y$2:Y691)/SUM($X$2:X691)</f>
        <v/>
      </c>
      <c r="AG691" s="5">
        <f>SUM($Y$2:Y691)</f>
        <v/>
      </c>
      <c r="AH691" s="7">
        <f>10000.0+SUM($AA$2:AA691)</f>
        <v/>
      </c>
      <c r="AI691" s="2" t="n">
        <v>2026</v>
      </c>
      <c r="AJ691" s="2" t="inlineStr">
        <is>
          <t>2026-04</t>
        </is>
      </c>
      <c r="AK691" s="2" t="inlineStr">
        <is>
          <t>+121 to +150</t>
        </is>
      </c>
      <c r="AL691" s="2" t="inlineStr">
        <is>
          <t>2026 Frozen Test</t>
        </is>
      </c>
      <c r="AM691" s="6" t="n">
        <v>0.07832721709974</v>
      </c>
    </row>
    <row r="692">
      <c r="A692" s="2" t="inlineStr">
        <is>
          <t>KPROP-00691</t>
        </is>
      </c>
      <c r="B692" s="3" t="n">
        <v>46140.77820601852</v>
      </c>
      <c r="C692" s="3" t="n">
        <v>46140</v>
      </c>
      <c r="D692" s="2" t="inlineStr">
        <is>
          <t>Kyle Leahy</t>
        </is>
      </c>
      <c r="E692" s="2" t="n">
        <v>138</v>
      </c>
      <c r="F692" s="2" t="n">
        <v>134</v>
      </c>
      <c r="G692" s="2" t="inlineStr">
        <is>
          <t>Away</t>
        </is>
      </c>
      <c r="H692" s="2" t="inlineStr">
        <is>
          <t>betmgm</t>
        </is>
      </c>
      <c r="I692" s="4" t="n"/>
      <c r="J692" s="4" t="n"/>
      <c r="K692" s="4" t="n">
        <v>-165</v>
      </c>
      <c r="L692" s="4" t="n">
        <v>-165</v>
      </c>
      <c r="M692" s="5" t="n">
        <v>4.5</v>
      </c>
      <c r="N692" s="5" t="n">
        <v>3.772853206457573</v>
      </c>
      <c r="O692" s="5" t="n">
        <v>4.5</v>
      </c>
      <c r="P692" s="5" t="n">
        <v>0.7271467935424272</v>
      </c>
      <c r="Q692" s="6" t="n">
        <v>0.08106488235964937</v>
      </c>
      <c r="R692" s="6" t="n">
        <v>0.673115870148461</v>
      </c>
      <c r="S692" s="6" t="n">
        <v>0.5970807358978257</v>
      </c>
      <c r="T692" s="2" t="inlineStr">
        <is>
          <t>Under</t>
        </is>
      </c>
      <c r="U692" s="4" t="n">
        <v>-165</v>
      </c>
      <c r="V692" s="2" t="n">
        <v>1.606060606060606</v>
      </c>
      <c r="W692" s="4" t="n">
        <v>-165</v>
      </c>
      <c r="X692" s="2" t="n">
        <v>1</v>
      </c>
      <c r="Y692" s="5" t="n">
        <v>-1</v>
      </c>
      <c r="Z692" s="7" t="n">
        <v>100</v>
      </c>
      <c r="AA692" s="7">
        <f>Y692*Z692</f>
        <v/>
      </c>
      <c r="AB692" s="6">
        <f>IF(Z692=0,0,AA692/Z692)</f>
        <v/>
      </c>
      <c r="AC692" s="6" t="n"/>
      <c r="AD692" s="2" t="inlineStr">
        <is>
          <t>Loss</t>
        </is>
      </c>
      <c r="AE692" s="6">
        <f>IF((COUNTIF($AD$2:AD692,"Win")+COUNTIF($AD$2:AD692,"Loss"))=0,0,COUNTIF($AD$2:AD692,"Win")/(COUNTIF($AD$2:AD692,"Win")+COUNTIF($AD$2:AD692,"Loss")))</f>
        <v/>
      </c>
      <c r="AF692" s="6">
        <f>SUM($Y$2:Y692)/SUM($X$2:X692)</f>
        <v/>
      </c>
      <c r="AG692" s="5">
        <f>SUM($Y$2:Y692)</f>
        <v/>
      </c>
      <c r="AH692" s="7">
        <f>10000.0+SUM($AA$2:AA692)</f>
        <v/>
      </c>
      <c r="AI692" s="2" t="n">
        <v>2026</v>
      </c>
      <c r="AJ692" s="2" t="inlineStr">
        <is>
          <t>2026-04</t>
        </is>
      </c>
      <c r="AK692" s="2" t="inlineStr">
        <is>
          <t>&lt;= -150</t>
        </is>
      </c>
      <c r="AL692" s="2" t="inlineStr">
        <is>
          <t>2026 Frozen Test</t>
        </is>
      </c>
      <c r="AM692" s="6" t="n">
        <v>0.1337570558934215</v>
      </c>
    </row>
    <row r="693">
      <c r="A693" s="2" t="inlineStr">
        <is>
          <t>KPROP-00692</t>
        </is>
      </c>
      <c r="B693" s="3" t="n">
        <v>46140.81987268518</v>
      </c>
      <c r="C693" s="3" t="n">
        <v>46140</v>
      </c>
      <c r="D693" s="2" t="inlineStr">
        <is>
          <t>Logan Gilbert</t>
        </is>
      </c>
      <c r="E693" s="2" t="n">
        <v>136</v>
      </c>
      <c r="F693" s="2" t="n">
        <v>142</v>
      </c>
      <c r="G693" s="2" t="inlineStr">
        <is>
          <t>Away</t>
        </is>
      </c>
      <c r="H693" s="2" t="inlineStr">
        <is>
          <t>bovada</t>
        </is>
      </c>
      <c r="I693" s="4" t="n"/>
      <c r="J693" s="4" t="n"/>
      <c r="K693" s="4" t="n">
        <v>105</v>
      </c>
      <c r="L693" s="4" t="n">
        <v>105</v>
      </c>
      <c r="M693" s="5" t="n">
        <v>5.5</v>
      </c>
      <c r="N693" s="5" t="n">
        <v>5.529568174283631</v>
      </c>
      <c r="O693" s="5" t="n">
        <v>5.5</v>
      </c>
      <c r="P693" s="5" t="n">
        <v>-0.02956817428363134</v>
      </c>
      <c r="Q693" s="6" t="n">
        <v>0.07390809650933172</v>
      </c>
      <c r="R693" s="6" t="n">
        <v>0.5238576080533326</v>
      </c>
      <c r="S693" s="6" t="n">
        <v>0.4822043628013777</v>
      </c>
      <c r="T693" s="2" t="inlineStr">
        <is>
          <t>Under</t>
        </is>
      </c>
      <c r="U693" s="4" t="n">
        <v>105</v>
      </c>
      <c r="V693" s="2" t="n">
        <v>2.05</v>
      </c>
      <c r="W693" s="4" t="n">
        <v>105</v>
      </c>
      <c r="X693" s="2" t="n">
        <v>1</v>
      </c>
      <c r="Y693" s="5" t="n">
        <v>1.05</v>
      </c>
      <c r="Z693" s="7" t="n">
        <v>100</v>
      </c>
      <c r="AA693" s="7">
        <f>Y693*Z693</f>
        <v/>
      </c>
      <c r="AB693" s="6">
        <f>IF(Z693=0,0,AA693/Z693)</f>
        <v/>
      </c>
      <c r="AC693" s="6" t="n"/>
      <c r="AD693" s="2" t="inlineStr">
        <is>
          <t>Win</t>
        </is>
      </c>
      <c r="AE693" s="6">
        <f>IF((COUNTIF($AD$2:AD693,"Win")+COUNTIF($AD$2:AD693,"Loss"))=0,0,COUNTIF($AD$2:AD693,"Win")/(COUNTIF($AD$2:AD693,"Win")+COUNTIF($AD$2:AD693,"Loss")))</f>
        <v/>
      </c>
      <c r="AF693" s="6">
        <f>SUM($Y$2:Y693)/SUM($X$2:X693)</f>
        <v/>
      </c>
      <c r="AG693" s="5">
        <f>SUM($Y$2:Y693)</f>
        <v/>
      </c>
      <c r="AH693" s="7">
        <f>10000.0+SUM($AA$2:AA693)</f>
        <v/>
      </c>
      <c r="AI693" s="2" t="n">
        <v>2026</v>
      </c>
      <c r="AJ693" s="2" t="inlineStr">
        <is>
          <t>2026-04</t>
        </is>
      </c>
      <c r="AK693" s="2" t="inlineStr">
        <is>
          <t>+100 to +120</t>
        </is>
      </c>
      <c r="AL693" s="2" t="inlineStr">
        <is>
          <t>2026 Frozen Test</t>
        </is>
      </c>
      <c r="AM693" s="6" t="n">
        <v>0.0703886633422207</v>
      </c>
    </row>
    <row r="694">
      <c r="A694" s="2" t="inlineStr">
        <is>
          <t>KPROP-00693</t>
        </is>
      </c>
      <c r="B694" s="3" t="n">
        <v>46140.81987268518</v>
      </c>
      <c r="C694" s="3" t="n">
        <v>46140</v>
      </c>
      <c r="D694" s="2" t="inlineStr">
        <is>
          <t>Merrill Kelly</t>
        </is>
      </c>
      <c r="E694" s="2" t="n">
        <v>109</v>
      </c>
      <c r="F694" s="2" t="n">
        <v>158</v>
      </c>
      <c r="G694" s="2" t="inlineStr">
        <is>
          <t>Away</t>
        </is>
      </c>
      <c r="H694" s="2" t="inlineStr">
        <is>
          <t>draftkings</t>
        </is>
      </c>
      <c r="I694" s="4" t="n"/>
      <c r="J694" s="4" t="n"/>
      <c r="K694" s="4" t="n">
        <v>101</v>
      </c>
      <c r="L694" s="4" t="n">
        <v>101</v>
      </c>
      <c r="M694" s="5" t="n">
        <v>4.5</v>
      </c>
      <c r="N694" s="5" t="n">
        <v>4.406727828727686</v>
      </c>
      <c r="O694" s="5" t="n">
        <v>4.5</v>
      </c>
      <c r="P694" s="5" t="n">
        <v>0.09327217127231435</v>
      </c>
      <c r="Q694" s="6" t="n">
        <v>0.105287417873414</v>
      </c>
      <c r="R694" s="6" t="n">
        <v>0.5498942377479672</v>
      </c>
      <c r="S694" s="6" t="n">
        <v>0.4770164787510842</v>
      </c>
      <c r="T694" s="2" t="inlineStr">
        <is>
          <t>Under</t>
        </is>
      </c>
      <c r="U694" s="4" t="n">
        <v>101</v>
      </c>
      <c r="V694" s="2" t="n">
        <v>2.01</v>
      </c>
      <c r="W694" s="4" t="n">
        <v>101</v>
      </c>
      <c r="X694" s="2" t="n">
        <v>1</v>
      </c>
      <c r="Y694" s="5" t="n">
        <v>1.01</v>
      </c>
      <c r="Z694" s="7" t="n">
        <v>100</v>
      </c>
      <c r="AA694" s="7">
        <f>Y694*Z694</f>
        <v/>
      </c>
      <c r="AB694" s="6">
        <f>IF(Z694=0,0,AA694/Z694)</f>
        <v/>
      </c>
      <c r="AC694" s="6" t="n"/>
      <c r="AD694" s="2" t="inlineStr">
        <is>
          <t>Win</t>
        </is>
      </c>
      <c r="AE694" s="6">
        <f>IF((COUNTIF($AD$2:AD694,"Win")+COUNTIF($AD$2:AD694,"Loss"))=0,0,COUNTIF($AD$2:AD694,"Win")/(COUNTIF($AD$2:AD694,"Win")+COUNTIF($AD$2:AD694,"Loss")))</f>
        <v/>
      </c>
      <c r="AF694" s="6">
        <f>SUM($Y$2:Y694)/SUM($X$2:X694)</f>
        <v/>
      </c>
      <c r="AG694" s="5">
        <f>SUM($Y$2:Y694)</f>
        <v/>
      </c>
      <c r="AH694" s="7">
        <f>10000.0+SUM($AA$2:AA694)</f>
        <v/>
      </c>
      <c r="AI694" s="2" t="n">
        <v>2026</v>
      </c>
      <c r="AJ694" s="2" t="inlineStr">
        <is>
          <t>2026-04</t>
        </is>
      </c>
      <c r="AK694" s="2" t="inlineStr">
        <is>
          <t>+100 to +120</t>
        </is>
      </c>
      <c r="AL694" s="2" t="inlineStr">
        <is>
          <t>2026 Frozen Test</t>
        </is>
      </c>
      <c r="AM694" s="6" t="n">
        <v>0.104244968191499</v>
      </c>
    </row>
    <row r="695">
      <c r="A695" s="2" t="inlineStr">
        <is>
          <t>KPROP-00694</t>
        </is>
      </c>
      <c r="B695" s="3" t="n">
        <v>46140.75737268518</v>
      </c>
      <c r="C695" s="3" t="n">
        <v>46140</v>
      </c>
      <c r="D695" s="2" t="inlineStr">
        <is>
          <t>Tanner Bibee</t>
        </is>
      </c>
      <c r="E695" s="2" t="n">
        <v>114</v>
      </c>
      <c r="F695" s="2" t="n">
        <v>139</v>
      </c>
      <c r="G695" s="2" t="inlineStr">
        <is>
          <t>Home</t>
        </is>
      </c>
      <c r="H695" s="2" t="inlineStr">
        <is>
          <t>bovada</t>
        </is>
      </c>
      <c r="I695" s="4" t="n"/>
      <c r="J695" s="4" t="n"/>
      <c r="K695" s="4" t="n">
        <v>-105</v>
      </c>
      <c r="L695" s="4" t="n">
        <v>-105</v>
      </c>
      <c r="M695" s="5" t="n">
        <v>4.5</v>
      </c>
      <c r="N695" s="5" t="n">
        <v>4.19026141253629</v>
      </c>
      <c r="O695" s="5" t="n">
        <v>4.5</v>
      </c>
      <c r="P695" s="5" t="n">
        <v>0.30973858746371</v>
      </c>
      <c r="Q695" s="6" t="n">
        <v>0.1552645466286919</v>
      </c>
      <c r="R695" s="6" t="n">
        <v>0.5917208653464032</v>
      </c>
      <c r="S695" s="6" t="n">
        <v>0.4891657638136511</v>
      </c>
      <c r="T695" s="2" t="inlineStr">
        <is>
          <t>Under</t>
        </is>
      </c>
      <c r="U695" s="4" t="n">
        <v>-105</v>
      </c>
      <c r="V695" s="2" t="n">
        <v>1.952380952380952</v>
      </c>
      <c r="W695" s="4" t="n">
        <v>-105</v>
      </c>
      <c r="X695" s="2" t="n">
        <v>1</v>
      </c>
      <c r="Y695" s="5" t="n">
        <v>-1</v>
      </c>
      <c r="Z695" s="7" t="n">
        <v>100</v>
      </c>
      <c r="AA695" s="7">
        <f>Y695*Z695</f>
        <v/>
      </c>
      <c r="AB695" s="6">
        <f>IF(Z695=0,0,AA695/Z695)</f>
        <v/>
      </c>
      <c r="AC695" s="6" t="n"/>
      <c r="AD695" s="2" t="inlineStr">
        <is>
          <t>Loss</t>
        </is>
      </c>
      <c r="AE695" s="6">
        <f>IF((COUNTIF($AD$2:AD695,"Win")+COUNTIF($AD$2:AD695,"Loss"))=0,0,COUNTIF($AD$2:AD695,"Win")/(COUNTIF($AD$2:AD695,"Win")+COUNTIF($AD$2:AD695,"Loss")))</f>
        <v/>
      </c>
      <c r="AF695" s="6">
        <f>SUM($Y$2:Y695)/SUM($X$2:X695)</f>
        <v/>
      </c>
      <c r="AG695" s="5">
        <f>SUM($Y$2:Y695)</f>
        <v/>
      </c>
      <c r="AH695" s="7">
        <f>10000.0+SUM($AA$2:AA695)</f>
        <v/>
      </c>
      <c r="AI695" s="2" t="n">
        <v>2026</v>
      </c>
      <c r="AJ695" s="2" t="inlineStr">
        <is>
          <t>2026-04</t>
        </is>
      </c>
      <c r="AK695" s="2" t="inlineStr">
        <is>
          <t>-119 to -101</t>
        </is>
      </c>
      <c r="AL695" s="2" t="inlineStr">
        <is>
          <t>2026 Frozen Test</t>
        </is>
      </c>
      <c r="AM695" s="6" t="n">
        <v>0.1630277739601265</v>
      </c>
    </row>
    <row r="696">
      <c r="A696" s="2" t="inlineStr">
        <is>
          <t>KPROP-00695</t>
        </is>
      </c>
      <c r="B696" s="3" t="n">
        <v>46141.79905092593</v>
      </c>
      <c r="C696" s="3" t="n">
        <v>46141</v>
      </c>
      <c r="D696" s="2" t="inlineStr">
        <is>
          <t>David Peterson</t>
        </is>
      </c>
      <c r="E696" s="2" t="n">
        <v>121</v>
      </c>
      <c r="F696" s="2" t="n">
        <v>120</v>
      </c>
      <c r="G696" s="2" t="inlineStr">
        <is>
          <t>Home</t>
        </is>
      </c>
      <c r="H696" s="2" t="inlineStr">
        <is>
          <t>betrivers</t>
        </is>
      </c>
      <c r="I696" s="4" t="n"/>
      <c r="J696" s="4" t="n"/>
      <c r="K696" s="4" t="n">
        <v>138</v>
      </c>
      <c r="L696" s="4" t="n">
        <v>138</v>
      </c>
      <c r="M696" s="5" t="n">
        <v>4.5</v>
      </c>
      <c r="N696" s="5" t="n">
        <v>4.038170300365664</v>
      </c>
      <c r="O696" s="5" t="n">
        <v>4.5</v>
      </c>
      <c r="P696" s="5" t="n">
        <v>0.4618296996343361</v>
      </c>
      <c r="Q696" s="6" t="n">
        <v>0.4788848181917865</v>
      </c>
      <c r="R696" s="6" t="n">
        <v>0.6213801757108347</v>
      </c>
      <c r="S696" s="6" t="n">
        <v>0.4057428214731585</v>
      </c>
      <c r="T696" s="2" t="inlineStr">
        <is>
          <t>Under</t>
        </is>
      </c>
      <c r="U696" s="4" t="n">
        <v>138</v>
      </c>
      <c r="V696" s="2" t="n">
        <v>2.38</v>
      </c>
      <c r="W696" s="4" t="n">
        <v>138</v>
      </c>
      <c r="X696" s="2" t="n">
        <v>1</v>
      </c>
      <c r="Y696" s="5" t="n">
        <v>-1</v>
      </c>
      <c r="Z696" s="7" t="n">
        <v>100</v>
      </c>
      <c r="AA696" s="7">
        <f>Y696*Z696</f>
        <v/>
      </c>
      <c r="AB696" s="6">
        <f>IF(Z696=0,0,AA696/Z696)</f>
        <v/>
      </c>
      <c r="AC696" s="6" t="n"/>
      <c r="AD696" s="2" t="inlineStr">
        <is>
          <t>Loss</t>
        </is>
      </c>
      <c r="AE696" s="6">
        <f>IF((COUNTIF($AD$2:AD696,"Win")+COUNTIF($AD$2:AD696,"Loss"))=0,0,COUNTIF($AD$2:AD696,"Win")/(COUNTIF($AD$2:AD696,"Win")+COUNTIF($AD$2:AD696,"Loss")))</f>
        <v/>
      </c>
      <c r="AF696" s="6">
        <f>SUM($Y$2:Y696)/SUM($X$2:X696)</f>
        <v/>
      </c>
      <c r="AG696" s="5">
        <f>SUM($Y$2:Y696)</f>
        <v/>
      </c>
      <c r="AH696" s="7">
        <f>10000.0+SUM($AA$2:AA696)</f>
        <v/>
      </c>
      <c r="AI696" s="2" t="n">
        <v>2026</v>
      </c>
      <c r="AJ696" s="2" t="inlineStr">
        <is>
          <t>2026-04</t>
        </is>
      </c>
      <c r="AK696" s="2" t="inlineStr">
        <is>
          <t>+121 to +150</t>
        </is>
      </c>
      <c r="AL696" s="2" t="inlineStr">
        <is>
          <t>2026 Frozen Test</t>
        </is>
      </c>
      <c r="AM696" s="6" t="n">
        <v>0.3470179841969468</v>
      </c>
    </row>
    <row r="697">
      <c r="A697" s="2" t="inlineStr">
        <is>
          <t>KPROP-00696</t>
        </is>
      </c>
      <c r="B697" s="3" t="n">
        <v>46141.79905092593</v>
      </c>
      <c r="C697" s="3" t="n">
        <v>46141</v>
      </c>
      <c r="D697" s="2" t="inlineStr">
        <is>
          <t>David Peterson</t>
        </is>
      </c>
      <c r="E697" s="2" t="n">
        <v>121</v>
      </c>
      <c r="F697" s="2" t="n">
        <v>120</v>
      </c>
      <c r="G697" s="2" t="inlineStr">
        <is>
          <t>Home</t>
        </is>
      </c>
      <c r="H697" s="2" t="inlineStr">
        <is>
          <t>betonlineag</t>
        </is>
      </c>
      <c r="I697" s="4" t="n"/>
      <c r="J697" s="4" t="n"/>
      <c r="K697" s="4" t="n">
        <v>-145</v>
      </c>
      <c r="L697" s="4" t="n">
        <v>-145</v>
      </c>
      <c r="M697" s="5" t="n">
        <v>5.5</v>
      </c>
      <c r="N697" s="5" t="n">
        <v>4.038170300365664</v>
      </c>
      <c r="O697" s="5" t="n">
        <v>5.5</v>
      </c>
      <c r="P697" s="5" t="n">
        <v>1.461829699634336</v>
      </c>
      <c r="Q697" s="6" t="n">
        <v>0.3164720470457544</v>
      </c>
      <c r="R697" s="6" t="n">
        <v>0.779136517639324</v>
      </c>
      <c r="S697" s="6" t="n">
        <v>0.5610892153350053</v>
      </c>
      <c r="T697" s="2" t="inlineStr">
        <is>
          <t>Under</t>
        </is>
      </c>
      <c r="U697" s="4" t="n">
        <v>-145</v>
      </c>
      <c r="V697" s="2" t="n">
        <v>1.689655172413793</v>
      </c>
      <c r="W697" s="4" t="n">
        <v>-145</v>
      </c>
      <c r="X697" s="2" t="n">
        <v>1</v>
      </c>
      <c r="Y697" s="5" t="n">
        <v>0.6896551724137931</v>
      </c>
      <c r="Z697" s="7" t="n">
        <v>100</v>
      </c>
      <c r="AA697" s="7">
        <f>Y697*Z697</f>
        <v/>
      </c>
      <c r="AB697" s="6">
        <f>IF(Z697=0,0,AA697/Z697)</f>
        <v/>
      </c>
      <c r="AC697" s="6" t="n"/>
      <c r="AD697" s="2" t="inlineStr">
        <is>
          <t>Win</t>
        </is>
      </c>
      <c r="AE697" s="6">
        <f>IF((COUNTIF($AD$2:AD697,"Win")+COUNTIF($AD$2:AD697,"Loss"))=0,0,COUNTIF($AD$2:AD697,"Win")/(COUNTIF($AD$2:AD697,"Win")+COUNTIF($AD$2:AD697,"Loss")))</f>
        <v/>
      </c>
      <c r="AF697" s="6">
        <f>SUM($Y$2:Y697)/SUM($X$2:X697)</f>
        <v/>
      </c>
      <c r="AG697" s="5">
        <f>SUM($Y$2:Y697)</f>
        <v/>
      </c>
      <c r="AH697" s="7">
        <f>10000.0+SUM($AA$2:AA697)</f>
        <v/>
      </c>
      <c r="AI697" s="2" t="n">
        <v>2026</v>
      </c>
      <c r="AJ697" s="2" t="inlineStr">
        <is>
          <t>2026-04</t>
        </is>
      </c>
      <c r="AK697" s="2" t="inlineStr">
        <is>
          <t>-149 to -120</t>
        </is>
      </c>
      <c r="AL697" s="2" t="inlineStr">
        <is>
          <t>2026 Frozen Test</t>
        </is>
      </c>
      <c r="AM697" s="6" t="n">
        <v>0.4588844682163438</v>
      </c>
    </row>
    <row r="698">
      <c r="A698" s="2" t="inlineStr">
        <is>
          <t>KPROP-00697</t>
        </is>
      </c>
      <c r="B698" s="3" t="n">
        <v>46141.60806712963</v>
      </c>
      <c r="C698" s="3" t="n">
        <v>46141</v>
      </c>
      <c r="D698" s="2" t="inlineStr">
        <is>
          <t>Nathan Eovaldi</t>
        </is>
      </c>
      <c r="E698" s="2" t="n">
        <v>140</v>
      </c>
      <c r="F698" s="2" t="n">
        <v>147</v>
      </c>
      <c r="G698" s="2" t="inlineStr">
        <is>
          <t>Home</t>
        </is>
      </c>
      <c r="H698" s="2" t="inlineStr">
        <is>
          <t>betmgm</t>
        </is>
      </c>
      <c r="I698" s="4" t="n"/>
      <c r="J698" s="4" t="n"/>
      <c r="K698" s="4" t="n">
        <v>-115</v>
      </c>
      <c r="L698" s="4" t="n">
        <v>-115</v>
      </c>
      <c r="M698" s="5" t="n">
        <v>5.5</v>
      </c>
      <c r="N698" s="5" t="n">
        <v>5.239419297785091</v>
      </c>
      <c r="O698" s="5" t="n">
        <v>5.5</v>
      </c>
      <c r="P698" s="5" t="n">
        <v>0.2605807022149094</v>
      </c>
      <c r="Q698" s="6" t="n">
        <v>0.07318399990784646</v>
      </c>
      <c r="R698" s="6" t="n">
        <v>0.5740286511134993</v>
      </c>
      <c r="S698" s="6" t="n">
        <v>0.5108342361863488</v>
      </c>
      <c r="T698" s="2" t="inlineStr">
        <is>
          <t>Under</t>
        </is>
      </c>
      <c r="U698" s="4" t="n">
        <v>-115</v>
      </c>
      <c r="V698" s="2" t="n">
        <v>1.869565217391304</v>
      </c>
      <c r="W698" s="4" t="n">
        <v>-115</v>
      </c>
      <c r="X698" s="2" t="n">
        <v>1</v>
      </c>
      <c r="Y698" s="5" t="n">
        <v>-1</v>
      </c>
      <c r="Z698" s="7" t="n">
        <v>100</v>
      </c>
      <c r="AA698" s="7">
        <f>Y698*Z698</f>
        <v/>
      </c>
      <c r="AB698" s="6">
        <f>IF(Z698=0,0,AA698/Z698)</f>
        <v/>
      </c>
      <c r="AC698" s="6" t="n"/>
      <c r="AD698" s="2" t="inlineStr">
        <is>
          <t>Loss</t>
        </is>
      </c>
      <c r="AE698" s="6">
        <f>IF((COUNTIF($AD$2:AD698,"Win")+COUNTIF($AD$2:AD698,"Loss"))=0,0,COUNTIF($AD$2:AD698,"Win")/(COUNTIF($AD$2:AD698,"Win")+COUNTIF($AD$2:AD698,"Loss")))</f>
        <v/>
      </c>
      <c r="AF698" s="6">
        <f>SUM($Y$2:Y698)/SUM($X$2:X698)</f>
        <v/>
      </c>
      <c r="AG698" s="5">
        <f>SUM($Y$2:Y698)</f>
        <v/>
      </c>
      <c r="AH698" s="7">
        <f>10000.0+SUM($AA$2:AA698)</f>
        <v/>
      </c>
      <c r="AI698" s="2" t="n">
        <v>2026</v>
      </c>
      <c r="AJ698" s="2" t="inlineStr">
        <is>
          <t>2026-04</t>
        </is>
      </c>
      <c r="AK698" s="2" t="inlineStr">
        <is>
          <t>-119 to -101</t>
        </is>
      </c>
      <c r="AL698" s="2" t="inlineStr">
        <is>
          <t>2026 Frozen Test</t>
        </is>
      </c>
      <c r="AM698" s="6" t="n">
        <v>0.08416159989402344</v>
      </c>
    </row>
    <row r="699">
      <c r="A699" s="2" t="inlineStr">
        <is>
          <t>KPROP-00698</t>
        </is>
      </c>
      <c r="B699" s="3" t="n">
        <v>46141.63237268518</v>
      </c>
      <c r="C699" s="3" t="n">
        <v>46141</v>
      </c>
      <c r="D699" s="2" t="inlineStr">
        <is>
          <t>Tyler Glasnow</t>
        </is>
      </c>
      <c r="E699" s="2" t="n">
        <v>119</v>
      </c>
      <c r="F699" s="2" t="n">
        <v>146</v>
      </c>
      <c r="G699" s="2" t="inlineStr">
        <is>
          <t>Home</t>
        </is>
      </c>
      <c r="H699" s="2" t="inlineStr">
        <is>
          <t>betrivers</t>
        </is>
      </c>
      <c r="I699" s="4" t="n"/>
      <c r="J699" s="4" t="n"/>
      <c r="K699" s="4" t="n">
        <v>128</v>
      </c>
      <c r="L699" s="4" t="n">
        <v>128</v>
      </c>
      <c r="M699" s="5" t="n">
        <v>6.5</v>
      </c>
      <c r="N699" s="5" t="n">
        <v>6.765564230075737</v>
      </c>
      <c r="O699" s="5" t="n">
        <v>6.5</v>
      </c>
      <c r="P699" s="5" t="n">
        <v>-0.2655642300757366</v>
      </c>
      <c r="Q699" s="6" t="n">
        <v>0.1062408210015134</v>
      </c>
      <c r="R699" s="6" t="n">
        <v>0.4851933425445234</v>
      </c>
      <c r="S699" s="6" t="n">
        <v>0.4229514879739095</v>
      </c>
      <c r="T699" s="2" t="inlineStr">
        <is>
          <t>Under</t>
        </is>
      </c>
      <c r="U699" s="4" t="n">
        <v>128</v>
      </c>
      <c r="V699" s="2" t="n">
        <v>2.28</v>
      </c>
      <c r="W699" s="4" t="n">
        <v>128</v>
      </c>
      <c r="X699" s="2" t="n">
        <v>1</v>
      </c>
      <c r="Y699" s="5" t="n">
        <v>-1</v>
      </c>
      <c r="Z699" s="7" t="n">
        <v>100</v>
      </c>
      <c r="AA699" s="7">
        <f>Y699*Z699</f>
        <v/>
      </c>
      <c r="AB699" s="6">
        <f>IF(Z699=0,0,AA699/Z699)</f>
        <v/>
      </c>
      <c r="AC699" s="6" t="n"/>
      <c r="AD699" s="2" t="inlineStr">
        <is>
          <t>Loss</t>
        </is>
      </c>
      <c r="AE699" s="6">
        <f>IF((COUNTIF($AD$2:AD699,"Win")+COUNTIF($AD$2:AD699,"Loss"))=0,0,COUNTIF($AD$2:AD699,"Win")/(COUNTIF($AD$2:AD699,"Win")+COUNTIF($AD$2:AD699,"Loss")))</f>
        <v/>
      </c>
      <c r="AF699" s="6">
        <f>SUM($Y$2:Y699)/SUM($X$2:X699)</f>
        <v/>
      </c>
      <c r="AG699" s="5">
        <f>SUM($Y$2:Y699)</f>
        <v/>
      </c>
      <c r="AH699" s="7">
        <f>10000.0+SUM($AA$2:AA699)</f>
        <v/>
      </c>
      <c r="AI699" s="2" t="n">
        <v>2026</v>
      </c>
      <c r="AJ699" s="2" t="inlineStr">
        <is>
          <t>2026-04</t>
        </is>
      </c>
      <c r="AK699" s="2" t="inlineStr">
        <is>
          <t>+121 to +150</t>
        </is>
      </c>
      <c r="AL699" s="2" t="inlineStr">
        <is>
          <t>2026 Frozen Test</t>
        </is>
      </c>
      <c r="AM699" s="6" t="n">
        <v>0.08300064140743237</v>
      </c>
    </row>
    <row r="700">
      <c r="A700" s="2" t="inlineStr">
        <is>
          <t>KPROP-00699</t>
        </is>
      </c>
      <c r="B700" s="3" t="n">
        <v>46141.63237268518</v>
      </c>
      <c r="C700" s="3" t="n">
        <v>46141</v>
      </c>
      <c r="D700" s="2" t="inlineStr">
        <is>
          <t>Tyler Glasnow</t>
        </is>
      </c>
      <c r="E700" s="2" t="n">
        <v>119</v>
      </c>
      <c r="F700" s="2" t="n">
        <v>146</v>
      </c>
      <c r="G700" s="2" t="inlineStr">
        <is>
          <t>Home</t>
        </is>
      </c>
      <c r="H700" s="2" t="inlineStr">
        <is>
          <t>draftkings</t>
        </is>
      </c>
      <c r="I700" s="4" t="n"/>
      <c r="J700" s="4" t="n"/>
      <c r="K700" s="4" t="n">
        <v>-142</v>
      </c>
      <c r="L700" s="4" t="n">
        <v>-142</v>
      </c>
      <c r="M700" s="5" t="n">
        <v>7.5</v>
      </c>
      <c r="N700" s="5" t="n">
        <v>6.765564230075737</v>
      </c>
      <c r="O700" s="5" t="n">
        <v>7.5</v>
      </c>
      <c r="P700" s="5" t="n">
        <v>0.7344357699242634</v>
      </c>
      <c r="Q700" s="6" t="n">
        <v>0.07979544647927694</v>
      </c>
      <c r="R700" s="6" t="n">
        <v>0.6335989809919724</v>
      </c>
      <c r="S700" s="6" t="n">
        <v>0.5589736113136026</v>
      </c>
      <c r="T700" s="2" t="inlineStr">
        <is>
          <t>Under</t>
        </is>
      </c>
      <c r="U700" s="4" t="n">
        <v>-142</v>
      </c>
      <c r="V700" s="2" t="n">
        <v>1.704225352112676</v>
      </c>
      <c r="W700" s="4" t="n">
        <v>-142</v>
      </c>
      <c r="X700" s="2" t="n">
        <v>1</v>
      </c>
      <c r="Y700" s="5" t="n">
        <v>-1</v>
      </c>
      <c r="Z700" s="7" t="n">
        <v>100</v>
      </c>
      <c r="AA700" s="7">
        <f>Y700*Z700</f>
        <v/>
      </c>
      <c r="AB700" s="6">
        <f>IF(Z700=0,0,AA700/Z700)</f>
        <v/>
      </c>
      <c r="AC700" s="6" t="n"/>
      <c r="AD700" s="2" t="inlineStr">
        <is>
          <t>Loss</t>
        </is>
      </c>
      <c r="AE700" s="6">
        <f>IF((COUNTIF($AD$2:AD700,"Win")+COUNTIF($AD$2:AD700,"Loss"))=0,0,COUNTIF($AD$2:AD700,"Win")/(COUNTIF($AD$2:AD700,"Win")+COUNTIF($AD$2:AD700,"Loss")))</f>
        <v/>
      </c>
      <c r="AF700" s="6">
        <f>SUM($Y$2:Y700)/SUM($X$2:X700)</f>
        <v/>
      </c>
      <c r="AG700" s="5">
        <f>SUM($Y$2:Y700)</f>
        <v/>
      </c>
      <c r="AH700" s="7">
        <f>10000.0+SUM($AA$2:AA700)</f>
        <v/>
      </c>
      <c r="AI700" s="2" t="n">
        <v>2026</v>
      </c>
      <c r="AJ700" s="2" t="inlineStr">
        <is>
          <t>2026-04</t>
        </is>
      </c>
      <c r="AK700" s="2" t="inlineStr">
        <is>
          <t>-149 to -120</t>
        </is>
      </c>
      <c r="AL700" s="2" t="inlineStr">
        <is>
          <t>2026 Frozen Test</t>
        </is>
      </c>
      <c r="AM700" s="6" t="n">
        <v>0.1133095340005733</v>
      </c>
    </row>
    <row r="701">
      <c r="A701" s="2" t="inlineStr">
        <is>
          <t>KPROP-00700</t>
        </is>
      </c>
      <c r="B701" s="3" t="n">
        <v>46141.54905092593</v>
      </c>
      <c r="C701" s="3" t="n">
        <v>46141</v>
      </c>
      <c r="D701" s="2" t="inlineStr">
        <is>
          <t>Yusei Kikuchi</t>
        </is>
      </c>
      <c r="E701" s="2" t="n">
        <v>108</v>
      </c>
      <c r="F701" s="2" t="n">
        <v>145</v>
      </c>
      <c r="G701" s="2" t="inlineStr">
        <is>
          <t>Away</t>
        </is>
      </c>
      <c r="H701" s="2" t="inlineStr">
        <is>
          <t>betmgm</t>
        </is>
      </c>
      <c r="I701" s="4" t="n"/>
      <c r="J701" s="4" t="n"/>
      <c r="K701" s="4" t="n">
        <v>115</v>
      </c>
      <c r="L701" s="4" t="n">
        <v>115</v>
      </c>
      <c r="M701" s="5" t="n">
        <v>5.5</v>
      </c>
      <c r="N701" s="5" t="n">
        <v>4.692069453428673</v>
      </c>
      <c r="O701" s="5" t="n">
        <v>5.5</v>
      </c>
      <c r="P701" s="5" t="n">
        <v>0.8079305465713267</v>
      </c>
      <c r="Q701" s="6" t="n">
        <v>0.4401059000360071</v>
      </c>
      <c r="R701" s="6" t="n">
        <v>0.6698166976911661</v>
      </c>
      <c r="S701" s="6" t="n">
        <v>0.4497867390461419</v>
      </c>
      <c r="T701" s="2" t="inlineStr">
        <is>
          <t>Under</t>
        </is>
      </c>
      <c r="U701" s="4" t="n">
        <v>115</v>
      </c>
      <c r="V701" s="2" t="n">
        <v>2.15</v>
      </c>
      <c r="W701" s="4" t="n">
        <v>115</v>
      </c>
      <c r="X701" s="2" t="n">
        <v>1</v>
      </c>
      <c r="Y701" s="5" t="n">
        <v>1.15</v>
      </c>
      <c r="Z701" s="7" t="n">
        <v>100</v>
      </c>
      <c r="AA701" s="7">
        <f>Y701*Z701</f>
        <v/>
      </c>
      <c r="AB701" s="6">
        <f>IF(Z701=0,0,AA701/Z701)</f>
        <v/>
      </c>
      <c r="AC701" s="6" t="n"/>
      <c r="AD701" s="2" t="inlineStr">
        <is>
          <t>Win</t>
        </is>
      </c>
      <c r="AE701" s="6">
        <f>IF((COUNTIF($AD$2:AD701,"Win")+COUNTIF($AD$2:AD701,"Loss"))=0,0,COUNTIF($AD$2:AD701,"Win")/(COUNTIF($AD$2:AD701,"Win")+COUNTIF($AD$2:AD701,"Loss")))</f>
        <v/>
      </c>
      <c r="AF701" s="6">
        <f>SUM($Y$2:Y701)/SUM($X$2:X701)</f>
        <v/>
      </c>
      <c r="AG701" s="5">
        <f>SUM($Y$2:Y701)</f>
        <v/>
      </c>
      <c r="AH701" s="7">
        <f>10000.0+SUM($AA$2:AA701)</f>
        <v/>
      </c>
      <c r="AI701" s="2" t="n">
        <v>2026</v>
      </c>
      <c r="AJ701" s="2" t="inlineStr">
        <is>
          <t>2026-04</t>
        </is>
      </c>
      <c r="AK701" s="2" t="inlineStr">
        <is>
          <t>+100 to +120</t>
        </is>
      </c>
      <c r="AL701" s="2" t="inlineStr">
        <is>
          <t>2026 Frozen Test</t>
        </is>
      </c>
      <c r="AM701" s="6" t="n">
        <v>0.3827007826400062</v>
      </c>
    </row>
    <row r="702">
      <c r="A702" s="2" t="inlineStr">
        <is>
          <t>KPROP-00701</t>
        </is>
      </c>
      <c r="B702" s="3" t="n">
        <v>46142.52820601852</v>
      </c>
      <c r="C702" s="3" t="n">
        <v>46142</v>
      </c>
      <c r="D702" s="2" t="inlineStr">
        <is>
          <t>Andrew Abbott</t>
        </is>
      </c>
      <c r="E702" s="2" t="n">
        <v>113</v>
      </c>
      <c r="F702" s="2" t="n">
        <v>115</v>
      </c>
      <c r="G702" s="2" t="inlineStr">
        <is>
          <t>Home</t>
        </is>
      </c>
      <c r="H702" s="2" t="inlineStr">
        <is>
          <t>draftkings</t>
        </is>
      </c>
      <c r="I702" s="4" t="n"/>
      <c r="J702" s="4" t="n"/>
      <c r="K702" s="4" t="n">
        <v>125</v>
      </c>
      <c r="L702" s="4" t="n">
        <v>125</v>
      </c>
      <c r="M702" s="5" t="n">
        <v>4.5</v>
      </c>
      <c r="N702" s="5" t="n">
        <v>4.4365200690702</v>
      </c>
      <c r="O702" s="5" t="n">
        <v>4.5</v>
      </c>
      <c r="P702" s="5" t="n">
        <v>0.06347993092979998</v>
      </c>
      <c r="Q702" s="6" t="n">
        <v>0.2244354325338677</v>
      </c>
      <c r="R702" s="6" t="n">
        <v>0.5441935255706079</v>
      </c>
      <c r="S702" s="6" t="n">
        <v>0.4255319148936171</v>
      </c>
      <c r="T702" s="2" t="inlineStr">
        <is>
          <t>Under</t>
        </is>
      </c>
      <c r="U702" s="4" t="n">
        <v>125</v>
      </c>
      <c r="V702" s="2" t="n">
        <v>2.25</v>
      </c>
      <c r="W702" s="4" t="n">
        <v>125</v>
      </c>
      <c r="X702" s="2" t="n">
        <v>1</v>
      </c>
      <c r="Y702" s="5" t="n">
        <v>-1</v>
      </c>
      <c r="Z702" s="7" t="n">
        <v>100</v>
      </c>
      <c r="AA702" s="7">
        <f>Y702*Z702</f>
        <v/>
      </c>
      <c r="AB702" s="6">
        <f>IF(Z702=0,0,AA702/Z702)</f>
        <v/>
      </c>
      <c r="AC702" s="6" t="n"/>
      <c r="AD702" s="2" t="inlineStr">
        <is>
          <t>Loss</t>
        </is>
      </c>
      <c r="AE702" s="6">
        <f>IF((COUNTIF($AD$2:AD702,"Win")+COUNTIF($AD$2:AD702,"Loss"))=0,0,COUNTIF($AD$2:AD702,"Win")/(COUNTIF($AD$2:AD702,"Win")+COUNTIF($AD$2:AD702,"Loss")))</f>
        <v/>
      </c>
      <c r="AF702" s="6">
        <f>SUM($Y$2:Y702)/SUM($X$2:X702)</f>
        <v/>
      </c>
      <c r="AG702" s="5">
        <f>SUM($Y$2:Y702)</f>
        <v/>
      </c>
      <c r="AH702" s="7">
        <f>10000.0+SUM($AA$2:AA702)</f>
        <v/>
      </c>
      <c r="AI702" s="2" t="n">
        <v>2026</v>
      </c>
      <c r="AJ702" s="2" t="inlineStr">
        <is>
          <t>2026-04</t>
        </is>
      </c>
      <c r="AK702" s="2" t="inlineStr">
        <is>
          <t>+121 to +150</t>
        </is>
      </c>
      <c r="AL702" s="2" t="inlineStr">
        <is>
          <t>2026 Frozen Test</t>
        </is>
      </c>
      <c r="AM702" s="6" t="n">
        <v>0.1795483460270941</v>
      </c>
    </row>
    <row r="703">
      <c r="A703" s="2" t="inlineStr">
        <is>
          <t>KPROP-00702</t>
        </is>
      </c>
      <c r="B703" s="3" t="n">
        <v>46142.56988425926</v>
      </c>
      <c r="C703" s="3" t="n">
        <v>46142</v>
      </c>
      <c r="D703" s="2" t="inlineStr">
        <is>
          <t>Brandon Woodruff</t>
        </is>
      </c>
      <c r="E703" s="2" t="n">
        <v>158</v>
      </c>
      <c r="F703" s="2" t="n">
        <v>109</v>
      </c>
      <c r="G703" s="2" t="inlineStr">
        <is>
          <t>Home</t>
        </is>
      </c>
      <c r="H703" s="2" t="inlineStr">
        <is>
          <t>fanduel</t>
        </is>
      </c>
      <c r="I703" s="4" t="n"/>
      <c r="J703" s="4" t="n"/>
      <c r="K703" s="4" t="n">
        <v>130</v>
      </c>
      <c r="L703" s="4" t="n">
        <v>130</v>
      </c>
      <c r="M703" s="5" t="n">
        <v>4.5</v>
      </c>
      <c r="N703" s="5" t="n">
        <v>4.817788501084932</v>
      </c>
      <c r="O703" s="5" t="n">
        <v>4.5</v>
      </c>
      <c r="P703" s="5" t="n">
        <v>-0.317788501084932</v>
      </c>
      <c r="Q703" s="6" t="n">
        <v>0.08795878387317002</v>
      </c>
      <c r="R703" s="6" t="n">
        <v>0.4730255582057261</v>
      </c>
      <c r="S703" s="6" t="n">
        <v>0.4176257809930944</v>
      </c>
      <c r="T703" s="2" t="inlineStr">
        <is>
          <t>Under</t>
        </is>
      </c>
      <c r="U703" s="4" t="n">
        <v>130</v>
      </c>
      <c r="V703" s="2" t="n">
        <v>2.3</v>
      </c>
      <c r="W703" s="4" t="n">
        <v>130</v>
      </c>
      <c r="X703" s="2" t="n">
        <v>1</v>
      </c>
      <c r="Y703" s="5" t="n">
        <v>1.3</v>
      </c>
      <c r="Z703" s="7" t="n">
        <v>100</v>
      </c>
      <c r="AA703" s="7">
        <f>Y703*Z703</f>
        <v/>
      </c>
      <c r="AB703" s="6">
        <f>IF(Z703=0,0,AA703/Z703)</f>
        <v/>
      </c>
      <c r="AC703" s="6" t="n"/>
      <c r="AD703" s="2" t="inlineStr">
        <is>
          <t>Win</t>
        </is>
      </c>
      <c r="AE703" s="6">
        <f>IF((COUNTIF($AD$2:AD703,"Win")+COUNTIF($AD$2:AD703,"Loss"))=0,0,COUNTIF($AD$2:AD703,"Win")/(COUNTIF($AD$2:AD703,"Win")+COUNTIF($AD$2:AD703,"Loss")))</f>
        <v/>
      </c>
      <c r="AF703" s="6">
        <f>SUM($Y$2:Y703)/SUM($X$2:X703)</f>
        <v/>
      </c>
      <c r="AG703" s="5">
        <f>SUM($Y$2:Y703)</f>
        <v/>
      </c>
      <c r="AH703" s="7">
        <f>10000.0+SUM($AA$2:AA703)</f>
        <v/>
      </c>
      <c r="AI703" s="2" t="n">
        <v>2026</v>
      </c>
      <c r="AJ703" s="2" t="inlineStr">
        <is>
          <t>2026-04</t>
        </is>
      </c>
      <c r="AK703" s="2" t="inlineStr">
        <is>
          <t>+121 to +150</t>
        </is>
      </c>
      <c r="AL703" s="2" t="inlineStr">
        <is>
          <t>2026 Frozen Test</t>
        </is>
      </c>
      <c r="AM703" s="6" t="n">
        <v>0.06766060297936156</v>
      </c>
    </row>
    <row r="704">
      <c r="A704" s="2" t="inlineStr">
        <is>
          <t>KPROP-00703</t>
        </is>
      </c>
      <c r="B704" s="3" t="n">
        <v>46142.52475694445</v>
      </c>
      <c r="C704" s="3" t="n">
        <v>46142</v>
      </c>
      <c r="D704" s="2" t="inlineStr">
        <is>
          <t>Cristopher Sánchez</t>
        </is>
      </c>
      <c r="E704" s="2" t="n">
        <v>143</v>
      </c>
      <c r="F704" s="2" t="n">
        <v>137</v>
      </c>
      <c r="G704" s="2" t="inlineStr">
        <is>
          <t>Home</t>
        </is>
      </c>
      <c r="H704" s="2" t="inlineStr">
        <is>
          <t>betonlineag</t>
        </is>
      </c>
      <c r="I704" s="4" t="n"/>
      <c r="J704" s="4" t="n"/>
      <c r="K704" s="4" t="n">
        <v>-133</v>
      </c>
      <c r="L704" s="4" t="n">
        <v>-133</v>
      </c>
      <c r="M704" s="5" t="n">
        <v>6.5</v>
      </c>
      <c r="N704" s="5" t="n">
        <v>5.866508022860266</v>
      </c>
      <c r="O704" s="5" t="n">
        <v>6.5</v>
      </c>
      <c r="P704" s="5" t="n">
        <v>0.6334919771397338</v>
      </c>
      <c r="Q704" s="6" t="n">
        <v>0.09971437133852651</v>
      </c>
      <c r="R704" s="6" t="n">
        <v>0.6277339544550388</v>
      </c>
      <c r="S704" s="6" t="n">
        <v>0.5451883661916846</v>
      </c>
      <c r="T704" s="2" t="inlineStr">
        <is>
          <t>Under</t>
        </is>
      </c>
      <c r="U704" s="4" t="n">
        <v>-133</v>
      </c>
      <c r="V704" s="2" t="n">
        <v>1.75187969924812</v>
      </c>
      <c r="W704" s="4" t="n">
        <v>-133</v>
      </c>
      <c r="X704" s="2" t="n">
        <v>1</v>
      </c>
      <c r="Y704" s="5" t="n">
        <v>-1</v>
      </c>
      <c r="Z704" s="7" t="n">
        <v>100</v>
      </c>
      <c r="AA704" s="7">
        <f>Y704*Z704</f>
        <v/>
      </c>
      <c r="AB704" s="6">
        <f>IF(Z704=0,0,AA704/Z704)</f>
        <v/>
      </c>
      <c r="AC704" s="6" t="n"/>
      <c r="AD704" s="2" t="inlineStr">
        <is>
          <t>Loss</t>
        </is>
      </c>
      <c r="AE704" s="6">
        <f>IF((COUNTIF($AD$2:AD704,"Win")+COUNTIF($AD$2:AD704,"Loss"))=0,0,COUNTIF($AD$2:AD704,"Win")/(COUNTIF($AD$2:AD704,"Win")+COUNTIF($AD$2:AD704,"Loss")))</f>
        <v/>
      </c>
      <c r="AF704" s="6">
        <f>SUM($Y$2:Y704)/SUM($X$2:X704)</f>
        <v/>
      </c>
      <c r="AG704" s="5">
        <f>SUM($Y$2:Y704)</f>
        <v/>
      </c>
      <c r="AH704" s="7">
        <f>10000.0+SUM($AA$2:AA704)</f>
        <v/>
      </c>
      <c r="AI704" s="2" t="n">
        <v>2026</v>
      </c>
      <c r="AJ704" s="2" t="inlineStr">
        <is>
          <t>2026-04</t>
        </is>
      </c>
      <c r="AK704" s="2" t="inlineStr">
        <is>
          <t>-149 to -120</t>
        </is>
      </c>
      <c r="AL704" s="2" t="inlineStr">
        <is>
          <t>2026 Frozen Test</t>
        </is>
      </c>
      <c r="AM704" s="6" t="n">
        <v>0.1326201138802403</v>
      </c>
    </row>
    <row r="705">
      <c r="A705" s="2" t="inlineStr">
        <is>
          <t>KPROP-00704</t>
        </is>
      </c>
      <c r="B705" s="3" t="n">
        <v>46142.54903935185</v>
      </c>
      <c r="C705" s="3" t="n">
        <v>46142</v>
      </c>
      <c r="D705" s="2" t="inlineStr">
        <is>
          <t>Freddy Peralta</t>
        </is>
      </c>
      <c r="E705" s="2" t="n">
        <v>121</v>
      </c>
      <c r="F705" s="2" t="n">
        <v>120</v>
      </c>
      <c r="G705" s="2" t="inlineStr">
        <is>
          <t>Home</t>
        </is>
      </c>
      <c r="H705" s="2" t="inlineStr">
        <is>
          <t>betmgm</t>
        </is>
      </c>
      <c r="I705" s="4" t="n"/>
      <c r="J705" s="4" t="n"/>
      <c r="K705" s="4" t="n">
        <v>115</v>
      </c>
      <c r="L705" s="4" t="n">
        <v>115</v>
      </c>
      <c r="M705" s="5" t="n">
        <v>5.5</v>
      </c>
      <c r="N705" s="5" t="n">
        <v>5.34205941343122</v>
      </c>
      <c r="O705" s="5" t="n">
        <v>5.5</v>
      </c>
      <c r="P705" s="5" t="n">
        <v>0.1579405865687802</v>
      </c>
      <c r="Q705" s="6" t="n">
        <v>0.1957569512005077</v>
      </c>
      <c r="R705" s="6" t="n">
        <v>0.5561660238141897</v>
      </c>
      <c r="S705" s="6" t="n">
        <v>0.4531001589825119</v>
      </c>
      <c r="T705" s="2" t="inlineStr">
        <is>
          <t>Under</t>
        </is>
      </c>
      <c r="U705" s="4" t="n">
        <v>115</v>
      </c>
      <c r="V705" s="2" t="n">
        <v>2.15</v>
      </c>
      <c r="W705" s="4" t="n">
        <v>115</v>
      </c>
      <c r="X705" s="2" t="n">
        <v>1</v>
      </c>
      <c r="Y705" s="5" t="n">
        <v>-1</v>
      </c>
      <c r="Z705" s="7" t="n">
        <v>100</v>
      </c>
      <c r="AA705" s="7">
        <f>Y705*Z705</f>
        <v/>
      </c>
      <c r="AB705" s="6">
        <f>IF(Z705=0,0,AA705/Z705)</f>
        <v/>
      </c>
      <c r="AC705" s="6" t="n"/>
      <c r="AD705" s="2" t="inlineStr">
        <is>
          <t>Loss</t>
        </is>
      </c>
      <c r="AE705" s="6">
        <f>IF((COUNTIF($AD$2:AD705,"Win")+COUNTIF($AD$2:AD705,"Loss"))=0,0,COUNTIF($AD$2:AD705,"Win")/(COUNTIF($AD$2:AD705,"Win")+COUNTIF($AD$2:AD705,"Loss")))</f>
        <v/>
      </c>
      <c r="AF705" s="6">
        <f>SUM($Y$2:Y705)/SUM($X$2:X705)</f>
        <v/>
      </c>
      <c r="AG705" s="5">
        <f>SUM($Y$2:Y705)</f>
        <v/>
      </c>
      <c r="AH705" s="7">
        <f>10000.0+SUM($AA$2:AA705)</f>
        <v/>
      </c>
      <c r="AI705" s="2" t="n">
        <v>2026</v>
      </c>
      <c r="AJ705" s="2" t="inlineStr">
        <is>
          <t>2026-04</t>
        </is>
      </c>
      <c r="AK705" s="2" t="inlineStr">
        <is>
          <t>+100 to +120</t>
        </is>
      </c>
      <c r="AL705" s="2" t="inlineStr">
        <is>
          <t>2026 Frozen Test</t>
        </is>
      </c>
      <c r="AM705" s="6" t="n">
        <v>0.1702234358265285</v>
      </c>
    </row>
    <row r="706">
      <c r="A706" s="2" t="inlineStr">
        <is>
          <t>KPROP-00705</t>
        </is>
      </c>
      <c r="B706" s="3" t="n">
        <v>46142.81988425926</v>
      </c>
      <c r="C706" s="3" t="n">
        <v>46142</v>
      </c>
      <c r="D706" s="2" t="inlineStr">
        <is>
          <t>Kevin Gausman</t>
        </is>
      </c>
      <c r="E706" s="2" t="n">
        <v>141</v>
      </c>
      <c r="F706" s="2" t="n">
        <v>142</v>
      </c>
      <c r="G706" s="2" t="inlineStr">
        <is>
          <t>Away</t>
        </is>
      </c>
      <c r="H706" s="2" t="inlineStr">
        <is>
          <t>betonlineag</t>
        </is>
      </c>
      <c r="I706" s="4" t="n"/>
      <c r="J706" s="4" t="n"/>
      <c r="K706" s="4" t="n">
        <v>110</v>
      </c>
      <c r="L706" s="4" t="n">
        <v>110</v>
      </c>
      <c r="M706" s="5" t="n">
        <v>5.5</v>
      </c>
      <c r="N706" s="5" t="n">
        <v>5.313654906156458</v>
      </c>
      <c r="O706" s="5" t="n">
        <v>5.5</v>
      </c>
      <c r="P706" s="5" t="n">
        <v>0.186345093843542</v>
      </c>
      <c r="Q706" s="6" t="n">
        <v>0.1783078613149118</v>
      </c>
      <c r="R706" s="6" t="n">
        <v>0.5610989815785294</v>
      </c>
      <c r="S706" s="6" t="n">
        <v>0.4761904761904762</v>
      </c>
      <c r="T706" s="2" t="inlineStr">
        <is>
          <t>Under</t>
        </is>
      </c>
      <c r="U706" s="4" t="n">
        <v>110</v>
      </c>
      <c r="V706" s="2" t="n">
        <v>2.1</v>
      </c>
      <c r="W706" s="4" t="n">
        <v>110</v>
      </c>
      <c r="X706" s="2" t="n">
        <v>1</v>
      </c>
      <c r="Y706" s="5" t="n">
        <v>1.1</v>
      </c>
      <c r="Z706" s="7" t="n">
        <v>100</v>
      </c>
      <c r="AA706" s="7">
        <f>Y706*Z706</f>
        <v/>
      </c>
      <c r="AB706" s="6">
        <f>IF(Z706=0,0,AA706/Z706)</f>
        <v/>
      </c>
      <c r="AC706" s="6" t="n"/>
      <c r="AD706" s="2" t="inlineStr">
        <is>
          <t>Win</t>
        </is>
      </c>
      <c r="AE706" s="6">
        <f>IF((COUNTIF($AD$2:AD706,"Win")+COUNTIF($AD$2:AD706,"Loss"))=0,0,COUNTIF($AD$2:AD706,"Win")/(COUNTIF($AD$2:AD706,"Win")+COUNTIF($AD$2:AD706,"Loss")))</f>
        <v/>
      </c>
      <c r="AF706" s="6">
        <f>SUM($Y$2:Y706)/SUM($X$2:X706)</f>
        <v/>
      </c>
      <c r="AG706" s="5">
        <f>SUM($Y$2:Y706)</f>
        <v/>
      </c>
      <c r="AH706" s="7">
        <f>10000.0+SUM($AA$2:AA706)</f>
        <v/>
      </c>
      <c r="AI706" s="2" t="n">
        <v>2026</v>
      </c>
      <c r="AJ706" s="2" t="inlineStr">
        <is>
          <t>2026-04</t>
        </is>
      </c>
      <c r="AK706" s="2" t="inlineStr">
        <is>
          <t>+100 to +120</t>
        </is>
      </c>
      <c r="AL706" s="2" t="inlineStr">
        <is>
          <t>2026 Frozen Test</t>
        </is>
      </c>
      <c r="AM706" s="6" t="n">
        <v>0.1620980557408289</v>
      </c>
    </row>
    <row r="707">
      <c r="A707" s="2" t="inlineStr">
        <is>
          <t>KPROP-00706</t>
        </is>
      </c>
      <c r="B707" s="3" t="n">
        <v>46142.52475694445</v>
      </c>
      <c r="C707" s="3" t="n">
        <v>46142</v>
      </c>
      <c r="D707" s="2" t="inlineStr">
        <is>
          <t>Logan Webb</t>
        </is>
      </c>
      <c r="E707" s="2" t="n">
        <v>137</v>
      </c>
      <c r="F707" s="2" t="n">
        <v>143</v>
      </c>
      <c r="G707" s="2" t="inlineStr">
        <is>
          <t>Away</t>
        </is>
      </c>
      <c r="H707" s="2" t="inlineStr">
        <is>
          <t>betonlineag</t>
        </is>
      </c>
      <c r="I707" s="4" t="n"/>
      <c r="J707" s="4" t="n"/>
      <c r="K707" s="4" t="n">
        <v>-127</v>
      </c>
      <c r="L707" s="4" t="n">
        <v>-127</v>
      </c>
      <c r="M707" s="5" t="n">
        <v>5.5</v>
      </c>
      <c r="N707" s="5" t="n">
        <v>5.062200234285948</v>
      </c>
      <c r="O707" s="5" t="n">
        <v>5.5</v>
      </c>
      <c r="P707" s="5" t="n">
        <v>0.4377997657140522</v>
      </c>
      <c r="Q707" s="6" t="n">
        <v>0.08146364432983833</v>
      </c>
      <c r="R707" s="6" t="n">
        <v>0.6050479419818919</v>
      </c>
      <c r="S707" s="6" t="n">
        <v>0.5329986833443056</v>
      </c>
      <c r="T707" s="2" t="inlineStr">
        <is>
          <t>Under</t>
        </is>
      </c>
      <c r="U707" s="4" t="n">
        <v>-127</v>
      </c>
      <c r="V707" s="2" t="n">
        <v>1.78740157480315</v>
      </c>
      <c r="W707" s="4" t="n">
        <v>-127</v>
      </c>
      <c r="X707" s="2" t="n">
        <v>1</v>
      </c>
      <c r="Y707" s="5" t="n">
        <v>-1</v>
      </c>
      <c r="Z707" s="7" t="n">
        <v>100</v>
      </c>
      <c r="AA707" s="7">
        <f>Y707*Z707</f>
        <v/>
      </c>
      <c r="AB707" s="6">
        <f>IF(Z707=0,0,AA707/Z707)</f>
        <v/>
      </c>
      <c r="AC707" s="6" t="n"/>
      <c r="AD707" s="2" t="inlineStr">
        <is>
          <t>Loss</t>
        </is>
      </c>
      <c r="AE707" s="6">
        <f>IF((COUNTIF($AD$2:AD707,"Win")+COUNTIF($AD$2:AD707,"Loss"))=0,0,COUNTIF($AD$2:AD707,"Win")/(COUNTIF($AD$2:AD707,"Win")+COUNTIF($AD$2:AD707,"Loss")))</f>
        <v/>
      </c>
      <c r="AF707" s="6">
        <f>SUM($Y$2:Y707)/SUM($X$2:X707)</f>
        <v/>
      </c>
      <c r="AG707" s="5">
        <f>SUM($Y$2:Y707)</f>
        <v/>
      </c>
      <c r="AH707" s="7">
        <f>10000.0+SUM($AA$2:AA707)</f>
        <v/>
      </c>
      <c r="AI707" s="2" t="n">
        <v>2026</v>
      </c>
      <c r="AJ707" s="2" t="inlineStr">
        <is>
          <t>2026-04</t>
        </is>
      </c>
      <c r="AK707" s="2" t="inlineStr">
        <is>
          <t>-149 to -120</t>
        </is>
      </c>
      <c r="AL707" s="2" t="inlineStr">
        <is>
          <t>2026 Frozen Test</t>
        </is>
      </c>
      <c r="AM707" s="6" t="n">
        <v>0.1034588282988947</v>
      </c>
    </row>
    <row r="708">
      <c r="A708" s="2" t="inlineStr">
        <is>
          <t>KPROP-00707</t>
        </is>
      </c>
      <c r="B708" s="3" t="n">
        <v>46142.62891203703</v>
      </c>
      <c r="C708" s="3" t="n">
        <v>46142</v>
      </c>
      <c r="D708" s="2" t="inlineStr">
        <is>
          <t>Noah Cameron</t>
        </is>
      </c>
      <c r="E708" s="2" t="n">
        <v>118</v>
      </c>
      <c r="F708" s="2" t="n">
        <v>133</v>
      </c>
      <c r="G708" s="2" t="inlineStr">
        <is>
          <t>Away</t>
        </is>
      </c>
      <c r="H708" s="2" t="inlineStr">
        <is>
          <t>bovada</t>
        </is>
      </c>
      <c r="I708" s="4" t="n"/>
      <c r="J708" s="4" t="n"/>
      <c r="K708" s="4" t="n">
        <v>100</v>
      </c>
      <c r="L708" s="4" t="n">
        <v>100</v>
      </c>
      <c r="M708" s="5" t="n">
        <v>4.5</v>
      </c>
      <c r="N708" s="5" t="n">
        <v>4.451372199500319</v>
      </c>
      <c r="O708" s="5" t="n">
        <v>4.5</v>
      </c>
      <c r="P708" s="5" t="n">
        <v>0.04862780049968052</v>
      </c>
      <c r="Q708" s="6" t="n">
        <v>0.08271551635147878</v>
      </c>
      <c r="R708" s="6" t="n">
        <v>0.5413577581757394</v>
      </c>
      <c r="S708" s="6" t="n">
        <v>0.4831460674157303</v>
      </c>
      <c r="T708" s="2" t="inlineStr">
        <is>
          <t>Under</t>
        </is>
      </c>
      <c r="U708" s="4" t="n">
        <v>100</v>
      </c>
      <c r="V708" s="2" t="n">
        <v>2</v>
      </c>
      <c r="W708" s="4" t="n">
        <v>100</v>
      </c>
      <c r="X708" s="2" t="n">
        <v>1</v>
      </c>
      <c r="Y708" s="5" t="n">
        <v>-1</v>
      </c>
      <c r="Z708" s="7" t="n">
        <v>100</v>
      </c>
      <c r="AA708" s="7">
        <f>Y708*Z708</f>
        <v/>
      </c>
      <c r="AB708" s="6">
        <f>IF(Z708=0,0,AA708/Z708)</f>
        <v/>
      </c>
      <c r="AC708" s="6" t="n"/>
      <c r="AD708" s="2" t="inlineStr">
        <is>
          <t>Loss</t>
        </is>
      </c>
      <c r="AE708" s="6">
        <f>IF((COUNTIF($AD$2:AD708,"Win")+COUNTIF($AD$2:AD708,"Loss"))=0,0,COUNTIF($AD$2:AD708,"Win")/(COUNTIF($AD$2:AD708,"Win")+COUNTIF($AD$2:AD708,"Loss")))</f>
        <v/>
      </c>
      <c r="AF708" s="6">
        <f>SUM($Y$2:Y708)/SUM($X$2:X708)</f>
        <v/>
      </c>
      <c r="AG708" s="5">
        <f>SUM($Y$2:Y708)</f>
        <v/>
      </c>
      <c r="AH708" s="7">
        <f>10000.0+SUM($AA$2:AA708)</f>
        <v/>
      </c>
      <c r="AI708" s="2" t="n">
        <v>2026</v>
      </c>
      <c r="AJ708" s="2" t="inlineStr">
        <is>
          <t>2026-04</t>
        </is>
      </c>
      <c r="AK708" s="2" t="inlineStr">
        <is>
          <t>+100 to +120</t>
        </is>
      </c>
      <c r="AL708" s="2" t="inlineStr">
        <is>
          <t>2026 Frozen Test</t>
        </is>
      </c>
      <c r="AM708" s="6" t="n">
        <v>0.08271551635147878</v>
      </c>
    </row>
    <row r="709">
      <c r="A709" s="2" t="inlineStr">
        <is>
          <t>KPROP-00708</t>
        </is>
      </c>
      <c r="B709" s="3" t="n">
        <v>46143.79905092593</v>
      </c>
      <c r="C709" s="3" t="n">
        <v>46143</v>
      </c>
      <c r="D709" s="2" t="inlineStr">
        <is>
          <t>Robbie Ray</t>
        </is>
      </c>
      <c r="E709" s="2" t="n">
        <v>137</v>
      </c>
      <c r="F709" s="2" t="n">
        <v>139</v>
      </c>
      <c r="G709" s="2" t="inlineStr">
        <is>
          <t>Away</t>
        </is>
      </c>
      <c r="H709" s="2" t="inlineStr">
        <is>
          <t>betrivers</t>
        </is>
      </c>
      <c r="I709" s="4" t="n"/>
      <c r="J709" s="4" t="n"/>
      <c r="K709" s="4" t="n">
        <v>123</v>
      </c>
      <c r="L709" s="4" t="n">
        <v>123</v>
      </c>
      <c r="M709" s="5" t="n">
        <v>4.5</v>
      </c>
      <c r="N709" s="5" t="n">
        <v>4.659404978659147</v>
      </c>
      <c r="O709" s="5" t="n">
        <v>4.5</v>
      </c>
      <c r="P709" s="5" t="n">
        <v>-0.1594049786591469</v>
      </c>
      <c r="Q709" s="6" t="n">
        <v>0.1197681685814768</v>
      </c>
      <c r="R709" s="6" t="n">
        <v>0.502138192189003</v>
      </c>
      <c r="S709" s="6" t="n">
        <v>0.427715996578272</v>
      </c>
      <c r="T709" s="2" t="inlineStr">
        <is>
          <t>Under</t>
        </is>
      </c>
      <c r="U709" s="4" t="n">
        <v>123</v>
      </c>
      <c r="V709" s="2" t="n">
        <v>2.23</v>
      </c>
      <c r="W709" s="4" t="n">
        <v>123</v>
      </c>
      <c r="X709" s="2" t="n">
        <v>1</v>
      </c>
      <c r="Y709" s="5" t="n">
        <v>-1</v>
      </c>
      <c r="Z709" s="7" t="n">
        <v>100</v>
      </c>
      <c r="AA709" s="7">
        <f>Y709*Z709</f>
        <v/>
      </c>
      <c r="AB709" s="6">
        <f>IF(Z709=0,0,AA709/Z709)</f>
        <v/>
      </c>
      <c r="AC709" s="6" t="n"/>
      <c r="AD709" s="2" t="inlineStr">
        <is>
          <t>Loss</t>
        </is>
      </c>
      <c r="AE709" s="6">
        <f>IF((COUNTIF($AD$2:AD709,"Win")+COUNTIF($AD$2:AD709,"Loss"))=0,0,COUNTIF($AD$2:AD709,"Win")/(COUNTIF($AD$2:AD709,"Win")+COUNTIF($AD$2:AD709,"Loss")))</f>
        <v/>
      </c>
      <c r="AF709" s="6">
        <f>SUM($Y$2:Y709)/SUM($X$2:X709)</f>
        <v/>
      </c>
      <c r="AG709" s="5">
        <f>SUM($Y$2:Y709)</f>
        <v/>
      </c>
      <c r="AH709" s="7">
        <f>10000.0+SUM($AA$2:AA709)</f>
        <v/>
      </c>
      <c r="AI709" s="2" t="n">
        <v>2026</v>
      </c>
      <c r="AJ709" s="2" t="inlineStr">
        <is>
          <t>2026-05</t>
        </is>
      </c>
      <c r="AK709" s="2" t="inlineStr">
        <is>
          <t>+121 to +150</t>
        </is>
      </c>
      <c r="AL709" s="2" t="inlineStr">
        <is>
          <t>2026 Frozen Test</t>
        </is>
      </c>
      <c r="AM709" s="6" t="n">
        <v>0.09737249478168843</v>
      </c>
    </row>
    <row r="710">
      <c r="A710" s="2" t="inlineStr">
        <is>
          <t>KPROP-00709</t>
        </is>
      </c>
      <c r="B710" s="3" t="n">
        <v>46143.79905092593</v>
      </c>
      <c r="C710" s="3" t="n">
        <v>46143</v>
      </c>
      <c r="D710" s="2" t="inlineStr">
        <is>
          <t>Robbie Ray</t>
        </is>
      </c>
      <c r="E710" s="2" t="n">
        <v>137</v>
      </c>
      <c r="F710" s="2" t="n">
        <v>139</v>
      </c>
      <c r="G710" s="2" t="inlineStr">
        <is>
          <t>Away</t>
        </is>
      </c>
      <c r="H710" s="2" t="inlineStr">
        <is>
          <t>draftkings</t>
        </is>
      </c>
      <c r="I710" s="4" t="n"/>
      <c r="J710" s="4" t="n"/>
      <c r="K710" s="4" t="n">
        <v>-153</v>
      </c>
      <c r="L710" s="4" t="n">
        <v>-153</v>
      </c>
      <c r="M710" s="5" t="n">
        <v>5.5</v>
      </c>
      <c r="N710" s="5" t="n">
        <v>4.659404978659147</v>
      </c>
      <c r="O710" s="5" t="n">
        <v>5.5</v>
      </c>
      <c r="P710" s="5" t="n">
        <v>0.8405950213408531</v>
      </c>
      <c r="Q710" s="6" t="n">
        <v>0.1169793427057382</v>
      </c>
      <c r="R710" s="6" t="n">
        <v>0.6754855313595967</v>
      </c>
      <c r="S710" s="6" t="n">
        <v>0.5848988498580781</v>
      </c>
      <c r="T710" s="2" t="inlineStr">
        <is>
          <t>Under</t>
        </is>
      </c>
      <c r="U710" s="4" t="n">
        <v>-153</v>
      </c>
      <c r="V710" s="2" t="n">
        <v>1.65359477124183</v>
      </c>
      <c r="W710" s="4" t="n">
        <v>-153</v>
      </c>
      <c r="X710" s="2" t="n">
        <v>1</v>
      </c>
      <c r="Y710" s="5" t="n">
        <v>0.65359477124183</v>
      </c>
      <c r="Z710" s="7" t="n">
        <v>100</v>
      </c>
      <c r="AA710" s="7">
        <f>Y710*Z710</f>
        <v/>
      </c>
      <c r="AB710" s="6">
        <f>IF(Z710=0,0,AA710/Z710)</f>
        <v/>
      </c>
      <c r="AC710" s="6" t="n"/>
      <c r="AD710" s="2" t="inlineStr">
        <is>
          <t>Win</t>
        </is>
      </c>
      <c r="AE710" s="6">
        <f>IF((COUNTIF($AD$2:AD710,"Win")+COUNTIF($AD$2:AD710,"Loss"))=0,0,COUNTIF($AD$2:AD710,"Win")/(COUNTIF($AD$2:AD710,"Win")+COUNTIF($AD$2:AD710,"Loss")))</f>
        <v/>
      </c>
      <c r="AF710" s="6">
        <f>SUM($Y$2:Y710)/SUM($X$2:X710)</f>
        <v/>
      </c>
      <c r="AG710" s="5">
        <f>SUM($Y$2:Y710)</f>
        <v/>
      </c>
      <c r="AH710" s="7">
        <f>10000.0+SUM($AA$2:AA710)</f>
        <v/>
      </c>
      <c r="AI710" s="2" t="n">
        <v>2026</v>
      </c>
      <c r="AJ710" s="2" t="inlineStr">
        <is>
          <t>2026-05</t>
        </is>
      </c>
      <c r="AK710" s="2" t="inlineStr">
        <is>
          <t>&lt;= -150</t>
        </is>
      </c>
      <c r="AL710" s="2" t="inlineStr">
        <is>
          <t>2026 Frozen Test</t>
        </is>
      </c>
      <c r="AM710" s="6" t="n">
        <v>0.1789783943397794</v>
      </c>
    </row>
    <row r="711">
      <c r="A711" s="2" t="inlineStr">
        <is>
          <t>KPROP-00710</t>
        </is>
      </c>
      <c r="B711" s="3" t="n">
        <v>46143.79905092593</v>
      </c>
      <c r="C711" s="3" t="n">
        <v>46143</v>
      </c>
      <c r="D711" s="2" t="inlineStr">
        <is>
          <t>Shane McClanahan</t>
        </is>
      </c>
      <c r="E711" s="2" t="n">
        <v>139</v>
      </c>
      <c r="F711" s="2" t="n">
        <v>137</v>
      </c>
      <c r="G711" s="2" t="inlineStr">
        <is>
          <t>Home</t>
        </is>
      </c>
      <c r="H711" s="2" t="inlineStr">
        <is>
          <t>bovada</t>
        </is>
      </c>
      <c r="I711" s="4" t="n"/>
      <c r="J711" s="4" t="n"/>
      <c r="K711" s="4" t="n">
        <v>-135</v>
      </c>
      <c r="L711" s="4" t="n">
        <v>-135</v>
      </c>
      <c r="M711" s="5" t="n">
        <v>5.5</v>
      </c>
      <c r="N711" s="5" t="n">
        <v>4.925206355800848</v>
      </c>
      <c r="O711" s="5" t="n">
        <v>5.5</v>
      </c>
      <c r="P711" s="5" t="n">
        <v>0.5747936441991524</v>
      </c>
      <c r="Q711" s="6" t="n">
        <v>0.09506872516548343</v>
      </c>
      <c r="R711" s="6" t="n">
        <v>0.6290820336057033</v>
      </c>
      <c r="S711" s="6" t="n">
        <v>0.5548820911071124</v>
      </c>
      <c r="T711" s="2" t="inlineStr">
        <is>
          <t>Under</t>
        </is>
      </c>
      <c r="U711" s="4" t="n">
        <v>-135</v>
      </c>
      <c r="V711" s="2" t="n">
        <v>1.740740740740741</v>
      </c>
      <c r="W711" s="4" t="n">
        <v>-135</v>
      </c>
      <c r="X711" s="2" t="n">
        <v>1</v>
      </c>
      <c r="Y711" s="5" t="n">
        <v>0.7407407407407407</v>
      </c>
      <c r="Z711" s="7" t="n">
        <v>100</v>
      </c>
      <c r="AA711" s="7">
        <f>Y711*Z711</f>
        <v/>
      </c>
      <c r="AB711" s="6">
        <f>IF(Z711=0,0,AA711/Z711)</f>
        <v/>
      </c>
      <c r="AC711" s="6" t="n"/>
      <c r="AD711" s="2" t="inlineStr">
        <is>
          <t>Win</t>
        </is>
      </c>
      <c r="AE711" s="6">
        <f>IF((COUNTIF($AD$2:AD711,"Win")+COUNTIF($AD$2:AD711,"Loss"))=0,0,COUNTIF($AD$2:AD711,"Win")/(COUNTIF($AD$2:AD711,"Win")+COUNTIF($AD$2:AD711,"Loss")))</f>
        <v/>
      </c>
      <c r="AF711" s="6">
        <f>SUM($Y$2:Y711)/SUM($X$2:X711)</f>
        <v/>
      </c>
      <c r="AG711" s="5">
        <f>SUM($Y$2:Y711)</f>
        <v/>
      </c>
      <c r="AH711" s="7">
        <f>10000.0+SUM($AA$2:AA711)</f>
        <v/>
      </c>
      <c r="AI711" s="2" t="n">
        <v>2026</v>
      </c>
      <c r="AJ711" s="2" t="inlineStr">
        <is>
          <t>2026-05</t>
        </is>
      </c>
      <c r="AK711" s="2" t="inlineStr">
        <is>
          <t>-149 to -120</t>
        </is>
      </c>
      <c r="AL711" s="2" t="inlineStr">
        <is>
          <t>2026 Frozen Test</t>
        </is>
      </c>
      <c r="AM711" s="6" t="n">
        <v>0.1283427789734026</v>
      </c>
    </row>
    <row r="712">
      <c r="A712" s="2" t="inlineStr">
        <is>
          <t>KPROP-00711</t>
        </is>
      </c>
      <c r="B712" s="3" t="n">
        <v>46144.67056712963</v>
      </c>
      <c r="C712" s="3" t="n">
        <v>46144</v>
      </c>
      <c r="D712" s="2" t="inlineStr">
        <is>
          <t>Foster Griffin</t>
        </is>
      </c>
      <c r="E712" s="2" t="n">
        <v>120</v>
      </c>
      <c r="F712" s="2" t="n">
        <v>158</v>
      </c>
      <c r="G712" s="2" t="inlineStr">
        <is>
          <t>Home</t>
        </is>
      </c>
      <c r="H712" s="2" t="inlineStr">
        <is>
          <t>fanduel</t>
        </is>
      </c>
      <c r="I712" s="4" t="n"/>
      <c r="J712" s="4" t="n"/>
      <c r="K712" s="4" t="n">
        <v>126</v>
      </c>
      <c r="L712" s="4" t="n">
        <v>126</v>
      </c>
      <c r="M712" s="5" t="n">
        <v>4.5</v>
      </c>
      <c r="N712" s="5" t="n">
        <v>4.694231968534918</v>
      </c>
      <c r="O712" s="5" t="n">
        <v>4.5</v>
      </c>
      <c r="P712" s="5" t="n">
        <v>-0.1942319685349183</v>
      </c>
      <c r="Q712" s="6" t="n">
        <v>0.1202275289135972</v>
      </c>
      <c r="R712" s="6" t="n">
        <v>0.4956758977493794</v>
      </c>
      <c r="S712" s="6" t="n">
        <v>0.4351046102573597</v>
      </c>
      <c r="T712" s="2" t="inlineStr">
        <is>
          <t>Under</t>
        </is>
      </c>
      <c r="U712" s="4" t="n">
        <v>126</v>
      </c>
      <c r="V712" s="2" t="n">
        <v>2.26</v>
      </c>
      <c r="W712" s="4" t="n">
        <v>126</v>
      </c>
      <c r="X712" s="2" t="n">
        <v>1</v>
      </c>
      <c r="Y712" s="5" t="n">
        <v>1.26</v>
      </c>
      <c r="Z712" s="7" t="n">
        <v>100</v>
      </c>
      <c r="AA712" s="7">
        <f>Y712*Z712</f>
        <v/>
      </c>
      <c r="AB712" s="6">
        <f>IF(Z712=0,0,AA712/Z712)</f>
        <v/>
      </c>
      <c r="AC712" s="6" t="n"/>
      <c r="AD712" s="2" t="inlineStr">
        <is>
          <t>Win</t>
        </is>
      </c>
      <c r="AE712" s="6">
        <f>IF((COUNTIF($AD$2:AD712,"Win")+COUNTIF($AD$2:AD712,"Loss"))=0,0,COUNTIF($AD$2:AD712,"Win")/(COUNTIF($AD$2:AD712,"Win")+COUNTIF($AD$2:AD712,"Loss")))</f>
        <v/>
      </c>
      <c r="AF712" s="6">
        <f>SUM($Y$2:Y712)/SUM($X$2:X712)</f>
        <v/>
      </c>
      <c r="AG712" s="5">
        <f>SUM($Y$2:Y712)</f>
        <v/>
      </c>
      <c r="AH712" s="7">
        <f>10000.0+SUM($AA$2:AA712)</f>
        <v/>
      </c>
      <c r="AI712" s="2" t="n">
        <v>2026</v>
      </c>
      <c r="AJ712" s="2" t="inlineStr">
        <is>
          <t>2026-05</t>
        </is>
      </c>
      <c r="AK712" s="2" t="inlineStr">
        <is>
          <t>+121 to +150</t>
        </is>
      </c>
      <c r="AL712" s="2" t="inlineStr">
        <is>
          <t>2026 Frozen Test</t>
        </is>
      </c>
      <c r="AM712" s="6" t="n">
        <v>0.0954186737409502</v>
      </c>
    </row>
    <row r="713">
      <c r="A713" s="2" t="inlineStr">
        <is>
          <t>KPROP-00712</t>
        </is>
      </c>
      <c r="B713" s="3" t="n">
        <v>46144.67056712963</v>
      </c>
      <c r="C713" s="3" t="n">
        <v>46144</v>
      </c>
      <c r="D713" s="2" t="inlineStr">
        <is>
          <t>Jacob Lopez</t>
        </is>
      </c>
      <c r="E713" s="2" t="n">
        <v>133</v>
      </c>
      <c r="F713" s="2" t="n">
        <v>114</v>
      </c>
      <c r="G713" s="2" t="inlineStr">
        <is>
          <t>Home</t>
        </is>
      </c>
      <c r="H713" s="2" t="inlineStr">
        <is>
          <t>betmgm</t>
        </is>
      </c>
      <c r="I713" s="4" t="n"/>
      <c r="J713" s="4" t="n"/>
      <c r="K713" s="4" t="n">
        <v>-125</v>
      </c>
      <c r="L713" s="4" t="n">
        <v>-125</v>
      </c>
      <c r="M713" s="5" t="n">
        <v>4.5</v>
      </c>
      <c r="N713" s="5" t="n">
        <v>3.923658711392009</v>
      </c>
      <c r="O713" s="5" t="n">
        <v>4.5</v>
      </c>
      <c r="P713" s="5" t="n">
        <v>0.5763412886079911</v>
      </c>
      <c r="Q713" s="6" t="n">
        <v>0.1587461006136622</v>
      </c>
      <c r="R713" s="6" t="n">
        <v>0.6437478336742568</v>
      </c>
      <c r="S713" s="6" t="n">
        <v>0.5384615384615385</v>
      </c>
      <c r="T713" s="2" t="inlineStr">
        <is>
          <t>Under</t>
        </is>
      </c>
      <c r="U713" s="4" t="n">
        <v>-125</v>
      </c>
      <c r="V713" s="2" t="n">
        <v>1.8</v>
      </c>
      <c r="W713" s="4" t="n">
        <v>-125</v>
      </c>
      <c r="X713" s="2" t="n">
        <v>1</v>
      </c>
      <c r="Y713" s="5" t="n">
        <v>-1</v>
      </c>
      <c r="Z713" s="7" t="n">
        <v>100</v>
      </c>
      <c r="AA713" s="7">
        <f>Y713*Z713</f>
        <v/>
      </c>
      <c r="AB713" s="6">
        <f>IF(Z713=0,0,AA713/Z713)</f>
        <v/>
      </c>
      <c r="AC713" s="6" t="n"/>
      <c r="AD713" s="2" t="inlineStr">
        <is>
          <t>Loss</t>
        </is>
      </c>
      <c r="AE713" s="6">
        <f>IF((COUNTIF($AD$2:AD713,"Win")+COUNTIF($AD$2:AD713,"Loss"))=0,0,COUNTIF($AD$2:AD713,"Win")/(COUNTIF($AD$2:AD713,"Win")+COUNTIF($AD$2:AD713,"Loss")))</f>
        <v/>
      </c>
      <c r="AF713" s="6">
        <f>SUM($Y$2:Y713)/SUM($X$2:X713)</f>
        <v/>
      </c>
      <c r="AG713" s="5">
        <f>SUM($Y$2:Y713)</f>
        <v/>
      </c>
      <c r="AH713" s="7">
        <f>10000.0+SUM($AA$2:AA713)</f>
        <v/>
      </c>
      <c r="AI713" s="2" t="n">
        <v>2026</v>
      </c>
      <c r="AJ713" s="2" t="inlineStr">
        <is>
          <t>2026-05</t>
        </is>
      </c>
      <c r="AK713" s="2" t="inlineStr">
        <is>
          <t>-149 to -120</t>
        </is>
      </c>
      <c r="AL713" s="2" t="inlineStr">
        <is>
          <t>2026 Frozen Test</t>
        </is>
      </c>
      <c r="AM713" s="6" t="n">
        <v>0.1984326257670778</v>
      </c>
    </row>
    <row r="714">
      <c r="A714" s="2" t="inlineStr">
        <is>
          <t>KPROP-00713</t>
        </is>
      </c>
      <c r="B714" s="3" t="n">
        <v>46144.75737268518</v>
      </c>
      <c r="C714" s="3" t="n">
        <v>46144</v>
      </c>
      <c r="D714" s="2" t="inlineStr">
        <is>
          <t>Landen Roupp</t>
        </is>
      </c>
      <c r="E714" s="2" t="n">
        <v>137</v>
      </c>
      <c r="F714" s="2" t="n">
        <v>139</v>
      </c>
      <c r="G714" s="2" t="inlineStr">
        <is>
          <t>Away</t>
        </is>
      </c>
      <c r="H714" s="2" t="inlineStr">
        <is>
          <t>betonlineag</t>
        </is>
      </c>
      <c r="I714" s="4" t="n"/>
      <c r="J714" s="4" t="n"/>
      <c r="K714" s="4" t="n">
        <v>117</v>
      </c>
      <c r="L714" s="4" t="n">
        <v>117</v>
      </c>
      <c r="M714" s="5" t="n">
        <v>4.5</v>
      </c>
      <c r="N714" s="5" t="n">
        <v>4.577107459343418</v>
      </c>
      <c r="O714" s="5" t="n">
        <v>4.5</v>
      </c>
      <c r="P714" s="5" t="n">
        <v>-0.07710745934341823</v>
      </c>
      <c r="Q714" s="6" t="n">
        <v>0.1230473288299442</v>
      </c>
      <c r="R714" s="6" t="n">
        <v>0.5175333312580388</v>
      </c>
      <c r="S714" s="6" t="n">
        <v>0.4451179088928875</v>
      </c>
      <c r="T714" s="2" t="inlineStr">
        <is>
          <t>Under</t>
        </is>
      </c>
      <c r="U714" s="4" t="n">
        <v>117</v>
      </c>
      <c r="V714" s="2" t="n">
        <v>2.17</v>
      </c>
      <c r="W714" s="4" t="n">
        <v>117</v>
      </c>
      <c r="X714" s="2" t="n">
        <v>1</v>
      </c>
      <c r="Y714" s="5" t="n">
        <v>-1</v>
      </c>
      <c r="Z714" s="7" t="n">
        <v>100</v>
      </c>
      <c r="AA714" s="7">
        <f>Y714*Z714</f>
        <v/>
      </c>
      <c r="AB714" s="6">
        <f>IF(Z714=0,0,AA714/Z714)</f>
        <v/>
      </c>
      <c r="AC714" s="6" t="n"/>
      <c r="AD714" s="2" t="inlineStr">
        <is>
          <t>Loss</t>
        </is>
      </c>
      <c r="AE714" s="6">
        <f>IF((COUNTIF($AD$2:AD714,"Win")+COUNTIF($AD$2:AD714,"Loss"))=0,0,COUNTIF($AD$2:AD714,"Win")/(COUNTIF($AD$2:AD714,"Win")+COUNTIF($AD$2:AD714,"Loss")))</f>
        <v/>
      </c>
      <c r="AF714" s="6">
        <f>SUM($Y$2:Y714)/SUM($X$2:X714)</f>
        <v/>
      </c>
      <c r="AG714" s="5">
        <f>SUM($Y$2:Y714)</f>
        <v/>
      </c>
      <c r="AH714" s="7">
        <f>10000.0+SUM($AA$2:AA714)</f>
        <v/>
      </c>
      <c r="AI714" s="2" t="n">
        <v>2026</v>
      </c>
      <c r="AJ714" s="2" t="inlineStr">
        <is>
          <t>2026-05</t>
        </is>
      </c>
      <c r="AK714" s="2" t="inlineStr">
        <is>
          <t>+100 to +120</t>
        </is>
      </c>
      <c r="AL714" s="2" t="inlineStr">
        <is>
          <t>2026 Frozen Test</t>
        </is>
      </c>
      <c r="AM714" s="6" t="n">
        <v>0.1051686571196104</v>
      </c>
    </row>
    <row r="715">
      <c r="A715" s="2" t="inlineStr">
        <is>
          <t>KPROP-00714</t>
        </is>
      </c>
      <c r="B715" s="3" t="n">
        <v>46144.75737268518</v>
      </c>
      <c r="C715" s="3" t="n">
        <v>46144</v>
      </c>
      <c r="D715" s="2" t="inlineStr">
        <is>
          <t>Landen Roupp</t>
        </is>
      </c>
      <c r="E715" s="2" t="n">
        <v>137</v>
      </c>
      <c r="F715" s="2" t="n">
        <v>139</v>
      </c>
      <c r="G715" s="2" t="inlineStr">
        <is>
          <t>Away</t>
        </is>
      </c>
      <c r="H715" s="2" t="inlineStr">
        <is>
          <t>draftkings</t>
        </is>
      </c>
      <c r="I715" s="4" t="n"/>
      <c r="J715" s="4" t="n"/>
      <c r="K715" s="4" t="n">
        <v>-159</v>
      </c>
      <c r="L715" s="4" t="n">
        <v>-159</v>
      </c>
      <c r="M715" s="5" t="n">
        <v>5.5</v>
      </c>
      <c r="N715" s="5" t="n">
        <v>4.577107459343418</v>
      </c>
      <c r="O715" s="5" t="n">
        <v>5.5</v>
      </c>
      <c r="P715" s="5" t="n">
        <v>0.9228925406565818</v>
      </c>
      <c r="Q715" s="6" t="n">
        <v>0.1234817916171499</v>
      </c>
      <c r="R715" s="6" t="n">
        <v>0.6897050380970149</v>
      </c>
      <c r="S715" s="6" t="n">
        <v>0.6102039280608021</v>
      </c>
      <c r="T715" s="2" t="inlineStr">
        <is>
          <t>Under</t>
        </is>
      </c>
      <c r="U715" s="4" t="n">
        <v>-159</v>
      </c>
      <c r="V715" s="2" t="n">
        <v>1.628930817610063</v>
      </c>
      <c r="W715" s="4" t="n">
        <v>-159</v>
      </c>
      <c r="X715" s="2" t="n">
        <v>1</v>
      </c>
      <c r="Y715" s="5" t="n">
        <v>-1</v>
      </c>
      <c r="Z715" s="7" t="n">
        <v>100</v>
      </c>
      <c r="AA715" s="7">
        <f>Y715*Z715</f>
        <v/>
      </c>
      <c r="AB715" s="6">
        <f>IF(Z715=0,0,AA715/Z715)</f>
        <v/>
      </c>
      <c r="AC715" s="6" t="n"/>
      <c r="AD715" s="2" t="inlineStr">
        <is>
          <t>Loss</t>
        </is>
      </c>
      <c r="AE715" s="6">
        <f>IF((COUNTIF($AD$2:AD715,"Win")+COUNTIF($AD$2:AD715,"Loss"))=0,0,COUNTIF($AD$2:AD715,"Win")/(COUNTIF($AD$2:AD715,"Win")+COUNTIF($AD$2:AD715,"Loss")))</f>
        <v/>
      </c>
      <c r="AF715" s="6">
        <f>SUM($Y$2:Y715)/SUM($X$2:X715)</f>
        <v/>
      </c>
      <c r="AG715" s="5">
        <f>SUM($Y$2:Y715)</f>
        <v/>
      </c>
      <c r="AH715" s="7">
        <f>10000.0+SUM($AA$2:AA715)</f>
        <v/>
      </c>
      <c r="AI715" s="2" t="n">
        <v>2026</v>
      </c>
      <c r="AJ715" s="2" t="inlineStr">
        <is>
          <t>2026-05</t>
        </is>
      </c>
      <c r="AK715" s="2" t="inlineStr">
        <is>
          <t>&lt;= -150</t>
        </is>
      </c>
      <c r="AL715" s="2" t="inlineStr">
        <is>
          <t>2026 Frozen Test</t>
        </is>
      </c>
      <c r="AM715" s="6" t="n">
        <v>0.1963360486712685</v>
      </c>
    </row>
    <row r="716">
      <c r="A716" s="2" t="inlineStr">
        <is>
          <t>KPROP-00715</t>
        </is>
      </c>
      <c r="B716" s="3" t="n">
        <v>46144.56640046297</v>
      </c>
      <c r="C716" s="3" t="n">
        <v>46144</v>
      </c>
      <c r="D716" s="2" t="inlineStr">
        <is>
          <t>Ryan Weathers</t>
        </is>
      </c>
      <c r="E716" s="2" t="n">
        <v>147</v>
      </c>
      <c r="F716" s="2" t="n">
        <v>110</v>
      </c>
      <c r="G716" s="2" t="inlineStr">
        <is>
          <t>Home</t>
        </is>
      </c>
      <c r="H716" s="2" t="inlineStr">
        <is>
          <t>betrivers</t>
        </is>
      </c>
      <c r="I716" s="4" t="n"/>
      <c r="J716" s="4" t="n"/>
      <c r="K716" s="4" t="n">
        <v>140</v>
      </c>
      <c r="L716" s="4" t="n">
        <v>140</v>
      </c>
      <c r="M716" s="5" t="n">
        <v>5.5</v>
      </c>
      <c r="N716" s="5" t="n">
        <v>5.84359306222462</v>
      </c>
      <c r="O716" s="5" t="n">
        <v>5.5</v>
      </c>
      <c r="P716" s="5" t="n">
        <v>-0.3435930622246204</v>
      </c>
      <c r="Q716" s="6" t="n">
        <v>0.1306827972774759</v>
      </c>
      <c r="R716" s="6" t="n">
        <v>0.4711178321989483</v>
      </c>
      <c r="S716" s="6" t="n">
        <v>0.388739946380697</v>
      </c>
      <c r="T716" s="2" t="inlineStr">
        <is>
          <t>Under</t>
        </is>
      </c>
      <c r="U716" s="4" t="n">
        <v>140</v>
      </c>
      <c r="V716" s="2" t="n">
        <v>2.4</v>
      </c>
      <c r="W716" s="4" t="n">
        <v>140</v>
      </c>
      <c r="X716" s="2" t="n">
        <v>1</v>
      </c>
      <c r="Y716" s="5" t="n">
        <v>1.4</v>
      </c>
      <c r="Z716" s="7" t="n">
        <v>100</v>
      </c>
      <c r="AA716" s="7">
        <f>Y716*Z716</f>
        <v/>
      </c>
      <c r="AB716" s="6">
        <f>IF(Z716=0,0,AA716/Z716)</f>
        <v/>
      </c>
      <c r="AC716" s="6" t="n"/>
      <c r="AD716" s="2" t="inlineStr">
        <is>
          <t>Win</t>
        </is>
      </c>
      <c r="AE716" s="6">
        <f>IF((COUNTIF($AD$2:AD716,"Win")+COUNTIF($AD$2:AD716,"Loss"))=0,0,COUNTIF($AD$2:AD716,"Win")/(COUNTIF($AD$2:AD716,"Win")+COUNTIF($AD$2:AD716,"Loss")))</f>
        <v/>
      </c>
      <c r="AF716" s="6">
        <f>SUM($Y$2:Y716)/SUM($X$2:X716)</f>
        <v/>
      </c>
      <c r="AG716" s="5">
        <f>SUM($Y$2:Y716)</f>
        <v/>
      </c>
      <c r="AH716" s="7">
        <f>10000.0+SUM($AA$2:AA716)</f>
        <v/>
      </c>
      <c r="AI716" s="2" t="n">
        <v>2026</v>
      </c>
      <c r="AJ716" s="2" t="inlineStr">
        <is>
          <t>2026-05</t>
        </is>
      </c>
      <c r="AK716" s="2" t="inlineStr">
        <is>
          <t>+121 to +150</t>
        </is>
      </c>
      <c r="AL716" s="2" t="inlineStr">
        <is>
          <t>2026 Frozen Test</t>
        </is>
      </c>
      <c r="AM716" s="6" t="n">
        <v>0.09334485519819707</v>
      </c>
    </row>
    <row r="717">
      <c r="A717" s="2" t="inlineStr">
        <is>
          <t>KPROP-00716</t>
        </is>
      </c>
      <c r="B717" s="3" t="n">
        <v>46144.56640046297</v>
      </c>
      <c r="C717" s="3" t="n">
        <v>46144</v>
      </c>
      <c r="D717" s="2" t="inlineStr">
        <is>
          <t>Ryan Weathers</t>
        </is>
      </c>
      <c r="E717" s="2" t="n">
        <v>147</v>
      </c>
      <c r="F717" s="2" t="n">
        <v>110</v>
      </c>
      <c r="G717" s="2" t="inlineStr">
        <is>
          <t>Home</t>
        </is>
      </c>
      <c r="H717" s="2" t="inlineStr">
        <is>
          <t>betrivers</t>
        </is>
      </c>
      <c r="I717" s="4" t="n"/>
      <c r="J717" s="4" t="n"/>
      <c r="K717" s="4" t="n">
        <v>-143</v>
      </c>
      <c r="L717" s="4" t="n">
        <v>-143</v>
      </c>
      <c r="M717" s="5" t="n">
        <v>6.5</v>
      </c>
      <c r="N717" s="5" t="n">
        <v>5.84359306222462</v>
      </c>
      <c r="O717" s="5" t="n">
        <v>6.5</v>
      </c>
      <c r="P717" s="5" t="n">
        <v>0.6564069377753796</v>
      </c>
      <c r="Q717" s="6" t="n">
        <v>0.07295217346128369</v>
      </c>
      <c r="R717" s="6" t="n">
        <v>0.6314080691562287</v>
      </c>
      <c r="S717" s="6" t="n">
        <v>0.5642037302725968</v>
      </c>
      <c r="T717" s="2" t="inlineStr">
        <is>
          <t>Under</t>
        </is>
      </c>
      <c r="U717" s="4" t="n">
        <v>-143</v>
      </c>
      <c r="V717" s="2" t="n">
        <v>1.699300699300699</v>
      </c>
      <c r="W717" s="4" t="n">
        <v>-143</v>
      </c>
      <c r="X717" s="2" t="n">
        <v>1</v>
      </c>
      <c r="Y717" s="5" t="n">
        <v>0.6993006993006992</v>
      </c>
      <c r="Z717" s="7" t="n">
        <v>100</v>
      </c>
      <c r="AA717" s="7">
        <f>Y717*Z717</f>
        <v/>
      </c>
      <c r="AB717" s="6">
        <f>IF(Z717=0,0,AA717/Z717)</f>
        <v/>
      </c>
      <c r="AC717" s="6" t="n"/>
      <c r="AD717" s="2" t="inlineStr">
        <is>
          <t>Win</t>
        </is>
      </c>
      <c r="AE717" s="6">
        <f>IF((COUNTIF($AD$2:AD717,"Win")+COUNTIF($AD$2:AD717,"Loss"))=0,0,COUNTIF($AD$2:AD717,"Win")/(COUNTIF($AD$2:AD717,"Win")+COUNTIF($AD$2:AD717,"Loss")))</f>
        <v/>
      </c>
      <c r="AF717" s="6">
        <f>SUM($Y$2:Y717)/SUM($X$2:X717)</f>
        <v/>
      </c>
      <c r="AG717" s="5">
        <f>SUM($Y$2:Y717)</f>
        <v/>
      </c>
      <c r="AH717" s="7">
        <f>10000.0+SUM($AA$2:AA717)</f>
        <v/>
      </c>
      <c r="AI717" s="2" t="n">
        <v>2026</v>
      </c>
      <c r="AJ717" s="2" t="inlineStr">
        <is>
          <t>2026-05</t>
        </is>
      </c>
      <c r="AK717" s="2" t="inlineStr">
        <is>
          <t>-149 to -120</t>
        </is>
      </c>
      <c r="AL717" s="2" t="inlineStr">
        <is>
          <t>2026 Frozen Test</t>
        </is>
      </c>
      <c r="AM717" s="6" t="n">
        <v>0.1043216080496357</v>
      </c>
    </row>
    <row r="718">
      <c r="A718" s="2" t="inlineStr">
        <is>
          <t>KPROP-00717</t>
        </is>
      </c>
      <c r="B718" s="3" t="n">
        <v>46144.59765046297</v>
      </c>
      <c r="C718" s="3" t="n">
        <v>46144</v>
      </c>
      <c r="D718" s="2" t="inlineStr">
        <is>
          <t>Shota Imanaga</t>
        </is>
      </c>
      <c r="E718" s="2" t="n">
        <v>112</v>
      </c>
      <c r="F718" s="2" t="n">
        <v>109</v>
      </c>
      <c r="G718" s="2" t="inlineStr">
        <is>
          <t>Home</t>
        </is>
      </c>
      <c r="H718" s="2" t="inlineStr">
        <is>
          <t>draftkings</t>
        </is>
      </c>
      <c r="I718" s="4" t="n"/>
      <c r="J718" s="4" t="n"/>
      <c r="K718" s="4" t="n">
        <v>121</v>
      </c>
      <c r="L718" s="4" t="n">
        <v>121</v>
      </c>
      <c r="M718" s="5" t="n">
        <v>4.5</v>
      </c>
      <c r="N718" s="5" t="n">
        <v>4.377960611868318</v>
      </c>
      <c r="O718" s="5" t="n">
        <v>4.5</v>
      </c>
      <c r="P718" s="5" t="n">
        <v>0.1220393881316824</v>
      </c>
      <c r="Q718" s="6" t="n">
        <v>0.2274643181719356</v>
      </c>
      <c r="R718" s="6" t="n">
        <v>0.5554137186298351</v>
      </c>
      <c r="S718" s="6" t="n">
        <v>0.4390759026992979</v>
      </c>
      <c r="T718" s="2" t="inlineStr">
        <is>
          <t>Under</t>
        </is>
      </c>
      <c r="U718" s="4" t="n">
        <v>121</v>
      </c>
      <c r="V718" s="2" t="n">
        <v>2.21</v>
      </c>
      <c r="W718" s="4" t="n">
        <v>121</v>
      </c>
      <c r="X718" s="2" t="n">
        <v>1</v>
      </c>
      <c r="Y718" s="5" t="n">
        <v>-1</v>
      </c>
      <c r="Z718" s="7" t="n">
        <v>100</v>
      </c>
      <c r="AA718" s="7">
        <f>Y718*Z718</f>
        <v/>
      </c>
      <c r="AB718" s="6">
        <f>IF(Z718=0,0,AA718/Z718)</f>
        <v/>
      </c>
      <c r="AC718" s="6" t="n"/>
      <c r="AD718" s="2" t="inlineStr">
        <is>
          <t>Loss</t>
        </is>
      </c>
      <c r="AE718" s="6">
        <f>IF((COUNTIF($AD$2:AD718,"Win")+COUNTIF($AD$2:AD718,"Loss"))=0,0,COUNTIF($AD$2:AD718,"Win")/(COUNTIF($AD$2:AD718,"Win")+COUNTIF($AD$2:AD718,"Loss")))</f>
        <v/>
      </c>
      <c r="AF718" s="6">
        <f>SUM($Y$2:Y718)/SUM($X$2:X718)</f>
        <v/>
      </c>
      <c r="AG718" s="5">
        <f>SUM($Y$2:Y718)</f>
        <v/>
      </c>
      <c r="AH718" s="7">
        <f>10000.0+SUM($AA$2:AA718)</f>
        <v/>
      </c>
      <c r="AI718" s="2" t="n">
        <v>2026</v>
      </c>
      <c r="AJ718" s="2" t="inlineStr">
        <is>
          <t>2026-05</t>
        </is>
      </c>
      <c r="AK718" s="2" t="inlineStr">
        <is>
          <t>+121 to +150</t>
        </is>
      </c>
      <c r="AL718" s="2" t="inlineStr">
        <is>
          <t>2026 Frozen Test</t>
        </is>
      </c>
      <c r="AM718" s="6" t="n">
        <v>0.187987039811517</v>
      </c>
    </row>
    <row r="719">
      <c r="A719" s="2" t="inlineStr">
        <is>
          <t>KPROP-00718</t>
        </is>
      </c>
      <c r="B719" s="3" t="n">
        <v>46145.53167824074</v>
      </c>
      <c r="C719" s="3" t="n">
        <v>46145</v>
      </c>
      <c r="D719" s="2" t="inlineStr">
        <is>
          <t>Joe Ryan</t>
        </is>
      </c>
      <c r="E719" s="2" t="n">
        <v>142</v>
      </c>
      <c r="F719" s="2" t="n">
        <v>141</v>
      </c>
      <c r="G719" s="2" t="inlineStr">
        <is>
          <t>Home</t>
        </is>
      </c>
      <c r="H719" s="2" t="inlineStr">
        <is>
          <t>bovada</t>
        </is>
      </c>
      <c r="I719" s="4" t="n"/>
      <c r="J719" s="4" t="n"/>
      <c r="K719" s="4" t="n">
        <v>-135</v>
      </c>
      <c r="L719" s="4" t="n">
        <v>-135</v>
      </c>
      <c r="M719" s="5" t="n">
        <v>5.5</v>
      </c>
      <c r="N719" s="5" t="n">
        <v>4.769067413669497</v>
      </c>
      <c r="O719" s="5" t="n">
        <v>5.5</v>
      </c>
      <c r="P719" s="5" t="n">
        <v>0.7309325863305034</v>
      </c>
      <c r="Q719" s="6" t="n">
        <v>0.1426364365834954</v>
      </c>
      <c r="R719" s="6" t="n">
        <v>0.6564081656969016</v>
      </c>
      <c r="S719" s="6" t="n">
        <v>0.551441114716549</v>
      </c>
      <c r="T719" s="2" t="inlineStr">
        <is>
          <t>Under</t>
        </is>
      </c>
      <c r="U719" s="4" t="n">
        <v>-135</v>
      </c>
      <c r="V719" s="2" t="n">
        <v>1.740740740740741</v>
      </c>
      <c r="W719" s="4" t="n">
        <v>-135</v>
      </c>
      <c r="X719" s="2" t="n">
        <v>1</v>
      </c>
      <c r="Y719" s="5" t="n">
        <v>0.7407407407407407</v>
      </c>
      <c r="Z719" s="7" t="n">
        <v>100</v>
      </c>
      <c r="AA719" s="7">
        <f>Y719*Z719</f>
        <v/>
      </c>
      <c r="AB719" s="6">
        <f>IF(Z719=0,0,AA719/Z719)</f>
        <v/>
      </c>
      <c r="AC719" s="6" t="n"/>
      <c r="AD719" s="2" t="inlineStr">
        <is>
          <t>Win</t>
        </is>
      </c>
      <c r="AE719" s="6">
        <f>IF((COUNTIF($AD$2:AD719,"Win")+COUNTIF($AD$2:AD719,"Loss"))=0,0,COUNTIF($AD$2:AD719,"Win")/(COUNTIF($AD$2:AD719,"Win")+COUNTIF($AD$2:AD719,"Loss")))</f>
        <v/>
      </c>
      <c r="AF719" s="6">
        <f>SUM($Y$2:Y719)/SUM($X$2:X719)</f>
        <v/>
      </c>
      <c r="AG719" s="5">
        <f>SUM($Y$2:Y719)</f>
        <v/>
      </c>
      <c r="AH719" s="7">
        <f>10000.0+SUM($AA$2:AA719)</f>
        <v/>
      </c>
      <c r="AI719" s="2" t="n">
        <v>2026</v>
      </c>
      <c r="AJ719" s="2" t="inlineStr">
        <is>
          <t>2026-05</t>
        </is>
      </c>
      <c r="AK719" s="2" t="inlineStr">
        <is>
          <t>-149 to -120</t>
        </is>
      </c>
      <c r="AL719" s="2" t="inlineStr">
        <is>
          <t>2026 Frozen Test</t>
        </is>
      </c>
      <c r="AM719" s="6" t="n">
        <v>0.1925591893877188</v>
      </c>
    </row>
    <row r="720">
      <c r="A720" s="2" t="inlineStr">
        <is>
          <t>KPROP-00719</t>
        </is>
      </c>
      <c r="B720" s="3" t="n">
        <v>46145.67403935185</v>
      </c>
      <c r="C720" s="3" t="n">
        <v>46145</v>
      </c>
      <c r="D720" s="2" t="inlineStr">
        <is>
          <t>Kris Bubic</t>
        </is>
      </c>
      <c r="E720" s="2" t="n">
        <v>118</v>
      </c>
      <c r="F720" s="2" t="n">
        <v>136</v>
      </c>
      <c r="G720" s="2" t="inlineStr">
        <is>
          <t>Away</t>
        </is>
      </c>
      <c r="H720" s="2" t="inlineStr">
        <is>
          <t>draftkings</t>
        </is>
      </c>
      <c r="I720" s="4" t="n"/>
      <c r="J720" s="4" t="n"/>
      <c r="K720" s="4" t="n">
        <v>-111</v>
      </c>
      <c r="L720" s="4" t="n">
        <v>-111</v>
      </c>
      <c r="M720" s="5" t="n">
        <v>5.5</v>
      </c>
      <c r="N720" s="5" t="n">
        <v>5.277223853458078</v>
      </c>
      <c r="O720" s="5" t="n">
        <v>5.5</v>
      </c>
      <c r="P720" s="5" t="n">
        <v>0.2227761465419222</v>
      </c>
      <c r="Q720" s="6" t="n">
        <v>0.07864324323355465</v>
      </c>
      <c r="R720" s="6" t="n">
        <v>0.5674379146868462</v>
      </c>
      <c r="S720" s="6" t="n">
        <v>0.518869000114012</v>
      </c>
      <c r="T720" s="2" t="inlineStr">
        <is>
          <t>Under</t>
        </is>
      </c>
      <c r="U720" s="4" t="n">
        <v>-111</v>
      </c>
      <c r="V720" s="2" t="n">
        <v>1.900900900900901</v>
      </c>
      <c r="W720" s="4" t="n">
        <v>-111</v>
      </c>
      <c r="X720" s="2" t="n">
        <v>1</v>
      </c>
      <c r="Y720" s="5" t="n">
        <v>-1</v>
      </c>
      <c r="Z720" s="7" t="n">
        <v>100</v>
      </c>
      <c r="AA720" s="7">
        <f>Y720*Z720</f>
        <v/>
      </c>
      <c r="AB720" s="6">
        <f>IF(Z720=0,0,AA720/Z720)</f>
        <v/>
      </c>
      <c r="AC720" s="6" t="n"/>
      <c r="AD720" s="2" t="inlineStr">
        <is>
          <t>Loss</t>
        </is>
      </c>
      <c r="AE720" s="6">
        <f>IF((COUNTIF($AD$2:AD720,"Win")+COUNTIF($AD$2:AD720,"Loss"))=0,0,COUNTIF($AD$2:AD720,"Win")/(COUNTIF($AD$2:AD720,"Win")+COUNTIF($AD$2:AD720,"Loss")))</f>
        <v/>
      </c>
      <c r="AF720" s="6">
        <f>SUM($Y$2:Y720)/SUM($X$2:X720)</f>
        <v/>
      </c>
      <c r="AG720" s="5">
        <f>SUM($Y$2:Y720)</f>
        <v/>
      </c>
      <c r="AH720" s="7">
        <f>10000.0+SUM($AA$2:AA720)</f>
        <v/>
      </c>
      <c r="AI720" s="2" t="n">
        <v>2026</v>
      </c>
      <c r="AJ720" s="2" t="inlineStr">
        <is>
          <t>2026-05</t>
        </is>
      </c>
      <c r="AK720" s="2" t="inlineStr">
        <is>
          <t>-119 to -101</t>
        </is>
      </c>
      <c r="AL720" s="2" t="inlineStr">
        <is>
          <t>2026 Frozen Test</t>
        </is>
      </c>
      <c r="AM720" s="6" t="n">
        <v>0.08729399998924565</v>
      </c>
    </row>
    <row r="721">
      <c r="A721" s="2" t="inlineStr">
        <is>
          <t>KPROP-00720</t>
        </is>
      </c>
      <c r="B721" s="3" t="n">
        <v>46145.56640046297</v>
      </c>
      <c r="C721" s="3" t="n">
        <v>46145</v>
      </c>
      <c r="D721" s="2" t="inlineStr">
        <is>
          <t>Ranger Suarez</t>
        </is>
      </c>
      <c r="E721" s="2" t="n">
        <v>111</v>
      </c>
      <c r="F721" s="2" t="n">
        <v>117</v>
      </c>
      <c r="G721" s="2" t="inlineStr">
        <is>
          <t>Home</t>
        </is>
      </c>
      <c r="H721" s="2" t="inlineStr">
        <is>
          <t>betrivers</t>
        </is>
      </c>
      <c r="I721" s="4" t="n"/>
      <c r="J721" s="4" t="n"/>
      <c r="K721" s="4" t="n">
        <v>118</v>
      </c>
      <c r="L721" s="4" t="n">
        <v>118</v>
      </c>
      <c r="M721" s="5" t="n">
        <v>4.5</v>
      </c>
      <c r="N721" s="5" t="n">
        <v>4.621081190670573</v>
      </c>
      <c r="O721" s="5" t="n">
        <v>4.5</v>
      </c>
      <c r="P721" s="5" t="n">
        <v>-0.1210811906705729</v>
      </c>
      <c r="Q721" s="6" t="n">
        <v>0.1102438693497952</v>
      </c>
      <c r="R721" s="6" t="n">
        <v>0.5092861786008236</v>
      </c>
      <c r="S721" s="6" t="n">
        <v>0.456810631229236</v>
      </c>
      <c r="T721" s="2" t="inlineStr">
        <is>
          <t>Under</t>
        </is>
      </c>
      <c r="U721" s="4" t="n">
        <v>118</v>
      </c>
      <c r="V721" s="2" t="n">
        <v>2.18</v>
      </c>
      <c r="W721" s="4" t="n">
        <v>118</v>
      </c>
      <c r="X721" s="2" t="n">
        <v>1</v>
      </c>
      <c r="Y721" s="5" t="n">
        <v>1.18</v>
      </c>
      <c r="Z721" s="7" t="n">
        <v>100</v>
      </c>
      <c r="AA721" s="7">
        <f>Y721*Z721</f>
        <v/>
      </c>
      <c r="AB721" s="6">
        <f>IF(Z721=0,0,AA721/Z721)</f>
        <v/>
      </c>
      <c r="AC721" s="6" t="n"/>
      <c r="AD721" s="2" t="inlineStr">
        <is>
          <t>Win</t>
        </is>
      </c>
      <c r="AE721" s="6">
        <f>IF((COUNTIF($AD$2:AD721,"Win")+COUNTIF($AD$2:AD721,"Loss"))=0,0,COUNTIF($AD$2:AD721,"Win")/(COUNTIF($AD$2:AD721,"Win")+COUNTIF($AD$2:AD721,"Loss")))</f>
        <v/>
      </c>
      <c r="AF721" s="6">
        <f>SUM($Y$2:Y721)/SUM($X$2:X721)</f>
        <v/>
      </c>
      <c r="AG721" s="5">
        <f>SUM($Y$2:Y721)</f>
        <v/>
      </c>
      <c r="AH721" s="7">
        <f>10000.0+SUM($AA$2:AA721)</f>
        <v/>
      </c>
      <c r="AI721" s="2" t="n">
        <v>2026</v>
      </c>
      <c r="AJ721" s="2" t="inlineStr">
        <is>
          <t>2026-05</t>
        </is>
      </c>
      <c r="AK721" s="2" t="inlineStr">
        <is>
          <t>+100 to +120</t>
        </is>
      </c>
      <c r="AL721" s="2" t="inlineStr">
        <is>
          <t>2026 Frozen Test</t>
        </is>
      </c>
      <c r="AM721" s="6" t="n">
        <v>0.09342700792355531</v>
      </c>
    </row>
    <row r="722">
      <c r="A722" s="2" t="inlineStr">
        <is>
          <t>KPROP-00721</t>
        </is>
      </c>
      <c r="B722" s="3" t="n">
        <v>46145.56987268518</v>
      </c>
      <c r="C722" s="3" t="n">
        <v>46145</v>
      </c>
      <c r="D722" s="2" t="inlineStr">
        <is>
          <t>Steven Matz</t>
        </is>
      </c>
      <c r="E722" s="2" t="n">
        <v>139</v>
      </c>
      <c r="F722" s="2" t="n">
        <v>137</v>
      </c>
      <c r="G722" s="2" t="inlineStr">
        <is>
          <t>Home</t>
        </is>
      </c>
      <c r="H722" s="2" t="inlineStr">
        <is>
          <t>betonlineag</t>
        </is>
      </c>
      <c r="I722" s="4" t="n"/>
      <c r="J722" s="4" t="n"/>
      <c r="K722" s="4" t="n">
        <v>-135</v>
      </c>
      <c r="L722" s="4" t="n">
        <v>-135</v>
      </c>
      <c r="M722" s="5" t="n">
        <v>4.5</v>
      </c>
      <c r="N722" s="5" t="n">
        <v>4.035184072470018</v>
      </c>
      <c r="O722" s="5" t="n">
        <v>4.5</v>
      </c>
      <c r="P722" s="5" t="n">
        <v>0.4648159275299824</v>
      </c>
      <c r="Q722" s="6" t="n">
        <v>0.08267718280111763</v>
      </c>
      <c r="R722" s="6" t="n">
        <v>0.6219634879921314</v>
      </c>
      <c r="S722" s="6" t="n">
        <v>0.5467695274831245</v>
      </c>
      <c r="T722" s="2" t="inlineStr">
        <is>
          <t>Under</t>
        </is>
      </c>
      <c r="U722" s="4" t="n">
        <v>-135</v>
      </c>
      <c r="V722" s="2" t="n">
        <v>1.740740740740741</v>
      </c>
      <c r="W722" s="4" t="n">
        <v>-135</v>
      </c>
      <c r="X722" s="2" t="n">
        <v>1</v>
      </c>
      <c r="Y722" s="5" t="n">
        <v>0.7407407407407407</v>
      </c>
      <c r="Z722" s="7" t="n">
        <v>100</v>
      </c>
      <c r="AA722" s="7">
        <f>Y722*Z722</f>
        <v/>
      </c>
      <c r="AB722" s="6">
        <f>IF(Z722=0,0,AA722/Z722)</f>
        <v/>
      </c>
      <c r="AC722" s="6" t="n"/>
      <c r="AD722" s="2" t="inlineStr">
        <is>
          <t>Win</t>
        </is>
      </c>
      <c r="AE722" s="6">
        <f>IF((COUNTIF($AD$2:AD722,"Win")+COUNTIF($AD$2:AD722,"Loss"))=0,0,COUNTIF($AD$2:AD722,"Win")/(COUNTIF($AD$2:AD722,"Win")+COUNTIF($AD$2:AD722,"Loss")))</f>
        <v/>
      </c>
      <c r="AF722" s="6">
        <f>SUM($Y$2:Y722)/SUM($X$2:X722)</f>
        <v/>
      </c>
      <c r="AG722" s="5">
        <f>SUM($Y$2:Y722)</f>
        <v/>
      </c>
      <c r="AH722" s="7">
        <f>10000.0+SUM($AA$2:AA722)</f>
        <v/>
      </c>
      <c r="AI722" s="2" t="n">
        <v>2026</v>
      </c>
      <c r="AJ722" s="2" t="inlineStr">
        <is>
          <t>2026-05</t>
        </is>
      </c>
      <c r="AK722" s="2" t="inlineStr">
        <is>
          <t>-149 to -120</t>
        </is>
      </c>
      <c r="AL722" s="2" t="inlineStr">
        <is>
          <t>2026 Frozen Test</t>
        </is>
      </c>
      <c r="AM722" s="6" t="n">
        <v>0.1116141967815088</v>
      </c>
    </row>
    <row r="723">
      <c r="A723" s="2" t="inlineStr">
        <is>
          <t>KPROP-00722</t>
        </is>
      </c>
      <c r="B723" s="3" t="n">
        <v>46145.53167824074</v>
      </c>
      <c r="C723" s="3" t="n">
        <v>46145</v>
      </c>
      <c r="D723" s="2" t="inlineStr">
        <is>
          <t>Trey Yesavage</t>
        </is>
      </c>
      <c r="E723" s="2" t="n">
        <v>141</v>
      </c>
      <c r="F723" s="2" t="n">
        <v>142</v>
      </c>
      <c r="G723" s="2" t="inlineStr">
        <is>
          <t>Away</t>
        </is>
      </c>
      <c r="H723" s="2" t="inlineStr">
        <is>
          <t>draftkings</t>
        </is>
      </c>
      <c r="I723" s="4" t="n"/>
      <c r="J723" s="4" t="n"/>
      <c r="K723" s="4" t="n">
        <v>128</v>
      </c>
      <c r="L723" s="4" t="n">
        <v>128</v>
      </c>
      <c r="M723" s="5" t="n">
        <v>4.5</v>
      </c>
      <c r="N723" s="5" t="n">
        <v>4.490468429185494</v>
      </c>
      <c r="O723" s="5" t="n">
        <v>4.5</v>
      </c>
      <c r="P723" s="5" t="n">
        <v>0.009531570814505841</v>
      </c>
      <c r="Q723" s="6" t="n">
        <v>0.2173232224983905</v>
      </c>
      <c r="R723" s="6" t="n">
        <v>0.5339136940782414</v>
      </c>
      <c r="S723" s="6" t="n">
        <v>0.415552158960642</v>
      </c>
      <c r="T723" s="2" t="inlineStr">
        <is>
          <t>Under</t>
        </is>
      </c>
      <c r="U723" s="4" t="n">
        <v>128</v>
      </c>
      <c r="V723" s="2" t="n">
        <v>2.28</v>
      </c>
      <c r="W723" s="4" t="n">
        <v>128</v>
      </c>
      <c r="X723" s="2" t="n">
        <v>1</v>
      </c>
      <c r="Y723" s="5" t="n">
        <v>-1</v>
      </c>
      <c r="Z723" s="7" t="n">
        <v>100</v>
      </c>
      <c r="AA723" s="7">
        <f>Y723*Z723</f>
        <v/>
      </c>
      <c r="AB723" s="6">
        <f>IF(Z723=0,0,AA723/Z723)</f>
        <v/>
      </c>
      <c r="AC723" s="6" t="n"/>
      <c r="AD723" s="2" t="inlineStr">
        <is>
          <t>Loss</t>
        </is>
      </c>
      <c r="AE723" s="6">
        <f>IF((COUNTIF($AD$2:AD723,"Win")+COUNTIF($AD$2:AD723,"Loss"))=0,0,COUNTIF($AD$2:AD723,"Win")/(COUNTIF($AD$2:AD723,"Win")+COUNTIF($AD$2:AD723,"Loss")))</f>
        <v/>
      </c>
      <c r="AF723" s="6">
        <f>SUM($Y$2:Y723)/SUM($X$2:X723)</f>
        <v/>
      </c>
      <c r="AG723" s="5">
        <f>SUM($Y$2:Y723)</f>
        <v/>
      </c>
      <c r="AH723" s="7">
        <f>10000.0+SUM($AA$2:AA723)</f>
        <v/>
      </c>
      <c r="AI723" s="2" t="n">
        <v>2026</v>
      </c>
      <c r="AJ723" s="2" t="inlineStr">
        <is>
          <t>2026-05</t>
        </is>
      </c>
      <c r="AK723" s="2" t="inlineStr">
        <is>
          <t>+121 to +150</t>
        </is>
      </c>
      <c r="AL723" s="2" t="inlineStr">
        <is>
          <t>2026 Frozen Test</t>
        </is>
      </c>
      <c r="AM723" s="6" t="n">
        <v>0.1697837675768676</v>
      </c>
    </row>
    <row r="724">
      <c r="A724" s="2" t="inlineStr">
        <is>
          <t>KPROP-00723</t>
        </is>
      </c>
      <c r="B724" s="3" t="n">
        <v>46145.53167824074</v>
      </c>
      <c r="C724" s="3" t="n">
        <v>46145</v>
      </c>
      <c r="D724" s="2" t="inlineStr">
        <is>
          <t>Trey Yesavage</t>
        </is>
      </c>
      <c r="E724" s="2" t="n">
        <v>141</v>
      </c>
      <c r="F724" s="2" t="n">
        <v>142</v>
      </c>
      <c r="G724" s="2" t="inlineStr">
        <is>
          <t>Away</t>
        </is>
      </c>
      <c r="H724" s="2" t="inlineStr">
        <is>
          <t>betrivers</t>
        </is>
      </c>
      <c r="I724" s="4" t="n"/>
      <c r="J724" s="4" t="n"/>
      <c r="K724" s="4" t="n">
        <v>-167</v>
      </c>
      <c r="L724" s="4" t="n">
        <v>-167</v>
      </c>
      <c r="M724" s="5" t="n">
        <v>5.5</v>
      </c>
      <c r="N724" s="5" t="n">
        <v>4.490468429185494</v>
      </c>
      <c r="O724" s="5" t="n">
        <v>5.5</v>
      </c>
      <c r="P724" s="5" t="n">
        <v>1.009531570814506</v>
      </c>
      <c r="Q724" s="6" t="n">
        <v>0.1264487224502927</v>
      </c>
      <c r="R724" s="6" t="n">
        <v>0.7045578151655389</v>
      </c>
      <c r="S724" s="6" t="n">
        <v>0.5951171430737736</v>
      </c>
      <c r="T724" s="2" t="inlineStr">
        <is>
          <t>Under</t>
        </is>
      </c>
      <c r="U724" s="4" t="n">
        <v>-167</v>
      </c>
      <c r="V724" s="2" t="n">
        <v>1.598802395209581</v>
      </c>
      <c r="W724" s="4" t="n">
        <v>-167</v>
      </c>
      <c r="X724" s="2" t="n">
        <v>1</v>
      </c>
      <c r="Y724" s="5" t="n">
        <v>-1</v>
      </c>
      <c r="Z724" s="7" t="n">
        <v>100</v>
      </c>
      <c r="AA724" s="7">
        <f>Y724*Z724</f>
        <v/>
      </c>
      <c r="AB724" s="6">
        <f>IF(Z724=0,0,AA724/Z724)</f>
        <v/>
      </c>
      <c r="AC724" s="6" t="n"/>
      <c r="AD724" s="2" t="inlineStr">
        <is>
          <t>Loss</t>
        </is>
      </c>
      <c r="AE724" s="6">
        <f>IF((COUNTIF($AD$2:AD724,"Win")+COUNTIF($AD$2:AD724,"Loss"))=0,0,COUNTIF($AD$2:AD724,"Win")/(COUNTIF($AD$2:AD724,"Win")+COUNTIF($AD$2:AD724,"Loss")))</f>
        <v/>
      </c>
      <c r="AF724" s="6">
        <f>SUM($Y$2:Y724)/SUM($X$2:X724)</f>
        <v/>
      </c>
      <c r="AG724" s="5">
        <f>SUM($Y$2:Y724)</f>
        <v/>
      </c>
      <c r="AH724" s="7">
        <f>10000.0+SUM($AA$2:AA724)</f>
        <v/>
      </c>
      <c r="AI724" s="2" t="n">
        <v>2026</v>
      </c>
      <c r="AJ724" s="2" t="inlineStr">
        <is>
          <t>2026-05</t>
        </is>
      </c>
      <c r="AK724" s="2" t="inlineStr">
        <is>
          <t>&lt;= -150</t>
        </is>
      </c>
      <c r="AL724" s="2" t="inlineStr">
        <is>
          <t>2026 Frozen Test</t>
        </is>
      </c>
      <c r="AM724" s="6" t="n">
        <v>0.2111693664919889</v>
      </c>
    </row>
    <row r="725">
      <c r="A725" s="2" t="inlineStr">
        <is>
          <t>KPROP-00724</t>
        </is>
      </c>
      <c r="B725" s="3" t="n">
        <v>46147.81641203703</v>
      </c>
      <c r="C725" s="3" t="n">
        <v>46147</v>
      </c>
      <c r="D725" s="2" t="inlineStr">
        <is>
          <t>Jameson Taillon</t>
        </is>
      </c>
      <c r="E725" s="2" t="n">
        <v>112</v>
      </c>
      <c r="F725" s="2" t="n">
        <v>113</v>
      </c>
      <c r="G725" s="2" t="inlineStr">
        <is>
          <t>Home</t>
        </is>
      </c>
      <c r="H725" s="2" t="inlineStr">
        <is>
          <t>bovada</t>
        </is>
      </c>
      <c r="I725" s="4" t="n"/>
      <c r="J725" s="4" t="n"/>
      <c r="K725" s="4" t="n">
        <v>130</v>
      </c>
      <c r="L725" s="4" t="n">
        <v>130</v>
      </c>
      <c r="M725" s="5" t="n">
        <v>4.5</v>
      </c>
      <c r="N725" s="5" t="n">
        <v>4.594566166421724</v>
      </c>
      <c r="O725" s="5" t="n">
        <v>4.5</v>
      </c>
      <c r="P725" s="5" t="n">
        <v>-0.09456616642172389</v>
      </c>
      <c r="Q725" s="6" t="n">
        <v>0.1827827175429211</v>
      </c>
      <c r="R725" s="6" t="n">
        <v>0.514253355453444</v>
      </c>
      <c r="S725" s="6" t="n">
        <v>0.4106205619018215</v>
      </c>
      <c r="T725" s="2" t="inlineStr">
        <is>
          <t>Under</t>
        </is>
      </c>
      <c r="U725" s="4" t="n">
        <v>130</v>
      </c>
      <c r="V725" s="2" t="n">
        <v>2.3</v>
      </c>
      <c r="W725" s="4" t="n">
        <v>130</v>
      </c>
      <c r="X725" s="2" t="n">
        <v>1</v>
      </c>
      <c r="Y725" s="5" t="n">
        <v>-1</v>
      </c>
      <c r="Z725" s="7" t="n">
        <v>100</v>
      </c>
      <c r="AA725" s="7">
        <f>Y725*Z725</f>
        <v/>
      </c>
      <c r="AB725" s="6">
        <f>IF(Z725=0,0,AA725/Z725)</f>
        <v/>
      </c>
      <c r="AC725" s="6" t="n"/>
      <c r="AD725" s="2" t="inlineStr">
        <is>
          <t>Loss</t>
        </is>
      </c>
      <c r="AE725" s="6">
        <f>IF((COUNTIF($AD$2:AD725,"Win")+COUNTIF($AD$2:AD725,"Loss"))=0,0,COUNTIF($AD$2:AD725,"Win")/(COUNTIF($AD$2:AD725,"Win")+COUNTIF($AD$2:AD725,"Loss")))</f>
        <v/>
      </c>
      <c r="AF725" s="6">
        <f>SUM($Y$2:Y725)/SUM($X$2:X725)</f>
        <v/>
      </c>
      <c r="AG725" s="5">
        <f>SUM($Y$2:Y725)</f>
        <v/>
      </c>
      <c r="AH725" s="7">
        <f>10000.0+SUM($AA$2:AA725)</f>
        <v/>
      </c>
      <c r="AI725" s="2" t="n">
        <v>2026</v>
      </c>
      <c r="AJ725" s="2" t="inlineStr">
        <is>
          <t>2026-05</t>
        </is>
      </c>
      <c r="AK725" s="2" t="inlineStr">
        <is>
          <t>+121 to +150</t>
        </is>
      </c>
      <c r="AL725" s="2" t="inlineStr">
        <is>
          <t>2026 Frozen Test</t>
        </is>
      </c>
      <c r="AM725" s="6" t="n">
        <v>0.1406020904176316</v>
      </c>
    </row>
    <row r="726">
      <c r="A726" s="2" t="inlineStr">
        <is>
          <t>KPROP-00725</t>
        </is>
      </c>
      <c r="B726" s="3" t="n">
        <v>46147.81641203703</v>
      </c>
      <c r="C726" s="3" t="n">
        <v>46147</v>
      </c>
      <c r="D726" s="2" t="inlineStr">
        <is>
          <t>Jameson Taillon</t>
        </is>
      </c>
      <c r="E726" s="2" t="n">
        <v>112</v>
      </c>
      <c r="F726" s="2" t="n">
        <v>113</v>
      </c>
      <c r="G726" s="2" t="inlineStr">
        <is>
          <t>Home</t>
        </is>
      </c>
      <c r="H726" s="2" t="inlineStr">
        <is>
          <t>draftkings</t>
        </is>
      </c>
      <c r="I726" s="4" t="n"/>
      <c r="J726" s="4" t="n"/>
      <c r="K726" s="4" t="n">
        <v>-146</v>
      </c>
      <c r="L726" s="4" t="n">
        <v>-146</v>
      </c>
      <c r="M726" s="5" t="n">
        <v>5.5</v>
      </c>
      <c r="N726" s="5" t="n">
        <v>4.594566166421724</v>
      </c>
      <c r="O726" s="5" t="n">
        <v>5.5</v>
      </c>
      <c r="P726" s="5" t="n">
        <v>0.9054338335782761</v>
      </c>
      <c r="Q726" s="6" t="n">
        <v>0.1570369955687329</v>
      </c>
      <c r="R726" s="6" t="n">
        <v>0.6866967534676219</v>
      </c>
      <c r="S726" s="6" t="n">
        <v>0.5771742866964593</v>
      </c>
      <c r="T726" s="2" t="inlineStr">
        <is>
          <t>Under</t>
        </is>
      </c>
      <c r="U726" s="4" t="n">
        <v>-146</v>
      </c>
      <c r="V726" s="2" t="n">
        <v>1.684931506849315</v>
      </c>
      <c r="W726" s="4" t="n">
        <v>-146</v>
      </c>
      <c r="X726" s="2" t="n">
        <v>1</v>
      </c>
      <c r="Y726" s="5" t="n">
        <v>0.6849315068493151</v>
      </c>
      <c r="Z726" s="7" t="n">
        <v>100</v>
      </c>
      <c r="AA726" s="7">
        <f>Y726*Z726</f>
        <v/>
      </c>
      <c r="AB726" s="6">
        <f>IF(Z726=0,0,AA726/Z726)</f>
        <v/>
      </c>
      <c r="AC726" s="6" t="n"/>
      <c r="AD726" s="2" t="inlineStr">
        <is>
          <t>Win</t>
        </is>
      </c>
      <c r="AE726" s="6">
        <f>IF((COUNTIF($AD$2:AD726,"Win")+COUNTIF($AD$2:AD726,"Loss"))=0,0,COUNTIF($AD$2:AD726,"Win")/(COUNTIF($AD$2:AD726,"Win")+COUNTIF($AD$2:AD726,"Loss")))</f>
        <v/>
      </c>
      <c r="AF726" s="6">
        <f>SUM($Y$2:Y726)/SUM($X$2:X726)</f>
        <v/>
      </c>
      <c r="AG726" s="5">
        <f>SUM($Y$2:Y726)</f>
        <v/>
      </c>
      <c r="AH726" s="7">
        <f>10000.0+SUM($AA$2:AA726)</f>
        <v/>
      </c>
      <c r="AI726" s="2" t="n">
        <v>2026</v>
      </c>
      <c r="AJ726" s="2" t="inlineStr">
        <is>
          <t>2026-05</t>
        </is>
      </c>
      <c r="AK726" s="2" t="inlineStr">
        <is>
          <t>-149 to -120</t>
        </is>
      </c>
      <c r="AL726" s="2" t="inlineStr">
        <is>
          <t>2026 Frozen Test</t>
        </is>
      </c>
      <c r="AM726" s="6" t="n">
        <v>0.22927401353035</v>
      </c>
    </row>
    <row r="727">
      <c r="A727" s="2" t="inlineStr">
        <is>
          <t>KPROP-00726</t>
        </is>
      </c>
      <c r="B727" s="3" t="n">
        <v>46147.77820601852</v>
      </c>
      <c r="C727" s="3" t="n">
        <v>46147</v>
      </c>
      <c r="D727" s="2" t="inlineStr">
        <is>
          <t>Kevin Gausman</t>
        </is>
      </c>
      <c r="E727" s="2" t="n">
        <v>141</v>
      </c>
      <c r="F727" s="2" t="n">
        <v>139</v>
      </c>
      <c r="G727" s="2" t="inlineStr">
        <is>
          <t>Away</t>
        </is>
      </c>
      <c r="H727" s="2" t="inlineStr">
        <is>
          <t>betrivers</t>
        </is>
      </c>
      <c r="I727" s="4" t="n"/>
      <c r="J727" s="4" t="n"/>
      <c r="K727" s="4" t="n">
        <v>-141</v>
      </c>
      <c r="L727" s="4" t="n">
        <v>-141</v>
      </c>
      <c r="M727" s="5" t="n">
        <v>5.5</v>
      </c>
      <c r="N727" s="5" t="n">
        <v>4.667930516952246</v>
      </c>
      <c r="O727" s="5" t="n">
        <v>5.5</v>
      </c>
      <c r="P727" s="5" t="n">
        <v>0.8320694830477535</v>
      </c>
      <c r="Q727" s="6" t="n">
        <v>0.1520264830846691</v>
      </c>
      <c r="R727" s="6" t="n">
        <v>0.6740071954976694</v>
      </c>
      <c r="S727" s="6" t="n">
        <v>0.5661019390382226</v>
      </c>
      <c r="T727" s="2" t="inlineStr">
        <is>
          <t>Under</t>
        </is>
      </c>
      <c r="U727" s="4" t="n">
        <v>-141</v>
      </c>
      <c r="V727" s="2" t="n">
        <v>1.709219858156029</v>
      </c>
      <c r="W727" s="4" t="n">
        <v>-141</v>
      </c>
      <c r="X727" s="2" t="n">
        <v>1</v>
      </c>
      <c r="Y727" s="5" t="n">
        <v>0.7092198581560285</v>
      </c>
      <c r="Z727" s="7" t="n">
        <v>100</v>
      </c>
      <c r="AA727" s="7">
        <f>Y727*Z727</f>
        <v/>
      </c>
      <c r="AB727" s="6">
        <f>IF(Z727=0,0,AA727/Z727)</f>
        <v/>
      </c>
      <c r="AC727" s="6" t="n"/>
      <c r="AD727" s="2" t="inlineStr">
        <is>
          <t>Win</t>
        </is>
      </c>
      <c r="AE727" s="6">
        <f>IF((COUNTIF($AD$2:AD727,"Win")+COUNTIF($AD$2:AD727,"Loss"))=0,0,COUNTIF($AD$2:AD727,"Win")/(COUNTIF($AD$2:AD727,"Win")+COUNTIF($AD$2:AD727,"Loss")))</f>
        <v/>
      </c>
      <c r="AF727" s="6">
        <f>SUM($Y$2:Y727)/SUM($X$2:X727)</f>
        <v/>
      </c>
      <c r="AG727" s="5">
        <f>SUM($Y$2:Y727)</f>
        <v/>
      </c>
      <c r="AH727" s="7">
        <f>10000.0+SUM($AA$2:AA727)</f>
        <v/>
      </c>
      <c r="AI727" s="2" t="n">
        <v>2026</v>
      </c>
      <c r="AJ727" s="2" t="inlineStr">
        <is>
          <t>2026-05</t>
        </is>
      </c>
      <c r="AK727" s="2" t="inlineStr">
        <is>
          <t>-149 to -120</t>
        </is>
      </c>
      <c r="AL727" s="2" t="inlineStr">
        <is>
          <t>2026 Frozen Test</t>
        </is>
      </c>
      <c r="AM727" s="6" t="n">
        <v>0.2143573411493834</v>
      </c>
    </row>
    <row r="728">
      <c r="A728" s="2" t="inlineStr">
        <is>
          <t>KPROP-00727</t>
        </is>
      </c>
      <c r="B728" s="3" t="n">
        <v>46148.67056712963</v>
      </c>
      <c r="C728" s="3" t="n">
        <v>46148</v>
      </c>
      <c r="D728" s="2" t="inlineStr">
        <is>
          <t>Bryan Woo</t>
        </is>
      </c>
      <c r="E728" s="2" t="n">
        <v>136</v>
      </c>
      <c r="F728" s="2" t="n">
        <v>144</v>
      </c>
      <c r="G728" s="2" t="inlineStr">
        <is>
          <t>Home</t>
        </is>
      </c>
      <c r="H728" s="2" t="inlineStr">
        <is>
          <t>betrivers</t>
        </is>
      </c>
      <c r="I728" s="4" t="n"/>
      <c r="J728" s="4" t="n"/>
      <c r="K728" s="4" t="n">
        <v>155</v>
      </c>
      <c r="L728" s="4" t="n">
        <v>155</v>
      </c>
      <c r="M728" s="5" t="n">
        <v>4.5</v>
      </c>
      <c r="N728" s="5" t="n">
        <v>4.903011485774969</v>
      </c>
      <c r="O728" s="5" t="n">
        <v>4.5</v>
      </c>
      <c r="P728" s="5" t="n">
        <v>-0.4030114857749689</v>
      </c>
      <c r="Q728" s="6" t="n">
        <v>0.1670670731364728</v>
      </c>
      <c r="R728" s="6" t="n">
        <v>0.4576733620143031</v>
      </c>
      <c r="S728" s="6" t="n">
        <v>0.3892215568862276</v>
      </c>
      <c r="T728" s="2" t="inlineStr">
        <is>
          <t>Under</t>
        </is>
      </c>
      <c r="U728" s="4" t="n">
        <v>155</v>
      </c>
      <c r="V728" s="2" t="n">
        <v>2.55</v>
      </c>
      <c r="W728" s="4" t="n">
        <v>155</v>
      </c>
      <c r="X728" s="2" t="n">
        <v>1</v>
      </c>
      <c r="Y728" s="5" t="n">
        <v>-1</v>
      </c>
      <c r="Z728" s="7" t="n">
        <v>100</v>
      </c>
      <c r="AA728" s="7">
        <f>Y728*Z728</f>
        <v/>
      </c>
      <c r="AB728" s="6">
        <f>IF(Z728=0,0,AA728/Z728)</f>
        <v/>
      </c>
      <c r="AC728" s="6" t="n"/>
      <c r="AD728" s="2" t="inlineStr">
        <is>
          <t>Loss</t>
        </is>
      </c>
      <c r="AE728" s="6">
        <f>IF((COUNTIF($AD$2:AD728,"Win")+COUNTIF($AD$2:AD728,"Loss"))=0,0,COUNTIF($AD$2:AD728,"Win")/(COUNTIF($AD$2:AD728,"Win")+COUNTIF($AD$2:AD728,"Loss")))</f>
        <v/>
      </c>
      <c r="AF728" s="6">
        <f>SUM($Y$2:Y728)/SUM($X$2:X728)</f>
        <v/>
      </c>
      <c r="AG728" s="5">
        <f>SUM($Y$2:Y728)</f>
        <v/>
      </c>
      <c r="AH728" s="7">
        <f>10000.0+SUM($AA$2:AA728)</f>
        <v/>
      </c>
      <c r="AI728" s="2" t="n">
        <v>2026</v>
      </c>
      <c r="AJ728" s="2" t="inlineStr">
        <is>
          <t>2026-05</t>
        </is>
      </c>
      <c r="AK728" s="2" t="inlineStr">
        <is>
          <t>&gt;= +151</t>
        </is>
      </c>
      <c r="AL728" s="2" t="inlineStr">
        <is>
          <t>2026 Frozen Test</t>
        </is>
      </c>
      <c r="AM728" s="6" t="n">
        <v>0.1077852084751438</v>
      </c>
    </row>
    <row r="729">
      <c r="A729" s="2" t="inlineStr">
        <is>
          <t>KPROP-00728</t>
        </is>
      </c>
      <c r="B729" s="3" t="n">
        <v>46148.67056712963</v>
      </c>
      <c r="C729" s="3" t="n">
        <v>46148</v>
      </c>
      <c r="D729" s="2" t="inlineStr">
        <is>
          <t>Bryan Woo</t>
        </is>
      </c>
      <c r="E729" s="2" t="n">
        <v>136</v>
      </c>
      <c r="F729" s="2" t="n">
        <v>144</v>
      </c>
      <c r="G729" s="2" t="inlineStr">
        <is>
          <t>Home</t>
        </is>
      </c>
      <c r="H729" s="2" t="inlineStr">
        <is>
          <t>draftkings</t>
        </is>
      </c>
      <c r="I729" s="4" t="n"/>
      <c r="J729" s="4" t="n"/>
      <c r="K729" s="4" t="n">
        <v>-134</v>
      </c>
      <c r="L729" s="4" t="n">
        <v>-134</v>
      </c>
      <c r="M729" s="5" t="n">
        <v>5.5</v>
      </c>
      <c r="N729" s="5" t="n">
        <v>4.903011485774969</v>
      </c>
      <c r="O729" s="5" t="n">
        <v>5.5</v>
      </c>
      <c r="P729" s="5" t="n">
        <v>0.5969885142250311</v>
      </c>
      <c r="Q729" s="6" t="n">
        <v>0.1053419359377001</v>
      </c>
      <c r="R729" s="6" t="n">
        <v>0.6329735872463753</v>
      </c>
      <c r="S729" s="6" t="n">
        <v>0.5574886535552194</v>
      </c>
      <c r="T729" s="2" t="inlineStr">
        <is>
          <t>Under</t>
        </is>
      </c>
      <c r="U729" s="4" t="n">
        <v>-134</v>
      </c>
      <c r="V729" s="2" t="n">
        <v>1.746268656716418</v>
      </c>
      <c r="W729" s="4" t="n">
        <v>-134</v>
      </c>
      <c r="X729" s="2" t="n">
        <v>1</v>
      </c>
      <c r="Y729" s="5" t="n">
        <v>-1</v>
      </c>
      <c r="Z729" s="7" t="n">
        <v>100</v>
      </c>
      <c r="AA729" s="7">
        <f>Y729*Z729</f>
        <v/>
      </c>
      <c r="AB729" s="6">
        <f>IF(Z729=0,0,AA729/Z729)</f>
        <v/>
      </c>
      <c r="AC729" s="6" t="n"/>
      <c r="AD729" s="2" t="inlineStr">
        <is>
          <t>Loss</t>
        </is>
      </c>
      <c r="AE729" s="6">
        <f>IF((COUNTIF($AD$2:AD729,"Win")+COUNTIF($AD$2:AD729,"Loss"))=0,0,COUNTIF($AD$2:AD729,"Win")/(COUNTIF($AD$2:AD729,"Win")+COUNTIF($AD$2:AD729,"Loss")))</f>
        <v/>
      </c>
      <c r="AF729" s="6">
        <f>SUM($Y$2:Y729)/SUM($X$2:X729)</f>
        <v/>
      </c>
      <c r="AG729" s="5">
        <f>SUM($Y$2:Y729)</f>
        <v/>
      </c>
      <c r="AH729" s="7">
        <f>10000.0+SUM($AA$2:AA729)</f>
        <v/>
      </c>
      <c r="AI729" s="2" t="n">
        <v>2026</v>
      </c>
      <c r="AJ729" s="2" t="inlineStr">
        <is>
          <t>2026-05</t>
        </is>
      </c>
      <c r="AK729" s="2" t="inlineStr">
        <is>
          <t>-149 to -120</t>
        </is>
      </c>
      <c r="AL729" s="2" t="inlineStr">
        <is>
          <t>2026 Frozen Test</t>
        </is>
      </c>
      <c r="AM729" s="6" t="n">
        <v>0.1411581941565182</v>
      </c>
    </row>
    <row r="730">
      <c r="A730" s="2" t="inlineStr">
        <is>
          <t>KPROP-00729</t>
        </is>
      </c>
      <c r="B730" s="3" t="n">
        <v>46148.77821759259</v>
      </c>
      <c r="C730" s="3" t="n">
        <v>46148</v>
      </c>
      <c r="D730" s="2" t="inlineStr">
        <is>
          <t>Jack Flaherty</t>
        </is>
      </c>
      <c r="E730" s="2" t="n">
        <v>116</v>
      </c>
      <c r="F730" s="2" t="n">
        <v>111</v>
      </c>
      <c r="G730" s="2" t="inlineStr">
        <is>
          <t>Home</t>
        </is>
      </c>
      <c r="H730" s="2" t="inlineStr">
        <is>
          <t>betmgm</t>
        </is>
      </c>
      <c r="I730" s="4" t="n"/>
      <c r="J730" s="4" t="n"/>
      <c r="K730" s="4" t="n">
        <v>-125</v>
      </c>
      <c r="L730" s="4" t="n">
        <v>-125</v>
      </c>
      <c r="M730" s="5" t="n">
        <v>5.5</v>
      </c>
      <c r="N730" s="5" t="n">
        <v>4.763581116589688</v>
      </c>
      <c r="O730" s="5" t="n">
        <v>5.5</v>
      </c>
      <c r="P730" s="5" t="n">
        <v>0.7364188834103116</v>
      </c>
      <c r="Q730" s="6" t="n">
        <v>0.1832577569019854</v>
      </c>
      <c r="R730" s="6" t="n">
        <v>0.657365420501103</v>
      </c>
      <c r="S730" s="6" t="n">
        <v>0.5372750642673522</v>
      </c>
      <c r="T730" s="2" t="inlineStr">
        <is>
          <t>Under</t>
        </is>
      </c>
      <c r="U730" s="4" t="n">
        <v>-125</v>
      </c>
      <c r="V730" s="2" t="n">
        <v>1.8</v>
      </c>
      <c r="W730" s="4" t="n">
        <v>-125</v>
      </c>
      <c r="X730" s="2" t="n">
        <v>1</v>
      </c>
      <c r="Y730" s="5" t="n">
        <v>-1</v>
      </c>
      <c r="Z730" s="7" t="n">
        <v>100</v>
      </c>
      <c r="AA730" s="7">
        <f>Y730*Z730</f>
        <v/>
      </c>
      <c r="AB730" s="6">
        <f>IF(Z730=0,0,AA730/Z730)</f>
        <v/>
      </c>
      <c r="AC730" s="6" t="n"/>
      <c r="AD730" s="2" t="inlineStr">
        <is>
          <t>Loss</t>
        </is>
      </c>
      <c r="AE730" s="6">
        <f>IF((COUNTIF($AD$2:AD730,"Win")+COUNTIF($AD$2:AD730,"Loss"))=0,0,COUNTIF($AD$2:AD730,"Win")/(COUNTIF($AD$2:AD730,"Win")+COUNTIF($AD$2:AD730,"Loss")))</f>
        <v/>
      </c>
      <c r="AF730" s="6">
        <f>SUM($Y$2:Y730)/SUM($X$2:X730)</f>
        <v/>
      </c>
      <c r="AG730" s="5">
        <f>SUM($Y$2:Y730)</f>
        <v/>
      </c>
      <c r="AH730" s="7">
        <f>10000.0+SUM($AA$2:AA730)</f>
        <v/>
      </c>
      <c r="AI730" s="2" t="n">
        <v>2026</v>
      </c>
      <c r="AJ730" s="2" t="inlineStr">
        <is>
          <t>2026-05</t>
        </is>
      </c>
      <c r="AK730" s="2" t="inlineStr">
        <is>
          <t>-149 to -120</t>
        </is>
      </c>
      <c r="AL730" s="2" t="inlineStr">
        <is>
          <t>2026 Frozen Test</t>
        </is>
      </c>
      <c r="AM730" s="6" t="n">
        <v>0.2290721961274818</v>
      </c>
    </row>
    <row r="731">
      <c r="A731" s="2" t="inlineStr">
        <is>
          <t>KPROP-00730</t>
        </is>
      </c>
      <c r="B731" s="3" t="n">
        <v>46148.59070601852</v>
      </c>
      <c r="C731" s="3" t="n">
        <v>46148</v>
      </c>
      <c r="D731" s="2" t="inlineStr">
        <is>
          <t>Lance McCullers Jr.</t>
        </is>
      </c>
      <c r="E731" s="2" t="n">
        <v>117</v>
      </c>
      <c r="F731" s="2" t="n">
        <v>119</v>
      </c>
      <c r="G731" s="2" t="inlineStr">
        <is>
          <t>Home</t>
        </is>
      </c>
      <c r="H731" s="2" t="inlineStr">
        <is>
          <t>bovada</t>
        </is>
      </c>
      <c r="I731" s="4" t="n"/>
      <c r="J731" s="4" t="n"/>
      <c r="K731" s="4" t="n">
        <v>125</v>
      </c>
      <c r="L731" s="4" t="n">
        <v>125</v>
      </c>
      <c r="M731" s="5" t="n">
        <v>4.5</v>
      </c>
      <c r="N731" s="5" t="n">
        <v>4.795758720881242</v>
      </c>
      <c r="O731" s="5" t="n">
        <v>4.5</v>
      </c>
      <c r="P731" s="5" t="n">
        <v>-0.295758720881242</v>
      </c>
      <c r="Q731" s="6" t="n">
        <v>0.07331988783868848</v>
      </c>
      <c r="R731" s="6" t="n">
        <v>0.4770310612616393</v>
      </c>
      <c r="S731" s="6" t="n">
        <v>0.4181963288108539</v>
      </c>
      <c r="T731" s="2" t="inlineStr">
        <is>
          <t>Under</t>
        </is>
      </c>
      <c r="U731" s="4" t="n">
        <v>125</v>
      </c>
      <c r="V731" s="2" t="n">
        <v>2.25</v>
      </c>
      <c r="W731" s="4" t="n">
        <v>125</v>
      </c>
      <c r="X731" s="2" t="n">
        <v>1</v>
      </c>
      <c r="Y731" s="5" t="n">
        <v>1.25</v>
      </c>
      <c r="Z731" s="7" t="n">
        <v>100</v>
      </c>
      <c r="AA731" s="7">
        <f>Y731*Z731</f>
        <v/>
      </c>
      <c r="AB731" s="6">
        <f>IF(Z731=0,0,AA731/Z731)</f>
        <v/>
      </c>
      <c r="AC731" s="6" t="n"/>
      <c r="AD731" s="2" t="inlineStr">
        <is>
          <t>Win</t>
        </is>
      </c>
      <c r="AE731" s="6">
        <f>IF((COUNTIF($AD$2:AD731,"Win")+COUNTIF($AD$2:AD731,"Loss"))=0,0,COUNTIF($AD$2:AD731,"Win")/(COUNTIF($AD$2:AD731,"Win")+COUNTIF($AD$2:AD731,"Loss")))</f>
        <v/>
      </c>
      <c r="AF731" s="6">
        <f>SUM($Y$2:Y731)/SUM($X$2:X731)</f>
        <v/>
      </c>
      <c r="AG731" s="5">
        <f>SUM($Y$2:Y731)</f>
        <v/>
      </c>
      <c r="AH731" s="7">
        <f>10000.0+SUM($AA$2:AA731)</f>
        <v/>
      </c>
      <c r="AI731" s="2" t="n">
        <v>2026</v>
      </c>
      <c r="AJ731" s="2" t="inlineStr">
        <is>
          <t>2026-05</t>
        </is>
      </c>
      <c r="AK731" s="2" t="inlineStr">
        <is>
          <t>+121 to +150</t>
        </is>
      </c>
      <c r="AL731" s="2" t="inlineStr">
        <is>
          <t>2026 Frozen Test</t>
        </is>
      </c>
      <c r="AM731" s="6" t="n">
        <v>0.05865591027095078</v>
      </c>
    </row>
    <row r="732">
      <c r="A732" s="2" t="inlineStr">
        <is>
          <t>KPROP-00731</t>
        </is>
      </c>
      <c r="B732" s="3" t="n">
        <v>46148.59070601852</v>
      </c>
      <c r="C732" s="3" t="n">
        <v>46148</v>
      </c>
      <c r="D732" s="2" t="inlineStr">
        <is>
          <t>Lance McCullers Jr.</t>
        </is>
      </c>
      <c r="E732" s="2" t="n">
        <v>117</v>
      </c>
      <c r="F732" s="2" t="n">
        <v>119</v>
      </c>
      <c r="G732" s="2" t="inlineStr">
        <is>
          <t>Home</t>
        </is>
      </c>
      <c r="H732" s="2" t="inlineStr">
        <is>
          <t>draftkings</t>
        </is>
      </c>
      <c r="I732" s="4" t="n"/>
      <c r="J732" s="4" t="n"/>
      <c r="K732" s="4" t="n">
        <v>-139</v>
      </c>
      <c r="L732" s="4" t="n">
        <v>-139</v>
      </c>
      <c r="M732" s="5" t="n">
        <v>5.5</v>
      </c>
      <c r="N732" s="5" t="n">
        <v>4.795758720881242</v>
      </c>
      <c r="O732" s="5" t="n">
        <v>5.5</v>
      </c>
      <c r="P732" s="5" t="n">
        <v>0.704241279118758</v>
      </c>
      <c r="Q732" s="6" t="n">
        <v>0.1206306365182721</v>
      </c>
      <c r="R732" s="6" t="n">
        <v>0.6517475250043507</v>
      </c>
      <c r="S732" s="6" t="n">
        <v>0.5700820261908188</v>
      </c>
      <c r="T732" s="2" t="inlineStr">
        <is>
          <t>Under</t>
        </is>
      </c>
      <c r="U732" s="4" t="n">
        <v>-139</v>
      </c>
      <c r="V732" s="2" t="n">
        <v>1.719424460431655</v>
      </c>
      <c r="W732" s="4" t="n">
        <v>-139</v>
      </c>
      <c r="X732" s="2" t="n">
        <v>1</v>
      </c>
      <c r="Y732" s="5" t="n">
        <v>0.7194244604316546</v>
      </c>
      <c r="Z732" s="7" t="n">
        <v>100</v>
      </c>
      <c r="AA732" s="7">
        <f>Y732*Z732</f>
        <v/>
      </c>
      <c r="AB732" s="6">
        <f>IF(Z732=0,0,AA732/Z732)</f>
        <v/>
      </c>
      <c r="AC732" s="6" t="n"/>
      <c r="AD732" s="2" t="inlineStr">
        <is>
          <t>Win</t>
        </is>
      </c>
      <c r="AE732" s="6">
        <f>IF((COUNTIF($AD$2:AD732,"Win")+COUNTIF($AD$2:AD732,"Loss"))=0,0,COUNTIF($AD$2:AD732,"Win")/(COUNTIF($AD$2:AD732,"Win")+COUNTIF($AD$2:AD732,"Loss")))</f>
        <v/>
      </c>
      <c r="AF732" s="6">
        <f>SUM($Y$2:Y732)/SUM($X$2:X732)</f>
        <v/>
      </c>
      <c r="AG732" s="5">
        <f>SUM($Y$2:Y732)</f>
        <v/>
      </c>
      <c r="AH732" s="7">
        <f>10000.0+SUM($AA$2:AA732)</f>
        <v/>
      </c>
      <c r="AI732" s="2" t="n">
        <v>2026</v>
      </c>
      <c r="AJ732" s="2" t="inlineStr">
        <is>
          <t>2026-05</t>
        </is>
      </c>
      <c r="AK732" s="2" t="inlineStr">
        <is>
          <t>-149 to -120</t>
        </is>
      </c>
      <c r="AL732" s="2" t="inlineStr">
        <is>
          <t>2026 Frozen Test</t>
        </is>
      </c>
      <c r="AM732" s="6" t="n">
        <v>0.1676765847603982</v>
      </c>
    </row>
    <row r="733">
      <c r="A733" s="2" t="inlineStr">
        <is>
          <t>KPROP-00732</t>
        </is>
      </c>
      <c r="B733" s="3" t="n">
        <v>46148.54903935185</v>
      </c>
      <c r="C733" s="3" t="n">
        <v>46148</v>
      </c>
      <c r="D733" s="2" t="inlineStr">
        <is>
          <t>Patrick Corbin</t>
        </is>
      </c>
      <c r="E733" s="2" t="n">
        <v>141</v>
      </c>
      <c r="F733" s="2" t="n">
        <v>139</v>
      </c>
      <c r="G733" s="2" t="inlineStr">
        <is>
          <t>Away</t>
        </is>
      </c>
      <c r="H733" s="2" t="inlineStr">
        <is>
          <t>bovada</t>
        </is>
      </c>
      <c r="I733" s="4" t="n"/>
      <c r="J733" s="4" t="n"/>
      <c r="K733" s="4" t="n">
        <v>105</v>
      </c>
      <c r="L733" s="4" t="n">
        <v>105</v>
      </c>
      <c r="M733" s="5" t="n">
        <v>3.5</v>
      </c>
      <c r="N733" s="5" t="n">
        <v>3.468180266297295</v>
      </c>
      <c r="O733" s="5" t="n">
        <v>3.5</v>
      </c>
      <c r="P733" s="5" t="n">
        <v>0.0318197337027053</v>
      </c>
      <c r="Q733" s="6" t="n">
        <v>0.1142042075031303</v>
      </c>
      <c r="R733" s="6" t="n">
        <v>0.5435142475625027</v>
      </c>
      <c r="S733" s="6" t="n">
        <v>0.4822043628013777</v>
      </c>
      <c r="T733" s="2" t="inlineStr">
        <is>
          <t>Under</t>
        </is>
      </c>
      <c r="U733" s="4" t="n">
        <v>105</v>
      </c>
      <c r="V733" s="2" t="n">
        <v>2.05</v>
      </c>
      <c r="W733" s="4" t="n">
        <v>105</v>
      </c>
      <c r="X733" s="2" t="n">
        <v>1</v>
      </c>
      <c r="Y733" s="5" t="n">
        <v>1.05</v>
      </c>
      <c r="Z733" s="7" t="n">
        <v>100</v>
      </c>
      <c r="AA733" s="7">
        <f>Y733*Z733</f>
        <v/>
      </c>
      <c r="AB733" s="6">
        <f>IF(Z733=0,0,AA733/Z733)</f>
        <v/>
      </c>
      <c r="AC733" s="6" t="n"/>
      <c r="AD733" s="2" t="inlineStr">
        <is>
          <t>Win</t>
        </is>
      </c>
      <c r="AE733" s="6">
        <f>IF((COUNTIF($AD$2:AD733,"Win")+COUNTIF($AD$2:AD733,"Loss"))=0,0,COUNTIF($AD$2:AD733,"Win")/(COUNTIF($AD$2:AD733,"Win")+COUNTIF($AD$2:AD733,"Loss")))</f>
        <v/>
      </c>
      <c r="AF733" s="6">
        <f>SUM($Y$2:Y733)/SUM($X$2:X733)</f>
        <v/>
      </c>
      <c r="AG733" s="5">
        <f>SUM($Y$2:Y733)</f>
        <v/>
      </c>
      <c r="AH733" s="7">
        <f>10000.0+SUM($AA$2:AA733)</f>
        <v/>
      </c>
      <c r="AI733" s="2" t="n">
        <v>2026</v>
      </c>
      <c r="AJ733" s="2" t="inlineStr">
        <is>
          <t>2026-05</t>
        </is>
      </c>
      <c r="AK733" s="2" t="inlineStr">
        <is>
          <t>+100 to +120</t>
        </is>
      </c>
      <c r="AL733" s="2" t="inlineStr">
        <is>
          <t>2026 Frozen Test</t>
        </is>
      </c>
      <c r="AM733" s="6" t="n">
        <v>0.1087659119077432</v>
      </c>
    </row>
    <row r="734">
      <c r="A734" s="2" t="inlineStr">
        <is>
          <t>KPROP-00733</t>
        </is>
      </c>
      <c r="B734" s="3" t="n">
        <v>46148.54903935185</v>
      </c>
      <c r="C734" s="3" t="n">
        <v>46148</v>
      </c>
      <c r="D734" s="2" t="inlineStr">
        <is>
          <t>Shane McClanahan</t>
        </is>
      </c>
      <c r="E734" s="2" t="n">
        <v>139</v>
      </c>
      <c r="F734" s="2" t="n">
        <v>141</v>
      </c>
      <c r="G734" s="2" t="inlineStr">
        <is>
          <t>Home</t>
        </is>
      </c>
      <c r="H734" s="2" t="inlineStr">
        <is>
          <t>betrivers</t>
        </is>
      </c>
      <c r="I734" s="4" t="n"/>
      <c r="J734" s="4" t="n"/>
      <c r="K734" s="4" t="n">
        <v>125</v>
      </c>
      <c r="L734" s="4" t="n">
        <v>125</v>
      </c>
      <c r="M734" s="5" t="n">
        <v>4.5</v>
      </c>
      <c r="N734" s="5" t="n">
        <v>4.587667991103101</v>
      </c>
      <c r="O734" s="5" t="n">
        <v>4.5</v>
      </c>
      <c r="P734" s="5" t="n">
        <v>-0.08766799110310064</v>
      </c>
      <c r="Q734" s="6" t="n">
        <v>0.1599839992214374</v>
      </c>
      <c r="R734" s="6" t="n">
        <v>0.5155484440984166</v>
      </c>
      <c r="S734" s="6" t="n">
        <v>0.4410207029369282</v>
      </c>
      <c r="T734" s="2" t="inlineStr">
        <is>
          <t>Under</t>
        </is>
      </c>
      <c r="U734" s="4" t="n">
        <v>125</v>
      </c>
      <c r="V734" s="2" t="n">
        <v>2.25</v>
      </c>
      <c r="W734" s="4" t="n">
        <v>125</v>
      </c>
      <c r="X734" s="2" t="n">
        <v>1</v>
      </c>
      <c r="Y734" s="5" t="n">
        <v>1.25</v>
      </c>
      <c r="Z734" s="7" t="n">
        <v>100</v>
      </c>
      <c r="AA734" s="7">
        <f>Y734*Z734</f>
        <v/>
      </c>
      <c r="AB734" s="6">
        <f>IF(Z734=0,0,AA734/Z734)</f>
        <v/>
      </c>
      <c r="AC734" s="6" t="n"/>
      <c r="AD734" s="2" t="inlineStr">
        <is>
          <t>Win</t>
        </is>
      </c>
      <c r="AE734" s="6">
        <f>IF((COUNTIF($AD$2:AD734,"Win")+COUNTIF($AD$2:AD734,"Loss"))=0,0,COUNTIF($AD$2:AD734,"Win")/(COUNTIF($AD$2:AD734,"Win")+COUNTIF($AD$2:AD734,"Loss")))</f>
        <v/>
      </c>
      <c r="AF734" s="6">
        <f>SUM($Y$2:Y734)/SUM($X$2:X734)</f>
        <v/>
      </c>
      <c r="AG734" s="5">
        <f>SUM($Y$2:Y734)</f>
        <v/>
      </c>
      <c r="AH734" s="7">
        <f>10000.0+SUM($AA$2:AA734)</f>
        <v/>
      </c>
      <c r="AI734" s="2" t="n">
        <v>2026</v>
      </c>
      <c r="AJ734" s="2" t="inlineStr">
        <is>
          <t>2026-05</t>
        </is>
      </c>
      <c r="AK734" s="2" t="inlineStr">
        <is>
          <t>+121 to +150</t>
        </is>
      </c>
      <c r="AL734" s="2" t="inlineStr">
        <is>
          <t>2026 Frozen Test</t>
        </is>
      </c>
      <c r="AM734" s="6" t="n">
        <v>0.1279871993771499</v>
      </c>
    </row>
    <row r="735">
      <c r="A735" s="2" t="inlineStr">
        <is>
          <t>KPROP-00734</t>
        </is>
      </c>
      <c r="B735" s="3" t="n">
        <v>46148.54903935185</v>
      </c>
      <c r="C735" s="3" t="n">
        <v>46148</v>
      </c>
      <c r="D735" s="2" t="inlineStr">
        <is>
          <t>Shane McClanahan</t>
        </is>
      </c>
      <c r="E735" s="2" t="n">
        <v>139</v>
      </c>
      <c r="F735" s="2" t="n">
        <v>141</v>
      </c>
      <c r="G735" s="2" t="inlineStr">
        <is>
          <t>Home</t>
        </is>
      </c>
      <c r="H735" s="2" t="inlineStr">
        <is>
          <t>betmgm</t>
        </is>
      </c>
      <c r="I735" s="4" t="n"/>
      <c r="J735" s="4" t="n"/>
      <c r="K735" s="4" t="n">
        <v>-160</v>
      </c>
      <c r="L735" s="4" t="n">
        <v>-160</v>
      </c>
      <c r="M735" s="5" t="n">
        <v>5.5</v>
      </c>
      <c r="N735" s="5" t="n">
        <v>4.587667991103101</v>
      </c>
      <c r="O735" s="5" t="n">
        <v>5.5</v>
      </c>
      <c r="P735" s="5" t="n">
        <v>0.9123320088968994</v>
      </c>
      <c r="Q735" s="6" t="n">
        <v>0.1178146428388357</v>
      </c>
      <c r="R735" s="6" t="n">
        <v>0.6878859340546681</v>
      </c>
      <c r="S735" s="6" t="n">
        <v>0.5911949685534592</v>
      </c>
      <c r="T735" s="2" t="inlineStr">
        <is>
          <t>Under</t>
        </is>
      </c>
      <c r="U735" s="4" t="n">
        <v>-160</v>
      </c>
      <c r="V735" s="2" t="n">
        <v>1.625</v>
      </c>
      <c r="W735" s="4" t="n">
        <v>-160</v>
      </c>
      <c r="X735" s="2" t="n">
        <v>1</v>
      </c>
      <c r="Y735" s="5" t="n">
        <v>0.625</v>
      </c>
      <c r="Z735" s="7" t="n">
        <v>100</v>
      </c>
      <c r="AA735" s="7">
        <f>Y735*Z735</f>
        <v/>
      </c>
      <c r="AB735" s="6">
        <f>IF(Z735=0,0,AA735/Z735)</f>
        <v/>
      </c>
      <c r="AC735" s="6" t="n"/>
      <c r="AD735" s="2" t="inlineStr">
        <is>
          <t>Win</t>
        </is>
      </c>
      <c r="AE735" s="6">
        <f>IF((COUNTIF($AD$2:AD735,"Win")+COUNTIF($AD$2:AD735,"Loss"))=0,0,COUNTIF($AD$2:AD735,"Win")/(COUNTIF($AD$2:AD735,"Win")+COUNTIF($AD$2:AD735,"Loss")))</f>
        <v/>
      </c>
      <c r="AF735" s="6">
        <f>SUM($Y$2:Y735)/SUM($X$2:X735)</f>
        <v/>
      </c>
      <c r="AG735" s="5">
        <f>SUM($Y$2:Y735)</f>
        <v/>
      </c>
      <c r="AH735" s="7">
        <f>10000.0+SUM($AA$2:AA735)</f>
        <v/>
      </c>
      <c r="AI735" s="2" t="n">
        <v>2026</v>
      </c>
      <c r="AJ735" s="2" t="inlineStr">
        <is>
          <t>2026-05</t>
        </is>
      </c>
      <c r="AK735" s="2" t="inlineStr">
        <is>
          <t>&lt;= -150</t>
        </is>
      </c>
      <c r="AL735" s="2" t="inlineStr">
        <is>
          <t>2026 Frozen Test</t>
        </is>
      </c>
      <c r="AM735" s="6" t="n">
        <v>0.1885034285421371</v>
      </c>
    </row>
    <row r="736">
      <c r="A736" s="2" t="inlineStr">
        <is>
          <t>KPROP-00735</t>
        </is>
      </c>
      <c r="B736" s="3" t="n">
        <v>46148.79557870371</v>
      </c>
      <c r="C736" s="3" t="n">
        <v>46148</v>
      </c>
      <c r="D736" s="2" t="inlineStr">
        <is>
          <t>Will Warren</t>
        </is>
      </c>
      <c r="E736" s="2" t="n">
        <v>147</v>
      </c>
      <c r="F736" s="2" t="n">
        <v>140</v>
      </c>
      <c r="G736" s="2" t="inlineStr">
        <is>
          <t>Home</t>
        </is>
      </c>
      <c r="H736" s="2" t="inlineStr">
        <is>
          <t>betrivers</t>
        </is>
      </c>
      <c r="I736" s="4" t="n"/>
      <c r="J736" s="4" t="n"/>
      <c r="K736" s="4" t="n">
        <v>135</v>
      </c>
      <c r="L736" s="4" t="n">
        <v>135</v>
      </c>
      <c r="M736" s="5" t="n">
        <v>5.5</v>
      </c>
      <c r="N736" s="5" t="n">
        <v>5.790865759409898</v>
      </c>
      <c r="O736" s="5" t="n">
        <v>5.5</v>
      </c>
      <c r="P736" s="5" t="n">
        <v>-0.2908657594098978</v>
      </c>
      <c r="Q736" s="6" t="n">
        <v>0.1275963500627553</v>
      </c>
      <c r="R736" s="6" t="n">
        <v>0.4798282340692576</v>
      </c>
      <c r="S736" s="6" t="n">
        <v>0.4149377593360996</v>
      </c>
      <c r="T736" s="2" t="inlineStr">
        <is>
          <t>Under</t>
        </is>
      </c>
      <c r="U736" s="4" t="n">
        <v>135</v>
      </c>
      <c r="V736" s="2" t="n">
        <v>2.35</v>
      </c>
      <c r="W736" s="4" t="n">
        <v>135</v>
      </c>
      <c r="X736" s="2" t="n">
        <v>1</v>
      </c>
      <c r="Y736" s="5" t="n">
        <v>-1</v>
      </c>
      <c r="Z736" s="7" t="n">
        <v>100</v>
      </c>
      <c r="AA736" s="7">
        <f>Y736*Z736</f>
        <v/>
      </c>
      <c r="AB736" s="6">
        <f>IF(Z736=0,0,AA736/Z736)</f>
        <v/>
      </c>
      <c r="AC736" s="6" t="n"/>
      <c r="AD736" s="2" t="inlineStr">
        <is>
          <t>Loss</t>
        </is>
      </c>
      <c r="AE736" s="6">
        <f>IF((COUNTIF($AD$2:AD736,"Win")+COUNTIF($AD$2:AD736,"Loss"))=0,0,COUNTIF($AD$2:AD736,"Win")/(COUNTIF($AD$2:AD736,"Win")+COUNTIF($AD$2:AD736,"Loss")))</f>
        <v/>
      </c>
      <c r="AF736" s="6">
        <f>SUM($Y$2:Y736)/SUM($X$2:X736)</f>
        <v/>
      </c>
      <c r="AG736" s="5">
        <f>SUM($Y$2:Y736)</f>
        <v/>
      </c>
      <c r="AH736" s="7">
        <f>10000.0+SUM($AA$2:AA736)</f>
        <v/>
      </c>
      <c r="AI736" s="2" t="n">
        <v>2026</v>
      </c>
      <c r="AJ736" s="2" t="inlineStr">
        <is>
          <t>2026-05</t>
        </is>
      </c>
      <c r="AK736" s="2" t="inlineStr">
        <is>
          <t>+121 to +150</t>
        </is>
      </c>
      <c r="AL736" s="2" t="inlineStr">
        <is>
          <t>2026 Frozen Test</t>
        </is>
      </c>
      <c r="AM736" s="6" t="n">
        <v>0.09451581486130019</v>
      </c>
    </row>
    <row r="737">
      <c r="A737" s="2" t="inlineStr">
        <is>
          <t>KPROP-00736</t>
        </is>
      </c>
      <c r="B737" s="3" t="n">
        <v>46149.77821759259</v>
      </c>
      <c r="C737" s="3" t="n">
        <v>46149</v>
      </c>
      <c r="D737" s="2" t="inlineStr">
        <is>
          <t>Cade Povich</t>
        </is>
      </c>
      <c r="E737" s="2" t="n">
        <v>110</v>
      </c>
      <c r="F737" s="2" t="n">
        <v>146</v>
      </c>
      <c r="G737" s="2" t="inlineStr">
        <is>
          <t>Away</t>
        </is>
      </c>
      <c r="H737" s="2" t="inlineStr">
        <is>
          <t>betonlineag</t>
        </is>
      </c>
      <c r="I737" s="4" t="n"/>
      <c r="J737" s="4" t="n"/>
      <c r="K737" s="4" t="n">
        <v>110</v>
      </c>
      <c r="L737" s="4" t="n">
        <v>110</v>
      </c>
      <c r="M737" s="5" t="n">
        <v>4.5</v>
      </c>
      <c r="N737" s="5" t="n">
        <v>4.604107522351052</v>
      </c>
      <c r="O737" s="5" t="n">
        <v>4.5</v>
      </c>
      <c r="P737" s="5" t="n">
        <v>-0.1041075223510521</v>
      </c>
      <c r="Q737" s="6" t="n">
        <v>0.07617425975843906</v>
      </c>
      <c r="R737" s="6" t="n">
        <v>0.5124639332183043</v>
      </c>
      <c r="S737" s="6" t="n">
        <v>0.4661016949152542</v>
      </c>
      <c r="T737" s="2" t="inlineStr">
        <is>
          <t>Under</t>
        </is>
      </c>
      <c r="U737" s="4" t="n">
        <v>110</v>
      </c>
      <c r="V737" s="2" t="n">
        <v>2.1</v>
      </c>
      <c r="W737" s="4" t="n">
        <v>110</v>
      </c>
      <c r="X737" s="2" t="n">
        <v>1</v>
      </c>
      <c r="Y737" s="5" t="n">
        <v>1.1</v>
      </c>
      <c r="Z737" s="7" t="n">
        <v>100</v>
      </c>
      <c r="AA737" s="7">
        <f>Y737*Z737</f>
        <v/>
      </c>
      <c r="AB737" s="6">
        <f>IF(Z737=0,0,AA737/Z737)</f>
        <v/>
      </c>
      <c r="AC737" s="6" t="n"/>
      <c r="AD737" s="2" t="inlineStr">
        <is>
          <t>Win</t>
        </is>
      </c>
      <c r="AE737" s="6">
        <f>IF((COUNTIF($AD$2:AD737,"Win")+COUNTIF($AD$2:AD737,"Loss"))=0,0,COUNTIF($AD$2:AD737,"Win")/(COUNTIF($AD$2:AD737,"Win")+COUNTIF($AD$2:AD737,"Loss")))</f>
        <v/>
      </c>
      <c r="AF737" s="6">
        <f>SUM($Y$2:Y737)/SUM($X$2:X737)</f>
        <v/>
      </c>
      <c r="AG737" s="5">
        <f>SUM($Y$2:Y737)</f>
        <v/>
      </c>
      <c r="AH737" s="7">
        <f>10000.0+SUM($AA$2:AA737)</f>
        <v/>
      </c>
      <c r="AI737" s="2" t="n">
        <v>2026</v>
      </c>
      <c r="AJ737" s="2" t="inlineStr">
        <is>
          <t>2026-05</t>
        </is>
      </c>
      <c r="AK737" s="2" t="inlineStr">
        <is>
          <t>+100 to +120</t>
        </is>
      </c>
      <c r="AL737" s="2" t="inlineStr">
        <is>
          <t>2026 Frozen Test</t>
        </is>
      </c>
      <c r="AM737" s="6" t="n">
        <v>0.06924932705312641</v>
      </c>
    </row>
    <row r="738">
      <c r="A738" s="2" t="inlineStr">
        <is>
          <t>KPROP-00737</t>
        </is>
      </c>
      <c r="B738" s="3" t="n">
        <v>46149.79905092593</v>
      </c>
      <c r="C738" s="3" t="n">
        <v>46149</v>
      </c>
      <c r="D738" s="2" t="inlineStr">
        <is>
          <t>Griffin Jax</t>
        </is>
      </c>
      <c r="E738" s="2" t="n">
        <v>139</v>
      </c>
      <c r="F738" s="2" t="n">
        <v>111</v>
      </c>
      <c r="G738" s="2" t="inlineStr">
        <is>
          <t>Away</t>
        </is>
      </c>
      <c r="H738" s="2" t="inlineStr">
        <is>
          <t>bovada</t>
        </is>
      </c>
      <c r="I738" s="4" t="n"/>
      <c r="J738" s="4" t="n"/>
      <c r="K738" s="4" t="n">
        <v>-115</v>
      </c>
      <c r="L738" s="4" t="n">
        <v>-115</v>
      </c>
      <c r="M738" s="5" t="n">
        <v>3.5</v>
      </c>
      <c r="N738" s="5" t="n">
        <v>3.306098728610515</v>
      </c>
      <c r="O738" s="5" t="n">
        <v>3.5</v>
      </c>
      <c r="P738" s="5" t="n">
        <v>0.193901271389485</v>
      </c>
      <c r="Q738" s="6" t="n">
        <v>0.08246198162049832</v>
      </c>
      <c r="R738" s="6" t="n">
        <v>0.5789912924946852</v>
      </c>
      <c r="S738" s="6" t="n">
        <v>0.5168539325842696</v>
      </c>
      <c r="T738" s="2" t="inlineStr">
        <is>
          <t>Under</t>
        </is>
      </c>
      <c r="U738" s="4" t="n">
        <v>-115</v>
      </c>
      <c r="V738" s="2" t="n">
        <v>1.869565217391304</v>
      </c>
      <c r="W738" s="4" t="n">
        <v>-115</v>
      </c>
      <c r="X738" s="2" t="n">
        <v>1</v>
      </c>
      <c r="Y738" s="5" t="n">
        <v>0.8695652173913042</v>
      </c>
      <c r="Z738" s="7" t="n">
        <v>100</v>
      </c>
      <c r="AA738" s="7">
        <f>Y738*Z738</f>
        <v/>
      </c>
      <c r="AB738" s="6">
        <f>IF(Z738=0,0,AA738/Z738)</f>
        <v/>
      </c>
      <c r="AC738" s="6" t="n"/>
      <c r="AD738" s="2" t="inlineStr">
        <is>
          <t>Win</t>
        </is>
      </c>
      <c r="AE738" s="6">
        <f>IF((COUNTIF($AD$2:AD738,"Win")+COUNTIF($AD$2:AD738,"Loss"))=0,0,COUNTIF($AD$2:AD738,"Win")/(COUNTIF($AD$2:AD738,"Win")+COUNTIF($AD$2:AD738,"Loss")))</f>
        <v/>
      </c>
      <c r="AF738" s="6">
        <f>SUM($Y$2:Y738)/SUM($X$2:X738)</f>
        <v/>
      </c>
      <c r="AG738" s="5">
        <f>SUM($Y$2:Y738)</f>
        <v/>
      </c>
      <c r="AH738" s="7">
        <f>10000.0+SUM($AA$2:AA738)</f>
        <v/>
      </c>
      <c r="AI738" s="2" t="n">
        <v>2026</v>
      </c>
      <c r="AJ738" s="2" t="inlineStr">
        <is>
          <t>2026-05</t>
        </is>
      </c>
      <c r="AK738" s="2" t="inlineStr">
        <is>
          <t>-119 to -101</t>
        </is>
      </c>
      <c r="AL738" s="2" t="inlineStr">
        <is>
          <t>2026 Frozen Test</t>
        </is>
      </c>
      <c r="AM738" s="6" t="n">
        <v>0.09483127886357311</v>
      </c>
    </row>
    <row r="739">
      <c r="A739" s="2" t="inlineStr">
        <is>
          <t>KPROP-00738</t>
        </is>
      </c>
      <c r="B739" s="3" t="n">
        <v>46149.52474537037</v>
      </c>
      <c r="C739" s="3" t="n">
        <v>46149</v>
      </c>
      <c r="D739" s="2" t="inlineStr">
        <is>
          <t>MacKenzie Gore</t>
        </is>
      </c>
      <c r="E739" s="2" t="n">
        <v>140</v>
      </c>
      <c r="F739" s="2" t="n">
        <v>147</v>
      </c>
      <c r="G739" s="2" t="inlineStr">
        <is>
          <t>Away</t>
        </is>
      </c>
      <c r="H739" s="2" t="inlineStr">
        <is>
          <t>betrivers</t>
        </is>
      </c>
      <c r="I739" s="4" t="n"/>
      <c r="J739" s="4" t="n"/>
      <c r="K739" s="4" t="n">
        <v>120</v>
      </c>
      <c r="L739" s="4" t="n">
        <v>120</v>
      </c>
      <c r="M739" s="5" t="n">
        <v>5.5</v>
      </c>
      <c r="N739" s="5" t="n">
        <v>5.642920014093993</v>
      </c>
      <c r="O739" s="5" t="n">
        <v>5.5</v>
      </c>
      <c r="P739" s="5" t="n">
        <v>-0.1429200140939928</v>
      </c>
      <c r="Q739" s="6" t="n">
        <v>0.1101068430415665</v>
      </c>
      <c r="R739" s="6" t="n">
        <v>0.5045940195643484</v>
      </c>
      <c r="S739" s="6" t="n">
        <v>0.4417293233082706</v>
      </c>
      <c r="T739" s="2" t="inlineStr">
        <is>
          <t>Under</t>
        </is>
      </c>
      <c r="U739" s="4" t="n">
        <v>120</v>
      </c>
      <c r="V739" s="2" t="n">
        <v>2.2</v>
      </c>
      <c r="W739" s="4" t="n">
        <v>120</v>
      </c>
      <c r="X739" s="2" t="n">
        <v>1</v>
      </c>
      <c r="Y739" s="5" t="n">
        <v>1.2</v>
      </c>
      <c r="Z739" s="7" t="n">
        <v>100</v>
      </c>
      <c r="AA739" s="7">
        <f>Y739*Z739</f>
        <v/>
      </c>
      <c r="AB739" s="6">
        <f>IF(Z739=0,0,AA739/Z739)</f>
        <v/>
      </c>
      <c r="AC739" s="6" t="n"/>
      <c r="AD739" s="2" t="inlineStr">
        <is>
          <t>Win</t>
        </is>
      </c>
      <c r="AE739" s="6">
        <f>IF((COUNTIF($AD$2:AD739,"Win")+COUNTIF($AD$2:AD739,"Loss"))=0,0,COUNTIF($AD$2:AD739,"Win")/(COUNTIF($AD$2:AD739,"Win")+COUNTIF($AD$2:AD739,"Loss")))</f>
        <v/>
      </c>
      <c r="AF739" s="6">
        <f>SUM($Y$2:Y739)/SUM($X$2:X739)</f>
        <v/>
      </c>
      <c r="AG739" s="5">
        <f>SUM($Y$2:Y739)</f>
        <v/>
      </c>
      <c r="AH739" s="7">
        <f>10000.0+SUM($AA$2:AA739)</f>
        <v/>
      </c>
      <c r="AI739" s="2" t="n">
        <v>2026</v>
      </c>
      <c r="AJ739" s="2" t="inlineStr">
        <is>
          <t>2026-05</t>
        </is>
      </c>
      <c r="AK739" s="2" t="inlineStr">
        <is>
          <t>+100 to +120</t>
        </is>
      </c>
      <c r="AL739" s="2" t="inlineStr">
        <is>
          <t>2026 Frozen Test</t>
        </is>
      </c>
      <c r="AM739" s="6" t="n">
        <v>0.09175570253463872</v>
      </c>
    </row>
    <row r="740">
      <c r="A740" s="2" t="inlineStr">
        <is>
          <t>KPROP-00739</t>
        </is>
      </c>
      <c r="B740" s="3" t="n">
        <v>46149.52474537037</v>
      </c>
      <c r="C740" s="3" t="n">
        <v>46149</v>
      </c>
      <c r="D740" s="2" t="inlineStr">
        <is>
          <t>MacKenzie Gore</t>
        </is>
      </c>
      <c r="E740" s="2" t="n">
        <v>140</v>
      </c>
      <c r="F740" s="2" t="n">
        <v>147</v>
      </c>
      <c r="G740" s="2" t="inlineStr">
        <is>
          <t>Away</t>
        </is>
      </c>
      <c r="H740" s="2" t="inlineStr">
        <is>
          <t>betmgm</t>
        </is>
      </c>
      <c r="I740" s="4" t="n"/>
      <c r="J740" s="4" t="n"/>
      <c r="K740" s="4" t="n">
        <v>-155</v>
      </c>
      <c r="L740" s="4" t="n">
        <v>-155</v>
      </c>
      <c r="M740" s="5" t="n">
        <v>6.5</v>
      </c>
      <c r="N740" s="5" t="n">
        <v>5.642920014093993</v>
      </c>
      <c r="O740" s="5" t="n">
        <v>6.5</v>
      </c>
      <c r="P740" s="5" t="n">
        <v>0.8570799859060072</v>
      </c>
      <c r="Q740" s="6" t="n">
        <v>0.09148122098111189</v>
      </c>
      <c r="R740" s="6" t="n">
        <v>0.66344936961597</v>
      </c>
      <c r="S740" s="6" t="n">
        <v>0.5754599184217097</v>
      </c>
      <c r="T740" s="2" t="inlineStr">
        <is>
          <t>Under</t>
        </is>
      </c>
      <c r="U740" s="4" t="n">
        <v>-155</v>
      </c>
      <c r="V740" s="2" t="n">
        <v>1.645161290322581</v>
      </c>
      <c r="W740" s="4" t="n">
        <v>-155</v>
      </c>
      <c r="X740" s="2" t="n">
        <v>1</v>
      </c>
      <c r="Y740" s="5" t="n">
        <v>0.6451612903225805</v>
      </c>
      <c r="Z740" s="7" t="n">
        <v>100</v>
      </c>
      <c r="AA740" s="7">
        <f>Y740*Z740</f>
        <v/>
      </c>
      <c r="AB740" s="6">
        <f>IF(Z740=0,0,AA740/Z740)</f>
        <v/>
      </c>
      <c r="AC740" s="6" t="n"/>
      <c r="AD740" s="2" t="inlineStr">
        <is>
          <t>Win</t>
        </is>
      </c>
      <c r="AE740" s="6">
        <f>IF((COUNTIF($AD$2:AD740,"Win")+COUNTIF($AD$2:AD740,"Loss"))=0,0,COUNTIF($AD$2:AD740,"Win")/(COUNTIF($AD$2:AD740,"Win")+COUNTIF($AD$2:AD740,"Loss")))</f>
        <v/>
      </c>
      <c r="AF740" s="6">
        <f>SUM($Y$2:Y740)/SUM($X$2:X740)</f>
        <v/>
      </c>
      <c r="AG740" s="5">
        <f>SUM($Y$2:Y740)</f>
        <v/>
      </c>
      <c r="AH740" s="7">
        <f>10000.0+SUM($AA$2:AA740)</f>
        <v/>
      </c>
      <c r="AI740" s="2" t="n">
        <v>2026</v>
      </c>
      <c r="AJ740" s="2" t="inlineStr">
        <is>
          <t>2026-05</t>
        </is>
      </c>
      <c r="AK740" s="2" t="inlineStr">
        <is>
          <t>&lt;= -150</t>
        </is>
      </c>
      <c r="AL740" s="2" t="inlineStr">
        <is>
          <t>2026 Frozen Test</t>
        </is>
      </c>
      <c r="AM740" s="6" t="n">
        <v>0.1417958925207234</v>
      </c>
    </row>
    <row r="741">
      <c r="A741" s="2" t="inlineStr">
        <is>
          <t>KPROP-00740</t>
        </is>
      </c>
      <c r="B741" s="3" t="n">
        <v>46149.59765046297</v>
      </c>
      <c r="C741" s="3" t="n">
        <v>46149</v>
      </c>
      <c r="D741" s="2" t="inlineStr">
        <is>
          <t>Shota Imanaga</t>
        </is>
      </c>
      <c r="E741" s="2" t="n">
        <v>112</v>
      </c>
      <c r="F741" s="2" t="n">
        <v>113</v>
      </c>
      <c r="G741" s="2" t="inlineStr">
        <is>
          <t>Home</t>
        </is>
      </c>
      <c r="H741" s="2" t="inlineStr">
        <is>
          <t>betrivers</t>
        </is>
      </c>
      <c r="I741" s="4" t="n"/>
      <c r="J741" s="4" t="n"/>
      <c r="K741" s="4" t="n">
        <v>117</v>
      </c>
      <c r="L741" s="4" t="n">
        <v>117</v>
      </c>
      <c r="M741" s="5" t="n">
        <v>5.5</v>
      </c>
      <c r="N741" s="5" t="n">
        <v>5.687285288302492</v>
      </c>
      <c r="O741" s="5" t="n">
        <v>5.5</v>
      </c>
      <c r="P741" s="5" t="n">
        <v>-0.1872852883024922</v>
      </c>
      <c r="Q741" s="6" t="n">
        <v>0.07874970040335416</v>
      </c>
      <c r="R741" s="6" t="n">
        <v>0.4971196776052323</v>
      </c>
      <c r="S741" s="6" t="n">
        <v>0.429988790175509</v>
      </c>
      <c r="T741" s="2" t="inlineStr">
        <is>
          <t>Under</t>
        </is>
      </c>
      <c r="U741" s="4" t="n">
        <v>117</v>
      </c>
      <c r="V741" s="2" t="n">
        <v>2.17</v>
      </c>
      <c r="W741" s="4" t="n">
        <v>117</v>
      </c>
      <c r="X741" s="2" t="n">
        <v>1</v>
      </c>
      <c r="Y741" s="5" t="n">
        <v>-1</v>
      </c>
      <c r="Z741" s="7" t="n">
        <v>100</v>
      </c>
      <c r="AA741" s="7">
        <f>Y741*Z741</f>
        <v/>
      </c>
      <c r="AB741" s="6">
        <f>IF(Z741=0,0,AA741/Z741)</f>
        <v/>
      </c>
      <c r="AC741" s="6" t="n"/>
      <c r="AD741" s="2" t="inlineStr">
        <is>
          <t>Loss</t>
        </is>
      </c>
      <c r="AE741" s="6">
        <f>IF((COUNTIF($AD$2:AD741,"Win")+COUNTIF($AD$2:AD741,"Loss"))=0,0,COUNTIF($AD$2:AD741,"Win")/(COUNTIF($AD$2:AD741,"Win")+COUNTIF($AD$2:AD741,"Loss")))</f>
        <v/>
      </c>
      <c r="AF741" s="6">
        <f>SUM($Y$2:Y741)/SUM($X$2:X741)</f>
        <v/>
      </c>
      <c r="AG741" s="5">
        <f>SUM($Y$2:Y741)</f>
        <v/>
      </c>
      <c r="AH741" s="7">
        <f>10000.0+SUM($AA$2:AA741)</f>
        <v/>
      </c>
      <c r="AI741" s="2" t="n">
        <v>2026</v>
      </c>
      <c r="AJ741" s="2" t="inlineStr">
        <is>
          <t>2026-05</t>
        </is>
      </c>
      <c r="AK741" s="2" t="inlineStr">
        <is>
          <t>+100 to +120</t>
        </is>
      </c>
      <c r="AL741" s="2" t="inlineStr">
        <is>
          <t>2026 Frozen Test</t>
        </is>
      </c>
      <c r="AM741" s="6" t="n">
        <v>0.06730743624218305</v>
      </c>
    </row>
    <row r="742">
      <c r="A742" s="2" t="inlineStr">
        <is>
          <t>KPROP-00741</t>
        </is>
      </c>
      <c r="B742" s="3" t="n">
        <v>46149.59765046297</v>
      </c>
      <c r="C742" s="3" t="n">
        <v>46149</v>
      </c>
      <c r="D742" s="2" t="inlineStr">
        <is>
          <t>Shota Imanaga</t>
        </is>
      </c>
      <c r="E742" s="2" t="n">
        <v>112</v>
      </c>
      <c r="F742" s="2" t="n">
        <v>113</v>
      </c>
      <c r="G742" s="2" t="inlineStr">
        <is>
          <t>Home</t>
        </is>
      </c>
      <c r="H742" s="2" t="inlineStr">
        <is>
          <t>betmgm</t>
        </is>
      </c>
      <c r="I742" s="4" t="n"/>
      <c r="J742" s="4" t="n"/>
      <c r="K742" s="4" t="n">
        <v>-140</v>
      </c>
      <c r="L742" s="4" t="n">
        <v>-140</v>
      </c>
      <c r="M742" s="5" t="n">
        <v>6.5</v>
      </c>
      <c r="N742" s="5" t="n">
        <v>5.687285288302492</v>
      </c>
      <c r="O742" s="5" t="n">
        <v>6.5</v>
      </c>
      <c r="P742" s="5" t="n">
        <v>0.8127147116975078</v>
      </c>
      <c r="Q742" s="6" t="n">
        <v>0.1252438420499835</v>
      </c>
      <c r="R742" s="6" t="n">
        <v>0.6563922411958236</v>
      </c>
      <c r="S742" s="6" t="n">
        <v>0.5597945707997065</v>
      </c>
      <c r="T742" s="2" t="inlineStr">
        <is>
          <t>Under</t>
        </is>
      </c>
      <c r="U742" s="4" t="n">
        <v>-140</v>
      </c>
      <c r="V742" s="2" t="n">
        <v>1.714285714285714</v>
      </c>
      <c r="W742" s="4" t="n">
        <v>-140</v>
      </c>
      <c r="X742" s="2" t="n">
        <v>1</v>
      </c>
      <c r="Y742" s="5" t="n">
        <v>-1</v>
      </c>
      <c r="Z742" s="7" t="n">
        <v>100</v>
      </c>
      <c r="AA742" s="7">
        <f>Y742*Z742</f>
        <v/>
      </c>
      <c r="AB742" s="6">
        <f>IF(Z742=0,0,AA742/Z742)</f>
        <v/>
      </c>
      <c r="AC742" s="6" t="n"/>
      <c r="AD742" s="2" t="inlineStr">
        <is>
          <t>Loss</t>
        </is>
      </c>
      <c r="AE742" s="6">
        <f>IF((COUNTIF($AD$2:AD742,"Win")+COUNTIF($AD$2:AD742,"Loss"))=0,0,COUNTIF($AD$2:AD742,"Win")/(COUNTIF($AD$2:AD742,"Win")+COUNTIF($AD$2:AD742,"Loss")))</f>
        <v/>
      </c>
      <c r="AF742" s="6">
        <f>SUM($Y$2:Y742)/SUM($X$2:X742)</f>
        <v/>
      </c>
      <c r="AG742" s="5">
        <f>SUM($Y$2:Y742)</f>
        <v/>
      </c>
      <c r="AH742" s="7">
        <f>10000.0+SUM($AA$2:AA742)</f>
        <v/>
      </c>
      <c r="AI742" s="2" t="n">
        <v>2026</v>
      </c>
      <c r="AJ742" s="2" t="inlineStr">
        <is>
          <t>2026-05</t>
        </is>
      </c>
      <c r="AK742" s="2" t="inlineStr">
        <is>
          <t>-149 to -120</t>
        </is>
      </c>
      <c r="AL742" s="2" t="inlineStr">
        <is>
          <t>2026 Frozen Test</t>
        </is>
      </c>
      <c r="AM742" s="6" t="n">
        <v>0.1753413788699768</v>
      </c>
    </row>
    <row r="743">
      <c r="A743" s="2" t="inlineStr">
        <is>
          <t>KPROP-00742</t>
        </is>
      </c>
      <c r="B743" s="3" t="n">
        <v>46150.77821759259</v>
      </c>
      <c r="C743" s="3" t="n">
        <v>46150</v>
      </c>
      <c r="D743" s="2" t="inlineStr">
        <is>
          <t>Jesús Luzardo</t>
        </is>
      </c>
      <c r="E743" s="2" t="n">
        <v>143</v>
      </c>
      <c r="F743" s="2" t="n">
        <v>115</v>
      </c>
      <c r="G743" s="2" t="inlineStr">
        <is>
          <t>Home</t>
        </is>
      </c>
      <c r="H743" s="2" t="inlineStr">
        <is>
          <t>fanatics</t>
        </is>
      </c>
      <c r="I743" s="4" t="n"/>
      <c r="J743" s="4" t="n"/>
      <c r="K743" s="4" t="n">
        <v>115</v>
      </c>
      <c r="L743" s="4" t="n">
        <v>115</v>
      </c>
      <c r="M743" s="5" t="n">
        <v>7.5</v>
      </c>
      <c r="N743" s="5" t="n">
        <v>7.109429099960892</v>
      </c>
      <c r="O743" s="5" t="n">
        <v>7.5</v>
      </c>
      <c r="P743" s="5" t="n">
        <v>0.3905709000391084</v>
      </c>
      <c r="Q743" s="6" t="n">
        <v>0.2521883952835646</v>
      </c>
      <c r="R743" s="6" t="n">
        <v>0.5824132071086348</v>
      </c>
      <c r="S743" s="6" t="n">
        <v>0.4481900019153419</v>
      </c>
      <c r="T743" s="2" t="inlineStr">
        <is>
          <t>Under</t>
        </is>
      </c>
      <c r="U743" s="4" t="n">
        <v>115</v>
      </c>
      <c r="V743" s="2" t="n">
        <v>2.15</v>
      </c>
      <c r="W743" s="4" t="n">
        <v>115</v>
      </c>
      <c r="X743" s="2" t="n">
        <v>1</v>
      </c>
      <c r="Y743" s="5" t="n">
        <v>1.15</v>
      </c>
      <c r="Z743" s="7" t="n">
        <v>100</v>
      </c>
      <c r="AA743" s="7">
        <f>Y743*Z743</f>
        <v/>
      </c>
      <c r="AB743" s="6">
        <f>IF(Z743=0,0,AA743/Z743)</f>
        <v/>
      </c>
      <c r="AC743" s="6" t="n"/>
      <c r="AD743" s="2" t="inlineStr">
        <is>
          <t>Win</t>
        </is>
      </c>
      <c r="AE743" s="6">
        <f>IF((COUNTIF($AD$2:AD743,"Win")+COUNTIF($AD$2:AD743,"Loss"))=0,0,COUNTIF($AD$2:AD743,"Win")/(COUNTIF($AD$2:AD743,"Win")+COUNTIF($AD$2:AD743,"Loss")))</f>
        <v/>
      </c>
      <c r="AF743" s="6">
        <f>SUM($Y$2:Y743)/SUM($X$2:X743)</f>
        <v/>
      </c>
      <c r="AG743" s="5">
        <f>SUM($Y$2:Y743)</f>
        <v/>
      </c>
      <c r="AH743" s="7">
        <f>10000.0+SUM($AA$2:AA743)</f>
        <v/>
      </c>
      <c r="AI743" s="2" t="n">
        <v>2026</v>
      </c>
      <c r="AJ743" s="2" t="inlineStr">
        <is>
          <t>2026-05</t>
        </is>
      </c>
      <c r="AK743" s="2" t="inlineStr">
        <is>
          <t>+100 to +120</t>
        </is>
      </c>
      <c r="AL743" s="2" t="inlineStr">
        <is>
          <t>2026 Frozen Test</t>
        </is>
      </c>
      <c r="AM743" s="6" t="n">
        <v>0.2192942567683171</v>
      </c>
    </row>
    <row r="744">
      <c r="A744" s="2" t="inlineStr">
        <is>
          <t>KPROP-00743</t>
        </is>
      </c>
      <c r="B744" s="3" t="n">
        <v>46150.81987268518</v>
      </c>
      <c r="C744" s="3" t="n">
        <v>46150</v>
      </c>
      <c r="D744" s="2" t="inlineStr">
        <is>
          <t>Max Fried</t>
        </is>
      </c>
      <c r="E744" s="2" t="n">
        <v>147</v>
      </c>
      <c r="F744" s="2" t="n">
        <v>158</v>
      </c>
      <c r="G744" s="2" t="inlineStr">
        <is>
          <t>Away</t>
        </is>
      </c>
      <c r="H744" s="2" t="inlineStr">
        <is>
          <t>fanduel</t>
        </is>
      </c>
      <c r="I744" s="4" t="n"/>
      <c r="J744" s="4" t="n"/>
      <c r="K744" s="4" t="n">
        <v>-110</v>
      </c>
      <c r="L744" s="4" t="n">
        <v>-110</v>
      </c>
      <c r="M744" s="5" t="n">
        <v>5.5</v>
      </c>
      <c r="N744" s="5" t="n">
        <v>5.171280258472266</v>
      </c>
      <c r="O744" s="5" t="n">
        <v>5.5</v>
      </c>
      <c r="P744" s="5" t="n">
        <v>0.3287197415277339</v>
      </c>
      <c r="Q744" s="6" t="n">
        <v>0.1186040028123233</v>
      </c>
      <c r="R744" s="6" t="n">
        <v>0.5859354300445503</v>
      </c>
      <c r="S744" s="6" t="n">
        <v>0.5079617834394904</v>
      </c>
      <c r="T744" s="2" t="inlineStr">
        <is>
          <t>Under</t>
        </is>
      </c>
      <c r="U744" s="4" t="n">
        <v>-110</v>
      </c>
      <c r="V744" s="2" t="n">
        <v>1.909090909090909</v>
      </c>
      <c r="W744" s="4" t="n">
        <v>-110</v>
      </c>
      <c r="X744" s="2" t="n">
        <v>1</v>
      </c>
      <c r="Y744" s="5" t="n">
        <v>0.9090909090909092</v>
      </c>
      <c r="Z744" s="7" t="n">
        <v>100</v>
      </c>
      <c r="AA744" s="7">
        <f>Y744*Z744</f>
        <v/>
      </c>
      <c r="AB744" s="6">
        <f>IF(Z744=0,0,AA744/Z744)</f>
        <v/>
      </c>
      <c r="AC744" s="6" t="n"/>
      <c r="AD744" s="2" t="inlineStr">
        <is>
          <t>Win</t>
        </is>
      </c>
      <c r="AE744" s="6">
        <f>IF((COUNTIF($AD$2:AD744,"Win")+COUNTIF($AD$2:AD744,"Loss"))=0,0,COUNTIF($AD$2:AD744,"Win")/(COUNTIF($AD$2:AD744,"Win")+COUNTIF($AD$2:AD744,"Loss")))</f>
        <v/>
      </c>
      <c r="AF744" s="6">
        <f>SUM($Y$2:Y744)/SUM($X$2:X744)</f>
        <v/>
      </c>
      <c r="AG744" s="5">
        <f>SUM($Y$2:Y744)</f>
        <v/>
      </c>
      <c r="AH744" s="7">
        <f>10000.0+SUM($AA$2:AA744)</f>
        <v/>
      </c>
      <c r="AI744" s="2" t="n">
        <v>2026</v>
      </c>
      <c r="AJ744" s="2" t="inlineStr">
        <is>
          <t>2026-05</t>
        </is>
      </c>
      <c r="AK744" s="2" t="inlineStr">
        <is>
          <t>-119 to -101</t>
        </is>
      </c>
      <c r="AL744" s="2" t="inlineStr">
        <is>
          <t>2026 Frozen Test</t>
        </is>
      </c>
      <c r="AM744" s="6" t="n">
        <v>0.1304644030935556</v>
      </c>
    </row>
    <row r="745">
      <c r="A745" s="2" t="inlineStr">
        <is>
          <t>KPROP-00744</t>
        </is>
      </c>
      <c r="B745" s="3" t="n">
        <v>46150.80251157407</v>
      </c>
      <c r="C745" s="3" t="n">
        <v>46150</v>
      </c>
      <c r="D745" s="2" t="inlineStr">
        <is>
          <t>Parker Messick</t>
        </is>
      </c>
      <c r="E745" s="2" t="n">
        <v>114</v>
      </c>
      <c r="F745" s="2" t="n">
        <v>142</v>
      </c>
      <c r="G745" s="2" t="inlineStr">
        <is>
          <t>Home</t>
        </is>
      </c>
      <c r="H745" s="2" t="inlineStr">
        <is>
          <t>betmgm</t>
        </is>
      </c>
      <c r="I745" s="4" t="n"/>
      <c r="J745" s="4" t="n"/>
      <c r="K745" s="4" t="n">
        <v>100</v>
      </c>
      <c r="L745" s="4" t="n">
        <v>100</v>
      </c>
      <c r="M745" s="5" t="n">
        <v>5.5</v>
      </c>
      <c r="N745" s="5" t="n">
        <v>5.36830561665479</v>
      </c>
      <c r="O745" s="5" t="n">
        <v>5.5</v>
      </c>
      <c r="P745" s="5" t="n">
        <v>0.1316943833452102</v>
      </c>
      <c r="Q745" s="6" t="n">
        <v>0.1032316936061801</v>
      </c>
      <c r="R745" s="6" t="n">
        <v>0.5516158468030901</v>
      </c>
      <c r="S745" s="6" t="n">
        <v>0.4782608695652174</v>
      </c>
      <c r="T745" s="2" t="inlineStr">
        <is>
          <t>Under</t>
        </is>
      </c>
      <c r="U745" s="4" t="n">
        <v>100</v>
      </c>
      <c r="V745" s="2" t="n">
        <v>2</v>
      </c>
      <c r="W745" s="4" t="n">
        <v>100</v>
      </c>
      <c r="X745" s="2" t="n">
        <v>1</v>
      </c>
      <c r="Y745" s="5" t="n">
        <v>-1</v>
      </c>
      <c r="Z745" s="7" t="n">
        <v>100</v>
      </c>
      <c r="AA745" s="7">
        <f>Y745*Z745</f>
        <v/>
      </c>
      <c r="AB745" s="6">
        <f>IF(Z745=0,0,AA745/Z745)</f>
        <v/>
      </c>
      <c r="AC745" s="6" t="n"/>
      <c r="AD745" s="2" t="inlineStr">
        <is>
          <t>Loss</t>
        </is>
      </c>
      <c r="AE745" s="6">
        <f>IF((COUNTIF($AD$2:AD745,"Win")+COUNTIF($AD$2:AD745,"Loss"))=0,0,COUNTIF($AD$2:AD745,"Win")/(COUNTIF($AD$2:AD745,"Win")+COUNTIF($AD$2:AD745,"Loss")))</f>
        <v/>
      </c>
      <c r="AF745" s="6">
        <f>SUM($Y$2:Y745)/SUM($X$2:X745)</f>
        <v/>
      </c>
      <c r="AG745" s="5">
        <f>SUM($Y$2:Y745)</f>
        <v/>
      </c>
      <c r="AH745" s="7">
        <f>10000.0+SUM($AA$2:AA745)</f>
        <v/>
      </c>
      <c r="AI745" s="2" t="n">
        <v>2026</v>
      </c>
      <c r="AJ745" s="2" t="inlineStr">
        <is>
          <t>2026-05</t>
        </is>
      </c>
      <c r="AK745" s="2" t="inlineStr">
        <is>
          <t>+100 to +120</t>
        </is>
      </c>
      <c r="AL745" s="2" t="inlineStr">
        <is>
          <t>2026 Frozen Test</t>
        </is>
      </c>
      <c r="AM745" s="6" t="n">
        <v>0.1032316936061801</v>
      </c>
    </row>
    <row r="746">
      <c r="A746" s="2" t="inlineStr">
        <is>
          <t>KPROP-00745</t>
        </is>
      </c>
      <c r="B746" s="3" t="n">
        <v>46151.75390046297</v>
      </c>
      <c r="C746" s="3" t="n">
        <v>46151</v>
      </c>
      <c r="D746" s="2" t="inlineStr">
        <is>
          <t>Aaron Nola</t>
        </is>
      </c>
      <c r="E746" s="2" t="n">
        <v>143</v>
      </c>
      <c r="F746" s="2" t="n">
        <v>115</v>
      </c>
      <c r="G746" s="2" t="inlineStr">
        <is>
          <t>Home</t>
        </is>
      </c>
      <c r="H746" s="2" t="inlineStr">
        <is>
          <t>betrivers</t>
        </is>
      </c>
      <c r="I746" s="4" t="n"/>
      <c r="J746" s="4" t="n"/>
      <c r="K746" s="4" t="n">
        <v>140</v>
      </c>
      <c r="L746" s="4" t="n">
        <v>140</v>
      </c>
      <c r="M746" s="5" t="n">
        <v>5.5</v>
      </c>
      <c r="N746" s="5" t="n">
        <v>5.241014568250296</v>
      </c>
      <c r="O746" s="5" t="n">
        <v>5.5</v>
      </c>
      <c r="P746" s="5" t="n">
        <v>0.2589854317497036</v>
      </c>
      <c r="Q746" s="6" t="n">
        <v>0.377000705940108</v>
      </c>
      <c r="R746" s="6" t="n">
        <v>0.5737502941417116</v>
      </c>
      <c r="S746" s="6" t="n">
        <v>0.3982300884955752</v>
      </c>
      <c r="T746" s="2" t="inlineStr">
        <is>
          <t>Under</t>
        </is>
      </c>
      <c r="U746" s="4" t="n">
        <v>140</v>
      </c>
      <c r="V746" s="2" t="n">
        <v>2.4</v>
      </c>
      <c r="W746" s="4" t="n">
        <v>140</v>
      </c>
      <c r="X746" s="2" t="n">
        <v>1</v>
      </c>
      <c r="Y746" s="5" t="n">
        <v>1.4</v>
      </c>
      <c r="Z746" s="7" t="n">
        <v>100</v>
      </c>
      <c r="AA746" s="7">
        <f>Y746*Z746</f>
        <v/>
      </c>
      <c r="AB746" s="6">
        <f>IF(Z746=0,0,AA746/Z746)</f>
        <v/>
      </c>
      <c r="AC746" s="6" t="n"/>
      <c r="AD746" s="2" t="inlineStr">
        <is>
          <t>Win</t>
        </is>
      </c>
      <c r="AE746" s="6">
        <f>IF((COUNTIF($AD$2:AD746,"Win")+COUNTIF($AD$2:AD746,"Loss"))=0,0,COUNTIF($AD$2:AD746,"Win")/(COUNTIF($AD$2:AD746,"Win")+COUNTIF($AD$2:AD746,"Loss")))</f>
        <v/>
      </c>
      <c r="AF746" s="6">
        <f>SUM($Y$2:Y746)/SUM($X$2:X746)</f>
        <v/>
      </c>
      <c r="AG746" s="5">
        <f>SUM($Y$2:Y746)</f>
        <v/>
      </c>
      <c r="AH746" s="7">
        <f>10000.0+SUM($AA$2:AA746)</f>
        <v/>
      </c>
      <c r="AI746" s="2" t="n">
        <v>2026</v>
      </c>
      <c r="AJ746" s="2" t="inlineStr">
        <is>
          <t>2026-05</t>
        </is>
      </c>
      <c r="AK746" s="2" t="inlineStr">
        <is>
          <t>+121 to +150</t>
        </is>
      </c>
      <c r="AL746" s="2" t="inlineStr">
        <is>
          <t>2026 Frozen Test</t>
        </is>
      </c>
      <c r="AM746" s="6" t="n">
        <v>0.2692862185286485</v>
      </c>
    </row>
    <row r="747">
      <c r="A747" s="2" t="inlineStr">
        <is>
          <t>KPROP-00746</t>
        </is>
      </c>
      <c r="B747" s="3" t="n">
        <v>46151.75390046297</v>
      </c>
      <c r="C747" s="3" t="n">
        <v>46151</v>
      </c>
      <c r="D747" s="2" t="inlineStr">
        <is>
          <t>Aaron Nola</t>
        </is>
      </c>
      <c r="E747" s="2" t="n">
        <v>143</v>
      </c>
      <c r="F747" s="2" t="n">
        <v>115</v>
      </c>
      <c r="G747" s="2" t="inlineStr">
        <is>
          <t>Home</t>
        </is>
      </c>
      <c r="H747" s="2" t="inlineStr">
        <is>
          <t>draftkings</t>
        </is>
      </c>
      <c r="I747" s="4" t="n"/>
      <c r="J747" s="4" t="n"/>
      <c r="K747" s="4" t="n">
        <v>-147</v>
      </c>
      <c r="L747" s="4" t="n">
        <v>-147</v>
      </c>
      <c r="M747" s="5" t="n">
        <v>6.5</v>
      </c>
      <c r="N747" s="5" t="n">
        <v>5.241014568250296</v>
      </c>
      <c r="O747" s="5" t="n">
        <v>6.5</v>
      </c>
      <c r="P747" s="5" t="n">
        <v>1.258985431749704</v>
      </c>
      <c r="Q747" s="6" t="n">
        <v>0.2201483837889247</v>
      </c>
      <c r="R747" s="6" t="n">
        <v>0.7261611838743803</v>
      </c>
      <c r="S747" s="6" t="n">
        <v>0.5778499401811656</v>
      </c>
      <c r="T747" s="2" t="inlineStr">
        <is>
          <t>Under</t>
        </is>
      </c>
      <c r="U747" s="4" t="n">
        <v>-147</v>
      </c>
      <c r="V747" s="2" t="n">
        <v>1.680272108843537</v>
      </c>
      <c r="W747" s="4" t="n">
        <v>-147</v>
      </c>
      <c r="X747" s="2" t="n">
        <v>1</v>
      </c>
      <c r="Y747" s="5" t="n">
        <v>0.6802721088435373</v>
      </c>
      <c r="Z747" s="7" t="n">
        <v>100</v>
      </c>
      <c r="AA747" s="7">
        <f>Y747*Z747</f>
        <v/>
      </c>
      <c r="AB747" s="6">
        <f>IF(Z747=0,0,AA747/Z747)</f>
        <v/>
      </c>
      <c r="AC747" s="6" t="n"/>
      <c r="AD747" s="2" t="inlineStr">
        <is>
          <t>Win</t>
        </is>
      </c>
      <c r="AE747" s="6">
        <f>IF((COUNTIF($AD$2:AD747,"Win")+COUNTIF($AD$2:AD747,"Loss"))=0,0,COUNTIF($AD$2:AD747,"Win")/(COUNTIF($AD$2:AD747,"Win")+COUNTIF($AD$2:AD747,"Loss")))</f>
        <v/>
      </c>
      <c r="AF747" s="6">
        <f>SUM($Y$2:Y747)/SUM($X$2:X747)</f>
        <v/>
      </c>
      <c r="AG747" s="5">
        <f>SUM($Y$2:Y747)</f>
        <v/>
      </c>
      <c r="AH747" s="7">
        <f>10000.0+SUM($AA$2:AA747)</f>
        <v/>
      </c>
      <c r="AI747" s="2" t="n">
        <v>2026</v>
      </c>
      <c r="AJ747" s="2" t="inlineStr">
        <is>
          <t>2026-05</t>
        </is>
      </c>
      <c r="AK747" s="2" t="inlineStr">
        <is>
          <t>-149 to -120</t>
        </is>
      </c>
      <c r="AL747" s="2" t="inlineStr">
        <is>
          <t>2026 Frozen Test</t>
        </is>
      </c>
      <c r="AM747" s="6" t="n">
        <v>0.3236181241697194</v>
      </c>
    </row>
    <row r="748">
      <c r="A748" s="2" t="inlineStr">
        <is>
          <t>KPROP-00747</t>
        </is>
      </c>
      <c r="B748" s="3" t="n">
        <v>46151.67403935185</v>
      </c>
      <c r="C748" s="3" t="n">
        <v>46151</v>
      </c>
      <c r="D748" s="2" t="inlineStr">
        <is>
          <t>Janson Junk</t>
        </is>
      </c>
      <c r="E748" s="2" t="n">
        <v>146</v>
      </c>
      <c r="F748" s="2" t="n">
        <v>120</v>
      </c>
      <c r="G748" s="2" t="inlineStr">
        <is>
          <t>Home</t>
        </is>
      </c>
      <c r="H748" s="2" t="inlineStr">
        <is>
          <t>draftkings</t>
        </is>
      </c>
      <c r="I748" s="4" t="n"/>
      <c r="J748" s="4" t="n"/>
      <c r="K748" s="4" t="n">
        <v>125</v>
      </c>
      <c r="L748" s="4" t="n">
        <v>125</v>
      </c>
      <c r="M748" s="5" t="n">
        <v>3.5</v>
      </c>
      <c r="N748" s="5" t="n">
        <v>3.758937934273612</v>
      </c>
      <c r="O748" s="5" t="n">
        <v>3.5</v>
      </c>
      <c r="P748" s="5" t="n">
        <v>-0.2589379342736118</v>
      </c>
      <c r="Q748" s="6" t="n">
        <v>0.08432354494139549</v>
      </c>
      <c r="R748" s="6" t="n">
        <v>0.4819215755295091</v>
      </c>
      <c r="S748" s="6" t="n">
        <v>0.4361948955916473</v>
      </c>
      <c r="T748" s="2" t="inlineStr">
        <is>
          <t>Under</t>
        </is>
      </c>
      <c r="U748" s="4" t="n">
        <v>125</v>
      </c>
      <c r="V748" s="2" t="n">
        <v>2.25</v>
      </c>
      <c r="W748" s="4" t="n">
        <v>125</v>
      </c>
      <c r="X748" s="2" t="n">
        <v>1</v>
      </c>
      <c r="Y748" s="5" t="n">
        <v>-1</v>
      </c>
      <c r="Z748" s="7" t="n">
        <v>100</v>
      </c>
      <c r="AA748" s="7">
        <f>Y748*Z748</f>
        <v/>
      </c>
      <c r="AB748" s="6">
        <f>IF(Z748=0,0,AA748/Z748)</f>
        <v/>
      </c>
      <c r="AC748" s="6" t="n"/>
      <c r="AD748" s="2" t="inlineStr">
        <is>
          <t>Loss</t>
        </is>
      </c>
      <c r="AE748" s="6">
        <f>IF((COUNTIF($AD$2:AD748,"Win")+COUNTIF($AD$2:AD748,"Loss"))=0,0,COUNTIF($AD$2:AD748,"Win")/(COUNTIF($AD$2:AD748,"Win")+COUNTIF($AD$2:AD748,"Loss")))</f>
        <v/>
      </c>
      <c r="AF748" s="6">
        <f>SUM($Y$2:Y748)/SUM($X$2:X748)</f>
        <v/>
      </c>
      <c r="AG748" s="5">
        <f>SUM($Y$2:Y748)</f>
        <v/>
      </c>
      <c r="AH748" s="7">
        <f>10000.0+SUM($AA$2:AA748)</f>
        <v/>
      </c>
      <c r="AI748" s="2" t="n">
        <v>2026</v>
      </c>
      <c r="AJ748" s="2" t="inlineStr">
        <is>
          <t>2026-05</t>
        </is>
      </c>
      <c r="AK748" s="2" t="inlineStr">
        <is>
          <t>+121 to +150</t>
        </is>
      </c>
      <c r="AL748" s="2" t="inlineStr">
        <is>
          <t>2026 Frozen Test</t>
        </is>
      </c>
      <c r="AM748" s="6" t="n">
        <v>0.06745883595311639</v>
      </c>
    </row>
    <row r="749">
      <c r="A749" s="2" t="inlineStr">
        <is>
          <t>KPROP-00748</t>
        </is>
      </c>
      <c r="B749" s="3" t="n">
        <v>46151.75390046297</v>
      </c>
      <c r="C749" s="3" t="n">
        <v>46151</v>
      </c>
      <c r="D749" s="2" t="inlineStr">
        <is>
          <t>Kyle Freeland</t>
        </is>
      </c>
      <c r="E749" s="2" t="n">
        <v>115</v>
      </c>
      <c r="F749" s="2" t="n">
        <v>143</v>
      </c>
      <c r="G749" s="2" t="inlineStr">
        <is>
          <t>Away</t>
        </is>
      </c>
      <c r="H749" s="2" t="inlineStr">
        <is>
          <t>betonlineag</t>
        </is>
      </c>
      <c r="I749" s="4" t="n"/>
      <c r="J749" s="4" t="n"/>
      <c r="K749" s="4" t="n">
        <v>110</v>
      </c>
      <c r="L749" s="4" t="n">
        <v>110</v>
      </c>
      <c r="M749" s="5" t="n">
        <v>4.5</v>
      </c>
      <c r="N749" s="5" t="n">
        <v>4.141995651198838</v>
      </c>
      <c r="O749" s="5" t="n">
        <v>4.5</v>
      </c>
      <c r="P749" s="5" t="n">
        <v>0.3580043488011624</v>
      </c>
      <c r="Q749" s="6" t="n">
        <v>0.2623490199456341</v>
      </c>
      <c r="R749" s="6" t="n">
        <v>0.6011185809264924</v>
      </c>
      <c r="S749" s="6" t="n">
        <v>0.4689863842662633</v>
      </c>
      <c r="T749" s="2" t="inlineStr">
        <is>
          <t>Under</t>
        </is>
      </c>
      <c r="U749" s="4" t="n">
        <v>110</v>
      </c>
      <c r="V749" s="2" t="n">
        <v>2.1</v>
      </c>
      <c r="W749" s="4" t="n">
        <v>110</v>
      </c>
      <c r="X749" s="2" t="n">
        <v>1</v>
      </c>
      <c r="Y749" s="5" t="n">
        <v>1.1</v>
      </c>
      <c r="Z749" s="7" t="n">
        <v>100</v>
      </c>
      <c r="AA749" s="7">
        <f>Y749*Z749</f>
        <v/>
      </c>
      <c r="AB749" s="6">
        <f>IF(Z749=0,0,AA749/Z749)</f>
        <v/>
      </c>
      <c r="AC749" s="6" t="n"/>
      <c r="AD749" s="2" t="inlineStr">
        <is>
          <t>Win</t>
        </is>
      </c>
      <c r="AE749" s="6">
        <f>IF((COUNTIF($AD$2:AD749,"Win")+COUNTIF($AD$2:AD749,"Loss"))=0,0,COUNTIF($AD$2:AD749,"Win")/(COUNTIF($AD$2:AD749,"Win")+COUNTIF($AD$2:AD749,"Loss")))</f>
        <v/>
      </c>
      <c r="AF749" s="6">
        <f>SUM($Y$2:Y749)/SUM($X$2:X749)</f>
        <v/>
      </c>
      <c r="AG749" s="5">
        <f>SUM($Y$2:Y749)</f>
        <v/>
      </c>
      <c r="AH749" s="7">
        <f>10000.0+SUM($AA$2:AA749)</f>
        <v/>
      </c>
      <c r="AI749" s="2" t="n">
        <v>2026</v>
      </c>
      <c r="AJ749" s="2" t="inlineStr">
        <is>
          <t>2026-05</t>
        </is>
      </c>
      <c r="AK749" s="2" t="inlineStr">
        <is>
          <t>+100 to +120</t>
        </is>
      </c>
      <c r="AL749" s="2" t="inlineStr">
        <is>
          <t>2026 Frozen Test</t>
        </is>
      </c>
      <c r="AM749" s="6" t="n">
        <v>0.2384991090414855</v>
      </c>
    </row>
    <row r="750">
      <c r="A750" s="2" t="inlineStr">
        <is>
          <t>KPROP-00749</t>
        </is>
      </c>
      <c r="B750" s="3" t="n">
        <v>46151.75737268518</v>
      </c>
      <c r="C750" s="3" t="n">
        <v>46151</v>
      </c>
      <c r="D750" s="2" t="inlineStr">
        <is>
          <t>Tanner Bibee</t>
        </is>
      </c>
      <c r="E750" s="2" t="n">
        <v>114</v>
      </c>
      <c r="F750" s="2" t="n">
        <v>142</v>
      </c>
      <c r="G750" s="2" t="inlineStr">
        <is>
          <t>Home</t>
        </is>
      </c>
      <c r="H750" s="2" t="inlineStr">
        <is>
          <t>fanduel</t>
        </is>
      </c>
      <c r="I750" s="4" t="n"/>
      <c r="J750" s="4" t="n"/>
      <c r="K750" s="4" t="n">
        <v>-136</v>
      </c>
      <c r="L750" s="4" t="n">
        <v>-136</v>
      </c>
      <c r="M750" s="5" t="n">
        <v>5.5</v>
      </c>
      <c r="N750" s="5" t="n">
        <v>4.81102602762859</v>
      </c>
      <c r="O750" s="5" t="n">
        <v>5.5</v>
      </c>
      <c r="P750" s="5" t="n">
        <v>0.6889739723714099</v>
      </c>
      <c r="Q750" s="6" t="n">
        <v>0.1263433701960612</v>
      </c>
      <c r="R750" s="6" t="n">
        <v>0.6490792302824759</v>
      </c>
      <c r="S750" s="6" t="n">
        <v>0.5645756457564576</v>
      </c>
      <c r="T750" s="2" t="inlineStr">
        <is>
          <t>Under</t>
        </is>
      </c>
      <c r="U750" s="4" t="n">
        <v>-136</v>
      </c>
      <c r="V750" s="2" t="n">
        <v>1.735294117647059</v>
      </c>
      <c r="W750" s="4" t="n">
        <v>-136</v>
      </c>
      <c r="X750" s="2" t="n">
        <v>1</v>
      </c>
      <c r="Y750" s="5" t="n">
        <v>-1</v>
      </c>
      <c r="Z750" s="7" t="n">
        <v>100</v>
      </c>
      <c r="AA750" s="7">
        <f>Y750*Z750</f>
        <v/>
      </c>
      <c r="AB750" s="6">
        <f>IF(Z750=0,0,AA750/Z750)</f>
        <v/>
      </c>
      <c r="AC750" s="6" t="n"/>
      <c r="AD750" s="2" t="inlineStr">
        <is>
          <t>Loss</t>
        </is>
      </c>
      <c r="AE750" s="6">
        <f>IF((COUNTIF($AD$2:AD750,"Win")+COUNTIF($AD$2:AD750,"Loss"))=0,0,COUNTIF($AD$2:AD750,"Win")/(COUNTIF($AD$2:AD750,"Win")+COUNTIF($AD$2:AD750,"Loss")))</f>
        <v/>
      </c>
      <c r="AF750" s="6">
        <f>SUM($Y$2:Y750)/SUM($X$2:X750)</f>
        <v/>
      </c>
      <c r="AG750" s="5">
        <f>SUM($Y$2:Y750)</f>
        <v/>
      </c>
      <c r="AH750" s="7">
        <f>10000.0+SUM($AA$2:AA750)</f>
        <v/>
      </c>
      <c r="AI750" s="2" t="n">
        <v>2026</v>
      </c>
      <c r="AJ750" s="2" t="inlineStr">
        <is>
          <t>2026-05</t>
        </is>
      </c>
      <c r="AK750" s="2" t="inlineStr">
        <is>
          <t>-149 to -120</t>
        </is>
      </c>
      <c r="AL750" s="2" t="inlineStr">
        <is>
          <t>2026 Frozen Test</t>
        </is>
      </c>
      <c r="AM750" s="6" t="n">
        <v>0.1718269834666433</v>
      </c>
    </row>
    <row r="751">
      <c r="A751" s="2" t="inlineStr">
        <is>
          <t>KPROP-00750</t>
        </is>
      </c>
      <c r="B751" s="3" t="n">
        <v>46152.56988425926</v>
      </c>
      <c r="C751" s="3" t="n">
        <v>46152</v>
      </c>
      <c r="D751" s="2" t="inlineStr">
        <is>
          <t>Gavin Williams</t>
        </is>
      </c>
      <c r="E751" s="2" t="n">
        <v>114</v>
      </c>
      <c r="F751" s="2" t="n">
        <v>142</v>
      </c>
      <c r="G751" s="2" t="inlineStr">
        <is>
          <t>Home</t>
        </is>
      </c>
      <c r="H751" s="2" t="inlineStr">
        <is>
          <t>betrivers</t>
        </is>
      </c>
      <c r="I751" s="4" t="n"/>
      <c r="J751" s="4" t="n"/>
      <c r="K751" s="4" t="n">
        <v>125</v>
      </c>
      <c r="L751" s="4" t="n">
        <v>125</v>
      </c>
      <c r="M751" s="5" t="n">
        <v>6.5</v>
      </c>
      <c r="N751" s="5" t="n">
        <v>6.168341983548054</v>
      </c>
      <c r="O751" s="5" t="n">
        <v>6.5</v>
      </c>
      <c r="P751" s="5" t="n">
        <v>0.3316580164519456</v>
      </c>
      <c r="Q751" s="6" t="n">
        <v>0.3033893181888299</v>
      </c>
      <c r="R751" s="6" t="n">
        <v>0.5792841414172577</v>
      </c>
      <c r="S751" s="6" t="n">
        <v>0.4361948955916473</v>
      </c>
      <c r="T751" s="2" t="inlineStr">
        <is>
          <t>Under</t>
        </is>
      </c>
      <c r="U751" s="4" t="n">
        <v>125</v>
      </c>
      <c r="V751" s="2" t="n">
        <v>2.25</v>
      </c>
      <c r="W751" s="4" t="n">
        <v>125</v>
      </c>
      <c r="X751" s="2" t="n">
        <v>1</v>
      </c>
      <c r="Y751" s="5" t="n">
        <v>1.25</v>
      </c>
      <c r="Z751" s="7" t="n">
        <v>100</v>
      </c>
      <c r="AA751" s="7">
        <f>Y751*Z751</f>
        <v/>
      </c>
      <c r="AB751" s="6">
        <f>IF(Z751=0,0,AA751/Z751)</f>
        <v/>
      </c>
      <c r="AC751" s="6" t="n"/>
      <c r="AD751" s="2" t="inlineStr">
        <is>
          <t>Win</t>
        </is>
      </c>
      <c r="AE751" s="6">
        <f>IF((COUNTIF($AD$2:AD751,"Win")+COUNTIF($AD$2:AD751,"Loss"))=0,0,COUNTIF($AD$2:AD751,"Win")/(COUNTIF($AD$2:AD751,"Win")+COUNTIF($AD$2:AD751,"Loss")))</f>
        <v/>
      </c>
      <c r="AF751" s="6">
        <f>SUM($Y$2:Y751)/SUM($X$2:X751)</f>
        <v/>
      </c>
      <c r="AG751" s="5">
        <f>SUM($Y$2:Y751)</f>
        <v/>
      </c>
      <c r="AH751" s="7">
        <f>10000.0+SUM($AA$2:AA751)</f>
        <v/>
      </c>
      <c r="AI751" s="2" t="n">
        <v>2026</v>
      </c>
      <c r="AJ751" s="2" t="inlineStr">
        <is>
          <t>2026-05</t>
        </is>
      </c>
      <c r="AK751" s="2" t="inlineStr">
        <is>
          <t>+121 to +150</t>
        </is>
      </c>
      <c r="AL751" s="2" t="inlineStr">
        <is>
          <t>2026 Frozen Test</t>
        </is>
      </c>
      <c r="AM751" s="6" t="n">
        <v>0.2427114545510639</v>
      </c>
    </row>
    <row r="752">
      <c r="A752" s="2" t="inlineStr">
        <is>
          <t>KPROP-00751</t>
        </is>
      </c>
      <c r="B752" s="3" t="n">
        <v>46152.56988425926</v>
      </c>
      <c r="C752" s="3" t="n">
        <v>46152</v>
      </c>
      <c r="D752" s="2" t="inlineStr">
        <is>
          <t>Gavin Williams</t>
        </is>
      </c>
      <c r="E752" s="2" t="n">
        <v>114</v>
      </c>
      <c r="F752" s="2" t="n">
        <v>142</v>
      </c>
      <c r="G752" s="2" t="inlineStr">
        <is>
          <t>Home</t>
        </is>
      </c>
      <c r="H752" s="2" t="inlineStr">
        <is>
          <t>betrivers</t>
        </is>
      </c>
      <c r="I752" s="4" t="n"/>
      <c r="J752" s="4" t="n"/>
      <c r="K752" s="4" t="n">
        <v>-159</v>
      </c>
      <c r="L752" s="4" t="n">
        <v>-159</v>
      </c>
      <c r="M752" s="5" t="n">
        <v>7.5</v>
      </c>
      <c r="N752" s="5" t="n">
        <v>6.168341983548054</v>
      </c>
      <c r="O752" s="5" t="n">
        <v>7.5</v>
      </c>
      <c r="P752" s="5" t="n">
        <v>1.331658016451946</v>
      </c>
      <c r="Q752" s="6" t="n">
        <v>0.1736384109970904</v>
      </c>
      <c r="R752" s="6" t="n">
        <v>0.7204961673688702</v>
      </c>
      <c r="S752" s="6" t="n">
        <v>0.5745729303547964</v>
      </c>
      <c r="T752" s="2" t="inlineStr">
        <is>
          <t>Under</t>
        </is>
      </c>
      <c r="U752" s="4" t="n">
        <v>-159</v>
      </c>
      <c r="V752" s="2" t="n">
        <v>1.628930817610063</v>
      </c>
      <c r="W752" s="4" t="n">
        <v>-159</v>
      </c>
      <c r="X752" s="2" t="n">
        <v>1</v>
      </c>
      <c r="Y752" s="5" t="n">
        <v>0.6289308176100628</v>
      </c>
      <c r="Z752" s="7" t="n">
        <v>100</v>
      </c>
      <c r="AA752" s="7">
        <f>Y752*Z752</f>
        <v/>
      </c>
      <c r="AB752" s="6">
        <f>IF(Z752=0,0,AA752/Z752)</f>
        <v/>
      </c>
      <c r="AC752" s="6" t="n"/>
      <c r="AD752" s="2" t="inlineStr">
        <is>
          <t>Win</t>
        </is>
      </c>
      <c r="AE752" s="6">
        <f>IF((COUNTIF($AD$2:AD752,"Win")+COUNTIF($AD$2:AD752,"Loss"))=0,0,COUNTIF($AD$2:AD752,"Win")/(COUNTIF($AD$2:AD752,"Win")+COUNTIF($AD$2:AD752,"Loss")))</f>
        <v/>
      </c>
      <c r="AF752" s="6">
        <f>SUM($Y$2:Y752)/SUM($X$2:X752)</f>
        <v/>
      </c>
      <c r="AG752" s="5">
        <f>SUM($Y$2:Y752)</f>
        <v/>
      </c>
      <c r="AH752" s="7">
        <f>10000.0+SUM($AA$2:AA752)</f>
        <v/>
      </c>
      <c r="AI752" s="2" t="n">
        <v>2026</v>
      </c>
      <c r="AJ752" s="2" t="inlineStr">
        <is>
          <t>2026-05</t>
        </is>
      </c>
      <c r="AK752" s="2" t="inlineStr">
        <is>
          <t>&lt;= -150</t>
        </is>
      </c>
      <c r="AL752" s="2" t="inlineStr">
        <is>
          <t>2026 Frozen Test</t>
        </is>
      </c>
      <c r="AM752" s="6" t="n">
        <v>0.2760850734853739</v>
      </c>
    </row>
    <row r="753">
      <c r="A753" s="2" t="inlineStr">
        <is>
          <t>KPROP-00752</t>
        </is>
      </c>
      <c r="B753" s="3" t="n">
        <v>46152.60806712963</v>
      </c>
      <c r="C753" s="3" t="n">
        <v>46152</v>
      </c>
      <c r="D753" s="2" t="inlineStr">
        <is>
          <t>Jacob deGrom</t>
        </is>
      </c>
      <c r="E753" s="2" t="n">
        <v>140</v>
      </c>
      <c r="F753" s="2" t="n">
        <v>112</v>
      </c>
      <c r="G753" s="2" t="inlineStr">
        <is>
          <t>Home</t>
        </is>
      </c>
      <c r="H753" s="2" t="inlineStr">
        <is>
          <t>mybookieag</t>
        </is>
      </c>
      <c r="I753" s="4" t="n"/>
      <c r="J753" s="4" t="n"/>
      <c r="K753" s="4" t="n">
        <v>-123</v>
      </c>
      <c r="L753" s="4" t="n">
        <v>-123</v>
      </c>
      <c r="M753" s="5" t="n">
        <v>6.5</v>
      </c>
      <c r="N753" s="5" t="n">
        <v>6.034302631851368</v>
      </c>
      <c r="O753" s="5" t="n">
        <v>6.5</v>
      </c>
      <c r="P753" s="5" t="n">
        <v>0.4656973681486321</v>
      </c>
      <c r="Q753" s="6" t="n">
        <v>0.08924289356586801</v>
      </c>
      <c r="R753" s="6" t="n">
        <v>0.600793165509425</v>
      </c>
      <c r="S753" s="6" t="n">
        <v>0.542517181249359</v>
      </c>
      <c r="T753" s="2" t="inlineStr">
        <is>
          <t>Under</t>
        </is>
      </c>
      <c r="U753" s="4" t="n">
        <v>-123</v>
      </c>
      <c r="V753" s="2" t="n">
        <v>1.813008130081301</v>
      </c>
      <c r="W753" s="4" t="n">
        <v>-123</v>
      </c>
      <c r="X753" s="2" t="n">
        <v>1</v>
      </c>
      <c r="Y753" s="5" t="n">
        <v>-1</v>
      </c>
      <c r="Z753" s="7" t="n">
        <v>100</v>
      </c>
      <c r="AA753" s="7">
        <f>Y753*Z753</f>
        <v/>
      </c>
      <c r="AB753" s="6">
        <f>IF(Z753=0,0,AA753/Z753)</f>
        <v/>
      </c>
      <c r="AC753" s="6" t="n"/>
      <c r="AD753" s="2" t="inlineStr">
        <is>
          <t>Loss</t>
        </is>
      </c>
      <c r="AE753" s="6">
        <f>IF((COUNTIF($AD$2:AD753,"Win")+COUNTIF($AD$2:AD753,"Loss"))=0,0,COUNTIF($AD$2:AD753,"Win")/(COUNTIF($AD$2:AD753,"Win")+COUNTIF($AD$2:AD753,"Loss")))</f>
        <v/>
      </c>
      <c r="AF753" s="6">
        <f>SUM($Y$2:Y753)/SUM($X$2:X753)</f>
        <v/>
      </c>
      <c r="AG753" s="5">
        <f>SUM($Y$2:Y753)</f>
        <v/>
      </c>
      <c r="AH753" s="7">
        <f>10000.0+SUM($AA$2:AA753)</f>
        <v/>
      </c>
      <c r="AI753" s="2" t="n">
        <v>2026</v>
      </c>
      <c r="AJ753" s="2" t="inlineStr">
        <is>
          <t>2026-05</t>
        </is>
      </c>
      <c r="AK753" s="2" t="inlineStr">
        <is>
          <t>-149 to -120</t>
        </is>
      </c>
      <c r="AL753" s="2" t="inlineStr">
        <is>
          <t>2026 Frozen Test</t>
        </is>
      </c>
      <c r="AM753" s="6" t="n">
        <v>0.1097687590860177</v>
      </c>
    </row>
    <row r="754">
      <c r="A754" s="2" t="inlineStr">
        <is>
          <t>KPROP-00753</t>
        </is>
      </c>
      <c r="B754" s="3" t="n">
        <v>46152.60806712963</v>
      </c>
      <c r="C754" s="3" t="n">
        <v>46152</v>
      </c>
      <c r="D754" s="2" t="inlineStr">
        <is>
          <t>Jameson Taillon</t>
        </is>
      </c>
      <c r="E754" s="2" t="n">
        <v>112</v>
      </c>
      <c r="F754" s="2" t="n">
        <v>140</v>
      </c>
      <c r="G754" s="2" t="inlineStr">
        <is>
          <t>Away</t>
        </is>
      </c>
      <c r="H754" s="2" t="inlineStr">
        <is>
          <t>draftkings</t>
        </is>
      </c>
      <c r="I754" s="4" t="n"/>
      <c r="J754" s="4" t="n"/>
      <c r="K754" s="4" t="n">
        <v>101</v>
      </c>
      <c r="L754" s="4" t="n">
        <v>101</v>
      </c>
      <c r="M754" s="5" t="n">
        <v>4.5</v>
      </c>
      <c r="N754" s="5" t="n">
        <v>4.48875003729538</v>
      </c>
      <c r="O754" s="5" t="n">
        <v>4.5</v>
      </c>
      <c r="P754" s="5" t="n">
        <v>0.01124996270462031</v>
      </c>
      <c r="Q754" s="6" t="n">
        <v>0.07382286479736144</v>
      </c>
      <c r="R754" s="6" t="n">
        <v>0.5342402312424684</v>
      </c>
      <c r="S754" s="6" t="n">
        <v>0.4871259568545581</v>
      </c>
      <c r="T754" s="2" t="inlineStr">
        <is>
          <t>Under</t>
        </is>
      </c>
      <c r="U754" s="4" t="n">
        <v>101</v>
      </c>
      <c r="V754" s="2" t="n">
        <v>2.01</v>
      </c>
      <c r="W754" s="4" t="n">
        <v>101</v>
      </c>
      <c r="X754" s="2" t="n">
        <v>1</v>
      </c>
      <c r="Y754" s="5" t="n">
        <v>1.01</v>
      </c>
      <c r="Z754" s="7" t="n">
        <v>100</v>
      </c>
      <c r="AA754" s="7">
        <f>Y754*Z754</f>
        <v/>
      </c>
      <c r="AB754" s="6">
        <f>IF(Z754=0,0,AA754/Z754)</f>
        <v/>
      </c>
      <c r="AC754" s="6" t="n"/>
      <c r="AD754" s="2" t="inlineStr">
        <is>
          <t>Win</t>
        </is>
      </c>
      <c r="AE754" s="6">
        <f>IF((COUNTIF($AD$2:AD754,"Win")+COUNTIF($AD$2:AD754,"Loss"))=0,0,COUNTIF($AD$2:AD754,"Win")/(COUNTIF($AD$2:AD754,"Win")+COUNTIF($AD$2:AD754,"Loss")))</f>
        <v/>
      </c>
      <c r="AF754" s="6">
        <f>SUM($Y$2:Y754)/SUM($X$2:X754)</f>
        <v/>
      </c>
      <c r="AG754" s="5">
        <f>SUM($Y$2:Y754)</f>
        <v/>
      </c>
      <c r="AH754" s="7">
        <f>10000.0+SUM($AA$2:AA754)</f>
        <v/>
      </c>
      <c r="AI754" s="2" t="n">
        <v>2026</v>
      </c>
      <c r="AJ754" s="2" t="inlineStr">
        <is>
          <t>2026-05</t>
        </is>
      </c>
      <c r="AK754" s="2" t="inlineStr">
        <is>
          <t>+100 to +120</t>
        </is>
      </c>
      <c r="AL754" s="2" t="inlineStr">
        <is>
          <t>2026 Frozen Test</t>
        </is>
      </c>
      <c r="AM754" s="6" t="n">
        <v>0.07309194534392223</v>
      </c>
    </row>
    <row r="755">
      <c r="A755" s="2" t="inlineStr">
        <is>
          <t>KPROP-00754</t>
        </is>
      </c>
      <c r="B755" s="3" t="n">
        <v>46152.56640046297</v>
      </c>
      <c r="C755" s="3" t="n">
        <v>46152</v>
      </c>
      <c r="D755" s="2" t="inlineStr">
        <is>
          <t>José Soriano</t>
        </is>
      </c>
      <c r="E755" s="2" t="n">
        <v>108</v>
      </c>
      <c r="F755" s="2" t="n">
        <v>141</v>
      </c>
      <c r="G755" s="2" t="inlineStr">
        <is>
          <t>Away</t>
        </is>
      </c>
      <c r="H755" s="2" t="inlineStr">
        <is>
          <t>betrivers</t>
        </is>
      </c>
      <c r="I755" s="4" t="n"/>
      <c r="J755" s="4" t="n"/>
      <c r="K755" s="4" t="n">
        <v>-117</v>
      </c>
      <c r="L755" s="4" t="n">
        <v>-117</v>
      </c>
      <c r="M755" s="5" t="n">
        <v>5.5</v>
      </c>
      <c r="N755" s="5" t="n">
        <v>5.005250541949178</v>
      </c>
      <c r="O755" s="5" t="n">
        <v>5.5</v>
      </c>
      <c r="P755" s="5" t="n">
        <v>0.4947494580508218</v>
      </c>
      <c r="Q755" s="6" t="n">
        <v>0.1407140209051467</v>
      </c>
      <c r="R755" s="6" t="n">
        <v>0.6150393568935584</v>
      </c>
      <c r="S755" s="6" t="n">
        <v>0.5298247134530799</v>
      </c>
      <c r="T755" s="2" t="inlineStr">
        <is>
          <t>Under</t>
        </is>
      </c>
      <c r="U755" s="4" t="n">
        <v>-117</v>
      </c>
      <c r="V755" s="2" t="n">
        <v>1.854700854700855</v>
      </c>
      <c r="W755" s="4" t="n">
        <v>-117</v>
      </c>
      <c r="X755" s="2" t="n">
        <v>1</v>
      </c>
      <c r="Y755" s="5" t="n">
        <v>-1</v>
      </c>
      <c r="Z755" s="7" t="n">
        <v>100</v>
      </c>
      <c r="AA755" s="7">
        <f>Y755*Z755</f>
        <v/>
      </c>
      <c r="AB755" s="6">
        <f>IF(Z755=0,0,AA755/Z755)</f>
        <v/>
      </c>
      <c r="AC755" s="6" t="n"/>
      <c r="AD755" s="2" t="inlineStr">
        <is>
          <t>Loss</t>
        </is>
      </c>
      <c r="AE755" s="6">
        <f>IF((COUNTIF($AD$2:AD755,"Win")+COUNTIF($AD$2:AD755,"Loss"))=0,0,COUNTIF($AD$2:AD755,"Win")/(COUNTIF($AD$2:AD755,"Win")+COUNTIF($AD$2:AD755,"Loss")))</f>
        <v/>
      </c>
      <c r="AF755" s="6">
        <f>SUM($Y$2:Y755)/SUM($X$2:X755)</f>
        <v/>
      </c>
      <c r="AG755" s="5">
        <f>SUM($Y$2:Y755)</f>
        <v/>
      </c>
      <c r="AH755" s="7">
        <f>10000.0+SUM($AA$2:AA755)</f>
        <v/>
      </c>
      <c r="AI755" s="2" t="n">
        <v>2026</v>
      </c>
      <c r="AJ755" s="2" t="inlineStr">
        <is>
          <t>2026-05</t>
        </is>
      </c>
      <c r="AK755" s="2" t="inlineStr">
        <is>
          <t>-119 to -101</t>
        </is>
      </c>
      <c r="AL755" s="2" t="inlineStr">
        <is>
          <t>2026 Frozen Test</t>
        </is>
      </c>
      <c r="AM755" s="6" t="n">
        <v>0.1646354044590217</v>
      </c>
    </row>
    <row r="756">
      <c r="A756" s="2" t="inlineStr">
        <is>
          <t>KPROP-00755</t>
        </is>
      </c>
      <c r="B756" s="3" t="n">
        <v>46152.67403935185</v>
      </c>
      <c r="C756" s="3" t="n">
        <v>46152</v>
      </c>
      <c r="D756" s="2" t="inlineStr">
        <is>
          <t>Kyle Leahy</t>
        </is>
      </c>
      <c r="E756" s="2" t="n">
        <v>138</v>
      </c>
      <c r="F756" s="2" t="n">
        <v>135</v>
      </c>
      <c r="G756" s="2" t="inlineStr">
        <is>
          <t>Away</t>
        </is>
      </c>
      <c r="H756" s="2" t="inlineStr">
        <is>
          <t>bovada</t>
        </is>
      </c>
      <c r="I756" s="4" t="n"/>
      <c r="J756" s="4" t="n"/>
      <c r="K756" s="4" t="n">
        <v>120</v>
      </c>
      <c r="L756" s="4" t="n">
        <v>120</v>
      </c>
      <c r="M756" s="5" t="n">
        <v>3.5</v>
      </c>
      <c r="N756" s="5" t="n">
        <v>3.41702888887464</v>
      </c>
      <c r="O756" s="5" t="n">
        <v>3.5</v>
      </c>
      <c r="P756" s="5" t="n">
        <v>0.08297111112536015</v>
      </c>
      <c r="Q756" s="6" t="n">
        <v>0.2202036461770427</v>
      </c>
      <c r="R756" s="6" t="n">
        <v>0.5546380209895648</v>
      </c>
      <c r="S756" s="6" t="n">
        <v>0.4323570432357043</v>
      </c>
      <c r="T756" s="2" t="inlineStr">
        <is>
          <t>Under</t>
        </is>
      </c>
      <c r="U756" s="4" t="n">
        <v>120</v>
      </c>
      <c r="V756" s="2" t="n">
        <v>2.2</v>
      </c>
      <c r="W756" s="4" t="n">
        <v>120</v>
      </c>
      <c r="X756" s="2" t="n">
        <v>1</v>
      </c>
      <c r="Y756" s="5" t="n">
        <v>-1</v>
      </c>
      <c r="Z756" s="7" t="n">
        <v>100</v>
      </c>
      <c r="AA756" s="7">
        <f>Y756*Z756</f>
        <v/>
      </c>
      <c r="AB756" s="6">
        <f>IF(Z756=0,0,AA756/Z756)</f>
        <v/>
      </c>
      <c r="AC756" s="6" t="n"/>
      <c r="AD756" s="2" t="inlineStr">
        <is>
          <t>Loss</t>
        </is>
      </c>
      <c r="AE756" s="6">
        <f>IF((COUNTIF($AD$2:AD756,"Win")+COUNTIF($AD$2:AD756,"Loss"))=0,0,COUNTIF($AD$2:AD756,"Win")/(COUNTIF($AD$2:AD756,"Win")+COUNTIF($AD$2:AD756,"Loss")))</f>
        <v/>
      </c>
      <c r="AF756" s="6">
        <f>SUM($Y$2:Y756)/SUM($X$2:X756)</f>
        <v/>
      </c>
      <c r="AG756" s="5">
        <f>SUM($Y$2:Y756)</f>
        <v/>
      </c>
      <c r="AH756" s="7">
        <f>10000.0+SUM($AA$2:AA756)</f>
        <v/>
      </c>
      <c r="AI756" s="2" t="n">
        <v>2026</v>
      </c>
      <c r="AJ756" s="2" t="inlineStr">
        <is>
          <t>2026-05</t>
        </is>
      </c>
      <c r="AK756" s="2" t="inlineStr">
        <is>
          <t>+100 to +120</t>
        </is>
      </c>
      <c r="AL756" s="2" t="inlineStr">
        <is>
          <t>2026 Frozen Test</t>
        </is>
      </c>
      <c r="AM756" s="6" t="n">
        <v>0.1835030384808689</v>
      </c>
    </row>
    <row r="757">
      <c r="A757" s="2" t="inlineStr">
        <is>
          <t>KPROP-00756</t>
        </is>
      </c>
      <c r="B757" s="3" t="n">
        <v>46152.59070601852</v>
      </c>
      <c r="C757" s="3" t="n">
        <v>46152</v>
      </c>
      <c r="D757" s="2" t="inlineStr">
        <is>
          <t>Logan Gilbert</t>
        </is>
      </c>
      <c r="E757" s="2" t="n">
        <v>136</v>
      </c>
      <c r="F757" s="2" t="n">
        <v>145</v>
      </c>
      <c r="G757" s="2" t="inlineStr">
        <is>
          <t>Away</t>
        </is>
      </c>
      <c r="H757" s="2" t="inlineStr">
        <is>
          <t>betrivers</t>
        </is>
      </c>
      <c r="I757" s="4" t="n"/>
      <c r="J757" s="4" t="n"/>
      <c r="K757" s="4" t="n">
        <v>133</v>
      </c>
      <c r="L757" s="4" t="n">
        <v>133</v>
      </c>
      <c r="M757" s="5" t="n">
        <v>5.5</v>
      </c>
      <c r="N757" s="5" t="n">
        <v>5.767509580258767</v>
      </c>
      <c r="O757" s="5" t="n">
        <v>5.5</v>
      </c>
      <c r="P757" s="5" t="n">
        <v>-0.2675095802587668</v>
      </c>
      <c r="Q757" s="6" t="n">
        <v>0.1270371092877797</v>
      </c>
      <c r="R757" s="6" t="n">
        <v>0.4837069138574162</v>
      </c>
      <c r="S757" s="6" t="n">
        <v>0.4203482885819679</v>
      </c>
      <c r="T757" s="2" t="inlineStr">
        <is>
          <t>Under</t>
        </is>
      </c>
      <c r="U757" s="4" t="n">
        <v>133</v>
      </c>
      <c r="V757" s="2" t="n">
        <v>2.33</v>
      </c>
      <c r="W757" s="4" t="n">
        <v>133</v>
      </c>
      <c r="X757" s="2" t="n">
        <v>1</v>
      </c>
      <c r="Y757" s="5" t="n">
        <v>-1</v>
      </c>
      <c r="Z757" s="7" t="n">
        <v>100</v>
      </c>
      <c r="AA757" s="7">
        <f>Y757*Z757</f>
        <v/>
      </c>
      <c r="AB757" s="6">
        <f>IF(Z757=0,0,AA757/Z757)</f>
        <v/>
      </c>
      <c r="AC757" s="6" t="n"/>
      <c r="AD757" s="2" t="inlineStr">
        <is>
          <t>Loss</t>
        </is>
      </c>
      <c r="AE757" s="6">
        <f>IF((COUNTIF($AD$2:AD757,"Win")+COUNTIF($AD$2:AD757,"Loss"))=0,0,COUNTIF($AD$2:AD757,"Win")/(COUNTIF($AD$2:AD757,"Win")+COUNTIF($AD$2:AD757,"Loss")))</f>
        <v/>
      </c>
      <c r="AF757" s="6">
        <f>SUM($Y$2:Y757)/SUM($X$2:X757)</f>
        <v/>
      </c>
      <c r="AG757" s="5">
        <f>SUM($Y$2:Y757)</f>
        <v/>
      </c>
      <c r="AH757" s="7">
        <f>10000.0+SUM($AA$2:AA757)</f>
        <v/>
      </c>
      <c r="AI757" s="2" t="n">
        <v>2026</v>
      </c>
      <c r="AJ757" s="2" t="inlineStr">
        <is>
          <t>2026-05</t>
        </is>
      </c>
      <c r="AK757" s="2" t="inlineStr">
        <is>
          <t>+121 to +150</t>
        </is>
      </c>
      <c r="AL757" s="2" t="inlineStr">
        <is>
          <t>2026 Frozen Test</t>
        </is>
      </c>
      <c r="AM757" s="6" t="n">
        <v>0.09551662352464636</v>
      </c>
    </row>
    <row r="758">
      <c r="A758" s="2" t="inlineStr">
        <is>
          <t>KPROP-00757</t>
        </is>
      </c>
      <c r="B758" s="3" t="n">
        <v>46152.59070601852</v>
      </c>
      <c r="C758" s="3" t="n">
        <v>46152</v>
      </c>
      <c r="D758" s="2" t="inlineStr">
        <is>
          <t>Logan Gilbert</t>
        </is>
      </c>
      <c r="E758" s="2" t="n">
        <v>136</v>
      </c>
      <c r="F758" s="2" t="n">
        <v>145</v>
      </c>
      <c r="G758" s="2" t="inlineStr">
        <is>
          <t>Away</t>
        </is>
      </c>
      <c r="H758" s="2" t="inlineStr">
        <is>
          <t>draftkings</t>
        </is>
      </c>
      <c r="I758" s="4" t="n"/>
      <c r="J758" s="4" t="n"/>
      <c r="K758" s="4" t="n">
        <v>-143</v>
      </c>
      <c r="L758" s="4" t="n">
        <v>-143</v>
      </c>
      <c r="M758" s="5" t="n">
        <v>6.5</v>
      </c>
      <c r="N758" s="5" t="n">
        <v>5.767509580258767</v>
      </c>
      <c r="O758" s="5" t="n">
        <v>6.5</v>
      </c>
      <c r="P758" s="5" t="n">
        <v>0.7324904197412332</v>
      </c>
      <c r="Q758" s="6" t="n">
        <v>0.09365127515283078</v>
      </c>
      <c r="R758" s="6" t="n">
        <v>0.6435890220035178</v>
      </c>
      <c r="S758" s="6" t="n">
        <v>0.5550754357697378</v>
      </c>
      <c r="T758" s="2" t="inlineStr">
        <is>
          <t>Under</t>
        </is>
      </c>
      <c r="U758" s="4" t="n">
        <v>-143</v>
      </c>
      <c r="V758" s="2" t="n">
        <v>1.699300699300699</v>
      </c>
      <c r="W758" s="4" t="n">
        <v>-143</v>
      </c>
      <c r="X758" s="2" t="n">
        <v>1</v>
      </c>
      <c r="Y758" s="5" t="n">
        <v>-1</v>
      </c>
      <c r="Z758" s="7" t="n">
        <v>100</v>
      </c>
      <c r="AA758" s="7">
        <f>Y758*Z758</f>
        <v/>
      </c>
      <c r="AB758" s="6">
        <f>IF(Z758=0,0,AA758/Z758)</f>
        <v/>
      </c>
      <c r="AC758" s="6" t="n"/>
      <c r="AD758" s="2" t="inlineStr">
        <is>
          <t>Loss</t>
        </is>
      </c>
      <c r="AE758" s="6">
        <f>IF((COUNTIF($AD$2:AD758,"Win")+COUNTIF($AD$2:AD758,"Loss"))=0,0,COUNTIF($AD$2:AD758,"Win")/(COUNTIF($AD$2:AD758,"Win")+COUNTIF($AD$2:AD758,"Loss")))</f>
        <v/>
      </c>
      <c r="AF758" s="6">
        <f>SUM($Y$2:Y758)/SUM($X$2:X758)</f>
        <v/>
      </c>
      <c r="AG758" s="5">
        <f>SUM($Y$2:Y758)</f>
        <v/>
      </c>
      <c r="AH758" s="7">
        <f>10000.0+SUM($AA$2:AA758)</f>
        <v/>
      </c>
      <c r="AI758" s="2" t="n">
        <v>2026</v>
      </c>
      <c r="AJ758" s="2" t="inlineStr">
        <is>
          <t>2026-05</t>
        </is>
      </c>
      <c r="AK758" s="2" t="inlineStr">
        <is>
          <t>-149 to -120</t>
        </is>
      </c>
      <c r="AL758" s="2" t="inlineStr">
        <is>
          <t>2026 Frozen Test</t>
        </is>
      </c>
      <c r="AM758" s="6" t="n">
        <v>0.133921323468548</v>
      </c>
    </row>
    <row r="759">
      <c r="A759" s="2" t="inlineStr">
        <is>
          <t>KPROP-00758</t>
        </is>
      </c>
      <c r="B759" s="3" t="n">
        <v>46153.79556712963</v>
      </c>
      <c r="C759" s="3" t="n">
        <v>46153</v>
      </c>
      <c r="D759" s="2" t="inlineStr">
        <is>
          <t>Kevin Gausman</t>
        </is>
      </c>
      <c r="E759" s="2" t="n">
        <v>141</v>
      </c>
      <c r="F759" s="2" t="n">
        <v>139</v>
      </c>
      <c r="G759" s="2" t="inlineStr">
        <is>
          <t>Home</t>
        </is>
      </c>
      <c r="H759" s="2" t="inlineStr">
        <is>
          <t>draftkings</t>
        </is>
      </c>
      <c r="I759" s="4" t="n"/>
      <c r="J759" s="4" t="n"/>
      <c r="K759" s="4" t="n">
        <v>128</v>
      </c>
      <c r="L759" s="4" t="n">
        <v>128</v>
      </c>
      <c r="M759" s="5" t="n">
        <v>4.5</v>
      </c>
      <c r="N759" s="5" t="n">
        <v>4.693757684829724</v>
      </c>
      <c r="O759" s="5" t="n">
        <v>4.5</v>
      </c>
      <c r="P759" s="5" t="n">
        <v>-0.1937576848297242</v>
      </c>
      <c r="Q759" s="6" t="n">
        <v>0.1303411971402026</v>
      </c>
      <c r="R759" s="6" t="n">
        <v>0.4957636829562292</v>
      </c>
      <c r="S759" s="6" t="n">
        <v>0.4197514542570068</v>
      </c>
      <c r="T759" s="2" t="inlineStr">
        <is>
          <t>Under</t>
        </is>
      </c>
      <c r="U759" s="4" t="n">
        <v>128</v>
      </c>
      <c r="V759" s="2" t="n">
        <v>2.28</v>
      </c>
      <c r="W759" s="4" t="n">
        <v>128</v>
      </c>
      <c r="X759" s="2" t="n">
        <v>1</v>
      </c>
      <c r="Y759" s="5" t="n">
        <v>-1</v>
      </c>
      <c r="Z759" s="7" t="n">
        <v>100</v>
      </c>
      <c r="AA759" s="7">
        <f>Y759*Z759</f>
        <v/>
      </c>
      <c r="AB759" s="6">
        <f>IF(Z759=0,0,AA759/Z759)</f>
        <v/>
      </c>
      <c r="AC759" s="6" t="n"/>
      <c r="AD759" s="2" t="inlineStr">
        <is>
          <t>Loss</t>
        </is>
      </c>
      <c r="AE759" s="6">
        <f>IF((COUNTIF($AD$2:AD759,"Win")+COUNTIF($AD$2:AD759,"Loss"))=0,0,COUNTIF($AD$2:AD759,"Win")/(COUNTIF($AD$2:AD759,"Win")+COUNTIF($AD$2:AD759,"Loss")))</f>
        <v/>
      </c>
      <c r="AF759" s="6">
        <f>SUM($Y$2:Y759)/SUM($X$2:X759)</f>
        <v/>
      </c>
      <c r="AG759" s="5">
        <f>SUM($Y$2:Y759)</f>
        <v/>
      </c>
      <c r="AH759" s="7">
        <f>10000.0+SUM($AA$2:AA759)</f>
        <v/>
      </c>
      <c r="AI759" s="2" t="n">
        <v>2026</v>
      </c>
      <c r="AJ759" s="2" t="inlineStr">
        <is>
          <t>2026-05</t>
        </is>
      </c>
      <c r="AK759" s="2" t="inlineStr">
        <is>
          <t>+121 to +150</t>
        </is>
      </c>
      <c r="AL759" s="2" t="inlineStr">
        <is>
          <t>2026 Frozen Test</t>
        </is>
      </c>
      <c r="AM759" s="6" t="n">
        <v>0.1018290602657833</v>
      </c>
    </row>
    <row r="760">
      <c r="A760" s="2" t="inlineStr">
        <is>
          <t>KPROP-00759</t>
        </is>
      </c>
      <c r="B760" s="3" t="n">
        <v>46153.79556712963</v>
      </c>
      <c r="C760" s="3" t="n">
        <v>46153</v>
      </c>
      <c r="D760" s="2" t="inlineStr">
        <is>
          <t>Kevin Gausman</t>
        </is>
      </c>
      <c r="E760" s="2" t="n">
        <v>141</v>
      </c>
      <c r="F760" s="2" t="n">
        <v>139</v>
      </c>
      <c r="G760" s="2" t="inlineStr">
        <is>
          <t>Home</t>
        </is>
      </c>
      <c r="H760" s="2" t="inlineStr">
        <is>
          <t>betmgm</t>
        </is>
      </c>
      <c r="I760" s="4" t="n"/>
      <c r="J760" s="4" t="n"/>
      <c r="K760" s="4" t="n">
        <v>-160</v>
      </c>
      <c r="L760" s="4" t="n">
        <v>-160</v>
      </c>
      <c r="M760" s="5" t="n">
        <v>5.5</v>
      </c>
      <c r="N760" s="5" t="n">
        <v>4.693757684829724</v>
      </c>
      <c r="O760" s="5" t="n">
        <v>5.5</v>
      </c>
      <c r="P760" s="5" t="n">
        <v>0.8062423151702758</v>
      </c>
      <c r="Q760" s="6" t="n">
        <v>0.08797547189919358</v>
      </c>
      <c r="R760" s="6" t="n">
        <v>0.6695233673225807</v>
      </c>
      <c r="S760" s="6" t="n">
        <v>0.5942571785268415</v>
      </c>
      <c r="T760" s="2" t="inlineStr">
        <is>
          <t>Under</t>
        </is>
      </c>
      <c r="U760" s="4" t="n">
        <v>-160</v>
      </c>
      <c r="V760" s="2" t="n">
        <v>1.625</v>
      </c>
      <c r="W760" s="4" t="n">
        <v>-160</v>
      </c>
      <c r="X760" s="2" t="n">
        <v>1</v>
      </c>
      <c r="Y760" s="5" t="n">
        <v>0.625</v>
      </c>
      <c r="Z760" s="7" t="n">
        <v>100</v>
      </c>
      <c r="AA760" s="7">
        <f>Y760*Z760</f>
        <v/>
      </c>
      <c r="AB760" s="6">
        <f>IF(Z760=0,0,AA760/Z760)</f>
        <v/>
      </c>
      <c r="AC760" s="6" t="n"/>
      <c r="AD760" s="2" t="inlineStr">
        <is>
          <t>Win</t>
        </is>
      </c>
      <c r="AE760" s="6">
        <f>IF((COUNTIF($AD$2:AD760,"Win")+COUNTIF($AD$2:AD760,"Loss"))=0,0,COUNTIF($AD$2:AD760,"Win")/(COUNTIF($AD$2:AD760,"Win")+COUNTIF($AD$2:AD760,"Loss")))</f>
        <v/>
      </c>
      <c r="AF760" s="6">
        <f>SUM($Y$2:Y760)/SUM($X$2:X760)</f>
        <v/>
      </c>
      <c r="AG760" s="5">
        <f>SUM($Y$2:Y760)</f>
        <v/>
      </c>
      <c r="AH760" s="7">
        <f>10000.0+SUM($AA$2:AA760)</f>
        <v/>
      </c>
      <c r="AI760" s="2" t="n">
        <v>2026</v>
      </c>
      <c r="AJ760" s="2" t="inlineStr">
        <is>
          <t>2026-05</t>
        </is>
      </c>
      <c r="AK760" s="2" t="inlineStr">
        <is>
          <t>&lt;= -150</t>
        </is>
      </c>
      <c r="AL760" s="2" t="inlineStr">
        <is>
          <t>2026 Frozen Test</t>
        </is>
      </c>
      <c r="AM760" s="6" t="n">
        <v>0.1407607550387097</v>
      </c>
    </row>
    <row r="761">
      <c r="A761" s="2" t="inlineStr">
        <is>
          <t>KPROP-00760</t>
        </is>
      </c>
      <c r="B761" s="3" t="n">
        <v>46154.77820601852</v>
      </c>
      <c r="C761" s="3" t="n">
        <v>46154</v>
      </c>
      <c r="D761" s="2" t="inlineStr">
        <is>
          <t>Brady Singer</t>
        </is>
      </c>
      <c r="E761" s="2" t="n">
        <v>113</v>
      </c>
      <c r="F761" s="2" t="n">
        <v>120</v>
      </c>
      <c r="G761" s="2" t="inlineStr">
        <is>
          <t>Home</t>
        </is>
      </c>
      <c r="H761" s="2" t="inlineStr">
        <is>
          <t>betmgm</t>
        </is>
      </c>
      <c r="I761" s="4" t="n"/>
      <c r="J761" s="4" t="n"/>
      <c r="K761" s="4" t="n">
        <v>-105</v>
      </c>
      <c r="L761" s="4" t="n">
        <v>-105</v>
      </c>
      <c r="M761" s="5" t="n">
        <v>4.5</v>
      </c>
      <c r="N761" s="5" t="n">
        <v>3.790507659525404</v>
      </c>
      <c r="O761" s="5" t="n">
        <v>4.5</v>
      </c>
      <c r="P761" s="5" t="n">
        <v>0.7094923404745956</v>
      </c>
      <c r="Q761" s="6" t="n">
        <v>0.3074861959152786</v>
      </c>
      <c r="R761" s="6" t="n">
        <v>0.6696880515663622</v>
      </c>
      <c r="S761" s="6" t="n">
        <v>0.5</v>
      </c>
      <c r="T761" s="2" t="inlineStr">
        <is>
          <t>Under</t>
        </is>
      </c>
      <c r="U761" s="4" t="n">
        <v>-105</v>
      </c>
      <c r="V761" s="2" t="n">
        <v>1.952380952380952</v>
      </c>
      <c r="W761" s="4" t="n">
        <v>-105</v>
      </c>
      <c r="X761" s="2" t="n">
        <v>1</v>
      </c>
      <c r="Y761" s="5" t="n">
        <v>0.9523809523809523</v>
      </c>
      <c r="Z761" s="7" t="n">
        <v>100</v>
      </c>
      <c r="AA761" s="7">
        <f>Y761*Z761</f>
        <v/>
      </c>
      <c r="AB761" s="6">
        <f>IF(Z761=0,0,AA761/Z761)</f>
        <v/>
      </c>
      <c r="AC761" s="6" t="n"/>
      <c r="AD761" s="2" t="inlineStr">
        <is>
          <t>Win</t>
        </is>
      </c>
      <c r="AE761" s="6">
        <f>IF((COUNTIF($AD$2:AD761,"Win")+COUNTIF($AD$2:AD761,"Loss"))=0,0,COUNTIF($AD$2:AD761,"Win")/(COUNTIF($AD$2:AD761,"Win")+COUNTIF($AD$2:AD761,"Loss")))</f>
        <v/>
      </c>
      <c r="AF761" s="6">
        <f>SUM($Y$2:Y761)/SUM($X$2:X761)</f>
        <v/>
      </c>
      <c r="AG761" s="5">
        <f>SUM($Y$2:Y761)</f>
        <v/>
      </c>
      <c r="AH761" s="7">
        <f>10000.0+SUM($AA$2:AA761)</f>
        <v/>
      </c>
      <c r="AI761" s="2" t="n">
        <v>2026</v>
      </c>
      <c r="AJ761" s="2" t="inlineStr">
        <is>
          <t>2026-05</t>
        </is>
      </c>
      <c r="AK761" s="2" t="inlineStr">
        <is>
          <t>-119 to -101</t>
        </is>
      </c>
      <c r="AL761" s="2" t="inlineStr">
        <is>
          <t>2026 Frozen Test</t>
        </is>
      </c>
      <c r="AM761" s="6" t="n">
        <v>0.3228605057110425</v>
      </c>
    </row>
    <row r="762">
      <c r="A762" s="2" t="inlineStr">
        <is>
          <t>KPROP-00761</t>
        </is>
      </c>
      <c r="B762" s="3" t="n">
        <v>46154.79903935185</v>
      </c>
      <c r="C762" s="3" t="n">
        <v>46154</v>
      </c>
      <c r="D762" s="2" t="inlineStr">
        <is>
          <t>Jack Flaherty</t>
        </is>
      </c>
      <c r="E762" s="2" t="n">
        <v>116</v>
      </c>
      <c r="F762" s="2" t="n">
        <v>121</v>
      </c>
      <c r="G762" s="2" t="inlineStr">
        <is>
          <t>Away</t>
        </is>
      </c>
      <c r="H762" s="2" t="inlineStr">
        <is>
          <t>draftkings</t>
        </is>
      </c>
      <c r="I762" s="4" t="n"/>
      <c r="J762" s="4" t="n"/>
      <c r="K762" s="4" t="n">
        <v>-104</v>
      </c>
      <c r="L762" s="4" t="n">
        <v>-104</v>
      </c>
      <c r="M762" s="5" t="n">
        <v>5.5</v>
      </c>
      <c r="N762" s="5" t="n">
        <v>5.116242485859913</v>
      </c>
      <c r="O762" s="5" t="n">
        <v>5.5</v>
      </c>
      <c r="P762" s="5" t="n">
        <v>0.3837575141400871</v>
      </c>
      <c r="Q762" s="6" t="n">
        <v>0.1682392864206408</v>
      </c>
      <c r="R762" s="6" t="n">
        <v>0.5955729695477776</v>
      </c>
      <c r="S762" s="6" t="n">
        <v>0.4879965080750763</v>
      </c>
      <c r="T762" s="2" t="inlineStr">
        <is>
          <t>Under</t>
        </is>
      </c>
      <c r="U762" s="4" t="n">
        <v>-104</v>
      </c>
      <c r="V762" s="2" t="n">
        <v>1.961538461538462</v>
      </c>
      <c r="W762" s="4" t="n">
        <v>-104</v>
      </c>
      <c r="X762" s="2" t="n">
        <v>1</v>
      </c>
      <c r="Y762" s="5" t="n">
        <v>0.9615384615384617</v>
      </c>
      <c r="Z762" s="7" t="n">
        <v>100</v>
      </c>
      <c r="AA762" s="7">
        <f>Y762*Z762</f>
        <v/>
      </c>
      <c r="AB762" s="6">
        <f>IF(Z762=0,0,AA762/Z762)</f>
        <v/>
      </c>
      <c r="AC762" s="6" t="n"/>
      <c r="AD762" s="2" t="inlineStr">
        <is>
          <t>Win</t>
        </is>
      </c>
      <c r="AE762" s="6">
        <f>IF((COUNTIF($AD$2:AD762,"Win")+COUNTIF($AD$2:AD762,"Loss"))=0,0,COUNTIF($AD$2:AD762,"Win")/(COUNTIF($AD$2:AD762,"Win")+COUNTIF($AD$2:AD762,"Loss")))</f>
        <v/>
      </c>
      <c r="AF762" s="6">
        <f>SUM($Y$2:Y762)/SUM($X$2:X762)</f>
        <v/>
      </c>
      <c r="AG762" s="5">
        <f>SUM($Y$2:Y762)</f>
        <v/>
      </c>
      <c r="AH762" s="7">
        <f>10000.0+SUM($AA$2:AA762)</f>
        <v/>
      </c>
      <c r="AI762" s="2" t="n">
        <v>2026</v>
      </c>
      <c r="AJ762" s="2" t="inlineStr">
        <is>
          <t>2026-05</t>
        </is>
      </c>
      <c r="AK762" s="2" t="inlineStr">
        <is>
          <t>-119 to -101</t>
        </is>
      </c>
      <c r="AL762" s="2" t="inlineStr">
        <is>
          <t>2026 Frozen Test</t>
        </is>
      </c>
      <c r="AM762" s="6" t="n">
        <v>0.1749688578774664</v>
      </c>
    </row>
    <row r="763">
      <c r="A763" s="2" t="inlineStr">
        <is>
          <t>KPROP-00762</t>
        </is>
      </c>
      <c r="B763" s="3" t="n">
        <v>46154.77820601852</v>
      </c>
      <c r="C763" s="3" t="n">
        <v>46154</v>
      </c>
      <c r="D763" s="2" t="inlineStr">
        <is>
          <t>Paul Skenes</t>
        </is>
      </c>
      <c r="E763" s="2" t="n">
        <v>134</v>
      </c>
      <c r="F763" s="2" t="n">
        <v>115</v>
      </c>
      <c r="G763" s="2" t="inlineStr">
        <is>
          <t>Home</t>
        </is>
      </c>
      <c r="H763" s="2" t="inlineStr">
        <is>
          <t>draftkings</t>
        </is>
      </c>
      <c r="I763" s="4" t="n"/>
      <c r="J763" s="4" t="n"/>
      <c r="K763" s="4" t="n">
        <v>-107</v>
      </c>
      <c r="L763" s="4" t="n">
        <v>-107</v>
      </c>
      <c r="M763" s="5" t="n">
        <v>7.5</v>
      </c>
      <c r="N763" s="5" t="n">
        <v>6.718306429515853</v>
      </c>
      <c r="O763" s="5" t="n">
        <v>7.5</v>
      </c>
      <c r="P763" s="5" t="n">
        <v>0.7816935704841468</v>
      </c>
      <c r="Q763" s="6" t="n">
        <v>0.2393035169473944</v>
      </c>
      <c r="R763" s="6" t="n">
        <v>0.6406061657650782</v>
      </c>
      <c r="S763" s="6" t="n">
        <v>0.4977741174375641</v>
      </c>
      <c r="T763" s="2" t="inlineStr">
        <is>
          <t>Under</t>
        </is>
      </c>
      <c r="U763" s="4" t="n">
        <v>-107</v>
      </c>
      <c r="V763" s="2" t="n">
        <v>1.934579439252337</v>
      </c>
      <c r="W763" s="4" t="n">
        <v>-107</v>
      </c>
      <c r="X763" s="2" t="n">
        <v>1</v>
      </c>
      <c r="Y763" s="5" t="n">
        <v>-1</v>
      </c>
      <c r="Z763" s="7" t="n">
        <v>100</v>
      </c>
      <c r="AA763" s="7">
        <f>Y763*Z763</f>
        <v/>
      </c>
      <c r="AB763" s="6">
        <f>IF(Z763=0,0,AA763/Z763)</f>
        <v/>
      </c>
      <c r="AC763" s="6" t="n"/>
      <c r="AD763" s="2" t="inlineStr">
        <is>
          <t>Loss</t>
        </is>
      </c>
      <c r="AE763" s="6">
        <f>IF((COUNTIF($AD$2:AD763,"Win")+COUNTIF($AD$2:AD763,"Loss"))=0,0,COUNTIF($AD$2:AD763,"Win")/(COUNTIF($AD$2:AD763,"Win")+COUNTIF($AD$2:AD763,"Loss")))</f>
        <v/>
      </c>
      <c r="AF763" s="6">
        <f>SUM($Y$2:Y763)/SUM($X$2:X763)</f>
        <v/>
      </c>
      <c r="AG763" s="5">
        <f>SUM($Y$2:Y763)</f>
        <v/>
      </c>
      <c r="AH763" s="7">
        <f>10000.0+SUM($AA$2:AA763)</f>
        <v/>
      </c>
      <c r="AI763" s="2" t="n">
        <v>2026</v>
      </c>
      <c r="AJ763" s="2" t="inlineStr">
        <is>
          <t>2026-05</t>
        </is>
      </c>
      <c r="AK763" s="2" t="inlineStr">
        <is>
          <t>-119 to -101</t>
        </is>
      </c>
      <c r="AL763" s="2" t="inlineStr">
        <is>
          <t>2026 Frozen Test</t>
        </is>
      </c>
      <c r="AM763" s="6" t="n">
        <v>0.2560547631337119</v>
      </c>
    </row>
    <row r="764">
      <c r="A764" s="2" t="inlineStr">
        <is>
          <t>KPROP-00763</t>
        </is>
      </c>
      <c r="B764" s="3" t="n">
        <v>46155.79903935185</v>
      </c>
      <c r="C764" s="3" t="n">
        <v>46155</v>
      </c>
      <c r="D764" s="2" t="inlineStr">
        <is>
          <t>Christian Scott</t>
        </is>
      </c>
      <c r="E764" s="2" t="n">
        <v>121</v>
      </c>
      <c r="F764" s="2" t="n">
        <v>116</v>
      </c>
      <c r="G764" s="2" t="inlineStr">
        <is>
          <t>Home</t>
        </is>
      </c>
      <c r="H764" s="2" t="inlineStr">
        <is>
          <t>betrivers</t>
        </is>
      </c>
      <c r="I764" s="4" t="n"/>
      <c r="J764" s="4" t="n"/>
      <c r="K764" s="4" t="n">
        <v>120</v>
      </c>
      <c r="L764" s="4" t="n">
        <v>120</v>
      </c>
      <c r="M764" s="5" t="n">
        <v>4.5</v>
      </c>
      <c r="N764" s="5" t="n">
        <v>4.367256477410446</v>
      </c>
      <c r="O764" s="5" t="n">
        <v>4.5</v>
      </c>
      <c r="P764" s="5" t="n">
        <v>0.1327435225895544</v>
      </c>
      <c r="Q764" s="6" t="n">
        <v>0.2264362920857379</v>
      </c>
      <c r="R764" s="6" t="n">
        <v>0.5574710418571536</v>
      </c>
      <c r="S764" s="6" t="n">
        <v>0.444104134762634</v>
      </c>
      <c r="T764" s="2" t="inlineStr">
        <is>
          <t>Under</t>
        </is>
      </c>
      <c r="U764" s="4" t="n">
        <v>120</v>
      </c>
      <c r="V764" s="2" t="n">
        <v>2.2</v>
      </c>
      <c r="W764" s="4" t="n">
        <v>120</v>
      </c>
      <c r="X764" s="2" t="n">
        <v>1</v>
      </c>
      <c r="Y764" s="5" t="n">
        <v>-1</v>
      </c>
      <c r="Z764" s="7" t="n">
        <v>100</v>
      </c>
      <c r="AA764" s="7">
        <f>Y764*Z764</f>
        <v/>
      </c>
      <c r="AB764" s="6">
        <f>IF(Z764=0,0,AA764/Z764)</f>
        <v/>
      </c>
      <c r="AC764" s="6" t="n"/>
      <c r="AD764" s="2" t="inlineStr">
        <is>
          <t>Loss</t>
        </is>
      </c>
      <c r="AE764" s="6">
        <f>IF((COUNTIF($AD$2:AD764,"Win")+COUNTIF($AD$2:AD764,"Loss"))=0,0,COUNTIF($AD$2:AD764,"Win")/(COUNTIF($AD$2:AD764,"Win")+COUNTIF($AD$2:AD764,"Loss")))</f>
        <v/>
      </c>
      <c r="AF764" s="6">
        <f>SUM($Y$2:Y764)/SUM($X$2:X764)</f>
        <v/>
      </c>
      <c r="AG764" s="5">
        <f>SUM($Y$2:Y764)</f>
        <v/>
      </c>
      <c r="AH764" s="7">
        <f>10000.0+SUM($AA$2:AA764)</f>
        <v/>
      </c>
      <c r="AI764" s="2" t="n">
        <v>2026</v>
      </c>
      <c r="AJ764" s="2" t="inlineStr">
        <is>
          <t>2026-05</t>
        </is>
      </c>
      <c r="AK764" s="2" t="inlineStr">
        <is>
          <t>+100 to +120</t>
        </is>
      </c>
      <c r="AL764" s="2" t="inlineStr">
        <is>
          <t>2026 Frozen Test</t>
        </is>
      </c>
      <c r="AM764" s="6" t="n">
        <v>0.1886969100714482</v>
      </c>
    </row>
    <row r="765">
      <c r="A765" s="2" t="inlineStr">
        <is>
          <t>KPROP-00764</t>
        </is>
      </c>
      <c r="B765" s="3" t="n">
        <v>46155.79903935185</v>
      </c>
      <c r="C765" s="3" t="n">
        <v>46155</v>
      </c>
      <c r="D765" s="2" t="inlineStr">
        <is>
          <t>Christian Scott</t>
        </is>
      </c>
      <c r="E765" s="2" t="n">
        <v>121</v>
      </c>
      <c r="F765" s="2" t="n">
        <v>116</v>
      </c>
      <c r="G765" s="2" t="inlineStr">
        <is>
          <t>Home</t>
        </is>
      </c>
      <c r="H765" s="2" t="inlineStr">
        <is>
          <t>betrivers</t>
        </is>
      </c>
      <c r="I765" s="4" t="n"/>
      <c r="J765" s="4" t="n"/>
      <c r="K765" s="4" t="n">
        <v>-175</v>
      </c>
      <c r="L765" s="4" t="n">
        <v>-175</v>
      </c>
      <c r="M765" s="5" t="n">
        <v>5.5</v>
      </c>
      <c r="N765" s="5" t="n">
        <v>4.367256477410446</v>
      </c>
      <c r="O765" s="5" t="n">
        <v>5.5</v>
      </c>
      <c r="P765" s="5" t="n">
        <v>1.132743522589554</v>
      </c>
      <c r="Q765" s="6" t="n">
        <v>0.1399515110914663</v>
      </c>
      <c r="R765" s="6" t="n">
        <v>0.7254236888763876</v>
      </c>
      <c r="S765" s="6" t="n">
        <v>0.5919881305637983</v>
      </c>
      <c r="T765" s="2" t="inlineStr">
        <is>
          <t>Under</t>
        </is>
      </c>
      <c r="U765" s="4" t="n">
        <v>-175</v>
      </c>
      <c r="V765" s="2" t="n">
        <v>1.571428571428571</v>
      </c>
      <c r="W765" s="4" t="n">
        <v>-175</v>
      </c>
      <c r="X765" s="2" t="n">
        <v>1</v>
      </c>
      <c r="Y765" s="5" t="n">
        <v>0.5714285714285714</v>
      </c>
      <c r="Z765" s="7" t="n">
        <v>100</v>
      </c>
      <c r="AA765" s="7">
        <f>Y765*Z765</f>
        <v/>
      </c>
      <c r="AB765" s="6">
        <f>IF(Z765=0,0,AA765/Z765)</f>
        <v/>
      </c>
      <c r="AC765" s="6" t="n"/>
      <c r="AD765" s="2" t="inlineStr">
        <is>
          <t>Win</t>
        </is>
      </c>
      <c r="AE765" s="6">
        <f>IF((COUNTIF($AD$2:AD765,"Win")+COUNTIF($AD$2:AD765,"Loss"))=0,0,COUNTIF($AD$2:AD765,"Win")/(COUNTIF($AD$2:AD765,"Win")+COUNTIF($AD$2:AD765,"Loss")))</f>
        <v/>
      </c>
      <c r="AF765" s="6">
        <f>SUM($Y$2:Y765)/SUM($X$2:X765)</f>
        <v/>
      </c>
      <c r="AG765" s="5">
        <f>SUM($Y$2:Y765)</f>
        <v/>
      </c>
      <c r="AH765" s="7">
        <f>10000.0+SUM($AA$2:AA765)</f>
        <v/>
      </c>
      <c r="AI765" s="2" t="n">
        <v>2026</v>
      </c>
      <c r="AJ765" s="2" t="inlineStr">
        <is>
          <t>2026-05</t>
        </is>
      </c>
      <c r="AK765" s="2" t="inlineStr">
        <is>
          <t>&lt;= -150</t>
        </is>
      </c>
      <c r="AL765" s="2" t="inlineStr">
        <is>
          <t>2026 Frozen Test</t>
        </is>
      </c>
      <c r="AM765" s="6" t="n">
        <v>0.244915144410066</v>
      </c>
    </row>
    <row r="766">
      <c r="A766" s="2" t="inlineStr">
        <is>
          <t>KPROP-00765</t>
        </is>
      </c>
      <c r="B766" s="3" t="n">
        <v>46155.79903935185</v>
      </c>
      <c r="C766" s="3" t="n">
        <v>46155</v>
      </c>
      <c r="D766" s="2" t="inlineStr">
        <is>
          <t>Framber Valdez</t>
        </is>
      </c>
      <c r="E766" s="2" t="n">
        <v>116</v>
      </c>
      <c r="F766" s="2" t="n">
        <v>121</v>
      </c>
      <c r="G766" s="2" t="inlineStr">
        <is>
          <t>Away</t>
        </is>
      </c>
      <c r="H766" s="2" t="inlineStr">
        <is>
          <t>bovada</t>
        </is>
      </c>
      <c r="I766" s="4" t="n"/>
      <c r="J766" s="4" t="n"/>
      <c r="K766" s="4" t="n">
        <v>120</v>
      </c>
      <c r="L766" s="4" t="n">
        <v>120</v>
      </c>
      <c r="M766" s="5" t="n">
        <v>4.5</v>
      </c>
      <c r="N766" s="5" t="n">
        <v>4.630531839152912</v>
      </c>
      <c r="O766" s="5" t="n">
        <v>4.5</v>
      </c>
      <c r="P766" s="5" t="n">
        <v>-0.130531839152912</v>
      </c>
      <c r="Q766" s="6" t="n">
        <v>0.1165439723802073</v>
      </c>
      <c r="R766" s="6" t="n">
        <v>0.5075199874455487</v>
      </c>
      <c r="S766" s="6" t="n">
        <v>0.4365079365079365</v>
      </c>
      <c r="T766" s="2" t="inlineStr">
        <is>
          <t>Under</t>
        </is>
      </c>
      <c r="U766" s="4" t="n">
        <v>120</v>
      </c>
      <c r="V766" s="2" t="n">
        <v>2.2</v>
      </c>
      <c r="W766" s="4" t="n">
        <v>120</v>
      </c>
      <c r="X766" s="2" t="n">
        <v>1</v>
      </c>
      <c r="Y766" s="5" t="n">
        <v>-1</v>
      </c>
      <c r="Z766" s="7" t="n">
        <v>100</v>
      </c>
      <c r="AA766" s="7">
        <f>Y766*Z766</f>
        <v/>
      </c>
      <c r="AB766" s="6">
        <f>IF(Z766=0,0,AA766/Z766)</f>
        <v/>
      </c>
      <c r="AC766" s="6" t="n"/>
      <c r="AD766" s="2" t="inlineStr">
        <is>
          <t>Loss</t>
        </is>
      </c>
      <c r="AE766" s="6">
        <f>IF((COUNTIF($AD$2:AD766,"Win")+COUNTIF($AD$2:AD766,"Loss"))=0,0,COUNTIF($AD$2:AD766,"Win")/(COUNTIF($AD$2:AD766,"Win")+COUNTIF($AD$2:AD766,"Loss")))</f>
        <v/>
      </c>
      <c r="AF766" s="6">
        <f>SUM($Y$2:Y766)/SUM($X$2:X766)</f>
        <v/>
      </c>
      <c r="AG766" s="5">
        <f>SUM($Y$2:Y766)</f>
        <v/>
      </c>
      <c r="AH766" s="7">
        <f>10000.0+SUM($AA$2:AA766)</f>
        <v/>
      </c>
      <c r="AI766" s="2" t="n">
        <v>2026</v>
      </c>
      <c r="AJ766" s="2" t="inlineStr">
        <is>
          <t>2026-05</t>
        </is>
      </c>
      <c r="AK766" s="2" t="inlineStr">
        <is>
          <t>+100 to +120</t>
        </is>
      </c>
      <c r="AL766" s="2" t="inlineStr">
        <is>
          <t>2026 Frozen Test</t>
        </is>
      </c>
      <c r="AM766" s="6" t="n">
        <v>0.09711997698350608</v>
      </c>
    </row>
    <row r="767">
      <c r="A767" s="2" t="inlineStr">
        <is>
          <t>KPROP-00766</t>
        </is>
      </c>
      <c r="B767" s="3" t="n">
        <v>46155.79903935185</v>
      </c>
      <c r="C767" s="3" t="n">
        <v>46155</v>
      </c>
      <c r="D767" s="2" t="inlineStr">
        <is>
          <t>Framber Valdez</t>
        </is>
      </c>
      <c r="E767" s="2" t="n">
        <v>116</v>
      </c>
      <c r="F767" s="2" t="n">
        <v>121</v>
      </c>
      <c r="G767" s="2" t="inlineStr">
        <is>
          <t>Away</t>
        </is>
      </c>
      <c r="H767" s="2" t="inlineStr">
        <is>
          <t>betmgm</t>
        </is>
      </c>
      <c r="I767" s="4" t="n"/>
      <c r="J767" s="4" t="n"/>
      <c r="K767" s="4" t="n">
        <v>-145</v>
      </c>
      <c r="L767" s="4" t="n">
        <v>-145</v>
      </c>
      <c r="M767" s="5" t="n">
        <v>5.5</v>
      </c>
      <c r="N767" s="5" t="n">
        <v>4.630531839152912</v>
      </c>
      <c r="O767" s="5" t="n">
        <v>5.5</v>
      </c>
      <c r="P767" s="5" t="n">
        <v>0.869468160847088</v>
      </c>
      <c r="Q767" s="6" t="n">
        <v>0.149785295295671</v>
      </c>
      <c r="R767" s="6" t="n">
        <v>0.6804851747668257</v>
      </c>
      <c r="S767" s="6" t="n">
        <v>0.5898551937724953</v>
      </c>
      <c r="T767" s="2" t="inlineStr">
        <is>
          <t>Under</t>
        </is>
      </c>
      <c r="U767" s="4" t="n">
        <v>-145</v>
      </c>
      <c r="V767" s="2" t="n">
        <v>1.689655172413793</v>
      </c>
      <c r="W767" s="4" t="n">
        <v>-145</v>
      </c>
      <c r="X767" s="2" t="n">
        <v>1</v>
      </c>
      <c r="Y767" s="5" t="n">
        <v>-1</v>
      </c>
      <c r="Z767" s="7" t="n">
        <v>100</v>
      </c>
      <c r="AA767" s="7">
        <f>Y767*Z767</f>
        <v/>
      </c>
      <c r="AB767" s="6">
        <f>IF(Z767=0,0,AA767/Z767)</f>
        <v/>
      </c>
      <c r="AC767" s="6" t="n"/>
      <c r="AD767" s="2" t="inlineStr">
        <is>
          <t>Loss</t>
        </is>
      </c>
      <c r="AE767" s="6">
        <f>IF((COUNTIF($AD$2:AD767,"Win")+COUNTIF($AD$2:AD767,"Loss"))=0,0,COUNTIF($AD$2:AD767,"Win")/(COUNTIF($AD$2:AD767,"Win")+COUNTIF($AD$2:AD767,"Loss")))</f>
        <v/>
      </c>
      <c r="AF767" s="6">
        <f>SUM($Y$2:Y767)/SUM($X$2:X767)</f>
        <v/>
      </c>
      <c r="AG767" s="5">
        <f>SUM($Y$2:Y767)</f>
        <v/>
      </c>
      <c r="AH767" s="7">
        <f>10000.0+SUM($AA$2:AA767)</f>
        <v/>
      </c>
      <c r="AI767" s="2" t="n">
        <v>2026</v>
      </c>
      <c r="AJ767" s="2" t="inlineStr">
        <is>
          <t>2026-05</t>
        </is>
      </c>
      <c r="AK767" s="2" t="inlineStr">
        <is>
          <t>-149 to -120</t>
        </is>
      </c>
      <c r="AL767" s="2" t="inlineStr">
        <is>
          <t>2026 Frozen Test</t>
        </is>
      </c>
      <c r="AM767" s="6" t="n">
        <v>0.217188678178723</v>
      </c>
    </row>
    <row r="768">
      <c r="A768" s="2" t="inlineStr">
        <is>
          <t>KPROP-00767</t>
        </is>
      </c>
      <c r="B768" s="3" t="n">
        <v>46155.79557870371</v>
      </c>
      <c r="C768" s="3" t="n">
        <v>46155</v>
      </c>
      <c r="D768" s="2" t="inlineStr">
        <is>
          <t>Griffin Jax</t>
        </is>
      </c>
      <c r="E768" s="2" t="n">
        <v>139</v>
      </c>
      <c r="F768" s="2" t="n">
        <v>141</v>
      </c>
      <c r="G768" s="2" t="inlineStr">
        <is>
          <t>Away</t>
        </is>
      </c>
      <c r="H768" s="2" t="inlineStr">
        <is>
          <t>betmgm</t>
        </is>
      </c>
      <c r="I768" s="4" t="n"/>
      <c r="J768" s="4" t="n"/>
      <c r="K768" s="4" t="n">
        <v>120</v>
      </c>
      <c r="L768" s="4" t="n">
        <v>120</v>
      </c>
      <c r="M768" s="5" t="n">
        <v>3.5</v>
      </c>
      <c r="N768" s="5" t="n">
        <v>3.231904320829097</v>
      </c>
      <c r="O768" s="5" t="n">
        <v>3.5</v>
      </c>
      <c r="P768" s="5" t="n">
        <v>0.2680956791709033</v>
      </c>
      <c r="Q768" s="6" t="n">
        <v>0.3099344276343585</v>
      </c>
      <c r="R768" s="6" t="n">
        <v>0.5954247398337993</v>
      </c>
      <c r="S768" s="6" t="n">
        <v>0.4343971631205674</v>
      </c>
      <c r="T768" s="2" t="inlineStr">
        <is>
          <t>Under</t>
        </is>
      </c>
      <c r="U768" s="4" t="n">
        <v>120</v>
      </c>
      <c r="V768" s="2" t="n">
        <v>2.2</v>
      </c>
      <c r="W768" s="4" t="n">
        <v>120</v>
      </c>
      <c r="X768" s="2" t="n">
        <v>1</v>
      </c>
      <c r="Y768" s="5" t="n">
        <v>1.2</v>
      </c>
      <c r="Z768" s="7" t="n">
        <v>100</v>
      </c>
      <c r="AA768" s="7">
        <f>Y768*Z768</f>
        <v/>
      </c>
      <c r="AB768" s="6">
        <f>IF(Z768=0,0,AA768/Z768)</f>
        <v/>
      </c>
      <c r="AC768" s="6" t="n"/>
      <c r="AD768" s="2" t="inlineStr">
        <is>
          <t>Win</t>
        </is>
      </c>
      <c r="AE768" s="6">
        <f>IF((COUNTIF($AD$2:AD768,"Win")+COUNTIF($AD$2:AD768,"Loss"))=0,0,COUNTIF($AD$2:AD768,"Win")/(COUNTIF($AD$2:AD768,"Win")+COUNTIF($AD$2:AD768,"Loss")))</f>
        <v/>
      </c>
      <c r="AF768" s="6">
        <f>SUM($Y$2:Y768)/SUM($X$2:X768)</f>
        <v/>
      </c>
      <c r="AG768" s="5">
        <f>SUM($Y$2:Y768)</f>
        <v/>
      </c>
      <c r="AH768" s="7">
        <f>10000.0+SUM($AA$2:AA768)</f>
        <v/>
      </c>
      <c r="AI768" s="2" t="n">
        <v>2026</v>
      </c>
      <c r="AJ768" s="2" t="inlineStr">
        <is>
          <t>2026-05</t>
        </is>
      </c>
      <c r="AK768" s="2" t="inlineStr">
        <is>
          <t>+100 to +120</t>
        </is>
      </c>
      <c r="AL768" s="2" t="inlineStr">
        <is>
          <t>2026 Frozen Test</t>
        </is>
      </c>
      <c r="AM768" s="6" t="n">
        <v>0.2582786896952987</v>
      </c>
    </row>
    <row r="769">
      <c r="A769" s="2" t="inlineStr">
        <is>
          <t>KPROP-00768</t>
        </is>
      </c>
      <c r="B769" s="3" t="n">
        <v>46155.77820601852</v>
      </c>
      <c r="C769" s="3" t="n">
        <v>46155</v>
      </c>
      <c r="D769" s="2" t="inlineStr">
        <is>
          <t>Nick Lodolo</t>
        </is>
      </c>
      <c r="E769" s="2" t="n">
        <v>113</v>
      </c>
      <c r="F769" s="2" t="n">
        <v>120</v>
      </c>
      <c r="G769" s="2" t="inlineStr">
        <is>
          <t>Home</t>
        </is>
      </c>
      <c r="H769" s="2" t="inlineStr">
        <is>
          <t>betmgm</t>
        </is>
      </c>
      <c r="I769" s="4" t="n"/>
      <c r="J769" s="4" t="n"/>
      <c r="K769" s="4" t="n">
        <v>-120</v>
      </c>
      <c r="L769" s="4" t="n">
        <v>-120</v>
      </c>
      <c r="M769" s="5" t="n">
        <v>5.5</v>
      </c>
      <c r="N769" s="5" t="n">
        <v>4.99213256548958</v>
      </c>
      <c r="O769" s="5" t="n">
        <v>5.5</v>
      </c>
      <c r="P769" s="5" t="n">
        <v>0.5078674345104197</v>
      </c>
      <c r="Q769" s="6" t="n">
        <v>0.1317920717087664</v>
      </c>
      <c r="R769" s="6" t="n">
        <v>0.6173411300229634</v>
      </c>
      <c r="S769" s="6" t="n">
        <v>0.5242214532871973</v>
      </c>
      <c r="T769" s="2" t="inlineStr">
        <is>
          <t>Under</t>
        </is>
      </c>
      <c r="U769" s="4" t="n">
        <v>-120</v>
      </c>
      <c r="V769" s="2" t="n">
        <v>1.833333333333333</v>
      </c>
      <c r="W769" s="4" t="n">
        <v>-120</v>
      </c>
      <c r="X769" s="2" t="n">
        <v>1</v>
      </c>
      <c r="Y769" s="5" t="n">
        <v>-1</v>
      </c>
      <c r="Z769" s="7" t="n">
        <v>100</v>
      </c>
      <c r="AA769" s="7">
        <f>Y769*Z769</f>
        <v/>
      </c>
      <c r="AB769" s="6">
        <f>IF(Z769=0,0,AA769/Z769)</f>
        <v/>
      </c>
      <c r="AC769" s="6" t="n"/>
      <c r="AD769" s="2" t="inlineStr">
        <is>
          <t>Loss</t>
        </is>
      </c>
      <c r="AE769" s="6">
        <f>IF((COUNTIF($AD$2:AD769,"Win")+COUNTIF($AD$2:AD769,"Loss"))=0,0,COUNTIF($AD$2:AD769,"Win")/(COUNTIF($AD$2:AD769,"Win")+COUNTIF($AD$2:AD769,"Loss")))</f>
        <v/>
      </c>
      <c r="AF769" s="6">
        <f>SUM($Y$2:Y769)/SUM($X$2:X769)</f>
        <v/>
      </c>
      <c r="AG769" s="5">
        <f>SUM($Y$2:Y769)</f>
        <v/>
      </c>
      <c r="AH769" s="7">
        <f>10000.0+SUM($AA$2:AA769)</f>
        <v/>
      </c>
      <c r="AI769" s="2" t="n">
        <v>2026</v>
      </c>
      <c r="AJ769" s="2" t="inlineStr">
        <is>
          <t>2026-05</t>
        </is>
      </c>
      <c r="AK769" s="2" t="inlineStr">
        <is>
          <t>-149 to -120</t>
        </is>
      </c>
      <c r="AL769" s="2" t="inlineStr">
        <is>
          <t>2026 Frozen Test</t>
        </is>
      </c>
      <c r="AM769" s="6" t="n">
        <v>0.1581504860505197</v>
      </c>
    </row>
    <row r="770">
      <c r="A770" s="2" t="inlineStr">
        <is>
          <t>KPROP-00769</t>
        </is>
      </c>
      <c r="B770" s="3" t="n">
        <v>46155.81987268518</v>
      </c>
      <c r="C770" s="3" t="n">
        <v>46155</v>
      </c>
      <c r="D770" s="2" t="inlineStr">
        <is>
          <t>Seth Lugo</t>
        </is>
      </c>
      <c r="E770" s="2" t="n">
        <v>118</v>
      </c>
      <c r="F770" s="2" t="n">
        <v>145</v>
      </c>
      <c r="G770" s="2" t="inlineStr">
        <is>
          <t>Away</t>
        </is>
      </c>
      <c r="H770" s="2" t="inlineStr">
        <is>
          <t>betmgm</t>
        </is>
      </c>
      <c r="I770" s="4" t="n"/>
      <c r="J770" s="4" t="n"/>
      <c r="K770" s="4" t="n">
        <v>-125</v>
      </c>
      <c r="L770" s="4" t="n">
        <v>-125</v>
      </c>
      <c r="M770" s="5" t="n">
        <v>5.5</v>
      </c>
      <c r="N770" s="5" t="n">
        <v>5.067559218449289</v>
      </c>
      <c r="O770" s="5" t="n">
        <v>5.5</v>
      </c>
      <c r="P770" s="5" t="n">
        <v>0.432440781550711</v>
      </c>
      <c r="Q770" s="6" t="n">
        <v>0.08739441384448776</v>
      </c>
      <c r="R770" s="6" t="n">
        <v>0.6041080076913821</v>
      </c>
      <c r="S770" s="6" t="n">
        <v>0.5324675324675325</v>
      </c>
      <c r="T770" s="2" t="inlineStr">
        <is>
          <t>Under</t>
        </is>
      </c>
      <c r="U770" s="4" t="n">
        <v>-125</v>
      </c>
      <c r="V770" s="2" t="n">
        <v>1.8</v>
      </c>
      <c r="W770" s="4" t="n">
        <v>-125</v>
      </c>
      <c r="X770" s="2" t="n">
        <v>1</v>
      </c>
      <c r="Y770" s="5" t="n">
        <v>0.8</v>
      </c>
      <c r="Z770" s="7" t="n">
        <v>100</v>
      </c>
      <c r="AA770" s="7">
        <f>Y770*Z770</f>
        <v/>
      </c>
      <c r="AB770" s="6">
        <f>IF(Z770=0,0,AA770/Z770)</f>
        <v/>
      </c>
      <c r="AC770" s="6" t="n"/>
      <c r="AD770" s="2" t="inlineStr">
        <is>
          <t>Win</t>
        </is>
      </c>
      <c r="AE770" s="6">
        <f>IF((COUNTIF($AD$2:AD770,"Win")+COUNTIF($AD$2:AD770,"Loss"))=0,0,COUNTIF($AD$2:AD770,"Win")/(COUNTIF($AD$2:AD770,"Win")+COUNTIF($AD$2:AD770,"Loss")))</f>
        <v/>
      </c>
      <c r="AF770" s="6">
        <f>SUM($Y$2:Y770)/SUM($X$2:X770)</f>
        <v/>
      </c>
      <c r="AG770" s="5">
        <f>SUM($Y$2:Y770)</f>
        <v/>
      </c>
      <c r="AH770" s="7">
        <f>10000.0+SUM($AA$2:AA770)</f>
        <v/>
      </c>
      <c r="AI770" s="2" t="n">
        <v>2026</v>
      </c>
      <c r="AJ770" s="2" t="inlineStr">
        <is>
          <t>2026-05</t>
        </is>
      </c>
      <c r="AK770" s="2" t="inlineStr">
        <is>
          <t>-149 to -120</t>
        </is>
      </c>
      <c r="AL770" s="2" t="inlineStr">
        <is>
          <t>2026 Frozen Test</t>
        </is>
      </c>
      <c r="AM770" s="6" t="n">
        <v>0.1092430173056097</v>
      </c>
    </row>
    <row r="771">
      <c r="A771" s="2" t="inlineStr">
        <is>
          <t>KPROP-00770</t>
        </is>
      </c>
      <c r="B771" s="3" t="n">
        <v>46155.80251157407</v>
      </c>
      <c r="C771" s="3" t="n">
        <v>46155</v>
      </c>
      <c r="D771" s="2" t="inlineStr">
        <is>
          <t>Shota Imanaga</t>
        </is>
      </c>
      <c r="E771" s="2" t="n">
        <v>112</v>
      </c>
      <c r="F771" s="2" t="n">
        <v>144</v>
      </c>
      <c r="G771" s="2" t="inlineStr">
        <is>
          <t>Away</t>
        </is>
      </c>
      <c r="H771" s="2" t="inlineStr">
        <is>
          <t>mybookieag</t>
        </is>
      </c>
      <c r="I771" s="4" t="n"/>
      <c r="J771" s="4" t="n"/>
      <c r="K771" s="4" t="n">
        <v>-120</v>
      </c>
      <c r="L771" s="4" t="n">
        <v>-120</v>
      </c>
      <c r="M771" s="5" t="n">
        <v>5.5</v>
      </c>
      <c r="N771" s="5" t="n">
        <v>4.961917313969197</v>
      </c>
      <c r="O771" s="5" t="n">
        <v>5.5</v>
      </c>
      <c r="P771" s="5" t="n">
        <v>0.538082686030803</v>
      </c>
      <c r="Q771" s="6" t="n">
        <v>0.1415114320898639</v>
      </c>
      <c r="R771" s="6" t="n">
        <v>0.6226425993217439</v>
      </c>
      <c r="S771" s="6" t="n">
        <v>0.5303159692570453</v>
      </c>
      <c r="T771" s="2" t="inlineStr">
        <is>
          <t>Under</t>
        </is>
      </c>
      <c r="U771" s="4" t="n">
        <v>-120</v>
      </c>
      <c r="V771" s="2" t="n">
        <v>1.833333333333333</v>
      </c>
      <c r="W771" s="4" t="n">
        <v>-120</v>
      </c>
      <c r="X771" s="2" t="n">
        <v>1</v>
      </c>
      <c r="Y771" s="5" t="n">
        <v>-1</v>
      </c>
      <c r="Z771" s="7" t="n">
        <v>100</v>
      </c>
      <c r="AA771" s="7">
        <f>Y771*Z771</f>
        <v/>
      </c>
      <c r="AB771" s="6">
        <f>IF(Z771=0,0,AA771/Z771)</f>
        <v/>
      </c>
      <c r="AC771" s="6" t="n"/>
      <c r="AD771" s="2" t="inlineStr">
        <is>
          <t>Loss</t>
        </is>
      </c>
      <c r="AE771" s="6">
        <f>IF((COUNTIF($AD$2:AD771,"Win")+COUNTIF($AD$2:AD771,"Loss"))=0,0,COUNTIF($AD$2:AD771,"Win")/(COUNTIF($AD$2:AD771,"Win")+COUNTIF($AD$2:AD771,"Loss")))</f>
        <v/>
      </c>
      <c r="AF771" s="6">
        <f>SUM($Y$2:Y771)/SUM($X$2:X771)</f>
        <v/>
      </c>
      <c r="AG771" s="5">
        <f>SUM($Y$2:Y771)</f>
        <v/>
      </c>
      <c r="AH771" s="7">
        <f>10000.0+SUM($AA$2:AA771)</f>
        <v/>
      </c>
      <c r="AI771" s="2" t="n">
        <v>2026</v>
      </c>
      <c r="AJ771" s="2" t="inlineStr">
        <is>
          <t>2026-05</t>
        </is>
      </c>
      <c r="AK771" s="2" t="inlineStr">
        <is>
          <t>-149 to -120</t>
        </is>
      </c>
      <c r="AL771" s="2" t="inlineStr">
        <is>
          <t>2026 Frozen Test</t>
        </is>
      </c>
      <c r="AM771" s="6" t="n">
        <v>0.1698137185078367</v>
      </c>
    </row>
    <row r="772">
      <c r="A772" s="2" t="inlineStr">
        <is>
          <t>KPROP-00771</t>
        </is>
      </c>
      <c r="B772" s="3" t="n">
        <v>46156.52820601852</v>
      </c>
      <c r="C772" s="3" t="n">
        <v>46156</v>
      </c>
      <c r="D772" s="2" t="inlineStr">
        <is>
          <t>Chase Burns</t>
        </is>
      </c>
      <c r="E772" s="2" t="n">
        <v>113</v>
      </c>
      <c r="F772" s="2" t="n">
        <v>120</v>
      </c>
      <c r="G772" s="2" t="inlineStr">
        <is>
          <t>Home</t>
        </is>
      </c>
      <c r="H772" s="2" t="inlineStr">
        <is>
          <t>betmgm</t>
        </is>
      </c>
      <c r="I772" s="4" t="n"/>
      <c r="J772" s="4" t="n"/>
      <c r="K772" s="4" t="n">
        <v>120</v>
      </c>
      <c r="L772" s="4" t="n">
        <v>120</v>
      </c>
      <c r="M772" s="5" t="n">
        <v>6.5</v>
      </c>
      <c r="N772" s="5" t="n">
        <v>6.590826436067869</v>
      </c>
      <c r="O772" s="5" t="n">
        <v>6.5</v>
      </c>
      <c r="P772" s="5" t="n">
        <v>-0.09082643606786878</v>
      </c>
      <c r="Q772" s="6" t="n">
        <v>0.1269997594640518</v>
      </c>
      <c r="R772" s="6" t="n">
        <v>0.5122726179382053</v>
      </c>
      <c r="S772" s="6" t="n">
        <v>0.4474097331240188</v>
      </c>
      <c r="T772" s="2" t="inlineStr">
        <is>
          <t>Under</t>
        </is>
      </c>
      <c r="U772" s="4" t="n">
        <v>120</v>
      </c>
      <c r="V772" s="2" t="n">
        <v>2.2</v>
      </c>
      <c r="W772" s="4" t="n">
        <v>120</v>
      </c>
      <c r="X772" s="2" t="n">
        <v>1</v>
      </c>
      <c r="Y772" s="5" t="n">
        <v>-1</v>
      </c>
      <c r="Z772" s="7" t="n">
        <v>100</v>
      </c>
      <c r="AA772" s="7">
        <f>Y772*Z772</f>
        <v/>
      </c>
      <c r="AB772" s="6">
        <f>IF(Z772=0,0,AA772/Z772)</f>
        <v/>
      </c>
      <c r="AC772" s="6" t="n"/>
      <c r="AD772" s="2" t="inlineStr">
        <is>
          <t>Loss</t>
        </is>
      </c>
      <c r="AE772" s="6">
        <f>IF((COUNTIF($AD$2:AD772,"Win")+COUNTIF($AD$2:AD772,"Loss"))=0,0,COUNTIF($AD$2:AD772,"Win")/(COUNTIF($AD$2:AD772,"Win")+COUNTIF($AD$2:AD772,"Loss")))</f>
        <v/>
      </c>
      <c r="AF772" s="6">
        <f>SUM($Y$2:Y772)/SUM($X$2:X772)</f>
        <v/>
      </c>
      <c r="AG772" s="5">
        <f>SUM($Y$2:Y772)</f>
        <v/>
      </c>
      <c r="AH772" s="7">
        <f>10000.0+SUM($AA$2:AA772)</f>
        <v/>
      </c>
      <c r="AI772" s="2" t="n">
        <v>2026</v>
      </c>
      <c r="AJ772" s="2" t="inlineStr">
        <is>
          <t>2026-05</t>
        </is>
      </c>
      <c r="AK772" s="2" t="inlineStr">
        <is>
          <t>+100 to +120</t>
        </is>
      </c>
      <c r="AL772" s="2" t="inlineStr">
        <is>
          <t>2026 Frozen Test</t>
        </is>
      </c>
      <c r="AM772" s="6" t="n">
        <v>0.1058331328867099</v>
      </c>
    </row>
    <row r="773">
      <c r="A773" s="2" t="inlineStr">
        <is>
          <t>KPROP-00772</t>
        </is>
      </c>
      <c r="B773" s="3" t="n">
        <v>46156.80251157407</v>
      </c>
      <c r="C773" s="3" t="n">
        <v>46156</v>
      </c>
      <c r="D773" s="2" t="inlineStr">
        <is>
          <t>Chris Sale</t>
        </is>
      </c>
      <c r="E773" s="2" t="n">
        <v>144</v>
      </c>
      <c r="F773" s="2" t="n">
        <v>112</v>
      </c>
      <c r="G773" s="2" t="inlineStr">
        <is>
          <t>Home</t>
        </is>
      </c>
      <c r="H773" s="2" t="inlineStr">
        <is>
          <t>fanduel</t>
        </is>
      </c>
      <c r="I773" s="4" t="n"/>
      <c r="J773" s="4" t="n"/>
      <c r="K773" s="4" t="n">
        <v>126</v>
      </c>
      <c r="L773" s="4" t="n">
        <v>126</v>
      </c>
      <c r="M773" s="5" t="n">
        <v>6.5</v>
      </c>
      <c r="N773" s="5" t="n">
        <v>6.390976011000055</v>
      </c>
      <c r="O773" s="5" t="n">
        <v>6.5</v>
      </c>
      <c r="P773" s="5" t="n">
        <v>0.1090239889999447</v>
      </c>
      <c r="Q773" s="6" t="n">
        <v>0.2288983616648533</v>
      </c>
      <c r="R773" s="6" t="n">
        <v>0.5437603370198466</v>
      </c>
      <c r="S773" s="6" t="n">
        <v>0.4231595916174101</v>
      </c>
      <c r="T773" s="2" t="inlineStr">
        <is>
          <t>Under</t>
        </is>
      </c>
      <c r="U773" s="4" t="n">
        <v>126</v>
      </c>
      <c r="V773" s="2" t="n">
        <v>2.26</v>
      </c>
      <c r="W773" s="4" t="n">
        <v>126</v>
      </c>
      <c r="X773" s="2" t="n">
        <v>1</v>
      </c>
      <c r="Y773" s="5" t="n">
        <v>-1</v>
      </c>
      <c r="Z773" s="7" t="n">
        <v>100</v>
      </c>
      <c r="AA773" s="7">
        <f>Y773*Z773</f>
        <v/>
      </c>
      <c r="AB773" s="6">
        <f>IF(Z773=0,0,AA773/Z773)</f>
        <v/>
      </c>
      <c r="AC773" s="6" t="n"/>
      <c r="AD773" s="2" t="inlineStr">
        <is>
          <t>Loss</t>
        </is>
      </c>
      <c r="AE773" s="6">
        <f>IF((COUNTIF($AD$2:AD773,"Win")+COUNTIF($AD$2:AD773,"Loss"))=0,0,COUNTIF($AD$2:AD773,"Win")/(COUNTIF($AD$2:AD773,"Win")+COUNTIF($AD$2:AD773,"Loss")))</f>
        <v/>
      </c>
      <c r="AF773" s="6">
        <f>SUM($Y$2:Y773)/SUM($X$2:X773)</f>
        <v/>
      </c>
      <c r="AG773" s="5">
        <f>SUM($Y$2:Y773)</f>
        <v/>
      </c>
      <c r="AH773" s="7">
        <f>10000.0+SUM($AA$2:AA773)</f>
        <v/>
      </c>
      <c r="AI773" s="2" t="n">
        <v>2026</v>
      </c>
      <c r="AJ773" s="2" t="inlineStr">
        <is>
          <t>2026-05</t>
        </is>
      </c>
      <c r="AK773" s="2" t="inlineStr">
        <is>
          <t>+121 to +150</t>
        </is>
      </c>
      <c r="AL773" s="2" t="inlineStr">
        <is>
          <t>2026 Frozen Test</t>
        </is>
      </c>
      <c r="AM773" s="6" t="n">
        <v>0.1816653664006772</v>
      </c>
    </row>
    <row r="774">
      <c r="A774" s="2" t="inlineStr">
        <is>
          <t>KPROP-00773</t>
        </is>
      </c>
      <c r="B774" s="3" t="n">
        <v>46156.80251157407</v>
      </c>
      <c r="C774" s="3" t="n">
        <v>46156</v>
      </c>
      <c r="D774" s="2" t="inlineStr">
        <is>
          <t>Chris Sale</t>
        </is>
      </c>
      <c r="E774" s="2" t="n">
        <v>144</v>
      </c>
      <c r="F774" s="2" t="n">
        <v>112</v>
      </c>
      <c r="G774" s="2" t="inlineStr">
        <is>
          <t>Home</t>
        </is>
      </c>
      <c r="H774" s="2" t="inlineStr">
        <is>
          <t>betmgm</t>
        </is>
      </c>
      <c r="I774" s="4" t="n"/>
      <c r="J774" s="4" t="n"/>
      <c r="K774" s="4" t="n">
        <v>-155</v>
      </c>
      <c r="L774" s="4" t="n">
        <v>-155</v>
      </c>
      <c r="M774" s="5" t="n">
        <v>7.5</v>
      </c>
      <c r="N774" s="5" t="n">
        <v>6.390976011000055</v>
      </c>
      <c r="O774" s="5" t="n">
        <v>7.5</v>
      </c>
      <c r="P774" s="5" t="n">
        <v>1.109023988999945</v>
      </c>
      <c r="Q774" s="6" t="n">
        <v>0.1329056138475511</v>
      </c>
      <c r="R774" s="6" t="n">
        <v>0.688628902534786</v>
      </c>
      <c r="S774" s="6" t="n">
        <v>0.5850959973966807</v>
      </c>
      <c r="T774" s="2" t="inlineStr">
        <is>
          <t>Under</t>
        </is>
      </c>
      <c r="U774" s="4" t="n">
        <v>-155</v>
      </c>
      <c r="V774" s="2" t="n">
        <v>1.645161290322581</v>
      </c>
      <c r="W774" s="4" t="n">
        <v>-155</v>
      </c>
      <c r="X774" s="2" t="n">
        <v>1</v>
      </c>
      <c r="Y774" s="5" t="n">
        <v>-1</v>
      </c>
      <c r="Z774" s="7" t="n">
        <v>100</v>
      </c>
      <c r="AA774" s="7">
        <f>Y774*Z774</f>
        <v/>
      </c>
      <c r="AB774" s="6">
        <f>IF(Z774=0,0,AA774/Z774)</f>
        <v/>
      </c>
      <c r="AC774" s="6" t="n"/>
      <c r="AD774" s="2" t="inlineStr">
        <is>
          <t>Loss</t>
        </is>
      </c>
      <c r="AE774" s="6">
        <f>IF((COUNTIF($AD$2:AD774,"Win")+COUNTIF($AD$2:AD774,"Loss"))=0,0,COUNTIF($AD$2:AD774,"Win")/(COUNTIF($AD$2:AD774,"Win")+COUNTIF($AD$2:AD774,"Loss")))</f>
        <v/>
      </c>
      <c r="AF774" s="6">
        <f>SUM($Y$2:Y774)/SUM($X$2:X774)</f>
        <v/>
      </c>
      <c r="AG774" s="5">
        <f>SUM($Y$2:Y774)</f>
        <v/>
      </c>
      <c r="AH774" s="7">
        <f>10000.0+SUM($AA$2:AA774)</f>
        <v/>
      </c>
      <c r="AI774" s="2" t="n">
        <v>2026</v>
      </c>
      <c r="AJ774" s="2" t="inlineStr">
        <is>
          <t>2026-05</t>
        </is>
      </c>
      <c r="AK774" s="2" t="inlineStr">
        <is>
          <t>&lt;= -150</t>
        </is>
      </c>
      <c r="AL774" s="2" t="inlineStr">
        <is>
          <t>2026 Frozen Test</t>
        </is>
      </c>
      <c r="AM774" s="6" t="n">
        <v>0.2060037014637043</v>
      </c>
    </row>
    <row r="775">
      <c r="A775" s="2" t="inlineStr">
        <is>
          <t>KPROP-00774</t>
        </is>
      </c>
      <c r="B775" s="3" t="n">
        <v>46156.56987268518</v>
      </c>
      <c r="C775" s="3" t="n">
        <v>46156</v>
      </c>
      <c r="D775" s="2" t="inlineStr">
        <is>
          <t>Griffin Canning</t>
        </is>
      </c>
      <c r="E775" s="2" t="n">
        <v>135</v>
      </c>
      <c r="F775" s="2" t="n">
        <v>158</v>
      </c>
      <c r="G775" s="2" t="inlineStr">
        <is>
          <t>Away</t>
        </is>
      </c>
      <c r="H775" s="2" t="inlineStr">
        <is>
          <t>betmgm</t>
        </is>
      </c>
      <c r="I775" s="4" t="n"/>
      <c r="J775" s="4" t="n"/>
      <c r="K775" s="4" t="n">
        <v>-125</v>
      </c>
      <c r="L775" s="4" t="n">
        <v>-125</v>
      </c>
      <c r="M775" s="5" t="n">
        <v>4.5</v>
      </c>
      <c r="N775" s="5" t="n">
        <v>4.129814804031613</v>
      </c>
      <c r="O775" s="5" t="n">
        <v>4.5</v>
      </c>
      <c r="P775" s="5" t="n">
        <v>0.3701851959683866</v>
      </c>
      <c r="Q775" s="6" t="n">
        <v>0.08628729914289324</v>
      </c>
      <c r="R775" s="6" t="n">
        <v>0.603492943968274</v>
      </c>
      <c r="S775" s="6" t="n">
        <v>0.5372750642673522</v>
      </c>
      <c r="T775" s="2" t="inlineStr">
        <is>
          <t>Under</t>
        </is>
      </c>
      <c r="U775" s="4" t="n">
        <v>-125</v>
      </c>
      <c r="V775" s="2" t="n">
        <v>1.8</v>
      </c>
      <c r="W775" s="4" t="n">
        <v>-125</v>
      </c>
      <c r="X775" s="2" t="n">
        <v>1</v>
      </c>
      <c r="Y775" s="5" t="n">
        <v>0.8</v>
      </c>
      <c r="Z775" s="7" t="n">
        <v>100</v>
      </c>
      <c r="AA775" s="7">
        <f>Y775*Z775</f>
        <v/>
      </c>
      <c r="AB775" s="6">
        <f>IF(Z775=0,0,AA775/Z775)</f>
        <v/>
      </c>
      <c r="AC775" s="6" t="n"/>
      <c r="AD775" s="2" t="inlineStr">
        <is>
          <t>Win</t>
        </is>
      </c>
      <c r="AE775" s="6">
        <f>IF((COUNTIF($AD$2:AD775,"Win")+COUNTIF($AD$2:AD775,"Loss"))=0,0,COUNTIF($AD$2:AD775,"Win")/(COUNTIF($AD$2:AD775,"Win")+COUNTIF($AD$2:AD775,"Loss")))</f>
        <v/>
      </c>
      <c r="AF775" s="6">
        <f>SUM($Y$2:Y775)/SUM($X$2:X775)</f>
        <v/>
      </c>
      <c r="AG775" s="5">
        <f>SUM($Y$2:Y775)</f>
        <v/>
      </c>
      <c r="AH775" s="7">
        <f>10000.0+SUM($AA$2:AA775)</f>
        <v/>
      </c>
      <c r="AI775" s="2" t="n">
        <v>2026</v>
      </c>
      <c r="AJ775" s="2" t="inlineStr">
        <is>
          <t>2026-05</t>
        </is>
      </c>
      <c r="AK775" s="2" t="inlineStr">
        <is>
          <t>-149 to -120</t>
        </is>
      </c>
      <c r="AL775" s="2" t="inlineStr">
        <is>
          <t>2026 Frozen Test</t>
        </is>
      </c>
      <c r="AM775" s="6" t="n">
        <v>0.1078591239286165</v>
      </c>
    </row>
    <row r="776">
      <c r="A776" s="2" t="inlineStr">
        <is>
          <t>KPROP-00775</t>
        </is>
      </c>
      <c r="B776" s="3" t="n">
        <v>46156.62891203703</v>
      </c>
      <c r="C776" s="3" t="n">
        <v>46156</v>
      </c>
      <c r="D776" s="2" t="inlineStr">
        <is>
          <t>Jacob Lopez</t>
        </is>
      </c>
      <c r="E776" s="2" t="n">
        <v>133</v>
      </c>
      <c r="F776" s="2" t="n">
        <v>138</v>
      </c>
      <c r="G776" s="2" t="inlineStr">
        <is>
          <t>Home</t>
        </is>
      </c>
      <c r="H776" s="2" t="inlineStr">
        <is>
          <t>betonlineag</t>
        </is>
      </c>
      <c r="I776" s="4" t="n"/>
      <c r="J776" s="4" t="n"/>
      <c r="K776" s="4" t="n">
        <v>110</v>
      </c>
      <c r="L776" s="4" t="n">
        <v>110</v>
      </c>
      <c r="M776" s="5" t="n">
        <v>4.5</v>
      </c>
      <c r="N776" s="5" t="n">
        <v>4.038143918917768</v>
      </c>
      <c r="O776" s="5" t="n">
        <v>4.5</v>
      </c>
      <c r="P776" s="5" t="n">
        <v>0.4618560810822316</v>
      </c>
      <c r="Q776" s="6" t="n">
        <v>0.3049091905603699</v>
      </c>
      <c r="R776" s="6" t="n">
        <v>0.6213853288382714</v>
      </c>
      <c r="S776" s="6" t="n">
        <v>0.468012022327179</v>
      </c>
      <c r="T776" s="2" t="inlineStr">
        <is>
          <t>Under</t>
        </is>
      </c>
      <c r="U776" s="4" t="n">
        <v>110</v>
      </c>
      <c r="V776" s="2" t="n">
        <v>2.1</v>
      </c>
      <c r="W776" s="4" t="n">
        <v>110</v>
      </c>
      <c r="X776" s="2" t="n">
        <v>1</v>
      </c>
      <c r="Y776" s="5" t="n">
        <v>1.1</v>
      </c>
      <c r="Z776" s="7" t="n">
        <v>100</v>
      </c>
      <c r="AA776" s="7">
        <f>Y776*Z776</f>
        <v/>
      </c>
      <c r="AB776" s="6">
        <f>IF(Z776=0,0,AA776/Z776)</f>
        <v/>
      </c>
      <c r="AC776" s="6" t="n"/>
      <c r="AD776" s="2" t="inlineStr">
        <is>
          <t>Win</t>
        </is>
      </c>
      <c r="AE776" s="6">
        <f>IF((COUNTIF($AD$2:AD776,"Win")+COUNTIF($AD$2:AD776,"Loss"))=0,0,COUNTIF($AD$2:AD776,"Win")/(COUNTIF($AD$2:AD776,"Win")+COUNTIF($AD$2:AD776,"Loss")))</f>
        <v/>
      </c>
      <c r="AF776" s="6">
        <f>SUM($Y$2:Y776)/SUM($X$2:X776)</f>
        <v/>
      </c>
      <c r="AG776" s="5">
        <f>SUM($Y$2:Y776)</f>
        <v/>
      </c>
      <c r="AH776" s="7">
        <f>10000.0+SUM($AA$2:AA776)</f>
        <v/>
      </c>
      <c r="AI776" s="2" t="n">
        <v>2026</v>
      </c>
      <c r="AJ776" s="2" t="inlineStr">
        <is>
          <t>2026-05</t>
        </is>
      </c>
      <c r="AK776" s="2" t="inlineStr">
        <is>
          <t>+100 to +120</t>
        </is>
      </c>
      <c r="AL776" s="2" t="inlineStr">
        <is>
          <t>2026 Frozen Test</t>
        </is>
      </c>
      <c r="AM776" s="6" t="n">
        <v>0.2771901732366999</v>
      </c>
    </row>
    <row r="777">
      <c r="A777" s="2" t="inlineStr">
        <is>
          <t>KPROP-00776</t>
        </is>
      </c>
      <c r="B777" s="3" t="n">
        <v>46156.78168981482</v>
      </c>
      <c r="C777" s="3" t="n">
        <v>46156</v>
      </c>
      <c r="D777" s="2" t="inlineStr">
        <is>
          <t>Jesús Luzardo</t>
        </is>
      </c>
      <c r="E777" s="2" t="n">
        <v>143</v>
      </c>
      <c r="F777" s="2" t="n">
        <v>111</v>
      </c>
      <c r="G777" s="2" t="inlineStr">
        <is>
          <t>Away</t>
        </is>
      </c>
      <c r="H777" s="2" t="inlineStr">
        <is>
          <t>bovada</t>
        </is>
      </c>
      <c r="I777" s="4" t="n"/>
      <c r="J777" s="4" t="n"/>
      <c r="K777" s="4" t="n">
        <v>115</v>
      </c>
      <c r="L777" s="4" t="n">
        <v>115</v>
      </c>
      <c r="M777" s="5" t="n">
        <v>6.5</v>
      </c>
      <c r="N777" s="5" t="n">
        <v>6.623557093516324</v>
      </c>
      <c r="O777" s="5" t="n">
        <v>6.5</v>
      </c>
      <c r="P777" s="5" t="n">
        <v>-0.1235570935163244</v>
      </c>
      <c r="Q777" s="6" t="n">
        <v>0.09040384285061942</v>
      </c>
      <c r="R777" s="6" t="n">
        <v>0.5071645780700555</v>
      </c>
      <c r="S777" s="6" t="n">
        <v>0.447405997144217</v>
      </c>
      <c r="T777" s="2" t="inlineStr">
        <is>
          <t>Under</t>
        </is>
      </c>
      <c r="U777" s="4" t="n">
        <v>115</v>
      </c>
      <c r="V777" s="2" t="n">
        <v>2.15</v>
      </c>
      <c r="W777" s="4" t="n">
        <v>115</v>
      </c>
      <c r="X777" s="2" t="n">
        <v>1</v>
      </c>
      <c r="Y777" s="5" t="n">
        <v>1.15</v>
      </c>
      <c r="Z777" s="7" t="n">
        <v>100</v>
      </c>
      <c r="AA777" s="7">
        <f>Y777*Z777</f>
        <v/>
      </c>
      <c r="AB777" s="6">
        <f>IF(Z777=0,0,AA777/Z777)</f>
        <v/>
      </c>
      <c r="AC777" s="6" t="n"/>
      <c r="AD777" s="2" t="inlineStr">
        <is>
          <t>Win</t>
        </is>
      </c>
      <c r="AE777" s="6">
        <f>IF((COUNTIF($AD$2:AD777,"Win")+COUNTIF($AD$2:AD777,"Loss"))=0,0,COUNTIF($AD$2:AD777,"Win")/(COUNTIF($AD$2:AD777,"Win")+COUNTIF($AD$2:AD777,"Loss")))</f>
        <v/>
      </c>
      <c r="AF777" s="6">
        <f>SUM($Y$2:Y777)/SUM($X$2:X777)</f>
        <v/>
      </c>
      <c r="AG777" s="5">
        <f>SUM($Y$2:Y777)</f>
        <v/>
      </c>
      <c r="AH777" s="7">
        <f>10000.0+SUM($AA$2:AA777)</f>
        <v/>
      </c>
      <c r="AI777" s="2" t="n">
        <v>2026</v>
      </c>
      <c r="AJ777" s="2" t="inlineStr">
        <is>
          <t>2026-05</t>
        </is>
      </c>
      <c r="AK777" s="2" t="inlineStr">
        <is>
          <t>+100 to +120</t>
        </is>
      </c>
      <c r="AL777" s="2" t="inlineStr">
        <is>
          <t>2026 Frozen Test</t>
        </is>
      </c>
      <c r="AM777" s="6" t="n">
        <v>0.0786120372614082</v>
      </c>
    </row>
    <row r="778">
      <c r="A778" s="2" t="inlineStr">
        <is>
          <t>KPROP-00777</t>
        </is>
      </c>
      <c r="B778" s="3" t="n">
        <v>46156.81987268518</v>
      </c>
      <c r="C778" s="3" t="n">
        <v>46156</v>
      </c>
      <c r="D778" s="2" t="inlineStr">
        <is>
          <t>Kris Bubic</t>
        </is>
      </c>
      <c r="E778" s="2" t="n">
        <v>118</v>
      </c>
      <c r="F778" s="2" t="n">
        <v>145</v>
      </c>
      <c r="G778" s="2" t="inlineStr">
        <is>
          <t>Away</t>
        </is>
      </c>
      <c r="H778" s="2" t="inlineStr">
        <is>
          <t>betmgm</t>
        </is>
      </c>
      <c r="I778" s="4" t="n"/>
      <c r="J778" s="4" t="n"/>
      <c r="K778" s="4" t="n">
        <v>-110</v>
      </c>
      <c r="L778" s="4" t="n">
        <v>-110</v>
      </c>
      <c r="M778" s="5" t="n">
        <v>5.5</v>
      </c>
      <c r="N778" s="5" t="n">
        <v>5.011666135358305</v>
      </c>
      <c r="O778" s="5" t="n">
        <v>5.5</v>
      </c>
      <c r="P778" s="5" t="n">
        <v>0.488333864641695</v>
      </c>
      <c r="Q778" s="6" t="n">
        <v>0.1720169453149499</v>
      </c>
      <c r="R778" s="6" t="n">
        <v>0.6139136380221166</v>
      </c>
      <c r="S778" s="6" t="n">
        <v>0.5044523597506678</v>
      </c>
      <c r="T778" s="2" t="inlineStr">
        <is>
          <t>Under</t>
        </is>
      </c>
      <c r="U778" s="4" t="n">
        <v>-110</v>
      </c>
      <c r="V778" s="2" t="n">
        <v>1.909090909090909</v>
      </c>
      <c r="W778" s="4" t="n">
        <v>-110</v>
      </c>
      <c r="X778" s="2" t="n">
        <v>1</v>
      </c>
      <c r="Y778" s="5" t="n">
        <v>0.9090909090909092</v>
      </c>
      <c r="Z778" s="7" t="n">
        <v>100</v>
      </c>
      <c r="AA778" s="7">
        <f>Y778*Z778</f>
        <v/>
      </c>
      <c r="AB778" s="6">
        <f>IF(Z778=0,0,AA778/Z778)</f>
        <v/>
      </c>
      <c r="AC778" s="6" t="n"/>
      <c r="AD778" s="2" t="inlineStr">
        <is>
          <t>Win</t>
        </is>
      </c>
      <c r="AE778" s="6">
        <f>IF((COUNTIF($AD$2:AD778,"Win")+COUNTIF($AD$2:AD778,"Loss"))=0,0,COUNTIF($AD$2:AD778,"Win")/(COUNTIF($AD$2:AD778,"Win")+COUNTIF($AD$2:AD778,"Loss")))</f>
        <v/>
      </c>
      <c r="AF778" s="6">
        <f>SUM($Y$2:Y778)/SUM($X$2:X778)</f>
        <v/>
      </c>
      <c r="AG778" s="5">
        <f>SUM($Y$2:Y778)</f>
        <v/>
      </c>
      <c r="AH778" s="7">
        <f>10000.0+SUM($AA$2:AA778)</f>
        <v/>
      </c>
      <c r="AI778" s="2" t="n">
        <v>2026</v>
      </c>
      <c r="AJ778" s="2" t="inlineStr">
        <is>
          <t>2026-05</t>
        </is>
      </c>
      <c r="AK778" s="2" t="inlineStr">
        <is>
          <t>-119 to -101</t>
        </is>
      </c>
      <c r="AL778" s="2" t="inlineStr">
        <is>
          <t>2026 Frozen Test</t>
        </is>
      </c>
      <c r="AM778" s="6" t="n">
        <v>0.1892186398464449</v>
      </c>
    </row>
    <row r="779">
      <c r="A779" s="2" t="inlineStr">
        <is>
          <t>KPROP-00778</t>
        </is>
      </c>
      <c r="B779" s="3" t="n">
        <v>46156.56987268518</v>
      </c>
      <c r="C779" s="3" t="n">
        <v>46156</v>
      </c>
      <c r="D779" s="2" t="inlineStr">
        <is>
          <t>Kyle Harrison</t>
        </is>
      </c>
      <c r="E779" s="2" t="n">
        <v>158</v>
      </c>
      <c r="F779" s="2" t="n">
        <v>135</v>
      </c>
      <c r="G779" s="2" t="inlineStr">
        <is>
          <t>Home</t>
        </is>
      </c>
      <c r="H779" s="2" t="inlineStr">
        <is>
          <t>fanduel</t>
        </is>
      </c>
      <c r="I779" s="4" t="n"/>
      <c r="J779" s="4" t="n"/>
      <c r="K779" s="4" t="n">
        <v>114</v>
      </c>
      <c r="L779" s="4" t="n">
        <v>114</v>
      </c>
      <c r="M779" s="5" t="n">
        <v>5.5</v>
      </c>
      <c r="N779" s="5" t="n">
        <v>5.250905245931424</v>
      </c>
      <c r="O779" s="5" t="n">
        <v>5.5</v>
      </c>
      <c r="P779" s="5" t="n">
        <v>0.249094754068576</v>
      </c>
      <c r="Q779" s="6" t="n">
        <v>0.2241333747422903</v>
      </c>
      <c r="R779" s="6" t="n">
        <v>0.57202494146836</v>
      </c>
      <c r="S779" s="6" t="n">
        <v>0.4525777253049981</v>
      </c>
      <c r="T779" s="2" t="inlineStr">
        <is>
          <t>Under</t>
        </is>
      </c>
      <c r="U779" s="4" t="n">
        <v>114</v>
      </c>
      <c r="V779" s="2" t="n">
        <v>2.14</v>
      </c>
      <c r="W779" s="4" t="n">
        <v>114</v>
      </c>
      <c r="X779" s="2" t="n">
        <v>1</v>
      </c>
      <c r="Y779" s="5" t="n">
        <v>-1</v>
      </c>
      <c r="Z779" s="7" t="n">
        <v>100</v>
      </c>
      <c r="AA779" s="7">
        <f>Y779*Z779</f>
        <v/>
      </c>
      <c r="AB779" s="6">
        <f>IF(Z779=0,0,AA779/Z779)</f>
        <v/>
      </c>
      <c r="AC779" s="6" t="n"/>
      <c r="AD779" s="2" t="inlineStr">
        <is>
          <t>Loss</t>
        </is>
      </c>
      <c r="AE779" s="6">
        <f>IF((COUNTIF($AD$2:AD779,"Win")+COUNTIF($AD$2:AD779,"Loss"))=0,0,COUNTIF($AD$2:AD779,"Win")/(COUNTIF($AD$2:AD779,"Win")+COUNTIF($AD$2:AD779,"Loss")))</f>
        <v/>
      </c>
      <c r="AF779" s="6">
        <f>SUM($Y$2:Y779)/SUM($X$2:X779)</f>
        <v/>
      </c>
      <c r="AG779" s="5">
        <f>SUM($Y$2:Y779)</f>
        <v/>
      </c>
      <c r="AH779" s="7">
        <f>10000.0+SUM($AA$2:AA779)</f>
        <v/>
      </c>
      <c r="AI779" s="2" t="n">
        <v>2026</v>
      </c>
      <c r="AJ779" s="2" t="inlineStr">
        <is>
          <t>2026-05</t>
        </is>
      </c>
      <c r="AK779" s="2" t="inlineStr">
        <is>
          <t>+100 to +120</t>
        </is>
      </c>
      <c r="AL779" s="2" t="inlineStr">
        <is>
          <t>2026 Frozen Test</t>
        </is>
      </c>
      <c r="AM779" s="6" t="n">
        <v>0.1966082234581494</v>
      </c>
    </row>
    <row r="780">
      <c r="A780" s="2" t="inlineStr">
        <is>
          <t>KPROP-00779</t>
        </is>
      </c>
      <c r="B780" s="3" t="n">
        <v>46156.78168981482</v>
      </c>
      <c r="C780" s="3" t="n">
        <v>46156</v>
      </c>
      <c r="D780" s="2" t="inlineStr">
        <is>
          <t>Ranger Suarez</t>
        </is>
      </c>
      <c r="E780" s="2" t="n">
        <v>111</v>
      </c>
      <c r="F780" s="2" t="n">
        <v>143</v>
      </c>
      <c r="G780" s="2" t="inlineStr">
        <is>
          <t>Home</t>
        </is>
      </c>
      <c r="H780" s="2" t="inlineStr">
        <is>
          <t>draftkings</t>
        </is>
      </c>
      <c r="I780" s="4" t="n"/>
      <c r="J780" s="4" t="n"/>
      <c r="K780" s="4" t="n">
        <v>120</v>
      </c>
      <c r="L780" s="4" t="n">
        <v>120</v>
      </c>
      <c r="M780" s="5" t="n">
        <v>4.5</v>
      </c>
      <c r="N780" s="5" t="n">
        <v>4.702649531422391</v>
      </c>
      <c r="O780" s="5" t="n">
        <v>4.5</v>
      </c>
      <c r="P780" s="5" t="n">
        <v>-0.2026495314223906</v>
      </c>
      <c r="Q780" s="6" t="n">
        <v>0.08706161891549102</v>
      </c>
      <c r="R780" s="6" t="n">
        <v>0.4941189176888595</v>
      </c>
      <c r="S780" s="6" t="n">
        <v>0.4316920943134536</v>
      </c>
      <c r="T780" s="2" t="inlineStr">
        <is>
          <t>Under</t>
        </is>
      </c>
      <c r="U780" s="4" t="n">
        <v>120</v>
      </c>
      <c r="V780" s="2" t="n">
        <v>2.2</v>
      </c>
      <c r="W780" s="4" t="n">
        <v>120</v>
      </c>
      <c r="X780" s="2" t="n">
        <v>1</v>
      </c>
      <c r="Y780" s="5" t="n">
        <v>-1</v>
      </c>
      <c r="Z780" s="7" t="n">
        <v>100</v>
      </c>
      <c r="AA780" s="7">
        <f>Y780*Z780</f>
        <v/>
      </c>
      <c r="AB780" s="6">
        <f>IF(Z780=0,0,AA780/Z780)</f>
        <v/>
      </c>
      <c r="AC780" s="6" t="n"/>
      <c r="AD780" s="2" t="inlineStr">
        <is>
          <t>Loss</t>
        </is>
      </c>
      <c r="AE780" s="6">
        <f>IF((COUNTIF($AD$2:AD780,"Win")+COUNTIF($AD$2:AD780,"Loss"))=0,0,COUNTIF($AD$2:AD780,"Win")/(COUNTIF($AD$2:AD780,"Win")+COUNTIF($AD$2:AD780,"Loss")))</f>
        <v/>
      </c>
      <c r="AF780" s="6">
        <f>SUM($Y$2:Y780)/SUM($X$2:X780)</f>
        <v/>
      </c>
      <c r="AG780" s="5">
        <f>SUM($Y$2:Y780)</f>
        <v/>
      </c>
      <c r="AH780" s="7">
        <f>10000.0+SUM($AA$2:AA780)</f>
        <v/>
      </c>
      <c r="AI780" s="2" t="n">
        <v>2026</v>
      </c>
      <c r="AJ780" s="2" t="inlineStr">
        <is>
          <t>2026-05</t>
        </is>
      </c>
      <c r="AK780" s="2" t="inlineStr">
        <is>
          <t>+100 to +120</t>
        </is>
      </c>
      <c r="AL780" s="2" t="inlineStr">
        <is>
          <t>2026 Frozen Test</t>
        </is>
      </c>
      <c r="AM780" s="6" t="n">
        <v>0.07255134909624252</v>
      </c>
    </row>
    <row r="781">
      <c r="A781" s="2" t="inlineStr">
        <is>
          <t>KPROP-00780</t>
        </is>
      </c>
      <c r="B781" s="3" t="n">
        <v>46156.78168981482</v>
      </c>
      <c r="C781" s="3" t="n">
        <v>46156</v>
      </c>
      <c r="D781" s="2" t="inlineStr">
        <is>
          <t>Ranger Suarez</t>
        </is>
      </c>
      <c r="E781" s="2" t="n">
        <v>111</v>
      </c>
      <c r="F781" s="2" t="n">
        <v>143</v>
      </c>
      <c r="G781" s="2" t="inlineStr">
        <is>
          <t>Home</t>
        </is>
      </c>
      <c r="H781" s="2" t="inlineStr">
        <is>
          <t>fanduel</t>
        </is>
      </c>
      <c r="I781" s="4" t="n"/>
      <c r="J781" s="4" t="n"/>
      <c r="K781" s="4" t="n">
        <v>-164</v>
      </c>
      <c r="L781" s="4" t="n">
        <v>-164</v>
      </c>
      <c r="M781" s="5" t="n">
        <v>5.5</v>
      </c>
      <c r="N781" s="5" t="n">
        <v>4.702649531422391</v>
      </c>
      <c r="O781" s="5" t="n">
        <v>5.5</v>
      </c>
      <c r="P781" s="5" t="n">
        <v>0.7973504685776094</v>
      </c>
      <c r="Q781" s="6" t="n">
        <v>0.07528146411337078</v>
      </c>
      <c r="R781" s="6" t="n">
        <v>0.6679778792219424</v>
      </c>
      <c r="S781" s="6" t="n">
        <v>0.5985401459854015</v>
      </c>
      <c r="T781" s="2" t="inlineStr">
        <is>
          <t>Under</t>
        </is>
      </c>
      <c r="U781" s="4" t="n">
        <v>-164</v>
      </c>
      <c r="V781" s="2" t="n">
        <v>1.609756097560976</v>
      </c>
      <c r="W781" s="4" t="n">
        <v>-164</v>
      </c>
      <c r="X781" s="2" t="n">
        <v>1</v>
      </c>
      <c r="Y781" s="5" t="n">
        <v>-1</v>
      </c>
      <c r="Z781" s="7" t="n">
        <v>100</v>
      </c>
      <c r="AA781" s="7">
        <f>Y781*Z781</f>
        <v/>
      </c>
      <c r="AB781" s="6">
        <f>IF(Z781=0,0,AA781/Z781)</f>
        <v/>
      </c>
      <c r="AC781" s="6" t="n"/>
      <c r="AD781" s="2" t="inlineStr">
        <is>
          <t>Loss</t>
        </is>
      </c>
      <c r="AE781" s="6">
        <f>IF((COUNTIF($AD$2:AD781,"Win")+COUNTIF($AD$2:AD781,"Loss"))=0,0,COUNTIF($AD$2:AD781,"Win")/(COUNTIF($AD$2:AD781,"Win")+COUNTIF($AD$2:AD781,"Loss")))</f>
        <v/>
      </c>
      <c r="AF781" s="6">
        <f>SUM($Y$2:Y781)/SUM($X$2:X781)</f>
        <v/>
      </c>
      <c r="AG781" s="5">
        <f>SUM($Y$2:Y781)</f>
        <v/>
      </c>
      <c r="AH781" s="7">
        <f>10000.0+SUM($AA$2:AA781)</f>
        <v/>
      </c>
      <c r="AI781" s="2" t="n">
        <v>2026</v>
      </c>
      <c r="AJ781" s="2" t="inlineStr">
        <is>
          <t>2026-05</t>
        </is>
      </c>
      <c r="AK781" s="2" t="inlineStr">
        <is>
          <t>&lt;= -150</t>
        </is>
      </c>
      <c r="AL781" s="2" t="inlineStr">
        <is>
          <t>2026 Frozen Test</t>
        </is>
      </c>
      <c r="AM781" s="6" t="n">
        <v>0.1234616011459281</v>
      </c>
    </row>
    <row r="782">
      <c r="A782" s="2" t="inlineStr">
        <is>
          <t>KPROP-00781</t>
        </is>
      </c>
      <c r="B782" s="3" t="n">
        <v>46157.79905092593</v>
      </c>
      <c r="C782" s="3" t="n">
        <v>46157</v>
      </c>
      <c r="D782" s="2" t="inlineStr">
        <is>
          <t>Andrew Abbott</t>
        </is>
      </c>
      <c r="E782" s="2" t="n">
        <v>113</v>
      </c>
      <c r="F782" s="2" t="n">
        <v>114</v>
      </c>
      <c r="G782" s="2" t="inlineStr">
        <is>
          <t>Away</t>
        </is>
      </c>
      <c r="H782" s="2" t="inlineStr">
        <is>
          <t>betrivers</t>
        </is>
      </c>
      <c r="I782" s="4" t="n"/>
      <c r="J782" s="4" t="n"/>
      <c r="K782" s="4" t="n">
        <v>155</v>
      </c>
      <c r="L782" s="4" t="n">
        <v>155</v>
      </c>
      <c r="M782" s="5" t="n">
        <v>3.5</v>
      </c>
      <c r="N782" s="5" t="n">
        <v>3.969003047058259</v>
      </c>
      <c r="O782" s="5" t="n">
        <v>3.5</v>
      </c>
      <c r="P782" s="5" t="n">
        <v>-0.4690030470582593</v>
      </c>
      <c r="Q782" s="6" t="n">
        <v>0.1208505550886476</v>
      </c>
      <c r="R782" s="6" t="n">
        <v>0.4395492372896658</v>
      </c>
      <c r="S782" s="6" t="n">
        <v>0.391557051085959</v>
      </c>
      <c r="T782" s="2" t="inlineStr">
        <is>
          <t>Under</t>
        </is>
      </c>
      <c r="U782" s="4" t="n">
        <v>155</v>
      </c>
      <c r="V782" s="2" t="n">
        <v>2.55</v>
      </c>
      <c r="W782" s="4" t="n">
        <v>155</v>
      </c>
      <c r="X782" s="2" t="n">
        <v>1</v>
      </c>
      <c r="Y782" s="5" t="n">
        <v>1.55</v>
      </c>
      <c r="Z782" s="7" t="n">
        <v>100</v>
      </c>
      <c r="AA782" s="7">
        <f>Y782*Z782</f>
        <v/>
      </c>
      <c r="AB782" s="6">
        <f>IF(Z782=0,0,AA782/Z782)</f>
        <v/>
      </c>
      <c r="AC782" s="6" t="n"/>
      <c r="AD782" s="2" t="inlineStr">
        <is>
          <t>Win</t>
        </is>
      </c>
      <c r="AE782" s="6">
        <f>IF((COUNTIF($AD$2:AD782,"Win")+COUNTIF($AD$2:AD782,"Loss"))=0,0,COUNTIF($AD$2:AD782,"Win")/(COUNTIF($AD$2:AD782,"Win")+COUNTIF($AD$2:AD782,"Loss")))</f>
        <v/>
      </c>
      <c r="AF782" s="6">
        <f>SUM($Y$2:Y782)/SUM($X$2:X782)</f>
        <v/>
      </c>
      <c r="AG782" s="5">
        <f>SUM($Y$2:Y782)</f>
        <v/>
      </c>
      <c r="AH782" s="7">
        <f>10000.0+SUM($AA$2:AA782)</f>
        <v/>
      </c>
      <c r="AI782" s="2" t="n">
        <v>2026</v>
      </c>
      <c r="AJ782" s="2" t="inlineStr">
        <is>
          <t>2026-05</t>
        </is>
      </c>
      <c r="AK782" s="2" t="inlineStr">
        <is>
          <t>&gt;= +151</t>
        </is>
      </c>
      <c r="AL782" s="2" t="inlineStr">
        <is>
          <t>2026 Frozen Test</t>
        </is>
      </c>
      <c r="AM782" s="6" t="n">
        <v>0.07796810005719201</v>
      </c>
    </row>
    <row r="783">
      <c r="A783" s="2" t="inlineStr">
        <is>
          <t>KPROP-00782</t>
        </is>
      </c>
      <c r="B783" s="3" t="n">
        <v>46157.79905092593</v>
      </c>
      <c r="C783" s="3" t="n">
        <v>46157</v>
      </c>
      <c r="D783" s="2" t="inlineStr">
        <is>
          <t>Andrew Abbott</t>
        </is>
      </c>
      <c r="E783" s="2" t="n">
        <v>113</v>
      </c>
      <c r="F783" s="2" t="n">
        <v>114</v>
      </c>
      <c r="G783" s="2" t="inlineStr">
        <is>
          <t>Away</t>
        </is>
      </c>
      <c r="H783" s="2" t="inlineStr">
        <is>
          <t>betrivers</t>
        </is>
      </c>
      <c r="I783" s="4" t="n"/>
      <c r="J783" s="4" t="n"/>
      <c r="K783" s="4" t="n">
        <v>-143</v>
      </c>
      <c r="L783" s="4" t="n">
        <v>-143</v>
      </c>
      <c r="M783" s="5" t="n">
        <v>4.5</v>
      </c>
      <c r="N783" s="5" t="n">
        <v>3.969003047058259</v>
      </c>
      <c r="O783" s="5" t="n">
        <v>4.5</v>
      </c>
      <c r="P783" s="5" t="n">
        <v>0.5309969529417407</v>
      </c>
      <c r="Q783" s="6" t="n">
        <v>0.07887321446977191</v>
      </c>
      <c r="R783" s="6" t="n">
        <v>0.6348924677743926</v>
      </c>
      <c r="S783" s="6" t="n">
        <v>0.5803471202832224</v>
      </c>
      <c r="T783" s="2" t="inlineStr">
        <is>
          <t>Under</t>
        </is>
      </c>
      <c r="U783" s="4" t="n">
        <v>-143</v>
      </c>
      <c r="V783" s="2" t="n">
        <v>1.699300699300699</v>
      </c>
      <c r="W783" s="4" t="n">
        <v>-143</v>
      </c>
      <c r="X783" s="2" t="n">
        <v>1</v>
      </c>
      <c r="Y783" s="5" t="n">
        <v>0.6993006993006992</v>
      </c>
      <c r="Z783" s="7" t="n">
        <v>100</v>
      </c>
      <c r="AA783" s="7">
        <f>Y783*Z783</f>
        <v/>
      </c>
      <c r="AB783" s="6">
        <f>IF(Z783=0,0,AA783/Z783)</f>
        <v/>
      </c>
      <c r="AC783" s="6" t="n"/>
      <c r="AD783" s="2" t="inlineStr">
        <is>
          <t>Win</t>
        </is>
      </c>
      <c r="AE783" s="6">
        <f>IF((COUNTIF($AD$2:AD783,"Win")+COUNTIF($AD$2:AD783,"Loss"))=0,0,COUNTIF($AD$2:AD783,"Win")/(COUNTIF($AD$2:AD783,"Win")+COUNTIF($AD$2:AD783,"Loss")))</f>
        <v/>
      </c>
      <c r="AF783" s="6">
        <f>SUM($Y$2:Y783)/SUM($X$2:X783)</f>
        <v/>
      </c>
      <c r="AG783" s="5">
        <f>SUM($Y$2:Y783)</f>
        <v/>
      </c>
      <c r="AH783" s="7">
        <f>10000.0+SUM($AA$2:AA783)</f>
        <v/>
      </c>
      <c r="AI783" s="2" t="n">
        <v>2026</v>
      </c>
      <c r="AJ783" s="2" t="inlineStr">
        <is>
          <t>2026-05</t>
        </is>
      </c>
      <c r="AK783" s="2" t="inlineStr">
        <is>
          <t>-149 to -120</t>
        </is>
      </c>
      <c r="AL783" s="2" t="inlineStr">
        <is>
          <t>2026 Frozen Test</t>
        </is>
      </c>
      <c r="AM783" s="6" t="n">
        <v>0.1127886966917739</v>
      </c>
    </row>
    <row r="784">
      <c r="A784" s="2" t="inlineStr">
        <is>
          <t>KPROP-00783</t>
        </is>
      </c>
      <c r="B784" s="3" t="n">
        <v>46157.79905092593</v>
      </c>
      <c r="C784" s="3" t="n">
        <v>46157</v>
      </c>
      <c r="D784" s="2" t="inlineStr">
        <is>
          <t>Joe Ryan</t>
        </is>
      </c>
      <c r="E784" s="2" t="n">
        <v>142</v>
      </c>
      <c r="F784" s="2" t="n">
        <v>158</v>
      </c>
      <c r="G784" s="2" t="inlineStr">
        <is>
          <t>Home</t>
        </is>
      </c>
      <c r="H784" s="2" t="inlineStr">
        <is>
          <t>fanduel</t>
        </is>
      </c>
      <c r="I784" s="4" t="n"/>
      <c r="J784" s="4" t="n"/>
      <c r="K784" s="4" t="n">
        <v>-120</v>
      </c>
      <c r="L784" s="4" t="n">
        <v>-120</v>
      </c>
      <c r="M784" s="5" t="n">
        <v>5.5</v>
      </c>
      <c r="N784" s="5" t="n">
        <v>5.172038055904529</v>
      </c>
      <c r="O784" s="5" t="n">
        <v>5.5</v>
      </c>
      <c r="P784" s="5" t="n">
        <v>0.3279619440954713</v>
      </c>
      <c r="Q784" s="6" t="n">
        <v>0.07397188038367863</v>
      </c>
      <c r="R784" s="6" t="n">
        <v>0.5858028438456429</v>
      </c>
      <c r="S784" s="6" t="n">
        <v>0.5315161839863713</v>
      </c>
      <c r="T784" s="2" t="inlineStr">
        <is>
          <t>Under</t>
        </is>
      </c>
      <c r="U784" s="4" t="n">
        <v>-120</v>
      </c>
      <c r="V784" s="2" t="n">
        <v>1.833333333333333</v>
      </c>
      <c r="W784" s="4" t="n">
        <v>-120</v>
      </c>
      <c r="X784" s="2" t="n">
        <v>1</v>
      </c>
      <c r="Y784" s="5" t="n">
        <v>-1</v>
      </c>
      <c r="Z784" s="7" t="n">
        <v>100</v>
      </c>
      <c r="AA784" s="7">
        <f>Y784*Z784</f>
        <v/>
      </c>
      <c r="AB784" s="6">
        <f>IF(Z784=0,0,AA784/Z784)</f>
        <v/>
      </c>
      <c r="AC784" s="6" t="n"/>
      <c r="AD784" s="2" t="inlineStr">
        <is>
          <t>Loss</t>
        </is>
      </c>
      <c r="AE784" s="6">
        <f>IF((COUNTIF($AD$2:AD784,"Win")+COUNTIF($AD$2:AD784,"Loss"))=0,0,COUNTIF($AD$2:AD784,"Win")/(COUNTIF($AD$2:AD784,"Win")+COUNTIF($AD$2:AD784,"Loss")))</f>
        <v/>
      </c>
      <c r="AF784" s="6">
        <f>SUM($Y$2:Y784)/SUM($X$2:X784)</f>
        <v/>
      </c>
      <c r="AG784" s="5">
        <f>SUM($Y$2:Y784)</f>
        <v/>
      </c>
      <c r="AH784" s="7">
        <f>10000.0+SUM($AA$2:AA784)</f>
        <v/>
      </c>
      <c r="AI784" s="2" t="n">
        <v>2026</v>
      </c>
      <c r="AJ784" s="2" t="inlineStr">
        <is>
          <t>2026-05</t>
        </is>
      </c>
      <c r="AK784" s="2" t="inlineStr">
        <is>
          <t>-149 to -120</t>
        </is>
      </c>
      <c r="AL784" s="2" t="inlineStr">
        <is>
          <t>2026 Frozen Test</t>
        </is>
      </c>
      <c r="AM784" s="6" t="n">
        <v>0.08876625646041435</v>
      </c>
    </row>
    <row r="785">
      <c r="A785" s="2" t="inlineStr">
        <is>
          <t>KPROP-00784</t>
        </is>
      </c>
      <c r="B785" s="3" t="n">
        <v>46157.78167824074</v>
      </c>
      <c r="C785" s="3" t="n">
        <v>46157</v>
      </c>
      <c r="D785" s="2" t="inlineStr">
        <is>
          <t>Shane Baz</t>
        </is>
      </c>
      <c r="E785" s="2" t="n">
        <v>110</v>
      </c>
      <c r="F785" s="2" t="n">
        <v>120</v>
      </c>
      <c r="G785" s="2" t="inlineStr">
        <is>
          <t>Away</t>
        </is>
      </c>
      <c r="H785" s="2" t="inlineStr">
        <is>
          <t>betmgm</t>
        </is>
      </c>
      <c r="I785" s="4" t="n"/>
      <c r="J785" s="4" t="n"/>
      <c r="K785" s="4" t="n">
        <v>-155</v>
      </c>
      <c r="L785" s="4" t="n">
        <v>-155</v>
      </c>
      <c r="M785" s="5" t="n">
        <v>5.5</v>
      </c>
      <c r="N785" s="5" t="n">
        <v>4.777399938124153</v>
      </c>
      <c r="O785" s="5" t="n">
        <v>5.5</v>
      </c>
      <c r="P785" s="5" t="n">
        <v>0.7226000618758466</v>
      </c>
      <c r="Q785" s="6" t="n">
        <v>0.07750466135840223</v>
      </c>
      <c r="R785" s="6" t="n">
        <v>0.654953813766872</v>
      </c>
      <c r="S785" s="6" t="n">
        <v>0.5861397386999919</v>
      </c>
      <c r="T785" s="2" t="inlineStr">
        <is>
          <t>Under</t>
        </is>
      </c>
      <c r="U785" s="4" t="n">
        <v>-155</v>
      </c>
      <c r="V785" s="2" t="n">
        <v>1.645161290322581</v>
      </c>
      <c r="W785" s="4" t="n">
        <v>-155</v>
      </c>
      <c r="X785" s="2" t="n">
        <v>1</v>
      </c>
      <c r="Y785" s="5" t="n">
        <v>0.6451612903225805</v>
      </c>
      <c r="Z785" s="7" t="n">
        <v>100</v>
      </c>
      <c r="AA785" s="7">
        <f>Y785*Z785</f>
        <v/>
      </c>
      <c r="AB785" s="6">
        <f>IF(Z785=0,0,AA785/Z785)</f>
        <v/>
      </c>
      <c r="AC785" s="6" t="n"/>
      <c r="AD785" s="2" t="inlineStr">
        <is>
          <t>Win</t>
        </is>
      </c>
      <c r="AE785" s="6">
        <f>IF((COUNTIF($AD$2:AD785,"Win")+COUNTIF($AD$2:AD785,"Loss"))=0,0,COUNTIF($AD$2:AD785,"Win")/(COUNTIF($AD$2:AD785,"Win")+COUNTIF($AD$2:AD785,"Loss")))</f>
        <v/>
      </c>
      <c r="AF785" s="6">
        <f>SUM($Y$2:Y785)/SUM($X$2:X785)</f>
        <v/>
      </c>
      <c r="AG785" s="5">
        <f>SUM($Y$2:Y785)</f>
        <v/>
      </c>
      <c r="AH785" s="7">
        <f>10000.0+SUM($AA$2:AA785)</f>
        <v/>
      </c>
      <c r="AI785" s="2" t="n">
        <v>2026</v>
      </c>
      <c r="AJ785" s="2" t="inlineStr">
        <is>
          <t>2026-05</t>
        </is>
      </c>
      <c r="AK785" s="2" t="inlineStr">
        <is>
          <t>&lt;= -150</t>
        </is>
      </c>
      <c r="AL785" s="2" t="inlineStr">
        <is>
          <t>2026 Frozen Test</t>
        </is>
      </c>
      <c r="AM785" s="6" t="n">
        <v>0.1201322251055235</v>
      </c>
    </row>
    <row r="786">
      <c r="A786" s="2" t="inlineStr">
        <is>
          <t>KPROP-00785</t>
        </is>
      </c>
      <c r="B786" s="3" t="n">
        <v>46157.80252314815</v>
      </c>
      <c r="C786" s="3" t="n">
        <v>46157</v>
      </c>
      <c r="D786" s="2" t="inlineStr">
        <is>
          <t>Spencer Strider</t>
        </is>
      </c>
      <c r="E786" s="2" t="n">
        <v>144</v>
      </c>
      <c r="F786" s="2" t="n">
        <v>111</v>
      </c>
      <c r="G786" s="2" t="inlineStr">
        <is>
          <t>Home</t>
        </is>
      </c>
      <c r="H786" s="2" t="inlineStr">
        <is>
          <t>betmgm</t>
        </is>
      </c>
      <c r="I786" s="4" t="n"/>
      <c r="J786" s="4" t="n"/>
      <c r="K786" s="4" t="n">
        <v>-125</v>
      </c>
      <c r="L786" s="4" t="n">
        <v>-125</v>
      </c>
      <c r="M786" s="5" t="n">
        <v>6.5</v>
      </c>
      <c r="N786" s="5" t="n">
        <v>5.7431067527412</v>
      </c>
      <c r="O786" s="5" t="n">
        <v>6.5</v>
      </c>
      <c r="P786" s="5" t="n">
        <v>0.7568932472587999</v>
      </c>
      <c r="Q786" s="6" t="n">
        <v>0.1654794966225249</v>
      </c>
      <c r="R786" s="6" t="n">
        <v>0.6474886092347361</v>
      </c>
      <c r="S786" s="6" t="n">
        <v>0.5384615384615385</v>
      </c>
      <c r="T786" s="2" t="inlineStr">
        <is>
          <t>Under</t>
        </is>
      </c>
      <c r="U786" s="4" t="n">
        <v>-125</v>
      </c>
      <c r="V786" s="2" t="n">
        <v>1.8</v>
      </c>
      <c r="W786" s="4" t="n">
        <v>-125</v>
      </c>
      <c r="X786" s="2" t="n">
        <v>1</v>
      </c>
      <c r="Y786" s="5" t="n">
        <v>0.8</v>
      </c>
      <c r="Z786" s="7" t="n">
        <v>100</v>
      </c>
      <c r="AA786" s="7">
        <f>Y786*Z786</f>
        <v/>
      </c>
      <c r="AB786" s="6">
        <f>IF(Z786=0,0,AA786/Z786)</f>
        <v/>
      </c>
      <c r="AC786" s="6" t="n"/>
      <c r="AD786" s="2" t="inlineStr">
        <is>
          <t>Win</t>
        </is>
      </c>
      <c r="AE786" s="6">
        <f>IF((COUNTIF($AD$2:AD786,"Win")+COUNTIF($AD$2:AD786,"Loss"))=0,0,COUNTIF($AD$2:AD786,"Win")/(COUNTIF($AD$2:AD786,"Win")+COUNTIF($AD$2:AD786,"Loss")))</f>
        <v/>
      </c>
      <c r="AF786" s="6">
        <f>SUM($Y$2:Y786)/SUM($X$2:X786)</f>
        <v/>
      </c>
      <c r="AG786" s="5">
        <f>SUM($Y$2:Y786)</f>
        <v/>
      </c>
      <c r="AH786" s="7">
        <f>10000.0+SUM($AA$2:AA786)</f>
        <v/>
      </c>
      <c r="AI786" s="2" t="n">
        <v>2026</v>
      </c>
      <c r="AJ786" s="2" t="inlineStr">
        <is>
          <t>2026-05</t>
        </is>
      </c>
      <c r="AK786" s="2" t="inlineStr">
        <is>
          <t>-149 to -120</t>
        </is>
      </c>
      <c r="AL786" s="2" t="inlineStr">
        <is>
          <t>2026 Frozen Test</t>
        </is>
      </c>
      <c r="AM786" s="6" t="n">
        <v>0.2068493707781562</v>
      </c>
    </row>
    <row r="787">
      <c r="A787" s="2" t="inlineStr">
        <is>
          <t>KPROP-00786</t>
        </is>
      </c>
      <c r="B787" s="3" t="n">
        <v>46157.79905092593</v>
      </c>
      <c r="C787" s="3" t="n">
        <v>46157</v>
      </c>
      <c r="D787" s="2" t="inlineStr">
        <is>
          <t>Tanner Bibee</t>
        </is>
      </c>
      <c r="E787" s="2" t="n">
        <v>114</v>
      </c>
      <c r="F787" s="2" t="n">
        <v>113</v>
      </c>
      <c r="G787" s="2" t="inlineStr">
        <is>
          <t>Home</t>
        </is>
      </c>
      <c r="H787" s="2" t="inlineStr">
        <is>
          <t>betrivers</t>
        </is>
      </c>
      <c r="I787" s="4" t="n"/>
      <c r="J787" s="4" t="n"/>
      <c r="K787" s="4" t="n">
        <v>132</v>
      </c>
      <c r="L787" s="4" t="n">
        <v>132</v>
      </c>
      <c r="M787" s="5" t="n">
        <v>5.5</v>
      </c>
      <c r="N787" s="5" t="n">
        <v>5.573061179259208</v>
      </c>
      <c r="O787" s="5" t="n">
        <v>5.5</v>
      </c>
      <c r="P787" s="5" t="n">
        <v>-0.07306117925920841</v>
      </c>
      <c r="Q787" s="6" t="n">
        <v>0.1981390972499222</v>
      </c>
      <c r="R787" s="6" t="n">
        <v>0.5164392660560009</v>
      </c>
      <c r="S787" s="6" t="n">
        <v>0.4155215285957335</v>
      </c>
      <c r="T787" s="2" t="inlineStr">
        <is>
          <t>Under</t>
        </is>
      </c>
      <c r="U787" s="4" t="n">
        <v>132</v>
      </c>
      <c r="V787" s="2" t="n">
        <v>2.32</v>
      </c>
      <c r="W787" s="4" t="n">
        <v>132</v>
      </c>
      <c r="X787" s="2" t="n">
        <v>1</v>
      </c>
      <c r="Y787" s="5" t="n">
        <v>1.32</v>
      </c>
      <c r="Z787" s="7" t="n">
        <v>100</v>
      </c>
      <c r="AA787" s="7">
        <f>Y787*Z787</f>
        <v/>
      </c>
      <c r="AB787" s="6">
        <f>IF(Z787=0,0,AA787/Z787)</f>
        <v/>
      </c>
      <c r="AC787" s="6" t="n"/>
      <c r="AD787" s="2" t="inlineStr">
        <is>
          <t>Win</t>
        </is>
      </c>
      <c r="AE787" s="6">
        <f>IF((COUNTIF($AD$2:AD787,"Win")+COUNTIF($AD$2:AD787,"Loss"))=0,0,COUNTIF($AD$2:AD787,"Win")/(COUNTIF($AD$2:AD787,"Win")+COUNTIF($AD$2:AD787,"Loss")))</f>
        <v/>
      </c>
      <c r="AF787" s="6">
        <f>SUM($Y$2:Y787)/SUM($X$2:X787)</f>
        <v/>
      </c>
      <c r="AG787" s="5">
        <f>SUM($Y$2:Y787)</f>
        <v/>
      </c>
      <c r="AH787" s="7">
        <f>10000.0+SUM($AA$2:AA787)</f>
        <v/>
      </c>
      <c r="AI787" s="2" t="n">
        <v>2026</v>
      </c>
      <c r="AJ787" s="2" t="inlineStr">
        <is>
          <t>2026-05</t>
        </is>
      </c>
      <c r="AK787" s="2" t="inlineStr">
        <is>
          <t>+121 to +150</t>
        </is>
      </c>
      <c r="AL787" s="2" t="inlineStr">
        <is>
          <t>2026 Frozen Test</t>
        </is>
      </c>
      <c r="AM787" s="6" t="n">
        <v>0.1501053767044865</v>
      </c>
    </row>
    <row r="788">
      <c r="A788" s="2" t="inlineStr">
        <is>
          <t>KPROP-00787</t>
        </is>
      </c>
      <c r="B788" s="3" t="n">
        <v>46157.79905092593</v>
      </c>
      <c r="C788" s="3" t="n">
        <v>46157</v>
      </c>
      <c r="D788" s="2" t="inlineStr">
        <is>
          <t>Tanner Bibee</t>
        </is>
      </c>
      <c r="E788" s="2" t="n">
        <v>114</v>
      </c>
      <c r="F788" s="2" t="n">
        <v>113</v>
      </c>
      <c r="G788" s="2" t="inlineStr">
        <is>
          <t>Home</t>
        </is>
      </c>
      <c r="H788" s="2" t="inlineStr">
        <is>
          <t>fanatics</t>
        </is>
      </c>
      <c r="I788" s="4" t="n"/>
      <c r="J788" s="4" t="n"/>
      <c r="K788" s="4" t="n">
        <v>-150</v>
      </c>
      <c r="L788" s="4" t="n">
        <v>-150</v>
      </c>
      <c r="M788" s="5" t="n">
        <v>6.5</v>
      </c>
      <c r="N788" s="5" t="n">
        <v>5.573061179259208</v>
      </c>
      <c r="O788" s="5" t="n">
        <v>6.5</v>
      </c>
      <c r="P788" s="5" t="n">
        <v>0.9269388207407916</v>
      </c>
      <c r="Q788" s="6" t="n">
        <v>0.1242010351148911</v>
      </c>
      <c r="R788" s="6" t="n">
        <v>0.6745206210689347</v>
      </c>
      <c r="S788" s="6" t="n">
        <v>0.5755517826825127</v>
      </c>
      <c r="T788" s="2" t="inlineStr">
        <is>
          <t>Under</t>
        </is>
      </c>
      <c r="U788" s="4" t="n">
        <v>-150</v>
      </c>
      <c r="V788" s="2" t="n">
        <v>1.666666666666667</v>
      </c>
      <c r="W788" s="4" t="n">
        <v>-150</v>
      </c>
      <c r="X788" s="2" t="n">
        <v>1</v>
      </c>
      <c r="Y788" s="5" t="n">
        <v>0.6666666666666665</v>
      </c>
      <c r="Z788" s="7" t="n">
        <v>100</v>
      </c>
      <c r="AA788" s="7">
        <f>Y788*Z788</f>
        <v/>
      </c>
      <c r="AB788" s="6">
        <f>IF(Z788=0,0,AA788/Z788)</f>
        <v/>
      </c>
      <c r="AC788" s="6" t="n"/>
      <c r="AD788" s="2" t="inlineStr">
        <is>
          <t>Win</t>
        </is>
      </c>
      <c r="AE788" s="6">
        <f>IF((COUNTIF($AD$2:AD788,"Win")+COUNTIF($AD$2:AD788,"Loss"))=0,0,COUNTIF($AD$2:AD788,"Win")/(COUNTIF($AD$2:AD788,"Win")+COUNTIF($AD$2:AD788,"Loss")))</f>
        <v/>
      </c>
      <c r="AF788" s="6">
        <f>SUM($Y$2:Y788)/SUM($X$2:X788)</f>
        <v/>
      </c>
      <c r="AG788" s="5">
        <f>SUM($Y$2:Y788)</f>
        <v/>
      </c>
      <c r="AH788" s="7">
        <f>10000.0+SUM($AA$2:AA788)</f>
        <v/>
      </c>
      <c r="AI788" s="2" t="n">
        <v>2026</v>
      </c>
      <c r="AJ788" s="2" t="inlineStr">
        <is>
          <t>2026-05</t>
        </is>
      </c>
      <c r="AK788" s="2" t="inlineStr">
        <is>
          <t>&lt;= -150</t>
        </is>
      </c>
      <c r="AL788" s="2" t="inlineStr">
        <is>
          <t>2026 Frozen Test</t>
        </is>
      </c>
      <c r="AM788" s="6" t="n">
        <v>0.1863015526723367</v>
      </c>
    </row>
    <row r="789">
      <c r="A789" s="2" t="inlineStr">
        <is>
          <t>KPROP-00788</t>
        </is>
      </c>
      <c r="B789" s="3" t="n">
        <v>46157.78167824074</v>
      </c>
      <c r="C789" s="3" t="n">
        <v>46157</v>
      </c>
      <c r="D789" s="2" t="inlineStr">
        <is>
          <t>Trey Yesavage</t>
        </is>
      </c>
      <c r="E789" s="2" t="n">
        <v>141</v>
      </c>
      <c r="F789" s="2" t="n">
        <v>116</v>
      </c>
      <c r="G789" s="2" t="inlineStr">
        <is>
          <t>Away</t>
        </is>
      </c>
      <c r="H789" s="2" t="inlineStr">
        <is>
          <t>draftkings</t>
        </is>
      </c>
      <c r="I789" s="4" t="n"/>
      <c r="J789" s="4" t="n"/>
      <c r="K789" s="4" t="n">
        <v>-104</v>
      </c>
      <c r="L789" s="4" t="n">
        <v>-104</v>
      </c>
      <c r="M789" s="5" t="n">
        <v>5.5</v>
      </c>
      <c r="N789" s="5" t="n">
        <v>5.235168202127111</v>
      </c>
      <c r="O789" s="5" t="n">
        <v>5.5</v>
      </c>
      <c r="P789" s="5" t="n">
        <v>0.2648317978728887</v>
      </c>
      <c r="Q789" s="6" t="n">
        <v>0.1274344792135435</v>
      </c>
      <c r="R789" s="6" t="n">
        <v>0.5747705188147476</v>
      </c>
      <c r="S789" s="6" t="n">
        <v>0.5048543689320388</v>
      </c>
      <c r="T789" s="2" t="inlineStr">
        <is>
          <t>Under</t>
        </is>
      </c>
      <c r="U789" s="4" t="n">
        <v>-104</v>
      </c>
      <c r="V789" s="2" t="n">
        <v>1.961538461538462</v>
      </c>
      <c r="W789" s="4" t="n">
        <v>-104</v>
      </c>
      <c r="X789" s="2" t="n">
        <v>1</v>
      </c>
      <c r="Y789" s="5" t="n">
        <v>-1</v>
      </c>
      <c r="Z789" s="7" t="n">
        <v>100</v>
      </c>
      <c r="AA789" s="7">
        <f>Y789*Z789</f>
        <v/>
      </c>
      <c r="AB789" s="6">
        <f>IF(Z789=0,0,AA789/Z789)</f>
        <v/>
      </c>
      <c r="AC789" s="6" t="n"/>
      <c r="AD789" s="2" t="inlineStr">
        <is>
          <t>Loss</t>
        </is>
      </c>
      <c r="AE789" s="6">
        <f>IF((COUNTIF($AD$2:AD789,"Win")+COUNTIF($AD$2:AD789,"Loss"))=0,0,COUNTIF($AD$2:AD789,"Win")/(COUNTIF($AD$2:AD789,"Win")+COUNTIF($AD$2:AD789,"Loss")))</f>
        <v/>
      </c>
      <c r="AF789" s="6">
        <f>SUM($Y$2:Y789)/SUM($X$2:X789)</f>
        <v/>
      </c>
      <c r="AG789" s="5">
        <f>SUM($Y$2:Y789)</f>
        <v/>
      </c>
      <c r="AH789" s="7">
        <f>10000.0+SUM($AA$2:AA789)</f>
        <v/>
      </c>
      <c r="AI789" s="2" t="n">
        <v>2026</v>
      </c>
      <c r="AJ789" s="2" t="inlineStr">
        <is>
          <t>2026-05</t>
        </is>
      </c>
      <c r="AK789" s="2" t="inlineStr">
        <is>
          <t>-119 to -101</t>
        </is>
      </c>
      <c r="AL789" s="2" t="inlineStr">
        <is>
          <t>2026 Frozen Test</t>
        </is>
      </c>
      <c r="AM789" s="6" t="n">
        <v>0.1325318583820852</v>
      </c>
    </row>
    <row r="790">
      <c r="A790" s="2" t="inlineStr">
        <is>
          <t>KPROP-00789</t>
        </is>
      </c>
      <c r="B790" s="3" t="n">
        <v>46158.80251157407</v>
      </c>
      <c r="C790" s="3" t="n">
        <v>46158</v>
      </c>
      <c r="D790" s="2" t="inlineStr">
        <is>
          <t>Bryce Elder</t>
        </is>
      </c>
      <c r="E790" s="2" t="n">
        <v>144</v>
      </c>
      <c r="F790" s="2" t="n">
        <v>111</v>
      </c>
      <c r="G790" s="2" t="inlineStr">
        <is>
          <t>Home</t>
        </is>
      </c>
      <c r="H790" s="2" t="inlineStr">
        <is>
          <t>betmgm</t>
        </is>
      </c>
      <c r="I790" s="4" t="n"/>
      <c r="J790" s="4" t="n"/>
      <c r="K790" s="4" t="n">
        <v>130</v>
      </c>
      <c r="L790" s="4" t="n">
        <v>130</v>
      </c>
      <c r="M790" s="5" t="n">
        <v>4.5</v>
      </c>
      <c r="N790" s="5" t="n">
        <v>4.545353588940684</v>
      </c>
      <c r="O790" s="5" t="n">
        <v>4.5</v>
      </c>
      <c r="P790" s="5" t="n">
        <v>-0.0453535889406842</v>
      </c>
      <c r="Q790" s="6" t="n">
        <v>0.2040899078536137</v>
      </c>
      <c r="R790" s="6" t="n">
        <v>0.5235173512407016</v>
      </c>
      <c r="S790" s="6" t="n">
        <v>0.4256067534294759</v>
      </c>
      <c r="T790" s="2" t="inlineStr">
        <is>
          <t>Under</t>
        </is>
      </c>
      <c r="U790" s="4" t="n">
        <v>130</v>
      </c>
      <c r="V790" s="2" t="n">
        <v>2.3</v>
      </c>
      <c r="W790" s="4" t="n">
        <v>130</v>
      </c>
      <c r="X790" s="2" t="n">
        <v>1</v>
      </c>
      <c r="Y790" s="5" t="n">
        <v>1.3</v>
      </c>
      <c r="Z790" s="7" t="n">
        <v>100</v>
      </c>
      <c r="AA790" s="7">
        <f>Y790*Z790</f>
        <v/>
      </c>
      <c r="AB790" s="6">
        <f>IF(Z790=0,0,AA790/Z790)</f>
        <v/>
      </c>
      <c r="AC790" s="6" t="n"/>
      <c r="AD790" s="2" t="inlineStr">
        <is>
          <t>Win</t>
        </is>
      </c>
      <c r="AE790" s="6">
        <f>IF((COUNTIF($AD$2:AD790,"Win")+COUNTIF($AD$2:AD790,"Loss"))=0,0,COUNTIF($AD$2:AD790,"Win")/(COUNTIF($AD$2:AD790,"Win")+COUNTIF($AD$2:AD790,"Loss")))</f>
        <v/>
      </c>
      <c r="AF790" s="6">
        <f>SUM($Y$2:Y790)/SUM($X$2:X790)</f>
        <v/>
      </c>
      <c r="AG790" s="5">
        <f>SUM($Y$2:Y790)</f>
        <v/>
      </c>
      <c r="AH790" s="7">
        <f>10000.0+SUM($AA$2:AA790)</f>
        <v/>
      </c>
      <c r="AI790" s="2" t="n">
        <v>2026</v>
      </c>
      <c r="AJ790" s="2" t="inlineStr">
        <is>
          <t>2026-05</t>
        </is>
      </c>
      <c r="AK790" s="2" t="inlineStr">
        <is>
          <t>+121 to +150</t>
        </is>
      </c>
      <c r="AL790" s="2" t="inlineStr">
        <is>
          <t>2026 Frozen Test</t>
        </is>
      </c>
      <c r="AM790" s="6" t="n">
        <v>0.1569922368104721</v>
      </c>
    </row>
    <row r="791">
      <c r="A791" s="2" t="inlineStr">
        <is>
          <t>KPROP-00790</t>
        </is>
      </c>
      <c r="B791" s="3" t="n">
        <v>46158.80251157407</v>
      </c>
      <c r="C791" s="3" t="n">
        <v>46158</v>
      </c>
      <c r="D791" s="2" t="inlineStr">
        <is>
          <t>Bryce Elder</t>
        </is>
      </c>
      <c r="E791" s="2" t="n">
        <v>144</v>
      </c>
      <c r="F791" s="2" t="n">
        <v>111</v>
      </c>
      <c r="G791" s="2" t="inlineStr">
        <is>
          <t>Home</t>
        </is>
      </c>
      <c r="H791" s="2" t="inlineStr">
        <is>
          <t>fanatics</t>
        </is>
      </c>
      <c r="I791" s="4" t="n"/>
      <c r="J791" s="4" t="n"/>
      <c r="K791" s="4" t="n">
        <v>-150</v>
      </c>
      <c r="L791" s="4" t="n">
        <v>-150</v>
      </c>
      <c r="M791" s="5" t="n">
        <v>5.5</v>
      </c>
      <c r="N791" s="5" t="n">
        <v>4.545353588940684</v>
      </c>
      <c r="O791" s="5" t="n">
        <v>5.5</v>
      </c>
      <c r="P791" s="5" t="n">
        <v>0.9546464110593158</v>
      </c>
      <c r="Q791" s="6" t="n">
        <v>0.1586065410735993</v>
      </c>
      <c r="R791" s="6" t="n">
        <v>0.6951639246441597</v>
      </c>
      <c r="S791" s="6" t="n">
        <v>0.5901639344262295</v>
      </c>
      <c r="T791" s="2" t="inlineStr">
        <is>
          <t>Under</t>
        </is>
      </c>
      <c r="U791" s="4" t="n">
        <v>-150</v>
      </c>
      <c r="V791" s="2" t="n">
        <v>1.666666666666667</v>
      </c>
      <c r="W791" s="4" t="n">
        <v>-150</v>
      </c>
      <c r="X791" s="2" t="n">
        <v>1</v>
      </c>
      <c r="Y791" s="5" t="n">
        <v>0.6666666666666665</v>
      </c>
      <c r="Z791" s="7" t="n">
        <v>100</v>
      </c>
      <c r="AA791" s="7">
        <f>Y791*Z791</f>
        <v/>
      </c>
      <c r="AB791" s="6">
        <f>IF(Z791=0,0,AA791/Z791)</f>
        <v/>
      </c>
      <c r="AC791" s="6" t="n"/>
      <c r="AD791" s="2" t="inlineStr">
        <is>
          <t>Win</t>
        </is>
      </c>
      <c r="AE791" s="6">
        <f>IF((COUNTIF($AD$2:AD791,"Win")+COUNTIF($AD$2:AD791,"Loss"))=0,0,COUNTIF($AD$2:AD791,"Win")/(COUNTIF($AD$2:AD791,"Win")+COUNTIF($AD$2:AD791,"Loss")))</f>
        <v/>
      </c>
      <c r="AF791" s="6">
        <f>SUM($Y$2:Y791)/SUM($X$2:X791)</f>
        <v/>
      </c>
      <c r="AG791" s="5">
        <f>SUM($Y$2:Y791)</f>
        <v/>
      </c>
      <c r="AH791" s="7">
        <f>10000.0+SUM($AA$2:AA791)</f>
        <v/>
      </c>
      <c r="AI791" s="2" t="n">
        <v>2026</v>
      </c>
      <c r="AJ791" s="2" t="inlineStr">
        <is>
          <t>2026-05</t>
        </is>
      </c>
      <c r="AK791" s="2" t="inlineStr">
        <is>
          <t>&lt;= -150</t>
        </is>
      </c>
      <c r="AL791" s="2" t="inlineStr">
        <is>
          <t>2026 Frozen Test</t>
        </is>
      </c>
      <c r="AM791" s="6" t="n">
        <v>0.2379098116103991</v>
      </c>
    </row>
    <row r="792">
      <c r="A792" s="2" t="inlineStr">
        <is>
          <t>KPROP-00791</t>
        </is>
      </c>
      <c r="B792" s="3" t="n">
        <v>46158.79903935185</v>
      </c>
      <c r="C792" s="3" t="n">
        <v>46158</v>
      </c>
      <c r="D792" s="2" t="inlineStr">
        <is>
          <t>Connor Prielipp</t>
        </is>
      </c>
      <c r="E792" s="2" t="n">
        <v>142</v>
      </c>
      <c r="F792" s="2" t="n">
        <v>158</v>
      </c>
      <c r="G792" s="2" t="inlineStr">
        <is>
          <t>Home</t>
        </is>
      </c>
      <c r="H792" s="2" t="inlineStr">
        <is>
          <t>betmgm</t>
        </is>
      </c>
      <c r="I792" s="4" t="n"/>
      <c r="J792" s="4" t="n"/>
      <c r="K792" s="4" t="n">
        <v>-105</v>
      </c>
      <c r="L792" s="4" t="n">
        <v>-105</v>
      </c>
      <c r="M792" s="5" t="n">
        <v>4.5</v>
      </c>
      <c r="N792" s="5" t="n">
        <v>4.340716604818487</v>
      </c>
      <c r="O792" s="5" t="n">
        <v>4.5</v>
      </c>
      <c r="P792" s="5" t="n">
        <v>0.1592833951815127</v>
      </c>
      <c r="Q792" s="6" t="n">
        <v>0.09837021533075285</v>
      </c>
      <c r="R792" s="6" t="n">
        <v>0.5625798663889222</v>
      </c>
      <c r="S792" s="6" t="n">
        <v>0.5060240963855421</v>
      </c>
      <c r="T792" s="2" t="inlineStr">
        <is>
          <t>Under</t>
        </is>
      </c>
      <c r="U792" s="4" t="n">
        <v>-105</v>
      </c>
      <c r="V792" s="2" t="n">
        <v>1.952380952380952</v>
      </c>
      <c r="W792" s="4" t="n">
        <v>-105</v>
      </c>
      <c r="X792" s="2" t="n">
        <v>1</v>
      </c>
      <c r="Y792" s="5" t="n">
        <v>-1</v>
      </c>
      <c r="Z792" s="7" t="n">
        <v>100</v>
      </c>
      <c r="AA792" s="7">
        <f>Y792*Z792</f>
        <v/>
      </c>
      <c r="AB792" s="6">
        <f>IF(Z792=0,0,AA792/Z792)</f>
        <v/>
      </c>
      <c r="AC792" s="6" t="n"/>
      <c r="AD792" s="2" t="inlineStr">
        <is>
          <t>Loss</t>
        </is>
      </c>
      <c r="AE792" s="6">
        <f>IF((COUNTIF($AD$2:AD792,"Win")+COUNTIF($AD$2:AD792,"Loss"))=0,0,COUNTIF($AD$2:AD792,"Win")/(COUNTIF($AD$2:AD792,"Win")+COUNTIF($AD$2:AD792,"Loss")))</f>
        <v/>
      </c>
      <c r="AF792" s="6">
        <f>SUM($Y$2:Y792)/SUM($X$2:X792)</f>
        <v/>
      </c>
      <c r="AG792" s="5">
        <f>SUM($Y$2:Y792)</f>
        <v/>
      </c>
      <c r="AH792" s="7">
        <f>10000.0+SUM($AA$2:AA792)</f>
        <v/>
      </c>
      <c r="AI792" s="2" t="n">
        <v>2026</v>
      </c>
      <c r="AJ792" s="2" t="inlineStr">
        <is>
          <t>2026-05</t>
        </is>
      </c>
      <c r="AK792" s="2" t="inlineStr">
        <is>
          <t>-119 to -101</t>
        </is>
      </c>
      <c r="AL792" s="2" t="inlineStr">
        <is>
          <t>2026 Frozen Test</t>
        </is>
      </c>
      <c r="AM792" s="6" t="n">
        <v>0.1032887260972905</v>
      </c>
    </row>
    <row r="793">
      <c r="A793" s="2" t="inlineStr">
        <is>
          <t>KPROP-00792</t>
        </is>
      </c>
      <c r="B793" s="3" t="n">
        <v>46158.63237268518</v>
      </c>
      <c r="C793" s="3" t="n">
        <v>46158</v>
      </c>
      <c r="D793" s="2" t="inlineStr">
        <is>
          <t>Eduardo Rodriguez</t>
        </is>
      </c>
      <c r="E793" s="2" t="n">
        <v>109</v>
      </c>
      <c r="F793" s="2" t="n">
        <v>115</v>
      </c>
      <c r="G793" s="2" t="inlineStr">
        <is>
          <t>Away</t>
        </is>
      </c>
      <c r="H793" s="2" t="inlineStr">
        <is>
          <t>betrivers</t>
        </is>
      </c>
      <c r="I793" s="4" t="n"/>
      <c r="J793" s="4" t="n"/>
      <c r="K793" s="4" t="n">
        <v>138</v>
      </c>
      <c r="L793" s="4" t="n">
        <v>138</v>
      </c>
      <c r="M793" s="5" t="n">
        <v>4.5</v>
      </c>
      <c r="N793" s="5" t="n">
        <v>4.924432550651909</v>
      </c>
      <c r="O793" s="5" t="n">
        <v>4.5</v>
      </c>
      <c r="P793" s="5" t="n">
        <v>-0.4244325506519093</v>
      </c>
      <c r="Q793" s="6" t="n">
        <v>0.08016670195097875</v>
      </c>
      <c r="R793" s="6" t="n">
        <v>0.4538515554415877</v>
      </c>
      <c r="S793" s="6" t="n">
        <v>0.408111210304808</v>
      </c>
      <c r="T793" s="2" t="inlineStr">
        <is>
          <t>Under</t>
        </is>
      </c>
      <c r="U793" s="4" t="n">
        <v>138</v>
      </c>
      <c r="V793" s="2" t="n">
        <v>2.38</v>
      </c>
      <c r="W793" s="4" t="n">
        <v>138</v>
      </c>
      <c r="X793" s="2" t="n">
        <v>1</v>
      </c>
      <c r="Y793" s="5" t="n">
        <v>-1</v>
      </c>
      <c r="Z793" s="7" t="n">
        <v>100</v>
      </c>
      <c r="AA793" s="7">
        <f>Y793*Z793</f>
        <v/>
      </c>
      <c r="AB793" s="6">
        <f>IF(Z793=0,0,AA793/Z793)</f>
        <v/>
      </c>
      <c r="AC793" s="6" t="n"/>
      <c r="AD793" s="2" t="inlineStr">
        <is>
          <t>Loss</t>
        </is>
      </c>
      <c r="AE793" s="6">
        <f>IF((COUNTIF($AD$2:AD793,"Win")+COUNTIF($AD$2:AD793,"Loss"))=0,0,COUNTIF($AD$2:AD793,"Win")/(COUNTIF($AD$2:AD793,"Win")+COUNTIF($AD$2:AD793,"Loss")))</f>
        <v/>
      </c>
      <c r="AF793" s="6">
        <f>SUM($Y$2:Y793)/SUM($X$2:X793)</f>
        <v/>
      </c>
      <c r="AG793" s="5">
        <f>SUM($Y$2:Y793)</f>
        <v/>
      </c>
      <c r="AH793" s="7">
        <f>10000.0+SUM($AA$2:AA793)</f>
        <v/>
      </c>
      <c r="AI793" s="2" t="n">
        <v>2026</v>
      </c>
      <c r="AJ793" s="2" t="inlineStr">
        <is>
          <t>2026-05</t>
        </is>
      </c>
      <c r="AK793" s="2" t="inlineStr">
        <is>
          <t>+121 to +150</t>
        </is>
      </c>
      <c r="AL793" s="2" t="inlineStr">
        <is>
          <t>2026 Frozen Test</t>
        </is>
      </c>
      <c r="AM793" s="6" t="n">
        <v>0.05809181300795562</v>
      </c>
    </row>
    <row r="794">
      <c r="A794" s="2" t="inlineStr">
        <is>
          <t>KPROP-00793</t>
        </is>
      </c>
      <c r="B794" s="3" t="n">
        <v>46158.79903935185</v>
      </c>
      <c r="C794" s="3" t="n">
        <v>46158</v>
      </c>
      <c r="D794" s="2" t="inlineStr">
        <is>
          <t>Jameson Taillon</t>
        </is>
      </c>
      <c r="E794" s="2" t="n">
        <v>112</v>
      </c>
      <c r="F794" s="2" t="n">
        <v>145</v>
      </c>
      <c r="G794" s="2" t="inlineStr">
        <is>
          <t>Away</t>
        </is>
      </c>
      <c r="H794" s="2" t="inlineStr">
        <is>
          <t>betmgm</t>
        </is>
      </c>
      <c r="I794" s="4" t="n"/>
      <c r="J794" s="4" t="n"/>
      <c r="K794" s="4" t="n">
        <v>120</v>
      </c>
      <c r="L794" s="4" t="n">
        <v>120</v>
      </c>
      <c r="M794" s="5" t="n">
        <v>4.5</v>
      </c>
      <c r="N794" s="5" t="n">
        <v>4.735276676572291</v>
      </c>
      <c r="O794" s="5" t="n">
        <v>4.5</v>
      </c>
      <c r="P794" s="5" t="n">
        <v>-0.2352766765722913</v>
      </c>
      <c r="Q794" s="6" t="n">
        <v>0.07382569714261678</v>
      </c>
      <c r="R794" s="6" t="n">
        <v>0.4881025896102803</v>
      </c>
      <c r="S794" s="6" t="n">
        <v>0.4337094499294781</v>
      </c>
      <c r="T794" s="2" t="inlineStr">
        <is>
          <t>Under</t>
        </is>
      </c>
      <c r="U794" s="4" t="n">
        <v>120</v>
      </c>
      <c r="V794" s="2" t="n">
        <v>2.2</v>
      </c>
      <c r="W794" s="4" t="n">
        <v>120</v>
      </c>
      <c r="X794" s="2" t="n">
        <v>1</v>
      </c>
      <c r="Y794" s="5" t="n">
        <v>1.2</v>
      </c>
      <c r="Z794" s="7" t="n">
        <v>100</v>
      </c>
      <c r="AA794" s="7">
        <f>Y794*Z794</f>
        <v/>
      </c>
      <c r="AB794" s="6">
        <f>IF(Z794=0,0,AA794/Z794)</f>
        <v/>
      </c>
      <c r="AC794" s="6" t="n"/>
      <c r="AD794" s="2" t="inlineStr">
        <is>
          <t>Win</t>
        </is>
      </c>
      <c r="AE794" s="6">
        <f>IF((COUNTIF($AD$2:AD794,"Win")+COUNTIF($AD$2:AD794,"Loss"))=0,0,COUNTIF($AD$2:AD794,"Win")/(COUNTIF($AD$2:AD794,"Win")+COUNTIF($AD$2:AD794,"Loss")))</f>
        <v/>
      </c>
      <c r="AF794" s="6">
        <f>SUM($Y$2:Y794)/SUM($X$2:X794)</f>
        <v/>
      </c>
      <c r="AG794" s="5">
        <f>SUM($Y$2:Y794)</f>
        <v/>
      </c>
      <c r="AH794" s="7">
        <f>10000.0+SUM($AA$2:AA794)</f>
        <v/>
      </c>
      <c r="AI794" s="2" t="n">
        <v>2026</v>
      </c>
      <c r="AJ794" s="2" t="inlineStr">
        <is>
          <t>2026-05</t>
        </is>
      </c>
      <c r="AK794" s="2" t="inlineStr">
        <is>
          <t>+100 to +120</t>
        </is>
      </c>
      <c r="AL794" s="2" t="inlineStr">
        <is>
          <t>2026 Frozen Test</t>
        </is>
      </c>
      <c r="AM794" s="6" t="n">
        <v>0.06152141428551397</v>
      </c>
    </row>
    <row r="795">
      <c r="A795" s="2" t="inlineStr">
        <is>
          <t>KPROP-00794</t>
        </is>
      </c>
      <c r="B795" s="3" t="n">
        <v>46158.80251157407</v>
      </c>
      <c r="C795" s="3" t="n">
        <v>46158</v>
      </c>
      <c r="D795" s="2" t="inlineStr">
        <is>
          <t>Logan Gilbert</t>
        </is>
      </c>
      <c r="E795" s="2" t="n">
        <v>136</v>
      </c>
      <c r="F795" s="2" t="n">
        <v>135</v>
      </c>
      <c r="G795" s="2" t="inlineStr">
        <is>
          <t>Home</t>
        </is>
      </c>
      <c r="H795" s="2" t="inlineStr">
        <is>
          <t>betrivers</t>
        </is>
      </c>
      <c r="I795" s="4" t="n"/>
      <c r="J795" s="4" t="n"/>
      <c r="K795" s="4" t="n">
        <v>138</v>
      </c>
      <c r="L795" s="4" t="n">
        <v>138</v>
      </c>
      <c r="M795" s="5" t="n">
        <v>5.5</v>
      </c>
      <c r="N795" s="5" t="n">
        <v>5.391261907081878</v>
      </c>
      <c r="O795" s="5" t="n">
        <v>5.5</v>
      </c>
      <c r="P795" s="5" t="n">
        <v>0.1087380929181219</v>
      </c>
      <c r="Q795" s="6" t="n">
        <v>0.3033896706452722</v>
      </c>
      <c r="R795" s="6" t="n">
        <v>0.5476427187585178</v>
      </c>
      <c r="S795" s="6" t="n">
        <v>0.3924905308228578</v>
      </c>
      <c r="T795" s="2" t="inlineStr">
        <is>
          <t>Under</t>
        </is>
      </c>
      <c r="U795" s="4" t="n">
        <v>138</v>
      </c>
      <c r="V795" s="2" t="n">
        <v>2.38</v>
      </c>
      <c r="W795" s="4" t="n">
        <v>138</v>
      </c>
      <c r="X795" s="2" t="n">
        <v>1</v>
      </c>
      <c r="Y795" s="5" t="n">
        <v>1.38</v>
      </c>
      <c r="Z795" s="7" t="n">
        <v>100</v>
      </c>
      <c r="AA795" s="7">
        <f>Y795*Z795</f>
        <v/>
      </c>
      <c r="AB795" s="6">
        <f>IF(Z795=0,0,AA795/Z795)</f>
        <v/>
      </c>
      <c r="AC795" s="6" t="n"/>
      <c r="AD795" s="2" t="inlineStr">
        <is>
          <t>Win</t>
        </is>
      </c>
      <c r="AE795" s="6">
        <f>IF((COUNTIF($AD$2:AD795,"Win")+COUNTIF($AD$2:AD795,"Loss"))=0,0,COUNTIF($AD$2:AD795,"Win")/(COUNTIF($AD$2:AD795,"Win")+COUNTIF($AD$2:AD795,"Loss")))</f>
        <v/>
      </c>
      <c r="AF795" s="6">
        <f>SUM($Y$2:Y795)/SUM($X$2:X795)</f>
        <v/>
      </c>
      <c r="AG795" s="5">
        <f>SUM($Y$2:Y795)</f>
        <v/>
      </c>
      <c r="AH795" s="7">
        <f>10000.0+SUM($AA$2:AA795)</f>
        <v/>
      </c>
      <c r="AI795" s="2" t="n">
        <v>2026</v>
      </c>
      <c r="AJ795" s="2" t="inlineStr">
        <is>
          <t>2026-05</t>
        </is>
      </c>
      <c r="AK795" s="2" t="inlineStr">
        <is>
          <t>+121 to +150</t>
        </is>
      </c>
      <c r="AL795" s="2" t="inlineStr">
        <is>
          <t>2026 Frozen Test</t>
        </is>
      </c>
      <c r="AM795" s="6" t="n">
        <v>0.2198475874241103</v>
      </c>
    </row>
    <row r="796">
      <c r="A796" s="2" t="inlineStr">
        <is>
          <t>KPROP-00795</t>
        </is>
      </c>
      <c r="B796" s="3" t="n">
        <v>46158.80251157407</v>
      </c>
      <c r="C796" s="3" t="n">
        <v>46158</v>
      </c>
      <c r="D796" s="2" t="inlineStr">
        <is>
          <t>Logan Gilbert</t>
        </is>
      </c>
      <c r="E796" s="2" t="n">
        <v>136</v>
      </c>
      <c r="F796" s="2" t="n">
        <v>135</v>
      </c>
      <c r="G796" s="2" t="inlineStr">
        <is>
          <t>Home</t>
        </is>
      </c>
      <c r="H796" s="2" t="inlineStr">
        <is>
          <t>bovada</t>
        </is>
      </c>
      <c r="I796" s="4" t="n"/>
      <c r="J796" s="4" t="n"/>
      <c r="K796" s="4" t="n">
        <v>-120</v>
      </c>
      <c r="L796" s="4" t="n">
        <v>-120</v>
      </c>
      <c r="M796" s="5" t="n">
        <v>6.5</v>
      </c>
      <c r="N796" s="5" t="n">
        <v>5.391261907081878</v>
      </c>
      <c r="O796" s="5" t="n">
        <v>6.5</v>
      </c>
      <c r="P796" s="5" t="n">
        <v>1.108738092918122</v>
      </c>
      <c r="Q796" s="6" t="n">
        <v>0.2888878877943292</v>
      </c>
      <c r="R796" s="6" t="n">
        <v>0.7030297569787249</v>
      </c>
      <c r="S796" s="6" t="n">
        <v>0.5338983050847457</v>
      </c>
      <c r="T796" s="2" t="inlineStr">
        <is>
          <t>Under</t>
        </is>
      </c>
      <c r="U796" s="4" t="n">
        <v>-120</v>
      </c>
      <c r="V796" s="2" t="n">
        <v>1.833333333333333</v>
      </c>
      <c r="W796" s="4" t="n">
        <v>-120</v>
      </c>
      <c r="X796" s="2" t="n">
        <v>1</v>
      </c>
      <c r="Y796" s="5" t="n">
        <v>0.8333333333333335</v>
      </c>
      <c r="Z796" s="7" t="n">
        <v>100</v>
      </c>
      <c r="AA796" s="7">
        <f>Y796*Z796</f>
        <v/>
      </c>
      <c r="AB796" s="6">
        <f>IF(Z796=0,0,AA796/Z796)</f>
        <v/>
      </c>
      <c r="AC796" s="6" t="n"/>
      <c r="AD796" s="2" t="inlineStr">
        <is>
          <t>Win</t>
        </is>
      </c>
      <c r="AE796" s="6">
        <f>IF((COUNTIF($AD$2:AD796,"Win")+COUNTIF($AD$2:AD796,"Loss"))=0,0,COUNTIF($AD$2:AD796,"Win")/(COUNTIF($AD$2:AD796,"Win")+COUNTIF($AD$2:AD796,"Loss")))</f>
        <v/>
      </c>
      <c r="AF796" s="6">
        <f>SUM($Y$2:Y796)/SUM($X$2:X796)</f>
        <v/>
      </c>
      <c r="AG796" s="5">
        <f>SUM($Y$2:Y796)</f>
        <v/>
      </c>
      <c r="AH796" s="7">
        <f>10000.0+SUM($AA$2:AA796)</f>
        <v/>
      </c>
      <c r="AI796" s="2" t="n">
        <v>2026</v>
      </c>
      <c r="AJ796" s="2" t="inlineStr">
        <is>
          <t>2026-05</t>
        </is>
      </c>
      <c r="AK796" s="2" t="inlineStr">
        <is>
          <t>-149 to -120</t>
        </is>
      </c>
      <c r="AL796" s="2" t="inlineStr">
        <is>
          <t>2026 Frozen Test</t>
        </is>
      </c>
      <c r="AM796" s="6" t="n">
        <v>0.3466654653531949</v>
      </c>
    </row>
    <row r="797">
      <c r="A797" s="2" t="inlineStr">
        <is>
          <t>KPROP-00796</t>
        </is>
      </c>
      <c r="B797" s="3" t="n">
        <v>46159.56987268518</v>
      </c>
      <c r="C797" s="3" t="n">
        <v>46159</v>
      </c>
      <c r="D797" s="2" t="inlineStr">
        <is>
          <t>Brady Singer</t>
        </is>
      </c>
      <c r="E797" s="2" t="n">
        <v>113</v>
      </c>
      <c r="F797" s="2" t="n">
        <v>114</v>
      </c>
      <c r="G797" s="2" t="inlineStr">
        <is>
          <t>Away</t>
        </is>
      </c>
      <c r="H797" s="2" t="inlineStr">
        <is>
          <t>betmgm</t>
        </is>
      </c>
      <c r="I797" s="4" t="n"/>
      <c r="J797" s="4" t="n"/>
      <c r="K797" s="4" t="n">
        <v>115</v>
      </c>
      <c r="L797" s="4" t="n">
        <v>115</v>
      </c>
      <c r="M797" s="5" t="n">
        <v>3.5</v>
      </c>
      <c r="N797" s="5" t="n">
        <v>3.537525422695188</v>
      </c>
      <c r="O797" s="5" t="n">
        <v>3.5</v>
      </c>
      <c r="P797" s="5" t="n">
        <v>-0.03752542269518777</v>
      </c>
      <c r="Q797" s="6" t="n">
        <v>0.1363983101485557</v>
      </c>
      <c r="R797" s="6" t="n">
        <v>0.5285573535574678</v>
      </c>
      <c r="S797" s="6" t="n">
        <v>0.4556962025316456</v>
      </c>
      <c r="T797" s="2" t="inlineStr">
        <is>
          <t>Under</t>
        </is>
      </c>
      <c r="U797" s="4" t="n">
        <v>115</v>
      </c>
      <c r="V797" s="2" t="n">
        <v>2.15</v>
      </c>
      <c r="W797" s="4" t="n">
        <v>115</v>
      </c>
      <c r="X797" s="2" t="n">
        <v>1</v>
      </c>
      <c r="Y797" s="5" t="n">
        <v>-1</v>
      </c>
      <c r="Z797" s="7" t="n">
        <v>100</v>
      </c>
      <c r="AA797" s="7">
        <f>Y797*Z797</f>
        <v/>
      </c>
      <c r="AB797" s="6">
        <f>IF(Z797=0,0,AA797/Z797)</f>
        <v/>
      </c>
      <c r="AC797" s="6" t="n"/>
      <c r="AD797" s="2" t="inlineStr">
        <is>
          <t>Loss</t>
        </is>
      </c>
      <c r="AE797" s="6">
        <f>IF((COUNTIF($AD$2:AD797,"Win")+COUNTIF($AD$2:AD797,"Loss"))=0,0,COUNTIF($AD$2:AD797,"Win")/(COUNTIF($AD$2:AD797,"Win")+COUNTIF($AD$2:AD797,"Loss")))</f>
        <v/>
      </c>
      <c r="AF797" s="6">
        <f>SUM($Y$2:Y797)/SUM($X$2:X797)</f>
        <v/>
      </c>
      <c r="AG797" s="5">
        <f>SUM($Y$2:Y797)</f>
        <v/>
      </c>
      <c r="AH797" s="7">
        <f>10000.0+SUM($AA$2:AA797)</f>
        <v/>
      </c>
      <c r="AI797" s="2" t="n">
        <v>2026</v>
      </c>
      <c r="AJ797" s="2" t="inlineStr">
        <is>
          <t>2026-05</t>
        </is>
      </c>
      <c r="AK797" s="2" t="inlineStr">
        <is>
          <t>+100 to +120</t>
        </is>
      </c>
      <c r="AL797" s="2" t="inlineStr">
        <is>
          <t>2026 Frozen Test</t>
        </is>
      </c>
      <c r="AM797" s="6" t="n">
        <v>0.1186072262161354</v>
      </c>
    </row>
    <row r="798">
      <c r="A798" s="2" t="inlineStr">
        <is>
          <t>KPROP-00797</t>
        </is>
      </c>
      <c r="B798" s="3" t="n">
        <v>46159.51085648148</v>
      </c>
      <c r="C798" s="3" t="n">
        <v>46159</v>
      </c>
      <c r="D798" s="2" t="inlineStr">
        <is>
          <t>Drew Rasmussen</t>
        </is>
      </c>
      <c r="E798" s="2" t="n">
        <v>139</v>
      </c>
      <c r="F798" s="2" t="n">
        <v>146</v>
      </c>
      <c r="G798" s="2" t="inlineStr">
        <is>
          <t>Home</t>
        </is>
      </c>
      <c r="H798" s="2" t="inlineStr">
        <is>
          <t>draftkings</t>
        </is>
      </c>
      <c r="I798" s="4" t="n"/>
      <c r="J798" s="4" t="n"/>
      <c r="K798" s="4" t="n">
        <v>-132</v>
      </c>
      <c r="L798" s="4" t="n">
        <v>-132</v>
      </c>
      <c r="M798" s="5" t="n">
        <v>5.5</v>
      </c>
      <c r="N798" s="5" t="n">
        <v>4.933067306663674</v>
      </c>
      <c r="O798" s="5" t="n">
        <v>5.5</v>
      </c>
      <c r="P798" s="5" t="n">
        <v>0.5669326933363257</v>
      </c>
      <c r="Q798" s="6" t="n">
        <v>0.103236266571441</v>
      </c>
      <c r="R798" s="6" t="n">
        <v>0.6277033930492681</v>
      </c>
      <c r="S798" s="6" t="n">
        <v>0.555895865237366</v>
      </c>
      <c r="T798" s="2" t="inlineStr">
        <is>
          <t>Under</t>
        </is>
      </c>
      <c r="U798" s="4" t="n">
        <v>-132</v>
      </c>
      <c r="V798" s="2" t="n">
        <v>1.757575757575758</v>
      </c>
      <c r="W798" s="4" t="n">
        <v>-132</v>
      </c>
      <c r="X798" s="2" t="n">
        <v>1</v>
      </c>
      <c r="Y798" s="5" t="n">
        <v>0.7575757575757576</v>
      </c>
      <c r="Z798" s="7" t="n">
        <v>100</v>
      </c>
      <c r="AA798" s="7">
        <f>Y798*Z798</f>
        <v/>
      </c>
      <c r="AB798" s="6">
        <f>IF(Z798=0,0,AA798/Z798)</f>
        <v/>
      </c>
      <c r="AC798" s="6" t="n"/>
      <c r="AD798" s="2" t="inlineStr">
        <is>
          <t>Win</t>
        </is>
      </c>
      <c r="AE798" s="6">
        <f>IF((COUNTIF($AD$2:AD798,"Win")+COUNTIF($AD$2:AD798,"Loss"))=0,0,COUNTIF($AD$2:AD798,"Win")/(COUNTIF($AD$2:AD798,"Win")+COUNTIF($AD$2:AD798,"Loss")))</f>
        <v/>
      </c>
      <c r="AF798" s="6">
        <f>SUM($Y$2:Y798)/SUM($X$2:X798)</f>
        <v/>
      </c>
      <c r="AG798" s="5">
        <f>SUM($Y$2:Y798)</f>
        <v/>
      </c>
      <c r="AH798" s="7">
        <f>10000.0+SUM($AA$2:AA798)</f>
        <v/>
      </c>
      <c r="AI798" s="2" t="n">
        <v>2026</v>
      </c>
      <c r="AJ798" s="2" t="inlineStr">
        <is>
          <t>2026-05</t>
        </is>
      </c>
      <c r="AK798" s="2" t="inlineStr">
        <is>
          <t>-149 to -120</t>
        </is>
      </c>
      <c r="AL798" s="2" t="inlineStr">
        <is>
          <t>2026 Frozen Test</t>
        </is>
      </c>
      <c r="AM798" s="6" t="n">
        <v>0.1362718718743021</v>
      </c>
    </row>
    <row r="799">
      <c r="A799" s="2" t="inlineStr">
        <is>
          <t>KPROP-00798</t>
        </is>
      </c>
      <c r="B799" s="3" t="n">
        <v>46159.80598379629</v>
      </c>
      <c r="C799" s="3" t="n">
        <v>46159</v>
      </c>
      <c r="D799" s="2" t="inlineStr">
        <is>
          <t>George Kirby</t>
        </is>
      </c>
      <c r="E799" s="2" t="n">
        <v>136</v>
      </c>
      <c r="F799" s="2" t="n">
        <v>135</v>
      </c>
      <c r="G799" s="2" t="inlineStr">
        <is>
          <t>Home</t>
        </is>
      </c>
      <c r="H799" s="2" t="inlineStr">
        <is>
          <t>fanduel</t>
        </is>
      </c>
      <c r="I799" s="4" t="n"/>
      <c r="J799" s="4" t="n"/>
      <c r="K799" s="4" t="n">
        <v>-122</v>
      </c>
      <c r="L799" s="4" t="n">
        <v>-122</v>
      </c>
      <c r="M799" s="5" t="n">
        <v>5.5</v>
      </c>
      <c r="N799" s="5" t="n">
        <v>4.996090581794658</v>
      </c>
      <c r="O799" s="5" t="n">
        <v>5.5</v>
      </c>
      <c r="P799" s="5" t="n">
        <v>0.5039094182053416</v>
      </c>
      <c r="Q799" s="6" t="n">
        <v>0.1220946870372602</v>
      </c>
      <c r="R799" s="6" t="n">
        <v>0.6166466298132691</v>
      </c>
      <c r="S799" s="6" t="n">
        <v>0.5357590966122961</v>
      </c>
      <c r="T799" s="2" t="inlineStr">
        <is>
          <t>Under</t>
        </is>
      </c>
      <c r="U799" s="4" t="n">
        <v>-122</v>
      </c>
      <c r="V799" s="2" t="n">
        <v>1.819672131147541</v>
      </c>
      <c r="W799" s="4" t="n">
        <v>-122</v>
      </c>
      <c r="X799" s="2" t="n">
        <v>1</v>
      </c>
      <c r="Y799" s="5" t="n">
        <v>-1</v>
      </c>
      <c r="Z799" s="7" t="n">
        <v>100</v>
      </c>
      <c r="AA799" s="7">
        <f>Y799*Z799</f>
        <v/>
      </c>
      <c r="AB799" s="6">
        <f>IF(Z799=0,0,AA799/Z799)</f>
        <v/>
      </c>
      <c r="AC799" s="6" t="n"/>
      <c r="AD799" s="2" t="inlineStr">
        <is>
          <t>Loss</t>
        </is>
      </c>
      <c r="AE799" s="6">
        <f>IF((COUNTIF($AD$2:AD799,"Win")+COUNTIF($AD$2:AD799,"Loss"))=0,0,COUNTIF($AD$2:AD799,"Win")/(COUNTIF($AD$2:AD799,"Win")+COUNTIF($AD$2:AD799,"Loss")))</f>
        <v/>
      </c>
      <c r="AF799" s="6">
        <f>SUM($Y$2:Y799)/SUM($X$2:X799)</f>
        <v/>
      </c>
      <c r="AG799" s="5">
        <f>SUM($Y$2:Y799)</f>
        <v/>
      </c>
      <c r="AH799" s="7">
        <f>10000.0+SUM($AA$2:AA799)</f>
        <v/>
      </c>
      <c r="AI799" s="2" t="n">
        <v>2026</v>
      </c>
      <c r="AJ799" s="2" t="inlineStr">
        <is>
          <t>2026-05</t>
        </is>
      </c>
      <c r="AK799" s="2" t="inlineStr">
        <is>
          <t>-149 to -120</t>
        </is>
      </c>
      <c r="AL799" s="2" t="inlineStr">
        <is>
          <t>2026 Frozen Test</t>
        </is>
      </c>
      <c r="AM799" s="6" t="n">
        <v>0.1489555181854575</v>
      </c>
    </row>
    <row r="800">
      <c r="A800" s="2" t="inlineStr">
        <is>
          <t>KPROP-00799</t>
        </is>
      </c>
      <c r="B800" s="3" t="n">
        <v>46159.56987268518</v>
      </c>
      <c r="C800" s="3" t="n">
        <v>46159</v>
      </c>
      <c r="D800" s="2" t="inlineStr">
        <is>
          <t>Jack Flaherty</t>
        </is>
      </c>
      <c r="E800" s="2" t="n">
        <v>116</v>
      </c>
      <c r="F800" s="2" t="n">
        <v>141</v>
      </c>
      <c r="G800" s="2" t="inlineStr">
        <is>
          <t>Home</t>
        </is>
      </c>
      <c r="H800" s="2" t="inlineStr">
        <is>
          <t>draftkings</t>
        </is>
      </c>
      <c r="I800" s="4" t="n"/>
      <c r="J800" s="4" t="n"/>
      <c r="K800" s="4" t="n">
        <v>117</v>
      </c>
      <c r="L800" s="4" t="n">
        <v>117</v>
      </c>
      <c r="M800" s="5" t="n">
        <v>4.5</v>
      </c>
      <c r="N800" s="5" t="n">
        <v>4.463247081439115</v>
      </c>
      <c r="O800" s="5" t="n">
        <v>4.5</v>
      </c>
      <c r="P800" s="5" t="n">
        <v>0.03675291856088503</v>
      </c>
      <c r="Q800" s="6" t="n">
        <v>0.1698329191519962</v>
      </c>
      <c r="R800" s="6" t="n">
        <v>0.5390935111299522</v>
      </c>
      <c r="S800" s="6" t="n">
        <v>0.450806706738374</v>
      </c>
      <c r="T800" s="2" t="inlineStr">
        <is>
          <t>Under</t>
        </is>
      </c>
      <c r="U800" s="4" t="n">
        <v>117</v>
      </c>
      <c r="V800" s="2" t="n">
        <v>2.17</v>
      </c>
      <c r="W800" s="4" t="n">
        <v>117</v>
      </c>
      <c r="X800" s="2" t="n">
        <v>1</v>
      </c>
      <c r="Y800" s="5" t="n">
        <v>1.17</v>
      </c>
      <c r="Z800" s="7" t="n">
        <v>100</v>
      </c>
      <c r="AA800" s="7">
        <f>Y800*Z800</f>
        <v/>
      </c>
      <c r="AB800" s="6">
        <f>IF(Z800=0,0,AA800/Z800)</f>
        <v/>
      </c>
      <c r="AC800" s="6" t="n"/>
      <c r="AD800" s="2" t="inlineStr">
        <is>
          <t>Win</t>
        </is>
      </c>
      <c r="AE800" s="6">
        <f>IF((COUNTIF($AD$2:AD800,"Win")+COUNTIF($AD$2:AD800,"Loss"))=0,0,COUNTIF($AD$2:AD800,"Win")/(COUNTIF($AD$2:AD800,"Win")+COUNTIF($AD$2:AD800,"Loss")))</f>
        <v/>
      </c>
      <c r="AF800" s="6">
        <f>SUM($Y$2:Y800)/SUM($X$2:X800)</f>
        <v/>
      </c>
      <c r="AG800" s="5">
        <f>SUM($Y$2:Y800)</f>
        <v/>
      </c>
      <c r="AH800" s="7">
        <f>10000.0+SUM($AA$2:AA800)</f>
        <v/>
      </c>
      <c r="AI800" s="2" t="n">
        <v>2026</v>
      </c>
      <c r="AJ800" s="2" t="inlineStr">
        <is>
          <t>2026-05</t>
        </is>
      </c>
      <c r="AK800" s="2" t="inlineStr">
        <is>
          <t>+100 to +120</t>
        </is>
      </c>
      <c r="AL800" s="2" t="inlineStr">
        <is>
          <t>2026 Frozen Test</t>
        </is>
      </c>
      <c r="AM800" s="6" t="n">
        <v>0.1451563411555523</v>
      </c>
    </row>
    <row r="801">
      <c r="A801" s="2" t="inlineStr">
        <is>
          <t>KPROP-00800</t>
        </is>
      </c>
      <c r="B801" s="3" t="n">
        <v>46159.67056712963</v>
      </c>
      <c r="C801" s="3" t="n">
        <v>46159</v>
      </c>
      <c r="D801" s="2" t="inlineStr">
        <is>
          <t>Jeffrey Springs</t>
        </is>
      </c>
      <c r="E801" s="2" t="n">
        <v>133</v>
      </c>
      <c r="F801" s="2" t="n">
        <v>137</v>
      </c>
      <c r="G801" s="2" t="inlineStr">
        <is>
          <t>Home</t>
        </is>
      </c>
      <c r="H801" s="2" t="inlineStr">
        <is>
          <t>draftkings</t>
        </is>
      </c>
      <c r="I801" s="4" t="n"/>
      <c r="J801" s="4" t="n"/>
      <c r="K801" s="4" t="n">
        <v>104</v>
      </c>
      <c r="L801" s="4" t="n">
        <v>104</v>
      </c>
      <c r="M801" s="5" t="n">
        <v>4.5</v>
      </c>
      <c r="N801" s="5" t="n">
        <v>4.093467296794532</v>
      </c>
      <c r="O801" s="5" t="n">
        <v>4.5</v>
      </c>
      <c r="P801" s="5" t="n">
        <v>0.4065327032054675</v>
      </c>
      <c r="Q801" s="6" t="n">
        <v>0.2455895144112976</v>
      </c>
      <c r="R801" s="6" t="n">
        <v>0.6105830952996557</v>
      </c>
      <c r="S801" s="6" t="n">
        <v>0.478202846975089</v>
      </c>
      <c r="T801" s="2" t="inlineStr">
        <is>
          <t>Under</t>
        </is>
      </c>
      <c r="U801" s="4" t="n">
        <v>104</v>
      </c>
      <c r="V801" s="2" t="n">
        <v>2.04</v>
      </c>
      <c r="W801" s="4" t="n">
        <v>104</v>
      </c>
      <c r="X801" s="2" t="n">
        <v>1</v>
      </c>
      <c r="Y801" s="5" t="n">
        <v>1.04</v>
      </c>
      <c r="Z801" s="7" t="n">
        <v>100</v>
      </c>
      <c r="AA801" s="7">
        <f>Y801*Z801</f>
        <v/>
      </c>
      <c r="AB801" s="6">
        <f>IF(Z801=0,0,AA801/Z801)</f>
        <v/>
      </c>
      <c r="AC801" s="6" t="n"/>
      <c r="AD801" s="2" t="inlineStr">
        <is>
          <t>Win</t>
        </is>
      </c>
      <c r="AE801" s="6">
        <f>IF((COUNTIF($AD$2:AD801,"Win")+COUNTIF($AD$2:AD801,"Loss"))=0,0,COUNTIF($AD$2:AD801,"Win")/(COUNTIF($AD$2:AD801,"Win")+COUNTIF($AD$2:AD801,"Loss")))</f>
        <v/>
      </c>
      <c r="AF801" s="6">
        <f>SUM($Y$2:Y801)/SUM($X$2:X801)</f>
        <v/>
      </c>
      <c r="AG801" s="5">
        <f>SUM($Y$2:Y801)</f>
        <v/>
      </c>
      <c r="AH801" s="7">
        <f>10000.0+SUM($AA$2:AA801)</f>
        <v/>
      </c>
      <c r="AI801" s="2" t="n">
        <v>2026</v>
      </c>
      <c r="AJ801" s="2" t="inlineStr">
        <is>
          <t>2026-05</t>
        </is>
      </c>
      <c r="AK801" s="2" t="inlineStr">
        <is>
          <t>+100 to +120</t>
        </is>
      </c>
      <c r="AL801" s="2" t="inlineStr">
        <is>
          <t>2026 Frozen Test</t>
        </is>
      </c>
      <c r="AM801" s="6" t="n">
        <v>0.2361437638570169</v>
      </c>
    </row>
    <row r="802">
      <c r="A802" s="2" t="inlineStr">
        <is>
          <t>KPROP-00801</t>
        </is>
      </c>
      <c r="B802" s="3" t="n">
        <v>46159.56987268518</v>
      </c>
      <c r="C802" s="3" t="n">
        <v>46159</v>
      </c>
      <c r="D802" s="2" t="inlineStr">
        <is>
          <t>Kevin Gausman</t>
        </is>
      </c>
      <c r="E802" s="2" t="n">
        <v>141</v>
      </c>
      <c r="F802" s="2" t="n">
        <v>116</v>
      </c>
      <c r="G802" s="2" t="inlineStr">
        <is>
          <t>Away</t>
        </is>
      </c>
      <c r="H802" s="2" t="inlineStr">
        <is>
          <t>draftkings</t>
        </is>
      </c>
      <c r="I802" s="4" t="n"/>
      <c r="J802" s="4" t="n"/>
      <c r="K802" s="4" t="n">
        <v>-103</v>
      </c>
      <c r="L802" s="4" t="n">
        <v>-103</v>
      </c>
      <c r="M802" s="5" t="n">
        <v>5.5</v>
      </c>
      <c r="N802" s="5" t="n">
        <v>5.35443649247038</v>
      </c>
      <c r="O802" s="5" t="n">
        <v>5.5</v>
      </c>
      <c r="P802" s="5" t="n">
        <v>0.1455635075296202</v>
      </c>
      <c r="Q802" s="6" t="n">
        <v>0.091902082745563</v>
      </c>
      <c r="R802" s="6" t="n">
        <v>0.5540192833635122</v>
      </c>
      <c r="S802" s="6" t="n">
        <v>0.4976431769974075</v>
      </c>
      <c r="T802" s="2" t="inlineStr">
        <is>
          <t>Under</t>
        </is>
      </c>
      <c r="U802" s="4" t="n">
        <v>-103</v>
      </c>
      <c r="V802" s="2" t="n">
        <v>1.970873786407767</v>
      </c>
      <c r="W802" s="4" t="n">
        <v>-103</v>
      </c>
      <c r="X802" s="2" t="n">
        <v>1</v>
      </c>
      <c r="Y802" s="5" t="n">
        <v>0.970873786407767</v>
      </c>
      <c r="Z802" s="7" t="n">
        <v>100</v>
      </c>
      <c r="AA802" s="7">
        <f>Y802*Z802</f>
        <v/>
      </c>
      <c r="AB802" s="6">
        <f>IF(Z802=0,0,AA802/Z802)</f>
        <v/>
      </c>
      <c r="AC802" s="6" t="n"/>
      <c r="AD802" s="2" t="inlineStr">
        <is>
          <t>Win</t>
        </is>
      </c>
      <c r="AE802" s="6">
        <f>IF((COUNTIF($AD$2:AD802,"Win")+COUNTIF($AD$2:AD802,"Loss"))=0,0,COUNTIF($AD$2:AD802,"Win")/(COUNTIF($AD$2:AD802,"Win")+COUNTIF($AD$2:AD802,"Loss")))</f>
        <v/>
      </c>
      <c r="AF802" s="6">
        <f>SUM($Y$2:Y802)/SUM($X$2:X802)</f>
        <v/>
      </c>
      <c r="AG802" s="5">
        <f>SUM($Y$2:Y802)</f>
        <v/>
      </c>
      <c r="AH802" s="7">
        <f>10000.0+SUM($AA$2:AA802)</f>
        <v/>
      </c>
      <c r="AI802" s="2" t="n">
        <v>2026</v>
      </c>
      <c r="AJ802" s="2" t="inlineStr">
        <is>
          <t>2026-05</t>
        </is>
      </c>
      <c r="AK802" s="2" t="inlineStr">
        <is>
          <t>-119 to -101</t>
        </is>
      </c>
      <c r="AL802" s="2" t="inlineStr">
        <is>
          <t>2026 Frozen Test</t>
        </is>
      </c>
      <c r="AM802" s="6" t="n">
        <v>0.09465914522792988</v>
      </c>
    </row>
    <row r="803">
      <c r="A803" s="2" t="inlineStr">
        <is>
          <t>KPROP-00802</t>
        </is>
      </c>
      <c r="B803" s="3" t="n">
        <v>46159.56640046297</v>
      </c>
      <c r="C803" s="3" t="n">
        <v>46159</v>
      </c>
      <c r="D803" s="2" t="inlineStr">
        <is>
          <t>Paul Skenes</t>
        </is>
      </c>
      <c r="E803" s="2" t="n">
        <v>134</v>
      </c>
      <c r="F803" s="2" t="n">
        <v>143</v>
      </c>
      <c r="G803" s="2" t="inlineStr">
        <is>
          <t>Home</t>
        </is>
      </c>
      <c r="H803" s="2" t="inlineStr">
        <is>
          <t>betonlineag</t>
        </is>
      </c>
      <c r="I803" s="4" t="n"/>
      <c r="J803" s="4" t="n"/>
      <c r="K803" s="4" t="n">
        <v>120</v>
      </c>
      <c r="L803" s="4" t="n">
        <v>120</v>
      </c>
      <c r="M803" s="5" t="n">
        <v>6.5</v>
      </c>
      <c r="N803" s="5" t="n">
        <v>6.363995202694983</v>
      </c>
      <c r="O803" s="5" t="n">
        <v>6.5</v>
      </c>
      <c r="P803" s="5" t="n">
        <v>0.1360047973050174</v>
      </c>
      <c r="Q803" s="6" t="n">
        <v>0.2056988700100352</v>
      </c>
      <c r="R803" s="6" t="n">
        <v>0.5480449409136523</v>
      </c>
      <c r="S803" s="6" t="n">
        <v>0.4379562043795621</v>
      </c>
      <c r="T803" s="2" t="inlineStr">
        <is>
          <t>Under</t>
        </is>
      </c>
      <c r="U803" s="4" t="n">
        <v>120</v>
      </c>
      <c r="V803" s="2" t="n">
        <v>2.2</v>
      </c>
      <c r="W803" s="4" t="n">
        <v>120</v>
      </c>
      <c r="X803" s="2" t="n">
        <v>1</v>
      </c>
      <c r="Y803" s="5" t="n">
        <v>-1</v>
      </c>
      <c r="Z803" s="7" t="n">
        <v>100</v>
      </c>
      <c r="AA803" s="7">
        <f>Y803*Z803</f>
        <v/>
      </c>
      <c r="AB803" s="6">
        <f>IF(Z803=0,0,AA803/Z803)</f>
        <v/>
      </c>
      <c r="AC803" s="6" t="n"/>
      <c r="AD803" s="2" t="inlineStr">
        <is>
          <t>Loss</t>
        </is>
      </c>
      <c r="AE803" s="6">
        <f>IF((COUNTIF($AD$2:AD803,"Win")+COUNTIF($AD$2:AD803,"Loss"))=0,0,COUNTIF($AD$2:AD803,"Win")/(COUNTIF($AD$2:AD803,"Win")+COUNTIF($AD$2:AD803,"Loss")))</f>
        <v/>
      </c>
      <c r="AF803" s="6">
        <f>SUM($Y$2:Y803)/SUM($X$2:X803)</f>
        <v/>
      </c>
      <c r="AG803" s="5">
        <f>SUM($Y$2:Y803)</f>
        <v/>
      </c>
      <c r="AH803" s="7">
        <f>10000.0+SUM($AA$2:AA803)</f>
        <v/>
      </c>
      <c r="AI803" s="2" t="n">
        <v>2026</v>
      </c>
      <c r="AJ803" s="2" t="inlineStr">
        <is>
          <t>2026-05</t>
        </is>
      </c>
      <c r="AK803" s="2" t="inlineStr">
        <is>
          <t>+100 to +120</t>
        </is>
      </c>
      <c r="AL803" s="2" t="inlineStr">
        <is>
          <t>2026 Frozen Test</t>
        </is>
      </c>
      <c r="AM803" s="6" t="n">
        <v>0.1714157250083626</v>
      </c>
    </row>
    <row r="804">
      <c r="A804" s="2" t="inlineStr">
        <is>
          <t>KPROP-00803</t>
        </is>
      </c>
      <c r="B804" s="3" t="n">
        <v>46160.77821759259</v>
      </c>
      <c r="C804" s="3" t="n">
        <v>46160</v>
      </c>
      <c r="D804" s="2" t="inlineStr">
        <is>
          <t>Max Meyer</t>
        </is>
      </c>
      <c r="E804" s="2" t="n">
        <v>146</v>
      </c>
      <c r="F804" s="2" t="n">
        <v>144</v>
      </c>
      <c r="G804" s="2" t="inlineStr">
        <is>
          <t>Home</t>
        </is>
      </c>
      <c r="H804" s="2" t="inlineStr">
        <is>
          <t>betmgm</t>
        </is>
      </c>
      <c r="I804" s="4" t="n"/>
      <c r="J804" s="4" t="n"/>
      <c r="K804" s="4" t="n">
        <v>-135</v>
      </c>
      <c r="L804" s="4" t="n">
        <v>-135</v>
      </c>
      <c r="M804" s="5" t="n">
        <v>5.5</v>
      </c>
      <c r="N804" s="5" t="n">
        <v>4.990965950914164</v>
      </c>
      <c r="O804" s="5" t="n">
        <v>5.5</v>
      </c>
      <c r="P804" s="5" t="n">
        <v>0.5090340490858365</v>
      </c>
      <c r="Q804" s="6" t="n">
        <v>0.07498718790239645</v>
      </c>
      <c r="R804" s="6" t="n">
        <v>0.6175458313481852</v>
      </c>
      <c r="S804" s="6" t="n">
        <v>0.54911742133538</v>
      </c>
      <c r="T804" s="2" t="inlineStr">
        <is>
          <t>Under</t>
        </is>
      </c>
      <c r="U804" s="4" t="n">
        <v>-135</v>
      </c>
      <c r="V804" s="2" t="n">
        <v>1.740740740740741</v>
      </c>
      <c r="W804" s="4" t="n">
        <v>-135</v>
      </c>
      <c r="X804" s="2" t="n">
        <v>1</v>
      </c>
      <c r="Y804" s="5" t="n">
        <v>-1</v>
      </c>
      <c r="Z804" s="7" t="n">
        <v>100</v>
      </c>
      <c r="AA804" s="7">
        <f>Y804*Z804</f>
        <v/>
      </c>
      <c r="AB804" s="6">
        <f>IF(Z804=0,0,AA804/Z804)</f>
        <v/>
      </c>
      <c r="AC804" s="6" t="n"/>
      <c r="AD804" s="2" t="inlineStr">
        <is>
          <t>Loss</t>
        </is>
      </c>
      <c r="AE804" s="6">
        <f>IF((COUNTIF($AD$2:AD804,"Win")+COUNTIF($AD$2:AD804,"Loss"))=0,0,COUNTIF($AD$2:AD804,"Win")/(COUNTIF($AD$2:AD804,"Win")+COUNTIF($AD$2:AD804,"Loss")))</f>
        <v/>
      </c>
      <c r="AF804" s="6">
        <f>SUM($Y$2:Y804)/SUM($X$2:X804)</f>
        <v/>
      </c>
      <c r="AG804" s="5">
        <f>SUM($Y$2:Y804)</f>
        <v/>
      </c>
      <c r="AH804" s="7">
        <f>10000.0+SUM($AA$2:AA804)</f>
        <v/>
      </c>
      <c r="AI804" s="2" t="n">
        <v>2026</v>
      </c>
      <c r="AJ804" s="2" t="inlineStr">
        <is>
          <t>2026-05</t>
        </is>
      </c>
      <c r="AK804" s="2" t="inlineStr">
        <is>
          <t>-149 to -120</t>
        </is>
      </c>
      <c r="AL804" s="2" t="inlineStr">
        <is>
          <t>2026 Frozen Test</t>
        </is>
      </c>
      <c r="AM804" s="6" t="n">
        <v>0.1012327036682352</v>
      </c>
    </row>
    <row r="805">
      <c r="A805" s="2" t="inlineStr">
        <is>
          <t>KPROP-00804</t>
        </is>
      </c>
      <c r="B805" s="3" t="n">
        <v>46160.77821759259</v>
      </c>
      <c r="C805" s="3" t="n">
        <v>46160</v>
      </c>
      <c r="D805" s="2" t="inlineStr">
        <is>
          <t>Nick Lodolo</t>
        </is>
      </c>
      <c r="E805" s="2" t="n">
        <v>113</v>
      </c>
      <c r="F805" s="2" t="n">
        <v>143</v>
      </c>
      <c r="G805" s="2" t="inlineStr">
        <is>
          <t>Away</t>
        </is>
      </c>
      <c r="H805" s="2" t="inlineStr">
        <is>
          <t>fanduel</t>
        </is>
      </c>
      <c r="I805" s="4" t="n"/>
      <c r="J805" s="4" t="n"/>
      <c r="K805" s="4" t="n">
        <v>-114</v>
      </c>
      <c r="L805" s="4" t="n">
        <v>-114</v>
      </c>
      <c r="M805" s="5" t="n">
        <v>5.5</v>
      </c>
      <c r="N805" s="5" t="n">
        <v>5.151020804321039</v>
      </c>
      <c r="O805" s="5" t="n">
        <v>5.5</v>
      </c>
      <c r="P805" s="5" t="n">
        <v>0.348979195678961</v>
      </c>
      <c r="Q805" s="6" t="n">
        <v>0.1065700943143879</v>
      </c>
      <c r="R805" s="6" t="n">
        <v>0.589481265195515</v>
      </c>
      <c r="S805" s="6" t="n">
        <v>0.529194350332204</v>
      </c>
      <c r="T805" s="2" t="inlineStr">
        <is>
          <t>Under</t>
        </is>
      </c>
      <c r="U805" s="4" t="n">
        <v>-114</v>
      </c>
      <c r="V805" s="2" t="n">
        <v>1.87719298245614</v>
      </c>
      <c r="W805" s="4" t="n">
        <v>-114</v>
      </c>
      <c r="X805" s="2" t="n">
        <v>1</v>
      </c>
      <c r="Y805" s="5" t="n">
        <v>0.8771929824561404</v>
      </c>
      <c r="Z805" s="7" t="n">
        <v>100</v>
      </c>
      <c r="AA805" s="7">
        <f>Y805*Z805</f>
        <v/>
      </c>
      <c r="AB805" s="6">
        <f>IF(Z805=0,0,AA805/Z805)</f>
        <v/>
      </c>
      <c r="AC805" s="6" t="n"/>
      <c r="AD805" s="2" t="inlineStr">
        <is>
          <t>Win</t>
        </is>
      </c>
      <c r="AE805" s="6">
        <f>IF((COUNTIF($AD$2:AD805,"Win")+COUNTIF($AD$2:AD805,"Loss"))=0,0,COUNTIF($AD$2:AD805,"Win")/(COUNTIF($AD$2:AD805,"Win")+COUNTIF($AD$2:AD805,"Loss")))</f>
        <v/>
      </c>
      <c r="AF805" s="6">
        <f>SUM($Y$2:Y805)/SUM($X$2:X805)</f>
        <v/>
      </c>
      <c r="AG805" s="5">
        <f>SUM($Y$2:Y805)</f>
        <v/>
      </c>
      <c r="AH805" s="7">
        <f>10000.0+SUM($AA$2:AA805)</f>
        <v/>
      </c>
      <c r="AI805" s="2" t="n">
        <v>2026</v>
      </c>
      <c r="AJ805" s="2" t="inlineStr">
        <is>
          <t>2026-05</t>
        </is>
      </c>
      <c r="AK805" s="2" t="inlineStr">
        <is>
          <t>-119 to -101</t>
        </is>
      </c>
      <c r="AL805" s="2" t="inlineStr">
        <is>
          <t>2026 Frozen Test</t>
        </is>
      </c>
      <c r="AM805" s="6" t="n">
        <v>0.1214899075184022</v>
      </c>
    </row>
    <row r="806">
      <c r="A806" s="2" t="inlineStr">
        <is>
          <t>KPROP-00805</t>
        </is>
      </c>
      <c r="B806" s="3" t="n">
        <v>46160.79556712963</v>
      </c>
      <c r="C806" s="3" t="n">
        <v>46160</v>
      </c>
      <c r="D806" s="2" t="inlineStr">
        <is>
          <t>Patrick Corbin</t>
        </is>
      </c>
      <c r="E806" s="2" t="n">
        <v>141</v>
      </c>
      <c r="F806" s="2" t="n">
        <v>147</v>
      </c>
      <c r="G806" s="2" t="inlineStr">
        <is>
          <t>Away</t>
        </is>
      </c>
      <c r="H806" s="2" t="inlineStr">
        <is>
          <t>draftkings</t>
        </is>
      </c>
      <c r="I806" s="4" t="n"/>
      <c r="J806" s="4" t="n"/>
      <c r="K806" s="4" t="n">
        <v>124</v>
      </c>
      <c r="L806" s="4" t="n">
        <v>124</v>
      </c>
      <c r="M806" s="5" t="n">
        <v>3.5</v>
      </c>
      <c r="N806" s="5" t="n">
        <v>3.588827445991503</v>
      </c>
      <c r="O806" s="5" t="n">
        <v>3.5</v>
      </c>
      <c r="P806" s="5" t="n">
        <v>-0.08882744599150261</v>
      </c>
      <c r="Q806" s="6" t="n">
        <v>0.1594063820859204</v>
      </c>
      <c r="R806" s="6" t="n">
        <v>0.5175921348597858</v>
      </c>
      <c r="S806" s="6" t="n">
        <v>0.4266211604095563</v>
      </c>
      <c r="T806" s="2" t="inlineStr">
        <is>
          <t>Under</t>
        </is>
      </c>
      <c r="U806" s="4" t="n">
        <v>124</v>
      </c>
      <c r="V806" s="2" t="n">
        <v>2.24</v>
      </c>
      <c r="W806" s="4" t="n">
        <v>124</v>
      </c>
      <c r="X806" s="2" t="n">
        <v>1</v>
      </c>
      <c r="Y806" s="5" t="n">
        <v>1.24</v>
      </c>
      <c r="Z806" s="7" t="n">
        <v>100</v>
      </c>
      <c r="AA806" s="7">
        <f>Y806*Z806</f>
        <v/>
      </c>
      <c r="AB806" s="6">
        <f>IF(Z806=0,0,AA806/Z806)</f>
        <v/>
      </c>
      <c r="AC806" s="6" t="n"/>
      <c r="AD806" s="2" t="inlineStr">
        <is>
          <t>Win</t>
        </is>
      </c>
      <c r="AE806" s="6">
        <f>IF((COUNTIF($AD$2:AD806,"Win")+COUNTIF($AD$2:AD806,"Loss"))=0,0,COUNTIF($AD$2:AD806,"Win")/(COUNTIF($AD$2:AD806,"Win")+COUNTIF($AD$2:AD806,"Loss")))</f>
        <v/>
      </c>
      <c r="AF806" s="6">
        <f>SUM($Y$2:Y806)/SUM($X$2:X806)</f>
        <v/>
      </c>
      <c r="AG806" s="5">
        <f>SUM($Y$2:Y806)</f>
        <v/>
      </c>
      <c r="AH806" s="7">
        <f>10000.0+SUM($AA$2:AA806)</f>
        <v/>
      </c>
      <c r="AI806" s="2" t="n">
        <v>2026</v>
      </c>
      <c r="AJ806" s="2" t="inlineStr">
        <is>
          <t>2026-05</t>
        </is>
      </c>
      <c r="AK806" s="2" t="inlineStr">
        <is>
          <t>+121 to +150</t>
        </is>
      </c>
      <c r="AL806" s="2" t="inlineStr">
        <is>
          <t>2026 Frozen Test</t>
        </is>
      </c>
      <c r="AM806" s="6" t="n">
        <v>0.1285535339402584</v>
      </c>
    </row>
    <row r="807">
      <c r="A807" s="2" t="inlineStr">
        <is>
          <t>KPROP-00806</t>
        </is>
      </c>
      <c r="B807" s="3" t="n">
        <v>46160.77821759259</v>
      </c>
      <c r="C807" s="3" t="n">
        <v>46160</v>
      </c>
      <c r="D807" s="2" t="inlineStr">
        <is>
          <t>Shane McClanahan</t>
        </is>
      </c>
      <c r="E807" s="2" t="n">
        <v>139</v>
      </c>
      <c r="F807" s="2" t="n">
        <v>110</v>
      </c>
      <c r="G807" s="2" t="inlineStr">
        <is>
          <t>Home</t>
        </is>
      </c>
      <c r="H807" s="2" t="inlineStr">
        <is>
          <t>draftkings</t>
        </is>
      </c>
      <c r="I807" s="4" t="n"/>
      <c r="J807" s="4" t="n"/>
      <c r="K807" s="4" t="n">
        <v>120</v>
      </c>
      <c r="L807" s="4" t="n">
        <v>120</v>
      </c>
      <c r="M807" s="5" t="n">
        <v>5.5</v>
      </c>
      <c r="N807" s="5" t="n">
        <v>5.689556575634784</v>
      </c>
      <c r="O807" s="5" t="n">
        <v>5.5</v>
      </c>
      <c r="P807" s="5" t="n">
        <v>-0.1895565756347839</v>
      </c>
      <c r="Q807" s="6" t="n">
        <v>0.09282378762378961</v>
      </c>
      <c r="R807" s="6" t="n">
        <v>0.4967380852835407</v>
      </c>
      <c r="S807" s="6" t="n">
        <v>0.4425113464447806</v>
      </c>
      <c r="T807" s="2" t="inlineStr">
        <is>
          <t>Under</t>
        </is>
      </c>
      <c r="U807" s="4" t="n">
        <v>120</v>
      </c>
      <c r="V807" s="2" t="n">
        <v>2.2</v>
      </c>
      <c r="W807" s="4" t="n">
        <v>120</v>
      </c>
      <c r="X807" s="2" t="n">
        <v>1</v>
      </c>
      <c r="Y807" s="5" t="n">
        <v>-1</v>
      </c>
      <c r="Z807" s="7" t="n">
        <v>100</v>
      </c>
      <c r="AA807" s="7">
        <f>Y807*Z807</f>
        <v/>
      </c>
      <c r="AB807" s="6">
        <f>IF(Z807=0,0,AA807/Z807)</f>
        <v/>
      </c>
      <c r="AC807" s="6" t="n"/>
      <c r="AD807" s="2" t="inlineStr">
        <is>
          <t>Loss</t>
        </is>
      </c>
      <c r="AE807" s="6">
        <f>IF((COUNTIF($AD$2:AD807,"Win")+COUNTIF($AD$2:AD807,"Loss"))=0,0,COUNTIF($AD$2:AD807,"Win")/(COUNTIF($AD$2:AD807,"Win")+COUNTIF($AD$2:AD807,"Loss")))</f>
        <v/>
      </c>
      <c r="AF807" s="6">
        <f>SUM($Y$2:Y807)/SUM($X$2:X807)</f>
        <v/>
      </c>
      <c r="AG807" s="5">
        <f>SUM($Y$2:Y807)</f>
        <v/>
      </c>
      <c r="AH807" s="7">
        <f>10000.0+SUM($AA$2:AA807)</f>
        <v/>
      </c>
      <c r="AI807" s="2" t="n">
        <v>2026</v>
      </c>
      <c r="AJ807" s="2" t="inlineStr">
        <is>
          <t>2026-05</t>
        </is>
      </c>
      <c r="AK807" s="2" t="inlineStr">
        <is>
          <t>+100 to +120</t>
        </is>
      </c>
      <c r="AL807" s="2" t="inlineStr">
        <is>
          <t>2026 Frozen Test</t>
        </is>
      </c>
      <c r="AM807" s="6" t="n">
        <v>0.07735315635315801</v>
      </c>
    </row>
    <row r="808">
      <c r="A808" s="2" t="inlineStr">
        <is>
          <t>KPROP-00807</t>
        </is>
      </c>
      <c r="B808" s="3" t="n">
        <v>46161.67403935185</v>
      </c>
      <c r="C808" s="3" t="n">
        <v>46161</v>
      </c>
      <c r="D808" s="2" t="inlineStr">
        <is>
          <t>Braxton Garrett</t>
        </is>
      </c>
      <c r="E808" s="2" t="n">
        <v>146</v>
      </c>
      <c r="F808" s="2" t="n">
        <v>144</v>
      </c>
      <c r="G808" s="2" t="inlineStr">
        <is>
          <t>Home</t>
        </is>
      </c>
      <c r="H808" s="2" t="inlineStr">
        <is>
          <t>fanduel</t>
        </is>
      </c>
      <c r="I808" s="4" t="n"/>
      <c r="J808" s="4" t="n"/>
      <c r="K808" s="4" t="n">
        <v>-144</v>
      </c>
      <c r="L808" s="4" t="n">
        <v>-144</v>
      </c>
      <c r="M808" s="5" t="n">
        <v>4.5</v>
      </c>
      <c r="N808" s="5" t="n">
        <v>3.843488882387502</v>
      </c>
      <c r="O808" s="5" t="n">
        <v>4.5</v>
      </c>
      <c r="P808" s="5" t="n">
        <v>0.6565111176124985</v>
      </c>
      <c r="Q808" s="6" t="n">
        <v>0.1172865220040568</v>
      </c>
      <c r="R808" s="6" t="n">
        <v>0.6593822097073122</v>
      </c>
      <c r="S808" s="6" t="n">
        <v>0.5757997218358832</v>
      </c>
      <c r="T808" s="2" t="inlineStr">
        <is>
          <t>Under</t>
        </is>
      </c>
      <c r="U808" s="4" t="n">
        <v>-144</v>
      </c>
      <c r="V808" s="2" t="n">
        <v>1.694444444444444</v>
      </c>
      <c r="W808" s="4" t="n">
        <v>-144</v>
      </c>
      <c r="X808" s="2" t="n">
        <v>1</v>
      </c>
      <c r="Y808" s="5" t="n">
        <v>0.6944444444444444</v>
      </c>
      <c r="Z808" s="7" t="n">
        <v>100</v>
      </c>
      <c r="AA808" s="7">
        <f>Y808*Z808</f>
        <v/>
      </c>
      <c r="AB808" s="6">
        <f>IF(Z808=0,0,AA808/Z808)</f>
        <v/>
      </c>
      <c r="AC808" s="6" t="n"/>
      <c r="AD808" s="2" t="inlineStr">
        <is>
          <t>Win</t>
        </is>
      </c>
      <c r="AE808" s="6">
        <f>IF((COUNTIF($AD$2:AD808,"Win")+COUNTIF($AD$2:AD808,"Loss"))=0,0,COUNTIF($AD$2:AD808,"Win")/(COUNTIF($AD$2:AD808,"Win")+COUNTIF($AD$2:AD808,"Loss")))</f>
        <v/>
      </c>
      <c r="AF808" s="6">
        <f>SUM($Y$2:Y808)/SUM($X$2:X808)</f>
        <v/>
      </c>
      <c r="AG808" s="5">
        <f>SUM($Y$2:Y808)</f>
        <v/>
      </c>
      <c r="AH808" s="7">
        <f>10000.0+SUM($AA$2:AA808)</f>
        <v/>
      </c>
      <c r="AI808" s="2" t="n">
        <v>2026</v>
      </c>
      <c r="AJ808" s="2" t="inlineStr">
        <is>
          <t>2026-05</t>
        </is>
      </c>
      <c r="AK808" s="2" t="inlineStr">
        <is>
          <t>-149 to -120</t>
        </is>
      </c>
      <c r="AL808" s="2" t="inlineStr">
        <is>
          <t>2026 Frozen Test</t>
        </is>
      </c>
      <c r="AM808" s="6" t="n">
        <v>0.1688925916858417</v>
      </c>
    </row>
    <row r="809">
      <c r="A809" s="2" t="inlineStr">
        <is>
          <t>KPROP-00808</t>
        </is>
      </c>
      <c r="B809" s="3" t="n">
        <v>46161.78167824074</v>
      </c>
      <c r="C809" s="3" t="n">
        <v>46161</v>
      </c>
      <c r="D809" s="2" t="inlineStr">
        <is>
          <t>Foster Griffin</t>
        </is>
      </c>
      <c r="E809" s="2" t="n">
        <v>120</v>
      </c>
      <c r="F809" s="2" t="n">
        <v>121</v>
      </c>
      <c r="G809" s="2" t="inlineStr">
        <is>
          <t>Home</t>
        </is>
      </c>
      <c r="H809" s="2" t="inlineStr">
        <is>
          <t>betrivers</t>
        </is>
      </c>
      <c r="I809" s="4" t="n"/>
      <c r="J809" s="4" t="n"/>
      <c r="K809" s="4" t="n">
        <v>135</v>
      </c>
      <c r="L809" s="4" t="n">
        <v>135</v>
      </c>
      <c r="M809" s="5" t="n">
        <v>4.5</v>
      </c>
      <c r="N809" s="5" t="n">
        <v>4.839649244680333</v>
      </c>
      <c r="O809" s="5" t="n">
        <v>4.5</v>
      </c>
      <c r="P809" s="5" t="n">
        <v>-0.3396492446803334</v>
      </c>
      <c r="Q809" s="6" t="n">
        <v>0.1023040832287826</v>
      </c>
      <c r="R809" s="6" t="n">
        <v>0.4690655673313968</v>
      </c>
      <c r="S809" s="6" t="n">
        <v>0.3973509933774834</v>
      </c>
      <c r="T809" s="2" t="inlineStr">
        <is>
          <t>Under</t>
        </is>
      </c>
      <c r="U809" s="4" t="n">
        <v>135</v>
      </c>
      <c r="V809" s="2" t="n">
        <v>2.35</v>
      </c>
      <c r="W809" s="4" t="n">
        <v>135</v>
      </c>
      <c r="X809" s="2" t="n">
        <v>1</v>
      </c>
      <c r="Y809" s="5" t="n">
        <v>-1</v>
      </c>
      <c r="Z809" s="7" t="n">
        <v>100</v>
      </c>
      <c r="AA809" s="7">
        <f>Y809*Z809</f>
        <v/>
      </c>
      <c r="AB809" s="6">
        <f>IF(Z809=0,0,AA809/Z809)</f>
        <v/>
      </c>
      <c r="AC809" s="6" t="n"/>
      <c r="AD809" s="2" t="inlineStr">
        <is>
          <t>Loss</t>
        </is>
      </c>
      <c r="AE809" s="6">
        <f>IF((COUNTIF($AD$2:AD809,"Win")+COUNTIF($AD$2:AD809,"Loss"))=0,0,COUNTIF($AD$2:AD809,"Win")/(COUNTIF($AD$2:AD809,"Win")+COUNTIF($AD$2:AD809,"Loss")))</f>
        <v/>
      </c>
      <c r="AF809" s="6">
        <f>SUM($Y$2:Y809)/SUM($X$2:X809)</f>
        <v/>
      </c>
      <c r="AG809" s="5">
        <f>SUM($Y$2:Y809)</f>
        <v/>
      </c>
      <c r="AH809" s="7">
        <f>10000.0+SUM($AA$2:AA809)</f>
        <v/>
      </c>
      <c r="AI809" s="2" t="n">
        <v>2026</v>
      </c>
      <c r="AJ809" s="2" t="inlineStr">
        <is>
          <t>2026-05</t>
        </is>
      </c>
      <c r="AK809" s="2" t="inlineStr">
        <is>
          <t>+121 to +150</t>
        </is>
      </c>
      <c r="AL809" s="2" t="inlineStr">
        <is>
          <t>2026 Frozen Test</t>
        </is>
      </c>
      <c r="AM809" s="6" t="n">
        <v>0.0757808023916908</v>
      </c>
    </row>
    <row r="810">
      <c r="A810" s="2" t="inlineStr">
        <is>
          <t>KPROP-00809</t>
        </is>
      </c>
      <c r="B810" s="3" t="n">
        <v>46162.77820601852</v>
      </c>
      <c r="C810" s="3" t="n">
        <v>46162</v>
      </c>
      <c r="D810" s="2" t="inlineStr">
        <is>
          <t>Chris Sale</t>
        </is>
      </c>
      <c r="E810" s="2" t="n">
        <v>144</v>
      </c>
      <c r="F810" s="2" t="n">
        <v>146</v>
      </c>
      <c r="G810" s="2" t="inlineStr">
        <is>
          <t>Away</t>
        </is>
      </c>
      <c r="H810" s="2" t="inlineStr">
        <is>
          <t>betmgm</t>
        </is>
      </c>
      <c r="I810" s="4" t="n"/>
      <c r="J810" s="4" t="n"/>
      <c r="K810" s="4" t="n">
        <v>100</v>
      </c>
      <c r="L810" s="4" t="n">
        <v>100</v>
      </c>
      <c r="M810" s="5" t="n">
        <v>7.5</v>
      </c>
      <c r="N810" s="5" t="n">
        <v>6.542481569555322</v>
      </c>
      <c r="O810" s="5" t="n">
        <v>7.5</v>
      </c>
      <c r="P810" s="5" t="n">
        <v>0.9575184304446775</v>
      </c>
      <c r="Q810" s="6" t="n">
        <v>0.3330713431892383</v>
      </c>
      <c r="R810" s="6" t="n">
        <v>0.6665356715946191</v>
      </c>
      <c r="S810" s="6" t="n">
        <v>0.5024875621890548</v>
      </c>
      <c r="T810" s="2" t="inlineStr">
        <is>
          <t>Under</t>
        </is>
      </c>
      <c r="U810" s="4" t="n">
        <v>100</v>
      </c>
      <c r="V810" s="2" t="n">
        <v>2</v>
      </c>
      <c r="W810" s="4" t="n">
        <v>100</v>
      </c>
      <c r="X810" s="2" t="n">
        <v>1</v>
      </c>
      <c r="Y810" s="5" t="n">
        <v>-1</v>
      </c>
      <c r="Z810" s="7" t="n">
        <v>100</v>
      </c>
      <c r="AA810" s="7">
        <f>Y810*Z810</f>
        <v/>
      </c>
      <c r="AB810" s="6">
        <f>IF(Z810=0,0,AA810/Z810)</f>
        <v/>
      </c>
      <c r="AC810" s="6" t="n"/>
      <c r="AD810" s="2" t="inlineStr">
        <is>
          <t>Loss</t>
        </is>
      </c>
      <c r="AE810" s="6">
        <f>IF((COUNTIF($AD$2:AD810,"Win")+COUNTIF($AD$2:AD810,"Loss"))=0,0,COUNTIF($AD$2:AD810,"Win")/(COUNTIF($AD$2:AD810,"Win")+COUNTIF($AD$2:AD810,"Loss")))</f>
        <v/>
      </c>
      <c r="AF810" s="6">
        <f>SUM($Y$2:Y810)/SUM($X$2:X810)</f>
        <v/>
      </c>
      <c r="AG810" s="5">
        <f>SUM($Y$2:Y810)</f>
        <v/>
      </c>
      <c r="AH810" s="7">
        <f>10000.0+SUM($AA$2:AA810)</f>
        <v/>
      </c>
      <c r="AI810" s="2" t="n">
        <v>2026</v>
      </c>
      <c r="AJ810" s="2" t="inlineStr">
        <is>
          <t>2026-05</t>
        </is>
      </c>
      <c r="AK810" s="2" t="inlineStr">
        <is>
          <t>+100 to +120</t>
        </is>
      </c>
      <c r="AL810" s="2" t="inlineStr">
        <is>
          <t>2026 Frozen Test</t>
        </is>
      </c>
      <c r="AM810" s="6" t="n">
        <v>0.3330713431892383</v>
      </c>
    </row>
    <row r="811">
      <c r="A811" s="2" t="inlineStr">
        <is>
          <t>KPROP-00810</t>
        </is>
      </c>
      <c r="B811" s="3" t="n">
        <v>46162.67403935185</v>
      </c>
      <c r="C811" s="3" t="n">
        <v>46162</v>
      </c>
      <c r="D811" s="2" t="inlineStr">
        <is>
          <t>Emerson Hancock</t>
        </is>
      </c>
      <c r="E811" s="2" t="n">
        <v>136</v>
      </c>
      <c r="F811" s="2" t="n">
        <v>145</v>
      </c>
      <c r="G811" s="2" t="inlineStr">
        <is>
          <t>Home</t>
        </is>
      </c>
      <c r="H811" s="2" t="inlineStr">
        <is>
          <t>betrivers</t>
        </is>
      </c>
      <c r="I811" s="4" t="n"/>
      <c r="J811" s="4" t="n"/>
      <c r="K811" s="4" t="n">
        <v>102</v>
      </c>
      <c r="L811" s="4" t="n">
        <v>102</v>
      </c>
      <c r="M811" s="5" t="n">
        <v>5.5</v>
      </c>
      <c r="N811" s="5" t="n">
        <v>5.018158271150233</v>
      </c>
      <c r="O811" s="5" t="n">
        <v>5.5</v>
      </c>
      <c r="P811" s="5" t="n">
        <v>0.4818417288497674</v>
      </c>
      <c r="Q811" s="6" t="n">
        <v>0.2378045015333752</v>
      </c>
      <c r="R811" s="6" t="n">
        <v>0.6127745057095917</v>
      </c>
      <c r="S811" s="6" t="n">
        <v>0.4806617482673821</v>
      </c>
      <c r="T811" s="2" t="inlineStr">
        <is>
          <t>Under</t>
        </is>
      </c>
      <c r="U811" s="4" t="n">
        <v>102</v>
      </c>
      <c r="V811" s="2" t="n">
        <v>2.02</v>
      </c>
      <c r="W811" s="4" t="n">
        <v>102</v>
      </c>
      <c r="X811" s="2" t="n">
        <v>1</v>
      </c>
      <c r="Y811" s="5" t="n">
        <v>1.02</v>
      </c>
      <c r="Z811" s="7" t="n">
        <v>100</v>
      </c>
      <c r="AA811" s="7">
        <f>Y811*Z811</f>
        <v/>
      </c>
      <c r="AB811" s="6">
        <f>IF(Z811=0,0,AA811/Z811)</f>
        <v/>
      </c>
      <c r="AC811" s="6" t="n"/>
      <c r="AD811" s="2" t="inlineStr">
        <is>
          <t>Win</t>
        </is>
      </c>
      <c r="AE811" s="6">
        <f>IF((COUNTIF($AD$2:AD811,"Win")+COUNTIF($AD$2:AD811,"Loss"))=0,0,COUNTIF($AD$2:AD811,"Win")/(COUNTIF($AD$2:AD811,"Win")+COUNTIF($AD$2:AD811,"Loss")))</f>
        <v/>
      </c>
      <c r="AF811" s="6">
        <f>SUM($Y$2:Y811)/SUM($X$2:X811)</f>
        <v/>
      </c>
      <c r="AG811" s="5">
        <f>SUM($Y$2:Y811)</f>
        <v/>
      </c>
      <c r="AH811" s="7">
        <f>10000.0+SUM($AA$2:AA811)</f>
        <v/>
      </c>
      <c r="AI811" s="2" t="n">
        <v>2026</v>
      </c>
      <c r="AJ811" s="2" t="inlineStr">
        <is>
          <t>2026-05</t>
        </is>
      </c>
      <c r="AK811" s="2" t="inlineStr">
        <is>
          <t>+100 to +120</t>
        </is>
      </c>
      <c r="AL811" s="2" t="inlineStr">
        <is>
          <t>2026 Frozen Test</t>
        </is>
      </c>
      <c r="AM811" s="6" t="n">
        <v>0.2331416681699757</v>
      </c>
    </row>
    <row r="812">
      <c r="A812" s="2" t="inlineStr">
        <is>
          <t>KPROP-00811</t>
        </is>
      </c>
      <c r="B812" s="3" t="n">
        <v>46162.56987268518</v>
      </c>
      <c r="C812" s="3" t="n">
        <v>46162</v>
      </c>
      <c r="D812" s="2" t="inlineStr">
        <is>
          <t>Joe Ryan</t>
        </is>
      </c>
      <c r="E812" s="2" t="n">
        <v>142</v>
      </c>
      <c r="F812" s="2" t="n">
        <v>117</v>
      </c>
      <c r="G812" s="2" t="inlineStr">
        <is>
          <t>Home</t>
        </is>
      </c>
      <c r="H812" s="2" t="inlineStr">
        <is>
          <t>betrivers</t>
        </is>
      </c>
      <c r="I812" s="4" t="n"/>
      <c r="J812" s="4" t="n"/>
      <c r="K812" s="4" t="n">
        <v>135</v>
      </c>
      <c r="L812" s="4" t="n">
        <v>135</v>
      </c>
      <c r="M812" s="5" t="n">
        <v>5.5</v>
      </c>
      <c r="N812" s="5" t="n">
        <v>5.685295720016922</v>
      </c>
      <c r="O812" s="5" t="n">
        <v>5.5</v>
      </c>
      <c r="P812" s="5" t="n">
        <v>-0.1852957200169216</v>
      </c>
      <c r="Q812" s="6" t="n">
        <v>0.1690169592535976</v>
      </c>
      <c r="R812" s="6" t="n">
        <v>0.4974540252142968</v>
      </c>
      <c r="S812" s="6" t="n">
        <v>0.3973509933774834</v>
      </c>
      <c r="T812" s="2" t="inlineStr">
        <is>
          <t>Under</t>
        </is>
      </c>
      <c r="U812" s="4" t="n">
        <v>135</v>
      </c>
      <c r="V812" s="2" t="n">
        <v>2.35</v>
      </c>
      <c r="W812" s="4" t="n">
        <v>135</v>
      </c>
      <c r="X812" s="2" t="n">
        <v>1</v>
      </c>
      <c r="Y812" s="5" t="n">
        <v>-1</v>
      </c>
      <c r="Z812" s="7" t="n">
        <v>100</v>
      </c>
      <c r="AA812" s="7">
        <f>Y812*Z812</f>
        <v/>
      </c>
      <c r="AB812" s="6">
        <f>IF(Z812=0,0,AA812/Z812)</f>
        <v/>
      </c>
      <c r="AC812" s="6" t="n"/>
      <c r="AD812" s="2" t="inlineStr">
        <is>
          <t>Loss</t>
        </is>
      </c>
      <c r="AE812" s="6">
        <f>IF((COUNTIF($AD$2:AD812,"Win")+COUNTIF($AD$2:AD812,"Loss"))=0,0,COUNTIF($AD$2:AD812,"Win")/(COUNTIF($AD$2:AD812,"Win")+COUNTIF($AD$2:AD812,"Loss")))</f>
        <v/>
      </c>
      <c r="AF812" s="6">
        <f>SUM($Y$2:Y812)/SUM($X$2:X812)</f>
        <v/>
      </c>
      <c r="AG812" s="5">
        <f>SUM($Y$2:Y812)</f>
        <v/>
      </c>
      <c r="AH812" s="7">
        <f>10000.0+SUM($AA$2:AA812)</f>
        <v/>
      </c>
      <c r="AI812" s="2" t="n">
        <v>2026</v>
      </c>
      <c r="AJ812" s="2" t="inlineStr">
        <is>
          <t>2026-05</t>
        </is>
      </c>
      <c r="AK812" s="2" t="inlineStr">
        <is>
          <t>+121 to +150</t>
        </is>
      </c>
      <c r="AL812" s="2" t="inlineStr">
        <is>
          <t>2026 Frozen Test</t>
        </is>
      </c>
      <c r="AM812" s="6" t="n">
        <v>0.1251977475952575</v>
      </c>
    </row>
    <row r="813">
      <c r="A813" s="2" t="inlineStr">
        <is>
          <t>KPROP-00812</t>
        </is>
      </c>
      <c r="B813" s="3" t="n">
        <v>46162.56987268518</v>
      </c>
      <c r="C813" s="3" t="n">
        <v>46162</v>
      </c>
      <c r="D813" s="2" t="inlineStr">
        <is>
          <t>Joe Ryan</t>
        </is>
      </c>
      <c r="E813" s="2" t="n">
        <v>142</v>
      </c>
      <c r="F813" s="2" t="n">
        <v>117</v>
      </c>
      <c r="G813" s="2" t="inlineStr">
        <is>
          <t>Home</t>
        </is>
      </c>
      <c r="H813" s="2" t="inlineStr">
        <is>
          <t>betmgm</t>
        </is>
      </c>
      <c r="I813" s="4" t="n"/>
      <c r="J813" s="4" t="n"/>
      <c r="K813" s="4" t="n">
        <v>-135</v>
      </c>
      <c r="L813" s="4" t="n">
        <v>-135</v>
      </c>
      <c r="M813" s="5" t="n">
        <v>6.5</v>
      </c>
      <c r="N813" s="5" t="n">
        <v>5.685295720016922</v>
      </c>
      <c r="O813" s="5" t="n">
        <v>6.5</v>
      </c>
      <c r="P813" s="5" t="n">
        <v>0.8147042799830784</v>
      </c>
      <c r="Q813" s="6" t="n">
        <v>0.143160298181597</v>
      </c>
      <c r="R813" s="6" t="n">
        <v>0.6567091074660238</v>
      </c>
      <c r="S813" s="6" t="n">
        <v>0.54911742133538</v>
      </c>
      <c r="T813" s="2" t="inlineStr">
        <is>
          <t>Under</t>
        </is>
      </c>
      <c r="U813" s="4" t="n">
        <v>-135</v>
      </c>
      <c r="V813" s="2" t="n">
        <v>1.740740740740741</v>
      </c>
      <c r="W813" s="4" t="n">
        <v>-135</v>
      </c>
      <c r="X813" s="2" t="n">
        <v>1</v>
      </c>
      <c r="Y813" s="5" t="n">
        <v>-1</v>
      </c>
      <c r="Z813" s="7" t="n">
        <v>100</v>
      </c>
      <c r="AA813" s="7">
        <f>Y813*Z813</f>
        <v/>
      </c>
      <c r="AB813" s="6">
        <f>IF(Z813=0,0,AA813/Z813)</f>
        <v/>
      </c>
      <c r="AC813" s="6" t="n"/>
      <c r="AD813" s="2" t="inlineStr">
        <is>
          <t>Loss</t>
        </is>
      </c>
      <c r="AE813" s="6">
        <f>IF((COUNTIF($AD$2:AD813,"Win")+COUNTIF($AD$2:AD813,"Loss"))=0,0,COUNTIF($AD$2:AD813,"Win")/(COUNTIF($AD$2:AD813,"Win")+COUNTIF($AD$2:AD813,"Loss")))</f>
        <v/>
      </c>
      <c r="AF813" s="6">
        <f>SUM($Y$2:Y813)/SUM($X$2:X813)</f>
        <v/>
      </c>
      <c r="AG813" s="5">
        <f>SUM($Y$2:Y813)</f>
        <v/>
      </c>
      <c r="AH813" s="7">
        <f>10000.0+SUM($AA$2:AA813)</f>
        <v/>
      </c>
      <c r="AI813" s="2" t="n">
        <v>2026</v>
      </c>
      <c r="AJ813" s="2" t="inlineStr">
        <is>
          <t>2026-05</t>
        </is>
      </c>
      <c r="AK813" s="2" t="inlineStr">
        <is>
          <t>-149 to -120</t>
        </is>
      </c>
      <c r="AL813" s="2" t="inlineStr">
        <is>
          <t>2026 Frozen Test</t>
        </is>
      </c>
      <c r="AM813" s="6" t="n">
        <v>0.193266402545156</v>
      </c>
    </row>
    <row r="814">
      <c r="A814" s="2" t="inlineStr">
        <is>
          <t>KPROP-00813</t>
        </is>
      </c>
      <c r="B814" s="3" t="n">
        <v>46162.79556712963</v>
      </c>
      <c r="C814" s="3" t="n">
        <v>46162</v>
      </c>
      <c r="D814" s="2" t="inlineStr">
        <is>
          <t>Trey Yesavage</t>
        </is>
      </c>
      <c r="E814" s="2" t="n">
        <v>141</v>
      </c>
      <c r="F814" s="2" t="n">
        <v>147</v>
      </c>
      <c r="G814" s="2" t="inlineStr">
        <is>
          <t>Away</t>
        </is>
      </c>
      <c r="H814" s="2" t="inlineStr">
        <is>
          <t>betonlineag</t>
        </is>
      </c>
      <c r="I814" s="4" t="n"/>
      <c r="J814" s="4" t="n"/>
      <c r="K814" s="4" t="n">
        <v>128</v>
      </c>
      <c r="L814" s="4" t="n">
        <v>128</v>
      </c>
      <c r="M814" s="5" t="n">
        <v>5.5</v>
      </c>
      <c r="N814" s="5" t="n">
        <v>5.694298407458681</v>
      </c>
      <c r="O814" s="5" t="n">
        <v>5.5</v>
      </c>
      <c r="P814" s="5" t="n">
        <v>-0.1942984074586809</v>
      </c>
      <c r="Q814" s="6" t="n">
        <v>0.1307472193487628</v>
      </c>
      <c r="R814" s="6" t="n">
        <v>0.4959417628722643</v>
      </c>
      <c r="S814" s="6" t="n">
        <v>0.4321711104600058</v>
      </c>
      <c r="T814" s="2" t="inlineStr">
        <is>
          <t>Under</t>
        </is>
      </c>
      <c r="U814" s="4" t="n">
        <v>128</v>
      </c>
      <c r="V814" s="2" t="n">
        <v>2.28</v>
      </c>
      <c r="W814" s="4" t="n">
        <v>128</v>
      </c>
      <c r="X814" s="2" t="n">
        <v>1</v>
      </c>
      <c r="Y814" s="5" t="n">
        <v>-1</v>
      </c>
      <c r="Z814" s="7" t="n">
        <v>100</v>
      </c>
      <c r="AA814" s="7">
        <f>Y814*Z814</f>
        <v/>
      </c>
      <c r="AB814" s="6">
        <f>IF(Z814=0,0,AA814/Z814)</f>
        <v/>
      </c>
      <c r="AC814" s="6" t="n"/>
      <c r="AD814" s="2" t="inlineStr">
        <is>
          <t>Loss</t>
        </is>
      </c>
      <c r="AE814" s="6">
        <f>IF((COUNTIF($AD$2:AD814,"Win")+COUNTIF($AD$2:AD814,"Loss"))=0,0,COUNTIF($AD$2:AD814,"Win")/(COUNTIF($AD$2:AD814,"Win")+COUNTIF($AD$2:AD814,"Loss")))</f>
        <v/>
      </c>
      <c r="AF814" s="6">
        <f>SUM($Y$2:Y814)/SUM($X$2:X814)</f>
        <v/>
      </c>
      <c r="AG814" s="5">
        <f>SUM($Y$2:Y814)</f>
        <v/>
      </c>
      <c r="AH814" s="7">
        <f>10000.0+SUM($AA$2:AA814)</f>
        <v/>
      </c>
      <c r="AI814" s="2" t="n">
        <v>2026</v>
      </c>
      <c r="AJ814" s="2" t="inlineStr">
        <is>
          <t>2026-05</t>
        </is>
      </c>
      <c r="AK814" s="2" t="inlineStr">
        <is>
          <t>+121 to +150</t>
        </is>
      </c>
      <c r="AL814" s="2" t="inlineStr">
        <is>
          <t>2026 Frozen Test</t>
        </is>
      </c>
      <c r="AM814" s="6" t="n">
        <v>0.1021462651162209</v>
      </c>
    </row>
    <row r="815">
      <c r="A815" s="2" t="inlineStr">
        <is>
          <t>KPROP-00814</t>
        </is>
      </c>
      <c r="B815" s="3" t="n">
        <v>46163.79556712963</v>
      </c>
      <c r="C815" s="3" t="n">
        <v>46163</v>
      </c>
      <c r="D815" s="2" t="inlineStr">
        <is>
          <t>Carlos Rodón</t>
        </is>
      </c>
      <c r="E815" s="2" t="n">
        <v>147</v>
      </c>
      <c r="F815" s="2" t="n">
        <v>141</v>
      </c>
      <c r="G815" s="2" t="inlineStr">
        <is>
          <t>Home</t>
        </is>
      </c>
      <c r="H815" s="2" t="inlineStr">
        <is>
          <t>betrivers</t>
        </is>
      </c>
      <c r="I815" s="4" t="n"/>
      <c r="J815" s="4" t="n"/>
      <c r="K815" s="4" t="n">
        <v>138</v>
      </c>
      <c r="L815" s="4" t="n">
        <v>138</v>
      </c>
      <c r="M815" s="5" t="n">
        <v>4.5</v>
      </c>
      <c r="N815" s="5" t="n">
        <v>4.790685438460798</v>
      </c>
      <c r="O815" s="5" t="n">
        <v>4.5</v>
      </c>
      <c r="P815" s="5" t="n">
        <v>-0.2906854384607982</v>
      </c>
      <c r="Q815" s="6" t="n">
        <v>0.1375342921362175</v>
      </c>
      <c r="R815" s="6" t="n">
        <v>0.4779555849311838</v>
      </c>
      <c r="S815" s="6" t="n">
        <v>0.3924905308228578</v>
      </c>
      <c r="T815" s="2" t="inlineStr">
        <is>
          <t>Under</t>
        </is>
      </c>
      <c r="U815" s="4" t="n">
        <v>138</v>
      </c>
      <c r="V815" s="2" t="n">
        <v>2.38</v>
      </c>
      <c r="W815" s="4" t="n">
        <v>138</v>
      </c>
      <c r="X815" s="2" t="n">
        <v>1</v>
      </c>
      <c r="Y815" s="5" t="n">
        <v>-1</v>
      </c>
      <c r="Z815" s="7" t="n">
        <v>100</v>
      </c>
      <c r="AA815" s="7">
        <f>Y815*Z815</f>
        <v/>
      </c>
      <c r="AB815" s="6">
        <f>IF(Z815=0,0,AA815/Z815)</f>
        <v/>
      </c>
      <c r="AC815" s="6" t="n"/>
      <c r="AD815" s="2" t="inlineStr">
        <is>
          <t>Loss</t>
        </is>
      </c>
      <c r="AE815" s="6">
        <f>IF((COUNTIF($AD$2:AD815,"Win")+COUNTIF($AD$2:AD815,"Loss"))=0,0,COUNTIF($AD$2:AD815,"Win")/(COUNTIF($AD$2:AD815,"Win")+COUNTIF($AD$2:AD815,"Loss")))</f>
        <v/>
      </c>
      <c r="AF815" s="6">
        <f>SUM($Y$2:Y815)/SUM($X$2:X815)</f>
        <v/>
      </c>
      <c r="AG815" s="5">
        <f>SUM($Y$2:Y815)</f>
        <v/>
      </c>
      <c r="AH815" s="7">
        <f>10000.0+SUM($AA$2:AA815)</f>
        <v/>
      </c>
      <c r="AI815" s="2" t="n">
        <v>2026</v>
      </c>
      <c r="AJ815" s="2" t="inlineStr">
        <is>
          <t>2026-05</t>
        </is>
      </c>
      <c r="AK815" s="2" t="inlineStr">
        <is>
          <t>+121 to +150</t>
        </is>
      </c>
      <c r="AL815" s="2" t="inlineStr">
        <is>
          <t>2026 Frozen Test</t>
        </is>
      </c>
      <c r="AM815" s="6" t="n">
        <v>0.09966253053349095</v>
      </c>
    </row>
    <row r="816">
      <c r="A816" s="2" t="inlineStr">
        <is>
          <t>KPROP-00815</t>
        </is>
      </c>
      <c r="B816" s="3" t="n">
        <v>46163.79556712963</v>
      </c>
      <c r="C816" s="3" t="n">
        <v>46163</v>
      </c>
      <c r="D816" s="2" t="inlineStr">
        <is>
          <t>Carlos Rodón</t>
        </is>
      </c>
      <c r="E816" s="2" t="n">
        <v>147</v>
      </c>
      <c r="F816" s="2" t="n">
        <v>141</v>
      </c>
      <c r="G816" s="2" t="inlineStr">
        <is>
          <t>Home</t>
        </is>
      </c>
      <c r="H816" s="2" t="inlineStr">
        <is>
          <t>fanatics</t>
        </is>
      </c>
      <c r="I816" s="4" t="n"/>
      <c r="J816" s="4" t="n"/>
      <c r="K816" s="4" t="n">
        <v>-140</v>
      </c>
      <c r="L816" s="4" t="n">
        <v>-140</v>
      </c>
      <c r="M816" s="5" t="n">
        <v>5.5</v>
      </c>
      <c r="N816" s="5" t="n">
        <v>4.790685438460798</v>
      </c>
      <c r="O816" s="5" t="n">
        <v>5.5</v>
      </c>
      <c r="P816" s="5" t="n">
        <v>0.7093145615392018</v>
      </c>
      <c r="Q816" s="6" t="n">
        <v>0.1188008246718754</v>
      </c>
      <c r="R816" s="6" t="n">
        <v>0.6526338143919272</v>
      </c>
      <c r="S816" s="6" t="n">
        <v>0.5586612725266643</v>
      </c>
      <c r="T816" s="2" t="inlineStr">
        <is>
          <t>Under</t>
        </is>
      </c>
      <c r="U816" s="4" t="n">
        <v>-140</v>
      </c>
      <c r="V816" s="2" t="n">
        <v>1.714285714285714</v>
      </c>
      <c r="W816" s="4" t="n">
        <v>-140</v>
      </c>
      <c r="X816" s="2" t="n">
        <v>1</v>
      </c>
      <c r="Y816" s="5" t="n">
        <v>-1</v>
      </c>
      <c r="Z816" s="7" t="n">
        <v>100</v>
      </c>
      <c r="AA816" s="7">
        <f>Y816*Z816</f>
        <v/>
      </c>
      <c r="AB816" s="6">
        <f>IF(Z816=0,0,AA816/Z816)</f>
        <v/>
      </c>
      <c r="AC816" s="6" t="n"/>
      <c r="AD816" s="2" t="inlineStr">
        <is>
          <t>Loss</t>
        </is>
      </c>
      <c r="AE816" s="6">
        <f>IF((COUNTIF($AD$2:AD816,"Win")+COUNTIF($AD$2:AD816,"Loss"))=0,0,COUNTIF($AD$2:AD816,"Win")/(COUNTIF($AD$2:AD816,"Win")+COUNTIF($AD$2:AD816,"Loss")))</f>
        <v/>
      </c>
      <c r="AF816" s="6">
        <f>SUM($Y$2:Y816)/SUM($X$2:X816)</f>
        <v/>
      </c>
      <c r="AG816" s="5">
        <f>SUM($Y$2:Y816)</f>
        <v/>
      </c>
      <c r="AH816" s="7">
        <f>10000.0+SUM($AA$2:AA816)</f>
        <v/>
      </c>
      <c r="AI816" s="2" t="n">
        <v>2026</v>
      </c>
      <c r="AJ816" s="2" t="inlineStr">
        <is>
          <t>2026-05</t>
        </is>
      </c>
      <c r="AK816" s="2" t="inlineStr">
        <is>
          <t>-149 to -120</t>
        </is>
      </c>
      <c r="AL816" s="2" t="inlineStr">
        <is>
          <t>2026 Frozen Test</t>
        </is>
      </c>
      <c r="AM816" s="6" t="n">
        <v>0.1663211545406255</v>
      </c>
    </row>
    <row r="817">
      <c r="A817" s="2" t="inlineStr">
        <is>
          <t>KPROP-00816</t>
        </is>
      </c>
      <c r="B817" s="3" t="n">
        <v>46163.54903935185</v>
      </c>
      <c r="C817" s="3" t="n">
        <v>46163</v>
      </c>
      <c r="D817" s="2" t="inlineStr">
        <is>
          <t>Casey Mize</t>
        </is>
      </c>
      <c r="E817" s="2" t="n">
        <v>116</v>
      </c>
      <c r="F817" s="2" t="n">
        <v>114</v>
      </c>
      <c r="G817" s="2" t="inlineStr">
        <is>
          <t>Home</t>
        </is>
      </c>
      <c r="H817" s="2" t="inlineStr">
        <is>
          <t>fanduel</t>
        </is>
      </c>
      <c r="I817" s="4" t="n"/>
      <c r="J817" s="4" t="n"/>
      <c r="K817" s="4" t="n">
        <v>-115</v>
      </c>
      <c r="L817" s="4" t="n">
        <v>-115</v>
      </c>
      <c r="M817" s="5" t="n">
        <v>4.5</v>
      </c>
      <c r="N817" s="5" t="n">
        <v>4.280409298888909</v>
      </c>
      <c r="O817" s="5" t="n">
        <v>4.5</v>
      </c>
      <c r="P817" s="5" t="n">
        <v>0.2195907011110911</v>
      </c>
      <c r="Q817" s="6" t="n">
        <v>0.07355523052273616</v>
      </c>
      <c r="R817" s="6" t="n">
        <v>0.5742272163261147</v>
      </c>
      <c r="S817" s="6" t="n">
        <v>0.5108342361863488</v>
      </c>
      <c r="T817" s="2" t="inlineStr">
        <is>
          <t>Under</t>
        </is>
      </c>
      <c r="U817" s="4" t="n">
        <v>-115</v>
      </c>
      <c r="V817" s="2" t="n">
        <v>1.869565217391304</v>
      </c>
      <c r="W817" s="4" t="n">
        <v>-115</v>
      </c>
      <c r="X817" s="2" t="n">
        <v>1</v>
      </c>
      <c r="Y817" s="5" t="n">
        <v>0.8695652173913042</v>
      </c>
      <c r="Z817" s="7" t="n">
        <v>100</v>
      </c>
      <c r="AA817" s="7">
        <f>Y817*Z817</f>
        <v/>
      </c>
      <c r="AB817" s="6">
        <f>IF(Z817=0,0,AA817/Z817)</f>
        <v/>
      </c>
      <c r="AC817" s="6" t="n"/>
      <c r="AD817" s="2" t="inlineStr">
        <is>
          <t>Win</t>
        </is>
      </c>
      <c r="AE817" s="6">
        <f>IF((COUNTIF($AD$2:AD817,"Win")+COUNTIF($AD$2:AD817,"Loss"))=0,0,COUNTIF($AD$2:AD817,"Win")/(COUNTIF($AD$2:AD817,"Win")+COUNTIF($AD$2:AD817,"Loss")))</f>
        <v/>
      </c>
      <c r="AF817" s="6">
        <f>SUM($Y$2:Y817)/SUM($X$2:X817)</f>
        <v/>
      </c>
      <c r="AG817" s="5">
        <f>SUM($Y$2:Y817)</f>
        <v/>
      </c>
      <c r="AH817" s="7">
        <f>10000.0+SUM($AA$2:AA817)</f>
        <v/>
      </c>
      <c r="AI817" s="2" t="n">
        <v>2026</v>
      </c>
      <c r="AJ817" s="2" t="inlineStr">
        <is>
          <t>2026-05</t>
        </is>
      </c>
      <c r="AK817" s="2" t="inlineStr">
        <is>
          <t>-119 to -101</t>
        </is>
      </c>
      <c r="AL817" s="2" t="inlineStr">
        <is>
          <t>2026 Frozen Test</t>
        </is>
      </c>
      <c r="AM817" s="6" t="n">
        <v>0.08458851510114659</v>
      </c>
    </row>
    <row r="818">
      <c r="A818" s="2" t="inlineStr">
        <is>
          <t>KPROP-00817</t>
        </is>
      </c>
      <c r="B818" s="3" t="n">
        <v>46163.67057870371</v>
      </c>
      <c r="C818" s="3" t="n">
        <v>46163</v>
      </c>
      <c r="D818" s="2" t="inlineStr">
        <is>
          <t>David Peterson</t>
        </is>
      </c>
      <c r="E818" s="2" t="n">
        <v>121</v>
      </c>
      <c r="F818" s="2" t="n">
        <v>120</v>
      </c>
      <c r="G818" s="2" t="inlineStr">
        <is>
          <t>Away</t>
        </is>
      </c>
      <c r="H818" s="2" t="inlineStr">
        <is>
          <t>betrivers</t>
        </is>
      </c>
      <c r="I818" s="4" t="n"/>
      <c r="J818" s="4" t="n"/>
      <c r="K818" s="4" t="n">
        <v>-113</v>
      </c>
      <c r="L818" s="4" t="n">
        <v>-113</v>
      </c>
      <c r="M818" s="5" t="n">
        <v>4.5</v>
      </c>
      <c r="N818" s="5" t="n">
        <v>4.157251210792202</v>
      </c>
      <c r="O818" s="5" t="n">
        <v>4.5</v>
      </c>
      <c r="P818" s="5" t="n">
        <v>0.3427487892077981</v>
      </c>
      <c r="Q818" s="6" t="n">
        <v>0.1274792796351585</v>
      </c>
      <c r="R818" s="6" t="n">
        <v>0.5981462845012813</v>
      </c>
      <c r="S818" s="6" t="n">
        <v>0.5087854162090929</v>
      </c>
      <c r="T818" s="2" t="inlineStr">
        <is>
          <t>Under</t>
        </is>
      </c>
      <c r="U818" s="4" t="n">
        <v>-113</v>
      </c>
      <c r="V818" s="2" t="n">
        <v>1.884955752212389</v>
      </c>
      <c r="W818" s="4" t="n">
        <v>-113</v>
      </c>
      <c r="X818" s="2" t="n">
        <v>1</v>
      </c>
      <c r="Y818" s="5" t="n">
        <v>0.8849557522123894</v>
      </c>
      <c r="Z818" s="7" t="n">
        <v>100</v>
      </c>
      <c r="AA818" s="7">
        <f>Y818*Z818</f>
        <v/>
      </c>
      <c r="AB818" s="6">
        <f>IF(Z818=0,0,AA818/Z818)</f>
        <v/>
      </c>
      <c r="AC818" s="6" t="n"/>
      <c r="AD818" s="2" t="inlineStr">
        <is>
          <t>Win</t>
        </is>
      </c>
      <c r="AE818" s="6">
        <f>IF((COUNTIF($AD$2:AD818,"Win")+COUNTIF($AD$2:AD818,"Loss"))=0,0,COUNTIF($AD$2:AD818,"Win")/(COUNTIF($AD$2:AD818,"Win")+COUNTIF($AD$2:AD818,"Loss")))</f>
        <v/>
      </c>
      <c r="AF818" s="6">
        <f>SUM($Y$2:Y818)/SUM($X$2:X818)</f>
        <v/>
      </c>
      <c r="AG818" s="5">
        <f>SUM($Y$2:Y818)</f>
        <v/>
      </c>
      <c r="AH818" s="7">
        <f>10000.0+SUM($AA$2:AA818)</f>
        <v/>
      </c>
      <c r="AI818" s="2" t="n">
        <v>2026</v>
      </c>
      <c r="AJ818" s="2" t="inlineStr">
        <is>
          <t>2026-05</t>
        </is>
      </c>
      <c r="AK818" s="2" t="inlineStr">
        <is>
          <t>-119 to -101</t>
        </is>
      </c>
      <c r="AL818" s="2" t="inlineStr">
        <is>
          <t>2026 Frozen Test</t>
        </is>
      </c>
      <c r="AM818" s="6" t="n">
        <v>0.1440515859877291</v>
      </c>
    </row>
    <row r="819">
      <c r="A819" s="2" t="inlineStr">
        <is>
          <t>KPROP-00818</t>
        </is>
      </c>
      <c r="B819" s="3" t="n">
        <v>46164.77820601852</v>
      </c>
      <c r="C819" s="3" t="n">
        <v>46164</v>
      </c>
      <c r="D819" s="2" t="inlineStr">
        <is>
          <t>Cristopher Sánchez</t>
        </is>
      </c>
      <c r="E819" s="2" t="n">
        <v>143</v>
      </c>
      <c r="F819" s="2" t="n">
        <v>114</v>
      </c>
      <c r="G819" s="2" t="inlineStr">
        <is>
          <t>Home</t>
        </is>
      </c>
      <c r="H819" s="2" t="inlineStr">
        <is>
          <t>betrivers</t>
        </is>
      </c>
      <c r="I819" s="4" t="n"/>
      <c r="J819" s="4" t="n"/>
      <c r="K819" s="4" t="n">
        <v>114</v>
      </c>
      <c r="L819" s="4" t="n">
        <v>114</v>
      </c>
      <c r="M819" s="5" t="n">
        <v>6.5</v>
      </c>
      <c r="N819" s="5" t="n">
        <v>6.029809180076317</v>
      </c>
      <c r="O819" s="5" t="n">
        <v>6.5</v>
      </c>
      <c r="P819" s="5" t="n">
        <v>0.4701908199236833</v>
      </c>
      <c r="Q819" s="6" t="n">
        <v>0.2872417921921162</v>
      </c>
      <c r="R819" s="6" t="n">
        <v>0.6015148561645404</v>
      </c>
      <c r="S819" s="6" t="n">
        <v>0.4623569649115399</v>
      </c>
      <c r="T819" s="2" t="inlineStr">
        <is>
          <t>Under</t>
        </is>
      </c>
      <c r="U819" s="4" t="n">
        <v>114</v>
      </c>
      <c r="V819" s="2" t="n">
        <v>2.14</v>
      </c>
      <c r="W819" s="4" t="n">
        <v>114</v>
      </c>
      <c r="X819" s="2" t="n">
        <v>1</v>
      </c>
      <c r="Y819" s="5" t="n">
        <v>1.14</v>
      </c>
      <c r="Z819" s="7" t="n">
        <v>100</v>
      </c>
      <c r="AA819" s="7">
        <f>Y819*Z819</f>
        <v/>
      </c>
      <c r="AB819" s="6">
        <f>IF(Z819=0,0,AA819/Z819)</f>
        <v/>
      </c>
      <c r="AC819" s="6" t="n"/>
      <c r="AD819" s="2" t="inlineStr">
        <is>
          <t>Win</t>
        </is>
      </c>
      <c r="AE819" s="6">
        <f>IF((COUNTIF($AD$2:AD819,"Win")+COUNTIF($AD$2:AD819,"Loss"))=0,0,COUNTIF($AD$2:AD819,"Win")/(COUNTIF($AD$2:AD819,"Win")+COUNTIF($AD$2:AD819,"Loss")))</f>
        <v/>
      </c>
      <c r="AF819" s="6">
        <f>SUM($Y$2:Y819)/SUM($X$2:X819)</f>
        <v/>
      </c>
      <c r="AG819" s="5">
        <f>SUM($Y$2:Y819)</f>
        <v/>
      </c>
      <c r="AH819" s="7">
        <f>10000.0+SUM($AA$2:AA819)</f>
        <v/>
      </c>
      <c r="AI819" s="2" t="n">
        <v>2026</v>
      </c>
      <c r="AJ819" s="2" t="inlineStr">
        <is>
          <t>2026-05</t>
        </is>
      </c>
      <c r="AK819" s="2" t="inlineStr">
        <is>
          <t>+100 to +120</t>
        </is>
      </c>
      <c r="AL819" s="2" t="inlineStr">
        <is>
          <t>2026 Frozen Test</t>
        </is>
      </c>
      <c r="AM819" s="6" t="n">
        <v>0.2519664843790494</v>
      </c>
    </row>
    <row r="820">
      <c r="A820" s="2" t="inlineStr">
        <is>
          <t>KPROP-00819</t>
        </is>
      </c>
      <c r="B820" s="3" t="n">
        <v>46164.77820601852</v>
      </c>
      <c r="C820" s="3" t="n">
        <v>46164</v>
      </c>
      <c r="D820" s="2" t="inlineStr">
        <is>
          <t>Cristopher Sánchez</t>
        </is>
      </c>
      <c r="E820" s="2" t="n">
        <v>143</v>
      </c>
      <c r="F820" s="2" t="n">
        <v>114</v>
      </c>
      <c r="G820" s="2" t="inlineStr">
        <is>
          <t>Home</t>
        </is>
      </c>
      <c r="H820" s="2" t="inlineStr">
        <is>
          <t>betrivers</t>
        </is>
      </c>
      <c r="I820" s="4" t="n"/>
      <c r="J820" s="4" t="n"/>
      <c r="K820" s="4" t="n">
        <v>-180</v>
      </c>
      <c r="L820" s="4" t="n">
        <v>-180</v>
      </c>
      <c r="M820" s="5" t="n">
        <v>7.5</v>
      </c>
      <c r="N820" s="5" t="n">
        <v>6.029809180076317</v>
      </c>
      <c r="O820" s="5" t="n">
        <v>7.5</v>
      </c>
      <c r="P820" s="5" t="n">
        <v>1.470190819923683</v>
      </c>
      <c r="Q820" s="6" t="n">
        <v>0.1509020898862104</v>
      </c>
      <c r="R820" s="6" t="n">
        <v>0.7398656292125638</v>
      </c>
      <c r="S820" s="6" t="n">
        <v>0.6017069701280228</v>
      </c>
      <c r="T820" s="2" t="inlineStr">
        <is>
          <t>Under</t>
        </is>
      </c>
      <c r="U820" s="4" t="n">
        <v>-180</v>
      </c>
      <c r="V820" s="2" t="n">
        <v>1.555555555555556</v>
      </c>
      <c r="W820" s="4" t="n">
        <v>-180</v>
      </c>
      <c r="X820" s="2" t="n">
        <v>1</v>
      </c>
      <c r="Y820" s="5" t="n">
        <v>0.5555555555555556</v>
      </c>
      <c r="Z820" s="7" t="n">
        <v>100</v>
      </c>
      <c r="AA820" s="7">
        <f>Y820*Z820</f>
        <v/>
      </c>
      <c r="AB820" s="6">
        <f>IF(Z820=0,0,AA820/Z820)</f>
        <v/>
      </c>
      <c r="AC820" s="6" t="n"/>
      <c r="AD820" s="2" t="inlineStr">
        <is>
          <t>Win</t>
        </is>
      </c>
      <c r="AE820" s="6">
        <f>IF((COUNTIF($AD$2:AD820,"Win")+COUNTIF($AD$2:AD820,"Loss"))=0,0,COUNTIF($AD$2:AD820,"Win")/(COUNTIF($AD$2:AD820,"Win")+COUNTIF($AD$2:AD820,"Loss")))</f>
        <v/>
      </c>
      <c r="AF820" s="6">
        <f>SUM($Y$2:Y820)/SUM($X$2:X820)</f>
        <v/>
      </c>
      <c r="AG820" s="5">
        <f>SUM($Y$2:Y820)</f>
        <v/>
      </c>
      <c r="AH820" s="7">
        <f>10000.0+SUM($AA$2:AA820)</f>
        <v/>
      </c>
      <c r="AI820" s="2" t="n">
        <v>2026</v>
      </c>
      <c r="AJ820" s="2" t="inlineStr">
        <is>
          <t>2026-05</t>
        </is>
      </c>
      <c r="AK820" s="2" t="inlineStr">
        <is>
          <t>&lt;= -150</t>
        </is>
      </c>
      <c r="AL820" s="2" t="inlineStr">
        <is>
          <t>2026 Frozen Test</t>
        </is>
      </c>
      <c r="AM820" s="6" t="n">
        <v>0.2716237617951787</v>
      </c>
    </row>
    <row r="821">
      <c r="A821" s="2" t="inlineStr">
        <is>
          <t>KPROP-00820</t>
        </is>
      </c>
      <c r="B821" s="3" t="n">
        <v>46164.79556712963</v>
      </c>
      <c r="C821" s="3" t="n">
        <v>46164</v>
      </c>
      <c r="D821" s="2" t="inlineStr">
        <is>
          <t>Gerrit Cole</t>
        </is>
      </c>
      <c r="E821" s="2" t="n">
        <v>147</v>
      </c>
      <c r="F821" s="2" t="n">
        <v>139</v>
      </c>
      <c r="G821" s="2" t="inlineStr">
        <is>
          <t>Home</t>
        </is>
      </c>
      <c r="H821" s="2" t="inlineStr">
        <is>
          <t>fanduel</t>
        </is>
      </c>
      <c r="I821" s="4" t="n"/>
      <c r="J821" s="4" t="n"/>
      <c r="K821" s="4" t="n">
        <v>120</v>
      </c>
      <c r="L821" s="4" t="n">
        <v>120</v>
      </c>
      <c r="M821" s="5" t="n">
        <v>4.5</v>
      </c>
      <c r="N821" s="5" t="n">
        <v>4.688894904322559</v>
      </c>
      <c r="O821" s="5" t="n">
        <v>4.5</v>
      </c>
      <c r="P821" s="5" t="n">
        <v>-0.1888949043225594</v>
      </c>
      <c r="Q821" s="6" t="n">
        <v>0.09266099759902124</v>
      </c>
      <c r="R821" s="6" t="n">
        <v>0.4966640898177369</v>
      </c>
      <c r="S821" s="6" t="n">
        <v>0.4343971631205674</v>
      </c>
      <c r="T821" s="2" t="inlineStr">
        <is>
          <t>Under</t>
        </is>
      </c>
      <c r="U821" s="4" t="n">
        <v>120</v>
      </c>
      <c r="V821" s="2" t="n">
        <v>2.2</v>
      </c>
      <c r="W821" s="4" t="n">
        <v>120</v>
      </c>
      <c r="X821" s="2" t="n">
        <v>1</v>
      </c>
      <c r="Y821" s="5" t="n">
        <v>1.2</v>
      </c>
      <c r="Z821" s="7" t="n">
        <v>100</v>
      </c>
      <c r="AA821" s="7">
        <f>Y821*Z821</f>
        <v/>
      </c>
      <c r="AB821" s="6">
        <f>IF(Z821=0,0,AA821/Z821)</f>
        <v/>
      </c>
      <c r="AC821" s="6" t="n"/>
      <c r="AD821" s="2" t="inlineStr">
        <is>
          <t>Win</t>
        </is>
      </c>
      <c r="AE821" s="6">
        <f>IF((COUNTIF($AD$2:AD821,"Win")+COUNTIF($AD$2:AD821,"Loss"))=0,0,COUNTIF($AD$2:AD821,"Win")/(COUNTIF($AD$2:AD821,"Win")+COUNTIF($AD$2:AD821,"Loss")))</f>
        <v/>
      </c>
      <c r="AF821" s="6">
        <f>SUM($Y$2:Y821)/SUM($X$2:X821)</f>
        <v/>
      </c>
      <c r="AG821" s="5">
        <f>SUM($Y$2:Y821)</f>
        <v/>
      </c>
      <c r="AH821" s="7">
        <f>10000.0+SUM($AA$2:AA821)</f>
        <v/>
      </c>
      <c r="AI821" s="2" t="n">
        <v>2026</v>
      </c>
      <c r="AJ821" s="2" t="inlineStr">
        <is>
          <t>2026-05</t>
        </is>
      </c>
      <c r="AK821" s="2" t="inlineStr">
        <is>
          <t>+100 to +120</t>
        </is>
      </c>
      <c r="AL821" s="2" t="inlineStr">
        <is>
          <t>2026 Frozen Test</t>
        </is>
      </c>
      <c r="AM821" s="6" t="n">
        <v>0.07721749799918436</v>
      </c>
    </row>
    <row r="822">
      <c r="A822" s="2" t="inlineStr">
        <is>
          <t>KPROP-00821</t>
        </is>
      </c>
      <c r="B822" s="3" t="n">
        <v>46164.79556712963</v>
      </c>
      <c r="C822" s="3" t="n">
        <v>46164</v>
      </c>
      <c r="D822" s="2" t="inlineStr">
        <is>
          <t>Kevin Gausman</t>
        </is>
      </c>
      <c r="E822" s="2" t="n">
        <v>141</v>
      </c>
      <c r="F822" s="2" t="n">
        <v>134</v>
      </c>
      <c r="G822" s="2" t="inlineStr">
        <is>
          <t>Home</t>
        </is>
      </c>
      <c r="H822" s="2" t="inlineStr">
        <is>
          <t>fanduel</t>
        </is>
      </c>
      <c r="I822" s="4" t="n"/>
      <c r="J822" s="4" t="n"/>
      <c r="K822" s="4" t="n">
        <v>130</v>
      </c>
      <c r="L822" s="4" t="n">
        <v>130</v>
      </c>
      <c r="M822" s="5" t="n">
        <v>5.5</v>
      </c>
      <c r="N822" s="5" t="n">
        <v>5.616089996795292</v>
      </c>
      <c r="O822" s="5" t="n">
        <v>5.5</v>
      </c>
      <c r="P822" s="5" t="n">
        <v>-0.1160899967952922</v>
      </c>
      <c r="Q822" s="6" t="n">
        <v>0.171005120997779</v>
      </c>
      <c r="R822" s="6" t="n">
        <v>0.5091326613033822</v>
      </c>
      <c r="S822" s="6" t="n">
        <v>0.4128584935392373</v>
      </c>
      <c r="T822" s="2" t="inlineStr">
        <is>
          <t>Under</t>
        </is>
      </c>
      <c r="U822" s="4" t="n">
        <v>130</v>
      </c>
      <c r="V822" s="2" t="n">
        <v>2.3</v>
      </c>
      <c r="W822" s="4" t="n">
        <v>130</v>
      </c>
      <c r="X822" s="2" t="n">
        <v>1</v>
      </c>
      <c r="Y822" s="5" t="n">
        <v>-1</v>
      </c>
      <c r="Z822" s="7" t="n">
        <v>100</v>
      </c>
      <c r="AA822" s="7">
        <f>Y822*Z822</f>
        <v/>
      </c>
      <c r="AB822" s="6">
        <f>IF(Z822=0,0,AA822/Z822)</f>
        <v/>
      </c>
      <c r="AC822" s="6" t="n"/>
      <c r="AD822" s="2" t="inlineStr">
        <is>
          <t>Loss</t>
        </is>
      </c>
      <c r="AE822" s="6">
        <f>IF((COUNTIF($AD$2:AD822,"Win")+COUNTIF($AD$2:AD822,"Loss"))=0,0,COUNTIF($AD$2:AD822,"Win")/(COUNTIF($AD$2:AD822,"Win")+COUNTIF($AD$2:AD822,"Loss")))</f>
        <v/>
      </c>
      <c r="AF822" s="6">
        <f>SUM($Y$2:Y822)/SUM($X$2:X822)</f>
        <v/>
      </c>
      <c r="AG822" s="5">
        <f>SUM($Y$2:Y822)</f>
        <v/>
      </c>
      <c r="AH822" s="7">
        <f>10000.0+SUM($AA$2:AA822)</f>
        <v/>
      </c>
      <c r="AI822" s="2" t="n">
        <v>2026</v>
      </c>
      <c r="AJ822" s="2" t="inlineStr">
        <is>
          <t>2026-05</t>
        </is>
      </c>
      <c r="AK822" s="2" t="inlineStr">
        <is>
          <t>+121 to +150</t>
        </is>
      </c>
      <c r="AL822" s="2" t="inlineStr">
        <is>
          <t>2026 Frozen Test</t>
        </is>
      </c>
      <c r="AM822" s="6" t="n">
        <v>0.1315424007675223</v>
      </c>
    </row>
    <row r="823">
      <c r="A823" s="2" t="inlineStr">
        <is>
          <t>KPROP-00822</t>
        </is>
      </c>
      <c r="B823" s="3" t="n">
        <v>46164.79556712963</v>
      </c>
      <c r="C823" s="3" t="n">
        <v>46164</v>
      </c>
      <c r="D823" s="2" t="inlineStr">
        <is>
          <t>Kevin Gausman</t>
        </is>
      </c>
      <c r="E823" s="2" t="n">
        <v>141</v>
      </c>
      <c r="F823" s="2" t="n">
        <v>134</v>
      </c>
      <c r="G823" s="2" t="inlineStr">
        <is>
          <t>Home</t>
        </is>
      </c>
      <c r="H823" s="2" t="inlineStr">
        <is>
          <t>draftkings</t>
        </is>
      </c>
      <c r="I823" s="4" t="n"/>
      <c r="J823" s="4" t="n"/>
      <c r="K823" s="4" t="n">
        <v>-151</v>
      </c>
      <c r="L823" s="4" t="n">
        <v>-151</v>
      </c>
      <c r="M823" s="5" t="n">
        <v>6.5</v>
      </c>
      <c r="N823" s="5" t="n">
        <v>5.616089996795292</v>
      </c>
      <c r="O823" s="5" t="n">
        <v>6.5</v>
      </c>
      <c r="P823" s="5" t="n">
        <v>0.8839100032047078</v>
      </c>
      <c r="Q823" s="6" t="n">
        <v>0.1098983111516586</v>
      </c>
      <c r="R823" s="6" t="n">
        <v>0.6677077489398424</v>
      </c>
      <c r="S823" s="6" t="n">
        <v>0.5804780210596691</v>
      </c>
      <c r="T823" s="2" t="inlineStr">
        <is>
          <t>Under</t>
        </is>
      </c>
      <c r="U823" s="4" t="n">
        <v>-151</v>
      </c>
      <c r="V823" s="2" t="n">
        <v>1.662251655629139</v>
      </c>
      <c r="W823" s="4" t="n">
        <v>-151</v>
      </c>
      <c r="X823" s="2" t="n">
        <v>1</v>
      </c>
      <c r="Y823" s="5" t="n">
        <v>-1</v>
      </c>
      <c r="Z823" s="7" t="n">
        <v>100</v>
      </c>
      <c r="AA823" s="7">
        <f>Y823*Z823</f>
        <v/>
      </c>
      <c r="AB823" s="6">
        <f>IF(Z823=0,0,AA823/Z823)</f>
        <v/>
      </c>
      <c r="AC823" s="6" t="n"/>
      <c r="AD823" s="2" t="inlineStr">
        <is>
          <t>Loss</t>
        </is>
      </c>
      <c r="AE823" s="6">
        <f>IF((COUNTIF($AD$2:AD823,"Win")+COUNTIF($AD$2:AD823,"Loss"))=0,0,COUNTIF($AD$2:AD823,"Win")/(COUNTIF($AD$2:AD823,"Win")+COUNTIF($AD$2:AD823,"Loss")))</f>
        <v/>
      </c>
      <c r="AF823" s="6">
        <f>SUM($Y$2:Y823)/SUM($X$2:X823)</f>
        <v/>
      </c>
      <c r="AG823" s="5">
        <f>SUM($Y$2:Y823)</f>
        <v/>
      </c>
      <c r="AH823" s="7">
        <f>10000.0+SUM($AA$2:AA823)</f>
        <v/>
      </c>
      <c r="AI823" s="2" t="n">
        <v>2026</v>
      </c>
      <c r="AJ823" s="2" t="inlineStr">
        <is>
          <t>2026-05</t>
        </is>
      </c>
      <c r="AK823" s="2" t="inlineStr">
        <is>
          <t>&lt;= -150</t>
        </is>
      </c>
      <c r="AL823" s="2" t="inlineStr">
        <is>
          <t>2026 Frozen Test</t>
        </is>
      </c>
      <c r="AM823" s="6" t="n">
        <v>0.1659464498390045</v>
      </c>
    </row>
    <row r="824">
      <c r="A824" s="2" t="inlineStr">
        <is>
          <t>KPROP-00823</t>
        </is>
      </c>
      <c r="B824" s="3" t="n">
        <v>46164.81987268518</v>
      </c>
      <c r="C824" s="3" t="n">
        <v>46164</v>
      </c>
      <c r="D824" s="2" t="inlineStr">
        <is>
          <t>Logan Gilbert</t>
        </is>
      </c>
      <c r="E824" s="2" t="n">
        <v>136</v>
      </c>
      <c r="F824" s="2" t="n">
        <v>118</v>
      </c>
      <c r="G824" s="2" t="inlineStr">
        <is>
          <t>Away</t>
        </is>
      </c>
      <c r="H824" s="2" t="inlineStr">
        <is>
          <t>betonlineag</t>
        </is>
      </c>
      <c r="I824" s="4" t="n"/>
      <c r="J824" s="4" t="n"/>
      <c r="K824" s="4" t="n">
        <v>-110</v>
      </c>
      <c r="L824" s="4" t="n">
        <v>-110</v>
      </c>
      <c r="M824" s="5" t="n">
        <v>5.5</v>
      </c>
      <c r="N824" s="5" t="n">
        <v>5.116145527423479</v>
      </c>
      <c r="O824" s="5" t="n">
        <v>5.5</v>
      </c>
      <c r="P824" s="5" t="n">
        <v>0.3838544725765205</v>
      </c>
      <c r="Q824" s="6" t="n">
        <v>0.1370353781531841</v>
      </c>
      <c r="R824" s="6" t="n">
        <v>0.5955899599850012</v>
      </c>
      <c r="S824" s="6" t="n">
        <v>0.5296752519596865</v>
      </c>
      <c r="T824" s="2" t="inlineStr">
        <is>
          <t>Under</t>
        </is>
      </c>
      <c r="U824" s="4" t="n">
        <v>-110</v>
      </c>
      <c r="V824" s="2" t="n">
        <v>1.909090909090909</v>
      </c>
      <c r="W824" s="4" t="n">
        <v>-110</v>
      </c>
      <c r="X824" s="2" t="n">
        <v>1</v>
      </c>
      <c r="Y824" s="5" t="n">
        <v>-1</v>
      </c>
      <c r="Z824" s="7" t="n">
        <v>100</v>
      </c>
      <c r="AA824" s="7">
        <f>Y824*Z824</f>
        <v/>
      </c>
      <c r="AB824" s="6">
        <f>IF(Z824=0,0,AA824/Z824)</f>
        <v/>
      </c>
      <c r="AC824" s="6" t="n"/>
      <c r="AD824" s="2" t="inlineStr">
        <is>
          <t>Loss</t>
        </is>
      </c>
      <c r="AE824" s="6">
        <f>IF((COUNTIF($AD$2:AD824,"Win")+COUNTIF($AD$2:AD824,"Loss"))=0,0,COUNTIF($AD$2:AD824,"Win")/(COUNTIF($AD$2:AD824,"Win")+COUNTIF($AD$2:AD824,"Loss")))</f>
        <v/>
      </c>
      <c r="AF824" s="6">
        <f>SUM($Y$2:Y824)/SUM($X$2:X824)</f>
        <v/>
      </c>
      <c r="AG824" s="5">
        <f>SUM($Y$2:Y824)</f>
        <v/>
      </c>
      <c r="AH824" s="7">
        <f>10000.0+SUM($AA$2:AA824)</f>
        <v/>
      </c>
      <c r="AI824" s="2" t="n">
        <v>2026</v>
      </c>
      <c r="AJ824" s="2" t="inlineStr">
        <is>
          <t>2026-05</t>
        </is>
      </c>
      <c r="AK824" s="2" t="inlineStr">
        <is>
          <t>-119 to -101</t>
        </is>
      </c>
      <c r="AL824" s="2" t="inlineStr">
        <is>
          <t>2026 Frozen Test</t>
        </is>
      </c>
      <c r="AM824" s="6" t="n">
        <v>0.1507389159685025</v>
      </c>
    </row>
    <row r="825">
      <c r="A825" s="2" t="inlineStr">
        <is>
          <t>KPROP-00824</t>
        </is>
      </c>
      <c r="B825" s="3" t="n">
        <v>46164.81987268518</v>
      </c>
      <c r="C825" s="3" t="n">
        <v>46164</v>
      </c>
      <c r="D825" s="2" t="inlineStr">
        <is>
          <t>Logan Henderson</t>
        </is>
      </c>
      <c r="E825" s="2" t="n">
        <v>158</v>
      </c>
      <c r="F825" s="2" t="n">
        <v>119</v>
      </c>
      <c r="G825" s="2" t="inlineStr">
        <is>
          <t>Home</t>
        </is>
      </c>
      <c r="H825" s="2" t="inlineStr">
        <is>
          <t>draftkings</t>
        </is>
      </c>
      <c r="I825" s="4" t="n"/>
      <c r="J825" s="4" t="n"/>
      <c r="K825" s="4" t="n">
        <v>-110</v>
      </c>
      <c r="L825" s="4" t="n">
        <v>-110</v>
      </c>
      <c r="M825" s="5" t="n">
        <v>5.5</v>
      </c>
      <c r="N825" s="5" t="n">
        <v>5.058001047861299</v>
      </c>
      <c r="O825" s="5" t="n">
        <v>5.5</v>
      </c>
      <c r="P825" s="5" t="n">
        <v>0.4419989521387011</v>
      </c>
      <c r="Q825" s="6" t="n">
        <v>0.1564976781689853</v>
      </c>
      <c r="R825" s="6" t="n">
        <v>0.6057844980885161</v>
      </c>
      <c r="S825" s="6" t="n">
        <v>0.5116279069767442</v>
      </c>
      <c r="T825" s="2" t="inlineStr">
        <is>
          <t>Under</t>
        </is>
      </c>
      <c r="U825" s="4" t="n">
        <v>-110</v>
      </c>
      <c r="V825" s="2" t="n">
        <v>1.909090909090909</v>
      </c>
      <c r="W825" s="4" t="n">
        <v>-110</v>
      </c>
      <c r="X825" s="2" t="n">
        <v>1</v>
      </c>
      <c r="Y825" s="5" t="n">
        <v>-1</v>
      </c>
      <c r="Z825" s="7" t="n">
        <v>100</v>
      </c>
      <c r="AA825" s="7">
        <f>Y825*Z825</f>
        <v/>
      </c>
      <c r="AB825" s="6">
        <f>IF(Z825=0,0,AA825/Z825)</f>
        <v/>
      </c>
      <c r="AC825" s="6" t="n"/>
      <c r="AD825" s="2" t="inlineStr">
        <is>
          <t>Loss</t>
        </is>
      </c>
      <c r="AE825" s="6">
        <f>IF((COUNTIF($AD$2:AD825,"Win")+COUNTIF($AD$2:AD825,"Loss"))=0,0,COUNTIF($AD$2:AD825,"Win")/(COUNTIF($AD$2:AD825,"Win")+COUNTIF($AD$2:AD825,"Loss")))</f>
        <v/>
      </c>
      <c r="AF825" s="6">
        <f>SUM($Y$2:Y825)/SUM($X$2:X825)</f>
        <v/>
      </c>
      <c r="AG825" s="5">
        <f>SUM($Y$2:Y825)</f>
        <v/>
      </c>
      <c r="AH825" s="7">
        <f>10000.0+SUM($AA$2:AA825)</f>
        <v/>
      </c>
      <c r="AI825" s="2" t="n">
        <v>2026</v>
      </c>
      <c r="AJ825" s="2" t="inlineStr">
        <is>
          <t>2026-05</t>
        </is>
      </c>
      <c r="AK825" s="2" t="inlineStr">
        <is>
          <t>-119 to -101</t>
        </is>
      </c>
      <c r="AL825" s="2" t="inlineStr">
        <is>
          <t>2026 Frozen Test</t>
        </is>
      </c>
      <c r="AM825" s="6" t="n">
        <v>0.1721474459858838</v>
      </c>
    </row>
    <row r="826">
      <c r="A826" s="2" t="inlineStr">
        <is>
          <t>KPROP-00825</t>
        </is>
      </c>
      <c r="B826" s="3" t="n">
        <v>46164.59765046297</v>
      </c>
      <c r="C826" s="3" t="n">
        <v>46164</v>
      </c>
      <c r="D826" s="2" t="inlineStr">
        <is>
          <t>Spencer Arrighetti</t>
        </is>
      </c>
      <c r="E826" s="2" t="n">
        <v>117</v>
      </c>
      <c r="F826" s="2" t="n">
        <v>112</v>
      </c>
      <c r="G826" s="2" t="inlineStr">
        <is>
          <t>Away</t>
        </is>
      </c>
      <c r="H826" s="2" t="inlineStr">
        <is>
          <t>draftkings</t>
        </is>
      </c>
      <c r="I826" s="4" t="n"/>
      <c r="J826" s="4" t="n"/>
      <c r="K826" s="4" t="n">
        <v>-152</v>
      </c>
      <c r="L826" s="4" t="n">
        <v>-152</v>
      </c>
      <c r="M826" s="5" t="n">
        <v>5.5</v>
      </c>
      <c r="N826" s="5" t="n">
        <v>4.785607403858958</v>
      </c>
      <c r="O826" s="5" t="n">
        <v>5.5</v>
      </c>
      <c r="P826" s="5" t="n">
        <v>0.7143925961410424</v>
      </c>
      <c r="Q826" s="6" t="n">
        <v>0.08346859072091883</v>
      </c>
      <c r="R826" s="6" t="n">
        <v>0.6535207372602367</v>
      </c>
      <c r="S826" s="6" t="n">
        <v>0.584268180018477</v>
      </c>
      <c r="T826" s="2" t="inlineStr">
        <is>
          <t>Under</t>
        </is>
      </c>
      <c r="U826" s="4" t="n">
        <v>-152</v>
      </c>
      <c r="V826" s="2" t="n">
        <v>1.657894736842105</v>
      </c>
      <c r="W826" s="4" t="n">
        <v>-152</v>
      </c>
      <c r="X826" s="2" t="n">
        <v>1</v>
      </c>
      <c r="Y826" s="5" t="n">
        <v>0.6578947368421053</v>
      </c>
      <c r="Z826" s="7" t="n">
        <v>100</v>
      </c>
      <c r="AA826" s="7">
        <f>Y826*Z826</f>
        <v/>
      </c>
      <c r="AB826" s="6">
        <f>IF(Z826=0,0,AA826/Z826)</f>
        <v/>
      </c>
      <c r="AC826" s="6" t="n"/>
      <c r="AD826" s="2" t="inlineStr">
        <is>
          <t>Win</t>
        </is>
      </c>
      <c r="AE826" s="6">
        <f>IF((COUNTIF($AD$2:AD826,"Win")+COUNTIF($AD$2:AD826,"Loss"))=0,0,COUNTIF($AD$2:AD826,"Win")/(COUNTIF($AD$2:AD826,"Win")+COUNTIF($AD$2:AD826,"Loss")))</f>
        <v/>
      </c>
      <c r="AF826" s="6">
        <f>SUM($Y$2:Y826)/SUM($X$2:X826)</f>
        <v/>
      </c>
      <c r="AG826" s="5">
        <f>SUM($Y$2:Y826)</f>
        <v/>
      </c>
      <c r="AH826" s="7">
        <f>10000.0+SUM($AA$2:AA826)</f>
        <v/>
      </c>
      <c r="AI826" s="2" t="n">
        <v>2026</v>
      </c>
      <c r="AJ826" s="2" t="inlineStr">
        <is>
          <t>2026-05</t>
        </is>
      </c>
      <c r="AK826" s="2" t="inlineStr">
        <is>
          <t>&lt;= -150</t>
        </is>
      </c>
      <c r="AL826" s="2" t="inlineStr">
        <is>
          <t>2026 Frozen Test</t>
        </is>
      </c>
      <c r="AM826" s="6" t="n">
        <v>0.1268722578957966</v>
      </c>
    </row>
    <row r="827">
      <c r="A827" s="2" t="inlineStr">
        <is>
          <t>KPROP-00826</t>
        </is>
      </c>
      <c r="B827" s="3" t="n">
        <v>46165.67403935185</v>
      </c>
      <c r="C827" s="3" t="n">
        <v>46165</v>
      </c>
      <c r="D827" s="2" t="inlineStr">
        <is>
          <t>Max Meyer</t>
        </is>
      </c>
      <c r="E827" s="2" t="n">
        <v>146</v>
      </c>
      <c r="F827" s="2" t="n">
        <v>121</v>
      </c>
      <c r="G827" s="2" t="inlineStr">
        <is>
          <t>Home</t>
        </is>
      </c>
      <c r="H827" s="2" t="inlineStr">
        <is>
          <t>draftkings</t>
        </is>
      </c>
      <c r="I827" s="4" t="n"/>
      <c r="J827" s="4" t="n"/>
      <c r="K827" s="4" t="n">
        <v>104</v>
      </c>
      <c r="L827" s="4" t="n">
        <v>104</v>
      </c>
      <c r="M827" s="5" t="n">
        <v>5.5</v>
      </c>
      <c r="N827" s="5" t="n">
        <v>5.470573370154741</v>
      </c>
      <c r="O827" s="5" t="n">
        <v>5.5</v>
      </c>
      <c r="P827" s="5" t="n">
        <v>0.02942662984525857</v>
      </c>
      <c r="Q827" s="6" t="n">
        <v>0.08929688756943911</v>
      </c>
      <c r="R827" s="6" t="n">
        <v>0.5339690625340388</v>
      </c>
      <c r="S827" s="6" t="n">
        <v>0.469641060046964</v>
      </c>
      <c r="T827" s="2" t="inlineStr">
        <is>
          <t>Under</t>
        </is>
      </c>
      <c r="U827" s="4" t="n">
        <v>104</v>
      </c>
      <c r="V827" s="2" t="n">
        <v>2.04</v>
      </c>
      <c r="W827" s="4" t="n">
        <v>104</v>
      </c>
      <c r="X827" s="2" t="n">
        <v>1</v>
      </c>
      <c r="Y827" s="5" t="n">
        <v>-1</v>
      </c>
      <c r="Z827" s="7" t="n">
        <v>100</v>
      </c>
      <c r="AA827" s="7">
        <f>Y827*Z827</f>
        <v/>
      </c>
      <c r="AB827" s="6">
        <f>IF(Z827=0,0,AA827/Z827)</f>
        <v/>
      </c>
      <c r="AC827" s="6" t="n"/>
      <c r="AD827" s="2" t="inlineStr">
        <is>
          <t>Loss</t>
        </is>
      </c>
      <c r="AE827" s="6">
        <f>IF((COUNTIF($AD$2:AD827,"Win")+COUNTIF($AD$2:AD827,"Loss"))=0,0,COUNTIF($AD$2:AD827,"Win")/(COUNTIF($AD$2:AD827,"Win")+COUNTIF($AD$2:AD827,"Loss")))</f>
        <v/>
      </c>
      <c r="AF827" s="6">
        <f>SUM($Y$2:Y827)/SUM($X$2:X827)</f>
        <v/>
      </c>
      <c r="AG827" s="5">
        <f>SUM($Y$2:Y827)</f>
        <v/>
      </c>
      <c r="AH827" s="7">
        <f>10000.0+SUM($AA$2:AA827)</f>
        <v/>
      </c>
      <c r="AI827" s="2" t="n">
        <v>2026</v>
      </c>
      <c r="AJ827" s="2" t="inlineStr">
        <is>
          <t>2026-05</t>
        </is>
      </c>
      <c r="AK827" s="2" t="inlineStr">
        <is>
          <t>+100 to +120</t>
        </is>
      </c>
      <c r="AL827" s="2" t="inlineStr">
        <is>
          <t>2026 Frozen Test</t>
        </is>
      </c>
      <c r="AM827" s="6" t="n">
        <v>0.08586239189369144</v>
      </c>
    </row>
    <row r="828">
      <c r="A828" s="2" t="inlineStr">
        <is>
          <t>KPROP-00827</t>
        </is>
      </c>
      <c r="B828" s="3" t="n">
        <v>46165.62890046297</v>
      </c>
      <c r="C828" s="3" t="n">
        <v>46165</v>
      </c>
      <c r="D828" s="2" t="inlineStr">
        <is>
          <t>Paul Skenes</t>
        </is>
      </c>
      <c r="E828" s="2" t="n">
        <v>134</v>
      </c>
      <c r="F828" s="2" t="n">
        <v>141</v>
      </c>
      <c r="G828" s="2" t="inlineStr">
        <is>
          <t>Away</t>
        </is>
      </c>
      <c r="H828" s="2" t="inlineStr">
        <is>
          <t>draftkings</t>
        </is>
      </c>
      <c r="I828" s="4" t="n"/>
      <c r="J828" s="4" t="n"/>
      <c r="K828" s="4" t="n">
        <v>113</v>
      </c>
      <c r="L828" s="4" t="n">
        <v>113</v>
      </c>
      <c r="M828" s="5" t="n">
        <v>6.5</v>
      </c>
      <c r="N828" s="5" t="n">
        <v>5.691256702582276</v>
      </c>
      <c r="O828" s="5" t="n">
        <v>6.5</v>
      </c>
      <c r="P828" s="5" t="n">
        <v>0.808743297417724</v>
      </c>
      <c r="Q828" s="6" t="n">
        <v>0.396768022769132</v>
      </c>
      <c r="R828" s="6" t="n">
        <v>0.6557596351028789</v>
      </c>
      <c r="S828" s="6" t="n">
        <v>0.4674421132731819</v>
      </c>
      <c r="T828" s="2" t="inlineStr">
        <is>
          <t>Under</t>
        </is>
      </c>
      <c r="U828" s="4" t="n">
        <v>113</v>
      </c>
      <c r="V828" s="2" t="n">
        <v>2.13</v>
      </c>
      <c r="W828" s="4" t="n">
        <v>113</v>
      </c>
      <c r="X828" s="2" t="n">
        <v>1</v>
      </c>
      <c r="Y828" s="5" t="n">
        <v>1.13</v>
      </c>
      <c r="Z828" s="7" t="n">
        <v>100</v>
      </c>
      <c r="AA828" s="7">
        <f>Y828*Z828</f>
        <v/>
      </c>
      <c r="AB828" s="6">
        <f>IF(Z828=0,0,AA828/Z828)</f>
        <v/>
      </c>
      <c r="AC828" s="6" t="n"/>
      <c r="AD828" s="2" t="inlineStr">
        <is>
          <t>Win</t>
        </is>
      </c>
      <c r="AE828" s="6">
        <f>IF((COUNTIF($AD$2:AD828,"Win")+COUNTIF($AD$2:AD828,"Loss"))=0,0,COUNTIF($AD$2:AD828,"Win")/(COUNTIF($AD$2:AD828,"Win")+COUNTIF($AD$2:AD828,"Loss")))</f>
        <v/>
      </c>
      <c r="AF828" s="6">
        <f>SUM($Y$2:Y828)/SUM($X$2:X828)</f>
        <v/>
      </c>
      <c r="AG828" s="5">
        <f>SUM($Y$2:Y828)</f>
        <v/>
      </c>
      <c r="AH828" s="7">
        <f>10000.0+SUM($AA$2:AA828)</f>
        <v/>
      </c>
      <c r="AI828" s="2" t="n">
        <v>2026</v>
      </c>
      <c r="AJ828" s="2" t="inlineStr">
        <is>
          <t>2026-05</t>
        </is>
      </c>
      <c r="AK828" s="2" t="inlineStr">
        <is>
          <t>+100 to +120</t>
        </is>
      </c>
      <c r="AL828" s="2" t="inlineStr">
        <is>
          <t>2026 Frozen Test</t>
        </is>
      </c>
      <c r="AM828" s="6" t="n">
        <v>0.3511221440434797</v>
      </c>
    </row>
    <row r="829">
      <c r="A829" s="2" t="inlineStr">
        <is>
          <t>KPROP-00828</t>
        </is>
      </c>
      <c r="B829" s="3" t="n">
        <v>46165.80251157407</v>
      </c>
      <c r="C829" s="3" t="n">
        <v>46165</v>
      </c>
      <c r="D829" s="2" t="inlineStr">
        <is>
          <t>Robert Gasser</t>
        </is>
      </c>
      <c r="E829" s="2" t="n">
        <v>158</v>
      </c>
      <c r="F829" s="2" t="n">
        <v>119</v>
      </c>
      <c r="G829" s="2" t="inlineStr">
        <is>
          <t>Home</t>
        </is>
      </c>
      <c r="H829" s="2" t="inlineStr">
        <is>
          <t>draftkings</t>
        </is>
      </c>
      <c r="I829" s="4" t="n"/>
      <c r="J829" s="4" t="n"/>
      <c r="K829" s="4" t="n">
        <v>121</v>
      </c>
      <c r="L829" s="4" t="n">
        <v>121</v>
      </c>
      <c r="M829" s="5" t="n">
        <v>3.5</v>
      </c>
      <c r="N829" s="5" t="n">
        <v>3.177363756671498</v>
      </c>
      <c r="O829" s="5" t="n">
        <v>3.5</v>
      </c>
      <c r="P829" s="5" t="n">
        <v>0.3226362433285019</v>
      </c>
      <c r="Q829" s="6" t="n">
        <v>0.3427128015273228</v>
      </c>
      <c r="R829" s="6" t="n">
        <v>0.6075623536322727</v>
      </c>
      <c r="S829" s="6" t="n">
        <v>0.4406112308990344</v>
      </c>
      <c r="T829" s="2" t="inlineStr">
        <is>
          <t>Under</t>
        </is>
      </c>
      <c r="U829" s="4" t="n">
        <v>121</v>
      </c>
      <c r="V829" s="2" t="n">
        <v>2.21</v>
      </c>
      <c r="W829" s="4" t="n">
        <v>121</v>
      </c>
      <c r="X829" s="2" t="n">
        <v>1</v>
      </c>
      <c r="Y829" s="5" t="n">
        <v>-1</v>
      </c>
      <c r="Z829" s="7" t="n">
        <v>100</v>
      </c>
      <c r="AA829" s="7">
        <f>Y829*Z829</f>
        <v/>
      </c>
      <c r="AB829" s="6">
        <f>IF(Z829=0,0,AA829/Z829)</f>
        <v/>
      </c>
      <c r="AC829" s="6" t="n"/>
      <c r="AD829" s="2" t="inlineStr">
        <is>
          <t>Loss</t>
        </is>
      </c>
      <c r="AE829" s="6">
        <f>IF((COUNTIF($AD$2:AD829,"Win")+COUNTIF($AD$2:AD829,"Loss"))=0,0,COUNTIF($AD$2:AD829,"Win")/(COUNTIF($AD$2:AD829,"Win")+COUNTIF($AD$2:AD829,"Loss")))</f>
        <v/>
      </c>
      <c r="AF829" s="6">
        <f>SUM($Y$2:Y829)/SUM($X$2:X829)</f>
        <v/>
      </c>
      <c r="AG829" s="5">
        <f>SUM($Y$2:Y829)</f>
        <v/>
      </c>
      <c r="AH829" s="7">
        <f>10000.0+SUM($AA$2:AA829)</f>
        <v/>
      </c>
      <c r="AI829" s="2" t="n">
        <v>2026</v>
      </c>
      <c r="AJ829" s="2" t="inlineStr">
        <is>
          <t>2026-05</t>
        </is>
      </c>
      <c r="AK829" s="2" t="inlineStr">
        <is>
          <t>+121 to +150</t>
        </is>
      </c>
      <c r="AL829" s="2" t="inlineStr">
        <is>
          <t>2026 Frozen Test</t>
        </is>
      </c>
      <c r="AM829" s="6" t="n">
        <v>0.2832337202705147</v>
      </c>
    </row>
    <row r="830">
      <c r="A830" s="2" t="inlineStr">
        <is>
          <t>KPROP-00829</t>
        </is>
      </c>
      <c r="B830" s="3" t="n">
        <v>46166.56640046297</v>
      </c>
      <c r="C830" s="3" t="n">
        <v>46166</v>
      </c>
      <c r="D830" s="2" t="inlineStr">
        <is>
          <t>Bailey Ober</t>
        </is>
      </c>
      <c r="E830" s="2" t="n">
        <v>142</v>
      </c>
      <c r="F830" s="2" t="n">
        <v>111</v>
      </c>
      <c r="G830" s="2" t="inlineStr">
        <is>
          <t>Away</t>
        </is>
      </c>
      <c r="H830" s="2" t="inlineStr">
        <is>
          <t>betmgm</t>
        </is>
      </c>
      <c r="I830" s="4" t="n"/>
      <c r="J830" s="4" t="n"/>
      <c r="K830" s="4" t="n">
        <v>-125</v>
      </c>
      <c r="L830" s="4" t="n">
        <v>-125</v>
      </c>
      <c r="M830" s="5" t="n">
        <v>4.5</v>
      </c>
      <c r="N830" s="5" t="n">
        <v>3.927337379482104</v>
      </c>
      <c r="O830" s="5" t="n">
        <v>4.5</v>
      </c>
      <c r="P830" s="5" t="n">
        <v>0.5726626205178964</v>
      </c>
      <c r="Q830" s="6" t="n">
        <v>0.1574533679360666</v>
      </c>
      <c r="R830" s="6" t="n">
        <v>0.6430296488533703</v>
      </c>
      <c r="S830" s="6" t="n">
        <v>0.5408163265306123</v>
      </c>
      <c r="T830" s="2" t="inlineStr">
        <is>
          <t>Under</t>
        </is>
      </c>
      <c r="U830" s="4" t="n">
        <v>-125</v>
      </c>
      <c r="V830" s="2" t="n">
        <v>1.8</v>
      </c>
      <c r="W830" s="4" t="n">
        <v>-125</v>
      </c>
      <c r="X830" s="2" t="n">
        <v>1</v>
      </c>
      <c r="Y830" s="5" t="n">
        <v>0.8</v>
      </c>
      <c r="Z830" s="7" t="n">
        <v>100</v>
      </c>
      <c r="AA830" s="7">
        <f>Y830*Z830</f>
        <v/>
      </c>
      <c r="AB830" s="6">
        <f>IF(Z830=0,0,AA830/Z830)</f>
        <v/>
      </c>
      <c r="AC830" s="6" t="n"/>
      <c r="AD830" s="2" t="inlineStr">
        <is>
          <t>Win</t>
        </is>
      </c>
      <c r="AE830" s="6">
        <f>IF((COUNTIF($AD$2:AD830,"Win")+COUNTIF($AD$2:AD830,"Loss"))=0,0,COUNTIF($AD$2:AD830,"Win")/(COUNTIF($AD$2:AD830,"Win")+COUNTIF($AD$2:AD830,"Loss")))</f>
        <v/>
      </c>
      <c r="AF830" s="6">
        <f>SUM($Y$2:Y830)/SUM($X$2:X830)</f>
        <v/>
      </c>
      <c r="AG830" s="5">
        <f>SUM($Y$2:Y830)</f>
        <v/>
      </c>
      <c r="AH830" s="7">
        <f>10000.0+SUM($AA$2:AA830)</f>
        <v/>
      </c>
      <c r="AI830" s="2" t="n">
        <v>2026</v>
      </c>
      <c r="AJ830" s="2" t="inlineStr">
        <is>
          <t>2026-05</t>
        </is>
      </c>
      <c r="AK830" s="2" t="inlineStr">
        <is>
          <t>-149 to -120</t>
        </is>
      </c>
      <c r="AL830" s="2" t="inlineStr">
        <is>
          <t>2026 Frozen Test</t>
        </is>
      </c>
      <c r="AM830" s="6" t="n">
        <v>0.1968167099200832</v>
      </c>
    </row>
    <row r="831">
      <c r="A831" s="2" t="inlineStr">
        <is>
          <t>KPROP-00830</t>
        </is>
      </c>
      <c r="B831" s="3" t="n">
        <v>46166.56987268518</v>
      </c>
      <c r="C831" s="3" t="n">
        <v>46166</v>
      </c>
      <c r="D831" s="2" t="inlineStr">
        <is>
          <t>Christian Scott</t>
        </is>
      </c>
      <c r="E831" s="2" t="n">
        <v>121</v>
      </c>
      <c r="F831" s="2" t="n">
        <v>146</v>
      </c>
      <c r="G831" s="2" t="inlineStr">
        <is>
          <t>Away</t>
        </is>
      </c>
      <c r="H831" s="2" t="inlineStr">
        <is>
          <t>draftkings</t>
        </is>
      </c>
      <c r="I831" s="4" t="n"/>
      <c r="J831" s="4" t="n"/>
      <c r="K831" s="4" t="n">
        <v>102</v>
      </c>
      <c r="L831" s="4" t="n">
        <v>102</v>
      </c>
      <c r="M831" s="5" t="n">
        <v>4.5</v>
      </c>
      <c r="N831" s="5" t="n">
        <v>4.462347558065543</v>
      </c>
      <c r="O831" s="5" t="n">
        <v>4.5</v>
      </c>
      <c r="P831" s="5" t="n">
        <v>0.03765244193445749</v>
      </c>
      <c r="Q831" s="6" t="n">
        <v>0.08931516097973201</v>
      </c>
      <c r="R831" s="6" t="n">
        <v>0.5392649311780852</v>
      </c>
      <c r="S831" s="6" t="n">
        <v>0.4858861638130496</v>
      </c>
      <c r="T831" s="2" t="inlineStr">
        <is>
          <t>Under</t>
        </is>
      </c>
      <c r="U831" s="4" t="n">
        <v>102</v>
      </c>
      <c r="V831" s="2" t="n">
        <v>2.02</v>
      </c>
      <c r="W831" s="4" t="n">
        <v>102</v>
      </c>
      <c r="X831" s="2" t="n">
        <v>1</v>
      </c>
      <c r="Y831" s="5" t="n">
        <v>-1</v>
      </c>
      <c r="Z831" s="7" t="n">
        <v>100</v>
      </c>
      <c r="AA831" s="7">
        <f>Y831*Z831</f>
        <v/>
      </c>
      <c r="AB831" s="6">
        <f>IF(Z831=0,0,AA831/Z831)</f>
        <v/>
      </c>
      <c r="AC831" s="6" t="n"/>
      <c r="AD831" s="2" t="inlineStr">
        <is>
          <t>Loss</t>
        </is>
      </c>
      <c r="AE831" s="6">
        <f>IF((COUNTIF($AD$2:AD831,"Win")+COUNTIF($AD$2:AD831,"Loss"))=0,0,COUNTIF($AD$2:AD831,"Win")/(COUNTIF($AD$2:AD831,"Win")+COUNTIF($AD$2:AD831,"Loss")))</f>
        <v/>
      </c>
      <c r="AF831" s="6">
        <f>SUM($Y$2:Y831)/SUM($X$2:X831)</f>
        <v/>
      </c>
      <c r="AG831" s="5">
        <f>SUM($Y$2:Y831)</f>
        <v/>
      </c>
      <c r="AH831" s="7">
        <f>10000.0+SUM($AA$2:AA831)</f>
        <v/>
      </c>
      <c r="AI831" s="2" t="n">
        <v>2026</v>
      </c>
      <c r="AJ831" s="2" t="inlineStr">
        <is>
          <t>2026-05</t>
        </is>
      </c>
      <c r="AK831" s="2" t="inlineStr">
        <is>
          <t>+100 to +120</t>
        </is>
      </c>
      <c r="AL831" s="2" t="inlineStr">
        <is>
          <t>2026 Frozen Test</t>
        </is>
      </c>
      <c r="AM831" s="6" t="n">
        <v>0.08756388331346276</v>
      </c>
    </row>
    <row r="832">
      <c r="A832" s="2" t="inlineStr">
        <is>
          <t>KPROP-00831</t>
        </is>
      </c>
      <c r="B832" s="3" t="n">
        <v>46166.67403935185</v>
      </c>
      <c r="C832" s="3" t="n">
        <v>46166</v>
      </c>
      <c r="D832" s="2" t="inlineStr">
        <is>
          <t>Martín Pérez</t>
        </is>
      </c>
      <c r="E832" s="2" t="n">
        <v>144</v>
      </c>
      <c r="F832" s="2" t="n">
        <v>120</v>
      </c>
      <c r="G832" s="2" t="inlineStr">
        <is>
          <t>Home</t>
        </is>
      </c>
      <c r="H832" s="2" t="inlineStr">
        <is>
          <t>draftkings</t>
        </is>
      </c>
      <c r="I832" s="4" t="n"/>
      <c r="J832" s="4" t="n"/>
      <c r="K832" s="4" t="n">
        <v>129</v>
      </c>
      <c r="L832" s="4" t="n">
        <v>129</v>
      </c>
      <c r="M832" s="5" t="n">
        <v>3.5</v>
      </c>
      <c r="N832" s="5" t="n">
        <v>3.734659271305253</v>
      </c>
      <c r="O832" s="5" t="n">
        <v>3.5</v>
      </c>
      <c r="P832" s="5" t="n">
        <v>-0.2346592713052531</v>
      </c>
      <c r="Q832" s="6" t="n">
        <v>0.1150997828756403</v>
      </c>
      <c r="R832" s="6" t="n">
        <v>0.4869431366269171</v>
      </c>
      <c r="S832" s="6" t="n">
        <v>0.412226802520028</v>
      </c>
      <c r="T832" s="2" t="inlineStr">
        <is>
          <t>Under</t>
        </is>
      </c>
      <c r="U832" s="4" t="n">
        <v>129</v>
      </c>
      <c r="V832" s="2" t="n">
        <v>2.29</v>
      </c>
      <c r="W832" s="4" t="n">
        <v>129</v>
      </c>
      <c r="X832" s="2" t="n">
        <v>1</v>
      </c>
      <c r="Y832" s="5" t="n">
        <v>1.29</v>
      </c>
      <c r="Z832" s="7" t="n">
        <v>100</v>
      </c>
      <c r="AA832" s="7">
        <f>Y832*Z832</f>
        <v/>
      </c>
      <c r="AB832" s="6">
        <f>IF(Z832=0,0,AA832/Z832)</f>
        <v/>
      </c>
      <c r="AC832" s="6" t="n"/>
      <c r="AD832" s="2" t="inlineStr">
        <is>
          <t>Win</t>
        </is>
      </c>
      <c r="AE832" s="6">
        <f>IF((COUNTIF($AD$2:AD832,"Win")+COUNTIF($AD$2:AD832,"Loss"))=0,0,COUNTIF($AD$2:AD832,"Win")/(COUNTIF($AD$2:AD832,"Win")+COUNTIF($AD$2:AD832,"Loss")))</f>
        <v/>
      </c>
      <c r="AF832" s="6">
        <f>SUM($Y$2:Y832)/SUM($X$2:X832)</f>
        <v/>
      </c>
      <c r="AG832" s="5">
        <f>SUM($Y$2:Y832)</f>
        <v/>
      </c>
      <c r="AH832" s="7">
        <f>10000.0+SUM($AA$2:AA832)</f>
        <v/>
      </c>
      <c r="AI832" s="2" t="n">
        <v>2026</v>
      </c>
      <c r="AJ832" s="2" t="inlineStr">
        <is>
          <t>2026-05</t>
        </is>
      </c>
      <c r="AK832" s="2" t="inlineStr">
        <is>
          <t>+121 to +150</t>
        </is>
      </c>
      <c r="AL832" s="2" t="inlineStr">
        <is>
          <t>2026 Frozen Test</t>
        </is>
      </c>
      <c r="AM832" s="6" t="n">
        <v>0.08922463788809323</v>
      </c>
    </row>
    <row r="833">
      <c r="A833" s="2" t="inlineStr">
        <is>
          <t>KPROP-00832</t>
        </is>
      </c>
      <c r="B833" s="3" t="n">
        <v>46166.67403935185</v>
      </c>
      <c r="C833" s="3" t="n">
        <v>46166</v>
      </c>
      <c r="D833" s="2" t="inlineStr">
        <is>
          <t>Martín Pérez</t>
        </is>
      </c>
      <c r="E833" s="2" t="n">
        <v>144</v>
      </c>
      <c r="F833" s="2" t="n">
        <v>120</v>
      </c>
      <c r="G833" s="2" t="inlineStr">
        <is>
          <t>Home</t>
        </is>
      </c>
      <c r="H833" s="2" t="inlineStr">
        <is>
          <t>fanduel</t>
        </is>
      </c>
      <c r="I833" s="4" t="n"/>
      <c r="J833" s="4" t="n"/>
      <c r="K833" s="4" t="n">
        <v>-150</v>
      </c>
      <c r="L833" s="4" t="n">
        <v>-150</v>
      </c>
      <c r="M833" s="5" t="n">
        <v>4.5</v>
      </c>
      <c r="N833" s="5" t="n">
        <v>3.734659271305253</v>
      </c>
      <c r="O833" s="5" t="n">
        <v>4.5</v>
      </c>
      <c r="P833" s="5" t="n">
        <v>0.7653407286947469</v>
      </c>
      <c r="Q833" s="6" t="n">
        <v>0.1341980226625918</v>
      </c>
      <c r="R833" s="6" t="n">
        <v>0.6805188135975552</v>
      </c>
      <c r="S833" s="6" t="n">
        <v>0.5901639344262295</v>
      </c>
      <c r="T833" s="2" t="inlineStr">
        <is>
          <t>Under</t>
        </is>
      </c>
      <c r="U833" s="4" t="n">
        <v>-150</v>
      </c>
      <c r="V833" s="2" t="n">
        <v>1.666666666666667</v>
      </c>
      <c r="W833" s="4" t="n">
        <v>-150</v>
      </c>
      <c r="X833" s="2" t="n">
        <v>1</v>
      </c>
      <c r="Y833" s="5" t="n">
        <v>0.6666666666666665</v>
      </c>
      <c r="Z833" s="7" t="n">
        <v>100</v>
      </c>
      <c r="AA833" s="7">
        <f>Y833*Z833</f>
        <v/>
      </c>
      <c r="AB833" s="6">
        <f>IF(Z833=0,0,AA833/Z833)</f>
        <v/>
      </c>
      <c r="AC833" s="6" t="n"/>
      <c r="AD833" s="2" t="inlineStr">
        <is>
          <t>Win</t>
        </is>
      </c>
      <c r="AE833" s="6">
        <f>IF((COUNTIF($AD$2:AD833,"Win")+COUNTIF($AD$2:AD833,"Loss"))=0,0,COUNTIF($AD$2:AD833,"Win")/(COUNTIF($AD$2:AD833,"Win")+COUNTIF($AD$2:AD833,"Loss")))</f>
        <v/>
      </c>
      <c r="AF833" s="6">
        <f>SUM($Y$2:Y833)/SUM($X$2:X833)</f>
        <v/>
      </c>
      <c r="AG833" s="5">
        <f>SUM($Y$2:Y833)</f>
        <v/>
      </c>
      <c r="AH833" s="7">
        <f>10000.0+SUM($AA$2:AA833)</f>
        <v/>
      </c>
      <c r="AI833" s="2" t="n">
        <v>2026</v>
      </c>
      <c r="AJ833" s="2" t="inlineStr">
        <is>
          <t>2026-05</t>
        </is>
      </c>
      <c r="AK833" s="2" t="inlineStr">
        <is>
          <t>&lt;= -150</t>
        </is>
      </c>
      <c r="AL833" s="2" t="inlineStr">
        <is>
          <t>2026 Frozen Test</t>
        </is>
      </c>
      <c r="AM833" s="6" t="n">
        <v>0.2012970339938878</v>
      </c>
    </row>
    <row r="834">
      <c r="A834" s="2" t="inlineStr">
        <is>
          <t>KPROP-00833</t>
        </is>
      </c>
      <c r="B834" s="3" t="n">
        <v>46166.56640046297</v>
      </c>
      <c r="C834" s="3" t="n">
        <v>46166</v>
      </c>
      <c r="D834" s="2" t="inlineStr">
        <is>
          <t>Parker Messick</t>
        </is>
      </c>
      <c r="E834" s="2" t="n">
        <v>114</v>
      </c>
      <c r="F834" s="2" t="n">
        <v>143</v>
      </c>
      <c r="G834" s="2" t="inlineStr">
        <is>
          <t>Away</t>
        </is>
      </c>
      <c r="H834" s="2" t="inlineStr">
        <is>
          <t>bovada</t>
        </is>
      </c>
      <c r="I834" s="4" t="n"/>
      <c r="J834" s="4" t="n"/>
      <c r="K834" s="4" t="n">
        <v>120</v>
      </c>
      <c r="L834" s="4" t="n">
        <v>120</v>
      </c>
      <c r="M834" s="5" t="n">
        <v>5.5</v>
      </c>
      <c r="N834" s="5" t="n">
        <v>5.381185003787785</v>
      </c>
      <c r="O834" s="5" t="n">
        <v>5.5</v>
      </c>
      <c r="P834" s="5" t="n">
        <v>0.1188149962122154</v>
      </c>
      <c r="Q834" s="6" t="n">
        <v>0.2086491363250551</v>
      </c>
      <c r="R834" s="6" t="n">
        <v>0.5493859710568432</v>
      </c>
      <c r="S834" s="6" t="n">
        <v>0.4379562043795621</v>
      </c>
      <c r="T834" s="2" t="inlineStr">
        <is>
          <t>Under</t>
        </is>
      </c>
      <c r="U834" s="4" t="n">
        <v>120</v>
      </c>
      <c r="V834" s="2" t="n">
        <v>2.2</v>
      </c>
      <c r="W834" s="4" t="n">
        <v>120</v>
      </c>
      <c r="X834" s="2" t="n">
        <v>1</v>
      </c>
      <c r="Y834" s="5" t="n">
        <v>-1</v>
      </c>
      <c r="Z834" s="7" t="n">
        <v>100</v>
      </c>
      <c r="AA834" s="7">
        <f>Y834*Z834</f>
        <v/>
      </c>
      <c r="AB834" s="6">
        <f>IF(Z834=0,0,AA834/Z834)</f>
        <v/>
      </c>
      <c r="AC834" s="6" t="n"/>
      <c r="AD834" s="2" t="inlineStr">
        <is>
          <t>Loss</t>
        </is>
      </c>
      <c r="AE834" s="6">
        <f>IF((COUNTIF($AD$2:AD834,"Win")+COUNTIF($AD$2:AD834,"Loss"))=0,0,COUNTIF($AD$2:AD834,"Win")/(COUNTIF($AD$2:AD834,"Win")+COUNTIF($AD$2:AD834,"Loss")))</f>
        <v/>
      </c>
      <c r="AF834" s="6">
        <f>SUM($Y$2:Y834)/SUM($X$2:X834)</f>
        <v/>
      </c>
      <c r="AG834" s="5">
        <f>SUM($Y$2:Y834)</f>
        <v/>
      </c>
      <c r="AH834" s="7">
        <f>10000.0+SUM($AA$2:AA834)</f>
        <v/>
      </c>
      <c r="AI834" s="2" t="n">
        <v>2026</v>
      </c>
      <c r="AJ834" s="2" t="inlineStr">
        <is>
          <t>2026-05</t>
        </is>
      </c>
      <c r="AK834" s="2" t="inlineStr">
        <is>
          <t>+100 to +120</t>
        </is>
      </c>
      <c r="AL834" s="2" t="inlineStr">
        <is>
          <t>2026 Frozen Test</t>
        </is>
      </c>
      <c r="AM834" s="6" t="n">
        <v>0.1738742802708792</v>
      </c>
    </row>
    <row r="835">
      <c r="A835" s="2" t="inlineStr">
        <is>
          <t>KPROP-00834</t>
        </is>
      </c>
      <c r="B835" s="3" t="n">
        <v>46166.56640046297</v>
      </c>
      <c r="C835" s="3" t="n">
        <v>46166</v>
      </c>
      <c r="D835" s="2" t="inlineStr">
        <is>
          <t>Parker Messick</t>
        </is>
      </c>
      <c r="E835" s="2" t="n">
        <v>114</v>
      </c>
      <c r="F835" s="2" t="n">
        <v>143</v>
      </c>
      <c r="G835" s="2" t="inlineStr">
        <is>
          <t>Away</t>
        </is>
      </c>
      <c r="H835" s="2" t="inlineStr">
        <is>
          <t>betrivers</t>
        </is>
      </c>
      <c r="I835" s="4" t="n"/>
      <c r="J835" s="4" t="n"/>
      <c r="K835" s="4" t="n">
        <v>-190</v>
      </c>
      <c r="L835" s="4" t="n">
        <v>-190</v>
      </c>
      <c r="M835" s="5" t="n">
        <v>6.5</v>
      </c>
      <c r="N835" s="5" t="n">
        <v>5.381185003787785</v>
      </c>
      <c r="O835" s="5" t="n">
        <v>6.5</v>
      </c>
      <c r="P835" s="5" t="n">
        <v>1.118814996212215</v>
      </c>
      <c r="Q835" s="6" t="n">
        <v>0.07543398710302313</v>
      </c>
      <c r="R835" s="6" t="n">
        <v>0.704594681205429</v>
      </c>
      <c r="S835" s="6" t="n">
        <v>0.6112600536193029</v>
      </c>
      <c r="T835" s="2" t="inlineStr">
        <is>
          <t>Under</t>
        </is>
      </c>
      <c r="U835" s="4" t="n">
        <v>-190</v>
      </c>
      <c r="V835" s="2" t="n">
        <v>1.526315789473684</v>
      </c>
      <c r="W835" s="4" t="n">
        <v>-190</v>
      </c>
      <c r="X835" s="2" t="n">
        <v>1</v>
      </c>
      <c r="Y835" s="5" t="n">
        <v>0.5263157894736841</v>
      </c>
      <c r="Z835" s="7" t="n">
        <v>100</v>
      </c>
      <c r="AA835" s="7">
        <f>Y835*Z835</f>
        <v/>
      </c>
      <c r="AB835" s="6">
        <f>IF(Z835=0,0,AA835/Z835)</f>
        <v/>
      </c>
      <c r="AC835" s="6" t="n"/>
      <c r="AD835" s="2" t="inlineStr">
        <is>
          <t>Win</t>
        </is>
      </c>
      <c r="AE835" s="6">
        <f>IF((COUNTIF($AD$2:AD835,"Win")+COUNTIF($AD$2:AD835,"Loss"))=0,0,COUNTIF($AD$2:AD835,"Win")/(COUNTIF($AD$2:AD835,"Win")+COUNTIF($AD$2:AD835,"Loss")))</f>
        <v/>
      </c>
      <c r="AF835" s="6">
        <f>SUM($Y$2:Y835)/SUM($X$2:X835)</f>
        <v/>
      </c>
      <c r="AG835" s="5">
        <f>SUM($Y$2:Y835)</f>
        <v/>
      </c>
      <c r="AH835" s="7">
        <f>10000.0+SUM($AA$2:AA835)</f>
        <v/>
      </c>
      <c r="AI835" s="2" t="n">
        <v>2026</v>
      </c>
      <c r="AJ835" s="2" t="inlineStr">
        <is>
          <t>2026-05</t>
        </is>
      </c>
      <c r="AK835" s="2" t="inlineStr">
        <is>
          <t>&lt;= -150</t>
        </is>
      </c>
      <c r="AL835" s="2" t="inlineStr">
        <is>
          <t>2026 Frozen Test</t>
        </is>
      </c>
      <c r="AM835" s="6" t="n">
        <v>0.143324575495744</v>
      </c>
    </row>
    <row r="836">
      <c r="A836" s="2" t="inlineStr">
        <is>
          <t>KPROP-00835</t>
        </is>
      </c>
      <c r="B836" s="3" t="n">
        <v>46166.59765046297</v>
      </c>
      <c r="C836" s="3" t="n">
        <v>46166</v>
      </c>
      <c r="D836" s="2" t="inlineStr">
        <is>
          <t>Peter Lambert</t>
        </is>
      </c>
      <c r="E836" s="2" t="n">
        <v>117</v>
      </c>
      <c r="F836" s="2" t="n">
        <v>112</v>
      </c>
      <c r="G836" s="2" t="inlineStr">
        <is>
          <t>Away</t>
        </is>
      </c>
      <c r="H836" s="2" t="inlineStr">
        <is>
          <t>bovada</t>
        </is>
      </c>
      <c r="I836" s="4" t="n"/>
      <c r="J836" s="4" t="n"/>
      <c r="K836" s="4" t="n">
        <v>105</v>
      </c>
      <c r="L836" s="4" t="n">
        <v>105</v>
      </c>
      <c r="M836" s="5" t="n">
        <v>4.5</v>
      </c>
      <c r="N836" s="5" t="n">
        <v>3.899636110379078</v>
      </c>
      <c r="O836" s="5" t="n">
        <v>4.5</v>
      </c>
      <c r="P836" s="5" t="n">
        <v>0.6003638896209225</v>
      </c>
      <c r="Q836" s="6" t="n">
        <v>0.3292945739109481</v>
      </c>
      <c r="R836" s="6" t="n">
        <v>0.6484363775175357</v>
      </c>
      <c r="S836" s="6" t="n">
        <v>0.4790284493421793</v>
      </c>
      <c r="T836" s="2" t="inlineStr">
        <is>
          <t>Under</t>
        </is>
      </c>
      <c r="U836" s="4" t="n">
        <v>105</v>
      </c>
      <c r="V836" s="2" t="n">
        <v>2.05</v>
      </c>
      <c r="W836" s="4" t="n">
        <v>105</v>
      </c>
      <c r="X836" s="2" t="n">
        <v>1</v>
      </c>
      <c r="Y836" s="5" t="n">
        <v>-1</v>
      </c>
      <c r="Z836" s="7" t="n">
        <v>100</v>
      </c>
      <c r="AA836" s="7">
        <f>Y836*Z836</f>
        <v/>
      </c>
      <c r="AB836" s="6">
        <f>IF(Z836=0,0,AA836/Z836)</f>
        <v/>
      </c>
      <c r="AC836" s="6" t="n"/>
      <c r="AD836" s="2" t="inlineStr">
        <is>
          <t>Loss</t>
        </is>
      </c>
      <c r="AE836" s="6">
        <f>IF((COUNTIF($AD$2:AD836,"Win")+COUNTIF($AD$2:AD836,"Loss"))=0,0,COUNTIF($AD$2:AD836,"Win")/(COUNTIF($AD$2:AD836,"Win")+COUNTIF($AD$2:AD836,"Loss")))</f>
        <v/>
      </c>
      <c r="AF836" s="6">
        <f>SUM($Y$2:Y836)/SUM($X$2:X836)</f>
        <v/>
      </c>
      <c r="AG836" s="5">
        <f>SUM($Y$2:Y836)</f>
        <v/>
      </c>
      <c r="AH836" s="7">
        <f>10000.0+SUM($AA$2:AA836)</f>
        <v/>
      </c>
      <c r="AI836" s="2" t="n">
        <v>2026</v>
      </c>
      <c r="AJ836" s="2" t="inlineStr">
        <is>
          <t>2026-05</t>
        </is>
      </c>
      <c r="AK836" s="2" t="inlineStr">
        <is>
          <t>+100 to +120</t>
        </is>
      </c>
      <c r="AL836" s="2" t="inlineStr">
        <is>
          <t>2026 Frozen Test</t>
        </is>
      </c>
      <c r="AM836" s="6" t="n">
        <v>0.3136138799151887</v>
      </c>
    </row>
    <row r="837">
      <c r="A837" s="2" t="inlineStr">
        <is>
          <t>KPROP-00836</t>
        </is>
      </c>
      <c r="B837" s="3" t="n">
        <v>46166.80598379629</v>
      </c>
      <c r="C837" s="3" t="n">
        <v>46166</v>
      </c>
      <c r="D837" s="2" t="inlineStr">
        <is>
          <t>Reid Detmers</t>
        </is>
      </c>
      <c r="E837" s="2" t="n">
        <v>108</v>
      </c>
      <c r="F837" s="2" t="n">
        <v>140</v>
      </c>
      <c r="G837" s="2" t="inlineStr">
        <is>
          <t>Home</t>
        </is>
      </c>
      <c r="H837" s="2" t="inlineStr">
        <is>
          <t>draftkings</t>
        </is>
      </c>
      <c r="I837" s="4" t="n"/>
      <c r="J837" s="4" t="n"/>
      <c r="K837" s="4" t="n">
        <v>-104</v>
      </c>
      <c r="L837" s="4" t="n">
        <v>-104</v>
      </c>
      <c r="M837" s="5" t="n">
        <v>6.5</v>
      </c>
      <c r="N837" s="5" t="n">
        <v>5.744489553811678</v>
      </c>
      <c r="O837" s="5" t="n">
        <v>6.5</v>
      </c>
      <c r="P837" s="5" t="n">
        <v>0.755510446188322</v>
      </c>
      <c r="Q837" s="6" t="n">
        <v>0.2696405797389709</v>
      </c>
      <c r="R837" s="6" t="n">
        <v>0.647267746533593</v>
      </c>
      <c r="S837" s="6" t="n">
        <v>0.4932249322493225</v>
      </c>
      <c r="T837" s="2" t="inlineStr">
        <is>
          <t>Under</t>
        </is>
      </c>
      <c r="U837" s="4" t="n">
        <v>-104</v>
      </c>
      <c r="V837" s="2" t="n">
        <v>1.961538461538462</v>
      </c>
      <c r="W837" s="4" t="n">
        <v>-104</v>
      </c>
      <c r="X837" s="2" t="n">
        <v>1</v>
      </c>
      <c r="Y837" s="5" t="n">
        <v>-1</v>
      </c>
      <c r="Z837" s="7" t="n">
        <v>100</v>
      </c>
      <c r="AA837" s="7">
        <f>Y837*Z837</f>
        <v/>
      </c>
      <c r="AB837" s="6">
        <f>IF(Z837=0,0,AA837/Z837)</f>
        <v/>
      </c>
      <c r="AC837" s="6" t="n"/>
      <c r="AD837" s="2" t="inlineStr">
        <is>
          <t>Loss</t>
        </is>
      </c>
      <c r="AE837" s="6">
        <f>IF((COUNTIF($AD$2:AD837,"Win")+COUNTIF($AD$2:AD837,"Loss"))=0,0,COUNTIF($AD$2:AD837,"Win")/(COUNTIF($AD$2:AD837,"Win")+COUNTIF($AD$2:AD837,"Loss")))</f>
        <v/>
      </c>
      <c r="AF837" s="6">
        <f>SUM($Y$2:Y837)/SUM($X$2:X837)</f>
        <v/>
      </c>
      <c r="AG837" s="5">
        <f>SUM($Y$2:Y837)</f>
        <v/>
      </c>
      <c r="AH837" s="7">
        <f>10000.0+SUM($AA$2:AA837)</f>
        <v/>
      </c>
      <c r="AI837" s="2" t="n">
        <v>2026</v>
      </c>
      <c r="AJ837" s="2" t="inlineStr">
        <is>
          <t>2026-05</t>
        </is>
      </c>
      <c r="AK837" s="2" t="inlineStr">
        <is>
          <t>-119 to -101</t>
        </is>
      </c>
      <c r="AL837" s="2" t="inlineStr">
        <is>
          <t>2026 Frozen Test</t>
        </is>
      </c>
      <c r="AM837" s="6" t="n">
        <v>0.2804262029285297</v>
      </c>
    </row>
    <row r="838">
      <c r="A838" s="2" t="inlineStr">
        <is>
          <t>KPROP-00837</t>
        </is>
      </c>
      <c r="B838" s="3" t="n">
        <v>46166.67056712963</v>
      </c>
      <c r="C838" s="3" t="n">
        <v>46166</v>
      </c>
      <c r="D838" s="2" t="inlineStr">
        <is>
          <t>Robbie Ray</t>
        </is>
      </c>
      <c r="E838" s="2" t="n">
        <v>137</v>
      </c>
      <c r="F838" s="2" t="n">
        <v>145</v>
      </c>
      <c r="G838" s="2" t="inlineStr">
        <is>
          <t>Home</t>
        </is>
      </c>
      <c r="H838" s="2" t="inlineStr">
        <is>
          <t>betrivers</t>
        </is>
      </c>
      <c r="I838" s="4" t="n"/>
      <c r="J838" s="4" t="n"/>
      <c r="K838" s="4" t="n">
        <v>125</v>
      </c>
      <c r="L838" s="4" t="n">
        <v>125</v>
      </c>
      <c r="M838" s="5" t="n">
        <v>5.5</v>
      </c>
      <c r="N838" s="5" t="n">
        <v>5.188907991435448</v>
      </c>
      <c r="O838" s="5" t="n">
        <v>5.5</v>
      </c>
      <c r="P838" s="5" t="n">
        <v>0.3110920085645521</v>
      </c>
      <c r="Q838" s="6" t="n">
        <v>0.3114172869356301</v>
      </c>
      <c r="R838" s="6" t="n">
        <v>0.5828521275269467</v>
      </c>
      <c r="S838" s="6" t="n">
        <v>0.4268502581755593</v>
      </c>
      <c r="T838" s="2" t="inlineStr">
        <is>
          <t>Under</t>
        </is>
      </c>
      <c r="U838" s="4" t="n">
        <v>125</v>
      </c>
      <c r="V838" s="2" t="n">
        <v>2.25</v>
      </c>
      <c r="W838" s="4" t="n">
        <v>125</v>
      </c>
      <c r="X838" s="2" t="n">
        <v>1</v>
      </c>
      <c r="Y838" s="5" t="n">
        <v>1.25</v>
      </c>
      <c r="Z838" s="7" t="n">
        <v>100</v>
      </c>
      <c r="AA838" s="7">
        <f>Y838*Z838</f>
        <v/>
      </c>
      <c r="AB838" s="6">
        <f>IF(Z838=0,0,AA838/Z838)</f>
        <v/>
      </c>
      <c r="AC838" s="6" t="n"/>
      <c r="AD838" s="2" t="inlineStr">
        <is>
          <t>Win</t>
        </is>
      </c>
      <c r="AE838" s="6">
        <f>IF((COUNTIF($AD$2:AD838,"Win")+COUNTIF($AD$2:AD838,"Loss"))=0,0,COUNTIF($AD$2:AD838,"Win")/(COUNTIF($AD$2:AD838,"Win")+COUNTIF($AD$2:AD838,"Loss")))</f>
        <v/>
      </c>
      <c r="AF838" s="6">
        <f>SUM($Y$2:Y838)/SUM($X$2:X838)</f>
        <v/>
      </c>
      <c r="AG838" s="5">
        <f>SUM($Y$2:Y838)</f>
        <v/>
      </c>
      <c r="AH838" s="7">
        <f>10000.0+SUM($AA$2:AA838)</f>
        <v/>
      </c>
      <c r="AI838" s="2" t="n">
        <v>2026</v>
      </c>
      <c r="AJ838" s="2" t="inlineStr">
        <is>
          <t>2026-05</t>
        </is>
      </c>
      <c r="AK838" s="2" t="inlineStr">
        <is>
          <t>+121 to +150</t>
        </is>
      </c>
      <c r="AL838" s="2" t="inlineStr">
        <is>
          <t>2026 Frozen Test</t>
        </is>
      </c>
      <c r="AM838" s="6" t="n">
        <v>0.2491338295485041</v>
      </c>
    </row>
    <row r="839">
      <c r="A839" s="2" t="inlineStr">
        <is>
          <t>KPROP-00838</t>
        </is>
      </c>
      <c r="B839" s="3" t="n">
        <v>46166.67056712963</v>
      </c>
      <c r="C839" s="3" t="n">
        <v>46166</v>
      </c>
      <c r="D839" s="2" t="inlineStr">
        <is>
          <t>Robbie Ray</t>
        </is>
      </c>
      <c r="E839" s="2" t="n">
        <v>137</v>
      </c>
      <c r="F839" s="2" t="n">
        <v>145</v>
      </c>
      <c r="G839" s="2" t="inlineStr">
        <is>
          <t>Home</t>
        </is>
      </c>
      <c r="H839" s="2" t="inlineStr">
        <is>
          <t>draftkings</t>
        </is>
      </c>
      <c r="I839" s="4" t="n"/>
      <c r="J839" s="4" t="n"/>
      <c r="K839" s="4" t="n">
        <v>-150</v>
      </c>
      <c r="L839" s="4" t="n">
        <v>-150</v>
      </c>
      <c r="M839" s="5" t="n">
        <v>6.5</v>
      </c>
      <c r="N839" s="5" t="n">
        <v>5.188907991435448</v>
      </c>
      <c r="O839" s="5" t="n">
        <v>6.5</v>
      </c>
      <c r="P839" s="5" t="n">
        <v>1.311092008564552</v>
      </c>
      <c r="Q839" s="6" t="n">
        <v>0.2234535352916678</v>
      </c>
      <c r="R839" s="6" t="n">
        <v>0.7340721211750008</v>
      </c>
      <c r="S839" s="6" t="n">
        <v>0.5798319327731092</v>
      </c>
      <c r="T839" s="2" t="inlineStr">
        <is>
          <t>Under</t>
        </is>
      </c>
      <c r="U839" s="4" t="n">
        <v>-150</v>
      </c>
      <c r="V839" s="2" t="n">
        <v>1.666666666666667</v>
      </c>
      <c r="W839" s="4" t="n">
        <v>-150</v>
      </c>
      <c r="X839" s="2" t="n">
        <v>1</v>
      </c>
      <c r="Y839" s="5" t="n">
        <v>0.6666666666666665</v>
      </c>
      <c r="Z839" s="7" t="n">
        <v>100</v>
      </c>
      <c r="AA839" s="7">
        <f>Y839*Z839</f>
        <v/>
      </c>
      <c r="AB839" s="6">
        <f>IF(Z839=0,0,AA839/Z839)</f>
        <v/>
      </c>
      <c r="AC839" s="6" t="n"/>
      <c r="AD839" s="2" t="inlineStr">
        <is>
          <t>Win</t>
        </is>
      </c>
      <c r="AE839" s="6">
        <f>IF((COUNTIF($AD$2:AD839,"Win")+COUNTIF($AD$2:AD839,"Loss"))=0,0,COUNTIF($AD$2:AD839,"Win")/(COUNTIF($AD$2:AD839,"Win")+COUNTIF($AD$2:AD839,"Loss")))</f>
        <v/>
      </c>
      <c r="AF839" s="6">
        <f>SUM($Y$2:Y839)/SUM($X$2:X839)</f>
        <v/>
      </c>
      <c r="AG839" s="5">
        <f>SUM($Y$2:Y839)</f>
        <v/>
      </c>
      <c r="AH839" s="7">
        <f>10000.0+SUM($AA$2:AA839)</f>
        <v/>
      </c>
      <c r="AI839" s="2" t="n">
        <v>2026</v>
      </c>
      <c r="AJ839" s="2" t="inlineStr">
        <is>
          <t>2026-05</t>
        </is>
      </c>
      <c r="AK839" s="2" t="inlineStr">
        <is>
          <t>&lt;= -150</t>
        </is>
      </c>
      <c r="AL839" s="2" t="inlineStr">
        <is>
          <t>2026 Frozen Test</t>
        </is>
      </c>
      <c r="AM839" s="6" t="n">
        <v>0.3351803029375018</v>
      </c>
    </row>
    <row r="840">
      <c r="A840" s="2" t="inlineStr">
        <is>
          <t>KPROP-00839</t>
        </is>
      </c>
      <c r="B840" s="3" t="n">
        <v>46166.56640046297</v>
      </c>
      <c r="C840" s="3" t="n">
        <v>46166</v>
      </c>
      <c r="D840" s="2" t="inlineStr">
        <is>
          <t>Ryan Weathers</t>
        </is>
      </c>
      <c r="E840" s="2" t="n">
        <v>147</v>
      </c>
      <c r="F840" s="2" t="n">
        <v>139</v>
      </c>
      <c r="G840" s="2" t="inlineStr">
        <is>
          <t>Home</t>
        </is>
      </c>
      <c r="H840" s="2" t="inlineStr">
        <is>
          <t>draftkings</t>
        </is>
      </c>
      <c r="I840" s="4" t="n"/>
      <c r="J840" s="4" t="n"/>
      <c r="K840" s="4" t="n">
        <v>-103</v>
      </c>
      <c r="L840" s="4" t="n">
        <v>-103</v>
      </c>
      <c r="M840" s="5" t="n">
        <v>5.5</v>
      </c>
      <c r="N840" s="5" t="n">
        <v>5.081413766971731</v>
      </c>
      <c r="O840" s="5" t="n">
        <v>5.5</v>
      </c>
      <c r="P840" s="5" t="n">
        <v>0.418586233028269</v>
      </c>
      <c r="Q840" s="6" t="n">
        <v>0.1858320394707177</v>
      </c>
      <c r="R840" s="6" t="n">
        <v>0.6016783254457336</v>
      </c>
      <c r="S840" s="6" t="n">
        <v>0.4878275495750709</v>
      </c>
      <c r="T840" s="2" t="inlineStr">
        <is>
          <t>Under</t>
        </is>
      </c>
      <c r="U840" s="4" t="n">
        <v>-103</v>
      </c>
      <c r="V840" s="2" t="n">
        <v>1.970873786407767</v>
      </c>
      <c r="W840" s="4" t="n">
        <v>-103</v>
      </c>
      <c r="X840" s="2" t="n">
        <v>1</v>
      </c>
      <c r="Y840" s="5" t="n">
        <v>0.970873786407767</v>
      </c>
      <c r="Z840" s="7" t="n">
        <v>100</v>
      </c>
      <c r="AA840" s="7">
        <f>Y840*Z840</f>
        <v/>
      </c>
      <c r="AB840" s="6">
        <f>IF(Z840=0,0,AA840/Z840)</f>
        <v/>
      </c>
      <c r="AC840" s="6" t="n"/>
      <c r="AD840" s="2" t="inlineStr">
        <is>
          <t>Win</t>
        </is>
      </c>
      <c r="AE840" s="6">
        <f>IF((COUNTIF($AD$2:AD840,"Win")+COUNTIF($AD$2:AD840,"Loss"))=0,0,COUNTIF($AD$2:AD840,"Win")/(COUNTIF($AD$2:AD840,"Win")+COUNTIF($AD$2:AD840,"Loss")))</f>
        <v/>
      </c>
      <c r="AF840" s="6">
        <f>SUM($Y$2:Y840)/SUM($X$2:X840)</f>
        <v/>
      </c>
      <c r="AG840" s="5">
        <f>SUM($Y$2:Y840)</f>
        <v/>
      </c>
      <c r="AH840" s="7">
        <f>10000.0+SUM($AA$2:AA840)</f>
        <v/>
      </c>
      <c r="AI840" s="2" t="n">
        <v>2026</v>
      </c>
      <c r="AJ840" s="2" t="inlineStr">
        <is>
          <t>2026-05</t>
        </is>
      </c>
      <c r="AK840" s="2" t="inlineStr">
        <is>
          <t>-119 to -101</t>
        </is>
      </c>
      <c r="AL840" s="2" t="inlineStr">
        <is>
          <t>2026 Frozen Test</t>
        </is>
      </c>
      <c r="AM840" s="6" t="n">
        <v>0.1914070006548392</v>
      </c>
    </row>
    <row r="841">
      <c r="A841" s="2" t="inlineStr">
        <is>
          <t>KPROP-00840</t>
        </is>
      </c>
      <c r="B841" s="3" t="n">
        <v>46166.59070601852</v>
      </c>
      <c r="C841" s="3" t="n">
        <v>46166</v>
      </c>
      <c r="D841" s="2" t="inlineStr">
        <is>
          <t>Seth Lugo</t>
        </is>
      </c>
      <c r="E841" s="2" t="n">
        <v>118</v>
      </c>
      <c r="F841" s="2" t="n">
        <v>136</v>
      </c>
      <c r="G841" s="2" t="inlineStr">
        <is>
          <t>Home</t>
        </is>
      </c>
      <c r="H841" s="2" t="inlineStr">
        <is>
          <t>fanduel</t>
        </is>
      </c>
      <c r="I841" s="4" t="n"/>
      <c r="J841" s="4" t="n"/>
      <c r="K841" s="4" t="n">
        <v>130</v>
      </c>
      <c r="L841" s="4" t="n">
        <v>130</v>
      </c>
      <c r="M841" s="5" t="n">
        <v>4.5</v>
      </c>
      <c r="N841" s="5" t="n">
        <v>4.716438046067721</v>
      </c>
      <c r="O841" s="5" t="n">
        <v>4.5</v>
      </c>
      <c r="P841" s="5" t="n">
        <v>-0.2164380460677213</v>
      </c>
      <c r="Q841" s="6" t="n">
        <v>0.1306172552126045</v>
      </c>
      <c r="R841" s="6" t="n">
        <v>0.4915727196576541</v>
      </c>
      <c r="S841" s="6" t="n">
        <v>0.4214819850441876</v>
      </c>
      <c r="T841" s="2" t="inlineStr">
        <is>
          <t>Under</t>
        </is>
      </c>
      <c r="U841" s="4" t="n">
        <v>130</v>
      </c>
      <c r="V841" s="2" t="n">
        <v>2.3</v>
      </c>
      <c r="W841" s="4" t="n">
        <v>130</v>
      </c>
      <c r="X841" s="2" t="n">
        <v>1</v>
      </c>
      <c r="Y841" s="5" t="n">
        <v>1.3</v>
      </c>
      <c r="Z841" s="7" t="n">
        <v>100</v>
      </c>
      <c r="AA841" s="7">
        <f>Y841*Z841</f>
        <v/>
      </c>
      <c r="AB841" s="6">
        <f>IF(Z841=0,0,AA841/Z841)</f>
        <v/>
      </c>
      <c r="AC841" s="6" t="n"/>
      <c r="AD841" s="2" t="inlineStr">
        <is>
          <t>Win</t>
        </is>
      </c>
      <c r="AE841" s="6">
        <f>IF((COUNTIF($AD$2:AD841,"Win")+COUNTIF($AD$2:AD841,"Loss"))=0,0,COUNTIF($AD$2:AD841,"Win")/(COUNTIF($AD$2:AD841,"Win")+COUNTIF($AD$2:AD841,"Loss")))</f>
        <v/>
      </c>
      <c r="AF841" s="6">
        <f>SUM($Y$2:Y841)/SUM($X$2:X841)</f>
        <v/>
      </c>
      <c r="AG841" s="5">
        <f>SUM($Y$2:Y841)</f>
        <v/>
      </c>
      <c r="AH841" s="7">
        <f>10000.0+SUM($AA$2:AA841)</f>
        <v/>
      </c>
      <c r="AI841" s="2" t="n">
        <v>2026</v>
      </c>
      <c r="AJ841" s="2" t="inlineStr">
        <is>
          <t>2026-05</t>
        </is>
      </c>
      <c r="AK841" s="2" t="inlineStr">
        <is>
          <t>+121 to +150</t>
        </is>
      </c>
      <c r="AL841" s="2" t="inlineStr">
        <is>
          <t>2026 Frozen Test</t>
        </is>
      </c>
      <c r="AM841" s="6" t="n">
        <v>0.1004748117020035</v>
      </c>
    </row>
    <row r="842">
      <c r="A842" s="2" t="inlineStr">
        <is>
          <t>KPROP-00841</t>
        </is>
      </c>
      <c r="B842" s="3" t="n">
        <v>46166.56640046297</v>
      </c>
      <c r="C842" s="3" t="n">
        <v>46166</v>
      </c>
      <c r="D842" s="2" t="inlineStr">
        <is>
          <t>Sonny Gray</t>
        </is>
      </c>
      <c r="E842" s="2" t="n">
        <v>111</v>
      </c>
      <c r="F842" s="2" t="n">
        <v>142</v>
      </c>
      <c r="G842" s="2" t="inlineStr">
        <is>
          <t>Home</t>
        </is>
      </c>
      <c r="H842" s="2" t="inlineStr">
        <is>
          <t>draftkings</t>
        </is>
      </c>
      <c r="I842" s="4" t="n"/>
      <c r="J842" s="4" t="n"/>
      <c r="K842" s="4" t="n">
        <v>-117</v>
      </c>
      <c r="L842" s="4" t="n">
        <v>-117</v>
      </c>
      <c r="M842" s="5" t="n">
        <v>5.5</v>
      </c>
      <c r="N842" s="5" t="n">
        <v>4.861697560456833</v>
      </c>
      <c r="O842" s="5" t="n">
        <v>5.5</v>
      </c>
      <c r="P842" s="5" t="n">
        <v>0.6383024395431667</v>
      </c>
      <c r="Q842" s="6" t="n">
        <v>0.1874027433296765</v>
      </c>
      <c r="R842" s="6" t="n">
        <v>0.6402125390302864</v>
      </c>
      <c r="S842" s="6" t="n">
        <v>0.5286297680076462</v>
      </c>
      <c r="T842" s="2" t="inlineStr">
        <is>
          <t>Under</t>
        </is>
      </c>
      <c r="U842" s="4" t="n">
        <v>-117</v>
      </c>
      <c r="V842" s="2" t="n">
        <v>1.854700854700855</v>
      </c>
      <c r="W842" s="4" t="n">
        <v>-117</v>
      </c>
      <c r="X842" s="2" t="n">
        <v>1</v>
      </c>
      <c r="Y842" s="5" t="n">
        <v>0.8547008547008548</v>
      </c>
      <c r="Z842" s="7" t="n">
        <v>100</v>
      </c>
      <c r="AA842" s="7">
        <f>Y842*Z842</f>
        <v/>
      </c>
      <c r="AB842" s="6">
        <f>IF(Z842=0,0,AA842/Z842)</f>
        <v/>
      </c>
      <c r="AC842" s="6" t="n"/>
      <c r="AD842" s="2" t="inlineStr">
        <is>
          <t>Win</t>
        </is>
      </c>
      <c r="AE842" s="6">
        <f>IF((COUNTIF($AD$2:AD842,"Win")+COUNTIF($AD$2:AD842,"Loss"))=0,0,COUNTIF($AD$2:AD842,"Win")/(COUNTIF($AD$2:AD842,"Win")+COUNTIF($AD$2:AD842,"Loss")))</f>
        <v/>
      </c>
      <c r="AF842" s="6">
        <f>SUM($Y$2:Y842)/SUM($X$2:X842)</f>
        <v/>
      </c>
      <c r="AG842" s="5">
        <f>SUM($Y$2:Y842)</f>
        <v/>
      </c>
      <c r="AH842" s="7">
        <f>10000.0+SUM($AA$2:AA842)</f>
        <v/>
      </c>
      <c r="AI842" s="2" t="n">
        <v>2026</v>
      </c>
      <c r="AJ842" s="2" t="inlineStr">
        <is>
          <t>2026-05</t>
        </is>
      </c>
      <c r="AK842" s="2" t="inlineStr">
        <is>
          <t>-119 to -101</t>
        </is>
      </c>
      <c r="AL842" s="2" t="inlineStr">
        <is>
          <t>2026 Frozen Test</t>
        </is>
      </c>
      <c r="AM842" s="6" t="n">
        <v>0.2192612096957215</v>
      </c>
    </row>
    <row r="843">
      <c r="A843" s="2" t="inlineStr">
        <is>
          <t>KPROP-00842</t>
        </is>
      </c>
      <c r="B843" s="3" t="n">
        <v>46166.59070601852</v>
      </c>
      <c r="C843" s="3" t="n">
        <v>46166</v>
      </c>
      <c r="D843" s="2" t="inlineStr">
        <is>
          <t>Yoshinobu Yamamoto</t>
        </is>
      </c>
      <c r="E843" s="2" t="n">
        <v>119</v>
      </c>
      <c r="F843" s="2" t="n">
        <v>158</v>
      </c>
      <c r="G843" s="2" t="inlineStr">
        <is>
          <t>Away</t>
        </is>
      </c>
      <c r="H843" s="2" t="inlineStr">
        <is>
          <t>betmgm</t>
        </is>
      </c>
      <c r="I843" s="4" t="n"/>
      <c r="J843" s="4" t="n"/>
      <c r="K843" s="4" t="n">
        <v>-125</v>
      </c>
      <c r="L843" s="4" t="n">
        <v>-125</v>
      </c>
      <c r="M843" s="5" t="n">
        <v>6.5</v>
      </c>
      <c r="N843" s="5" t="n">
        <v>6.009689052610117</v>
      </c>
      <c r="O843" s="5" t="n">
        <v>6.5</v>
      </c>
      <c r="P843" s="5" t="n">
        <v>0.490310947389883</v>
      </c>
      <c r="Q843" s="6" t="n">
        <v>0.08854370072655637</v>
      </c>
      <c r="R843" s="6" t="n">
        <v>0.6047465004036424</v>
      </c>
      <c r="S843" s="6" t="n">
        <v>0.5275590551181103</v>
      </c>
      <c r="T843" s="2" t="inlineStr">
        <is>
          <t>Under</t>
        </is>
      </c>
      <c r="U843" s="4" t="n">
        <v>-125</v>
      </c>
      <c r="V843" s="2" t="n">
        <v>1.8</v>
      </c>
      <c r="W843" s="4" t="n">
        <v>-125</v>
      </c>
      <c r="X843" s="2" t="n">
        <v>1</v>
      </c>
      <c r="Y843" s="5" t="n">
        <v>0.8</v>
      </c>
      <c r="Z843" s="7" t="n">
        <v>100</v>
      </c>
      <c r="AA843" s="7">
        <f>Y843*Z843</f>
        <v/>
      </c>
      <c r="AB843" s="6">
        <f>IF(Z843=0,0,AA843/Z843)</f>
        <v/>
      </c>
      <c r="AC843" s="6" t="n"/>
      <c r="AD843" s="2" t="inlineStr">
        <is>
          <t>Win</t>
        </is>
      </c>
      <c r="AE843" s="6">
        <f>IF((COUNTIF($AD$2:AD843,"Win")+COUNTIF($AD$2:AD843,"Loss"))=0,0,COUNTIF($AD$2:AD843,"Win")/(COUNTIF($AD$2:AD843,"Win")+COUNTIF($AD$2:AD843,"Loss")))</f>
        <v/>
      </c>
      <c r="AF843" s="6">
        <f>SUM($Y$2:Y843)/SUM($X$2:X843)</f>
        <v/>
      </c>
      <c r="AG843" s="5">
        <f>SUM($Y$2:Y843)</f>
        <v/>
      </c>
      <c r="AH843" s="7">
        <f>10000.0+SUM($AA$2:AA843)</f>
        <v/>
      </c>
      <c r="AI843" s="2" t="n">
        <v>2026</v>
      </c>
      <c r="AJ843" s="2" t="inlineStr">
        <is>
          <t>2026-05</t>
        </is>
      </c>
      <c r="AK843" s="2" t="inlineStr">
        <is>
          <t>-149 to -120</t>
        </is>
      </c>
      <c r="AL843" s="2" t="inlineStr">
        <is>
          <t>2026 Frozen Test</t>
        </is>
      </c>
      <c r="AM843" s="6" t="n">
        <v>0.1106796259081955</v>
      </c>
    </row>
    <row r="844">
      <c r="A844" s="2" t="inlineStr">
        <is>
          <t>KPROP-00843</t>
        </is>
      </c>
      <c r="B844" s="3" t="n">
        <v>46167.56640046297</v>
      </c>
      <c r="C844" s="3" t="n">
        <v>46167</v>
      </c>
      <c r="D844" s="2" t="inlineStr">
        <is>
          <t>Kyle Bradish</t>
        </is>
      </c>
      <c r="E844" s="2" t="n">
        <v>110</v>
      </c>
      <c r="F844" s="2" t="n">
        <v>139</v>
      </c>
      <c r="G844" s="2" t="inlineStr">
        <is>
          <t>Home</t>
        </is>
      </c>
      <c r="H844" s="2" t="inlineStr">
        <is>
          <t>fanduel</t>
        </is>
      </c>
      <c r="I844" s="4" t="n"/>
      <c r="J844" s="4" t="n"/>
      <c r="K844" s="4" t="n">
        <v>100</v>
      </c>
      <c r="L844" s="4" t="n">
        <v>100</v>
      </c>
      <c r="M844" s="5" t="n">
        <v>5.5</v>
      </c>
      <c r="N844" s="5" t="n">
        <v>5.028564624573591</v>
      </c>
      <c r="O844" s="5" t="n">
        <v>5.5</v>
      </c>
      <c r="P844" s="5" t="n">
        <v>0.4714353754264087</v>
      </c>
      <c r="Q844" s="6" t="n">
        <v>0.2218972624393856</v>
      </c>
      <c r="R844" s="6" t="n">
        <v>0.6109486312196928</v>
      </c>
      <c r="S844" s="6" t="n">
        <v>0.4801762114537445</v>
      </c>
      <c r="T844" s="2" t="inlineStr">
        <is>
          <t>Under</t>
        </is>
      </c>
      <c r="U844" s="4" t="n">
        <v>100</v>
      </c>
      <c r="V844" s="2" t="n">
        <v>2</v>
      </c>
      <c r="W844" s="4" t="n">
        <v>100</v>
      </c>
      <c r="X844" s="2" t="n">
        <v>1</v>
      </c>
      <c r="Y844" s="5" t="n">
        <v>1</v>
      </c>
      <c r="Z844" s="7" t="n">
        <v>100</v>
      </c>
      <c r="AA844" s="7">
        <f>Y844*Z844</f>
        <v/>
      </c>
      <c r="AB844" s="6">
        <f>IF(Z844=0,0,AA844/Z844)</f>
        <v/>
      </c>
      <c r="AC844" s="6" t="n"/>
      <c r="AD844" s="2" t="inlineStr">
        <is>
          <t>Win</t>
        </is>
      </c>
      <c r="AE844" s="6">
        <f>IF((COUNTIF($AD$2:AD844,"Win")+COUNTIF($AD$2:AD844,"Loss"))=0,0,COUNTIF($AD$2:AD844,"Win")/(COUNTIF($AD$2:AD844,"Win")+COUNTIF($AD$2:AD844,"Loss")))</f>
        <v/>
      </c>
      <c r="AF844" s="6">
        <f>SUM($Y$2:Y844)/SUM($X$2:X844)</f>
        <v/>
      </c>
      <c r="AG844" s="5">
        <f>SUM($Y$2:Y844)</f>
        <v/>
      </c>
      <c r="AH844" s="7">
        <f>10000.0+SUM($AA$2:AA844)</f>
        <v/>
      </c>
      <c r="AI844" s="2" t="n">
        <v>2026</v>
      </c>
      <c r="AJ844" s="2" t="inlineStr">
        <is>
          <t>2026-05</t>
        </is>
      </c>
      <c r="AK844" s="2" t="inlineStr">
        <is>
          <t>+100 to +120</t>
        </is>
      </c>
      <c r="AL844" s="2" t="inlineStr">
        <is>
          <t>2026 Frozen Test</t>
        </is>
      </c>
      <c r="AM844" s="6" t="n">
        <v>0.2218972624393856</v>
      </c>
    </row>
    <row r="845">
      <c r="A845" s="2" t="inlineStr">
        <is>
          <t>KPROP-00844</t>
        </is>
      </c>
      <c r="B845" s="3" t="n">
        <v>46167.71223379629</v>
      </c>
      <c r="C845" s="3" t="n">
        <v>46167</v>
      </c>
      <c r="D845" s="2" t="inlineStr">
        <is>
          <t>Landen Roupp</t>
        </is>
      </c>
      <c r="E845" s="2" t="n">
        <v>137</v>
      </c>
      <c r="F845" s="2" t="n">
        <v>109</v>
      </c>
      <c r="G845" s="2" t="inlineStr">
        <is>
          <t>Home</t>
        </is>
      </c>
      <c r="H845" s="2" t="inlineStr">
        <is>
          <t>betrivers</t>
        </is>
      </c>
      <c r="I845" s="4" t="n"/>
      <c r="J845" s="4" t="n"/>
      <c r="K845" s="4" t="n">
        <v>125</v>
      </c>
      <c r="L845" s="4" t="n">
        <v>125</v>
      </c>
      <c r="M845" s="5" t="n">
        <v>4.5</v>
      </c>
      <c r="N845" s="5" t="n">
        <v>4.536613696193284</v>
      </c>
      <c r="O845" s="5" t="n">
        <v>4.5</v>
      </c>
      <c r="P845" s="5" t="n">
        <v>-0.03661369619328436</v>
      </c>
      <c r="Q845" s="6" t="n">
        <v>0.1816289883221188</v>
      </c>
      <c r="R845" s="6" t="n">
        <v>0.525168439254275</v>
      </c>
      <c r="S845" s="6" t="n">
        <v>0.4154025670945157</v>
      </c>
      <c r="T845" s="2" t="inlineStr">
        <is>
          <t>Under</t>
        </is>
      </c>
      <c r="U845" s="4" t="n">
        <v>125</v>
      </c>
      <c r="V845" s="2" t="n">
        <v>2.25</v>
      </c>
      <c r="W845" s="4" t="n">
        <v>125</v>
      </c>
      <c r="X845" s="2" t="n">
        <v>1</v>
      </c>
      <c r="Y845" s="5" t="n">
        <v>-1</v>
      </c>
      <c r="Z845" s="7" t="n">
        <v>100</v>
      </c>
      <c r="AA845" s="7">
        <f>Y845*Z845</f>
        <v/>
      </c>
      <c r="AB845" s="6">
        <f>IF(Z845=0,0,AA845/Z845)</f>
        <v/>
      </c>
      <c r="AC845" s="6" t="n"/>
      <c r="AD845" s="2" t="inlineStr">
        <is>
          <t>Loss</t>
        </is>
      </c>
      <c r="AE845" s="6">
        <f>IF((COUNTIF($AD$2:AD845,"Win")+COUNTIF($AD$2:AD845,"Loss"))=0,0,COUNTIF($AD$2:AD845,"Win")/(COUNTIF($AD$2:AD845,"Win")+COUNTIF($AD$2:AD845,"Loss")))</f>
        <v/>
      </c>
      <c r="AF845" s="6">
        <f>SUM($Y$2:Y845)/SUM($X$2:X845)</f>
        <v/>
      </c>
      <c r="AG845" s="5">
        <f>SUM($Y$2:Y845)</f>
        <v/>
      </c>
      <c r="AH845" s="7">
        <f>10000.0+SUM($AA$2:AA845)</f>
        <v/>
      </c>
      <c r="AI845" s="2" t="n">
        <v>2026</v>
      </c>
      <c r="AJ845" s="2" t="inlineStr">
        <is>
          <t>2026-05</t>
        </is>
      </c>
      <c r="AK845" s="2" t="inlineStr">
        <is>
          <t>+121 to +150</t>
        </is>
      </c>
      <c r="AL845" s="2" t="inlineStr">
        <is>
          <t>2026 Frozen Test</t>
        </is>
      </c>
      <c r="AM845" s="6" t="n">
        <v>0.1453031906576951</v>
      </c>
    </row>
    <row r="846">
      <c r="A846" s="2" t="inlineStr">
        <is>
          <t>KPROP-00845</t>
        </is>
      </c>
      <c r="B846" s="3" t="n">
        <v>46167.71223379629</v>
      </c>
      <c r="C846" s="3" t="n">
        <v>46167</v>
      </c>
      <c r="D846" s="2" t="inlineStr">
        <is>
          <t>Landen Roupp</t>
        </is>
      </c>
      <c r="E846" s="2" t="n">
        <v>137</v>
      </c>
      <c r="F846" s="2" t="n">
        <v>109</v>
      </c>
      <c r="G846" s="2" t="inlineStr">
        <is>
          <t>Home</t>
        </is>
      </c>
      <c r="H846" s="2" t="inlineStr">
        <is>
          <t>fanduel</t>
        </is>
      </c>
      <c r="I846" s="4" t="n"/>
      <c r="J846" s="4" t="n"/>
      <c r="K846" s="4" t="n">
        <v>-160</v>
      </c>
      <c r="L846" s="4" t="n">
        <v>-160</v>
      </c>
      <c r="M846" s="5" t="n">
        <v>5.5</v>
      </c>
      <c r="N846" s="5" t="n">
        <v>4.536613696193284</v>
      </c>
      <c r="O846" s="5" t="n">
        <v>5.5</v>
      </c>
      <c r="P846" s="5" t="n">
        <v>0.9633863038067156</v>
      </c>
      <c r="Q846" s="6" t="n">
        <v>0.1320780853300056</v>
      </c>
      <c r="R846" s="6" t="n">
        <v>0.6966634371261573</v>
      </c>
      <c r="S846" s="6" t="n">
        <v>0.5859872611464969</v>
      </c>
      <c r="T846" s="2" t="inlineStr">
        <is>
          <t>Under</t>
        </is>
      </c>
      <c r="U846" s="4" t="n">
        <v>-160</v>
      </c>
      <c r="V846" s="2" t="n">
        <v>1.625</v>
      </c>
      <c r="W846" s="4" t="n">
        <v>-160</v>
      </c>
      <c r="X846" s="2" t="n">
        <v>1</v>
      </c>
      <c r="Y846" s="5" t="n">
        <v>-1</v>
      </c>
      <c r="Z846" s="7" t="n">
        <v>100</v>
      </c>
      <c r="AA846" s="7">
        <f>Y846*Z846</f>
        <v/>
      </c>
      <c r="AB846" s="6">
        <f>IF(Z846=0,0,AA846/Z846)</f>
        <v/>
      </c>
      <c r="AC846" s="6" t="n"/>
      <c r="AD846" s="2" t="inlineStr">
        <is>
          <t>Loss</t>
        </is>
      </c>
      <c r="AE846" s="6">
        <f>IF((COUNTIF($AD$2:AD846,"Win")+COUNTIF($AD$2:AD846,"Loss"))=0,0,COUNTIF($AD$2:AD846,"Win")/(COUNTIF($AD$2:AD846,"Win")+COUNTIF($AD$2:AD846,"Loss")))</f>
        <v/>
      </c>
      <c r="AF846" s="6">
        <f>SUM($Y$2:Y846)/SUM($X$2:X846)</f>
        <v/>
      </c>
      <c r="AG846" s="5">
        <f>SUM($Y$2:Y846)</f>
        <v/>
      </c>
      <c r="AH846" s="7">
        <f>10000.0+SUM($AA$2:AA846)</f>
        <v/>
      </c>
      <c r="AI846" s="2" t="n">
        <v>2026</v>
      </c>
      <c r="AJ846" s="2" t="inlineStr">
        <is>
          <t>2026-05</t>
        </is>
      </c>
      <c r="AK846" s="2" t="inlineStr">
        <is>
          <t>&lt;= -150</t>
        </is>
      </c>
      <c r="AL846" s="2" t="inlineStr">
        <is>
          <t>2026 Frozen Test</t>
        </is>
      </c>
      <c r="AM846" s="6" t="n">
        <v>0.211324936528009</v>
      </c>
    </row>
    <row r="847">
      <c r="A847" s="2" t="inlineStr">
        <is>
          <t>KPROP-00846</t>
        </is>
      </c>
      <c r="B847" s="3" t="n">
        <v>46167.67403935185</v>
      </c>
      <c r="C847" s="3" t="n">
        <v>46167</v>
      </c>
      <c r="D847" s="2" t="inlineStr">
        <is>
          <t>Nolan McLean</t>
        </is>
      </c>
      <c r="E847" s="2" t="n">
        <v>121</v>
      </c>
      <c r="F847" s="2" t="n">
        <v>113</v>
      </c>
      <c r="G847" s="2" t="inlineStr">
        <is>
          <t>Home</t>
        </is>
      </c>
      <c r="H847" s="2" t="inlineStr">
        <is>
          <t>betrivers</t>
        </is>
      </c>
      <c r="I847" s="4" t="n"/>
      <c r="J847" s="4" t="n"/>
      <c r="K847" s="4" t="n">
        <v>135</v>
      </c>
      <c r="L847" s="4" t="n">
        <v>135</v>
      </c>
      <c r="M847" s="5" t="n">
        <v>6.5</v>
      </c>
      <c r="N847" s="5" t="n">
        <v>6.631112599243822</v>
      </c>
      <c r="O847" s="5" t="n">
        <v>6.5</v>
      </c>
      <c r="P847" s="5" t="n">
        <v>-0.1311125992438225</v>
      </c>
      <c r="Q847" s="6" t="n">
        <v>0.189070980558905</v>
      </c>
      <c r="R847" s="6" t="n">
        <v>0.5059876513016617</v>
      </c>
      <c r="S847" s="6" t="n">
        <v>0.4088050314465409</v>
      </c>
      <c r="T847" s="2" t="inlineStr">
        <is>
          <t>Under</t>
        </is>
      </c>
      <c r="U847" s="4" t="n">
        <v>135</v>
      </c>
      <c r="V847" s="2" t="n">
        <v>2.35</v>
      </c>
      <c r="W847" s="4" t="n">
        <v>135</v>
      </c>
      <c r="X847" s="2" t="n">
        <v>1</v>
      </c>
      <c r="Y847" s="5" t="n">
        <v>1.35</v>
      </c>
      <c r="Z847" s="7" t="n">
        <v>100</v>
      </c>
      <c r="AA847" s="7">
        <f>Y847*Z847</f>
        <v/>
      </c>
      <c r="AB847" s="6">
        <f>IF(Z847=0,0,AA847/Z847)</f>
        <v/>
      </c>
      <c r="AC847" s="6" t="n"/>
      <c r="AD847" s="2" t="inlineStr">
        <is>
          <t>Win</t>
        </is>
      </c>
      <c r="AE847" s="6">
        <f>IF((COUNTIF($AD$2:AD847,"Win")+COUNTIF($AD$2:AD847,"Loss"))=0,0,COUNTIF($AD$2:AD847,"Win")/(COUNTIF($AD$2:AD847,"Win")+COUNTIF($AD$2:AD847,"Loss")))</f>
        <v/>
      </c>
      <c r="AF847" s="6">
        <f>SUM($Y$2:Y847)/SUM($X$2:X847)</f>
        <v/>
      </c>
      <c r="AG847" s="5">
        <f>SUM($Y$2:Y847)</f>
        <v/>
      </c>
      <c r="AH847" s="7">
        <f>10000.0+SUM($AA$2:AA847)</f>
        <v/>
      </c>
      <c r="AI847" s="2" t="n">
        <v>2026</v>
      </c>
      <c r="AJ847" s="2" t="inlineStr">
        <is>
          <t>2026-05</t>
        </is>
      </c>
      <c r="AK847" s="2" t="inlineStr">
        <is>
          <t>+121 to +150</t>
        </is>
      </c>
      <c r="AL847" s="2" t="inlineStr">
        <is>
          <t>2026 Frozen Test</t>
        </is>
      </c>
      <c r="AM847" s="6" t="n">
        <v>0.1400525781917815</v>
      </c>
    </row>
    <row r="848">
      <c r="A848" s="2" t="inlineStr">
        <is>
          <t>KPROP-00847</t>
        </is>
      </c>
      <c r="B848" s="3" t="n">
        <v>46167.67403935185</v>
      </c>
      <c r="C848" s="3" t="n">
        <v>46167</v>
      </c>
      <c r="D848" s="2" t="inlineStr">
        <is>
          <t>Nolan McLean</t>
        </is>
      </c>
      <c r="E848" s="2" t="n">
        <v>121</v>
      </c>
      <c r="F848" s="2" t="n">
        <v>113</v>
      </c>
      <c r="G848" s="2" t="inlineStr">
        <is>
          <t>Home</t>
        </is>
      </c>
      <c r="H848" s="2" t="inlineStr">
        <is>
          <t>fanatics</t>
        </is>
      </c>
      <c r="I848" s="4" t="n"/>
      <c r="J848" s="4" t="n"/>
      <c r="K848" s="4" t="n">
        <v>-140</v>
      </c>
      <c r="L848" s="4" t="n">
        <v>-140</v>
      </c>
      <c r="M848" s="5" t="n">
        <v>7.5</v>
      </c>
      <c r="N848" s="5" t="n">
        <v>6.631112599243822</v>
      </c>
      <c r="O848" s="5" t="n">
        <v>7.5</v>
      </c>
      <c r="P848" s="5" t="n">
        <v>0.8688874007561775</v>
      </c>
      <c r="Q848" s="6" t="n">
        <v>0.1202800618209267</v>
      </c>
      <c r="R848" s="6" t="n">
        <v>0.6534967027288738</v>
      </c>
      <c r="S848" s="6" t="n">
        <v>0.5597945707997065</v>
      </c>
      <c r="T848" s="2" t="inlineStr">
        <is>
          <t>Under</t>
        </is>
      </c>
      <c r="U848" s="4" t="n">
        <v>-140</v>
      </c>
      <c r="V848" s="2" t="n">
        <v>1.714285714285714</v>
      </c>
      <c r="W848" s="4" t="n">
        <v>-140</v>
      </c>
      <c r="X848" s="2" t="n">
        <v>1</v>
      </c>
      <c r="Y848" s="5" t="n">
        <v>0.7142857142857144</v>
      </c>
      <c r="Z848" s="7" t="n">
        <v>100</v>
      </c>
      <c r="AA848" s="7">
        <f>Y848*Z848</f>
        <v/>
      </c>
      <c r="AB848" s="6">
        <f>IF(Z848=0,0,AA848/Z848)</f>
        <v/>
      </c>
      <c r="AC848" s="6" t="n"/>
      <c r="AD848" s="2" t="inlineStr">
        <is>
          <t>Win</t>
        </is>
      </c>
      <c r="AE848" s="6">
        <f>IF((COUNTIF($AD$2:AD848,"Win")+COUNTIF($AD$2:AD848,"Loss"))=0,0,COUNTIF($AD$2:AD848,"Win")/(COUNTIF($AD$2:AD848,"Win")+COUNTIF($AD$2:AD848,"Loss")))</f>
        <v/>
      </c>
      <c r="AF848" s="6">
        <f>SUM($Y$2:Y848)/SUM($X$2:X848)</f>
        <v/>
      </c>
      <c r="AG848" s="5">
        <f>SUM($Y$2:Y848)</f>
        <v/>
      </c>
      <c r="AH848" s="7">
        <f>10000.0+SUM($AA$2:AA848)</f>
        <v/>
      </c>
      <c r="AI848" s="2" t="n">
        <v>2026</v>
      </c>
      <c r="AJ848" s="2" t="inlineStr">
        <is>
          <t>2026-05</t>
        </is>
      </c>
      <c r="AK848" s="2" t="inlineStr">
        <is>
          <t>-149 to -120</t>
        </is>
      </c>
      <c r="AL848" s="2" t="inlineStr">
        <is>
          <t>2026 Frozen Test</t>
        </is>
      </c>
      <c r="AM848" s="6" t="n">
        <v>0.1683920865492973</v>
      </c>
    </row>
    <row r="849">
      <c r="A849" s="2" t="inlineStr">
        <is>
          <t>KPROP-00848</t>
        </is>
      </c>
      <c r="B849" s="3" t="n">
        <v>46167.79556712963</v>
      </c>
      <c r="C849" s="3" t="n">
        <v>46167</v>
      </c>
      <c r="D849" s="2" t="inlineStr">
        <is>
          <t>Trey Yesavage</t>
        </is>
      </c>
      <c r="E849" s="2" t="n">
        <v>141</v>
      </c>
      <c r="F849" s="2" t="n">
        <v>146</v>
      </c>
      <c r="G849" s="2" t="inlineStr">
        <is>
          <t>Home</t>
        </is>
      </c>
      <c r="H849" s="2" t="inlineStr">
        <is>
          <t>betrivers</t>
        </is>
      </c>
      <c r="I849" s="4" t="n"/>
      <c r="J849" s="4" t="n"/>
      <c r="K849" s="4" t="n">
        <v>120</v>
      </c>
      <c r="L849" s="4" t="n">
        <v>120</v>
      </c>
      <c r="M849" s="5" t="n">
        <v>5.5</v>
      </c>
      <c r="N849" s="5" t="n">
        <v>5.145447629785482</v>
      </c>
      <c r="O849" s="5" t="n">
        <v>5.5</v>
      </c>
      <c r="P849" s="5" t="n">
        <v>0.3545523702145177</v>
      </c>
      <c r="Q849" s="6" t="n">
        <v>0.2990055545544299</v>
      </c>
      <c r="R849" s="6" t="n">
        <v>0.5904570702520135</v>
      </c>
      <c r="S849" s="6" t="n">
        <v>0.4379562043795621</v>
      </c>
      <c r="T849" s="2" t="inlineStr">
        <is>
          <t>Under</t>
        </is>
      </c>
      <c r="U849" s="4" t="n">
        <v>120</v>
      </c>
      <c r="V849" s="2" t="n">
        <v>2.2</v>
      </c>
      <c r="W849" s="4" t="n">
        <v>120</v>
      </c>
      <c r="X849" s="2" t="n">
        <v>1</v>
      </c>
      <c r="Y849" s="5" t="n">
        <v>-1</v>
      </c>
      <c r="Z849" s="7" t="n">
        <v>100</v>
      </c>
      <c r="AA849" s="7">
        <f>Y849*Z849</f>
        <v/>
      </c>
      <c r="AB849" s="6">
        <f>IF(Z849=0,0,AA849/Z849)</f>
        <v/>
      </c>
      <c r="AC849" s="6" t="n"/>
      <c r="AD849" s="2" t="inlineStr">
        <is>
          <t>Loss</t>
        </is>
      </c>
      <c r="AE849" s="6">
        <f>IF((COUNTIF($AD$2:AD849,"Win")+COUNTIF($AD$2:AD849,"Loss"))=0,0,COUNTIF($AD$2:AD849,"Win")/(COUNTIF($AD$2:AD849,"Win")+COUNTIF($AD$2:AD849,"Loss")))</f>
        <v/>
      </c>
      <c r="AF849" s="6">
        <f>SUM($Y$2:Y849)/SUM($X$2:X849)</f>
        <v/>
      </c>
      <c r="AG849" s="5">
        <f>SUM($Y$2:Y849)</f>
        <v/>
      </c>
      <c r="AH849" s="7">
        <f>10000.0+SUM($AA$2:AA849)</f>
        <v/>
      </c>
      <c r="AI849" s="2" t="n">
        <v>2026</v>
      </c>
      <c r="AJ849" s="2" t="inlineStr">
        <is>
          <t>2026-05</t>
        </is>
      </c>
      <c r="AK849" s="2" t="inlineStr">
        <is>
          <t>+100 to +120</t>
        </is>
      </c>
      <c r="AL849" s="2" t="inlineStr">
        <is>
          <t>2026 Frozen Test</t>
        </is>
      </c>
      <c r="AM849" s="6" t="n">
        <v>0.2491712954620249</v>
      </c>
    </row>
    <row r="850">
      <c r="A850" s="2" t="inlineStr">
        <is>
          <t>KPROP-00849</t>
        </is>
      </c>
      <c r="B850" s="3" t="n">
        <v>46167.79556712963</v>
      </c>
      <c r="C850" s="3" t="n">
        <v>46167</v>
      </c>
      <c r="D850" s="2" t="inlineStr">
        <is>
          <t>Trey Yesavage</t>
        </is>
      </c>
      <c r="E850" s="2" t="n">
        <v>141</v>
      </c>
      <c r="F850" s="2" t="n">
        <v>146</v>
      </c>
      <c r="G850" s="2" t="inlineStr">
        <is>
          <t>Home</t>
        </is>
      </c>
      <c r="H850" s="2" t="inlineStr">
        <is>
          <t>draftkings</t>
        </is>
      </c>
      <c r="I850" s="4" t="n"/>
      <c r="J850" s="4" t="n"/>
      <c r="K850" s="4" t="n">
        <v>-145</v>
      </c>
      <c r="L850" s="4" t="n">
        <v>-145</v>
      </c>
      <c r="M850" s="5" t="n">
        <v>6.5</v>
      </c>
      <c r="N850" s="5" t="n">
        <v>5.145447629785482</v>
      </c>
      <c r="O850" s="5" t="n">
        <v>6.5</v>
      </c>
      <c r="P850" s="5" t="n">
        <v>1.354552370214518</v>
      </c>
      <c r="Q850" s="6" t="n">
        <v>0.2513948862166167</v>
      </c>
      <c r="R850" s="6" t="n">
        <v>0.7406214632710588</v>
      </c>
      <c r="S850" s="6" t="n">
        <v>0.574357192494788</v>
      </c>
      <c r="T850" s="2" t="inlineStr">
        <is>
          <t>Under</t>
        </is>
      </c>
      <c r="U850" s="4" t="n">
        <v>-145</v>
      </c>
      <c r="V850" s="2" t="n">
        <v>1.689655172413793</v>
      </c>
      <c r="W850" s="4" t="n">
        <v>-145</v>
      </c>
      <c r="X850" s="2" t="n">
        <v>1</v>
      </c>
      <c r="Y850" s="5" t="n">
        <v>0.6896551724137931</v>
      </c>
      <c r="Z850" s="7" t="n">
        <v>100</v>
      </c>
      <c r="AA850" s="7">
        <f>Y850*Z850</f>
        <v/>
      </c>
      <c r="AB850" s="6">
        <f>IF(Z850=0,0,AA850/Z850)</f>
        <v/>
      </c>
      <c r="AC850" s="6" t="n"/>
      <c r="AD850" s="2" t="inlineStr">
        <is>
          <t>Win</t>
        </is>
      </c>
      <c r="AE850" s="6">
        <f>IF((COUNTIF($AD$2:AD850,"Win")+COUNTIF($AD$2:AD850,"Loss"))=0,0,COUNTIF($AD$2:AD850,"Win")/(COUNTIF($AD$2:AD850,"Win")+COUNTIF($AD$2:AD850,"Loss")))</f>
        <v/>
      </c>
      <c r="AF850" s="6">
        <f>SUM($Y$2:Y850)/SUM($X$2:X850)</f>
        <v/>
      </c>
      <c r="AG850" s="5">
        <f>SUM($Y$2:Y850)</f>
        <v/>
      </c>
      <c r="AH850" s="7">
        <f>10000.0+SUM($AA$2:AA850)</f>
        <v/>
      </c>
      <c r="AI850" s="2" t="n">
        <v>2026</v>
      </c>
      <c r="AJ850" s="2" t="inlineStr">
        <is>
          <t>2026-05</t>
        </is>
      </c>
      <c r="AK850" s="2" t="inlineStr">
        <is>
          <t>-149 to -120</t>
        </is>
      </c>
      <c r="AL850" s="2" t="inlineStr">
        <is>
          <t>2026 Frozen Test</t>
        </is>
      </c>
      <c r="AM850" s="6" t="n">
        <v>0.3645225850140941</v>
      </c>
    </row>
    <row r="851">
      <c r="A851" s="2" t="inlineStr">
        <is>
          <t>KPROP-00850</t>
        </is>
      </c>
      <c r="B851" s="3" t="n">
        <v>46168.77820601852</v>
      </c>
      <c r="C851" s="3" t="n">
        <v>46168</v>
      </c>
      <c r="D851" s="2" t="inlineStr">
        <is>
          <t>Braxton Ashcraft</t>
        </is>
      </c>
      <c r="E851" s="2" t="n">
        <v>134</v>
      </c>
      <c r="F851" s="2" t="n">
        <v>112</v>
      </c>
      <c r="G851" s="2" t="inlineStr">
        <is>
          <t>Home</t>
        </is>
      </c>
      <c r="H851" s="2" t="inlineStr">
        <is>
          <t>draftkings</t>
        </is>
      </c>
      <c r="I851" s="4" t="n"/>
      <c r="J851" s="4" t="n"/>
      <c r="K851" s="4" t="n">
        <v>110</v>
      </c>
      <c r="L851" s="4" t="n">
        <v>110</v>
      </c>
      <c r="M851" s="5" t="n">
        <v>5.5</v>
      </c>
      <c r="N851" s="5" t="n">
        <v>5.521672086674675</v>
      </c>
      <c r="O851" s="5" t="n">
        <v>5.5</v>
      </c>
      <c r="P851" s="5" t="n">
        <v>-0.02167208667467513</v>
      </c>
      <c r="Q851" s="6" t="n">
        <v>0.1029363396433488</v>
      </c>
      <c r="R851" s="6" t="n">
        <v>0.525207780782547</v>
      </c>
      <c r="S851" s="6" t="n">
        <v>0.4661016949152542</v>
      </c>
      <c r="T851" s="2" t="inlineStr">
        <is>
          <t>Under</t>
        </is>
      </c>
      <c r="U851" s="4" t="n">
        <v>110</v>
      </c>
      <c r="V851" s="2" t="n">
        <v>2.1</v>
      </c>
      <c r="W851" s="4" t="n">
        <v>110</v>
      </c>
      <c r="X851" s="2" t="n">
        <v>1</v>
      </c>
      <c r="Y851" s="5" t="n">
        <v>1.1</v>
      </c>
      <c r="Z851" s="7" t="n">
        <v>100</v>
      </c>
      <c r="AA851" s="7">
        <f>Y851*Z851</f>
        <v/>
      </c>
      <c r="AB851" s="6">
        <f>IF(Z851=0,0,AA851/Z851)</f>
        <v/>
      </c>
      <c r="AC851" s="6" t="n"/>
      <c r="AD851" s="2" t="inlineStr">
        <is>
          <t>Win</t>
        </is>
      </c>
      <c r="AE851" s="6">
        <f>IF((COUNTIF($AD$2:AD851,"Win")+COUNTIF($AD$2:AD851,"Loss"))=0,0,COUNTIF($AD$2:AD851,"Win")/(COUNTIF($AD$2:AD851,"Win")+COUNTIF($AD$2:AD851,"Loss")))</f>
        <v/>
      </c>
      <c r="AF851" s="6">
        <f>SUM($Y$2:Y851)/SUM($X$2:X851)</f>
        <v/>
      </c>
      <c r="AG851" s="5">
        <f>SUM($Y$2:Y851)</f>
        <v/>
      </c>
      <c r="AH851" s="7">
        <f>10000.0+SUM($AA$2:AA851)</f>
        <v/>
      </c>
      <c r="AI851" s="2" t="n">
        <v>2026</v>
      </c>
      <c r="AJ851" s="2" t="inlineStr">
        <is>
          <t>2026-05</t>
        </is>
      </c>
      <c r="AK851" s="2" t="inlineStr">
        <is>
          <t>+100 to +120</t>
        </is>
      </c>
      <c r="AL851" s="2" t="inlineStr">
        <is>
          <t>2026 Frozen Test</t>
        </is>
      </c>
      <c r="AM851" s="6" t="n">
        <v>0.09357849058486255</v>
      </c>
    </row>
    <row r="852">
      <c r="A852" s="2" t="inlineStr">
        <is>
          <t>KPROP-00851</t>
        </is>
      </c>
      <c r="B852" s="3" t="n">
        <v>46168.77473379629</v>
      </c>
      <c r="C852" s="3" t="n">
        <v>46168</v>
      </c>
      <c r="D852" s="2" t="inlineStr">
        <is>
          <t>Griffin Jax</t>
        </is>
      </c>
      <c r="E852" s="2" t="n">
        <v>139</v>
      </c>
      <c r="F852" s="2" t="n">
        <v>110</v>
      </c>
      <c r="G852" s="2" t="inlineStr">
        <is>
          <t>Away</t>
        </is>
      </c>
      <c r="H852" s="2" t="inlineStr">
        <is>
          <t>betrivers</t>
        </is>
      </c>
      <c r="I852" s="4" t="n"/>
      <c r="J852" s="4" t="n"/>
      <c r="K852" s="4" t="n">
        <v>132</v>
      </c>
      <c r="L852" s="4" t="n">
        <v>132</v>
      </c>
      <c r="M852" s="5" t="n">
        <v>4.5</v>
      </c>
      <c r="N852" s="5" t="n">
        <v>4.50524259950095</v>
      </c>
      <c r="O852" s="5" t="n">
        <v>4.5</v>
      </c>
      <c r="P852" s="5" t="n">
        <v>-0.005242599500950185</v>
      </c>
      <c r="Q852" s="6" t="n">
        <v>0.2321723735563409</v>
      </c>
      <c r="R852" s="6" t="n">
        <v>0.5311087817053193</v>
      </c>
      <c r="S852" s="6" t="n">
        <v>0.4249291784702549</v>
      </c>
      <c r="T852" s="2" t="inlineStr">
        <is>
          <t>Under</t>
        </is>
      </c>
      <c r="U852" s="4" t="n">
        <v>132</v>
      </c>
      <c r="V852" s="2" t="n">
        <v>2.32</v>
      </c>
      <c r="W852" s="4" t="n">
        <v>132</v>
      </c>
      <c r="X852" s="2" t="n">
        <v>1</v>
      </c>
      <c r="Y852" s="5" t="n">
        <v>1.32</v>
      </c>
      <c r="Z852" s="7" t="n">
        <v>100</v>
      </c>
      <c r="AA852" s="7">
        <f>Y852*Z852</f>
        <v/>
      </c>
      <c r="AB852" s="6">
        <f>IF(Z852=0,0,AA852/Z852)</f>
        <v/>
      </c>
      <c r="AC852" s="6" t="n"/>
      <c r="AD852" s="2" t="inlineStr">
        <is>
          <t>Win</t>
        </is>
      </c>
      <c r="AE852" s="6">
        <f>IF((COUNTIF($AD$2:AD852,"Win")+COUNTIF($AD$2:AD852,"Loss"))=0,0,COUNTIF($AD$2:AD852,"Win")/(COUNTIF($AD$2:AD852,"Win")+COUNTIF($AD$2:AD852,"Loss")))</f>
        <v/>
      </c>
      <c r="AF852" s="6">
        <f>SUM($Y$2:Y852)/SUM($X$2:X852)</f>
        <v/>
      </c>
      <c r="AG852" s="5">
        <f>SUM($Y$2:Y852)</f>
        <v/>
      </c>
      <c r="AH852" s="7">
        <f>10000.0+SUM($AA$2:AA852)</f>
        <v/>
      </c>
      <c r="AI852" s="2" t="n">
        <v>2026</v>
      </c>
      <c r="AJ852" s="2" t="inlineStr">
        <is>
          <t>2026-05</t>
        </is>
      </c>
      <c r="AK852" s="2" t="inlineStr">
        <is>
          <t>+121 to +150</t>
        </is>
      </c>
      <c r="AL852" s="2" t="inlineStr">
        <is>
          <t>2026 Frozen Test</t>
        </is>
      </c>
      <c r="AM852" s="6" t="n">
        <v>0.1758881617851067</v>
      </c>
    </row>
    <row r="853">
      <c r="A853" s="2" t="inlineStr">
        <is>
          <t>KPROP-00852</t>
        </is>
      </c>
      <c r="B853" s="3" t="n">
        <v>46168.77473379629</v>
      </c>
      <c r="C853" s="3" t="n">
        <v>46168</v>
      </c>
      <c r="D853" s="2" t="inlineStr">
        <is>
          <t>Griffin Jax</t>
        </is>
      </c>
      <c r="E853" s="2" t="n">
        <v>139</v>
      </c>
      <c r="F853" s="2" t="n">
        <v>110</v>
      </c>
      <c r="G853" s="2" t="inlineStr">
        <is>
          <t>Away</t>
        </is>
      </c>
      <c r="H853" s="2" t="inlineStr">
        <is>
          <t>betrivers</t>
        </is>
      </c>
      <c r="I853" s="4" t="n"/>
      <c r="J853" s="4" t="n"/>
      <c r="K853" s="4" t="n">
        <v>-155</v>
      </c>
      <c r="L853" s="4" t="n">
        <v>-155</v>
      </c>
      <c r="M853" s="5" t="n">
        <v>5.5</v>
      </c>
      <c r="N853" s="5" t="n">
        <v>4.50524259950095</v>
      </c>
      <c r="O853" s="5" t="n">
        <v>5.5</v>
      </c>
      <c r="P853" s="5" t="n">
        <v>0.9947574004990498</v>
      </c>
      <c r="Q853" s="6" t="n">
        <v>0.1549601453900009</v>
      </c>
      <c r="R853" s="6" t="n">
        <v>0.7020345981782359</v>
      </c>
      <c r="S853" s="6" t="n">
        <v>0.5776397515527951</v>
      </c>
      <c r="T853" s="2" t="inlineStr">
        <is>
          <t>Under</t>
        </is>
      </c>
      <c r="U853" s="4" t="n">
        <v>-155</v>
      </c>
      <c r="V853" s="2" t="n">
        <v>1.645161290322581</v>
      </c>
      <c r="W853" s="4" t="n">
        <v>-155</v>
      </c>
      <c r="X853" s="2" t="n">
        <v>1</v>
      </c>
      <c r="Y853" s="5" t="n">
        <v>0.6451612903225805</v>
      </c>
      <c r="Z853" s="7" t="n">
        <v>100</v>
      </c>
      <c r="AA853" s="7">
        <f>Y853*Z853</f>
        <v/>
      </c>
      <c r="AB853" s="6">
        <f>IF(Z853=0,0,AA853/Z853)</f>
        <v/>
      </c>
      <c r="AC853" s="6" t="n"/>
      <c r="AD853" s="2" t="inlineStr">
        <is>
          <t>Win</t>
        </is>
      </c>
      <c r="AE853" s="6">
        <f>IF((COUNTIF($AD$2:AD853,"Win")+COUNTIF($AD$2:AD853,"Loss"))=0,0,COUNTIF($AD$2:AD853,"Win")/(COUNTIF($AD$2:AD853,"Win")+COUNTIF($AD$2:AD853,"Loss")))</f>
        <v/>
      </c>
      <c r="AF853" s="6">
        <f>SUM($Y$2:Y853)/SUM($X$2:X853)</f>
        <v/>
      </c>
      <c r="AG853" s="5">
        <f>SUM($Y$2:Y853)</f>
        <v/>
      </c>
      <c r="AH853" s="7">
        <f>10000.0+SUM($AA$2:AA853)</f>
        <v/>
      </c>
      <c r="AI853" s="2" t="n">
        <v>2026</v>
      </c>
      <c r="AJ853" s="2" t="inlineStr">
        <is>
          <t>2026-05</t>
        </is>
      </c>
      <c r="AK853" s="2" t="inlineStr">
        <is>
          <t>&lt;= -150</t>
        </is>
      </c>
      <c r="AL853" s="2" t="inlineStr">
        <is>
          <t>2026 Frozen Test</t>
        </is>
      </c>
      <c r="AM853" s="6" t="n">
        <v>0.2401882253545014</v>
      </c>
    </row>
    <row r="854">
      <c r="A854" s="2" t="inlineStr">
        <is>
          <t>KPROP-00853</t>
        </is>
      </c>
      <c r="B854" s="3" t="n">
        <v>46168.75737268518</v>
      </c>
      <c r="C854" s="3" t="n">
        <v>46168</v>
      </c>
      <c r="D854" s="2" t="inlineStr">
        <is>
          <t>Joey Cantillo</t>
        </is>
      </c>
      <c r="E854" s="2" t="n">
        <v>114</v>
      </c>
      <c r="F854" s="2" t="n">
        <v>120</v>
      </c>
      <c r="G854" s="2" t="inlineStr">
        <is>
          <t>Home</t>
        </is>
      </c>
      <c r="H854" s="2" t="inlineStr">
        <is>
          <t>fanduel</t>
        </is>
      </c>
      <c r="I854" s="4" t="n"/>
      <c r="J854" s="4" t="n"/>
      <c r="K854" s="4" t="n">
        <v>132</v>
      </c>
      <c r="L854" s="4" t="n">
        <v>132</v>
      </c>
      <c r="M854" s="5" t="n">
        <v>4.5</v>
      </c>
      <c r="N854" s="5" t="n">
        <v>4.500485502993574</v>
      </c>
      <c r="O854" s="5" t="n">
        <v>4.5</v>
      </c>
      <c r="P854" s="5" t="n">
        <v>-0.0004855029935741939</v>
      </c>
      <c r="Q854" s="6" t="n">
        <v>0.2342665099277005</v>
      </c>
      <c r="R854" s="6" t="n">
        <v>0.5320114266929743</v>
      </c>
      <c r="S854" s="6" t="n">
        <v>0.4107613194531544</v>
      </c>
      <c r="T854" s="2" t="inlineStr">
        <is>
          <t>Under</t>
        </is>
      </c>
      <c r="U854" s="4" t="n">
        <v>132</v>
      </c>
      <c r="V854" s="2" t="n">
        <v>2.32</v>
      </c>
      <c r="W854" s="4" t="n">
        <v>132</v>
      </c>
      <c r="X854" s="2" t="n">
        <v>1</v>
      </c>
      <c r="Y854" s="5" t="n">
        <v>1.32</v>
      </c>
      <c r="Z854" s="7" t="n">
        <v>100</v>
      </c>
      <c r="AA854" s="7">
        <f>Y854*Z854</f>
        <v/>
      </c>
      <c r="AB854" s="6">
        <f>IF(Z854=0,0,AA854/Z854)</f>
        <v/>
      </c>
      <c r="AC854" s="6" t="n"/>
      <c r="AD854" s="2" t="inlineStr">
        <is>
          <t>Win</t>
        </is>
      </c>
      <c r="AE854" s="6">
        <f>IF((COUNTIF($AD$2:AD854,"Win")+COUNTIF($AD$2:AD854,"Loss"))=0,0,COUNTIF($AD$2:AD854,"Win")/(COUNTIF($AD$2:AD854,"Win")+COUNTIF($AD$2:AD854,"Loss")))</f>
        <v/>
      </c>
      <c r="AF854" s="6">
        <f>SUM($Y$2:Y854)/SUM($X$2:X854)</f>
        <v/>
      </c>
      <c r="AG854" s="5">
        <f>SUM($Y$2:Y854)</f>
        <v/>
      </c>
      <c r="AH854" s="7">
        <f>10000.0+SUM($AA$2:AA854)</f>
        <v/>
      </c>
      <c r="AI854" s="2" t="n">
        <v>2026</v>
      </c>
      <c r="AJ854" s="2" t="inlineStr">
        <is>
          <t>2026-05</t>
        </is>
      </c>
      <c r="AK854" s="2" t="inlineStr">
        <is>
          <t>+121 to +150</t>
        </is>
      </c>
      <c r="AL854" s="2" t="inlineStr">
        <is>
          <t>2026 Frozen Test</t>
        </is>
      </c>
      <c r="AM854" s="6" t="n">
        <v>0.1774746287331064</v>
      </c>
    </row>
    <row r="855">
      <c r="A855" s="2" t="inlineStr">
        <is>
          <t>KPROP-00854</t>
        </is>
      </c>
      <c r="B855" s="3" t="n">
        <v>46168.75737268518</v>
      </c>
      <c r="C855" s="3" t="n">
        <v>46168</v>
      </c>
      <c r="D855" s="2" t="inlineStr">
        <is>
          <t>Joey Cantillo</t>
        </is>
      </c>
      <c r="E855" s="2" t="n">
        <v>114</v>
      </c>
      <c r="F855" s="2" t="n">
        <v>120</v>
      </c>
      <c r="G855" s="2" t="inlineStr">
        <is>
          <t>Home</t>
        </is>
      </c>
      <c r="H855" s="2" t="inlineStr">
        <is>
          <t>betmgm</t>
        </is>
      </c>
      <c r="I855" s="4" t="n"/>
      <c r="J855" s="4" t="n"/>
      <c r="K855" s="4" t="n">
        <v>-140</v>
      </c>
      <c r="L855" s="4" t="n">
        <v>-140</v>
      </c>
      <c r="M855" s="5" t="n">
        <v>5.5</v>
      </c>
      <c r="N855" s="5" t="n">
        <v>4.500485502993574</v>
      </c>
      <c r="O855" s="5" t="n">
        <v>5.5</v>
      </c>
      <c r="P855" s="5" t="n">
        <v>0.9995144970064258</v>
      </c>
      <c r="Q855" s="6" t="n">
        <v>0.2048814211544109</v>
      </c>
      <c r="R855" s="6" t="n">
        <v>0.7028474956734063</v>
      </c>
      <c r="S855" s="6" t="n">
        <v>0.5708154506437769</v>
      </c>
      <c r="T855" s="2" t="inlineStr">
        <is>
          <t>Under</t>
        </is>
      </c>
      <c r="U855" s="4" t="n">
        <v>-140</v>
      </c>
      <c r="V855" s="2" t="n">
        <v>1.714285714285714</v>
      </c>
      <c r="W855" s="4" t="n">
        <v>-140</v>
      </c>
      <c r="X855" s="2" t="n">
        <v>1</v>
      </c>
      <c r="Y855" s="5" t="n">
        <v>0.7142857142857144</v>
      </c>
      <c r="Z855" s="7" t="n">
        <v>100</v>
      </c>
      <c r="AA855" s="7">
        <f>Y855*Z855</f>
        <v/>
      </c>
      <c r="AB855" s="6">
        <f>IF(Z855=0,0,AA855/Z855)</f>
        <v/>
      </c>
      <c r="AC855" s="6" t="n"/>
      <c r="AD855" s="2" t="inlineStr">
        <is>
          <t>Win</t>
        </is>
      </c>
      <c r="AE855" s="6">
        <f>IF((COUNTIF($AD$2:AD855,"Win")+COUNTIF($AD$2:AD855,"Loss"))=0,0,COUNTIF($AD$2:AD855,"Win")/(COUNTIF($AD$2:AD855,"Win")+COUNTIF($AD$2:AD855,"Loss")))</f>
        <v/>
      </c>
      <c r="AF855" s="6">
        <f>SUM($Y$2:Y855)/SUM($X$2:X855)</f>
        <v/>
      </c>
      <c r="AG855" s="5">
        <f>SUM($Y$2:Y855)</f>
        <v/>
      </c>
      <c r="AH855" s="7">
        <f>10000.0+SUM($AA$2:AA855)</f>
        <v/>
      </c>
      <c r="AI855" s="2" t="n">
        <v>2026</v>
      </c>
      <c r="AJ855" s="2" t="inlineStr">
        <is>
          <t>2026-05</t>
        </is>
      </c>
      <c r="AK855" s="2" t="inlineStr">
        <is>
          <t>-149 to -120</t>
        </is>
      </c>
      <c r="AL855" s="2" t="inlineStr">
        <is>
          <t>2026 Frozen Test</t>
        </is>
      </c>
      <c r="AM855" s="6" t="n">
        <v>0.2868339896161752</v>
      </c>
    </row>
    <row r="856">
      <c r="A856" s="2" t="inlineStr">
        <is>
          <t>KPROP-00855</t>
        </is>
      </c>
      <c r="B856" s="3" t="n">
        <v>46168.81987268518</v>
      </c>
      <c r="C856" s="3" t="n">
        <v>46168</v>
      </c>
      <c r="D856" s="2" t="inlineStr">
        <is>
          <t>Kyle Harrison</t>
        </is>
      </c>
      <c r="E856" s="2" t="n">
        <v>158</v>
      </c>
      <c r="F856" s="2" t="n">
        <v>138</v>
      </c>
      <c r="G856" s="2" t="inlineStr">
        <is>
          <t>Home</t>
        </is>
      </c>
      <c r="H856" s="2" t="inlineStr">
        <is>
          <t>fanduel</t>
        </is>
      </c>
      <c r="I856" s="4" t="n"/>
      <c r="J856" s="4" t="n"/>
      <c r="K856" s="4" t="n">
        <v>-115</v>
      </c>
      <c r="L856" s="4" t="n">
        <v>-115</v>
      </c>
      <c r="M856" s="5" t="n">
        <v>6.5</v>
      </c>
      <c r="N856" s="5" t="n">
        <v>5.516683037032738</v>
      </c>
      <c r="O856" s="5" t="n">
        <v>6.5</v>
      </c>
      <c r="P856" s="5" t="n">
        <v>0.9833169629672618</v>
      </c>
      <c r="Q856" s="6" t="n">
        <v>0.2776848412264481</v>
      </c>
      <c r="R856" s="6" t="n">
        <v>0.683412822051356</v>
      </c>
      <c r="S856" s="6" t="n">
        <v>0.521797153024911</v>
      </c>
      <c r="T856" s="2" t="inlineStr">
        <is>
          <t>Under</t>
        </is>
      </c>
      <c r="U856" s="4" t="n">
        <v>-115</v>
      </c>
      <c r="V856" s="2" t="n">
        <v>1.869565217391304</v>
      </c>
      <c r="W856" s="4" t="n">
        <v>-115</v>
      </c>
      <c r="X856" s="2" t="n">
        <v>1</v>
      </c>
      <c r="Y856" s="5" t="n">
        <v>0.8695652173913042</v>
      </c>
      <c r="Z856" s="7" t="n">
        <v>100</v>
      </c>
      <c r="AA856" s="7">
        <f>Y856*Z856</f>
        <v/>
      </c>
      <c r="AB856" s="6">
        <f>IF(Z856=0,0,AA856/Z856)</f>
        <v/>
      </c>
      <c r="AC856" s="6" t="n"/>
      <c r="AD856" s="2" t="inlineStr">
        <is>
          <t>Win</t>
        </is>
      </c>
      <c r="AE856" s="6">
        <f>IF((COUNTIF($AD$2:AD856,"Win")+COUNTIF($AD$2:AD856,"Loss"))=0,0,COUNTIF($AD$2:AD856,"Win")/(COUNTIF($AD$2:AD856,"Win")+COUNTIF($AD$2:AD856,"Loss")))</f>
        <v/>
      </c>
      <c r="AF856" s="6">
        <f>SUM($Y$2:Y856)/SUM($X$2:X856)</f>
        <v/>
      </c>
      <c r="AG856" s="5">
        <f>SUM($Y$2:Y856)</f>
        <v/>
      </c>
      <c r="AH856" s="7">
        <f>10000.0+SUM($AA$2:AA856)</f>
        <v/>
      </c>
      <c r="AI856" s="2" t="n">
        <v>2026</v>
      </c>
      <c r="AJ856" s="2" t="inlineStr">
        <is>
          <t>2026-05</t>
        </is>
      </c>
      <c r="AK856" s="2" t="inlineStr">
        <is>
          <t>-119 to -101</t>
        </is>
      </c>
      <c r="AL856" s="2" t="inlineStr">
        <is>
          <t>2026 Frozen Test</t>
        </is>
      </c>
      <c r="AM856" s="6" t="n">
        <v>0.3193375674104154</v>
      </c>
    </row>
    <row r="857">
      <c r="A857" s="2" t="inlineStr">
        <is>
          <t>KPROP-00856</t>
        </is>
      </c>
      <c r="B857" s="3" t="n">
        <v>46168.78167824074</v>
      </c>
      <c r="C857" s="3" t="n">
        <v>46168</v>
      </c>
      <c r="D857" s="2" t="inlineStr">
        <is>
          <t>Ranger Suarez</t>
        </is>
      </c>
      <c r="E857" s="2" t="n">
        <v>111</v>
      </c>
      <c r="F857" s="2" t="n">
        <v>144</v>
      </c>
      <c r="G857" s="2" t="inlineStr">
        <is>
          <t>Home</t>
        </is>
      </c>
      <c r="H857" s="2" t="inlineStr">
        <is>
          <t>draftkings</t>
        </is>
      </c>
      <c r="I857" s="4" t="n"/>
      <c r="J857" s="4" t="n"/>
      <c r="K857" s="4" t="n">
        <v>-112</v>
      </c>
      <c r="L857" s="4" t="n">
        <v>-112</v>
      </c>
      <c r="M857" s="5" t="n">
        <v>4.5</v>
      </c>
      <c r="N857" s="5" t="n">
        <v>4.246953934541807</v>
      </c>
      <c r="O857" s="5" t="n">
        <v>4.5</v>
      </c>
      <c r="P857" s="5" t="n">
        <v>0.253046065458193</v>
      </c>
      <c r="Q857" s="6" t="n">
        <v>0.09919921472996274</v>
      </c>
      <c r="R857" s="6" t="n">
        <v>0.5807090191026218</v>
      </c>
      <c r="S857" s="6" t="n">
        <v>0.5077399380804954</v>
      </c>
      <c r="T857" s="2" t="inlineStr">
        <is>
          <t>Under</t>
        </is>
      </c>
      <c r="U857" s="4" t="n">
        <v>-112</v>
      </c>
      <c r="V857" s="2" t="n">
        <v>1.892857142857143</v>
      </c>
      <c r="W857" s="4" t="n">
        <v>-112</v>
      </c>
      <c r="X857" s="2" t="n">
        <v>1</v>
      </c>
      <c r="Y857" s="5" t="n">
        <v>0.8928571428571428</v>
      </c>
      <c r="Z857" s="7" t="n">
        <v>100</v>
      </c>
      <c r="AA857" s="7">
        <f>Y857*Z857</f>
        <v/>
      </c>
      <c r="AB857" s="6">
        <f>IF(Z857=0,0,AA857/Z857)</f>
        <v/>
      </c>
      <c r="AC857" s="6" t="n"/>
      <c r="AD857" s="2" t="inlineStr">
        <is>
          <t>Win</t>
        </is>
      </c>
      <c r="AE857" s="6">
        <f>IF((COUNTIF($AD$2:AD857,"Win")+COUNTIF($AD$2:AD857,"Loss"))=0,0,COUNTIF($AD$2:AD857,"Win")/(COUNTIF($AD$2:AD857,"Win")+COUNTIF($AD$2:AD857,"Loss")))</f>
        <v/>
      </c>
      <c r="AF857" s="6">
        <f>SUM($Y$2:Y857)/SUM($X$2:X857)</f>
        <v/>
      </c>
      <c r="AG857" s="5">
        <f>SUM($Y$2:Y857)</f>
        <v/>
      </c>
      <c r="AH857" s="7">
        <f>10000.0+SUM($AA$2:AA857)</f>
        <v/>
      </c>
      <c r="AI857" s="2" t="n">
        <v>2026</v>
      </c>
      <c r="AJ857" s="2" t="inlineStr">
        <is>
          <t>2026-05</t>
        </is>
      </c>
      <c r="AK857" s="2" t="inlineStr">
        <is>
          <t>-119 to -101</t>
        </is>
      </c>
      <c r="AL857" s="2" t="inlineStr">
        <is>
          <t>2026 Frozen Test</t>
        </is>
      </c>
      <c r="AM857" s="6" t="n">
        <v>0.1111031204975583</v>
      </c>
    </row>
    <row r="858">
      <c r="A858" s="2" t="inlineStr">
        <is>
          <t>KPROP-00857</t>
        </is>
      </c>
      <c r="B858" s="3" t="n">
        <v>46169.81987268518</v>
      </c>
      <c r="C858" s="3" t="n">
        <v>46169</v>
      </c>
      <c r="D858" s="2" t="inlineStr">
        <is>
          <t>Connor Prielipp</t>
        </is>
      </c>
      <c r="E858" s="2" t="n">
        <v>142</v>
      </c>
      <c r="F858" s="2" t="n">
        <v>145</v>
      </c>
      <c r="G858" s="2" t="inlineStr">
        <is>
          <t>Away</t>
        </is>
      </c>
      <c r="H858" s="2" t="inlineStr">
        <is>
          <t>betrivers</t>
        </is>
      </c>
      <c r="I858" s="4" t="n"/>
      <c r="J858" s="4" t="n"/>
      <c r="K858" s="4" t="n">
        <v>120</v>
      </c>
      <c r="L858" s="4" t="n">
        <v>120</v>
      </c>
      <c r="M858" s="5" t="n">
        <v>4.5</v>
      </c>
      <c r="N858" s="5" t="n">
        <v>4.601633552751782</v>
      </c>
      <c r="O858" s="5" t="n">
        <v>4.5</v>
      </c>
      <c r="P858" s="5" t="n">
        <v>-0.1016335527517818</v>
      </c>
      <c r="Q858" s="6" t="n">
        <v>0.128440933478339</v>
      </c>
      <c r="R858" s="6" t="n">
        <v>0.5129276970356086</v>
      </c>
      <c r="S858" s="6" t="n">
        <v>0.4316920943134536</v>
      </c>
      <c r="T858" s="2" t="inlineStr">
        <is>
          <t>Under</t>
        </is>
      </c>
      <c r="U858" s="4" t="n">
        <v>120</v>
      </c>
      <c r="V858" s="2" t="n">
        <v>2.2</v>
      </c>
      <c r="W858" s="4" t="n">
        <v>120</v>
      </c>
      <c r="X858" s="2" t="n">
        <v>1</v>
      </c>
      <c r="Y858" s="5" t="n">
        <v>-1</v>
      </c>
      <c r="Z858" s="7" t="n">
        <v>100</v>
      </c>
      <c r="AA858" s="7">
        <f>Y858*Z858</f>
        <v/>
      </c>
      <c r="AB858" s="6">
        <f>IF(Z858=0,0,AA858/Z858)</f>
        <v/>
      </c>
      <c r="AC858" s="6" t="n"/>
      <c r="AD858" s="2" t="inlineStr">
        <is>
          <t>Loss</t>
        </is>
      </c>
      <c r="AE858" s="6">
        <f>IF((COUNTIF($AD$2:AD858,"Win")+COUNTIF($AD$2:AD858,"Loss"))=0,0,COUNTIF($AD$2:AD858,"Win")/(COUNTIF($AD$2:AD858,"Win")+COUNTIF($AD$2:AD858,"Loss")))</f>
        <v/>
      </c>
      <c r="AF858" s="6">
        <f>SUM($Y$2:Y858)/SUM($X$2:X858)</f>
        <v/>
      </c>
      <c r="AG858" s="5">
        <f>SUM($Y$2:Y858)</f>
        <v/>
      </c>
      <c r="AH858" s="7">
        <f>10000.0+SUM($AA$2:AA858)</f>
        <v/>
      </c>
      <c r="AI858" s="2" t="n">
        <v>2026</v>
      </c>
      <c r="AJ858" s="2" t="inlineStr">
        <is>
          <t>2026-05</t>
        </is>
      </c>
      <c r="AK858" s="2" t="inlineStr">
        <is>
          <t>+100 to +120</t>
        </is>
      </c>
      <c r="AL858" s="2" t="inlineStr">
        <is>
          <t>2026 Frozen Test</t>
        </is>
      </c>
      <c r="AM858" s="6" t="n">
        <v>0.1070341112319491</v>
      </c>
    </row>
    <row r="859">
      <c r="A859" s="2" t="inlineStr">
        <is>
          <t>KPROP-00858</t>
        </is>
      </c>
      <c r="B859" s="3" t="n">
        <v>46169.81987268518</v>
      </c>
      <c r="C859" s="3" t="n">
        <v>46169</v>
      </c>
      <c r="D859" s="2" t="inlineStr">
        <is>
          <t>Connor Prielipp</t>
        </is>
      </c>
      <c r="E859" s="2" t="n">
        <v>142</v>
      </c>
      <c r="F859" s="2" t="n">
        <v>145</v>
      </c>
      <c r="G859" s="2" t="inlineStr">
        <is>
          <t>Away</t>
        </is>
      </c>
      <c r="H859" s="2" t="inlineStr">
        <is>
          <t>betrivers</t>
        </is>
      </c>
      <c r="I859" s="4" t="n"/>
      <c r="J859" s="4" t="n"/>
      <c r="K859" s="4" t="n">
        <v>-167</v>
      </c>
      <c r="L859" s="4" t="n">
        <v>-167</v>
      </c>
      <c r="M859" s="5" t="n">
        <v>5.5</v>
      </c>
      <c r="N859" s="5" t="n">
        <v>4.601633552751782</v>
      </c>
      <c r="O859" s="5" t="n">
        <v>5.5</v>
      </c>
      <c r="P859" s="5" t="n">
        <v>0.8983664472482182</v>
      </c>
      <c r="Q859" s="6" t="n">
        <v>0.09594331132735234</v>
      </c>
      <c r="R859" s="6" t="n">
        <v>0.6854776516541867</v>
      </c>
      <c r="S859" s="6" t="n">
        <v>0.5951171430737736</v>
      </c>
      <c r="T859" s="2" t="inlineStr">
        <is>
          <t>Under</t>
        </is>
      </c>
      <c r="U859" s="4" t="n">
        <v>-167</v>
      </c>
      <c r="V859" s="2" t="n">
        <v>1.598802395209581</v>
      </c>
      <c r="W859" s="4" t="n">
        <v>-167</v>
      </c>
      <c r="X859" s="2" t="n">
        <v>1</v>
      </c>
      <c r="Y859" s="5" t="n">
        <v>0.5988023952095807</v>
      </c>
      <c r="Z859" s="7" t="n">
        <v>100</v>
      </c>
      <c r="AA859" s="7">
        <f>Y859*Z859</f>
        <v/>
      </c>
      <c r="AB859" s="6">
        <f>IF(Z859=0,0,AA859/Z859)</f>
        <v/>
      </c>
      <c r="AC859" s="6" t="n"/>
      <c r="AD859" s="2" t="inlineStr">
        <is>
          <t>Win</t>
        </is>
      </c>
      <c r="AE859" s="6">
        <f>IF((COUNTIF($AD$2:AD859,"Win")+COUNTIF($AD$2:AD859,"Loss"))=0,0,COUNTIF($AD$2:AD859,"Win")/(COUNTIF($AD$2:AD859,"Win")+COUNTIF($AD$2:AD859,"Loss")))</f>
        <v/>
      </c>
      <c r="AF859" s="6">
        <f>SUM($Y$2:Y859)/SUM($X$2:X859)</f>
        <v/>
      </c>
      <c r="AG859" s="5">
        <f>SUM($Y$2:Y859)</f>
        <v/>
      </c>
      <c r="AH859" s="7">
        <f>10000.0+SUM($AA$2:AA859)</f>
        <v/>
      </c>
      <c r="AI859" s="2" t="n">
        <v>2026</v>
      </c>
      <c r="AJ859" s="2" t="inlineStr">
        <is>
          <t>2026-05</t>
        </is>
      </c>
      <c r="AK859" s="2" t="inlineStr">
        <is>
          <t>&lt;= -150</t>
        </is>
      </c>
      <c r="AL859" s="2" t="inlineStr">
        <is>
          <t>2026 Frozen Test</t>
        </is>
      </c>
      <c r="AM859" s="6" t="n">
        <v>0.1602253299166785</v>
      </c>
    </row>
    <row r="860">
      <c r="A860" s="2" t="inlineStr">
        <is>
          <t>KPROP-00859</t>
        </is>
      </c>
      <c r="B860" s="3" t="n">
        <v>46169.67403935185</v>
      </c>
      <c r="C860" s="3" t="n">
        <v>46169</v>
      </c>
      <c r="D860" s="2" t="inlineStr">
        <is>
          <t>Cristopher Sánchez</t>
        </is>
      </c>
      <c r="E860" s="2" t="n">
        <v>143</v>
      </c>
      <c r="F860" s="2" t="n">
        <v>135</v>
      </c>
      <c r="G860" s="2" t="inlineStr">
        <is>
          <t>Away</t>
        </is>
      </c>
      <c r="H860" s="2" t="inlineStr">
        <is>
          <t>fanatics</t>
        </is>
      </c>
      <c r="I860" s="4" t="n"/>
      <c r="J860" s="4" t="n"/>
      <c r="K860" s="4" t="n">
        <v>105</v>
      </c>
      <c r="L860" s="4" t="n">
        <v>105</v>
      </c>
      <c r="M860" s="5" t="n">
        <v>6.5</v>
      </c>
      <c r="N860" s="5" t="n">
        <v>6.406116004430877</v>
      </c>
      <c r="O860" s="5" t="n">
        <v>6.5</v>
      </c>
      <c r="P860" s="5" t="n">
        <v>0.09388399556912308</v>
      </c>
      <c r="Q860" s="6" t="n">
        <v>0.1097862442358059</v>
      </c>
      <c r="R860" s="6" t="n">
        <v>0.5413591435296614</v>
      </c>
      <c r="S860" s="6" t="n">
        <v>0.4740160904544466</v>
      </c>
      <c r="T860" s="2" t="inlineStr">
        <is>
          <t>Under</t>
        </is>
      </c>
      <c r="U860" s="4" t="n">
        <v>105</v>
      </c>
      <c r="V860" s="2" t="n">
        <v>2.05</v>
      </c>
      <c r="W860" s="4" t="n">
        <v>105</v>
      </c>
      <c r="X860" s="2" t="n">
        <v>1</v>
      </c>
      <c r="Y860" s="5" t="n">
        <v>-1</v>
      </c>
      <c r="Z860" s="7" t="n">
        <v>100</v>
      </c>
      <c r="AA860" s="7">
        <f>Y860*Z860</f>
        <v/>
      </c>
      <c r="AB860" s="6">
        <f>IF(Z860=0,0,AA860/Z860)</f>
        <v/>
      </c>
      <c r="AC860" s="6" t="n"/>
      <c r="AD860" s="2" t="inlineStr">
        <is>
          <t>Loss</t>
        </is>
      </c>
      <c r="AE860" s="6">
        <f>IF((COUNTIF($AD$2:AD860,"Win")+COUNTIF($AD$2:AD860,"Loss"))=0,0,COUNTIF($AD$2:AD860,"Win")/(COUNTIF($AD$2:AD860,"Win")+COUNTIF($AD$2:AD860,"Loss")))</f>
        <v/>
      </c>
      <c r="AF860" s="6">
        <f>SUM($Y$2:Y860)/SUM($X$2:X860)</f>
        <v/>
      </c>
      <c r="AG860" s="5">
        <f>SUM($Y$2:Y860)</f>
        <v/>
      </c>
      <c r="AH860" s="7">
        <f>10000.0+SUM($AA$2:AA860)</f>
        <v/>
      </c>
      <c r="AI860" s="2" t="n">
        <v>2026</v>
      </c>
      <c r="AJ860" s="2" t="inlineStr">
        <is>
          <t>2026-05</t>
        </is>
      </c>
      <c r="AK860" s="2" t="inlineStr">
        <is>
          <t>+100 to +120</t>
        </is>
      </c>
      <c r="AL860" s="2" t="inlineStr">
        <is>
          <t>2026 Frozen Test</t>
        </is>
      </c>
      <c r="AM860" s="6" t="n">
        <v>0.1045583278436246</v>
      </c>
    </row>
    <row r="861">
      <c r="A861" s="2" t="inlineStr">
        <is>
          <t>KPROP-00860</t>
        </is>
      </c>
      <c r="B861" s="3" t="n">
        <v>46169.54556712963</v>
      </c>
      <c r="C861" s="3" t="n">
        <v>46169</v>
      </c>
      <c r="D861" s="2" t="inlineStr">
        <is>
          <t>Kevin Gausman</t>
        </is>
      </c>
      <c r="E861" s="2" t="n">
        <v>141</v>
      </c>
      <c r="F861" s="2" t="n">
        <v>146</v>
      </c>
      <c r="G861" s="2" t="inlineStr">
        <is>
          <t>Home</t>
        </is>
      </c>
      <c r="H861" s="2" t="inlineStr">
        <is>
          <t>betmgm</t>
        </is>
      </c>
      <c r="I861" s="4" t="n"/>
      <c r="J861" s="4" t="n"/>
      <c r="K861" s="4" t="n">
        <v>-105</v>
      </c>
      <c r="L861" s="4" t="n">
        <v>-105</v>
      </c>
      <c r="M861" s="5" t="n">
        <v>5.5</v>
      </c>
      <c r="N861" s="5" t="n">
        <v>5.286059737265489</v>
      </c>
      <c r="O861" s="5" t="n">
        <v>5.5</v>
      </c>
      <c r="P861" s="5" t="n">
        <v>0.2139402627345106</v>
      </c>
      <c r="Q861" s="6" t="n">
        <v>0.1048510456968092</v>
      </c>
      <c r="R861" s="6" t="n">
        <v>0.5658993160886097</v>
      </c>
      <c r="S861" s="6" t="n">
        <v>0.4965893587994543</v>
      </c>
      <c r="T861" s="2" t="inlineStr">
        <is>
          <t>Under</t>
        </is>
      </c>
      <c r="U861" s="4" t="n">
        <v>-105</v>
      </c>
      <c r="V861" s="2" t="n">
        <v>1.952380952380952</v>
      </c>
      <c r="W861" s="4" t="n">
        <v>-105</v>
      </c>
      <c r="X861" s="2" t="n">
        <v>1</v>
      </c>
      <c r="Y861" s="5" t="n">
        <v>0.9523809523809523</v>
      </c>
      <c r="Z861" s="7" t="n">
        <v>100</v>
      </c>
      <c r="AA861" s="7">
        <f>Y861*Z861</f>
        <v/>
      </c>
      <c r="AB861" s="6">
        <f>IF(Z861=0,0,AA861/Z861)</f>
        <v/>
      </c>
      <c r="AC861" s="6" t="n"/>
      <c r="AD861" s="2" t="inlineStr">
        <is>
          <t>Win</t>
        </is>
      </c>
      <c r="AE861" s="6">
        <f>IF((COUNTIF($AD$2:AD861,"Win")+COUNTIF($AD$2:AD861,"Loss"))=0,0,COUNTIF($AD$2:AD861,"Win")/(COUNTIF($AD$2:AD861,"Win")+COUNTIF($AD$2:AD861,"Loss")))</f>
        <v/>
      </c>
      <c r="AF861" s="6">
        <f>SUM($Y$2:Y861)/SUM($X$2:X861)</f>
        <v/>
      </c>
      <c r="AG861" s="5">
        <f>SUM($Y$2:Y861)</f>
        <v/>
      </c>
      <c r="AH861" s="7">
        <f>10000.0+SUM($AA$2:AA861)</f>
        <v/>
      </c>
      <c r="AI861" s="2" t="n">
        <v>2026</v>
      </c>
      <c r="AJ861" s="2" t="inlineStr">
        <is>
          <t>2026-05</t>
        </is>
      </c>
      <c r="AK861" s="2" t="inlineStr">
        <is>
          <t>-119 to -101</t>
        </is>
      </c>
      <c r="AL861" s="2" t="inlineStr">
        <is>
          <t>2026 Frozen Test</t>
        </is>
      </c>
      <c r="AM861" s="6" t="n">
        <v>0.1100935979816497</v>
      </c>
    </row>
    <row r="862">
      <c r="A862" s="2" t="inlineStr">
        <is>
          <t>KPROP-00861</t>
        </is>
      </c>
      <c r="B862" s="3" t="n">
        <v>46169.62890046297</v>
      </c>
      <c r="C862" s="3" t="n">
        <v>46169</v>
      </c>
      <c r="D862" s="2" t="inlineStr">
        <is>
          <t>Logan Gilbert</t>
        </is>
      </c>
      <c r="E862" s="2" t="n">
        <v>136</v>
      </c>
      <c r="F862" s="2" t="n">
        <v>133</v>
      </c>
      <c r="G862" s="2" t="inlineStr">
        <is>
          <t>Away</t>
        </is>
      </c>
      <c r="H862" s="2" t="inlineStr">
        <is>
          <t>draftkings</t>
        </is>
      </c>
      <c r="I862" s="4" t="n"/>
      <c r="J862" s="4" t="n"/>
      <c r="K862" s="4" t="n">
        <v>115</v>
      </c>
      <c r="L862" s="4" t="n">
        <v>115</v>
      </c>
      <c r="M862" s="5" t="n">
        <v>5.5</v>
      </c>
      <c r="N862" s="5" t="n">
        <v>5.493529646220701</v>
      </c>
      <c r="O862" s="5" t="n">
        <v>5.5</v>
      </c>
      <c r="P862" s="5" t="n">
        <v>0.006470353779299387</v>
      </c>
      <c r="Q862" s="6" t="n">
        <v>0.1395602742717794</v>
      </c>
      <c r="R862" s="6" t="n">
        <v>0.5300280345450137</v>
      </c>
      <c r="S862" s="6" t="n">
        <v>0.44362292051756</v>
      </c>
      <c r="T862" s="2" t="inlineStr">
        <is>
          <t>Under</t>
        </is>
      </c>
      <c r="U862" s="4" t="n">
        <v>115</v>
      </c>
      <c r="V862" s="2" t="n">
        <v>2.15</v>
      </c>
      <c r="W862" s="4" t="n">
        <v>115</v>
      </c>
      <c r="X862" s="2" t="n">
        <v>1</v>
      </c>
      <c r="Y862" s="5" t="n">
        <v>-1</v>
      </c>
      <c r="Z862" s="7" t="n">
        <v>100</v>
      </c>
      <c r="AA862" s="7">
        <f>Y862*Z862</f>
        <v/>
      </c>
      <c r="AB862" s="6">
        <f>IF(Z862=0,0,AA862/Z862)</f>
        <v/>
      </c>
      <c r="AC862" s="6" t="n"/>
      <c r="AD862" s="2" t="inlineStr">
        <is>
          <t>Loss</t>
        </is>
      </c>
      <c r="AE862" s="6">
        <f>IF((COUNTIF($AD$2:AD862,"Win")+COUNTIF($AD$2:AD862,"Loss"))=0,0,COUNTIF($AD$2:AD862,"Win")/(COUNTIF($AD$2:AD862,"Win")+COUNTIF($AD$2:AD862,"Loss")))</f>
        <v/>
      </c>
      <c r="AF862" s="6">
        <f>SUM($Y$2:Y862)/SUM($X$2:X862)</f>
        <v/>
      </c>
      <c r="AG862" s="5">
        <f>SUM($Y$2:Y862)</f>
        <v/>
      </c>
      <c r="AH862" s="7">
        <f>10000.0+SUM($AA$2:AA862)</f>
        <v/>
      </c>
      <c r="AI862" s="2" t="n">
        <v>2026</v>
      </c>
      <c r="AJ862" s="2" t="inlineStr">
        <is>
          <t>2026-05</t>
        </is>
      </c>
      <c r="AK862" s="2" t="inlineStr">
        <is>
          <t>+100 to +120</t>
        </is>
      </c>
      <c r="AL862" s="2" t="inlineStr">
        <is>
          <t>2026 Frozen Test</t>
        </is>
      </c>
      <c r="AM862" s="6" t="n">
        <v>0.1213567602363299</v>
      </c>
    </row>
    <row r="863">
      <c r="A863" s="2" t="inlineStr">
        <is>
          <t>KPROP-00862</t>
        </is>
      </c>
      <c r="B863" s="3" t="n">
        <v>46169.65667824074</v>
      </c>
      <c r="C863" s="3" t="n">
        <v>46169</v>
      </c>
      <c r="D863" s="2" t="inlineStr">
        <is>
          <t>Michael Soroka</t>
        </is>
      </c>
      <c r="E863" s="2" t="n">
        <v>109</v>
      </c>
      <c r="F863" s="2" t="n">
        <v>137</v>
      </c>
      <c r="G863" s="2" t="inlineStr">
        <is>
          <t>Away</t>
        </is>
      </c>
      <c r="H863" s="2" t="inlineStr">
        <is>
          <t>fanatics</t>
        </is>
      </c>
      <c r="I863" s="4" t="n"/>
      <c r="J863" s="4" t="n"/>
      <c r="K863" s="4" t="n">
        <v>-150</v>
      </c>
      <c r="L863" s="4" t="n">
        <v>-150</v>
      </c>
      <c r="M863" s="5" t="n">
        <v>5.5</v>
      </c>
      <c r="N863" s="5" t="n">
        <v>4.685540345664135</v>
      </c>
      <c r="O863" s="5" t="n">
        <v>5.5</v>
      </c>
      <c r="P863" s="5" t="n">
        <v>0.8144596543358649</v>
      </c>
      <c r="Q863" s="6" t="n">
        <v>0.1182513720710466</v>
      </c>
      <c r="R863" s="6" t="n">
        <v>0.670950823242628</v>
      </c>
      <c r="S863" s="6" t="n">
        <v>0.5733788395904437</v>
      </c>
      <c r="T863" s="2" t="inlineStr">
        <is>
          <t>Under</t>
        </is>
      </c>
      <c r="U863" s="4" t="n">
        <v>-150</v>
      </c>
      <c r="V863" s="2" t="n">
        <v>1.666666666666667</v>
      </c>
      <c r="W863" s="4" t="n">
        <v>-150</v>
      </c>
      <c r="X863" s="2" t="n">
        <v>1</v>
      </c>
      <c r="Y863" s="5" t="n">
        <v>0.6666666666666665</v>
      </c>
      <c r="Z863" s="7" t="n">
        <v>100</v>
      </c>
      <c r="AA863" s="7">
        <f>Y863*Z863</f>
        <v/>
      </c>
      <c r="AB863" s="6">
        <f>IF(Z863=0,0,AA863/Z863)</f>
        <v/>
      </c>
      <c r="AC863" s="6" t="n"/>
      <c r="AD863" s="2" t="inlineStr">
        <is>
          <t>Win</t>
        </is>
      </c>
      <c r="AE863" s="6">
        <f>IF((COUNTIF($AD$2:AD863,"Win")+COUNTIF($AD$2:AD863,"Loss"))=0,0,COUNTIF($AD$2:AD863,"Win")/(COUNTIF($AD$2:AD863,"Win")+COUNTIF($AD$2:AD863,"Loss")))</f>
        <v/>
      </c>
      <c r="AF863" s="6">
        <f>SUM($Y$2:Y863)/SUM($X$2:X863)</f>
        <v/>
      </c>
      <c r="AG863" s="5">
        <f>SUM($Y$2:Y863)</f>
        <v/>
      </c>
      <c r="AH863" s="7">
        <f>10000.0+SUM($AA$2:AA863)</f>
        <v/>
      </c>
      <c r="AI863" s="2" t="n">
        <v>2026</v>
      </c>
      <c r="AJ863" s="2" t="inlineStr">
        <is>
          <t>2026-05</t>
        </is>
      </c>
      <c r="AK863" s="2" t="inlineStr">
        <is>
          <t>&lt;= -150</t>
        </is>
      </c>
      <c r="AL863" s="2" t="inlineStr">
        <is>
          <t>2026 Frozen Test</t>
        </is>
      </c>
      <c r="AM863" s="6" t="n">
        <v>0.1773770581065699</v>
      </c>
    </row>
    <row r="864">
      <c r="A864" s="2" t="inlineStr">
        <is>
          <t>KPROP-00863</t>
        </is>
      </c>
      <c r="B864" s="3" t="n">
        <v>46170.77473379629</v>
      </c>
      <c r="C864" s="3" t="n">
        <v>46170</v>
      </c>
      <c r="D864" s="2" t="inlineStr">
        <is>
          <t>Chris Bassitt</t>
        </is>
      </c>
      <c r="E864" s="2" t="n">
        <v>110</v>
      </c>
      <c r="F864" s="2" t="n">
        <v>141</v>
      </c>
      <c r="G864" s="2" t="inlineStr">
        <is>
          <t>Home</t>
        </is>
      </c>
      <c r="H864" s="2" t="inlineStr">
        <is>
          <t>fanduel</t>
        </is>
      </c>
      <c r="I864" s="4" t="n"/>
      <c r="J864" s="4" t="n"/>
      <c r="K864" s="4" t="n">
        <v>138</v>
      </c>
      <c r="L864" s="4" t="n">
        <v>138</v>
      </c>
      <c r="M864" s="5" t="n">
        <v>3.5</v>
      </c>
      <c r="N864" s="5" t="n">
        <v>3.795996394878728</v>
      </c>
      <c r="O864" s="5" t="n">
        <v>3.5</v>
      </c>
      <c r="P864" s="5" t="n">
        <v>-0.2959963948787281</v>
      </c>
      <c r="Q864" s="6" t="n">
        <v>0.1288441824012115</v>
      </c>
      <c r="R864" s="6" t="n">
        <v>0.4743042783198368</v>
      </c>
      <c r="S864" s="6" t="n">
        <v>0.4007627901433211</v>
      </c>
      <c r="T864" s="2" t="inlineStr">
        <is>
          <t>Under</t>
        </is>
      </c>
      <c r="U864" s="4" t="n">
        <v>138</v>
      </c>
      <c r="V864" s="2" t="n">
        <v>2.38</v>
      </c>
      <c r="W864" s="4" t="n">
        <v>138</v>
      </c>
      <c r="X864" s="2" t="n">
        <v>1</v>
      </c>
      <c r="Y864" s="5" t="n">
        <v>1.38</v>
      </c>
      <c r="Z864" s="7" t="n">
        <v>100</v>
      </c>
      <c r="AA864" s="7">
        <f>Y864*Z864</f>
        <v/>
      </c>
      <c r="AB864" s="6">
        <f>IF(Z864=0,0,AA864/Z864)</f>
        <v/>
      </c>
      <c r="AC864" s="6" t="n"/>
      <c r="AD864" s="2" t="inlineStr">
        <is>
          <t>Win</t>
        </is>
      </c>
      <c r="AE864" s="6">
        <f>IF((COUNTIF($AD$2:AD864,"Win")+COUNTIF($AD$2:AD864,"Loss"))=0,0,COUNTIF($AD$2:AD864,"Win")/(COUNTIF($AD$2:AD864,"Win")+COUNTIF($AD$2:AD864,"Loss")))</f>
        <v/>
      </c>
      <c r="AF864" s="6">
        <f>SUM($Y$2:Y864)/SUM($X$2:X864)</f>
        <v/>
      </c>
      <c r="AG864" s="5">
        <f>SUM($Y$2:Y864)</f>
        <v/>
      </c>
      <c r="AH864" s="7">
        <f>10000.0+SUM($AA$2:AA864)</f>
        <v/>
      </c>
      <c r="AI864" s="2" t="n">
        <v>2026</v>
      </c>
      <c r="AJ864" s="2" t="inlineStr">
        <is>
          <t>2026-05</t>
        </is>
      </c>
      <c r="AK864" s="2" t="inlineStr">
        <is>
          <t>+121 to +150</t>
        </is>
      </c>
      <c r="AL864" s="2" t="inlineStr">
        <is>
          <t>2026 Frozen Test</t>
        </is>
      </c>
      <c r="AM864" s="6" t="n">
        <v>0.09336534956609532</v>
      </c>
    </row>
    <row r="865">
      <c r="A865" s="2" t="inlineStr">
        <is>
          <t>KPROP-00864</t>
        </is>
      </c>
      <c r="B865" s="3" t="n">
        <v>46170.67056712963</v>
      </c>
      <c r="C865" s="3" t="n">
        <v>46170</v>
      </c>
      <c r="D865" s="2" t="inlineStr">
        <is>
          <t>Chris Sale</t>
        </is>
      </c>
      <c r="E865" s="2" t="n">
        <v>144</v>
      </c>
      <c r="F865" s="2" t="n">
        <v>111</v>
      </c>
      <c r="G865" s="2" t="inlineStr">
        <is>
          <t>Away</t>
        </is>
      </c>
      <c r="H865" s="2" t="inlineStr">
        <is>
          <t>draftkings</t>
        </is>
      </c>
      <c r="I865" s="4" t="n"/>
      <c r="J865" s="4" t="n"/>
      <c r="K865" s="4" t="n">
        <v>-110</v>
      </c>
      <c r="L865" s="4" t="n">
        <v>-110</v>
      </c>
      <c r="M865" s="5" t="n">
        <v>7.5</v>
      </c>
      <c r="N865" s="5" t="n">
        <v>6.690431411779348</v>
      </c>
      <c r="O865" s="5" t="n">
        <v>7.5</v>
      </c>
      <c r="P865" s="5" t="n">
        <v>0.8095685882206523</v>
      </c>
      <c r="Q865" s="6" t="n">
        <v>0.2308539150985152</v>
      </c>
      <c r="R865" s="6" t="n">
        <v>0.6447330031468412</v>
      </c>
      <c r="S865" s="6" t="n">
        <v>0.5116279069767442</v>
      </c>
      <c r="T865" s="2" t="inlineStr">
        <is>
          <t>Under</t>
        </is>
      </c>
      <c r="U865" s="4" t="n">
        <v>-110</v>
      </c>
      <c r="V865" s="2" t="n">
        <v>1.909090909090909</v>
      </c>
      <c r="W865" s="4" t="n">
        <v>-110</v>
      </c>
      <c r="X865" s="2" t="n">
        <v>1</v>
      </c>
      <c r="Y865" s="5" t="n">
        <v>-1</v>
      </c>
      <c r="Z865" s="7" t="n">
        <v>100</v>
      </c>
      <c r="AA865" s="7">
        <f>Y865*Z865</f>
        <v/>
      </c>
      <c r="AB865" s="6">
        <f>IF(Z865=0,0,AA865/Z865)</f>
        <v/>
      </c>
      <c r="AC865" s="6" t="n"/>
      <c r="AD865" s="2" t="inlineStr">
        <is>
          <t>Loss</t>
        </is>
      </c>
      <c r="AE865" s="6">
        <f>IF((COUNTIF($AD$2:AD865,"Win")+COUNTIF($AD$2:AD865,"Loss"))=0,0,COUNTIF($AD$2:AD865,"Win")/(COUNTIF($AD$2:AD865,"Win")+COUNTIF($AD$2:AD865,"Loss")))</f>
        <v/>
      </c>
      <c r="AF865" s="6">
        <f>SUM($Y$2:Y865)/SUM($X$2:X865)</f>
        <v/>
      </c>
      <c r="AG865" s="5">
        <f>SUM($Y$2:Y865)</f>
        <v/>
      </c>
      <c r="AH865" s="7">
        <f>10000.0+SUM($AA$2:AA865)</f>
        <v/>
      </c>
      <c r="AI865" s="2" t="n">
        <v>2026</v>
      </c>
      <c r="AJ865" s="2" t="inlineStr">
        <is>
          <t>2026-05</t>
        </is>
      </c>
      <c r="AK865" s="2" t="inlineStr">
        <is>
          <t>-119 to -101</t>
        </is>
      </c>
      <c r="AL865" s="2" t="inlineStr">
        <is>
          <t>2026 Frozen Test</t>
        </is>
      </c>
      <c r="AM865" s="6" t="n">
        <v>0.2539393066083667</v>
      </c>
    </row>
    <row r="866">
      <c r="A866" s="2" t="inlineStr">
        <is>
          <t>KPROP-00865</t>
        </is>
      </c>
      <c r="B866" s="3" t="n">
        <v>46170.54903935185</v>
      </c>
      <c r="C866" s="3" t="n">
        <v>46170</v>
      </c>
      <c r="D866" s="2" t="inlineStr">
        <is>
          <t>Jack Flaherty</t>
        </is>
      </c>
      <c r="E866" s="2" t="n">
        <v>116</v>
      </c>
      <c r="F866" s="2" t="n">
        <v>108</v>
      </c>
      <c r="G866" s="2" t="inlineStr">
        <is>
          <t>Home</t>
        </is>
      </c>
      <c r="H866" s="2" t="inlineStr">
        <is>
          <t>betrivers</t>
        </is>
      </c>
      <c r="I866" s="4" t="n"/>
      <c r="J866" s="4" t="n"/>
      <c r="K866" s="4" t="n">
        <v>133</v>
      </c>
      <c r="L866" s="4" t="n">
        <v>133</v>
      </c>
      <c r="M866" s="5" t="n">
        <v>5.5</v>
      </c>
      <c r="N866" s="5" t="n">
        <v>5.849365111080847</v>
      </c>
      <c r="O866" s="5" t="n">
        <v>5.5</v>
      </c>
      <c r="P866" s="5" t="n">
        <v>-0.3493651110808473</v>
      </c>
      <c r="Q866" s="6" t="n">
        <v>0.09549205047470777</v>
      </c>
      <c r="R866" s="6" t="n">
        <v>0.4701682620063123</v>
      </c>
      <c r="S866" s="6" t="n">
        <v>0.4003431512725192</v>
      </c>
      <c r="T866" s="2" t="inlineStr">
        <is>
          <t>Under</t>
        </is>
      </c>
      <c r="U866" s="4" t="n">
        <v>133</v>
      </c>
      <c r="V866" s="2" t="n">
        <v>2.33</v>
      </c>
      <c r="W866" s="4" t="n">
        <v>133</v>
      </c>
      <c r="X866" s="2" t="n">
        <v>1</v>
      </c>
      <c r="Y866" s="5" t="n">
        <v>-1</v>
      </c>
      <c r="Z866" s="7" t="n">
        <v>100</v>
      </c>
      <c r="AA866" s="7">
        <f>Y866*Z866</f>
        <v/>
      </c>
      <c r="AB866" s="6">
        <f>IF(Z866=0,0,AA866/Z866)</f>
        <v/>
      </c>
      <c r="AC866" s="6" t="n"/>
      <c r="AD866" s="2" t="inlineStr">
        <is>
          <t>Loss</t>
        </is>
      </c>
      <c r="AE866" s="6">
        <f>IF((COUNTIF($AD$2:AD866,"Win")+COUNTIF($AD$2:AD866,"Loss"))=0,0,COUNTIF($AD$2:AD866,"Win")/(COUNTIF($AD$2:AD866,"Win")+COUNTIF($AD$2:AD866,"Loss")))</f>
        <v/>
      </c>
      <c r="AF866" s="6">
        <f>SUM($Y$2:Y866)/SUM($X$2:X866)</f>
        <v/>
      </c>
      <c r="AG866" s="5">
        <f>SUM($Y$2:Y866)</f>
        <v/>
      </c>
      <c r="AH866" s="7">
        <f>10000.0+SUM($AA$2:AA866)</f>
        <v/>
      </c>
      <c r="AI866" s="2" t="n">
        <v>2026</v>
      </c>
      <c r="AJ866" s="2" t="inlineStr">
        <is>
          <t>2026-05</t>
        </is>
      </c>
      <c r="AK866" s="2" t="inlineStr">
        <is>
          <t>+121 to +150</t>
        </is>
      </c>
      <c r="AL866" s="2" t="inlineStr">
        <is>
          <t>2026 Frozen Test</t>
        </is>
      </c>
      <c r="AM866" s="6" t="n">
        <v>0.0717985341915096</v>
      </c>
    </row>
    <row r="867">
      <c r="A867" s="2" t="inlineStr">
        <is>
          <t>KPROP-00866</t>
        </is>
      </c>
      <c r="B867" s="3" t="n">
        <v>46170.54903935185</v>
      </c>
      <c r="C867" s="3" t="n">
        <v>46170</v>
      </c>
      <c r="D867" s="2" t="inlineStr">
        <is>
          <t>Jack Flaherty</t>
        </is>
      </c>
      <c r="E867" s="2" t="n">
        <v>116</v>
      </c>
      <c r="F867" s="2" t="n">
        <v>108</v>
      </c>
      <c r="G867" s="2" t="inlineStr">
        <is>
          <t>Home</t>
        </is>
      </c>
      <c r="H867" s="2" t="inlineStr">
        <is>
          <t>draftkings</t>
        </is>
      </c>
      <c r="I867" s="4" t="n"/>
      <c r="J867" s="4" t="n"/>
      <c r="K867" s="4" t="n">
        <v>-126</v>
      </c>
      <c r="L867" s="4" t="n">
        <v>-126</v>
      </c>
      <c r="M867" s="5" t="n">
        <v>6.5</v>
      </c>
      <c r="N867" s="5" t="n">
        <v>5.849365111080847</v>
      </c>
      <c r="O867" s="5" t="n">
        <v>6.5</v>
      </c>
      <c r="P867" s="5" t="n">
        <v>0.6506348889191527</v>
      </c>
      <c r="Q867" s="6" t="n">
        <v>0.1308659665456533</v>
      </c>
      <c r="R867" s="6" t="n">
        <v>0.6304827955077537</v>
      </c>
      <c r="S867" s="6" t="n">
        <v>0.5508744038155803</v>
      </c>
      <c r="T867" s="2" t="inlineStr">
        <is>
          <t>Under</t>
        </is>
      </c>
      <c r="U867" s="4" t="n">
        <v>-126</v>
      </c>
      <c r="V867" s="2" t="n">
        <v>1.793650793650793</v>
      </c>
      <c r="W867" s="4" t="n">
        <v>-126</v>
      </c>
      <c r="X867" s="2" t="n">
        <v>1</v>
      </c>
      <c r="Y867" s="5" t="n">
        <v>-1</v>
      </c>
      <c r="Z867" s="7" t="n">
        <v>100</v>
      </c>
      <c r="AA867" s="7">
        <f>Y867*Z867</f>
        <v/>
      </c>
      <c r="AB867" s="6">
        <f>IF(Z867=0,0,AA867/Z867)</f>
        <v/>
      </c>
      <c r="AC867" s="6" t="n"/>
      <c r="AD867" s="2" t="inlineStr">
        <is>
          <t>Loss</t>
        </is>
      </c>
      <c r="AE867" s="6">
        <f>IF((COUNTIF($AD$2:AD867,"Win")+COUNTIF($AD$2:AD867,"Loss"))=0,0,COUNTIF($AD$2:AD867,"Win")/(COUNTIF($AD$2:AD867,"Win")+COUNTIF($AD$2:AD867,"Loss")))</f>
        <v/>
      </c>
      <c r="AF867" s="6">
        <f>SUM($Y$2:Y867)/SUM($X$2:X867)</f>
        <v/>
      </c>
      <c r="AG867" s="5">
        <f>SUM($Y$2:Y867)</f>
        <v/>
      </c>
      <c r="AH867" s="7">
        <f>10000.0+SUM($AA$2:AA867)</f>
        <v/>
      </c>
      <c r="AI867" s="2" t="n">
        <v>2026</v>
      </c>
      <c r="AJ867" s="2" t="inlineStr">
        <is>
          <t>2026-05</t>
        </is>
      </c>
      <c r="AK867" s="2" t="inlineStr">
        <is>
          <t>-149 to -120</t>
        </is>
      </c>
      <c r="AL867" s="2" t="inlineStr">
        <is>
          <t>2026 Frozen Test</t>
        </is>
      </c>
      <c r="AM867" s="6" t="n">
        <v>0.1648911178475232</v>
      </c>
    </row>
    <row r="868">
      <c r="A868" s="2" t="inlineStr">
        <is>
          <t>KPROP-00867</t>
        </is>
      </c>
      <c r="B868" s="3" t="n">
        <v>46170.77820601852</v>
      </c>
      <c r="C868" s="3" t="n">
        <v>46170</v>
      </c>
      <c r="D868" s="2" t="inlineStr">
        <is>
          <t>Paul Skenes</t>
        </is>
      </c>
      <c r="E868" s="2" t="n">
        <v>134</v>
      </c>
      <c r="F868" s="2" t="n">
        <v>112</v>
      </c>
      <c r="G868" s="2" t="inlineStr">
        <is>
          <t>Home</t>
        </is>
      </c>
      <c r="H868" s="2" t="inlineStr">
        <is>
          <t>draftkings</t>
        </is>
      </c>
      <c r="I868" s="4" t="n"/>
      <c r="J868" s="4" t="n"/>
      <c r="K868" s="4" t="n">
        <v>-114</v>
      </c>
      <c r="L868" s="4" t="n">
        <v>-114</v>
      </c>
      <c r="M868" s="5" t="n">
        <v>6.5</v>
      </c>
      <c r="N868" s="5" t="n">
        <v>6.005741131962868</v>
      </c>
      <c r="O868" s="5" t="n">
        <v>6.5</v>
      </c>
      <c r="P868" s="5" t="n">
        <v>0.4942588680371323</v>
      </c>
      <c r="Q868" s="6" t="n">
        <v>0.1364162602280069</v>
      </c>
      <c r="R868" s="6" t="n">
        <v>0.6053806246074429</v>
      </c>
      <c r="S868" s="6" t="n">
        <v>0.5207810820494446</v>
      </c>
      <c r="T868" s="2" t="inlineStr">
        <is>
          <t>Under</t>
        </is>
      </c>
      <c r="U868" s="4" t="n">
        <v>-114</v>
      </c>
      <c r="V868" s="2" t="n">
        <v>1.87719298245614</v>
      </c>
      <c r="W868" s="4" t="n">
        <v>-114</v>
      </c>
      <c r="X868" s="2" t="n">
        <v>1</v>
      </c>
      <c r="Y868" s="5" t="n">
        <v>-1</v>
      </c>
      <c r="Z868" s="7" t="n">
        <v>100</v>
      </c>
      <c r="AA868" s="7">
        <f>Y868*Z868</f>
        <v/>
      </c>
      <c r="AB868" s="6">
        <f>IF(Z868=0,0,AA868/Z868)</f>
        <v/>
      </c>
      <c r="AC868" s="6" t="n"/>
      <c r="AD868" s="2" t="inlineStr">
        <is>
          <t>Loss</t>
        </is>
      </c>
      <c r="AE868" s="6">
        <f>IF((COUNTIF($AD$2:AD868,"Win")+COUNTIF($AD$2:AD868,"Loss"))=0,0,COUNTIF($AD$2:AD868,"Win")/(COUNTIF($AD$2:AD868,"Win")+COUNTIF($AD$2:AD868,"Loss")))</f>
        <v/>
      </c>
      <c r="AF868" s="6">
        <f>SUM($Y$2:Y868)/SUM($X$2:X868)</f>
        <v/>
      </c>
      <c r="AG868" s="5">
        <f>SUM($Y$2:Y868)</f>
        <v/>
      </c>
      <c r="AH868" s="7">
        <f>10000.0+SUM($AA$2:AA868)</f>
        <v/>
      </c>
      <c r="AI868" s="2" t="n">
        <v>2026</v>
      </c>
      <c r="AJ868" s="2" t="inlineStr">
        <is>
          <t>2026-05</t>
        </is>
      </c>
      <c r="AK868" s="2" t="inlineStr">
        <is>
          <t>-119 to -101</t>
        </is>
      </c>
      <c r="AL868" s="2" t="inlineStr">
        <is>
          <t>2026 Frozen Test</t>
        </is>
      </c>
      <c r="AM868" s="6" t="n">
        <v>0.1555145366599279</v>
      </c>
    </row>
    <row r="869">
      <c r="A869" s="2" t="inlineStr">
        <is>
          <t>KPROP-00868</t>
        </is>
      </c>
      <c r="B869" s="3" t="n">
        <v>46171.79556712963</v>
      </c>
      <c r="C869" s="3" t="n">
        <v>46171</v>
      </c>
      <c r="D869" s="2" t="inlineStr">
        <is>
          <t>Trevor Rogers</t>
        </is>
      </c>
      <c r="E869" s="2" t="n">
        <v>110</v>
      </c>
      <c r="F869" s="2" t="n">
        <v>141</v>
      </c>
      <c r="G869" s="2" t="inlineStr">
        <is>
          <t>Home</t>
        </is>
      </c>
      <c r="H869" s="2" t="inlineStr">
        <is>
          <t>fanduel</t>
        </is>
      </c>
      <c r="I869" s="4" t="n"/>
      <c r="J869" s="4" t="n"/>
      <c r="K869" s="4" t="n">
        <v>-134</v>
      </c>
      <c r="L869" s="4" t="n">
        <v>-134</v>
      </c>
      <c r="M869" s="5" t="n">
        <v>4.5</v>
      </c>
      <c r="N869" s="5" t="n">
        <v>4.058763233780672</v>
      </c>
      <c r="O869" s="5" t="n">
        <v>4.5</v>
      </c>
      <c r="P869" s="5" t="n">
        <v>0.4412367662193279</v>
      </c>
      <c r="Q869" s="6" t="n">
        <v>0.07807325529073506</v>
      </c>
      <c r="R869" s="6" t="n">
        <v>0.6173581889271731</v>
      </c>
      <c r="S869" s="6" t="n">
        <v>0.5529573590096286</v>
      </c>
      <c r="T869" s="2" t="inlineStr">
        <is>
          <t>Under</t>
        </is>
      </c>
      <c r="U869" s="4" t="n">
        <v>-134</v>
      </c>
      <c r="V869" s="2" t="n">
        <v>1.746268656716418</v>
      </c>
      <c r="W869" s="4" t="n">
        <v>-134</v>
      </c>
      <c r="X869" s="2" t="n">
        <v>1</v>
      </c>
      <c r="Y869" s="5" t="n">
        <v>0.7462686567164178</v>
      </c>
      <c r="Z869" s="7" t="n">
        <v>100</v>
      </c>
      <c r="AA869" s="7">
        <f>Y869*Z869</f>
        <v/>
      </c>
      <c r="AB869" s="6">
        <f>IF(Z869=0,0,AA869/Z869)</f>
        <v/>
      </c>
      <c r="AC869" s="6" t="n"/>
      <c r="AD869" s="2" t="inlineStr">
        <is>
          <t>Win</t>
        </is>
      </c>
      <c r="AE869" s="6">
        <f>IF((COUNTIF($AD$2:AD869,"Win")+COUNTIF($AD$2:AD869,"Loss"))=0,0,COUNTIF($AD$2:AD869,"Win")/(COUNTIF($AD$2:AD869,"Win")+COUNTIF($AD$2:AD869,"Loss")))</f>
        <v/>
      </c>
      <c r="AF869" s="6">
        <f>SUM($Y$2:Y869)/SUM($X$2:X869)</f>
        <v/>
      </c>
      <c r="AG869" s="5">
        <f>SUM($Y$2:Y869)</f>
        <v/>
      </c>
      <c r="AH869" s="7">
        <f>10000.0+SUM($AA$2:AA869)</f>
        <v/>
      </c>
      <c r="AI869" s="2" t="n">
        <v>2026</v>
      </c>
      <c r="AJ869" s="2" t="inlineStr">
        <is>
          <t>2026-05</t>
        </is>
      </c>
      <c r="AK869" s="2" t="inlineStr">
        <is>
          <t>-149 to -120</t>
        </is>
      </c>
      <c r="AL869" s="2" t="inlineStr">
        <is>
          <t>2026 Frozen Test</t>
        </is>
      </c>
      <c r="AM869" s="6" t="n">
        <v>0.104618162089585</v>
      </c>
    </row>
    <row r="870">
      <c r="A870" s="2" t="inlineStr">
        <is>
          <t>KPROP-00869</t>
        </is>
      </c>
      <c r="B870" s="3" t="n">
        <v>46172.8025</v>
      </c>
      <c r="C870" s="3" t="n">
        <v>46172</v>
      </c>
      <c r="D870" s="2" t="inlineStr">
        <is>
          <t>Brady Singer</t>
        </is>
      </c>
      <c r="E870" s="2" t="n">
        <v>113</v>
      </c>
      <c r="F870" s="2" t="n">
        <v>144</v>
      </c>
      <c r="G870" s="2" t="inlineStr">
        <is>
          <t>Home</t>
        </is>
      </c>
      <c r="H870" s="2" t="inlineStr">
        <is>
          <t>draftkings</t>
        </is>
      </c>
      <c r="I870" s="4" t="n"/>
      <c r="J870" s="4" t="n"/>
      <c r="K870" s="4" t="n">
        <v>-130</v>
      </c>
      <c r="L870" s="4" t="n">
        <v>-130</v>
      </c>
      <c r="M870" s="5" t="n">
        <v>4.5</v>
      </c>
      <c r="N870" s="5" t="n">
        <v>3.915504888666836</v>
      </c>
      <c r="O870" s="5" t="n">
        <v>4.5</v>
      </c>
      <c r="P870" s="5" t="n">
        <v>0.5844951113331636</v>
      </c>
      <c r="Q870" s="6" t="n">
        <v>0.1417545250614858</v>
      </c>
      <c r="R870" s="6" t="n">
        <v>0.6453395141651876</v>
      </c>
      <c r="S870" s="6" t="n">
        <v>0.5485770363101079</v>
      </c>
      <c r="T870" s="2" t="inlineStr">
        <is>
          <t>Under</t>
        </is>
      </c>
      <c r="U870" s="4" t="n">
        <v>-130</v>
      </c>
      <c r="V870" s="2" t="n">
        <v>1.769230769230769</v>
      </c>
      <c r="W870" s="4" t="n">
        <v>-130</v>
      </c>
      <c r="X870" s="2" t="n">
        <v>1</v>
      </c>
      <c r="Y870" s="5" t="n">
        <v>0.7692307692307692</v>
      </c>
      <c r="Z870" s="7" t="n">
        <v>100</v>
      </c>
      <c r="AA870" s="7">
        <f>Y870*Z870</f>
        <v/>
      </c>
      <c r="AB870" s="6">
        <f>IF(Z870=0,0,AA870/Z870)</f>
        <v/>
      </c>
      <c r="AC870" s="6" t="n"/>
      <c r="AD870" s="2" t="inlineStr">
        <is>
          <t>Win</t>
        </is>
      </c>
      <c r="AE870" s="6">
        <f>IF((COUNTIF($AD$2:AD870,"Win")+COUNTIF($AD$2:AD870,"Loss"))=0,0,COUNTIF($AD$2:AD870,"Win")/(COUNTIF($AD$2:AD870,"Win")+COUNTIF($AD$2:AD870,"Loss")))</f>
        <v/>
      </c>
      <c r="AF870" s="6">
        <f>SUM($Y$2:Y870)/SUM($X$2:X870)</f>
        <v/>
      </c>
      <c r="AG870" s="5">
        <f>SUM($Y$2:Y870)</f>
        <v/>
      </c>
      <c r="AH870" s="7">
        <f>10000.0+SUM($AA$2:AA870)</f>
        <v/>
      </c>
      <c r="AI870" s="2" t="n">
        <v>2026</v>
      </c>
      <c r="AJ870" s="2" t="inlineStr">
        <is>
          <t>2026-05</t>
        </is>
      </c>
      <c r="AK870" s="2" t="inlineStr">
        <is>
          <t>-149 to -120</t>
        </is>
      </c>
      <c r="AL870" s="2" t="inlineStr">
        <is>
          <t>2026 Frozen Test</t>
        </is>
      </c>
      <c r="AM870" s="6" t="n">
        <v>0.1842808825799315</v>
      </c>
    </row>
    <row r="871">
      <c r="A871" s="2" t="inlineStr">
        <is>
          <t>KPROP-00870</t>
        </is>
      </c>
      <c r="B871" s="3" t="n">
        <v>46172.67402777778</v>
      </c>
      <c r="C871" s="3" t="n">
        <v>46172</v>
      </c>
      <c r="D871" s="2" t="inlineStr">
        <is>
          <t>Christian Scott</t>
        </is>
      </c>
      <c r="E871" s="2" t="n">
        <v>121</v>
      </c>
      <c r="F871" s="2" t="n">
        <v>146</v>
      </c>
      <c r="G871" s="2" t="inlineStr">
        <is>
          <t>Home</t>
        </is>
      </c>
      <c r="H871" s="2" t="inlineStr">
        <is>
          <t>fanduel</t>
        </is>
      </c>
      <c r="I871" s="4" t="n"/>
      <c r="J871" s="4" t="n"/>
      <c r="K871" s="4" t="n">
        <v>-144</v>
      </c>
      <c r="L871" s="4" t="n">
        <v>-144</v>
      </c>
      <c r="M871" s="5" t="n">
        <v>5.5</v>
      </c>
      <c r="N871" s="5" t="n">
        <v>4.687615263886488</v>
      </c>
      <c r="O871" s="5" t="n">
        <v>5.5</v>
      </c>
      <c r="P871" s="5" t="n">
        <v>0.8123847361135121</v>
      </c>
      <c r="Q871" s="6" t="n">
        <v>0.1362782745056812</v>
      </c>
      <c r="R871" s="6" t="n">
        <v>0.6705904570853201</v>
      </c>
      <c r="S871" s="6" t="n">
        <v>0.562661313449957</v>
      </c>
      <c r="T871" s="2" t="inlineStr">
        <is>
          <t>Under</t>
        </is>
      </c>
      <c r="U871" s="4" t="n">
        <v>-144</v>
      </c>
      <c r="V871" s="2" t="n">
        <v>1.694444444444444</v>
      </c>
      <c r="W871" s="4" t="n">
        <v>-144</v>
      </c>
      <c r="X871" s="2" t="n">
        <v>1</v>
      </c>
      <c r="Y871" s="5" t="n">
        <v>-1</v>
      </c>
      <c r="Z871" s="7" t="n">
        <v>100</v>
      </c>
      <c r="AA871" s="7">
        <f>Y871*Z871</f>
        <v/>
      </c>
      <c r="AB871" s="6">
        <f>IF(Z871=0,0,AA871/Z871)</f>
        <v/>
      </c>
      <c r="AC871" s="6" t="n"/>
      <c r="AD871" s="2" t="inlineStr">
        <is>
          <t>Loss</t>
        </is>
      </c>
      <c r="AE871" s="6">
        <f>IF((COUNTIF($AD$2:AD871,"Win")+COUNTIF($AD$2:AD871,"Loss"))=0,0,COUNTIF($AD$2:AD871,"Win")/(COUNTIF($AD$2:AD871,"Win")+COUNTIF($AD$2:AD871,"Loss")))</f>
        <v/>
      </c>
      <c r="AF871" s="6">
        <f>SUM($Y$2:Y871)/SUM($X$2:X871)</f>
        <v/>
      </c>
      <c r="AG871" s="5">
        <f>SUM($Y$2:Y871)</f>
        <v/>
      </c>
      <c r="AH871" s="7">
        <f>10000.0+SUM($AA$2:AA871)</f>
        <v/>
      </c>
      <c r="AI871" s="2" t="n">
        <v>2026</v>
      </c>
      <c r="AJ871" s="2" t="inlineStr">
        <is>
          <t>2026-05</t>
        </is>
      </c>
      <c r="AK871" s="2" t="inlineStr">
        <is>
          <t>-149 to -120</t>
        </is>
      </c>
      <c r="AL871" s="2" t="inlineStr">
        <is>
          <t>2026 Frozen Test</t>
        </is>
      </c>
      <c r="AM871" s="6" t="n">
        <v>0.1962407152881809</v>
      </c>
    </row>
    <row r="872">
      <c r="A872" s="2" t="inlineStr">
        <is>
          <t>KPROP-00871</t>
        </is>
      </c>
      <c r="B872" s="3" t="n">
        <v>46172.67055555555</v>
      </c>
      <c r="C872" s="3" t="n">
        <v>46172</v>
      </c>
      <c r="D872" s="2" t="inlineStr">
        <is>
          <t>Foster Griffin</t>
        </is>
      </c>
      <c r="E872" s="2" t="n">
        <v>120</v>
      </c>
      <c r="F872" s="2" t="n">
        <v>135</v>
      </c>
      <c r="G872" s="2" t="inlineStr">
        <is>
          <t>Home</t>
        </is>
      </c>
      <c r="H872" s="2" t="inlineStr">
        <is>
          <t>betrivers</t>
        </is>
      </c>
      <c r="I872" s="4" t="n"/>
      <c r="J872" s="4" t="n"/>
      <c r="K872" s="4" t="n">
        <v>114</v>
      </c>
      <c r="L872" s="4" t="n">
        <v>114</v>
      </c>
      <c r="M872" s="5" t="n">
        <v>4.5</v>
      </c>
      <c r="N872" s="5" t="n">
        <v>4.491520186556167</v>
      </c>
      <c r="O872" s="5" t="n">
        <v>4.5</v>
      </c>
      <c r="P872" s="5" t="n">
        <v>0.00847981344383264</v>
      </c>
      <c r="Q872" s="6" t="n">
        <v>0.1421476695186539</v>
      </c>
      <c r="R872" s="6" t="n">
        <v>0.5337138642610533</v>
      </c>
      <c r="S872" s="6" t="n">
        <v>0.436529933481153</v>
      </c>
      <c r="T872" s="2" t="inlineStr">
        <is>
          <t>Under</t>
        </is>
      </c>
      <c r="U872" s="4" t="n">
        <v>114</v>
      </c>
      <c r="V872" s="2" t="n">
        <v>2.14</v>
      </c>
      <c r="W872" s="4" t="n">
        <v>114</v>
      </c>
      <c r="X872" s="2" t="n">
        <v>1</v>
      </c>
      <c r="Y872" s="5" t="n">
        <v>-1</v>
      </c>
      <c r="Z872" s="7" t="n">
        <v>100</v>
      </c>
      <c r="AA872" s="7">
        <f>Y872*Z872</f>
        <v/>
      </c>
      <c r="AB872" s="6">
        <f>IF(Z872=0,0,AA872/Z872)</f>
        <v/>
      </c>
      <c r="AC872" s="6" t="n"/>
      <c r="AD872" s="2" t="inlineStr">
        <is>
          <t>Loss</t>
        </is>
      </c>
      <c r="AE872" s="6">
        <f>IF((COUNTIF($AD$2:AD872,"Win")+COUNTIF($AD$2:AD872,"Loss"))=0,0,COUNTIF($AD$2:AD872,"Win")/(COUNTIF($AD$2:AD872,"Win")+COUNTIF($AD$2:AD872,"Loss")))</f>
        <v/>
      </c>
      <c r="AF872" s="6">
        <f>SUM($Y$2:Y872)/SUM($X$2:X872)</f>
        <v/>
      </c>
      <c r="AG872" s="5">
        <f>SUM($Y$2:Y872)</f>
        <v/>
      </c>
      <c r="AH872" s="7">
        <f>10000.0+SUM($AA$2:AA872)</f>
        <v/>
      </c>
      <c r="AI872" s="2" t="n">
        <v>2026</v>
      </c>
      <c r="AJ872" s="2" t="inlineStr">
        <is>
          <t>2026-05</t>
        </is>
      </c>
      <c r="AK872" s="2" t="inlineStr">
        <is>
          <t>+100 to +120</t>
        </is>
      </c>
      <c r="AL872" s="2" t="inlineStr">
        <is>
          <t>2026 Frozen Test</t>
        </is>
      </c>
      <c r="AM872" s="6" t="n">
        <v>0.1246909381742578</v>
      </c>
    </row>
    <row r="873">
      <c r="A873" s="2" t="inlineStr">
        <is>
          <t>KPROP-00872</t>
        </is>
      </c>
      <c r="B873" s="3" t="n">
        <v>46172.67055555555</v>
      </c>
      <c r="C873" s="3" t="n">
        <v>46172</v>
      </c>
      <c r="D873" s="2" t="inlineStr">
        <is>
          <t>Foster Griffin</t>
        </is>
      </c>
      <c r="E873" s="2" t="n">
        <v>120</v>
      </c>
      <c r="F873" s="2" t="n">
        <v>135</v>
      </c>
      <c r="G873" s="2" t="inlineStr">
        <is>
          <t>Home</t>
        </is>
      </c>
      <c r="H873" s="2" t="inlineStr">
        <is>
          <t>betmgm</t>
        </is>
      </c>
      <c r="I873" s="4" t="n"/>
      <c r="J873" s="4" t="n"/>
      <c r="K873" s="4" t="n">
        <v>-155</v>
      </c>
      <c r="L873" s="4" t="n">
        <v>-155</v>
      </c>
      <c r="M873" s="5" t="n">
        <v>5.5</v>
      </c>
      <c r="N873" s="5" t="n">
        <v>4.491520186556167</v>
      </c>
      <c r="O873" s="5" t="n">
        <v>5.5</v>
      </c>
      <c r="P873" s="5" t="n">
        <v>1.008479813443833</v>
      </c>
      <c r="Q873" s="6" t="n">
        <v>0.1588159593817219</v>
      </c>
      <c r="R873" s="6" t="n">
        <v>0.7043783282516349</v>
      </c>
      <c r="S873" s="6" t="n">
        <v>0.5962954167656138</v>
      </c>
      <c r="T873" s="2" t="inlineStr">
        <is>
          <t>Under</t>
        </is>
      </c>
      <c r="U873" s="4" t="n">
        <v>-155</v>
      </c>
      <c r="V873" s="2" t="n">
        <v>1.645161290322581</v>
      </c>
      <c r="W873" s="4" t="n">
        <v>-155</v>
      </c>
      <c r="X873" s="2" t="n">
        <v>1</v>
      </c>
      <c r="Y873" s="5" t="n">
        <v>0.6451612903225805</v>
      </c>
      <c r="Z873" s="7" t="n">
        <v>100</v>
      </c>
      <c r="AA873" s="7">
        <f>Y873*Z873</f>
        <v/>
      </c>
      <c r="AB873" s="6">
        <f>IF(Z873=0,0,AA873/Z873)</f>
        <v/>
      </c>
      <c r="AC873" s="6" t="n"/>
      <c r="AD873" s="2" t="inlineStr">
        <is>
          <t>Win</t>
        </is>
      </c>
      <c r="AE873" s="6">
        <f>IF((COUNTIF($AD$2:AD873,"Win")+COUNTIF($AD$2:AD873,"Loss"))=0,0,COUNTIF($AD$2:AD873,"Win")/(COUNTIF($AD$2:AD873,"Win")+COUNTIF($AD$2:AD873,"Loss")))</f>
        <v/>
      </c>
      <c r="AF873" s="6">
        <f>SUM($Y$2:Y873)/SUM($X$2:X873)</f>
        <v/>
      </c>
      <c r="AG873" s="5">
        <f>SUM($Y$2:Y873)</f>
        <v/>
      </c>
      <c r="AH873" s="7">
        <f>10000.0+SUM($AA$2:AA873)</f>
        <v/>
      </c>
      <c r="AI873" s="2" t="n">
        <v>2026</v>
      </c>
      <c r="AJ873" s="2" t="inlineStr">
        <is>
          <t>2026-05</t>
        </is>
      </c>
      <c r="AK873" s="2" t="inlineStr">
        <is>
          <t>&lt;= -150</t>
        </is>
      </c>
      <c r="AL873" s="2" t="inlineStr">
        <is>
          <t>2026 Frozen Test</t>
        </is>
      </c>
      <c r="AM873" s="6" t="n">
        <v>0.246164737041669</v>
      </c>
    </row>
    <row r="874">
      <c r="A874" s="2" t="inlineStr">
        <is>
          <t>KPROP-00873</t>
        </is>
      </c>
      <c r="B874" s="3" t="n">
        <v>46172.59069444444</v>
      </c>
      <c r="C874" s="3" t="n">
        <v>46172</v>
      </c>
      <c r="D874" s="2" t="inlineStr">
        <is>
          <t>Framber Valdez</t>
        </is>
      </c>
      <c r="E874" s="2" t="n">
        <v>116</v>
      </c>
      <c r="F874" s="2" t="n">
        <v>145</v>
      </c>
      <c r="G874" s="2" t="inlineStr">
        <is>
          <t>Away</t>
        </is>
      </c>
      <c r="H874" s="2" t="inlineStr">
        <is>
          <t>betrivers</t>
        </is>
      </c>
      <c r="I874" s="4" t="n"/>
      <c r="J874" s="4" t="n"/>
      <c r="K874" s="4" t="n">
        <v>-129</v>
      </c>
      <c r="L874" s="4" t="n">
        <v>-129</v>
      </c>
      <c r="M874" s="5" t="n">
        <v>5.5</v>
      </c>
      <c r="N874" s="5" t="n">
        <v>4.249911831439516</v>
      </c>
      <c r="O874" s="5" t="n">
        <v>5.5</v>
      </c>
      <c r="P874" s="5" t="n">
        <v>1.250088168560484</v>
      </c>
      <c r="Q874" s="6" t="n">
        <v>0.3224369829326704</v>
      </c>
      <c r="R874" s="6" t="n">
        <v>0.7449535842721157</v>
      </c>
      <c r="S874" s="6" t="n">
        <v>0.548892916239855</v>
      </c>
      <c r="T874" s="2" t="inlineStr">
        <is>
          <t>Under</t>
        </is>
      </c>
      <c r="U874" s="4" t="n">
        <v>-129</v>
      </c>
      <c r="V874" s="2" t="n">
        <v>1.775193798449612</v>
      </c>
      <c r="W874" s="4" t="n">
        <v>-129</v>
      </c>
      <c r="X874" s="2" t="n">
        <v>1</v>
      </c>
      <c r="Y874" s="5" t="n">
        <v>0.7751937984496124</v>
      </c>
      <c r="Z874" s="7" t="n">
        <v>100</v>
      </c>
      <c r="AA874" s="7">
        <f>Y874*Z874</f>
        <v/>
      </c>
      <c r="AB874" s="6">
        <f>IF(Z874=0,0,AA874/Z874)</f>
        <v/>
      </c>
      <c r="AC874" s="6" t="n"/>
      <c r="AD874" s="2" t="inlineStr">
        <is>
          <t>Win</t>
        </is>
      </c>
      <c r="AE874" s="6">
        <f>IF((COUNTIF($AD$2:AD874,"Win")+COUNTIF($AD$2:AD874,"Loss"))=0,0,COUNTIF($AD$2:AD874,"Win")/(COUNTIF($AD$2:AD874,"Win")+COUNTIF($AD$2:AD874,"Loss")))</f>
        <v/>
      </c>
      <c r="AF874" s="6">
        <f>SUM($Y$2:Y874)/SUM($X$2:X874)</f>
        <v/>
      </c>
      <c r="AG874" s="5">
        <f>SUM($Y$2:Y874)</f>
        <v/>
      </c>
      <c r="AH874" s="7">
        <f>10000.0+SUM($AA$2:AA874)</f>
        <v/>
      </c>
      <c r="AI874" s="2" t="n">
        <v>2026</v>
      </c>
      <c r="AJ874" s="2" t="inlineStr">
        <is>
          <t>2026-05</t>
        </is>
      </c>
      <c r="AK874" s="2" t="inlineStr">
        <is>
          <t>-149 to -120</t>
        </is>
      </c>
      <c r="AL874" s="2" t="inlineStr">
        <is>
          <t>2026 Frozen Test</t>
        </is>
      </c>
      <c r="AM874" s="6" t="n">
        <v>0.4159437079831448</v>
      </c>
    </row>
    <row r="875">
      <c r="A875" s="2" t="inlineStr">
        <is>
          <t>KPROP-00874</t>
        </is>
      </c>
      <c r="B875" s="3" t="n">
        <v>46172.67402777778</v>
      </c>
      <c r="C875" s="3" t="n">
        <v>46172</v>
      </c>
      <c r="D875" s="2" t="inlineStr">
        <is>
          <t>Parker Messick</t>
        </is>
      </c>
      <c r="E875" s="2" t="n">
        <v>114</v>
      </c>
      <c r="F875" s="2" t="n">
        <v>111</v>
      </c>
      <c r="G875" s="2" t="inlineStr">
        <is>
          <t>Home</t>
        </is>
      </c>
      <c r="H875" s="2" t="inlineStr">
        <is>
          <t>betrivers</t>
        </is>
      </c>
      <c r="I875" s="4" t="n"/>
      <c r="J875" s="4" t="n"/>
      <c r="K875" s="4" t="n">
        <v>138</v>
      </c>
      <c r="L875" s="4" t="n">
        <v>138</v>
      </c>
      <c r="M875" s="5" t="n">
        <v>5.5</v>
      </c>
      <c r="N875" s="5" t="n">
        <v>5.072948614186608</v>
      </c>
      <c r="O875" s="5" t="n">
        <v>5.5</v>
      </c>
      <c r="P875" s="5" t="n">
        <v>0.4270513858133915</v>
      </c>
      <c r="Q875" s="6" t="n">
        <v>0.4355274809506502</v>
      </c>
      <c r="R875" s="6" t="n">
        <v>0.603162807122122</v>
      </c>
      <c r="S875" s="6" t="n">
        <v>0.4131680661068906</v>
      </c>
      <c r="T875" s="2" t="inlineStr">
        <is>
          <t>Under</t>
        </is>
      </c>
      <c r="U875" s="4" t="n">
        <v>138</v>
      </c>
      <c r="V875" s="2" t="n">
        <v>2.38</v>
      </c>
      <c r="W875" s="4" t="n">
        <v>138</v>
      </c>
      <c r="X875" s="2" t="n">
        <v>1</v>
      </c>
      <c r="Y875" s="5" t="n">
        <v>1.38</v>
      </c>
      <c r="Z875" s="7" t="n">
        <v>100</v>
      </c>
      <c r="AA875" s="7">
        <f>Y875*Z875</f>
        <v/>
      </c>
      <c r="AB875" s="6">
        <f>IF(Z875=0,0,AA875/Z875)</f>
        <v/>
      </c>
      <c r="AC875" s="6" t="n"/>
      <c r="AD875" s="2" t="inlineStr">
        <is>
          <t>Win</t>
        </is>
      </c>
      <c r="AE875" s="6">
        <f>IF((COUNTIF($AD$2:AD875,"Win")+COUNTIF($AD$2:AD875,"Loss"))=0,0,COUNTIF($AD$2:AD875,"Win")/(COUNTIF($AD$2:AD875,"Win")+COUNTIF($AD$2:AD875,"Loss")))</f>
        <v/>
      </c>
      <c r="AF875" s="6">
        <f>SUM($Y$2:Y875)/SUM($X$2:X875)</f>
        <v/>
      </c>
      <c r="AG875" s="5">
        <f>SUM($Y$2:Y875)</f>
        <v/>
      </c>
      <c r="AH875" s="7">
        <f>10000.0+SUM($AA$2:AA875)</f>
        <v/>
      </c>
      <c r="AI875" s="2" t="n">
        <v>2026</v>
      </c>
      <c r="AJ875" s="2" t="inlineStr">
        <is>
          <t>2026-05</t>
        </is>
      </c>
      <c r="AK875" s="2" t="inlineStr">
        <is>
          <t>+121 to +150</t>
        </is>
      </c>
      <c r="AL875" s="2" t="inlineStr">
        <is>
          <t>2026 Frozen Test</t>
        </is>
      </c>
      <c r="AM875" s="6" t="n">
        <v>0.3155996238772829</v>
      </c>
    </row>
    <row r="876">
      <c r="A876" s="2" t="inlineStr">
        <is>
          <t>KPROP-00875</t>
        </is>
      </c>
      <c r="B876" s="3" t="n">
        <v>46172.67402777778</v>
      </c>
      <c r="C876" s="3" t="n">
        <v>46172</v>
      </c>
      <c r="D876" s="2" t="inlineStr">
        <is>
          <t>Parker Messick</t>
        </is>
      </c>
      <c r="E876" s="2" t="n">
        <v>114</v>
      </c>
      <c r="F876" s="2" t="n">
        <v>111</v>
      </c>
      <c r="G876" s="2" t="inlineStr">
        <is>
          <t>Home</t>
        </is>
      </c>
      <c r="H876" s="2" t="inlineStr">
        <is>
          <t>betrivers</t>
        </is>
      </c>
      <c r="I876" s="4" t="n"/>
      <c r="J876" s="4" t="n"/>
      <c r="K876" s="4" t="n">
        <v>-148</v>
      </c>
      <c r="L876" s="4" t="n">
        <v>-148</v>
      </c>
      <c r="M876" s="5" t="n">
        <v>6.5</v>
      </c>
      <c r="N876" s="5" t="n">
        <v>5.072948614186608</v>
      </c>
      <c r="O876" s="5" t="n">
        <v>6.5</v>
      </c>
      <c r="P876" s="5" t="n">
        <v>1.427051385813392</v>
      </c>
      <c r="Q876" s="6" t="n">
        <v>0.2591710668339186</v>
      </c>
      <c r="R876" s="6" t="n">
        <v>0.751440797949274</v>
      </c>
      <c r="S876" s="6" t="n">
        <v>0.5561918396564066</v>
      </c>
      <c r="T876" s="2" t="inlineStr">
        <is>
          <t>Under</t>
        </is>
      </c>
      <c r="U876" s="4" t="n">
        <v>-148</v>
      </c>
      <c r="V876" s="2" t="n">
        <v>1.675675675675676</v>
      </c>
      <c r="W876" s="4" t="n">
        <v>-148</v>
      </c>
      <c r="X876" s="2" t="n">
        <v>1</v>
      </c>
      <c r="Y876" s="5" t="n">
        <v>0.6756756756756757</v>
      </c>
      <c r="Z876" s="7" t="n">
        <v>100</v>
      </c>
      <c r="AA876" s="7">
        <f>Y876*Z876</f>
        <v/>
      </c>
      <c r="AB876" s="6">
        <f>IF(Z876=0,0,AA876/Z876)</f>
        <v/>
      </c>
      <c r="AC876" s="6" t="n"/>
      <c r="AD876" s="2" t="inlineStr">
        <is>
          <t>Win</t>
        </is>
      </c>
      <c r="AE876" s="6">
        <f>IF((COUNTIF($AD$2:AD876,"Win")+COUNTIF($AD$2:AD876,"Loss"))=0,0,COUNTIF($AD$2:AD876,"Win")/(COUNTIF($AD$2:AD876,"Win")+COUNTIF($AD$2:AD876,"Loss")))</f>
        <v/>
      </c>
      <c r="AF876" s="6">
        <f>SUM($Y$2:Y876)/SUM($X$2:X876)</f>
        <v/>
      </c>
      <c r="AG876" s="5">
        <f>SUM($Y$2:Y876)</f>
        <v/>
      </c>
      <c r="AH876" s="7">
        <f>10000.0+SUM($AA$2:AA876)</f>
        <v/>
      </c>
      <c r="AI876" s="2" t="n">
        <v>2026</v>
      </c>
      <c r="AJ876" s="2" t="inlineStr">
        <is>
          <t>2026-05</t>
        </is>
      </c>
      <c r="AK876" s="2" t="inlineStr">
        <is>
          <t>-149 to -120</t>
        </is>
      </c>
      <c r="AL876" s="2" t="inlineStr">
        <is>
          <t>2026 Frozen Test</t>
        </is>
      </c>
      <c r="AM876" s="6" t="n">
        <v>0.3835731789141995</v>
      </c>
    </row>
    <row r="877">
      <c r="A877" s="2" t="inlineStr">
        <is>
          <t>KPROP-00876</t>
        </is>
      </c>
      <c r="B877" s="3" t="n">
        <v>46172.67402777778</v>
      </c>
      <c r="C877" s="3" t="n">
        <v>46172</v>
      </c>
      <c r="D877" s="2" t="inlineStr">
        <is>
          <t>Peter Lambert</t>
        </is>
      </c>
      <c r="E877" s="2" t="n">
        <v>117</v>
      </c>
      <c r="F877" s="2" t="n">
        <v>158</v>
      </c>
      <c r="G877" s="2" t="inlineStr">
        <is>
          <t>Home</t>
        </is>
      </c>
      <c r="H877" s="2" t="inlineStr">
        <is>
          <t>betrivers</t>
        </is>
      </c>
      <c r="I877" s="4" t="n"/>
      <c r="J877" s="4" t="n"/>
      <c r="K877" s="4" t="n">
        <v>-143</v>
      </c>
      <c r="L877" s="4" t="n">
        <v>-143</v>
      </c>
      <c r="M877" s="5" t="n">
        <v>5.5</v>
      </c>
      <c r="N877" s="5" t="n">
        <v>4.54452336838036</v>
      </c>
      <c r="O877" s="5" t="n">
        <v>5.5</v>
      </c>
      <c r="P877" s="5" t="n">
        <v>0.9554766316196401</v>
      </c>
      <c r="Q877" s="6" t="n">
        <v>0.1815346912361865</v>
      </c>
      <c r="R877" s="6" t="n">
        <v>0.6953064232377559</v>
      </c>
      <c r="S877" s="6" t="n">
        <v>0.5686288432862315</v>
      </c>
      <c r="T877" s="2" t="inlineStr">
        <is>
          <t>Under</t>
        </is>
      </c>
      <c r="U877" s="4" t="n">
        <v>-143</v>
      </c>
      <c r="V877" s="2" t="n">
        <v>1.699300699300699</v>
      </c>
      <c r="W877" s="4" t="n">
        <v>-143</v>
      </c>
      <c r="X877" s="2" t="n">
        <v>1</v>
      </c>
      <c r="Y877" s="5" t="n">
        <v>0.6993006993006992</v>
      </c>
      <c r="Z877" s="7" t="n">
        <v>100</v>
      </c>
      <c r="AA877" s="7">
        <f>Y877*Z877</f>
        <v/>
      </c>
      <c r="AB877" s="6">
        <f>IF(Z877=0,0,AA877/Z877)</f>
        <v/>
      </c>
      <c r="AC877" s="6" t="n"/>
      <c r="AD877" s="2" t="inlineStr">
        <is>
          <t>Win</t>
        </is>
      </c>
      <c r="AE877" s="6">
        <f>IF((COUNTIF($AD$2:AD877,"Win")+COUNTIF($AD$2:AD877,"Loss"))=0,0,COUNTIF($AD$2:AD877,"Win")/(COUNTIF($AD$2:AD877,"Win")+COUNTIF($AD$2:AD877,"Loss")))</f>
        <v/>
      </c>
      <c r="AF877" s="6">
        <f>SUM($Y$2:Y877)/SUM($X$2:X877)</f>
        <v/>
      </c>
      <c r="AG877" s="5">
        <f>SUM($Y$2:Y877)</f>
        <v/>
      </c>
      <c r="AH877" s="7">
        <f>10000.0+SUM($AA$2:AA877)</f>
        <v/>
      </c>
      <c r="AI877" s="2" t="n">
        <v>2026</v>
      </c>
      <c r="AJ877" s="2" t="inlineStr">
        <is>
          <t>2026-05</t>
        </is>
      </c>
      <c r="AK877" s="2" t="inlineStr">
        <is>
          <t>-149 to -120</t>
        </is>
      </c>
      <c r="AL877" s="2" t="inlineStr">
        <is>
          <t>2026 Frozen Test</t>
        </is>
      </c>
      <c r="AM877" s="6" t="n">
        <v>0.2595946084677468</v>
      </c>
    </row>
    <row r="878">
      <c r="A878" s="2" t="inlineStr">
        <is>
          <t>KPROP-00877</t>
        </is>
      </c>
      <c r="B878" s="3" t="n">
        <v>46172.67055555555</v>
      </c>
      <c r="C878" s="3" t="n">
        <v>46172</v>
      </c>
      <c r="D878" s="2" t="inlineStr">
        <is>
          <t>Seth Lugo</t>
        </is>
      </c>
      <c r="E878" s="2" t="n">
        <v>118</v>
      </c>
      <c r="F878" s="2" t="n">
        <v>140</v>
      </c>
      <c r="G878" s="2" t="inlineStr">
        <is>
          <t>Away</t>
        </is>
      </c>
      <c r="H878" s="2" t="inlineStr">
        <is>
          <t>betrivers</t>
        </is>
      </c>
      <c r="I878" s="4" t="n"/>
      <c r="J878" s="4" t="n"/>
      <c r="K878" s="4" t="n">
        <v>117</v>
      </c>
      <c r="L878" s="4" t="n">
        <v>117</v>
      </c>
      <c r="M878" s="5" t="n">
        <v>4.5</v>
      </c>
      <c r="N878" s="5" t="n">
        <v>4.34965551064519</v>
      </c>
      <c r="O878" s="5" t="n">
        <v>4.5</v>
      </c>
      <c r="P878" s="5" t="n">
        <v>0.1503444893548105</v>
      </c>
      <c r="Q878" s="6" t="n">
        <v>0.2170617175569843</v>
      </c>
      <c r="R878" s="6" t="n">
        <v>0.5608579343580573</v>
      </c>
      <c r="S878" s="6" t="n">
        <v>0.4451179088928875</v>
      </c>
      <c r="T878" s="2" t="inlineStr">
        <is>
          <t>Under</t>
        </is>
      </c>
      <c r="U878" s="4" t="n">
        <v>117</v>
      </c>
      <c r="V878" s="2" t="n">
        <v>2.17</v>
      </c>
      <c r="W878" s="4" t="n">
        <v>117</v>
      </c>
      <c r="X878" s="2" t="n">
        <v>1</v>
      </c>
      <c r="Y878" s="5" t="n">
        <v>-1</v>
      </c>
      <c r="Z878" s="7" t="n">
        <v>100</v>
      </c>
      <c r="AA878" s="7">
        <f>Y878*Z878</f>
        <v/>
      </c>
      <c r="AB878" s="6">
        <f>IF(Z878=0,0,AA878/Z878)</f>
        <v/>
      </c>
      <c r="AC878" s="6" t="n"/>
      <c r="AD878" s="2" t="inlineStr">
        <is>
          <t>Loss</t>
        </is>
      </c>
      <c r="AE878" s="6">
        <f>IF((COUNTIF($AD$2:AD878,"Win")+COUNTIF($AD$2:AD878,"Loss"))=0,0,COUNTIF($AD$2:AD878,"Win")/(COUNTIF($AD$2:AD878,"Win")+COUNTIF($AD$2:AD878,"Loss")))</f>
        <v/>
      </c>
      <c r="AF878" s="6">
        <f>SUM($Y$2:Y878)/SUM($X$2:X878)</f>
        <v/>
      </c>
      <c r="AG878" s="5">
        <f>SUM($Y$2:Y878)</f>
        <v/>
      </c>
      <c r="AH878" s="7">
        <f>10000.0+SUM($AA$2:AA878)</f>
        <v/>
      </c>
      <c r="AI878" s="2" t="n">
        <v>2026</v>
      </c>
      <c r="AJ878" s="2" t="inlineStr">
        <is>
          <t>2026-05</t>
        </is>
      </c>
      <c r="AK878" s="2" t="inlineStr">
        <is>
          <t>+100 to +120</t>
        </is>
      </c>
      <c r="AL878" s="2" t="inlineStr">
        <is>
          <t>2026 Frozen Test</t>
        </is>
      </c>
      <c r="AM878" s="6" t="n">
        <v>0.18552283551879</v>
      </c>
    </row>
    <row r="879">
      <c r="A879" s="2" t="inlineStr">
        <is>
          <t>KPROP-00878</t>
        </is>
      </c>
      <c r="B879" s="3" t="n">
        <v>46172.67055555555</v>
      </c>
      <c r="C879" s="3" t="n">
        <v>46172</v>
      </c>
      <c r="D879" s="2" t="inlineStr">
        <is>
          <t>Seth Lugo</t>
        </is>
      </c>
      <c r="E879" s="2" t="n">
        <v>118</v>
      </c>
      <c r="F879" s="2" t="n">
        <v>140</v>
      </c>
      <c r="G879" s="2" t="inlineStr">
        <is>
          <t>Away</t>
        </is>
      </c>
      <c r="H879" s="2" t="inlineStr">
        <is>
          <t>betrivers</t>
        </is>
      </c>
      <c r="I879" s="4" t="n"/>
      <c r="J879" s="4" t="n"/>
      <c r="K879" s="4" t="n">
        <v>-190</v>
      </c>
      <c r="L879" s="4" t="n">
        <v>-190</v>
      </c>
      <c r="M879" s="5" t="n">
        <v>5.5</v>
      </c>
      <c r="N879" s="5" t="n">
        <v>4.34965551064519</v>
      </c>
      <c r="O879" s="5" t="n">
        <v>5.5</v>
      </c>
      <c r="P879" s="5" t="n">
        <v>1.15034448935481</v>
      </c>
      <c r="Q879" s="6" t="n">
        <v>0.1117318075185817</v>
      </c>
      <c r="R879" s="6" t="n">
        <v>0.7283760118225191</v>
      </c>
      <c r="S879" s="6" t="n">
        <v>0.6112600536193029</v>
      </c>
      <c r="T879" s="2" t="inlineStr">
        <is>
          <t>Under</t>
        </is>
      </c>
      <c r="U879" s="4" t="n">
        <v>-190</v>
      </c>
      <c r="V879" s="2" t="n">
        <v>1.526315789473684</v>
      </c>
      <c r="W879" s="4" t="n">
        <v>-190</v>
      </c>
      <c r="X879" s="2" t="n">
        <v>1</v>
      </c>
      <c r="Y879" s="5" t="n">
        <v>-1</v>
      </c>
      <c r="Z879" s="7" t="n">
        <v>100</v>
      </c>
      <c r="AA879" s="7">
        <f>Y879*Z879</f>
        <v/>
      </c>
      <c r="AB879" s="6">
        <f>IF(Z879=0,0,AA879/Z879)</f>
        <v/>
      </c>
      <c r="AC879" s="6" t="n"/>
      <c r="AD879" s="2" t="inlineStr">
        <is>
          <t>Loss</t>
        </is>
      </c>
      <c r="AE879" s="6">
        <f>IF((COUNTIF($AD$2:AD879,"Win")+COUNTIF($AD$2:AD879,"Loss"))=0,0,COUNTIF($AD$2:AD879,"Win")/(COUNTIF($AD$2:AD879,"Win")+COUNTIF($AD$2:AD879,"Loss")))</f>
        <v/>
      </c>
      <c r="AF879" s="6">
        <f>SUM($Y$2:Y879)/SUM($X$2:X879)</f>
        <v/>
      </c>
      <c r="AG879" s="5">
        <f>SUM($Y$2:Y879)</f>
        <v/>
      </c>
      <c r="AH879" s="7">
        <f>10000.0+SUM($AA$2:AA879)</f>
        <v/>
      </c>
      <c r="AI879" s="2" t="n">
        <v>2026</v>
      </c>
      <c r="AJ879" s="2" t="inlineStr">
        <is>
          <t>2026-05</t>
        </is>
      </c>
      <c r="AK879" s="2" t="inlineStr">
        <is>
          <t>&lt;= -150</t>
        </is>
      </c>
      <c r="AL879" s="2" t="inlineStr">
        <is>
          <t>2026 Frozen Test</t>
        </is>
      </c>
      <c r="AM879" s="6" t="n">
        <v>0.2122904342853053</v>
      </c>
    </row>
    <row r="880">
      <c r="A880" s="2" t="inlineStr">
        <is>
          <t>KPROP-00879</t>
        </is>
      </c>
      <c r="B880" s="3" t="n">
        <v>46172.67402777778</v>
      </c>
      <c r="C880" s="3" t="n">
        <v>46172</v>
      </c>
      <c r="D880" s="2" t="inlineStr">
        <is>
          <t>Sonny Gray</t>
        </is>
      </c>
      <c r="E880" s="2" t="n">
        <v>111</v>
      </c>
      <c r="F880" s="2" t="n">
        <v>114</v>
      </c>
      <c r="G880" s="2" t="inlineStr">
        <is>
          <t>Away</t>
        </is>
      </c>
      <c r="H880" s="2" t="inlineStr">
        <is>
          <t>draftkings</t>
        </is>
      </c>
      <c r="I880" s="4" t="n"/>
      <c r="J880" s="4" t="n"/>
      <c r="K880" s="4" t="n">
        <v>120</v>
      </c>
      <c r="L880" s="4" t="n">
        <v>120</v>
      </c>
      <c r="M880" s="5" t="n">
        <v>4.5</v>
      </c>
      <c r="N880" s="5" t="n">
        <v>4.42907213756542</v>
      </c>
      <c r="O880" s="5" t="n">
        <v>4.5</v>
      </c>
      <c r="P880" s="5" t="n">
        <v>0.07092786243457994</v>
      </c>
      <c r="Q880" s="6" t="n">
        <v>0.2003577367794558</v>
      </c>
      <c r="R880" s="6" t="n">
        <v>0.5456171530815708</v>
      </c>
      <c r="S880" s="6" t="n">
        <v>0.4310344827586207</v>
      </c>
      <c r="T880" s="2" t="inlineStr">
        <is>
          <t>Under</t>
        </is>
      </c>
      <c r="U880" s="4" t="n">
        <v>120</v>
      </c>
      <c r="V880" s="2" t="n">
        <v>2.2</v>
      </c>
      <c r="W880" s="4" t="n">
        <v>120</v>
      </c>
      <c r="X880" s="2" t="n">
        <v>1</v>
      </c>
      <c r="Y880" s="5" t="n">
        <v>-1</v>
      </c>
      <c r="Z880" s="7" t="n">
        <v>100</v>
      </c>
      <c r="AA880" s="7">
        <f>Y880*Z880</f>
        <v/>
      </c>
      <c r="AB880" s="6">
        <f>IF(Z880=0,0,AA880/Z880)</f>
        <v/>
      </c>
      <c r="AC880" s="6" t="n"/>
      <c r="AD880" s="2" t="inlineStr">
        <is>
          <t>Loss</t>
        </is>
      </c>
      <c r="AE880" s="6">
        <f>IF((COUNTIF($AD$2:AD880,"Win")+COUNTIF($AD$2:AD880,"Loss"))=0,0,COUNTIF($AD$2:AD880,"Win")/(COUNTIF($AD$2:AD880,"Win")+COUNTIF($AD$2:AD880,"Loss")))</f>
        <v/>
      </c>
      <c r="AF880" s="6">
        <f>SUM($Y$2:Y880)/SUM($X$2:X880)</f>
        <v/>
      </c>
      <c r="AG880" s="5">
        <f>SUM($Y$2:Y880)</f>
        <v/>
      </c>
      <c r="AH880" s="7">
        <f>10000.0+SUM($AA$2:AA880)</f>
        <v/>
      </c>
      <c r="AI880" s="2" t="n">
        <v>2026</v>
      </c>
      <c r="AJ880" s="2" t="inlineStr">
        <is>
          <t>2026-05</t>
        </is>
      </c>
      <c r="AK880" s="2" t="inlineStr">
        <is>
          <t>+100 to +120</t>
        </is>
      </c>
      <c r="AL880" s="2" t="inlineStr">
        <is>
          <t>2026 Frozen Test</t>
        </is>
      </c>
      <c r="AM880" s="6" t="n">
        <v>0.1669647806495465</v>
      </c>
    </row>
    <row r="881">
      <c r="A881" s="2" t="inlineStr">
        <is>
          <t>KPROP-00880</t>
        </is>
      </c>
      <c r="B881" s="3" t="n">
        <v>46172.67402777778</v>
      </c>
      <c r="C881" s="3" t="n">
        <v>46172</v>
      </c>
      <c r="D881" s="2" t="inlineStr">
        <is>
          <t>Sonny Gray</t>
        </is>
      </c>
      <c r="E881" s="2" t="n">
        <v>111</v>
      </c>
      <c r="F881" s="2" t="n">
        <v>114</v>
      </c>
      <c r="G881" s="2" t="inlineStr">
        <is>
          <t>Away</t>
        </is>
      </c>
      <c r="H881" s="2" t="inlineStr">
        <is>
          <t>betmgm</t>
        </is>
      </c>
      <c r="I881" s="4" t="n"/>
      <c r="J881" s="4" t="n"/>
      <c r="K881" s="4" t="n">
        <v>-175</v>
      </c>
      <c r="L881" s="4" t="n">
        <v>-175</v>
      </c>
      <c r="M881" s="5" t="n">
        <v>5.5</v>
      </c>
      <c r="N881" s="5" t="n">
        <v>4.42907213756542</v>
      </c>
      <c r="O881" s="5" t="n">
        <v>5.5</v>
      </c>
      <c r="P881" s="5" t="n">
        <v>1.07092786243458</v>
      </c>
      <c r="Q881" s="6" t="n">
        <v>0.1235662225979323</v>
      </c>
      <c r="R881" s="6" t="n">
        <v>0.7149966871077751</v>
      </c>
      <c r="S881" s="6" t="n">
        <v>0.6043165467625899</v>
      </c>
      <c r="T881" s="2" t="inlineStr">
        <is>
          <t>Under</t>
        </is>
      </c>
      <c r="U881" s="4" t="n">
        <v>-175</v>
      </c>
      <c r="V881" s="2" t="n">
        <v>1.571428571428571</v>
      </c>
      <c r="W881" s="4" t="n">
        <v>-175</v>
      </c>
      <c r="X881" s="2" t="n">
        <v>1</v>
      </c>
      <c r="Y881" s="5" t="n">
        <v>-1</v>
      </c>
      <c r="Z881" s="7" t="n">
        <v>100</v>
      </c>
      <c r="AA881" s="7">
        <f>Y881*Z881</f>
        <v/>
      </c>
      <c r="AB881" s="6">
        <f>IF(Z881=0,0,AA881/Z881)</f>
        <v/>
      </c>
      <c r="AC881" s="6" t="n"/>
      <c r="AD881" s="2" t="inlineStr">
        <is>
          <t>Loss</t>
        </is>
      </c>
      <c r="AE881" s="6">
        <f>IF((COUNTIF($AD$2:AD881,"Win")+COUNTIF($AD$2:AD881,"Loss"))=0,0,COUNTIF($AD$2:AD881,"Win")/(COUNTIF($AD$2:AD881,"Win")+COUNTIF($AD$2:AD881,"Loss")))</f>
        <v/>
      </c>
      <c r="AF881" s="6">
        <f>SUM($Y$2:Y881)/SUM($X$2:X881)</f>
        <v/>
      </c>
      <c r="AG881" s="5">
        <f>SUM($Y$2:Y881)</f>
        <v/>
      </c>
      <c r="AH881" s="7">
        <f>10000.0+SUM($AA$2:AA881)</f>
        <v/>
      </c>
      <c r="AI881" s="2" t="n">
        <v>2026</v>
      </c>
      <c r="AJ881" s="2" t="inlineStr">
        <is>
          <t>2026-05</t>
        </is>
      </c>
      <c r="AK881" s="2" t="inlineStr">
        <is>
          <t>&lt;= -150</t>
        </is>
      </c>
      <c r="AL881" s="2" t="inlineStr">
        <is>
          <t>2026 Frozen Test</t>
        </is>
      </c>
      <c r="AM881" s="6" t="n">
        <v>0.2162408895463815</v>
      </c>
    </row>
    <row r="882">
      <c r="A882" s="2" t="inlineStr">
        <is>
          <t>KPROP-00881</t>
        </is>
      </c>
      <c r="B882" s="3" t="n">
        <v>46173.60805555555</v>
      </c>
      <c r="C882" s="3" t="n">
        <v>46173</v>
      </c>
      <c r="D882" s="2" t="inlineStr">
        <is>
          <t>Jack Leiter</t>
        </is>
      </c>
      <c r="E882" s="2" t="n">
        <v>140</v>
      </c>
      <c r="F882" s="2" t="n">
        <v>118</v>
      </c>
      <c r="G882" s="2" t="inlineStr">
        <is>
          <t>Home</t>
        </is>
      </c>
      <c r="H882" s="2" t="inlineStr">
        <is>
          <t>betmgm</t>
        </is>
      </c>
      <c r="I882" s="4" t="n"/>
      <c r="J882" s="4" t="n"/>
      <c r="K882" s="4" t="n">
        <v>-125</v>
      </c>
      <c r="L882" s="4" t="n">
        <v>-125</v>
      </c>
      <c r="M882" s="5" t="n">
        <v>5.5</v>
      </c>
      <c r="N882" s="5" t="n">
        <v>5.08719490244203</v>
      </c>
      <c r="O882" s="5" t="n">
        <v>5.5</v>
      </c>
      <c r="P882" s="5" t="n">
        <v>0.4128050975579702</v>
      </c>
      <c r="Q882" s="6" t="n">
        <v>0.08119634801612113</v>
      </c>
      <c r="R882" s="6" t="n">
        <v>0.600664637786734</v>
      </c>
      <c r="S882" s="6" t="n">
        <v>0.5477386934673366</v>
      </c>
      <c r="T882" s="2" t="inlineStr">
        <is>
          <t>Under</t>
        </is>
      </c>
      <c r="U882" s="4" t="n">
        <v>-125</v>
      </c>
      <c r="V882" s="2" t="n">
        <v>1.8</v>
      </c>
      <c r="W882" s="4" t="n">
        <v>-125</v>
      </c>
      <c r="X882" s="2" t="n">
        <v>1</v>
      </c>
      <c r="Y882" s="5" t="n">
        <v>-1</v>
      </c>
      <c r="Z882" s="7" t="n">
        <v>100</v>
      </c>
      <c r="AA882" s="7">
        <f>Y882*Z882</f>
        <v/>
      </c>
      <c r="AB882" s="6">
        <f>IF(Z882=0,0,AA882/Z882)</f>
        <v/>
      </c>
      <c r="AC882" s="6" t="n"/>
      <c r="AD882" s="2" t="inlineStr">
        <is>
          <t>Loss</t>
        </is>
      </c>
      <c r="AE882" s="6">
        <f>IF((COUNTIF($AD$2:AD882,"Win")+COUNTIF($AD$2:AD882,"Loss"))=0,0,COUNTIF($AD$2:AD882,"Win")/(COUNTIF($AD$2:AD882,"Win")+COUNTIF($AD$2:AD882,"Loss")))</f>
        <v/>
      </c>
      <c r="AF882" s="6">
        <f>SUM($Y$2:Y882)/SUM($X$2:X882)</f>
        <v/>
      </c>
      <c r="AG882" s="5">
        <f>SUM($Y$2:Y882)</f>
        <v/>
      </c>
      <c r="AH882" s="7">
        <f>10000.0+SUM($AA$2:AA882)</f>
        <v/>
      </c>
      <c r="AI882" s="2" t="n">
        <v>2026</v>
      </c>
      <c r="AJ882" s="2" t="inlineStr">
        <is>
          <t>2026-05</t>
        </is>
      </c>
      <c r="AK882" s="2" t="inlineStr">
        <is>
          <t>-149 to -120</t>
        </is>
      </c>
      <c r="AL882" s="2" t="inlineStr">
        <is>
          <t>2026 Frozen Test</t>
        </is>
      </c>
      <c r="AM882" s="6" t="n">
        <v>0.1014954350201514</v>
      </c>
    </row>
    <row r="883">
      <c r="A883" s="2" t="inlineStr">
        <is>
          <t>KPROP-00882</t>
        </is>
      </c>
      <c r="B883" s="3" t="n">
        <v>46173.67405092593</v>
      </c>
      <c r="C883" s="3" t="n">
        <v>46173</v>
      </c>
      <c r="D883" s="2" t="inlineStr">
        <is>
          <t>Merrill Kelly</t>
        </is>
      </c>
      <c r="E883" s="2" t="n">
        <v>109</v>
      </c>
      <c r="F883" s="2" t="n">
        <v>136</v>
      </c>
      <c r="G883" s="2" t="inlineStr">
        <is>
          <t>Away</t>
        </is>
      </c>
      <c r="H883" s="2" t="inlineStr">
        <is>
          <t>fanduel</t>
        </is>
      </c>
      <c r="I883" s="4" t="n"/>
      <c r="J883" s="4" t="n"/>
      <c r="K883" s="4" t="n">
        <v>128</v>
      </c>
      <c r="L883" s="4" t="n">
        <v>128</v>
      </c>
      <c r="M883" s="5" t="n">
        <v>4.5</v>
      </c>
      <c r="N883" s="5" t="n">
        <v>4.832363118566191</v>
      </c>
      <c r="O883" s="5" t="n">
        <v>4.5</v>
      </c>
      <c r="P883" s="5" t="n">
        <v>-0.3323631185661906</v>
      </c>
      <c r="Q883" s="6" t="n">
        <v>0.07247499359621679</v>
      </c>
      <c r="R883" s="6" t="n">
        <v>0.4703837691211477</v>
      </c>
      <c r="S883" s="6" t="n">
        <v>0.4329403095062638</v>
      </c>
      <c r="T883" s="2" t="inlineStr">
        <is>
          <t>Under</t>
        </is>
      </c>
      <c r="U883" s="4" t="n">
        <v>128</v>
      </c>
      <c r="V883" s="2" t="n">
        <v>2.28</v>
      </c>
      <c r="W883" s="4" t="n">
        <v>128</v>
      </c>
      <c r="X883" s="2" t="n">
        <v>1</v>
      </c>
      <c r="Y883" s="5" t="n">
        <v>1.28</v>
      </c>
      <c r="Z883" s="7" t="n">
        <v>100</v>
      </c>
      <c r="AA883" s="7">
        <f>Y883*Z883</f>
        <v/>
      </c>
      <c r="AB883" s="6">
        <f>IF(Z883=0,0,AA883/Z883)</f>
        <v/>
      </c>
      <c r="AC883" s="6" t="n"/>
      <c r="AD883" s="2" t="inlineStr">
        <is>
          <t>Win</t>
        </is>
      </c>
      <c r="AE883" s="6">
        <f>IF((COUNTIF($AD$2:AD883,"Win")+COUNTIF($AD$2:AD883,"Loss"))=0,0,COUNTIF($AD$2:AD883,"Win")/(COUNTIF($AD$2:AD883,"Win")+COUNTIF($AD$2:AD883,"Loss")))</f>
        <v/>
      </c>
      <c r="AF883" s="6">
        <f>SUM($Y$2:Y883)/SUM($X$2:X883)</f>
        <v/>
      </c>
      <c r="AG883" s="5">
        <f>SUM($Y$2:Y883)</f>
        <v/>
      </c>
      <c r="AH883" s="7">
        <f>10000.0+SUM($AA$2:AA883)</f>
        <v/>
      </c>
      <c r="AI883" s="2" t="n">
        <v>2026</v>
      </c>
      <c r="AJ883" s="2" t="inlineStr">
        <is>
          <t>2026-05</t>
        </is>
      </c>
      <c r="AK883" s="2" t="inlineStr">
        <is>
          <t>+121 to +150</t>
        </is>
      </c>
      <c r="AL883" s="2" t="inlineStr">
        <is>
          <t>2026 Frozen Test</t>
        </is>
      </c>
      <c r="AM883" s="6" t="n">
        <v>0.05662108874704435</v>
      </c>
    </row>
    <row r="884">
      <c r="A884" s="2" t="inlineStr">
        <is>
          <t>KPROP-00883</t>
        </is>
      </c>
      <c r="B884" s="3" t="n">
        <v>46173.60805555555</v>
      </c>
      <c r="C884" s="3" t="n">
        <v>46173</v>
      </c>
      <c r="D884" s="2" t="inlineStr">
        <is>
          <t>Michael Wacha</t>
        </is>
      </c>
      <c r="E884" s="2" t="n">
        <v>118</v>
      </c>
      <c r="F884" s="2" t="n">
        <v>140</v>
      </c>
      <c r="G884" s="2" t="inlineStr">
        <is>
          <t>Away</t>
        </is>
      </c>
      <c r="H884" s="2" t="inlineStr">
        <is>
          <t>fanduel</t>
        </is>
      </c>
      <c r="I884" s="4" t="n"/>
      <c r="J884" s="4" t="n"/>
      <c r="K884" s="4" t="n">
        <v>122</v>
      </c>
      <c r="L884" s="4" t="n">
        <v>122</v>
      </c>
      <c r="M884" s="5" t="n">
        <v>4.5</v>
      </c>
      <c r="N884" s="5" t="n">
        <v>4.740449485797361</v>
      </c>
      <c r="O884" s="5" t="n">
        <v>4.5</v>
      </c>
      <c r="P884" s="5" t="n">
        <v>-0.2404494857973614</v>
      </c>
      <c r="Q884" s="6" t="n">
        <v>0.08147634973986918</v>
      </c>
      <c r="R884" s="6" t="n">
        <v>0.487151508891833</v>
      </c>
      <c r="S884" s="6" t="n">
        <v>0.4394987843650645</v>
      </c>
      <c r="T884" s="2" t="inlineStr">
        <is>
          <t>Under</t>
        </is>
      </c>
      <c r="U884" s="4" t="n">
        <v>122</v>
      </c>
      <c r="V884" s="2" t="n">
        <v>2.22</v>
      </c>
      <c r="W884" s="4" t="n">
        <v>122</v>
      </c>
      <c r="X884" s="2" t="n">
        <v>1</v>
      </c>
      <c r="Y884" s="5" t="n">
        <v>-1</v>
      </c>
      <c r="Z884" s="7" t="n">
        <v>100</v>
      </c>
      <c r="AA884" s="7">
        <f>Y884*Z884</f>
        <v/>
      </c>
      <c r="AB884" s="6">
        <f>IF(Z884=0,0,AA884/Z884)</f>
        <v/>
      </c>
      <c r="AC884" s="6" t="n"/>
      <c r="AD884" s="2" t="inlineStr">
        <is>
          <t>Loss</t>
        </is>
      </c>
      <c r="AE884" s="6">
        <f>IF((COUNTIF($AD$2:AD884,"Win")+COUNTIF($AD$2:AD884,"Loss"))=0,0,COUNTIF($AD$2:AD884,"Win")/(COUNTIF($AD$2:AD884,"Win")+COUNTIF($AD$2:AD884,"Loss")))</f>
        <v/>
      </c>
      <c r="AF884" s="6">
        <f>SUM($Y$2:Y884)/SUM($X$2:X884)</f>
        <v/>
      </c>
      <c r="AG884" s="5">
        <f>SUM($Y$2:Y884)</f>
        <v/>
      </c>
      <c r="AH884" s="7">
        <f>10000.0+SUM($AA$2:AA884)</f>
        <v/>
      </c>
      <c r="AI884" s="2" t="n">
        <v>2026</v>
      </c>
      <c r="AJ884" s="2" t="inlineStr">
        <is>
          <t>2026-05</t>
        </is>
      </c>
      <c r="AK884" s="2" t="inlineStr">
        <is>
          <t>+121 to +150</t>
        </is>
      </c>
      <c r="AL884" s="2" t="inlineStr">
        <is>
          <t>2026 Frozen Test</t>
        </is>
      </c>
      <c r="AM884" s="6" t="n">
        <v>0.06678389322940097</v>
      </c>
    </row>
    <row r="885">
      <c r="A885" s="2" t="inlineStr">
        <is>
          <t>KPROP-00884</t>
        </is>
      </c>
      <c r="B885" s="3" t="n">
        <v>46173.56987268518</v>
      </c>
      <c r="C885" s="3" t="n">
        <v>46173</v>
      </c>
      <c r="D885" s="2" t="inlineStr">
        <is>
          <t>Nick Lodolo</t>
        </is>
      </c>
      <c r="E885" s="2" t="n">
        <v>113</v>
      </c>
      <c r="F885" s="2" t="n">
        <v>144</v>
      </c>
      <c r="G885" s="2" t="inlineStr">
        <is>
          <t>Home</t>
        </is>
      </c>
      <c r="H885" s="2" t="inlineStr">
        <is>
          <t>bovada</t>
        </is>
      </c>
      <c r="I885" s="4" t="n"/>
      <c r="J885" s="4" t="n"/>
      <c r="K885" s="4" t="n">
        <v>105</v>
      </c>
      <c r="L885" s="4" t="n">
        <v>105</v>
      </c>
      <c r="M885" s="5" t="n">
        <v>5.5</v>
      </c>
      <c r="N885" s="5" t="n">
        <v>4.873210966359155</v>
      </c>
      <c r="O885" s="5" t="n">
        <v>5.5</v>
      </c>
      <c r="P885" s="5" t="n">
        <v>0.6267890336408453</v>
      </c>
      <c r="Q885" s="6" t="n">
        <v>0.3083016448176039</v>
      </c>
      <c r="R885" s="6" t="n">
        <v>0.6381959243012703</v>
      </c>
      <c r="S885" s="6" t="n">
        <v>0.4769828064337215</v>
      </c>
      <c r="T885" s="2" t="inlineStr">
        <is>
          <t>Under</t>
        </is>
      </c>
      <c r="U885" s="4" t="n">
        <v>105</v>
      </c>
      <c r="V885" s="2" t="n">
        <v>2.05</v>
      </c>
      <c r="W885" s="4" t="n">
        <v>105</v>
      </c>
      <c r="X885" s="2" t="n">
        <v>1</v>
      </c>
      <c r="Y885" s="5" t="n">
        <v>1.05</v>
      </c>
      <c r="Z885" s="7" t="n">
        <v>100</v>
      </c>
      <c r="AA885" s="7">
        <f>Y885*Z885</f>
        <v/>
      </c>
      <c r="AB885" s="6">
        <f>IF(Z885=0,0,AA885/Z885)</f>
        <v/>
      </c>
      <c r="AC885" s="6" t="n"/>
      <c r="AD885" s="2" t="inlineStr">
        <is>
          <t>Win</t>
        </is>
      </c>
      <c r="AE885" s="6">
        <f>IF((COUNTIF($AD$2:AD885,"Win")+COUNTIF($AD$2:AD885,"Loss"))=0,0,COUNTIF($AD$2:AD885,"Win")/(COUNTIF($AD$2:AD885,"Win")+COUNTIF($AD$2:AD885,"Loss")))</f>
        <v/>
      </c>
      <c r="AF885" s="6">
        <f>SUM($Y$2:Y885)/SUM($X$2:X885)</f>
        <v/>
      </c>
      <c r="AG885" s="5">
        <f>SUM($Y$2:Y885)</f>
        <v/>
      </c>
      <c r="AH885" s="7">
        <f>10000.0+SUM($AA$2:AA885)</f>
        <v/>
      </c>
      <c r="AI885" s="2" t="n">
        <v>2026</v>
      </c>
      <c r="AJ885" s="2" t="inlineStr">
        <is>
          <t>2026-05</t>
        </is>
      </c>
      <c r="AK885" s="2" t="inlineStr">
        <is>
          <t>+100 to +120</t>
        </is>
      </c>
      <c r="AL885" s="2" t="inlineStr">
        <is>
          <t>2026 Frozen Test</t>
        </is>
      </c>
      <c r="AM885" s="6" t="n">
        <v>0.2936206141120038</v>
      </c>
    </row>
    <row r="886">
      <c r="A886" s="2" t="inlineStr">
        <is>
          <t>KPROP-00885</t>
        </is>
      </c>
      <c r="B886" s="3" t="n">
        <v>46173.56987268518</v>
      </c>
      <c r="C886" s="3" t="n">
        <v>46173</v>
      </c>
      <c r="D886" s="2" t="inlineStr">
        <is>
          <t>Nolan McLean</t>
        </is>
      </c>
      <c r="E886" s="2" t="n">
        <v>121</v>
      </c>
      <c r="F886" s="2" t="n">
        <v>146</v>
      </c>
      <c r="G886" s="2" t="inlineStr">
        <is>
          <t>Home</t>
        </is>
      </c>
      <c r="H886" s="2" t="inlineStr">
        <is>
          <t>betrivers</t>
        </is>
      </c>
      <c r="I886" s="4" t="n"/>
      <c r="J886" s="4" t="n"/>
      <c r="K886" s="4" t="n">
        <v>135</v>
      </c>
      <c r="L886" s="4" t="n">
        <v>135</v>
      </c>
      <c r="M886" s="5" t="n">
        <v>5.5</v>
      </c>
      <c r="N886" s="5" t="n">
        <v>5.535411686021162</v>
      </c>
      <c r="O886" s="5" t="n">
        <v>5.5</v>
      </c>
      <c r="P886" s="5" t="n">
        <v>-0.03541168602116151</v>
      </c>
      <c r="Q886" s="6" t="n">
        <v>0.2287188076262056</v>
      </c>
      <c r="R886" s="6" t="n">
        <v>0.5228590670749811</v>
      </c>
      <c r="S886" s="6" t="n">
        <v>0.4088050314465409</v>
      </c>
      <c r="T886" s="2" t="inlineStr">
        <is>
          <t>Under</t>
        </is>
      </c>
      <c r="U886" s="4" t="n">
        <v>135</v>
      </c>
      <c r="V886" s="2" t="n">
        <v>2.35</v>
      </c>
      <c r="W886" s="4" t="n">
        <v>135</v>
      </c>
      <c r="X886" s="2" t="n">
        <v>1</v>
      </c>
      <c r="Y886" s="5" t="n">
        <v>1.35</v>
      </c>
      <c r="Z886" s="7" t="n">
        <v>100</v>
      </c>
      <c r="AA886" s="7">
        <f>Y886*Z886</f>
        <v/>
      </c>
      <c r="AB886" s="6">
        <f>IF(Z886=0,0,AA886/Z886)</f>
        <v/>
      </c>
      <c r="AC886" s="6" t="n"/>
      <c r="AD886" s="2" t="inlineStr">
        <is>
          <t>Win</t>
        </is>
      </c>
      <c r="AE886" s="6">
        <f>IF((COUNTIF($AD$2:AD886,"Win")+COUNTIF($AD$2:AD886,"Loss"))=0,0,COUNTIF($AD$2:AD886,"Win")/(COUNTIF($AD$2:AD886,"Win")+COUNTIF($AD$2:AD886,"Loss")))</f>
        <v/>
      </c>
      <c r="AF886" s="6">
        <f>SUM($Y$2:Y886)/SUM($X$2:X886)</f>
        <v/>
      </c>
      <c r="AG886" s="5">
        <f>SUM($Y$2:Y886)</f>
        <v/>
      </c>
      <c r="AH886" s="7">
        <f>10000.0+SUM($AA$2:AA886)</f>
        <v/>
      </c>
      <c r="AI886" s="2" t="n">
        <v>2026</v>
      </c>
      <c r="AJ886" s="2" t="inlineStr">
        <is>
          <t>2026-05</t>
        </is>
      </c>
      <c r="AK886" s="2" t="inlineStr">
        <is>
          <t>+121 to +150</t>
        </is>
      </c>
      <c r="AL886" s="2" t="inlineStr">
        <is>
          <t>2026 Frozen Test</t>
        </is>
      </c>
      <c r="AM886" s="6" t="n">
        <v>0.1694213389823745</v>
      </c>
    </row>
    <row r="887">
      <c r="A887" s="2" t="inlineStr">
        <is>
          <t>KPROP-00886</t>
        </is>
      </c>
      <c r="B887" s="3" t="n">
        <v>46173.56987268518</v>
      </c>
      <c r="C887" s="3" t="n">
        <v>46173</v>
      </c>
      <c r="D887" s="2" t="inlineStr">
        <is>
          <t>Nolan McLean</t>
        </is>
      </c>
      <c r="E887" s="2" t="n">
        <v>121</v>
      </c>
      <c r="F887" s="2" t="n">
        <v>146</v>
      </c>
      <c r="G887" s="2" t="inlineStr">
        <is>
          <t>Home</t>
        </is>
      </c>
      <c r="H887" s="2" t="inlineStr">
        <is>
          <t>draftkings</t>
        </is>
      </c>
      <c r="I887" s="4" t="n"/>
      <c r="J887" s="4" t="n"/>
      <c r="K887" s="4" t="n">
        <v>-144</v>
      </c>
      <c r="L887" s="4" t="n">
        <v>-144</v>
      </c>
      <c r="M887" s="5" t="n">
        <v>6.5</v>
      </c>
      <c r="N887" s="5" t="n">
        <v>5.535411686021162</v>
      </c>
      <c r="O887" s="5" t="n">
        <v>6.5</v>
      </c>
      <c r="P887" s="5" t="n">
        <v>0.9645883139788385</v>
      </c>
      <c r="Q887" s="6" t="n">
        <v>0.1530075247719362</v>
      </c>
      <c r="R887" s="6" t="n">
        <v>0.6804634572424542</v>
      </c>
      <c r="S887" s="6" t="n">
        <v>0.5671302866874822</v>
      </c>
      <c r="T887" s="2" t="inlineStr">
        <is>
          <t>Under</t>
        </is>
      </c>
      <c r="U887" s="4" t="n">
        <v>-144</v>
      </c>
      <c r="V887" s="2" t="n">
        <v>1.694444444444444</v>
      </c>
      <c r="W887" s="4" t="n">
        <v>-144</v>
      </c>
      <c r="X887" s="2" t="n">
        <v>1</v>
      </c>
      <c r="Y887" s="5" t="n">
        <v>0.6944444444444444</v>
      </c>
      <c r="Z887" s="7" t="n">
        <v>100</v>
      </c>
      <c r="AA887" s="7">
        <f>Y887*Z887</f>
        <v/>
      </c>
      <c r="AB887" s="6">
        <f>IF(Z887=0,0,AA887/Z887)</f>
        <v/>
      </c>
      <c r="AC887" s="6" t="n"/>
      <c r="AD887" s="2" t="inlineStr">
        <is>
          <t>Win</t>
        </is>
      </c>
      <c r="AE887" s="6">
        <f>IF((COUNTIF($AD$2:AD887,"Win")+COUNTIF($AD$2:AD887,"Loss"))=0,0,COUNTIF($AD$2:AD887,"Win")/(COUNTIF($AD$2:AD887,"Win")+COUNTIF($AD$2:AD887,"Loss")))</f>
        <v/>
      </c>
      <c r="AF887" s="6">
        <f>SUM($Y$2:Y887)/SUM($X$2:X887)</f>
        <v/>
      </c>
      <c r="AG887" s="5">
        <f>SUM($Y$2:Y887)</f>
        <v/>
      </c>
      <c r="AH887" s="7">
        <f>10000.0+SUM($AA$2:AA887)</f>
        <v/>
      </c>
      <c r="AI887" s="2" t="n">
        <v>2026</v>
      </c>
      <c r="AJ887" s="2" t="inlineStr">
        <is>
          <t>2026-05</t>
        </is>
      </c>
      <c r="AK887" s="2" t="inlineStr">
        <is>
          <t>-149 to -120</t>
        </is>
      </c>
      <c r="AL887" s="2" t="inlineStr">
        <is>
          <t>2026 Frozen Test</t>
        </is>
      </c>
      <c r="AM887" s="6" t="n">
        <v>0.2203308356715881</v>
      </c>
    </row>
    <row r="888">
      <c r="A888" s="2" t="inlineStr">
        <is>
          <t>KPROP-00887</t>
        </is>
      </c>
      <c r="B888" s="3" t="n">
        <v>46173.56987268518</v>
      </c>
      <c r="C888" s="3" t="n">
        <v>46173</v>
      </c>
      <c r="D888" s="2" t="inlineStr">
        <is>
          <t>Ranger Suarez</t>
        </is>
      </c>
      <c r="E888" s="2" t="n">
        <v>111</v>
      </c>
      <c r="F888" s="2" t="n">
        <v>114</v>
      </c>
      <c r="G888" s="2" t="inlineStr">
        <is>
          <t>Away</t>
        </is>
      </c>
      <c r="H888" s="2" t="inlineStr">
        <is>
          <t>draftkings</t>
        </is>
      </c>
      <c r="I888" s="4" t="n"/>
      <c r="J888" s="4" t="n"/>
      <c r="K888" s="4" t="n">
        <v>123</v>
      </c>
      <c r="L888" s="4" t="n">
        <v>123</v>
      </c>
      <c r="M888" s="5" t="n">
        <v>4.5</v>
      </c>
      <c r="N888" s="5" t="n">
        <v>4.385106865197399</v>
      </c>
      <c r="O888" s="5" t="n">
        <v>4.5</v>
      </c>
      <c r="P888" s="5" t="n">
        <v>0.1148931348026014</v>
      </c>
      <c r="Q888" s="6" t="n">
        <v>0.2355120349320976</v>
      </c>
      <c r="R888" s="6" t="n">
        <v>0.5540412712699989</v>
      </c>
      <c r="S888" s="6" t="n">
        <v>0.4346251358203549</v>
      </c>
      <c r="T888" s="2" t="inlineStr">
        <is>
          <t>Under</t>
        </is>
      </c>
      <c r="U888" s="4" t="n">
        <v>123</v>
      </c>
      <c r="V888" s="2" t="n">
        <v>2.23</v>
      </c>
      <c r="W888" s="4" t="n">
        <v>123</v>
      </c>
      <c r="X888" s="2" t="n">
        <v>1</v>
      </c>
      <c r="Y888" s="5" t="n">
        <v>-1</v>
      </c>
      <c r="Z888" s="7" t="n">
        <v>100</v>
      </c>
      <c r="AA888" s="7">
        <f>Y888*Z888</f>
        <v/>
      </c>
      <c r="AB888" s="6">
        <f>IF(Z888=0,0,AA888/Z888)</f>
        <v/>
      </c>
      <c r="AC888" s="6" t="n"/>
      <c r="AD888" s="2" t="inlineStr">
        <is>
          <t>Loss</t>
        </is>
      </c>
      <c r="AE888" s="6">
        <f>IF((COUNTIF($AD$2:AD888,"Win")+COUNTIF($AD$2:AD888,"Loss"))=0,0,COUNTIF($AD$2:AD888,"Win")/(COUNTIF($AD$2:AD888,"Win")+COUNTIF($AD$2:AD888,"Loss")))</f>
        <v/>
      </c>
      <c r="AF888" s="6">
        <f>SUM($Y$2:Y888)/SUM($X$2:X888)</f>
        <v/>
      </c>
      <c r="AG888" s="5">
        <f>SUM($Y$2:Y888)</f>
        <v/>
      </c>
      <c r="AH888" s="7">
        <f>10000.0+SUM($AA$2:AA888)</f>
        <v/>
      </c>
      <c r="AI888" s="2" t="n">
        <v>2026</v>
      </c>
      <c r="AJ888" s="2" t="inlineStr">
        <is>
          <t>2026-05</t>
        </is>
      </c>
      <c r="AK888" s="2" t="inlineStr">
        <is>
          <t>+121 to +150</t>
        </is>
      </c>
      <c r="AL888" s="2" t="inlineStr">
        <is>
          <t>2026 Frozen Test</t>
        </is>
      </c>
      <c r="AM888" s="6" t="n">
        <v>0.1914731991317867</v>
      </c>
    </row>
    <row r="889">
      <c r="A889" s="2" t="inlineStr">
        <is>
          <t>KPROP-00888</t>
        </is>
      </c>
      <c r="B889" s="3" t="n">
        <v>46173.56987268518</v>
      </c>
      <c r="C889" s="3" t="n">
        <v>46173</v>
      </c>
      <c r="D889" s="2" t="inlineStr">
        <is>
          <t>Ranger Suarez</t>
        </is>
      </c>
      <c r="E889" s="2" t="n">
        <v>111</v>
      </c>
      <c r="F889" s="2" t="n">
        <v>114</v>
      </c>
      <c r="G889" s="2" t="inlineStr">
        <is>
          <t>Away</t>
        </is>
      </c>
      <c r="H889" s="2" t="inlineStr">
        <is>
          <t>betrivers</t>
        </is>
      </c>
      <c r="I889" s="4" t="n"/>
      <c r="J889" s="4" t="n"/>
      <c r="K889" s="4" t="n">
        <v>-182</v>
      </c>
      <c r="L889" s="4" t="n">
        <v>-182</v>
      </c>
      <c r="M889" s="5" t="n">
        <v>5.5</v>
      </c>
      <c r="N889" s="5" t="n">
        <v>4.385106865197399</v>
      </c>
      <c r="O889" s="5" t="n">
        <v>5.5</v>
      </c>
      <c r="P889" s="5" t="n">
        <v>1.114893134802601</v>
      </c>
      <c r="Q889" s="6" t="n">
        <v>0.1193569023675756</v>
      </c>
      <c r="R889" s="6" t="n">
        <v>0.7224218306060239</v>
      </c>
      <c r="S889" s="6" t="n">
        <v>0.6026490066225165</v>
      </c>
      <c r="T889" s="2" t="inlineStr">
        <is>
          <t>Under</t>
        </is>
      </c>
      <c r="U889" s="4" t="n">
        <v>-182</v>
      </c>
      <c r="V889" s="2" t="n">
        <v>1.549450549450549</v>
      </c>
      <c r="W889" s="4" t="n">
        <v>-182</v>
      </c>
      <c r="X889" s="2" t="n">
        <v>1</v>
      </c>
      <c r="Y889" s="5" t="n">
        <v>-1</v>
      </c>
      <c r="Z889" s="7" t="n">
        <v>100</v>
      </c>
      <c r="AA889" s="7">
        <f>Y889*Z889</f>
        <v/>
      </c>
      <c r="AB889" s="6">
        <f>IF(Z889=0,0,AA889/Z889)</f>
        <v/>
      </c>
      <c r="AC889" s="6" t="n"/>
      <c r="AD889" s="2" t="inlineStr">
        <is>
          <t>Loss</t>
        </is>
      </c>
      <c r="AE889" s="6">
        <f>IF((COUNTIF($AD$2:AD889,"Win")+COUNTIF($AD$2:AD889,"Loss"))=0,0,COUNTIF($AD$2:AD889,"Win")/(COUNTIF($AD$2:AD889,"Win")+COUNTIF($AD$2:AD889,"Loss")))</f>
        <v/>
      </c>
      <c r="AF889" s="6">
        <f>SUM($Y$2:Y889)/SUM($X$2:X889)</f>
        <v/>
      </c>
      <c r="AG889" s="5">
        <f>SUM($Y$2:Y889)</f>
        <v/>
      </c>
      <c r="AH889" s="7">
        <f>10000.0+SUM($AA$2:AA889)</f>
        <v/>
      </c>
      <c r="AI889" s="2" t="n">
        <v>2026</v>
      </c>
      <c r="AJ889" s="2" t="inlineStr">
        <is>
          <t>2026-05</t>
        </is>
      </c>
      <c r="AK889" s="2" t="inlineStr">
        <is>
          <t>&lt;= -150</t>
        </is>
      </c>
      <c r="AL889" s="2" t="inlineStr">
        <is>
          <t>2026 Frozen Test</t>
        </is>
      </c>
      <c r="AM889" s="6" t="n">
        <v>0.2172295623089875</v>
      </c>
    </row>
    <row r="890">
      <c r="A890" s="2" t="inlineStr">
        <is>
          <t>KPROP-00889</t>
        </is>
      </c>
      <c r="B890" s="3" t="n">
        <v>46173.56987268518</v>
      </c>
      <c r="C890" s="3" t="n">
        <v>46173</v>
      </c>
      <c r="D890" s="2" t="inlineStr">
        <is>
          <t>Shane McClanahan</t>
        </is>
      </c>
      <c r="E890" s="2" t="n">
        <v>139</v>
      </c>
      <c r="F890" s="2" t="n">
        <v>108</v>
      </c>
      <c r="G890" s="2" t="inlineStr">
        <is>
          <t>Home</t>
        </is>
      </c>
      <c r="H890" s="2" t="inlineStr">
        <is>
          <t>betrivers</t>
        </is>
      </c>
      <c r="I890" s="4" t="n"/>
      <c r="J890" s="4" t="n"/>
      <c r="K890" s="4" t="n">
        <v>125</v>
      </c>
      <c r="L890" s="4" t="n">
        <v>125</v>
      </c>
      <c r="M890" s="5" t="n">
        <v>5.5</v>
      </c>
      <c r="N890" s="5" t="n">
        <v>5.691158481906089</v>
      </c>
      <c r="O890" s="5" t="n">
        <v>5.5</v>
      </c>
      <c r="P890" s="5" t="n">
        <v>-0.191158481906089</v>
      </c>
      <c r="Q890" s="6" t="n">
        <v>0.1170552879192621</v>
      </c>
      <c r="R890" s="6" t="n">
        <v>0.4964690168530054</v>
      </c>
      <c r="S890" s="6" t="n">
        <v>0.4154025670945157</v>
      </c>
      <c r="T890" s="2" t="inlineStr">
        <is>
          <t>Under</t>
        </is>
      </c>
      <c r="U890" s="4" t="n">
        <v>125</v>
      </c>
      <c r="V890" s="2" t="n">
        <v>2.25</v>
      </c>
      <c r="W890" s="4" t="n">
        <v>125</v>
      </c>
      <c r="X890" s="2" t="n">
        <v>1</v>
      </c>
      <c r="Y890" s="5" t="n">
        <v>1.25</v>
      </c>
      <c r="Z890" s="7" t="n">
        <v>100</v>
      </c>
      <c r="AA890" s="7">
        <f>Y890*Z890</f>
        <v/>
      </c>
      <c r="AB890" s="6">
        <f>IF(Z890=0,0,AA890/Z890)</f>
        <v/>
      </c>
      <c r="AC890" s="6" t="n"/>
      <c r="AD890" s="2" t="inlineStr">
        <is>
          <t>Win</t>
        </is>
      </c>
      <c r="AE890" s="6">
        <f>IF((COUNTIF($AD$2:AD890,"Win")+COUNTIF($AD$2:AD890,"Loss"))=0,0,COUNTIF($AD$2:AD890,"Win")/(COUNTIF($AD$2:AD890,"Win")+COUNTIF($AD$2:AD890,"Loss")))</f>
        <v/>
      </c>
      <c r="AF890" s="6">
        <f>SUM($Y$2:Y890)/SUM($X$2:X890)</f>
        <v/>
      </c>
      <c r="AG890" s="5">
        <f>SUM($Y$2:Y890)</f>
        <v/>
      </c>
      <c r="AH890" s="7">
        <f>10000.0+SUM($AA$2:AA890)</f>
        <v/>
      </c>
      <c r="AI890" s="2" t="n">
        <v>2026</v>
      </c>
      <c r="AJ890" s="2" t="inlineStr">
        <is>
          <t>2026-05</t>
        </is>
      </c>
      <c r="AK890" s="2" t="inlineStr">
        <is>
          <t>+121 to +150</t>
        </is>
      </c>
      <c r="AL890" s="2" t="inlineStr">
        <is>
          <t>2026 Frozen Test</t>
        </is>
      </c>
      <c r="AM890" s="6" t="n">
        <v>0.09364423033540969</v>
      </c>
    </row>
    <row r="891">
      <c r="A891" s="2" t="inlineStr">
        <is>
          <t>KPROP-00890</t>
        </is>
      </c>
      <c r="B891" s="3" t="n">
        <v>46173.56987268518</v>
      </c>
      <c r="C891" s="3" t="n">
        <v>46173</v>
      </c>
      <c r="D891" s="2" t="inlineStr">
        <is>
          <t>Shane McClanahan</t>
        </is>
      </c>
      <c r="E891" s="2" t="n">
        <v>139</v>
      </c>
      <c r="F891" s="2" t="n">
        <v>108</v>
      </c>
      <c r="G891" s="2" t="inlineStr">
        <is>
          <t>Home</t>
        </is>
      </c>
      <c r="H891" s="2" t="inlineStr">
        <is>
          <t>draftkings</t>
        </is>
      </c>
      <c r="I891" s="4" t="n"/>
      <c r="J891" s="4" t="n"/>
      <c r="K891" s="4" t="n">
        <v>-143</v>
      </c>
      <c r="L891" s="4" t="n">
        <v>-143</v>
      </c>
      <c r="M891" s="5" t="n">
        <v>6.5</v>
      </c>
      <c r="N891" s="5" t="n">
        <v>5.691158481906089</v>
      </c>
      <c r="O891" s="5" t="n">
        <v>6.5</v>
      </c>
      <c r="P891" s="5" t="n">
        <v>0.808841518093911</v>
      </c>
      <c r="Q891" s="6" t="n">
        <v>0.1143593958197655</v>
      </c>
      <c r="R891" s="6" t="n">
        <v>0.6557752823136892</v>
      </c>
      <c r="S891" s="6" t="n">
        <v>0.5642037302725968</v>
      </c>
      <c r="T891" s="2" t="inlineStr">
        <is>
          <t>Under</t>
        </is>
      </c>
      <c r="U891" s="4" t="n">
        <v>-143</v>
      </c>
      <c r="V891" s="2" t="n">
        <v>1.699300699300699</v>
      </c>
      <c r="W891" s="4" t="n">
        <v>-143</v>
      </c>
      <c r="X891" s="2" t="n">
        <v>1</v>
      </c>
      <c r="Y891" s="5" t="n">
        <v>0.6993006993006992</v>
      </c>
      <c r="Z891" s="7" t="n">
        <v>100</v>
      </c>
      <c r="AA891" s="7">
        <f>Y891*Z891</f>
        <v/>
      </c>
      <c r="AB891" s="6">
        <f>IF(Z891=0,0,AA891/Z891)</f>
        <v/>
      </c>
      <c r="AC891" s="6" t="n"/>
      <c r="AD891" s="2" t="inlineStr">
        <is>
          <t>Win</t>
        </is>
      </c>
      <c r="AE891" s="6">
        <f>IF((COUNTIF($AD$2:AD891,"Win")+COUNTIF($AD$2:AD891,"Loss"))=0,0,COUNTIF($AD$2:AD891,"Win")/(COUNTIF($AD$2:AD891,"Win")+COUNTIF($AD$2:AD891,"Loss")))</f>
        <v/>
      </c>
      <c r="AF891" s="6">
        <f>SUM($Y$2:Y891)/SUM($X$2:X891)</f>
        <v/>
      </c>
      <c r="AG891" s="5">
        <f>SUM($Y$2:Y891)</f>
        <v/>
      </c>
      <c r="AH891" s="7">
        <f>10000.0+SUM($AA$2:AA891)</f>
        <v/>
      </c>
      <c r="AI891" s="2" t="n">
        <v>2026</v>
      </c>
      <c r="AJ891" s="2" t="inlineStr">
        <is>
          <t>2026-05</t>
        </is>
      </c>
      <c r="AK891" s="2" t="inlineStr">
        <is>
          <t>-149 to -120</t>
        </is>
      </c>
      <c r="AL891" s="2" t="inlineStr">
        <is>
          <t>2026 Frozen Test</t>
        </is>
      </c>
      <c r="AM891" s="6" t="n">
        <v>0.1635339360222646</v>
      </c>
    </row>
    <row r="892">
      <c r="A892" s="2" t="inlineStr">
        <is>
          <t>KPROP-00891</t>
        </is>
      </c>
      <c r="B892" s="3" t="n">
        <v>46173.67405092593</v>
      </c>
      <c r="C892" s="3" t="n">
        <v>46173</v>
      </c>
      <c r="D892" s="2" t="inlineStr">
        <is>
          <t>Yoshinobu Yamamoto</t>
        </is>
      </c>
      <c r="E892" s="2" t="n">
        <v>119</v>
      </c>
      <c r="F892" s="2" t="n">
        <v>143</v>
      </c>
      <c r="G892" s="2" t="inlineStr">
        <is>
          <t>Home</t>
        </is>
      </c>
      <c r="H892" s="2" t="inlineStr">
        <is>
          <t>draftkings</t>
        </is>
      </c>
      <c r="I892" s="4" t="n"/>
      <c r="J892" s="4" t="n"/>
      <c r="K892" s="4" t="n">
        <v>-130</v>
      </c>
      <c r="L892" s="4" t="n">
        <v>-130</v>
      </c>
      <c r="M892" s="5" t="n">
        <v>6.5</v>
      </c>
      <c r="N892" s="5" t="n">
        <v>5.994432875990847</v>
      </c>
      <c r="O892" s="5" t="n">
        <v>6.5</v>
      </c>
      <c r="P892" s="5" t="n">
        <v>0.5055671240091533</v>
      </c>
      <c r="Q892" s="6" t="n">
        <v>0.07427159873146905</v>
      </c>
      <c r="R892" s="6" t="n">
        <v>0.6071969905873521</v>
      </c>
      <c r="S892" s="6" t="n">
        <v>0.5542635658914729</v>
      </c>
      <c r="T892" s="2" t="inlineStr">
        <is>
          <t>Under</t>
        </is>
      </c>
      <c r="U892" s="4" t="n">
        <v>-130</v>
      </c>
      <c r="V892" s="2" t="n">
        <v>1.769230769230769</v>
      </c>
      <c r="W892" s="4" t="n">
        <v>-130</v>
      </c>
      <c r="X892" s="2" t="n">
        <v>1</v>
      </c>
      <c r="Y892" s="5" t="n">
        <v>-1</v>
      </c>
      <c r="Z892" s="7" t="n">
        <v>100</v>
      </c>
      <c r="AA892" s="7">
        <f>Y892*Z892</f>
        <v/>
      </c>
      <c r="AB892" s="6">
        <f>IF(Z892=0,0,AA892/Z892)</f>
        <v/>
      </c>
      <c r="AC892" s="6" t="n"/>
      <c r="AD892" s="2" t="inlineStr">
        <is>
          <t>Loss</t>
        </is>
      </c>
      <c r="AE892" s="6">
        <f>IF((COUNTIF($AD$2:AD892,"Win")+COUNTIF($AD$2:AD892,"Loss"))=0,0,COUNTIF($AD$2:AD892,"Win")/(COUNTIF($AD$2:AD892,"Win")+COUNTIF($AD$2:AD892,"Loss")))</f>
        <v/>
      </c>
      <c r="AF892" s="6">
        <f>SUM($Y$2:Y892)/SUM($X$2:X892)</f>
        <v/>
      </c>
      <c r="AG892" s="5">
        <f>SUM($Y$2:Y892)</f>
        <v/>
      </c>
      <c r="AH892" s="7">
        <f>10000.0+SUM($AA$2:AA892)</f>
        <v/>
      </c>
      <c r="AI892" s="2" t="n">
        <v>2026</v>
      </c>
      <c r="AJ892" s="2" t="inlineStr">
        <is>
          <t>2026-05</t>
        </is>
      </c>
      <c r="AK892" s="2" t="inlineStr">
        <is>
          <t>-149 to -120</t>
        </is>
      </c>
      <c r="AL892" s="2" t="inlineStr">
        <is>
          <t>2026 Frozen Test</t>
        </is>
      </c>
      <c r="AM892" s="6" t="n">
        <v>0.09655307835090977</v>
      </c>
    </row>
    <row r="893">
      <c r="A893" s="2" t="inlineStr">
        <is>
          <t>KPROP-00892</t>
        </is>
      </c>
      <c r="B893" s="3" t="n">
        <v>46173.56638888889</v>
      </c>
      <c r="C893" s="3" t="n">
        <v>46173</v>
      </c>
      <c r="D893" s="2" t="inlineStr">
        <is>
          <t>Zack Littell</t>
        </is>
      </c>
      <c r="E893" s="2" t="n">
        <v>120</v>
      </c>
      <c r="F893" s="2" t="n">
        <v>135</v>
      </c>
      <c r="G893" s="2" t="inlineStr">
        <is>
          <t>Home</t>
        </is>
      </c>
      <c r="H893" s="2" t="inlineStr">
        <is>
          <t>fanduel</t>
        </is>
      </c>
      <c r="I893" s="4" t="n"/>
      <c r="J893" s="4" t="n"/>
      <c r="K893" s="4" t="n">
        <v>-130</v>
      </c>
      <c r="L893" s="4" t="n">
        <v>-130</v>
      </c>
      <c r="M893" s="5" t="n">
        <v>3.5</v>
      </c>
      <c r="N893" s="5" t="n">
        <v>3.152371724214342</v>
      </c>
      <c r="O893" s="5" t="n">
        <v>3.5</v>
      </c>
      <c r="P893" s="5" t="n">
        <v>0.3476282757856581</v>
      </c>
      <c r="Q893" s="6" t="n">
        <v>0.08478111299319513</v>
      </c>
      <c r="R893" s="6" t="n">
        <v>0.6131371508222407</v>
      </c>
      <c r="S893" s="6" t="n">
        <v>0.5485770363101079</v>
      </c>
      <c r="T893" s="2" t="inlineStr">
        <is>
          <t>Under</t>
        </is>
      </c>
      <c r="U893" s="4" t="n">
        <v>-130</v>
      </c>
      <c r="V893" s="2" t="n">
        <v>1.769230769230769</v>
      </c>
      <c r="W893" s="4" t="n">
        <v>-130</v>
      </c>
      <c r="X893" s="2" t="n">
        <v>1</v>
      </c>
      <c r="Y893" s="5" t="n">
        <v>-1</v>
      </c>
      <c r="Z893" s="7" t="n">
        <v>100</v>
      </c>
      <c r="AA893" s="7">
        <f>Y893*Z893</f>
        <v/>
      </c>
      <c r="AB893" s="6">
        <f>IF(Z893=0,0,AA893/Z893)</f>
        <v/>
      </c>
      <c r="AC893" s="6" t="n"/>
      <c r="AD893" s="2" t="inlineStr">
        <is>
          <t>Loss</t>
        </is>
      </c>
      <c r="AE893" s="6">
        <f>IF((COUNTIF($AD$2:AD893,"Win")+COUNTIF($AD$2:AD893,"Loss"))=0,0,COUNTIF($AD$2:AD893,"Win")/(COUNTIF($AD$2:AD893,"Win")+COUNTIF($AD$2:AD893,"Loss")))</f>
        <v/>
      </c>
      <c r="AF893" s="6">
        <f>SUM($Y$2:Y893)/SUM($X$2:X893)</f>
        <v/>
      </c>
      <c r="AG893" s="5">
        <f>SUM($Y$2:Y893)</f>
        <v/>
      </c>
      <c r="AH893" s="7">
        <f>10000.0+SUM($AA$2:AA893)</f>
        <v/>
      </c>
      <c r="AI893" s="2" t="n">
        <v>2026</v>
      </c>
      <c r="AJ893" s="2" t="inlineStr">
        <is>
          <t>2026-05</t>
        </is>
      </c>
      <c r="AK893" s="2" t="inlineStr">
        <is>
          <t>-149 to -120</t>
        </is>
      </c>
      <c r="AL893" s="2" t="inlineStr">
        <is>
          <t>2026 Frozen Test</t>
        </is>
      </c>
      <c r="AM893" s="6" t="n">
        <v>0.1102154468911537</v>
      </c>
    </row>
    <row r="894">
      <c r="A894" s="2" t="inlineStr">
        <is>
          <t>KPROP-00893</t>
        </is>
      </c>
      <c r="B894" s="3" t="n">
        <v>46174.77819444444</v>
      </c>
      <c r="C894" s="3" t="n">
        <v>46174</v>
      </c>
      <c r="D894" s="2" t="inlineStr">
        <is>
          <t>Griffin Jax</t>
        </is>
      </c>
      <c r="E894" s="2" t="n">
        <v>139</v>
      </c>
      <c r="F894" s="2" t="n">
        <v>116</v>
      </c>
      <c r="G894" s="2" t="inlineStr">
        <is>
          <t>Home</t>
        </is>
      </c>
      <c r="H894" s="2" t="inlineStr">
        <is>
          <t>draftkings</t>
        </is>
      </c>
      <c r="I894" s="4" t="n"/>
      <c r="J894" s="4" t="n"/>
      <c r="K894" s="4" t="n">
        <v>117</v>
      </c>
      <c r="L894" s="4" t="n">
        <v>117</v>
      </c>
      <c r="M894" s="5" t="n">
        <v>4.5</v>
      </c>
      <c r="N894" s="5" t="n">
        <v>4.14390217944092</v>
      </c>
      <c r="O894" s="5" t="n">
        <v>4.5</v>
      </c>
      <c r="P894" s="5" t="n">
        <v>0.3560978205590803</v>
      </c>
      <c r="Q894" s="6" t="n">
        <v>0.3036210697703262</v>
      </c>
      <c r="R894" s="6" t="n">
        <v>0.600747036760519</v>
      </c>
      <c r="S894" s="6" t="n">
        <v>0.4413387274733358</v>
      </c>
      <c r="T894" s="2" t="inlineStr">
        <is>
          <t>Under</t>
        </is>
      </c>
      <c r="U894" s="4" t="n">
        <v>117</v>
      </c>
      <c r="V894" s="2" t="n">
        <v>2.17</v>
      </c>
      <c r="W894" s="4" t="n">
        <v>117</v>
      </c>
      <c r="X894" s="2" t="n">
        <v>1</v>
      </c>
      <c r="Y894" s="5" t="n">
        <v>-1</v>
      </c>
      <c r="Z894" s="7" t="n">
        <v>100</v>
      </c>
      <c r="AA894" s="7">
        <f>Y894*Z894</f>
        <v/>
      </c>
      <c r="AB894" s="6">
        <f>IF(Z894=0,0,AA894/Z894)</f>
        <v/>
      </c>
      <c r="AC894" s="6" t="n"/>
      <c r="AD894" s="2" t="inlineStr">
        <is>
          <t>Loss</t>
        </is>
      </c>
      <c r="AE894" s="6">
        <f>IF((COUNTIF($AD$2:AD894,"Win")+COUNTIF($AD$2:AD894,"Loss"))=0,0,COUNTIF($AD$2:AD894,"Win")/(COUNTIF($AD$2:AD894,"Win")+COUNTIF($AD$2:AD894,"Loss")))</f>
        <v/>
      </c>
      <c r="AF894" s="6">
        <f>SUM($Y$2:Y894)/SUM($X$2:X894)</f>
        <v/>
      </c>
      <c r="AG894" s="5">
        <f>SUM($Y$2:Y894)</f>
        <v/>
      </c>
      <c r="AH894" s="7">
        <f>10000.0+SUM($AA$2:AA894)</f>
        <v/>
      </c>
      <c r="AI894" s="2" t="n">
        <v>2026</v>
      </c>
      <c r="AJ894" s="2" t="inlineStr">
        <is>
          <t>2026-06</t>
        </is>
      </c>
      <c r="AK894" s="2" t="inlineStr">
        <is>
          <t>+100 to +120</t>
        </is>
      </c>
      <c r="AL894" s="2" t="inlineStr">
        <is>
          <t>2026 Frozen Test</t>
        </is>
      </c>
      <c r="AM894" s="6" t="n">
        <v>0.2595051878378857</v>
      </c>
    </row>
    <row r="895">
      <c r="A895" s="2" t="inlineStr">
        <is>
          <t>KPROP-00894</t>
        </is>
      </c>
      <c r="B895" s="3" t="n">
        <v>46174.77819444444</v>
      </c>
      <c r="C895" s="3" t="n">
        <v>46174</v>
      </c>
      <c r="D895" s="2" t="inlineStr">
        <is>
          <t>Griffin Jax</t>
        </is>
      </c>
      <c r="E895" s="2" t="n">
        <v>139</v>
      </c>
      <c r="F895" s="2" t="n">
        <v>116</v>
      </c>
      <c r="G895" s="2" t="inlineStr">
        <is>
          <t>Home</t>
        </is>
      </c>
      <c r="H895" s="2" t="inlineStr">
        <is>
          <t>betrivers</t>
        </is>
      </c>
      <c r="I895" s="4" t="n"/>
      <c r="J895" s="4" t="n"/>
      <c r="K895" s="4" t="n">
        <v>-162</v>
      </c>
      <c r="L895" s="4" t="n">
        <v>-162</v>
      </c>
      <c r="M895" s="5" t="n">
        <v>5.5</v>
      </c>
      <c r="N895" s="5" t="n">
        <v>4.14390217944092</v>
      </c>
      <c r="O895" s="5" t="n">
        <v>5.5</v>
      </c>
      <c r="P895" s="5" t="n">
        <v>1.35609782055908</v>
      </c>
      <c r="Q895" s="6" t="n">
        <v>0.2327818384848962</v>
      </c>
      <c r="R895" s="6" t="n">
        <v>0.7622544192158518</v>
      </c>
      <c r="S895" s="6" t="n">
        <v>0.5763260025873221</v>
      </c>
      <c r="T895" s="2" t="inlineStr">
        <is>
          <t>Under</t>
        </is>
      </c>
      <c r="U895" s="4" t="n">
        <v>-162</v>
      </c>
      <c r="V895" s="2" t="n">
        <v>1.617283950617284</v>
      </c>
      <c r="W895" s="4" t="n">
        <v>-162</v>
      </c>
      <c r="X895" s="2" t="n">
        <v>1</v>
      </c>
      <c r="Y895" s="5" t="n">
        <v>0.617283950617284</v>
      </c>
      <c r="Z895" s="7" t="n">
        <v>100</v>
      </c>
      <c r="AA895" s="7">
        <f>Y895*Z895</f>
        <v/>
      </c>
      <c r="AB895" s="6">
        <f>IF(Z895=0,0,AA895/Z895)</f>
        <v/>
      </c>
      <c r="AC895" s="6" t="n"/>
      <c r="AD895" s="2" t="inlineStr">
        <is>
          <t>Win</t>
        </is>
      </c>
      <c r="AE895" s="6">
        <f>IF((COUNTIF($AD$2:AD895,"Win")+COUNTIF($AD$2:AD895,"Loss"))=0,0,COUNTIF($AD$2:AD895,"Win")/(COUNTIF($AD$2:AD895,"Win")+COUNTIF($AD$2:AD895,"Loss")))</f>
        <v/>
      </c>
      <c r="AF895" s="6">
        <f>SUM($Y$2:Y895)/SUM($X$2:X895)</f>
        <v/>
      </c>
      <c r="AG895" s="5">
        <f>SUM($Y$2:Y895)</f>
        <v/>
      </c>
      <c r="AH895" s="7">
        <f>10000.0+SUM($AA$2:AA895)</f>
        <v/>
      </c>
      <c r="AI895" s="2" t="n">
        <v>2026</v>
      </c>
      <c r="AJ895" s="2" t="inlineStr">
        <is>
          <t>2026-06</t>
        </is>
      </c>
      <c r="AK895" s="2" t="inlineStr">
        <is>
          <t>&lt;= -150</t>
        </is>
      </c>
      <c r="AL895" s="2" t="inlineStr">
        <is>
          <t>2026 Frozen Test</t>
        </is>
      </c>
      <c r="AM895" s="6" t="n">
        <v>0.3771065783455318</v>
      </c>
    </row>
    <row r="896">
      <c r="A896" s="2" t="inlineStr">
        <is>
          <t>KPROP-00895</t>
        </is>
      </c>
      <c r="B896" s="3" t="n">
        <v>46174.82333333333</v>
      </c>
      <c r="C896" s="3" t="n">
        <v>46174</v>
      </c>
      <c r="D896" s="2" t="inlineStr">
        <is>
          <t>Jacob deGrom</t>
        </is>
      </c>
      <c r="E896" s="2" t="n">
        <v>140</v>
      </c>
      <c r="F896" s="2" t="n">
        <v>138</v>
      </c>
      <c r="G896" s="2" t="inlineStr">
        <is>
          <t>Away</t>
        </is>
      </c>
      <c r="H896" s="2" t="inlineStr">
        <is>
          <t>fanduel</t>
        </is>
      </c>
      <c r="I896" s="4" t="n"/>
      <c r="J896" s="4" t="n"/>
      <c r="K896" s="4" t="n">
        <v>-140</v>
      </c>
      <c r="L896" s="4" t="n">
        <v>-140</v>
      </c>
      <c r="M896" s="5" t="n">
        <v>6.5</v>
      </c>
      <c r="N896" s="5" t="n">
        <v>5.458405533493997</v>
      </c>
      <c r="O896" s="5" t="n">
        <v>6.5</v>
      </c>
      <c r="P896" s="5" t="n">
        <v>1.041594466506003</v>
      </c>
      <c r="Q896" s="6" t="n">
        <v>0.187243101545061</v>
      </c>
      <c r="R896" s="6" t="n">
        <v>0.6925584759012855</v>
      </c>
      <c r="S896" s="6" t="n">
        <v>0.5631598107025846</v>
      </c>
      <c r="T896" s="2" t="inlineStr">
        <is>
          <t>Under</t>
        </is>
      </c>
      <c r="U896" s="4" t="n">
        <v>-140</v>
      </c>
      <c r="V896" s="2" t="n">
        <v>1.714285714285714</v>
      </c>
      <c r="W896" s="4" t="n">
        <v>-140</v>
      </c>
      <c r="X896" s="2" t="n">
        <v>1</v>
      </c>
      <c r="Y896" s="5" t="n">
        <v>-1</v>
      </c>
      <c r="Z896" s="7" t="n">
        <v>100</v>
      </c>
      <c r="AA896" s="7">
        <f>Y896*Z896</f>
        <v/>
      </c>
      <c r="AB896" s="6">
        <f>IF(Z896=0,0,AA896/Z896)</f>
        <v/>
      </c>
      <c r="AC896" s="6" t="n"/>
      <c r="AD896" s="2" t="inlineStr">
        <is>
          <t>Loss</t>
        </is>
      </c>
      <c r="AE896" s="6">
        <f>IF((COUNTIF($AD$2:AD896,"Win")+COUNTIF($AD$2:AD896,"Loss"))=0,0,COUNTIF($AD$2:AD896,"Win")/(COUNTIF($AD$2:AD896,"Win")+COUNTIF($AD$2:AD896,"Loss")))</f>
        <v/>
      </c>
      <c r="AF896" s="6">
        <f>SUM($Y$2:Y896)/SUM($X$2:X896)</f>
        <v/>
      </c>
      <c r="AG896" s="5">
        <f>SUM($Y$2:Y896)</f>
        <v/>
      </c>
      <c r="AH896" s="7">
        <f>10000.0+SUM($AA$2:AA896)</f>
        <v/>
      </c>
      <c r="AI896" s="2" t="n">
        <v>2026</v>
      </c>
      <c r="AJ896" s="2" t="inlineStr">
        <is>
          <t>2026-06</t>
        </is>
      </c>
      <c r="AK896" s="2" t="inlineStr">
        <is>
          <t>-149 to -120</t>
        </is>
      </c>
      <c r="AL896" s="2" t="inlineStr">
        <is>
          <t>2026 Frozen Test</t>
        </is>
      </c>
      <c r="AM896" s="6" t="n">
        <v>0.2621403421630853</v>
      </c>
    </row>
    <row r="897">
      <c r="A897" s="2" t="inlineStr">
        <is>
          <t>KPROP-00896</t>
        </is>
      </c>
      <c r="B897" s="3" t="n">
        <v>46174.81986111111</v>
      </c>
      <c r="C897" s="3" t="n">
        <v>46174</v>
      </c>
      <c r="D897" s="2" t="inlineStr">
        <is>
          <t>Joe Ryan</t>
        </is>
      </c>
      <c r="E897" s="2" t="n">
        <v>142</v>
      </c>
      <c r="F897" s="2" t="n">
        <v>145</v>
      </c>
      <c r="G897" s="2" t="inlineStr">
        <is>
          <t>Home</t>
        </is>
      </c>
      <c r="H897" s="2" t="inlineStr">
        <is>
          <t>betmgm</t>
        </is>
      </c>
      <c r="I897" s="4" t="n"/>
      <c r="J897" s="4" t="n"/>
      <c r="K897" s="4" t="n">
        <v>130</v>
      </c>
      <c r="L897" s="4" t="n">
        <v>130</v>
      </c>
      <c r="M897" s="5" t="n">
        <v>5.5</v>
      </c>
      <c r="N897" s="5" t="n">
        <v>4.758174840775406</v>
      </c>
      <c r="O897" s="5" t="n">
        <v>5.5</v>
      </c>
      <c r="P897" s="5" t="n">
        <v>0.7418251592245939</v>
      </c>
      <c r="Q897" s="6" t="n">
        <v>0.5141094538638145</v>
      </c>
      <c r="R897" s="6" t="n">
        <v>0.6583084582016585</v>
      </c>
      <c r="S897" s="6" t="n">
        <v>0.4151915030576119</v>
      </c>
      <c r="T897" s="2" t="inlineStr">
        <is>
          <t>Under</t>
        </is>
      </c>
      <c r="U897" s="4" t="n">
        <v>130</v>
      </c>
      <c r="V897" s="2" t="n">
        <v>2.3</v>
      </c>
      <c r="W897" s="4" t="n">
        <v>130</v>
      </c>
      <c r="X897" s="2" t="n">
        <v>1</v>
      </c>
      <c r="Y897" s="5" t="n">
        <v>-1</v>
      </c>
      <c r="Z897" s="7" t="n">
        <v>100</v>
      </c>
      <c r="AA897" s="7">
        <f>Y897*Z897</f>
        <v/>
      </c>
      <c r="AB897" s="6">
        <f>IF(Z897=0,0,AA897/Z897)</f>
        <v/>
      </c>
      <c r="AC897" s="6" t="n"/>
      <c r="AD897" s="2" t="inlineStr">
        <is>
          <t>Loss</t>
        </is>
      </c>
      <c r="AE897" s="6">
        <f>IF((COUNTIF($AD$2:AD897,"Win")+COUNTIF($AD$2:AD897,"Loss"))=0,0,COUNTIF($AD$2:AD897,"Win")/(COUNTIF($AD$2:AD897,"Win")+COUNTIF($AD$2:AD897,"Loss")))</f>
        <v/>
      </c>
      <c r="AF897" s="6">
        <f>SUM($Y$2:Y897)/SUM($X$2:X897)</f>
        <v/>
      </c>
      <c r="AG897" s="5">
        <f>SUM($Y$2:Y897)</f>
        <v/>
      </c>
      <c r="AH897" s="7">
        <f>10000.0+SUM($AA$2:AA897)</f>
        <v/>
      </c>
      <c r="AI897" s="2" t="n">
        <v>2026</v>
      </c>
      <c r="AJ897" s="2" t="inlineStr">
        <is>
          <t>2026-06</t>
        </is>
      </c>
      <c r="AK897" s="2" t="inlineStr">
        <is>
          <t>+121 to +150</t>
        </is>
      </c>
      <c r="AL897" s="2" t="inlineStr">
        <is>
          <t>2026 Frozen Test</t>
        </is>
      </c>
      <c r="AM897" s="6" t="n">
        <v>0.3954688106644727</v>
      </c>
    </row>
    <row r="898">
      <c r="A898" s="2" t="inlineStr">
        <is>
          <t>KPROP-00897</t>
        </is>
      </c>
      <c r="B898" s="3" t="n">
        <v>46174.81986111111</v>
      </c>
      <c r="C898" s="3" t="n">
        <v>46174</v>
      </c>
      <c r="D898" s="2" t="inlineStr">
        <is>
          <t>Joe Ryan</t>
        </is>
      </c>
      <c r="E898" s="2" t="n">
        <v>142</v>
      </c>
      <c r="F898" s="2" t="n">
        <v>145</v>
      </c>
      <c r="G898" s="2" t="inlineStr">
        <is>
          <t>Home</t>
        </is>
      </c>
      <c r="H898" s="2" t="inlineStr">
        <is>
          <t>fanatics</t>
        </is>
      </c>
      <c r="I898" s="4" t="n"/>
      <c r="J898" s="4" t="n"/>
      <c r="K898" s="4" t="n">
        <v>-150</v>
      </c>
      <c r="L898" s="4" t="n">
        <v>-150</v>
      </c>
      <c r="M898" s="5" t="n">
        <v>6.5</v>
      </c>
      <c r="N898" s="5" t="n">
        <v>4.758174840775406</v>
      </c>
      <c r="O898" s="5" t="n">
        <v>6.5</v>
      </c>
      <c r="P898" s="5" t="n">
        <v>1.741825159224594</v>
      </c>
      <c r="Q898" s="6" t="n">
        <v>0.3277012640824769</v>
      </c>
      <c r="R898" s="6" t="n">
        <v>0.7966207584494862</v>
      </c>
      <c r="S898" s="6" t="n">
        <v>0.5633187772925764</v>
      </c>
      <c r="T898" s="2" t="inlineStr">
        <is>
          <t>Under</t>
        </is>
      </c>
      <c r="U898" s="4" t="n">
        <v>-150</v>
      </c>
      <c r="V898" s="2" t="n">
        <v>1.666666666666667</v>
      </c>
      <c r="W898" s="4" t="n">
        <v>-150</v>
      </c>
      <c r="X898" s="2" t="n">
        <v>1</v>
      </c>
      <c r="Y898" s="5" t="n">
        <v>-1</v>
      </c>
      <c r="Z898" s="7" t="n">
        <v>100</v>
      </c>
      <c r="AA898" s="7">
        <f>Y898*Z898</f>
        <v/>
      </c>
      <c r="AB898" s="6">
        <f>IF(Z898=0,0,AA898/Z898)</f>
        <v/>
      </c>
      <c r="AC898" s="6" t="n"/>
      <c r="AD898" s="2" t="inlineStr">
        <is>
          <t>Loss</t>
        </is>
      </c>
      <c r="AE898" s="6">
        <f>IF((COUNTIF($AD$2:AD898,"Win")+COUNTIF($AD$2:AD898,"Loss"))=0,0,COUNTIF($AD$2:AD898,"Win")/(COUNTIF($AD$2:AD898,"Win")+COUNTIF($AD$2:AD898,"Loss")))</f>
        <v/>
      </c>
      <c r="AF898" s="6">
        <f>SUM($Y$2:Y898)/SUM($X$2:X898)</f>
        <v/>
      </c>
      <c r="AG898" s="5">
        <f>SUM($Y$2:Y898)</f>
        <v/>
      </c>
      <c r="AH898" s="7">
        <f>10000.0+SUM($AA$2:AA898)</f>
        <v/>
      </c>
      <c r="AI898" s="2" t="n">
        <v>2026</v>
      </c>
      <c r="AJ898" s="2" t="inlineStr">
        <is>
          <t>2026-06</t>
        </is>
      </c>
      <c r="AK898" s="2" t="inlineStr">
        <is>
          <t>&lt;= -150</t>
        </is>
      </c>
      <c r="AL898" s="2" t="inlineStr">
        <is>
          <t>2026 Frozen Test</t>
        </is>
      </c>
      <c r="AM898" s="6" t="n">
        <v>0.4915518961237155</v>
      </c>
    </row>
    <row r="899">
      <c r="A899" s="2" t="inlineStr">
        <is>
          <t>KPROP-00898</t>
        </is>
      </c>
      <c r="B899" s="3" t="n">
        <v>46174.81986111111</v>
      </c>
      <c r="C899" s="3" t="n">
        <v>46174</v>
      </c>
      <c r="D899" s="2" t="inlineStr">
        <is>
          <t>Landen Roupp</t>
        </is>
      </c>
      <c r="E899" s="2" t="n">
        <v>137</v>
      </c>
      <c r="F899" s="2" t="n">
        <v>158</v>
      </c>
      <c r="G899" s="2" t="inlineStr">
        <is>
          <t>Away</t>
        </is>
      </c>
      <c r="H899" s="2" t="inlineStr">
        <is>
          <t>fanatics</t>
        </is>
      </c>
      <c r="I899" s="4" t="n"/>
      <c r="J899" s="4" t="n"/>
      <c r="K899" s="4" t="n">
        <v>100</v>
      </c>
      <c r="L899" s="4" t="n">
        <v>100</v>
      </c>
      <c r="M899" s="5" t="n">
        <v>5.5</v>
      </c>
      <c r="N899" s="5" t="n">
        <v>4.891956855104903</v>
      </c>
      <c r="O899" s="5" t="n">
        <v>5.5</v>
      </c>
      <c r="P899" s="5" t="n">
        <v>0.6080431448950971</v>
      </c>
      <c r="Q899" s="6" t="n">
        <v>0.2698224928136455</v>
      </c>
      <c r="R899" s="6" t="n">
        <v>0.6349112464068227</v>
      </c>
      <c r="S899" s="6" t="n">
        <v>0.4831460674157303</v>
      </c>
      <c r="T899" s="2" t="inlineStr">
        <is>
          <t>Under</t>
        </is>
      </c>
      <c r="U899" s="4" t="n">
        <v>100</v>
      </c>
      <c r="V899" s="2" t="n">
        <v>2</v>
      </c>
      <c r="W899" s="4" t="n">
        <v>100</v>
      </c>
      <c r="X899" s="2" t="n">
        <v>1</v>
      </c>
      <c r="Y899" s="5" t="n">
        <v>1</v>
      </c>
      <c r="Z899" s="7" t="n">
        <v>100</v>
      </c>
      <c r="AA899" s="7">
        <f>Y899*Z899</f>
        <v/>
      </c>
      <c r="AB899" s="6">
        <f>IF(Z899=0,0,AA899/Z899)</f>
        <v/>
      </c>
      <c r="AC899" s="6" t="n"/>
      <c r="AD899" s="2" t="inlineStr">
        <is>
          <t>Win</t>
        </is>
      </c>
      <c r="AE899" s="6">
        <f>IF((COUNTIF($AD$2:AD899,"Win")+COUNTIF($AD$2:AD899,"Loss"))=0,0,COUNTIF($AD$2:AD899,"Win")/(COUNTIF($AD$2:AD899,"Win")+COUNTIF($AD$2:AD899,"Loss")))</f>
        <v/>
      </c>
      <c r="AF899" s="6">
        <f>SUM($Y$2:Y899)/SUM($X$2:X899)</f>
        <v/>
      </c>
      <c r="AG899" s="5">
        <f>SUM($Y$2:Y899)</f>
        <v/>
      </c>
      <c r="AH899" s="7">
        <f>10000.0+SUM($AA$2:AA899)</f>
        <v/>
      </c>
      <c r="AI899" s="2" t="n">
        <v>2026</v>
      </c>
      <c r="AJ899" s="2" t="inlineStr">
        <is>
          <t>2026-06</t>
        </is>
      </c>
      <c r="AK899" s="2" t="inlineStr">
        <is>
          <t>+100 to +120</t>
        </is>
      </c>
      <c r="AL899" s="2" t="inlineStr">
        <is>
          <t>2026 Frozen Test</t>
        </is>
      </c>
      <c r="AM899" s="6" t="n">
        <v>0.2698224928136455</v>
      </c>
    </row>
    <row r="900">
      <c r="A900" s="2" t="inlineStr">
        <is>
          <t>KPROP-00899</t>
        </is>
      </c>
      <c r="B900" s="3" t="n">
        <v>46175.77472222222</v>
      </c>
      <c r="C900" s="3" t="n">
        <v>46175</v>
      </c>
      <c r="D900" s="2" t="inlineStr">
        <is>
          <t>Aaron Nola</t>
        </is>
      </c>
      <c r="E900" s="2" t="n">
        <v>143</v>
      </c>
      <c r="F900" s="2" t="n">
        <v>135</v>
      </c>
      <c r="G900" s="2" t="inlineStr">
        <is>
          <t>Home</t>
        </is>
      </c>
      <c r="H900" s="2" t="inlineStr">
        <is>
          <t>draftkings</t>
        </is>
      </c>
      <c r="I900" s="4" t="n"/>
      <c r="J900" s="4" t="n"/>
      <c r="K900" s="4" t="n">
        <v>-144</v>
      </c>
      <c r="L900" s="4" t="n">
        <v>-144</v>
      </c>
      <c r="M900" s="5" t="n">
        <v>5.5</v>
      </c>
      <c r="N900" s="5" t="n">
        <v>4.445355385866636</v>
      </c>
      <c r="O900" s="5" t="n">
        <v>5.5</v>
      </c>
      <c r="P900" s="5" t="n">
        <v>1.054644614133364</v>
      </c>
      <c r="Q900" s="6" t="n">
        <v>0.2068439479755681</v>
      </c>
      <c r="R900" s="6" t="n">
        <v>0.7122357725757451</v>
      </c>
      <c r="S900" s="6" t="n">
        <v>0.5671302866874822</v>
      </c>
      <c r="T900" s="2" t="inlineStr">
        <is>
          <t>Under</t>
        </is>
      </c>
      <c r="U900" s="4" t="n">
        <v>-144</v>
      </c>
      <c r="V900" s="2" t="n">
        <v>1.694444444444444</v>
      </c>
      <c r="W900" s="4" t="n">
        <v>-144</v>
      </c>
      <c r="X900" s="2" t="n">
        <v>1</v>
      </c>
      <c r="Y900" s="5" t="n">
        <v>-1</v>
      </c>
      <c r="Z900" s="7" t="n">
        <v>100</v>
      </c>
      <c r="AA900" s="7">
        <f>Y900*Z900</f>
        <v/>
      </c>
      <c r="AB900" s="6">
        <f>IF(Z900=0,0,AA900/Z900)</f>
        <v/>
      </c>
      <c r="AC900" s="6" t="n"/>
      <c r="AD900" s="2" t="inlineStr">
        <is>
          <t>Loss</t>
        </is>
      </c>
      <c r="AE900" s="6">
        <f>IF((COUNTIF($AD$2:AD900,"Win")+COUNTIF($AD$2:AD900,"Loss"))=0,0,COUNTIF($AD$2:AD900,"Win")/(COUNTIF($AD$2:AD900,"Win")+COUNTIF($AD$2:AD900,"Loss")))</f>
        <v/>
      </c>
      <c r="AF900" s="6">
        <f>SUM($Y$2:Y900)/SUM($X$2:X900)</f>
        <v/>
      </c>
      <c r="AG900" s="5">
        <f>SUM($Y$2:Y900)</f>
        <v/>
      </c>
      <c r="AH900" s="7">
        <f>10000.0+SUM($AA$2:AA900)</f>
        <v/>
      </c>
      <c r="AI900" s="2" t="n">
        <v>2026</v>
      </c>
      <c r="AJ900" s="2" t="inlineStr">
        <is>
          <t>2026-06</t>
        </is>
      </c>
      <c r="AK900" s="2" t="inlineStr">
        <is>
          <t>-149 to -120</t>
        </is>
      </c>
      <c r="AL900" s="2" t="inlineStr">
        <is>
          <t>2026 Frozen Test</t>
        </is>
      </c>
      <c r="AM900" s="6" t="n">
        <v>0.2978552850848181</v>
      </c>
    </row>
    <row r="901">
      <c r="A901" s="2" t="inlineStr">
        <is>
          <t>KPROP-00900</t>
        </is>
      </c>
      <c r="B901" s="3" t="n">
        <v>46175.79208333333</v>
      </c>
      <c r="C901" s="3" t="n">
        <v>46175</v>
      </c>
      <c r="D901" s="2" t="inlineStr">
        <is>
          <t>Cam Schlittler</t>
        </is>
      </c>
      <c r="E901" s="2" t="n">
        <v>147</v>
      </c>
      <c r="F901" s="2" t="n">
        <v>114</v>
      </c>
      <c r="G901" s="2" t="inlineStr">
        <is>
          <t>Home</t>
        </is>
      </c>
      <c r="H901" s="2" t="inlineStr">
        <is>
          <t>draftkings</t>
        </is>
      </c>
      <c r="I901" s="4" t="n"/>
      <c r="J901" s="4" t="n"/>
      <c r="K901" s="4" t="n">
        <v>-114</v>
      </c>
      <c r="L901" s="4" t="n">
        <v>-114</v>
      </c>
      <c r="M901" s="5" t="n">
        <v>6.5</v>
      </c>
      <c r="N901" s="5" t="n">
        <v>5.188362929403635</v>
      </c>
      <c r="O901" s="5" t="n">
        <v>6.5</v>
      </c>
      <c r="P901" s="5" t="n">
        <v>1.311637070596365</v>
      </c>
      <c r="Q901" s="6" t="n">
        <v>0.3781497541678855</v>
      </c>
      <c r="R901" s="6" t="n">
        <v>0.7341545419399016</v>
      </c>
      <c r="S901" s="6" t="n">
        <v>0.5158371040723981</v>
      </c>
      <c r="T901" s="2" t="inlineStr">
        <is>
          <t>Under</t>
        </is>
      </c>
      <c r="U901" s="4" t="n">
        <v>-114</v>
      </c>
      <c r="V901" s="2" t="n">
        <v>1.87719298245614</v>
      </c>
      <c r="W901" s="4" t="n">
        <v>-114</v>
      </c>
      <c r="X901" s="2" t="n">
        <v>1</v>
      </c>
      <c r="Y901" s="5" t="n">
        <v>0.8771929824561404</v>
      </c>
      <c r="Z901" s="7" t="n">
        <v>100</v>
      </c>
      <c r="AA901" s="7">
        <f>Y901*Z901</f>
        <v/>
      </c>
      <c r="AB901" s="6">
        <f>IF(Z901=0,0,AA901/Z901)</f>
        <v/>
      </c>
      <c r="AC901" s="6" t="n"/>
      <c r="AD901" s="2" t="inlineStr">
        <is>
          <t>Win</t>
        </is>
      </c>
      <c r="AE901" s="6">
        <f>IF((COUNTIF($AD$2:AD901,"Win")+COUNTIF($AD$2:AD901,"Loss"))=0,0,COUNTIF($AD$2:AD901,"Win")/(COUNTIF($AD$2:AD901,"Win")+COUNTIF($AD$2:AD901,"Loss")))</f>
        <v/>
      </c>
      <c r="AF901" s="6">
        <f>SUM($Y$2:Y901)/SUM($X$2:X901)</f>
        <v/>
      </c>
      <c r="AG901" s="5">
        <f>SUM($Y$2:Y901)</f>
        <v/>
      </c>
      <c r="AH901" s="7">
        <f>10000.0+SUM($AA$2:AA901)</f>
        <v/>
      </c>
      <c r="AI901" s="2" t="n">
        <v>2026</v>
      </c>
      <c r="AJ901" s="2" t="inlineStr">
        <is>
          <t>2026-06</t>
        </is>
      </c>
      <c r="AK901" s="2" t="inlineStr">
        <is>
          <t>-119 to -101</t>
        </is>
      </c>
      <c r="AL901" s="2" t="inlineStr">
        <is>
          <t>2026 Frozen Test</t>
        </is>
      </c>
      <c r="AM901" s="6" t="n">
        <v>0.4310907197513895</v>
      </c>
    </row>
    <row r="902">
      <c r="A902" s="2" t="inlineStr">
        <is>
          <t>KPROP-00901</t>
        </is>
      </c>
      <c r="B902" s="3" t="n">
        <v>46175.81638888889</v>
      </c>
      <c r="C902" s="3" t="n">
        <v>46175</v>
      </c>
      <c r="D902" s="2" t="inlineStr">
        <is>
          <t>Connor Prielipp</t>
        </is>
      </c>
      <c r="E902" s="2" t="n">
        <v>142</v>
      </c>
      <c r="F902" s="2" t="n">
        <v>145</v>
      </c>
      <c r="G902" s="2" t="inlineStr">
        <is>
          <t>Home</t>
        </is>
      </c>
      <c r="H902" s="2" t="inlineStr">
        <is>
          <t>fanduel</t>
        </is>
      </c>
      <c r="I902" s="4" t="n"/>
      <c r="J902" s="4" t="n"/>
      <c r="K902" s="4" t="n">
        <v>114</v>
      </c>
      <c r="L902" s="4" t="n">
        <v>114</v>
      </c>
      <c r="M902" s="5" t="n">
        <v>4.5</v>
      </c>
      <c r="N902" s="5" t="n">
        <v>4.663929371356623</v>
      </c>
      <c r="O902" s="5" t="n">
        <v>4.5</v>
      </c>
      <c r="P902" s="5" t="n">
        <v>-0.1639293713566232</v>
      </c>
      <c r="Q902" s="6" t="n">
        <v>0.07277523808038167</v>
      </c>
      <c r="R902" s="6" t="n">
        <v>0.5012968402244775</v>
      </c>
      <c r="S902" s="6" t="n">
        <v>0.4447739065974796</v>
      </c>
      <c r="T902" s="2" t="inlineStr">
        <is>
          <t>Under</t>
        </is>
      </c>
      <c r="U902" s="4" t="n">
        <v>114</v>
      </c>
      <c r="V902" s="2" t="n">
        <v>2.14</v>
      </c>
      <c r="W902" s="4" t="n">
        <v>114</v>
      </c>
      <c r="X902" s="2" t="n">
        <v>1</v>
      </c>
      <c r="Y902" s="5" t="n">
        <v>-1</v>
      </c>
      <c r="Z902" s="7" t="n">
        <v>100</v>
      </c>
      <c r="AA902" s="7">
        <f>Y902*Z902</f>
        <v/>
      </c>
      <c r="AB902" s="6">
        <f>IF(Z902=0,0,AA902/Z902)</f>
        <v/>
      </c>
      <c r="AC902" s="6" t="n"/>
      <c r="AD902" s="2" t="inlineStr">
        <is>
          <t>Loss</t>
        </is>
      </c>
      <c r="AE902" s="6">
        <f>IF((COUNTIF($AD$2:AD902,"Win")+COUNTIF($AD$2:AD902,"Loss"))=0,0,COUNTIF($AD$2:AD902,"Win")/(COUNTIF($AD$2:AD902,"Win")+COUNTIF($AD$2:AD902,"Loss")))</f>
        <v/>
      </c>
      <c r="AF902" s="6">
        <f>SUM($Y$2:Y902)/SUM($X$2:X902)</f>
        <v/>
      </c>
      <c r="AG902" s="5">
        <f>SUM($Y$2:Y902)</f>
        <v/>
      </c>
      <c r="AH902" s="7">
        <f>10000.0+SUM($AA$2:AA902)</f>
        <v/>
      </c>
      <c r="AI902" s="2" t="n">
        <v>2026</v>
      </c>
      <c r="AJ902" s="2" t="inlineStr">
        <is>
          <t>2026-06</t>
        </is>
      </c>
      <c r="AK902" s="2" t="inlineStr">
        <is>
          <t>+100 to +120</t>
        </is>
      </c>
      <c r="AL902" s="2" t="inlineStr">
        <is>
          <t>2026 Frozen Test</t>
        </is>
      </c>
      <c r="AM902" s="6" t="n">
        <v>0.06383792814068569</v>
      </c>
    </row>
    <row r="903">
      <c r="A903" s="2" t="inlineStr">
        <is>
          <t>KPROP-00902</t>
        </is>
      </c>
      <c r="B903" s="3" t="n">
        <v>46175.77472222222</v>
      </c>
      <c r="C903" s="3" t="n">
        <v>46175</v>
      </c>
      <c r="D903" s="2" t="inlineStr">
        <is>
          <t>Jack Flaherty</t>
        </is>
      </c>
      <c r="E903" s="2" t="n">
        <v>116</v>
      </c>
      <c r="F903" s="2" t="n">
        <v>139</v>
      </c>
      <c r="G903" s="2" t="inlineStr">
        <is>
          <t>Away</t>
        </is>
      </c>
      <c r="H903" s="2" t="inlineStr">
        <is>
          <t>bovada</t>
        </is>
      </c>
      <c r="I903" s="4" t="n"/>
      <c r="J903" s="4" t="n"/>
      <c r="K903" s="4" t="n">
        <v>130</v>
      </c>
      <c r="L903" s="4" t="n">
        <v>130</v>
      </c>
      <c r="M903" s="5" t="n">
        <v>4.5</v>
      </c>
      <c r="N903" s="5" t="n">
        <v>4.554185068864427</v>
      </c>
      <c r="O903" s="5" t="n">
        <v>4.5</v>
      </c>
      <c r="P903" s="5" t="n">
        <v>-0.05418506886442742</v>
      </c>
      <c r="Q903" s="6" t="n">
        <v>0.2002566535714065</v>
      </c>
      <c r="R903" s="6" t="n">
        <v>0.5218507189440899</v>
      </c>
      <c r="S903" s="6" t="n">
        <v>0.4145990075236113</v>
      </c>
      <c r="T903" s="2" t="inlineStr">
        <is>
          <t>Under</t>
        </is>
      </c>
      <c r="U903" s="4" t="n">
        <v>130</v>
      </c>
      <c r="V903" s="2" t="n">
        <v>2.3</v>
      </c>
      <c r="W903" s="4" t="n">
        <v>130</v>
      </c>
      <c r="X903" s="2" t="n">
        <v>1</v>
      </c>
      <c r="Y903" s="5" t="n">
        <v>-1</v>
      </c>
      <c r="Z903" s="7" t="n">
        <v>100</v>
      </c>
      <c r="AA903" s="7">
        <f>Y903*Z903</f>
        <v/>
      </c>
      <c r="AB903" s="6">
        <f>IF(Z903=0,0,AA903/Z903)</f>
        <v/>
      </c>
      <c r="AC903" s="6" t="n"/>
      <c r="AD903" s="2" t="inlineStr">
        <is>
          <t>Loss</t>
        </is>
      </c>
      <c r="AE903" s="6">
        <f>IF((COUNTIF($AD$2:AD903,"Win")+COUNTIF($AD$2:AD903,"Loss"))=0,0,COUNTIF($AD$2:AD903,"Win")/(COUNTIF($AD$2:AD903,"Win")+COUNTIF($AD$2:AD903,"Loss")))</f>
        <v/>
      </c>
      <c r="AF903" s="6">
        <f>SUM($Y$2:Y903)/SUM($X$2:X903)</f>
        <v/>
      </c>
      <c r="AG903" s="5">
        <f>SUM($Y$2:Y903)</f>
        <v/>
      </c>
      <c r="AH903" s="7">
        <f>10000.0+SUM($AA$2:AA903)</f>
        <v/>
      </c>
      <c r="AI903" s="2" t="n">
        <v>2026</v>
      </c>
      <c r="AJ903" s="2" t="inlineStr">
        <is>
          <t>2026-06</t>
        </is>
      </c>
      <c r="AK903" s="2" t="inlineStr">
        <is>
          <t>+121 to +150</t>
        </is>
      </c>
      <c r="AL903" s="2" t="inlineStr">
        <is>
          <t>2026 Frozen Test</t>
        </is>
      </c>
      <c r="AM903" s="6" t="n">
        <v>0.1540435796703127</v>
      </c>
    </row>
    <row r="904">
      <c r="A904" s="2" t="inlineStr">
        <is>
          <t>KPROP-00903</t>
        </is>
      </c>
      <c r="B904" s="3" t="n">
        <v>46175.81638888889</v>
      </c>
      <c r="C904" s="3" t="n">
        <v>46175</v>
      </c>
      <c r="D904" s="2" t="inlineStr">
        <is>
          <t>Kyle Harrison</t>
        </is>
      </c>
      <c r="E904" s="2" t="n">
        <v>158</v>
      </c>
      <c r="F904" s="2" t="n">
        <v>137</v>
      </c>
      <c r="G904" s="2" t="inlineStr">
        <is>
          <t>Home</t>
        </is>
      </c>
      <c r="H904" s="2" t="inlineStr">
        <is>
          <t>draftkings</t>
        </is>
      </c>
      <c r="I904" s="4" t="n"/>
      <c r="J904" s="4" t="n"/>
      <c r="K904" s="4" t="n">
        <v>-105</v>
      </c>
      <c r="L904" s="4" t="n">
        <v>-105</v>
      </c>
      <c r="M904" s="5" t="n">
        <v>6.5</v>
      </c>
      <c r="N904" s="5" t="n">
        <v>5.860164159748264</v>
      </c>
      <c r="O904" s="5" t="n">
        <v>6.5</v>
      </c>
      <c r="P904" s="5" t="n">
        <v>0.6398358402517363</v>
      </c>
      <c r="Q904" s="6" t="n">
        <v>0.2275620935379326</v>
      </c>
      <c r="R904" s="6" t="n">
        <v>0.6287513162023557</v>
      </c>
      <c r="S904" s="6" t="n">
        <v>0.4965893587994543</v>
      </c>
      <c r="T904" s="2" t="inlineStr">
        <is>
          <t>Under</t>
        </is>
      </c>
      <c r="U904" s="4" t="n">
        <v>-105</v>
      </c>
      <c r="V904" s="2" t="n">
        <v>1.952380952380952</v>
      </c>
      <c r="W904" s="4" t="n">
        <v>-105</v>
      </c>
      <c r="X904" s="2" t="n">
        <v>1</v>
      </c>
      <c r="Y904" s="5" t="n">
        <v>-1</v>
      </c>
      <c r="Z904" s="7" t="n">
        <v>100</v>
      </c>
      <c r="AA904" s="7">
        <f>Y904*Z904</f>
        <v/>
      </c>
      <c r="AB904" s="6">
        <f>IF(Z904=0,0,AA904/Z904)</f>
        <v/>
      </c>
      <c r="AC904" s="6" t="n"/>
      <c r="AD904" s="2" t="inlineStr">
        <is>
          <t>Loss</t>
        </is>
      </c>
      <c r="AE904" s="6">
        <f>IF((COUNTIF($AD$2:AD904,"Win")+COUNTIF($AD$2:AD904,"Loss"))=0,0,COUNTIF($AD$2:AD904,"Win")/(COUNTIF($AD$2:AD904,"Win")+COUNTIF($AD$2:AD904,"Loss")))</f>
        <v/>
      </c>
      <c r="AF904" s="6">
        <f>SUM($Y$2:Y904)/SUM($X$2:X904)</f>
        <v/>
      </c>
      <c r="AG904" s="5">
        <f>SUM($Y$2:Y904)</f>
        <v/>
      </c>
      <c r="AH904" s="7">
        <f>10000.0+SUM($AA$2:AA904)</f>
        <v/>
      </c>
      <c r="AI904" s="2" t="n">
        <v>2026</v>
      </c>
      <c r="AJ904" s="2" t="inlineStr">
        <is>
          <t>2026-06</t>
        </is>
      </c>
      <c r="AK904" s="2" t="inlineStr">
        <is>
          <t>-119 to -101</t>
        </is>
      </c>
      <c r="AL904" s="2" t="inlineStr">
        <is>
          <t>2026 Frozen Test</t>
        </is>
      </c>
      <c r="AM904" s="6" t="n">
        <v>0.2389401982148292</v>
      </c>
    </row>
    <row r="905">
      <c r="A905" s="2" t="inlineStr">
        <is>
          <t>KPROP-00904</t>
        </is>
      </c>
      <c r="B905" s="3" t="n">
        <v>46175.81987268518</v>
      </c>
      <c r="C905" s="3" t="n">
        <v>46175</v>
      </c>
      <c r="D905" s="2" t="inlineStr">
        <is>
          <t>Nathan Eovaldi</t>
        </is>
      </c>
      <c r="E905" s="2" t="n">
        <v>140</v>
      </c>
      <c r="F905" s="2" t="n">
        <v>138</v>
      </c>
      <c r="G905" s="2" t="inlineStr">
        <is>
          <t>Away</t>
        </is>
      </c>
      <c r="H905" s="2" t="inlineStr">
        <is>
          <t>bovada</t>
        </is>
      </c>
      <c r="I905" s="4" t="n"/>
      <c r="J905" s="4" t="n"/>
      <c r="K905" s="4" t="n">
        <v>105</v>
      </c>
      <c r="L905" s="4" t="n">
        <v>105</v>
      </c>
      <c r="M905" s="5" t="n">
        <v>5.5</v>
      </c>
      <c r="N905" s="5" t="n">
        <v>5.452515521943168</v>
      </c>
      <c r="O905" s="5" t="n">
        <v>5.5</v>
      </c>
      <c r="P905" s="5" t="n">
        <v>0.0474844780568322</v>
      </c>
      <c r="Q905" s="6" t="n">
        <v>0.1010030147002682</v>
      </c>
      <c r="R905" s="6" t="n">
        <v>0.5370746413172041</v>
      </c>
      <c r="S905" s="6" t="n">
        <v>0.4649265905383361</v>
      </c>
      <c r="T905" s="2" t="inlineStr">
        <is>
          <t>Under</t>
        </is>
      </c>
      <c r="U905" s="4" t="n">
        <v>105</v>
      </c>
      <c r="V905" s="2" t="n">
        <v>2.05</v>
      </c>
      <c r="W905" s="4" t="n">
        <v>105</v>
      </c>
      <c r="X905" s="2" t="n">
        <v>1</v>
      </c>
      <c r="Y905" s="5" t="n">
        <v>-1</v>
      </c>
      <c r="Z905" s="7" t="n">
        <v>100</v>
      </c>
      <c r="AA905" s="7">
        <f>Y905*Z905</f>
        <v/>
      </c>
      <c r="AB905" s="6">
        <f>IF(Z905=0,0,AA905/Z905)</f>
        <v/>
      </c>
      <c r="AC905" s="6" t="n"/>
      <c r="AD905" s="2" t="inlineStr">
        <is>
          <t>Loss</t>
        </is>
      </c>
      <c r="AE905" s="6">
        <f>IF((COUNTIF($AD$2:AD905,"Win")+COUNTIF($AD$2:AD905,"Loss"))=0,0,COUNTIF($AD$2:AD905,"Win")/(COUNTIF($AD$2:AD905,"Win")+COUNTIF($AD$2:AD905,"Loss")))</f>
        <v/>
      </c>
      <c r="AF905" s="6">
        <f>SUM($Y$2:Y905)/SUM($X$2:X905)</f>
        <v/>
      </c>
      <c r="AG905" s="5">
        <f>SUM($Y$2:Y905)</f>
        <v/>
      </c>
      <c r="AH905" s="7">
        <f>10000.0+SUM($AA$2:AA905)</f>
        <v/>
      </c>
      <c r="AI905" s="2" t="n">
        <v>2026</v>
      </c>
      <c r="AJ905" s="2" t="inlineStr">
        <is>
          <t>2026-06</t>
        </is>
      </c>
      <c r="AK905" s="2" t="inlineStr">
        <is>
          <t>+100 to +120</t>
        </is>
      </c>
      <c r="AL905" s="2" t="inlineStr">
        <is>
          <t>2026 Frozen Test</t>
        </is>
      </c>
      <c r="AM905" s="6" t="n">
        <v>0.09619334733358875</v>
      </c>
    </row>
    <row r="906">
      <c r="A906" s="2" t="inlineStr">
        <is>
          <t>KPROP-00905</t>
        </is>
      </c>
      <c r="B906" s="3" t="n">
        <v>46176.79555555555</v>
      </c>
      <c r="C906" s="3" t="n">
        <v>46176</v>
      </c>
      <c r="D906" s="2" t="inlineStr">
        <is>
          <t>Chase Burns</t>
        </is>
      </c>
      <c r="E906" s="2" t="n">
        <v>113</v>
      </c>
      <c r="F906" s="2" t="n">
        <v>118</v>
      </c>
      <c r="G906" s="2" t="inlineStr">
        <is>
          <t>Home</t>
        </is>
      </c>
      <c r="H906" s="2" t="inlineStr">
        <is>
          <t>betmgm</t>
        </is>
      </c>
      <c r="I906" s="4" t="n"/>
      <c r="J906" s="4" t="n"/>
      <c r="K906" s="4" t="n">
        <v>105</v>
      </c>
      <c r="L906" s="4" t="n">
        <v>105</v>
      </c>
      <c r="M906" s="5" t="n">
        <v>6.5</v>
      </c>
      <c r="N906" s="5" t="n">
        <v>5.418867501503399</v>
      </c>
      <c r="O906" s="5" t="n">
        <v>6.5</v>
      </c>
      <c r="P906" s="5" t="n">
        <v>1.081132498496601</v>
      </c>
      <c r="Q906" s="6" t="n">
        <v>0.4324039325624366</v>
      </c>
      <c r="R906" s="6" t="n">
        <v>0.698733625640213</v>
      </c>
      <c r="S906" s="6" t="n">
        <v>0.4649265905383361</v>
      </c>
      <c r="T906" s="2" t="inlineStr">
        <is>
          <t>Under</t>
        </is>
      </c>
      <c r="U906" s="4" t="n">
        <v>105</v>
      </c>
      <c r="V906" s="2" t="n">
        <v>2.05</v>
      </c>
      <c r="W906" s="4" t="n">
        <v>105</v>
      </c>
      <c r="X906" s="2" t="n">
        <v>1</v>
      </c>
      <c r="Y906" s="5" t="n">
        <v>-1</v>
      </c>
      <c r="Z906" s="7" t="n">
        <v>100</v>
      </c>
      <c r="AA906" s="7">
        <f>Y906*Z906</f>
        <v/>
      </c>
      <c r="AB906" s="6">
        <f>IF(Z906=0,0,AA906/Z906)</f>
        <v/>
      </c>
      <c r="AC906" s="6" t="n"/>
      <c r="AD906" s="2" t="inlineStr">
        <is>
          <t>Loss</t>
        </is>
      </c>
      <c r="AE906" s="6">
        <f>IF((COUNTIF($AD$2:AD906,"Win")+COUNTIF($AD$2:AD906,"Loss"))=0,0,COUNTIF($AD$2:AD906,"Win")/(COUNTIF($AD$2:AD906,"Win")+COUNTIF($AD$2:AD906,"Loss")))</f>
        <v/>
      </c>
      <c r="AF906" s="6">
        <f>SUM($Y$2:Y906)/SUM($X$2:X906)</f>
        <v/>
      </c>
      <c r="AG906" s="5">
        <f>SUM($Y$2:Y906)</f>
        <v/>
      </c>
      <c r="AH906" s="7">
        <f>10000.0+SUM($AA$2:AA906)</f>
        <v/>
      </c>
      <c r="AI906" s="2" t="n">
        <v>2026</v>
      </c>
      <c r="AJ906" s="2" t="inlineStr">
        <is>
          <t>2026-06</t>
        </is>
      </c>
      <c r="AK906" s="2" t="inlineStr">
        <is>
          <t>+100 to +120</t>
        </is>
      </c>
      <c r="AL906" s="2" t="inlineStr">
        <is>
          <t>2026 Frozen Test</t>
        </is>
      </c>
      <c r="AM906" s="6" t="n">
        <v>0.4118132691070825</v>
      </c>
    </row>
    <row r="907">
      <c r="A907" s="2" t="inlineStr">
        <is>
          <t>KPROP-00906</t>
        </is>
      </c>
      <c r="B907" s="3" t="n">
        <v>46176.65319444444</v>
      </c>
      <c r="C907" s="3" t="n">
        <v>46176</v>
      </c>
      <c r="D907" s="2" t="inlineStr">
        <is>
          <t>Freddy Peralta</t>
        </is>
      </c>
      <c r="E907" s="2" t="n">
        <v>121</v>
      </c>
      <c r="F907" s="2" t="n">
        <v>136</v>
      </c>
      <c r="G907" s="2" t="inlineStr">
        <is>
          <t>Away</t>
        </is>
      </c>
      <c r="H907" s="2" t="inlineStr">
        <is>
          <t>bovada</t>
        </is>
      </c>
      <c r="I907" s="4" t="n"/>
      <c r="J907" s="4" t="n"/>
      <c r="K907" s="4" t="n">
        <v>120</v>
      </c>
      <c r="L907" s="4" t="n">
        <v>120</v>
      </c>
      <c r="M907" s="5" t="n">
        <v>5.5</v>
      </c>
      <c r="N907" s="5" t="n">
        <v>5.427166241934311</v>
      </c>
      <c r="O907" s="5" t="n">
        <v>5.5</v>
      </c>
      <c r="P907" s="5" t="n">
        <v>0.07283375806568859</v>
      </c>
      <c r="Q907" s="6" t="n">
        <v>0.1911724384521172</v>
      </c>
      <c r="R907" s="6" t="n">
        <v>0.5414420174782351</v>
      </c>
      <c r="S907" s="6" t="n">
        <v>0.4350927246790299</v>
      </c>
      <c r="T907" s="2" t="inlineStr">
        <is>
          <t>Under</t>
        </is>
      </c>
      <c r="U907" s="4" t="n">
        <v>120</v>
      </c>
      <c r="V907" s="2" t="n">
        <v>2.2</v>
      </c>
      <c r="W907" s="4" t="n">
        <v>120</v>
      </c>
      <c r="X907" s="2" t="n">
        <v>1</v>
      </c>
      <c r="Y907" s="5" t="n">
        <v>-1</v>
      </c>
      <c r="Z907" s="7" t="n">
        <v>100</v>
      </c>
      <c r="AA907" s="7">
        <f>Y907*Z907</f>
        <v/>
      </c>
      <c r="AB907" s="6">
        <f>IF(Z907=0,0,AA907/Z907)</f>
        <v/>
      </c>
      <c r="AC907" s="6" t="n"/>
      <c r="AD907" s="2" t="inlineStr">
        <is>
          <t>Loss</t>
        </is>
      </c>
      <c r="AE907" s="6">
        <f>IF((COUNTIF($AD$2:AD907,"Win")+COUNTIF($AD$2:AD907,"Loss"))=0,0,COUNTIF($AD$2:AD907,"Win")/(COUNTIF($AD$2:AD907,"Win")+COUNTIF($AD$2:AD907,"Loss")))</f>
        <v/>
      </c>
      <c r="AF907" s="6">
        <f>SUM($Y$2:Y907)/SUM($X$2:X907)</f>
        <v/>
      </c>
      <c r="AG907" s="5">
        <f>SUM($Y$2:Y907)</f>
        <v/>
      </c>
      <c r="AH907" s="7">
        <f>10000.0+SUM($AA$2:AA907)</f>
        <v/>
      </c>
      <c r="AI907" s="2" t="n">
        <v>2026</v>
      </c>
      <c r="AJ907" s="2" t="inlineStr">
        <is>
          <t>2026-06</t>
        </is>
      </c>
      <c r="AK907" s="2" t="inlineStr">
        <is>
          <t>+100 to +120</t>
        </is>
      </c>
      <c r="AL907" s="2" t="inlineStr">
        <is>
          <t>2026 Frozen Test</t>
        </is>
      </c>
      <c r="AM907" s="6" t="n">
        <v>0.1593103653767643</v>
      </c>
    </row>
    <row r="908">
      <c r="A908" s="2" t="inlineStr">
        <is>
          <t>KPROP-00907</t>
        </is>
      </c>
      <c r="B908" s="3" t="n">
        <v>46176.65319444444</v>
      </c>
      <c r="C908" s="3" t="n">
        <v>46176</v>
      </c>
      <c r="D908" s="2" t="inlineStr">
        <is>
          <t>Freddy Peralta</t>
        </is>
      </c>
      <c r="E908" s="2" t="n">
        <v>121</v>
      </c>
      <c r="F908" s="2" t="n">
        <v>136</v>
      </c>
      <c r="G908" s="2" t="inlineStr">
        <is>
          <t>Away</t>
        </is>
      </c>
      <c r="H908" s="2" t="inlineStr">
        <is>
          <t>betrivers</t>
        </is>
      </c>
      <c r="I908" s="4" t="n"/>
      <c r="J908" s="4" t="n"/>
      <c r="K908" s="4" t="n">
        <v>-159</v>
      </c>
      <c r="L908" s="4" t="n">
        <v>-159</v>
      </c>
      <c r="M908" s="5" t="n">
        <v>6.5</v>
      </c>
      <c r="N908" s="5" t="n">
        <v>5.427166241934311</v>
      </c>
      <c r="O908" s="5" t="n">
        <v>6.5</v>
      </c>
      <c r="P908" s="5" t="n">
        <v>1.072833758065689</v>
      </c>
      <c r="Q908" s="6" t="n">
        <v>0.1360808773073864</v>
      </c>
      <c r="R908" s="6" t="n">
        <v>0.6974396119377392</v>
      </c>
      <c r="S908" s="6" t="n">
        <v>0.5745729303547964</v>
      </c>
      <c r="T908" s="2" t="inlineStr">
        <is>
          <t>Under</t>
        </is>
      </c>
      <c r="U908" s="4" t="n">
        <v>-159</v>
      </c>
      <c r="V908" s="2" t="n">
        <v>1.628930817610063</v>
      </c>
      <c r="W908" s="4" t="n">
        <v>-159</v>
      </c>
      <c r="X908" s="2" t="n">
        <v>1</v>
      </c>
      <c r="Y908" s="5" t="n">
        <v>0.6289308176100628</v>
      </c>
      <c r="Z908" s="7" t="n">
        <v>100</v>
      </c>
      <c r="AA908" s="7">
        <f>Y908*Z908</f>
        <v/>
      </c>
      <c r="AB908" s="6">
        <f>IF(Z908=0,0,AA908/Z908)</f>
        <v/>
      </c>
      <c r="AC908" s="6" t="n"/>
      <c r="AD908" s="2" t="inlineStr">
        <is>
          <t>Win</t>
        </is>
      </c>
      <c r="AE908" s="6">
        <f>IF((COUNTIF($AD$2:AD908,"Win")+COUNTIF($AD$2:AD908,"Loss"))=0,0,COUNTIF($AD$2:AD908,"Win")/(COUNTIF($AD$2:AD908,"Win")+COUNTIF($AD$2:AD908,"Loss")))</f>
        <v/>
      </c>
      <c r="AF908" s="6">
        <f>SUM($Y$2:Y908)/SUM($X$2:X908)</f>
        <v/>
      </c>
      <c r="AG908" s="5">
        <f>SUM($Y$2:Y908)</f>
        <v/>
      </c>
      <c r="AH908" s="7">
        <f>10000.0+SUM($AA$2:AA908)</f>
        <v/>
      </c>
      <c r="AI908" s="2" t="n">
        <v>2026</v>
      </c>
      <c r="AJ908" s="2" t="inlineStr">
        <is>
          <t>2026-06</t>
        </is>
      </c>
      <c r="AK908" s="2" t="inlineStr">
        <is>
          <t>&lt;= -150</t>
        </is>
      </c>
      <c r="AL908" s="2" t="inlineStr">
        <is>
          <t>2026 Frozen Test</t>
        </is>
      </c>
      <c r="AM908" s="6" t="n">
        <v>0.2163685949187444</v>
      </c>
    </row>
    <row r="909">
      <c r="A909" s="2" t="inlineStr">
        <is>
          <t>KPROP-00908</t>
        </is>
      </c>
      <c r="B909" s="3" t="n">
        <v>46176.79555555555</v>
      </c>
      <c r="C909" s="3" t="n">
        <v>46176</v>
      </c>
      <c r="D909" s="2" t="inlineStr">
        <is>
          <t>Gavin Williams</t>
        </is>
      </c>
      <c r="E909" s="2" t="n">
        <v>114</v>
      </c>
      <c r="F909" s="2" t="n">
        <v>147</v>
      </c>
      <c r="G909" s="2" t="inlineStr">
        <is>
          <t>Away</t>
        </is>
      </c>
      <c r="H909" s="2" t="inlineStr">
        <is>
          <t>fanduel</t>
        </is>
      </c>
      <c r="I909" s="4" t="n"/>
      <c r="J909" s="4" t="n"/>
      <c r="K909" s="4" t="n">
        <v>-108</v>
      </c>
      <c r="L909" s="4" t="n">
        <v>-108</v>
      </c>
      <c r="M909" s="5" t="n">
        <v>6.5</v>
      </c>
      <c r="N909" s="5" t="n">
        <v>6.162079371112521</v>
      </c>
      <c r="O909" s="5" t="n">
        <v>6.5</v>
      </c>
      <c r="P909" s="5" t="n">
        <v>0.3379206288874794</v>
      </c>
      <c r="Q909" s="6" t="n">
        <v>0.1175913518093219</v>
      </c>
      <c r="R909" s="6" t="n">
        <v>0.5802878172856094</v>
      </c>
      <c r="S909" s="6" t="n">
        <v>0.4925753075943997</v>
      </c>
      <c r="T909" s="2" t="inlineStr">
        <is>
          <t>Under</t>
        </is>
      </c>
      <c r="U909" s="4" t="n">
        <v>-108</v>
      </c>
      <c r="V909" s="2" t="n">
        <v>1.925925925925926</v>
      </c>
      <c r="W909" s="4" t="n">
        <v>-108</v>
      </c>
      <c r="X909" s="2" t="n">
        <v>1</v>
      </c>
      <c r="Y909" s="5" t="n">
        <v>0.925925925925926</v>
      </c>
      <c r="Z909" s="7" t="n">
        <v>100</v>
      </c>
      <c r="AA909" s="7">
        <f>Y909*Z909</f>
        <v/>
      </c>
      <c r="AB909" s="6">
        <f>IF(Z909=0,0,AA909/Z909)</f>
        <v/>
      </c>
      <c r="AC909" s="6" t="n"/>
      <c r="AD909" s="2" t="inlineStr">
        <is>
          <t>Win</t>
        </is>
      </c>
      <c r="AE909" s="6">
        <f>IF((COUNTIF($AD$2:AD909,"Win")+COUNTIF($AD$2:AD909,"Loss"))=0,0,COUNTIF($AD$2:AD909,"Win")/(COUNTIF($AD$2:AD909,"Win")+COUNTIF($AD$2:AD909,"Loss")))</f>
        <v/>
      </c>
      <c r="AF909" s="6">
        <f>SUM($Y$2:Y909)/SUM($X$2:X909)</f>
        <v/>
      </c>
      <c r="AG909" s="5">
        <f>SUM($Y$2:Y909)</f>
        <v/>
      </c>
      <c r="AH909" s="7">
        <f>10000.0+SUM($AA$2:AA909)</f>
        <v/>
      </c>
      <c r="AI909" s="2" t="n">
        <v>2026</v>
      </c>
      <c r="AJ909" s="2" t="inlineStr">
        <is>
          <t>2026-06</t>
        </is>
      </c>
      <c r="AK909" s="2" t="inlineStr">
        <is>
          <t>-119 to -101</t>
        </is>
      </c>
      <c r="AL909" s="2" t="inlineStr">
        <is>
          <t>2026 Frozen Test</t>
        </is>
      </c>
      <c r="AM909" s="6" t="n">
        <v>0.1269986599540676</v>
      </c>
    </row>
    <row r="910">
      <c r="A910" s="2" t="inlineStr">
        <is>
          <t>KPROP-00909</t>
        </is>
      </c>
      <c r="B910" s="3" t="n">
        <v>46176.65319444444</v>
      </c>
      <c r="C910" s="3" t="n">
        <v>46176</v>
      </c>
      <c r="D910" s="2" t="inlineStr">
        <is>
          <t>George Kirby</t>
        </is>
      </c>
      <c r="E910" s="2" t="n">
        <v>136</v>
      </c>
      <c r="F910" s="2" t="n">
        <v>121</v>
      </c>
      <c r="G910" s="2" t="inlineStr">
        <is>
          <t>Home</t>
        </is>
      </c>
      <c r="H910" s="2" t="inlineStr">
        <is>
          <t>betmgm</t>
        </is>
      </c>
      <c r="I910" s="4" t="n"/>
      <c r="J910" s="4" t="n"/>
      <c r="K910" s="4" t="n">
        <v>-105</v>
      </c>
      <c r="L910" s="4" t="n">
        <v>-105</v>
      </c>
      <c r="M910" s="5" t="n">
        <v>5.5</v>
      </c>
      <c r="N910" s="5" t="n">
        <v>5.244096118470957</v>
      </c>
      <c r="O910" s="5" t="n">
        <v>5.5</v>
      </c>
      <c r="P910" s="5" t="n">
        <v>0.2559038815290426</v>
      </c>
      <c r="Q910" s="6" t="n">
        <v>0.1191294708416242</v>
      </c>
      <c r="R910" s="6" t="n">
        <v>0.5732126557969295</v>
      </c>
      <c r="S910" s="6" t="n">
        <v>0.4943946188340808</v>
      </c>
      <c r="T910" s="2" t="inlineStr">
        <is>
          <t>Under</t>
        </is>
      </c>
      <c r="U910" s="4" t="n">
        <v>-105</v>
      </c>
      <c r="V910" s="2" t="n">
        <v>1.952380952380952</v>
      </c>
      <c r="W910" s="4" t="n">
        <v>-105</v>
      </c>
      <c r="X910" s="2" t="n">
        <v>1</v>
      </c>
      <c r="Y910" s="5" t="n">
        <v>0.9523809523809523</v>
      </c>
      <c r="Z910" s="7" t="n">
        <v>100</v>
      </c>
      <c r="AA910" s="7">
        <f>Y910*Z910</f>
        <v/>
      </c>
      <c r="AB910" s="6">
        <f>IF(Z910=0,0,AA910/Z910)</f>
        <v/>
      </c>
      <c r="AC910" s="6" t="n"/>
      <c r="AD910" s="2" t="inlineStr">
        <is>
          <t>Win</t>
        </is>
      </c>
      <c r="AE910" s="6">
        <f>IF((COUNTIF($AD$2:AD910,"Win")+COUNTIF($AD$2:AD910,"Loss"))=0,0,COUNTIF($AD$2:AD910,"Win")/(COUNTIF($AD$2:AD910,"Win")+COUNTIF($AD$2:AD910,"Loss")))</f>
        <v/>
      </c>
      <c r="AF910" s="6">
        <f>SUM($Y$2:Y910)/SUM($X$2:X910)</f>
        <v/>
      </c>
      <c r="AG910" s="5">
        <f>SUM($Y$2:Y910)</f>
        <v/>
      </c>
      <c r="AH910" s="7">
        <f>10000.0+SUM($AA$2:AA910)</f>
        <v/>
      </c>
      <c r="AI910" s="2" t="n">
        <v>2026</v>
      </c>
      <c r="AJ910" s="2" t="inlineStr">
        <is>
          <t>2026-06</t>
        </is>
      </c>
      <c r="AK910" s="2" t="inlineStr">
        <is>
          <t>-119 to -101</t>
        </is>
      </c>
      <c r="AL910" s="2" t="inlineStr">
        <is>
          <t>2026 Frozen Test</t>
        </is>
      </c>
      <c r="AM910" s="6" t="n">
        <v>0.1250859443837054</v>
      </c>
    </row>
    <row r="911">
      <c r="A911" s="2" t="inlineStr">
        <is>
          <t>KPROP-00910</t>
        </is>
      </c>
      <c r="B911" s="3" t="n">
        <v>46176.79555555555</v>
      </c>
      <c r="C911" s="3" t="n">
        <v>46176</v>
      </c>
      <c r="D911" s="2" t="inlineStr">
        <is>
          <t>Gerrit Cole</t>
        </is>
      </c>
      <c r="E911" s="2" t="n">
        <v>147</v>
      </c>
      <c r="F911" s="2" t="n">
        <v>114</v>
      </c>
      <c r="G911" s="2" t="inlineStr">
        <is>
          <t>Home</t>
        </is>
      </c>
      <c r="H911" s="2" t="inlineStr">
        <is>
          <t>fanduel</t>
        </is>
      </c>
      <c r="I911" s="4" t="n"/>
      <c r="J911" s="4" t="n"/>
      <c r="K911" s="4" t="n">
        <v>-115</v>
      </c>
      <c r="L911" s="4" t="n">
        <v>-115</v>
      </c>
      <c r="M911" s="5" t="n">
        <v>5.5</v>
      </c>
      <c r="N911" s="5" t="n">
        <v>4.78875481468994</v>
      </c>
      <c r="O911" s="5" t="n">
        <v>5.5</v>
      </c>
      <c r="P911" s="5" t="n">
        <v>0.7112451853100596</v>
      </c>
      <c r="Q911" s="6" t="n">
        <v>0.2207719407306811</v>
      </c>
      <c r="R911" s="6" t="n">
        <v>0.652971038065248</v>
      </c>
      <c r="S911" s="6" t="n">
        <v>0.5108342361863488</v>
      </c>
      <c r="T911" s="2" t="inlineStr">
        <is>
          <t>Under</t>
        </is>
      </c>
      <c r="U911" s="4" t="n">
        <v>-115</v>
      </c>
      <c r="V911" s="2" t="n">
        <v>1.869565217391304</v>
      </c>
      <c r="W911" s="4" t="n">
        <v>-115</v>
      </c>
      <c r="X911" s="2" t="n">
        <v>1</v>
      </c>
      <c r="Y911" s="5" t="n">
        <v>0.8695652173913042</v>
      </c>
      <c r="Z911" s="7" t="n">
        <v>100</v>
      </c>
      <c r="AA911" s="7">
        <f>Y911*Z911</f>
        <v/>
      </c>
      <c r="AB911" s="6">
        <f>IF(Z911=0,0,AA911/Z911)</f>
        <v/>
      </c>
      <c r="AC911" s="6" t="n"/>
      <c r="AD911" s="2" t="inlineStr">
        <is>
          <t>Win</t>
        </is>
      </c>
      <c r="AE911" s="6">
        <f>IF((COUNTIF($AD$2:AD911,"Win")+COUNTIF($AD$2:AD911,"Loss"))=0,0,COUNTIF($AD$2:AD911,"Win")/(COUNTIF($AD$2:AD911,"Win")+COUNTIF($AD$2:AD911,"Loss")))</f>
        <v/>
      </c>
      <c r="AF911" s="6">
        <f>SUM($Y$2:Y911)/SUM($X$2:X911)</f>
        <v/>
      </c>
      <c r="AG911" s="5">
        <f>SUM($Y$2:Y911)</f>
        <v/>
      </c>
      <c r="AH911" s="7">
        <f>10000.0+SUM($AA$2:AA911)</f>
        <v/>
      </c>
      <c r="AI911" s="2" t="n">
        <v>2026</v>
      </c>
      <c r="AJ911" s="2" t="inlineStr">
        <is>
          <t>2026-06</t>
        </is>
      </c>
      <c r="AK911" s="2" t="inlineStr">
        <is>
          <t>-119 to -101</t>
        </is>
      </c>
      <c r="AL911" s="2" t="inlineStr">
        <is>
          <t>2026 Frozen Test</t>
        </is>
      </c>
      <c r="AM911" s="6" t="n">
        <v>0.2538877318402833</v>
      </c>
    </row>
    <row r="912">
      <c r="A912" s="2" t="inlineStr">
        <is>
          <t>KPROP-00911</t>
        </is>
      </c>
      <c r="B912" s="3" t="n">
        <v>46176.81638888889</v>
      </c>
      <c r="C912" s="3" t="n">
        <v>46176</v>
      </c>
      <c r="D912" s="2" t="inlineStr">
        <is>
          <t>Logan Webb</t>
        </is>
      </c>
      <c r="E912" s="2" t="n">
        <v>137</v>
      </c>
      <c r="F912" s="2" t="n">
        <v>158</v>
      </c>
      <c r="G912" s="2" t="inlineStr">
        <is>
          <t>Away</t>
        </is>
      </c>
      <c r="H912" s="2" t="inlineStr">
        <is>
          <t>fanatics</t>
        </is>
      </c>
      <c r="I912" s="4" t="n"/>
      <c r="J912" s="4" t="n"/>
      <c r="K912" s="4" t="n">
        <v>-125</v>
      </c>
      <c r="L912" s="4" t="n">
        <v>-125</v>
      </c>
      <c r="M912" s="5" t="n">
        <v>5.5</v>
      </c>
      <c r="N912" s="5" t="n">
        <v>5.108172164633564</v>
      </c>
      <c r="O912" s="5" t="n">
        <v>5.5</v>
      </c>
      <c r="P912" s="5" t="n">
        <v>0.3918278353664357</v>
      </c>
      <c r="Q912" s="6" t="n">
        <v>0.07457712427794738</v>
      </c>
      <c r="R912" s="6" t="n">
        <v>0.5969872912655263</v>
      </c>
      <c r="S912" s="6" t="n">
        <v>0.5454545454545454</v>
      </c>
      <c r="T912" s="2" t="inlineStr">
        <is>
          <t>Under</t>
        </is>
      </c>
      <c r="U912" s="4" t="n">
        <v>-125</v>
      </c>
      <c r="V912" s="2" t="n">
        <v>1.8</v>
      </c>
      <c r="W912" s="4" t="n">
        <v>-125</v>
      </c>
      <c r="X912" s="2" t="n">
        <v>1</v>
      </c>
      <c r="Y912" s="5" t="n">
        <v>0.8</v>
      </c>
      <c r="Z912" s="7" t="n">
        <v>100</v>
      </c>
      <c r="AA912" s="7">
        <f>Y912*Z912</f>
        <v/>
      </c>
      <c r="AB912" s="6">
        <f>IF(Z912=0,0,AA912/Z912)</f>
        <v/>
      </c>
      <c r="AC912" s="6" t="n"/>
      <c r="AD912" s="2" t="inlineStr">
        <is>
          <t>Win</t>
        </is>
      </c>
      <c r="AE912" s="6">
        <f>IF((COUNTIF($AD$2:AD912,"Win")+COUNTIF($AD$2:AD912,"Loss"))=0,0,COUNTIF($AD$2:AD912,"Win")/(COUNTIF($AD$2:AD912,"Win")+COUNTIF($AD$2:AD912,"Loss")))</f>
        <v/>
      </c>
      <c r="AF912" s="6">
        <f>SUM($Y$2:Y912)/SUM($X$2:X912)</f>
        <v/>
      </c>
      <c r="AG912" s="5">
        <f>SUM($Y$2:Y912)</f>
        <v/>
      </c>
      <c r="AH912" s="7">
        <f>10000.0+SUM($AA$2:AA912)</f>
        <v/>
      </c>
      <c r="AI912" s="2" t="n">
        <v>2026</v>
      </c>
      <c r="AJ912" s="2" t="inlineStr">
        <is>
          <t>2026-06</t>
        </is>
      </c>
      <c r="AK912" s="2" t="inlineStr">
        <is>
          <t>-149 to -120</t>
        </is>
      </c>
      <c r="AL912" s="2" t="inlineStr">
        <is>
          <t>2026 Frozen Test</t>
        </is>
      </c>
      <c r="AM912" s="6" t="n">
        <v>0.09322140534743423</v>
      </c>
    </row>
    <row r="913">
      <c r="A913" s="2" t="inlineStr">
        <is>
          <t>KPROP-00912</t>
        </is>
      </c>
      <c r="B913" s="3" t="n">
        <v>46176.56986111111</v>
      </c>
      <c r="C913" s="3" t="n">
        <v>46176</v>
      </c>
      <c r="D913" s="2" t="inlineStr">
        <is>
          <t>Taj Bradley</t>
        </is>
      </c>
      <c r="E913" s="2" t="n">
        <v>142</v>
      </c>
      <c r="F913" s="2" t="n">
        <v>145</v>
      </c>
      <c r="G913" s="2" t="inlineStr">
        <is>
          <t>Home</t>
        </is>
      </c>
      <c r="H913" s="2" t="inlineStr">
        <is>
          <t>fanduel</t>
        </is>
      </c>
      <c r="I913" s="4" t="n"/>
      <c r="J913" s="4" t="n"/>
      <c r="K913" s="4" t="n">
        <v>130</v>
      </c>
      <c r="L913" s="4" t="n">
        <v>130</v>
      </c>
      <c r="M913" s="5" t="n">
        <v>5.5</v>
      </c>
      <c r="N913" s="5" t="n">
        <v>5.361632288886923</v>
      </c>
      <c r="O913" s="5" t="n">
        <v>5.5</v>
      </c>
      <c r="P913" s="5" t="n">
        <v>0.1383677111130766</v>
      </c>
      <c r="Q913" s="6" t="n">
        <v>0.2713756327145187</v>
      </c>
      <c r="R913" s="6" t="n">
        <v>0.5527720142237038</v>
      </c>
      <c r="S913" s="6" t="n">
        <v>0.4201680672268908</v>
      </c>
      <c r="T913" s="2" t="inlineStr">
        <is>
          <t>Under</t>
        </is>
      </c>
      <c r="U913" s="4" t="n">
        <v>130</v>
      </c>
      <c r="V913" s="2" t="n">
        <v>2.3</v>
      </c>
      <c r="W913" s="4" t="n">
        <v>130</v>
      </c>
      <c r="X913" s="2" t="n">
        <v>1</v>
      </c>
      <c r="Y913" s="5" t="n">
        <v>1.3</v>
      </c>
      <c r="Z913" s="7" t="n">
        <v>100</v>
      </c>
      <c r="AA913" s="7">
        <f>Y913*Z913</f>
        <v/>
      </c>
      <c r="AB913" s="6">
        <f>IF(Z913=0,0,AA913/Z913)</f>
        <v/>
      </c>
      <c r="AC913" s="6" t="n"/>
      <c r="AD913" s="2" t="inlineStr">
        <is>
          <t>Win</t>
        </is>
      </c>
      <c r="AE913" s="6">
        <f>IF((COUNTIF($AD$2:AD913,"Win")+COUNTIF($AD$2:AD913,"Loss"))=0,0,COUNTIF($AD$2:AD913,"Win")/(COUNTIF($AD$2:AD913,"Win")+COUNTIF($AD$2:AD913,"Loss")))</f>
        <v/>
      </c>
      <c r="AF913" s="6">
        <f>SUM($Y$2:Y913)/SUM($X$2:X913)</f>
        <v/>
      </c>
      <c r="AG913" s="5">
        <f>SUM($Y$2:Y913)</f>
        <v/>
      </c>
      <c r="AH913" s="7">
        <f>10000.0+SUM($AA$2:AA913)</f>
        <v/>
      </c>
      <c r="AI913" s="2" t="n">
        <v>2026</v>
      </c>
      <c r="AJ913" s="2" t="inlineStr">
        <is>
          <t>2026-06</t>
        </is>
      </c>
      <c r="AK913" s="2" t="inlineStr">
        <is>
          <t>+121 to +150</t>
        </is>
      </c>
      <c r="AL913" s="2" t="inlineStr">
        <is>
          <t>2026 Frozen Test</t>
        </is>
      </c>
      <c r="AM913" s="6" t="n">
        <v>0.208750486703476</v>
      </c>
    </row>
    <row r="914">
      <c r="A914" s="2" t="inlineStr">
        <is>
          <t>KPROP-00913</t>
        </is>
      </c>
      <c r="B914" s="3" t="n">
        <v>46176.56986111111</v>
      </c>
      <c r="C914" s="3" t="n">
        <v>46176</v>
      </c>
      <c r="D914" s="2" t="inlineStr">
        <is>
          <t>Taj Bradley</t>
        </is>
      </c>
      <c r="E914" s="2" t="n">
        <v>142</v>
      </c>
      <c r="F914" s="2" t="n">
        <v>145</v>
      </c>
      <c r="G914" s="2" t="inlineStr">
        <is>
          <t>Home</t>
        </is>
      </c>
      <c r="H914" s="2" t="inlineStr">
        <is>
          <t>draftkings</t>
        </is>
      </c>
      <c r="I914" s="4" t="n"/>
      <c r="J914" s="4" t="n"/>
      <c r="K914" s="4" t="n">
        <v>-157</v>
      </c>
      <c r="L914" s="4" t="n">
        <v>-157</v>
      </c>
      <c r="M914" s="5" t="n">
        <v>6.5</v>
      </c>
      <c r="N914" s="5" t="n">
        <v>5.361632288886923</v>
      </c>
      <c r="O914" s="5" t="n">
        <v>6.5</v>
      </c>
      <c r="P914" s="5" t="n">
        <v>1.138367711113077</v>
      </c>
      <c r="Q914" s="6" t="n">
        <v>0.1583431705291199</v>
      </c>
      <c r="R914" s="6" t="n">
        <v>0.7076259835528087</v>
      </c>
      <c r="S914" s="6" t="n">
        <v>0.5766829734315034</v>
      </c>
      <c r="T914" s="2" t="inlineStr">
        <is>
          <t>Under</t>
        </is>
      </c>
      <c r="U914" s="4" t="n">
        <v>-157</v>
      </c>
      <c r="V914" s="2" t="n">
        <v>1.636942675159236</v>
      </c>
      <c r="W914" s="4" t="n">
        <v>-157</v>
      </c>
      <c r="X914" s="2" t="n">
        <v>1</v>
      </c>
      <c r="Y914" s="5" t="n">
        <v>0.6369426751592355</v>
      </c>
      <c r="Z914" s="7" t="n">
        <v>100</v>
      </c>
      <c r="AA914" s="7">
        <f>Y914*Z914</f>
        <v/>
      </c>
      <c r="AB914" s="6">
        <f>IF(Z914=0,0,AA914/Z914)</f>
        <v/>
      </c>
      <c r="AC914" s="6" t="n"/>
      <c r="AD914" s="2" t="inlineStr">
        <is>
          <t>Win</t>
        </is>
      </c>
      <c r="AE914" s="6">
        <f>IF((COUNTIF($AD$2:AD914,"Win")+COUNTIF($AD$2:AD914,"Loss"))=0,0,COUNTIF($AD$2:AD914,"Win")/(COUNTIF($AD$2:AD914,"Win")+COUNTIF($AD$2:AD914,"Loss")))</f>
        <v/>
      </c>
      <c r="AF914" s="6">
        <f>SUM($Y$2:Y914)/SUM($X$2:X914)</f>
        <v/>
      </c>
      <c r="AG914" s="5">
        <f>SUM($Y$2:Y914)</f>
        <v/>
      </c>
      <c r="AH914" s="7">
        <f>10000.0+SUM($AA$2:AA914)</f>
        <v/>
      </c>
      <c r="AI914" s="2" t="n">
        <v>2026</v>
      </c>
      <c r="AJ914" s="2" t="inlineStr">
        <is>
          <t>2026-06</t>
        </is>
      </c>
      <c r="AK914" s="2" t="inlineStr">
        <is>
          <t>&lt;= -150</t>
        </is>
      </c>
      <c r="AL914" s="2" t="inlineStr">
        <is>
          <t>2026 Frozen Test</t>
        </is>
      </c>
      <c r="AM914" s="6" t="n">
        <v>0.2485987777307183</v>
      </c>
    </row>
    <row r="915">
      <c r="A915" s="2" t="inlineStr">
        <is>
          <t>KPROP-00914</t>
        </is>
      </c>
      <c r="B915" s="3" t="n">
        <v>46177.56638888889</v>
      </c>
      <c r="C915" s="3" t="n">
        <v>46177</v>
      </c>
      <c r="D915" s="2" t="inlineStr">
        <is>
          <t>Carlos Rodón</t>
        </is>
      </c>
      <c r="E915" s="2" t="n">
        <v>147</v>
      </c>
      <c r="F915" s="2" t="n">
        <v>114</v>
      </c>
      <c r="G915" s="2" t="inlineStr">
        <is>
          <t>Home</t>
        </is>
      </c>
      <c r="H915" s="2" t="inlineStr">
        <is>
          <t>betmgm</t>
        </is>
      </c>
      <c r="I915" s="4" t="n"/>
      <c r="J915" s="4" t="n"/>
      <c r="K915" s="4" t="n">
        <v>-135</v>
      </c>
      <c r="L915" s="4" t="n">
        <v>-135</v>
      </c>
      <c r="M915" s="5" t="n">
        <v>5.5</v>
      </c>
      <c r="N915" s="5" t="n">
        <v>4.68587027425617</v>
      </c>
      <c r="O915" s="5" t="n">
        <v>5.5</v>
      </c>
      <c r="P915" s="5" t="n">
        <v>0.8141297257438298</v>
      </c>
      <c r="Q915" s="6" t="n">
        <v>0.1678516925154807</v>
      </c>
      <c r="R915" s="6" t="n">
        <v>0.6708935254876166</v>
      </c>
      <c r="S915" s="6" t="n">
        <v>0.5593887691009657</v>
      </c>
      <c r="T915" s="2" t="inlineStr">
        <is>
          <t>Under</t>
        </is>
      </c>
      <c r="U915" s="4" t="n">
        <v>-135</v>
      </c>
      <c r="V915" s="2" t="n">
        <v>1.740740740740741</v>
      </c>
      <c r="W915" s="4" t="n">
        <v>-135</v>
      </c>
      <c r="X915" s="2" t="n">
        <v>1</v>
      </c>
      <c r="Y915" s="5" t="n">
        <v>-1</v>
      </c>
      <c r="Z915" s="7" t="n">
        <v>100</v>
      </c>
      <c r="AA915" s="7">
        <f>Y915*Z915</f>
        <v/>
      </c>
      <c r="AB915" s="6">
        <f>IF(Z915=0,0,AA915/Z915)</f>
        <v/>
      </c>
      <c r="AC915" s="6" t="n"/>
      <c r="AD915" s="2" t="inlineStr">
        <is>
          <t>Loss</t>
        </is>
      </c>
      <c r="AE915" s="6">
        <f>IF((COUNTIF($AD$2:AD915,"Win")+COUNTIF($AD$2:AD915,"Loss"))=0,0,COUNTIF($AD$2:AD915,"Win")/(COUNTIF($AD$2:AD915,"Win")+COUNTIF($AD$2:AD915,"Loss")))</f>
        <v/>
      </c>
      <c r="AF915" s="6">
        <f>SUM($Y$2:Y915)/SUM($X$2:X915)</f>
        <v/>
      </c>
      <c r="AG915" s="5">
        <f>SUM($Y$2:Y915)</f>
        <v/>
      </c>
      <c r="AH915" s="7">
        <f>10000.0+SUM($AA$2:AA915)</f>
        <v/>
      </c>
      <c r="AI915" s="2" t="n">
        <v>2026</v>
      </c>
      <c r="AJ915" s="2" t="inlineStr">
        <is>
          <t>2026-06</t>
        </is>
      </c>
      <c r="AK915" s="2" t="inlineStr">
        <is>
          <t>-149 to -120</t>
        </is>
      </c>
      <c r="AL915" s="2" t="inlineStr">
        <is>
          <t>2026 Frozen Test</t>
        </is>
      </c>
      <c r="AM915" s="6" t="n">
        <v>0.226599784895899</v>
      </c>
    </row>
    <row r="916">
      <c r="A916" s="2" t="inlineStr">
        <is>
          <t>KPROP-00915</t>
        </is>
      </c>
      <c r="B916" s="3" t="n">
        <v>46177.79902777778</v>
      </c>
      <c r="C916" s="3" t="n">
        <v>46177</v>
      </c>
      <c r="D916" s="2" t="inlineStr">
        <is>
          <t>Chris Sale</t>
        </is>
      </c>
      <c r="E916" s="2" t="n">
        <v>144</v>
      </c>
      <c r="F916" s="2" t="n">
        <v>141</v>
      </c>
      <c r="G916" s="2" t="inlineStr">
        <is>
          <t>Home</t>
        </is>
      </c>
      <c r="H916" s="2" t="inlineStr">
        <is>
          <t>betrivers</t>
        </is>
      </c>
      <c r="I916" s="4" t="n"/>
      <c r="J916" s="4" t="n"/>
      <c r="K916" s="4" t="n">
        <v>-143</v>
      </c>
      <c r="L916" s="4" t="n">
        <v>-143</v>
      </c>
      <c r="M916" s="5" t="n">
        <v>7.5</v>
      </c>
      <c r="N916" s="5" t="n">
        <v>5.061464037031416</v>
      </c>
      <c r="O916" s="5" t="n">
        <v>7.5</v>
      </c>
      <c r="P916" s="5" t="n">
        <v>2.438535962968584</v>
      </c>
      <c r="Q916" s="6" t="n">
        <v>0.4616200253158976</v>
      </c>
      <c r="R916" s="6" t="n">
        <v>0.8601303029636764</v>
      </c>
      <c r="S916" s="6" t="n">
        <v>0.5686288432862315</v>
      </c>
      <c r="T916" s="2" t="inlineStr">
        <is>
          <t>Under</t>
        </is>
      </c>
      <c r="U916" s="4" t="n">
        <v>-143</v>
      </c>
      <c r="V916" s="2" t="n">
        <v>1.699300699300699</v>
      </c>
      <c r="W916" s="4" t="n">
        <v>-143</v>
      </c>
      <c r="X916" s="2" t="n">
        <v>1</v>
      </c>
      <c r="Y916" s="5" t="n">
        <v>0.6993006993006992</v>
      </c>
      <c r="Z916" s="7" t="n">
        <v>100</v>
      </c>
      <c r="AA916" s="7">
        <f>Y916*Z916</f>
        <v/>
      </c>
      <c r="AB916" s="6">
        <f>IF(Z916=0,0,AA916/Z916)</f>
        <v/>
      </c>
      <c r="AC916" s="6" t="n"/>
      <c r="AD916" s="2" t="inlineStr">
        <is>
          <t>Win</t>
        </is>
      </c>
      <c r="AE916" s="6">
        <f>IF((COUNTIF($AD$2:AD916,"Win")+COUNTIF($AD$2:AD916,"Loss"))=0,0,COUNTIF($AD$2:AD916,"Win")/(COUNTIF($AD$2:AD916,"Win")+COUNTIF($AD$2:AD916,"Loss")))</f>
        <v/>
      </c>
      <c r="AF916" s="6">
        <f>SUM($Y$2:Y916)/SUM($X$2:X916)</f>
        <v/>
      </c>
      <c r="AG916" s="5">
        <f>SUM($Y$2:Y916)</f>
        <v/>
      </c>
      <c r="AH916" s="7">
        <f>10000.0+SUM($AA$2:AA916)</f>
        <v/>
      </c>
      <c r="AI916" s="2" t="n">
        <v>2026</v>
      </c>
      <c r="AJ916" s="2" t="inlineStr">
        <is>
          <t>2026-06</t>
        </is>
      </c>
      <c r="AK916" s="2" t="inlineStr">
        <is>
          <t>-149 to -120</t>
        </is>
      </c>
      <c r="AL916" s="2" t="inlineStr">
        <is>
          <t>2026 Frozen Test</t>
        </is>
      </c>
      <c r="AM916" s="6" t="n">
        <v>0.6601166362017338</v>
      </c>
    </row>
    <row r="917">
      <c r="A917" s="2" t="inlineStr">
        <is>
          <t>KPROP-00916</t>
        </is>
      </c>
      <c r="B917" s="3" t="n">
        <v>46177.54555555555</v>
      </c>
      <c r="C917" s="3" t="n">
        <v>46177</v>
      </c>
      <c r="D917" s="2" t="inlineStr">
        <is>
          <t>Zack Wheeler</t>
        </is>
      </c>
      <c r="E917" s="2" t="n">
        <v>143</v>
      </c>
      <c r="F917" s="2" t="n">
        <v>135</v>
      </c>
      <c r="G917" s="2" t="inlineStr">
        <is>
          <t>Home</t>
        </is>
      </c>
      <c r="H917" s="2" t="inlineStr">
        <is>
          <t>betmgm</t>
        </is>
      </c>
      <c r="I917" s="4" t="n"/>
      <c r="J917" s="4" t="n"/>
      <c r="K917" s="4" t="n">
        <v>-115</v>
      </c>
      <c r="L917" s="4" t="n">
        <v>-115</v>
      </c>
      <c r="M917" s="5" t="n">
        <v>6.5</v>
      </c>
      <c r="N917" s="5" t="n">
        <v>5.148683100699864</v>
      </c>
      <c r="O917" s="5" t="n">
        <v>6.5</v>
      </c>
      <c r="P917" s="5" t="n">
        <v>1.351316899300136</v>
      </c>
      <c r="Q917" s="6" t="n">
        <v>0.3837315502731283</v>
      </c>
      <c r="R917" s="6" t="n">
        <v>0.7401354803786501</v>
      </c>
      <c r="S917" s="6" t="n">
        <v>0.521797153024911</v>
      </c>
      <c r="T917" s="2" t="inlineStr">
        <is>
          <t>Under</t>
        </is>
      </c>
      <c r="U917" s="4" t="n">
        <v>-115</v>
      </c>
      <c r="V917" s="2" t="n">
        <v>1.869565217391304</v>
      </c>
      <c r="W917" s="4" t="n">
        <v>-115</v>
      </c>
      <c r="X917" s="2" t="n">
        <v>1</v>
      </c>
      <c r="Y917" s="5" t="n">
        <v>-1</v>
      </c>
      <c r="Z917" s="7" t="n">
        <v>100</v>
      </c>
      <c r="AA917" s="7">
        <f>Y917*Z917</f>
        <v/>
      </c>
      <c r="AB917" s="6">
        <f>IF(Z917=0,0,AA917/Z917)</f>
        <v/>
      </c>
      <c r="AC917" s="6" t="n"/>
      <c r="AD917" s="2" t="inlineStr">
        <is>
          <t>Loss</t>
        </is>
      </c>
      <c r="AE917" s="6">
        <f>IF((COUNTIF($AD$2:AD917,"Win")+COUNTIF($AD$2:AD917,"Loss"))=0,0,COUNTIF($AD$2:AD917,"Win")/(COUNTIF($AD$2:AD917,"Win")+COUNTIF($AD$2:AD917,"Loss")))</f>
        <v/>
      </c>
      <c r="AF917" s="6">
        <f>SUM($Y$2:Y917)/SUM($X$2:X917)</f>
        <v/>
      </c>
      <c r="AG917" s="5">
        <f>SUM($Y$2:Y917)</f>
        <v/>
      </c>
      <c r="AH917" s="7">
        <f>10000.0+SUM($AA$2:AA917)</f>
        <v/>
      </c>
      <c r="AI917" s="2" t="n">
        <v>2026</v>
      </c>
      <c r="AJ917" s="2" t="inlineStr">
        <is>
          <t>2026-06</t>
        </is>
      </c>
      <c r="AK917" s="2" t="inlineStr">
        <is>
          <t>-119 to -101</t>
        </is>
      </c>
      <c r="AL917" s="2" t="inlineStr">
        <is>
          <t>2026 Frozen Test</t>
        </is>
      </c>
      <c r="AM917" s="6" t="n">
        <v>0.4412912828140976</v>
      </c>
    </row>
    <row r="918">
      <c r="A918" s="2" t="inlineStr">
        <is>
          <t>KPROP-00917</t>
        </is>
      </c>
      <c r="B918" s="3" t="n">
        <v>46179.67402777778</v>
      </c>
      <c r="C918" s="3" t="n">
        <v>46179</v>
      </c>
      <c r="D918" s="2" t="inlineStr">
        <is>
          <t>Braxton Ashcraft</t>
        </is>
      </c>
      <c r="E918" s="2" t="n">
        <v>134</v>
      </c>
      <c r="F918" s="2" t="n">
        <v>144</v>
      </c>
      <c r="G918" s="2" t="inlineStr">
        <is>
          <t>Away</t>
        </is>
      </c>
      <c r="H918" s="2" t="inlineStr">
        <is>
          <t>fanatics</t>
        </is>
      </c>
      <c r="I918" s="4" t="n"/>
      <c r="J918" s="4" t="n"/>
      <c r="K918" s="4" t="n">
        <v>100</v>
      </c>
      <c r="L918" s="4" t="n">
        <v>100</v>
      </c>
      <c r="M918" s="5" t="n">
        <v>5.5</v>
      </c>
      <c r="N918" s="5" t="n">
        <v>5.276490808304923</v>
      </c>
      <c r="O918" s="5" t="n">
        <v>5.5</v>
      </c>
      <c r="P918" s="5" t="n">
        <v>0.2235091916950767</v>
      </c>
      <c r="Q918" s="6" t="n">
        <v>0.1351311854614288</v>
      </c>
      <c r="R918" s="6" t="n">
        <v>0.5675655927307144</v>
      </c>
      <c r="S918" s="6" t="n">
        <v>0.4939759036144578</v>
      </c>
      <c r="T918" s="2" t="inlineStr">
        <is>
          <t>Under</t>
        </is>
      </c>
      <c r="U918" s="4" t="n">
        <v>100</v>
      </c>
      <c r="V918" s="2" t="n">
        <v>2</v>
      </c>
      <c r="W918" s="4" t="n">
        <v>100</v>
      </c>
      <c r="X918" s="2" t="n">
        <v>1</v>
      </c>
      <c r="Y918" s="5" t="n">
        <v>1</v>
      </c>
      <c r="Z918" s="7" t="n">
        <v>100</v>
      </c>
      <c r="AA918" s="7">
        <f>Y918*Z918</f>
        <v/>
      </c>
      <c r="AB918" s="6">
        <f>IF(Z918=0,0,AA918/Z918)</f>
        <v/>
      </c>
      <c r="AC918" s="6" t="n"/>
      <c r="AD918" s="2" t="inlineStr">
        <is>
          <t>Win</t>
        </is>
      </c>
      <c r="AE918" s="6">
        <f>IF((COUNTIF($AD$2:AD918,"Win")+COUNTIF($AD$2:AD918,"Loss"))=0,0,COUNTIF($AD$2:AD918,"Win")/(COUNTIF($AD$2:AD918,"Win")+COUNTIF($AD$2:AD918,"Loss")))</f>
        <v/>
      </c>
      <c r="AF918" s="6">
        <f>SUM($Y$2:Y918)/SUM($X$2:X918)</f>
        <v/>
      </c>
      <c r="AG918" s="5">
        <f>SUM($Y$2:Y918)</f>
        <v/>
      </c>
      <c r="AH918" s="7">
        <f>10000.0+SUM($AA$2:AA918)</f>
        <v/>
      </c>
      <c r="AI918" s="2" t="n">
        <v>2026</v>
      </c>
      <c r="AJ918" s="2" t="inlineStr">
        <is>
          <t>2026-06</t>
        </is>
      </c>
      <c r="AK918" s="2" t="inlineStr">
        <is>
          <t>+100 to +120</t>
        </is>
      </c>
      <c r="AL918" s="2" t="inlineStr">
        <is>
          <t>2026 Frozen Test</t>
        </is>
      </c>
      <c r="AM918" s="6" t="n">
        <v>0.1351311854614288</v>
      </c>
    </row>
    <row r="919">
      <c r="A919" s="2" t="inlineStr">
        <is>
          <t>KPROP-00918</t>
        </is>
      </c>
      <c r="B919" s="3" t="n">
        <v>46179.54902777778</v>
      </c>
      <c r="C919" s="3" t="n">
        <v>46179</v>
      </c>
      <c r="D919" s="2" t="inlineStr">
        <is>
          <t>Bryce Miller</t>
        </is>
      </c>
      <c r="E919" s="2" t="n">
        <v>136</v>
      </c>
      <c r="F919" s="2" t="n">
        <v>116</v>
      </c>
      <c r="G919" s="2" t="inlineStr">
        <is>
          <t>Away</t>
        </is>
      </c>
      <c r="H919" s="2" t="inlineStr">
        <is>
          <t>fanatics</t>
        </is>
      </c>
      <c r="I919" s="4" t="n"/>
      <c r="J919" s="4" t="n"/>
      <c r="K919" s="4" t="n">
        <v>115</v>
      </c>
      <c r="L919" s="4" t="n">
        <v>115</v>
      </c>
      <c r="M919" s="5" t="n">
        <v>4.5</v>
      </c>
      <c r="N919" s="5" t="n">
        <v>4.509057148884077</v>
      </c>
      <c r="O919" s="5" t="n">
        <v>4.5</v>
      </c>
      <c r="P919" s="5" t="n">
        <v>-0.009057148884076938</v>
      </c>
      <c r="Q919" s="6" t="n">
        <v>0.1403284591917261</v>
      </c>
      <c r="R919" s="6" t="n">
        <v>0.5303853298566168</v>
      </c>
      <c r="S919" s="6" t="n">
        <v>0.4556962025316456</v>
      </c>
      <c r="T919" s="2" t="inlineStr">
        <is>
          <t>Under</t>
        </is>
      </c>
      <c r="U919" s="4" t="n">
        <v>115</v>
      </c>
      <c r="V919" s="2" t="n">
        <v>2.15</v>
      </c>
      <c r="W919" s="4" t="n">
        <v>115</v>
      </c>
      <c r="X919" s="2" t="n">
        <v>1</v>
      </c>
      <c r="Y919" s="5" t="n">
        <v>-1</v>
      </c>
      <c r="Z919" s="7" t="n">
        <v>100</v>
      </c>
      <c r="AA919" s="7">
        <f>Y919*Z919</f>
        <v/>
      </c>
      <c r="AB919" s="6">
        <f>IF(Z919=0,0,AA919/Z919)</f>
        <v/>
      </c>
      <c r="AC919" s="6" t="n"/>
      <c r="AD919" s="2" t="inlineStr">
        <is>
          <t>Loss</t>
        </is>
      </c>
      <c r="AE919" s="6">
        <f>IF((COUNTIF($AD$2:AD919,"Win")+COUNTIF($AD$2:AD919,"Loss"))=0,0,COUNTIF($AD$2:AD919,"Win")/(COUNTIF($AD$2:AD919,"Win")+COUNTIF($AD$2:AD919,"Loss")))</f>
        <v/>
      </c>
      <c r="AF919" s="6">
        <f>SUM($Y$2:Y919)/SUM($X$2:X919)</f>
        <v/>
      </c>
      <c r="AG919" s="5">
        <f>SUM($Y$2:Y919)</f>
        <v/>
      </c>
      <c r="AH919" s="7">
        <f>10000.0+SUM($AA$2:AA919)</f>
        <v/>
      </c>
      <c r="AI919" s="2" t="n">
        <v>2026</v>
      </c>
      <c r="AJ919" s="2" t="inlineStr">
        <is>
          <t>2026-06</t>
        </is>
      </c>
      <c r="AK919" s="2" t="inlineStr">
        <is>
          <t>+100 to +120</t>
        </is>
      </c>
      <c r="AL919" s="2" t="inlineStr">
        <is>
          <t>2026 Frozen Test</t>
        </is>
      </c>
      <c r="AM919" s="6" t="n">
        <v>0.1220247471232401</v>
      </c>
    </row>
    <row r="920">
      <c r="A920" s="2" t="inlineStr">
        <is>
          <t>KPROP-00919</t>
        </is>
      </c>
      <c r="B920" s="3" t="n">
        <v>46179.81638888889</v>
      </c>
      <c r="C920" s="3" t="n">
        <v>46179</v>
      </c>
      <c r="D920" s="2" t="inlineStr">
        <is>
          <t>Jack Leiter</t>
        </is>
      </c>
      <c r="E920" s="2" t="n">
        <v>140</v>
      </c>
      <c r="F920" s="2" t="n">
        <v>114</v>
      </c>
      <c r="G920" s="2" t="inlineStr">
        <is>
          <t>Home</t>
        </is>
      </c>
      <c r="H920" s="2" t="inlineStr">
        <is>
          <t>betmgm</t>
        </is>
      </c>
      <c r="I920" s="4" t="n"/>
      <c r="J920" s="4" t="n"/>
      <c r="K920" s="4" t="n">
        <v>-125</v>
      </c>
      <c r="L920" s="4" t="n">
        <v>-125</v>
      </c>
      <c r="M920" s="5" t="n">
        <v>5.5</v>
      </c>
      <c r="N920" s="5" t="n">
        <v>4.843371500687589</v>
      </c>
      <c r="O920" s="5" t="n">
        <v>5.5</v>
      </c>
      <c r="P920" s="5" t="n">
        <v>0.6566284993124114</v>
      </c>
      <c r="Q920" s="6" t="n">
        <v>0.1581578533232111</v>
      </c>
      <c r="R920" s="6" t="n">
        <v>0.6434210296240062</v>
      </c>
      <c r="S920" s="6" t="n">
        <v>0.5555555555555556</v>
      </c>
      <c r="T920" s="2" t="inlineStr">
        <is>
          <t>Under</t>
        </is>
      </c>
      <c r="U920" s="4" t="n">
        <v>-125</v>
      </c>
      <c r="V920" s="2" t="n">
        <v>1.8</v>
      </c>
      <c r="W920" s="4" t="n">
        <v>-125</v>
      </c>
      <c r="X920" s="2" t="n">
        <v>1</v>
      </c>
      <c r="Y920" s="5" t="n">
        <v>0.8</v>
      </c>
      <c r="Z920" s="7" t="n">
        <v>100</v>
      </c>
      <c r="AA920" s="7">
        <f>Y920*Z920</f>
        <v/>
      </c>
      <c r="AB920" s="6">
        <f>IF(Z920=0,0,AA920/Z920)</f>
        <v/>
      </c>
      <c r="AC920" s="6" t="n"/>
      <c r="AD920" s="2" t="inlineStr">
        <is>
          <t>Win</t>
        </is>
      </c>
      <c r="AE920" s="6">
        <f>IF((COUNTIF($AD$2:AD920,"Win")+COUNTIF($AD$2:AD920,"Loss"))=0,0,COUNTIF($AD$2:AD920,"Win")/(COUNTIF($AD$2:AD920,"Win")+COUNTIF($AD$2:AD920,"Loss")))</f>
        <v/>
      </c>
      <c r="AF920" s="6">
        <f>SUM($Y$2:Y920)/SUM($X$2:X920)</f>
        <v/>
      </c>
      <c r="AG920" s="5">
        <f>SUM($Y$2:Y920)</f>
        <v/>
      </c>
      <c r="AH920" s="7">
        <f>10000.0+SUM($AA$2:AA920)</f>
        <v/>
      </c>
      <c r="AI920" s="2" t="n">
        <v>2026</v>
      </c>
      <c r="AJ920" s="2" t="inlineStr">
        <is>
          <t>2026-06</t>
        </is>
      </c>
      <c r="AK920" s="2" t="inlineStr">
        <is>
          <t>-149 to -120</t>
        </is>
      </c>
      <c r="AL920" s="2" t="inlineStr">
        <is>
          <t>2026 Frozen Test</t>
        </is>
      </c>
      <c r="AM920" s="6" t="n">
        <v>0.1976973166540139</v>
      </c>
    </row>
    <row r="921">
      <c r="A921" s="2" t="inlineStr">
        <is>
          <t>KPROP-00920</t>
        </is>
      </c>
      <c r="B921" s="3" t="n">
        <v>46179.58722222222</v>
      </c>
      <c r="C921" s="3" t="n">
        <v>46179</v>
      </c>
      <c r="D921" s="2" t="inlineStr">
        <is>
          <t>Joe Ryan</t>
        </is>
      </c>
      <c r="E921" s="2" t="n">
        <v>142</v>
      </c>
      <c r="F921" s="2" t="n">
        <v>118</v>
      </c>
      <c r="G921" s="2" t="inlineStr">
        <is>
          <t>Home</t>
        </is>
      </c>
      <c r="H921" s="2" t="inlineStr">
        <is>
          <t>betrivers</t>
        </is>
      </c>
      <c r="I921" s="4" t="n"/>
      <c r="J921" s="4" t="n"/>
      <c r="K921" s="4" t="n">
        <v>118</v>
      </c>
      <c r="L921" s="4" t="n">
        <v>118</v>
      </c>
      <c r="M921" s="5" t="n">
        <v>5.5</v>
      </c>
      <c r="N921" s="5" t="n">
        <v>5.214177904941198</v>
      </c>
      <c r="O921" s="5" t="n">
        <v>5.5</v>
      </c>
      <c r="P921" s="5" t="n">
        <v>0.2858220950588022</v>
      </c>
      <c r="Q921" s="6" t="n">
        <v>0.2609896303128423</v>
      </c>
      <c r="R921" s="6" t="n">
        <v>0.5784356102352488</v>
      </c>
      <c r="S921" s="6" t="n">
        <v>0.4300893911283522</v>
      </c>
      <c r="T921" s="2" t="inlineStr">
        <is>
          <t>Under</t>
        </is>
      </c>
      <c r="U921" s="4" t="n">
        <v>118</v>
      </c>
      <c r="V921" s="2" t="n">
        <v>2.18</v>
      </c>
      <c r="W921" s="4" t="n">
        <v>118</v>
      </c>
      <c r="X921" s="2" t="n">
        <v>1</v>
      </c>
      <c r="Y921" s="5" t="n">
        <v>1.18</v>
      </c>
      <c r="Z921" s="7" t="n">
        <v>100</v>
      </c>
      <c r="AA921" s="7">
        <f>Y921*Z921</f>
        <v/>
      </c>
      <c r="AB921" s="6">
        <f>IF(Z921=0,0,AA921/Z921)</f>
        <v/>
      </c>
      <c r="AC921" s="6" t="n"/>
      <c r="AD921" s="2" t="inlineStr">
        <is>
          <t>Win</t>
        </is>
      </c>
      <c r="AE921" s="6">
        <f>IF((COUNTIF($AD$2:AD921,"Win")+COUNTIF($AD$2:AD921,"Loss"))=0,0,COUNTIF($AD$2:AD921,"Win")/(COUNTIF($AD$2:AD921,"Win")+COUNTIF($AD$2:AD921,"Loss")))</f>
        <v/>
      </c>
      <c r="AF921" s="6">
        <f>SUM($Y$2:Y921)/SUM($X$2:X921)</f>
        <v/>
      </c>
      <c r="AG921" s="5">
        <f>SUM($Y$2:Y921)</f>
        <v/>
      </c>
      <c r="AH921" s="7">
        <f>10000.0+SUM($AA$2:AA921)</f>
        <v/>
      </c>
      <c r="AI921" s="2" t="n">
        <v>2026</v>
      </c>
      <c r="AJ921" s="2" t="inlineStr">
        <is>
          <t>2026-06</t>
        </is>
      </c>
      <c r="AK921" s="2" t="inlineStr">
        <is>
          <t>+100 to +120</t>
        </is>
      </c>
      <c r="AL921" s="2" t="inlineStr">
        <is>
          <t>2026 Frozen Test</t>
        </is>
      </c>
      <c r="AM921" s="6" t="n">
        <v>0.2211776528074935</v>
      </c>
    </row>
    <row r="922">
      <c r="A922" s="2" t="inlineStr">
        <is>
          <t>KPROP-00921</t>
        </is>
      </c>
      <c r="B922" s="3" t="n">
        <v>46179.58722222222</v>
      </c>
      <c r="C922" s="3" t="n">
        <v>46179</v>
      </c>
      <c r="D922" s="2" t="inlineStr">
        <is>
          <t>Joe Ryan</t>
        </is>
      </c>
      <c r="E922" s="2" t="n">
        <v>142</v>
      </c>
      <c r="F922" s="2" t="n">
        <v>118</v>
      </c>
      <c r="G922" s="2" t="inlineStr">
        <is>
          <t>Home</t>
        </is>
      </c>
      <c r="H922" s="2" t="inlineStr">
        <is>
          <t>draftkings</t>
        </is>
      </c>
      <c r="I922" s="4" t="n"/>
      <c r="J922" s="4" t="n"/>
      <c r="K922" s="4" t="n">
        <v>-146</v>
      </c>
      <c r="L922" s="4" t="n">
        <v>-146</v>
      </c>
      <c r="M922" s="5" t="n">
        <v>6.5</v>
      </c>
      <c r="N922" s="5" t="n">
        <v>5.214177904941198</v>
      </c>
      <c r="O922" s="5" t="n">
        <v>6.5</v>
      </c>
      <c r="P922" s="5" t="n">
        <v>1.285822095058802</v>
      </c>
      <c r="Q922" s="6" t="n">
        <v>0.2304100089250302</v>
      </c>
      <c r="R922" s="6" t="n">
        <v>0.7302433386303024</v>
      </c>
      <c r="S922" s="6" t="n">
        <v>0.5728870060420862</v>
      </c>
      <c r="T922" s="2" t="inlineStr">
        <is>
          <t>Under</t>
        </is>
      </c>
      <c r="U922" s="4" t="n">
        <v>-146</v>
      </c>
      <c r="V922" s="2" t="n">
        <v>1.684931506849315</v>
      </c>
      <c r="W922" s="4" t="n">
        <v>-146</v>
      </c>
      <c r="X922" s="2" t="n">
        <v>1</v>
      </c>
      <c r="Y922" s="5" t="n">
        <v>0.6849315068493151</v>
      </c>
      <c r="Z922" s="7" t="n">
        <v>100</v>
      </c>
      <c r="AA922" s="7">
        <f>Y922*Z922</f>
        <v/>
      </c>
      <c r="AB922" s="6">
        <f>IF(Z922=0,0,AA922/Z922)</f>
        <v/>
      </c>
      <c r="AC922" s="6" t="n"/>
      <c r="AD922" s="2" t="inlineStr">
        <is>
          <t>Win</t>
        </is>
      </c>
      <c r="AE922" s="6">
        <f>IF((COUNTIF($AD$2:AD922,"Win")+COUNTIF($AD$2:AD922,"Loss"))=0,0,COUNTIF($AD$2:AD922,"Win")/(COUNTIF($AD$2:AD922,"Win")+COUNTIF($AD$2:AD922,"Loss")))</f>
        <v/>
      </c>
      <c r="AF922" s="6">
        <f>SUM($Y$2:Y922)/SUM($X$2:X922)</f>
        <v/>
      </c>
      <c r="AG922" s="5">
        <f>SUM($Y$2:Y922)</f>
        <v/>
      </c>
      <c r="AH922" s="7">
        <f>10000.0+SUM($AA$2:AA922)</f>
        <v/>
      </c>
      <c r="AI922" s="2" t="n">
        <v>2026</v>
      </c>
      <c r="AJ922" s="2" t="inlineStr">
        <is>
          <t>2026-06</t>
        </is>
      </c>
      <c r="AK922" s="2" t="inlineStr">
        <is>
          <t>-149 to -120</t>
        </is>
      </c>
      <c r="AL922" s="2" t="inlineStr">
        <is>
          <t>2026 Frozen Test</t>
        </is>
      </c>
      <c r="AM922" s="6" t="n">
        <v>0.336398613030544</v>
      </c>
    </row>
    <row r="923">
      <c r="A923" s="2" t="inlineStr">
        <is>
          <t>KPROP-00922</t>
        </is>
      </c>
      <c r="B923" s="3" t="n">
        <v>46179.59763888889</v>
      </c>
      <c r="C923" s="3" t="n">
        <v>46179</v>
      </c>
      <c r="D923" s="2" t="inlineStr">
        <is>
          <t>Landen Roupp</t>
        </is>
      </c>
      <c r="E923" s="2" t="n">
        <v>137</v>
      </c>
      <c r="F923" s="2" t="n">
        <v>112</v>
      </c>
      <c r="G923" s="2" t="inlineStr">
        <is>
          <t>Away</t>
        </is>
      </c>
      <c r="H923" s="2" t="inlineStr">
        <is>
          <t>bovada</t>
        </is>
      </c>
      <c r="I923" s="4" t="n"/>
      <c r="J923" s="4" t="n"/>
      <c r="K923" s="4" t="n">
        <v>120</v>
      </c>
      <c r="L923" s="4" t="n">
        <v>120</v>
      </c>
      <c r="M923" s="5" t="n">
        <v>4.5</v>
      </c>
      <c r="N923" s="5" t="n">
        <v>4.607036026242846</v>
      </c>
      <c r="O923" s="5" t="n">
        <v>4.5</v>
      </c>
      <c r="P923" s="5" t="n">
        <v>-0.107036026242846</v>
      </c>
      <c r="Q923" s="6" t="n">
        <v>0.1262133479953106</v>
      </c>
      <c r="R923" s="6" t="n">
        <v>0.5119151581796866</v>
      </c>
      <c r="S923" s="6" t="n">
        <v>0.4357962697274032</v>
      </c>
      <c r="T923" s="2" t="inlineStr">
        <is>
          <t>Under</t>
        </is>
      </c>
      <c r="U923" s="4" t="n">
        <v>120</v>
      </c>
      <c r="V923" s="2" t="n">
        <v>2.2</v>
      </c>
      <c r="W923" s="4" t="n">
        <v>120</v>
      </c>
      <c r="X923" s="2" t="n">
        <v>1</v>
      </c>
      <c r="Y923" s="5" t="n">
        <v>-1</v>
      </c>
      <c r="Z923" s="7" t="n">
        <v>100</v>
      </c>
      <c r="AA923" s="7">
        <f>Y923*Z923</f>
        <v/>
      </c>
      <c r="AB923" s="6">
        <f>IF(Z923=0,0,AA923/Z923)</f>
        <v/>
      </c>
      <c r="AC923" s="6" t="n"/>
      <c r="AD923" s="2" t="inlineStr">
        <is>
          <t>Loss</t>
        </is>
      </c>
      <c r="AE923" s="6">
        <f>IF((COUNTIF($AD$2:AD923,"Win")+COUNTIF($AD$2:AD923,"Loss"))=0,0,COUNTIF($AD$2:AD923,"Win")/(COUNTIF($AD$2:AD923,"Win")+COUNTIF($AD$2:AD923,"Loss")))</f>
        <v/>
      </c>
      <c r="AF923" s="6">
        <f>SUM($Y$2:Y923)/SUM($X$2:X923)</f>
        <v/>
      </c>
      <c r="AG923" s="5">
        <f>SUM($Y$2:Y923)</f>
        <v/>
      </c>
      <c r="AH923" s="7">
        <f>10000.0+SUM($AA$2:AA923)</f>
        <v/>
      </c>
      <c r="AI923" s="2" t="n">
        <v>2026</v>
      </c>
      <c r="AJ923" s="2" t="inlineStr">
        <is>
          <t>2026-06</t>
        </is>
      </c>
      <c r="AK923" s="2" t="inlineStr">
        <is>
          <t>+100 to +120</t>
        </is>
      </c>
      <c r="AL923" s="2" t="inlineStr">
        <is>
          <t>2026 Frozen Test</t>
        </is>
      </c>
      <c r="AM923" s="6" t="n">
        <v>0.1051777899960921</v>
      </c>
    </row>
    <row r="924">
      <c r="A924" s="2" t="inlineStr">
        <is>
          <t>KPROP-00923</t>
        </is>
      </c>
      <c r="B924" s="3" t="n">
        <v>46179.59763888889</v>
      </c>
      <c r="C924" s="3" t="n">
        <v>46179</v>
      </c>
      <c r="D924" s="2" t="inlineStr">
        <is>
          <t>Landen Roupp</t>
        </is>
      </c>
      <c r="E924" s="2" t="n">
        <v>137</v>
      </c>
      <c r="F924" s="2" t="n">
        <v>112</v>
      </c>
      <c r="G924" s="2" t="inlineStr">
        <is>
          <t>Away</t>
        </is>
      </c>
      <c r="H924" s="2" t="inlineStr">
        <is>
          <t>draftkings</t>
        </is>
      </c>
      <c r="I924" s="4" t="n"/>
      <c r="J924" s="4" t="n"/>
      <c r="K924" s="4" t="n">
        <v>-157</v>
      </c>
      <c r="L924" s="4" t="n">
        <v>-157</v>
      </c>
      <c r="M924" s="5" t="n">
        <v>5.5</v>
      </c>
      <c r="N924" s="5" t="n">
        <v>4.607036026242846</v>
      </c>
      <c r="O924" s="5" t="n">
        <v>5.5</v>
      </c>
      <c r="P924" s="5" t="n">
        <v>0.892963973757154</v>
      </c>
      <c r="Q924" s="6" t="n">
        <v>0.1205613133930353</v>
      </c>
      <c r="R924" s="6" t="n">
        <v>0.6845452381428271</v>
      </c>
      <c r="S924" s="6" t="n">
        <v>0.5894240754053839</v>
      </c>
      <c r="T924" s="2" t="inlineStr">
        <is>
          <t>Under</t>
        </is>
      </c>
      <c r="U924" s="4" t="n">
        <v>-157</v>
      </c>
      <c r="V924" s="2" t="n">
        <v>1.636942675159236</v>
      </c>
      <c r="W924" s="4" t="n">
        <v>-157</v>
      </c>
      <c r="X924" s="2" t="n">
        <v>1</v>
      </c>
      <c r="Y924" s="5" t="n">
        <v>0.6369426751592355</v>
      </c>
      <c r="Z924" s="7" t="n">
        <v>100</v>
      </c>
      <c r="AA924" s="7">
        <f>Y924*Z924</f>
        <v/>
      </c>
      <c r="AB924" s="6">
        <f>IF(Z924=0,0,AA924/Z924)</f>
        <v/>
      </c>
      <c r="AC924" s="6" t="n"/>
      <c r="AD924" s="2" t="inlineStr">
        <is>
          <t>Win</t>
        </is>
      </c>
      <c r="AE924" s="6">
        <f>IF((COUNTIF($AD$2:AD924,"Win")+COUNTIF($AD$2:AD924,"Loss"))=0,0,COUNTIF($AD$2:AD924,"Win")/(COUNTIF($AD$2:AD924,"Win")+COUNTIF($AD$2:AD924,"Loss")))</f>
        <v/>
      </c>
      <c r="AF924" s="6">
        <f>SUM($Y$2:Y924)/SUM($X$2:X924)</f>
        <v/>
      </c>
      <c r="AG924" s="5">
        <f>SUM($Y$2:Y924)</f>
        <v/>
      </c>
      <c r="AH924" s="7">
        <f>10000.0+SUM($AA$2:AA924)</f>
        <v/>
      </c>
      <c r="AI924" s="2" t="n">
        <v>2026</v>
      </c>
      <c r="AJ924" s="2" t="inlineStr">
        <is>
          <t>2026-06</t>
        </is>
      </c>
      <c r="AK924" s="2" t="inlineStr">
        <is>
          <t>&lt;= -150</t>
        </is>
      </c>
      <c r="AL924" s="2" t="inlineStr">
        <is>
          <t>2026 Frozen Test</t>
        </is>
      </c>
      <c r="AM924" s="6" t="n">
        <v>0.1892812620270655</v>
      </c>
    </row>
    <row r="925">
      <c r="A925" s="2" t="inlineStr">
        <is>
          <t>KPROP-00924</t>
        </is>
      </c>
      <c r="B925" s="3" t="n">
        <v>46179.67402777778</v>
      </c>
      <c r="C925" s="3" t="n">
        <v>46179</v>
      </c>
      <c r="D925" s="2" t="inlineStr">
        <is>
          <t>Shane McClanahan</t>
        </is>
      </c>
      <c r="E925" s="2" t="n">
        <v>139</v>
      </c>
      <c r="F925" s="2" t="n">
        <v>146</v>
      </c>
      <c r="G925" s="2" t="inlineStr">
        <is>
          <t>Away</t>
        </is>
      </c>
      <c r="H925" s="2" t="inlineStr">
        <is>
          <t>betmgm</t>
        </is>
      </c>
      <c r="I925" s="4" t="n"/>
      <c r="J925" s="4" t="n"/>
      <c r="K925" s="4" t="n">
        <v>-140</v>
      </c>
      <c r="L925" s="4" t="n">
        <v>-140</v>
      </c>
      <c r="M925" s="5" t="n">
        <v>5.5</v>
      </c>
      <c r="N925" s="5" t="n">
        <v>4.858098220941717</v>
      </c>
      <c r="O925" s="5" t="n">
        <v>5.5</v>
      </c>
      <c r="P925" s="5" t="n">
        <v>0.6419017790582826</v>
      </c>
      <c r="Q925" s="6" t="n">
        <v>0.09858773175979491</v>
      </c>
      <c r="R925" s="6" t="n">
        <v>0.640842843526547</v>
      </c>
      <c r="S925" s="6" t="n">
        <v>0.5686556434219986</v>
      </c>
      <c r="T925" s="2" t="inlineStr">
        <is>
          <t>Under</t>
        </is>
      </c>
      <c r="U925" s="4" t="n">
        <v>-140</v>
      </c>
      <c r="V925" s="2" t="n">
        <v>1.714285714285714</v>
      </c>
      <c r="W925" s="4" t="n">
        <v>-140</v>
      </c>
      <c r="X925" s="2" t="n">
        <v>1</v>
      </c>
      <c r="Y925" s="5" t="n">
        <v>-1</v>
      </c>
      <c r="Z925" s="7" t="n">
        <v>100</v>
      </c>
      <c r="AA925" s="7">
        <f>Y925*Z925</f>
        <v/>
      </c>
      <c r="AB925" s="6">
        <f>IF(Z925=0,0,AA925/Z925)</f>
        <v/>
      </c>
      <c r="AC925" s="6" t="n"/>
      <c r="AD925" s="2" t="inlineStr">
        <is>
          <t>Loss</t>
        </is>
      </c>
      <c r="AE925" s="6">
        <f>IF((COUNTIF($AD$2:AD925,"Win")+COUNTIF($AD$2:AD925,"Loss"))=0,0,COUNTIF($AD$2:AD925,"Win")/(COUNTIF($AD$2:AD925,"Win")+COUNTIF($AD$2:AD925,"Loss")))</f>
        <v/>
      </c>
      <c r="AF925" s="6">
        <f>SUM($Y$2:Y925)/SUM($X$2:X925)</f>
        <v/>
      </c>
      <c r="AG925" s="5">
        <f>SUM($Y$2:Y925)</f>
        <v/>
      </c>
      <c r="AH925" s="7">
        <f>10000.0+SUM($AA$2:AA925)</f>
        <v/>
      </c>
      <c r="AI925" s="2" t="n">
        <v>2026</v>
      </c>
      <c r="AJ925" s="2" t="inlineStr">
        <is>
          <t>2026-06</t>
        </is>
      </c>
      <c r="AK925" s="2" t="inlineStr">
        <is>
          <t>-149 to -120</t>
        </is>
      </c>
      <c r="AL925" s="2" t="inlineStr">
        <is>
          <t>2026 Frozen Test</t>
        </is>
      </c>
      <c r="AM925" s="6" t="n">
        <v>0.1380228244637128</v>
      </c>
    </row>
    <row r="926">
      <c r="A926" s="2" t="inlineStr">
        <is>
          <t>KPROP-00925</t>
        </is>
      </c>
      <c r="B926" s="3" t="n">
        <v>46179.67402777778</v>
      </c>
      <c r="C926" s="3" t="n">
        <v>46179</v>
      </c>
      <c r="D926" s="2" t="inlineStr">
        <is>
          <t>Spencer Strider</t>
        </is>
      </c>
      <c r="E926" s="2" t="n">
        <v>144</v>
      </c>
      <c r="F926" s="2" t="n">
        <v>134</v>
      </c>
      <c r="G926" s="2" t="inlineStr">
        <is>
          <t>Home</t>
        </is>
      </c>
      <c r="H926" s="2" t="inlineStr">
        <is>
          <t>draftkings</t>
        </is>
      </c>
      <c r="I926" s="4" t="n"/>
      <c r="J926" s="4" t="n"/>
      <c r="K926" s="4" t="n">
        <v>-131</v>
      </c>
      <c r="L926" s="4" t="n">
        <v>-131</v>
      </c>
      <c r="M926" s="5" t="n">
        <v>6.5</v>
      </c>
      <c r="N926" s="5" t="n">
        <v>5.222871098736406</v>
      </c>
      <c r="O926" s="5" t="n">
        <v>6.5</v>
      </c>
      <c r="P926" s="5" t="n">
        <v>1.277128901263594</v>
      </c>
      <c r="Q926" s="6" t="n">
        <v>0.285352389096208</v>
      </c>
      <c r="R926" s="6" t="n">
        <v>0.7289227834268539</v>
      </c>
      <c r="S926" s="6" t="n">
        <v>0.548245785582978</v>
      </c>
      <c r="T926" s="2" t="inlineStr">
        <is>
          <t>Under</t>
        </is>
      </c>
      <c r="U926" s="4" t="n">
        <v>-131</v>
      </c>
      <c r="V926" s="2" t="n">
        <v>1.763358778625954</v>
      </c>
      <c r="W926" s="4" t="n">
        <v>-131</v>
      </c>
      <c r="X926" s="2" t="n">
        <v>1</v>
      </c>
      <c r="Y926" s="5" t="n">
        <v>0.7633587786259541</v>
      </c>
      <c r="Z926" s="7" t="n">
        <v>100</v>
      </c>
      <c r="AA926" s="7">
        <f>Y926*Z926</f>
        <v/>
      </c>
      <c r="AB926" s="6">
        <f>IF(Z926=0,0,AA926/Z926)</f>
        <v/>
      </c>
      <c r="AC926" s="6" t="n"/>
      <c r="AD926" s="2" t="inlineStr">
        <is>
          <t>Win</t>
        </is>
      </c>
      <c r="AE926" s="6">
        <f>IF((COUNTIF($AD$2:AD926,"Win")+COUNTIF($AD$2:AD926,"Loss"))=0,0,COUNTIF($AD$2:AD926,"Win")/(COUNTIF($AD$2:AD926,"Win")+COUNTIF($AD$2:AD926,"Loss")))</f>
        <v/>
      </c>
      <c r="AF926" s="6">
        <f>SUM($Y$2:Y926)/SUM($X$2:X926)</f>
        <v/>
      </c>
      <c r="AG926" s="5">
        <f>SUM($Y$2:Y926)</f>
        <v/>
      </c>
      <c r="AH926" s="7">
        <f>10000.0+SUM($AA$2:AA926)</f>
        <v/>
      </c>
      <c r="AI926" s="2" t="n">
        <v>2026</v>
      </c>
      <c r="AJ926" s="2" t="inlineStr">
        <is>
          <t>2026-06</t>
        </is>
      </c>
      <c r="AK926" s="2" t="inlineStr">
        <is>
          <t>-149 to -120</t>
        </is>
      </c>
      <c r="AL926" s="2" t="inlineStr">
        <is>
          <t>2026 Frozen Test</t>
        </is>
      </c>
      <c r="AM926" s="6" t="n">
        <v>0.3738116297160325</v>
      </c>
    </row>
    <row r="927">
      <c r="A927" s="2" t="inlineStr">
        <is>
          <t>KPROP-00926</t>
        </is>
      </c>
      <c r="B927" s="3" t="n">
        <v>46179.67402777778</v>
      </c>
      <c r="C927" s="3" t="n">
        <v>46179</v>
      </c>
      <c r="D927" s="2" t="inlineStr">
        <is>
          <t>Tatsuya Imai</t>
        </is>
      </c>
      <c r="E927" s="2" t="n">
        <v>117</v>
      </c>
      <c r="F927" s="2" t="n">
        <v>133</v>
      </c>
      <c r="G927" s="2" t="inlineStr">
        <is>
          <t>Home</t>
        </is>
      </c>
      <c r="H927" s="2" t="inlineStr">
        <is>
          <t>bovada</t>
        </is>
      </c>
      <c r="I927" s="4" t="n"/>
      <c r="J927" s="4" t="n"/>
      <c r="K927" s="4" t="n">
        <v>130</v>
      </c>
      <c r="L927" s="4" t="n">
        <v>130</v>
      </c>
      <c r="M927" s="5" t="n">
        <v>4.5</v>
      </c>
      <c r="N927" s="5" t="n">
        <v>4.794555902310401</v>
      </c>
      <c r="O927" s="5" t="n">
        <v>4.5</v>
      </c>
      <c r="P927" s="5" t="n">
        <v>-0.2945559023104014</v>
      </c>
      <c r="Q927" s="6" t="n">
        <v>0.0976754261124315</v>
      </c>
      <c r="R927" s="6" t="n">
        <v>0.4772501852662746</v>
      </c>
      <c r="S927" s="6" t="n">
        <v>0.4170073589533933</v>
      </c>
      <c r="T927" s="2" t="inlineStr">
        <is>
          <t>Under</t>
        </is>
      </c>
      <c r="U927" s="4" t="n">
        <v>130</v>
      </c>
      <c r="V927" s="2" t="n">
        <v>2.3</v>
      </c>
      <c r="W927" s="4" t="n">
        <v>130</v>
      </c>
      <c r="X927" s="2" t="n">
        <v>1</v>
      </c>
      <c r="Y927" s="5" t="n">
        <v>-1</v>
      </c>
      <c r="Z927" s="7" t="n">
        <v>100</v>
      </c>
      <c r="AA927" s="7">
        <f>Y927*Z927</f>
        <v/>
      </c>
      <c r="AB927" s="6">
        <f>IF(Z927=0,0,AA927/Z927)</f>
        <v/>
      </c>
      <c r="AC927" s="6" t="n"/>
      <c r="AD927" s="2" t="inlineStr">
        <is>
          <t>Loss</t>
        </is>
      </c>
      <c r="AE927" s="6">
        <f>IF((COUNTIF($AD$2:AD927,"Win")+COUNTIF($AD$2:AD927,"Loss"))=0,0,COUNTIF($AD$2:AD927,"Win")/(COUNTIF($AD$2:AD927,"Win")+COUNTIF($AD$2:AD927,"Loss")))</f>
        <v/>
      </c>
      <c r="AF927" s="6">
        <f>SUM($Y$2:Y927)/SUM($X$2:X927)</f>
        <v/>
      </c>
      <c r="AG927" s="5">
        <f>SUM($Y$2:Y927)</f>
        <v/>
      </c>
      <c r="AH927" s="7">
        <f>10000.0+SUM($AA$2:AA927)</f>
        <v/>
      </c>
      <c r="AI927" s="2" t="n">
        <v>2026</v>
      </c>
      <c r="AJ927" s="2" t="inlineStr">
        <is>
          <t>2026-06</t>
        </is>
      </c>
      <c r="AK927" s="2" t="inlineStr">
        <is>
          <t>+121 to +150</t>
        </is>
      </c>
      <c r="AL927" s="2" t="inlineStr">
        <is>
          <t>2026 Frozen Test</t>
        </is>
      </c>
      <c r="AM927" s="6" t="n">
        <v>0.07513494316340887</v>
      </c>
    </row>
    <row r="928">
      <c r="A928" s="2" t="inlineStr">
        <is>
          <t>KPROP-00927</t>
        </is>
      </c>
      <c r="B928" s="3" t="n">
        <v>46180.56638888889</v>
      </c>
      <c r="C928" s="3" t="n">
        <v>46180</v>
      </c>
      <c r="D928" s="2" t="inlineStr">
        <is>
          <t>Aaron Nola</t>
        </is>
      </c>
      <c r="E928" s="2" t="n">
        <v>143</v>
      </c>
      <c r="F928" s="2" t="n">
        <v>145</v>
      </c>
      <c r="G928" s="2" t="inlineStr">
        <is>
          <t>Home</t>
        </is>
      </c>
      <c r="H928" s="2" t="inlineStr">
        <is>
          <t>draftkings</t>
        </is>
      </c>
      <c r="I928" s="4" t="n"/>
      <c r="J928" s="4" t="n"/>
      <c r="K928" s="4" t="n">
        <v>-124</v>
      </c>
      <c r="L928" s="4" t="n">
        <v>-124</v>
      </c>
      <c r="M928" s="5" t="n">
        <v>5.5</v>
      </c>
      <c r="N928" s="5" t="n">
        <v>4.655255557429843</v>
      </c>
      <c r="O928" s="5" t="n">
        <v>5.5</v>
      </c>
      <c r="P928" s="5" t="n">
        <v>0.8447444425701569</v>
      </c>
      <c r="Q928" s="6" t="n">
        <v>0.2215310943397557</v>
      </c>
      <c r="R928" s="6" t="n">
        <v>0.676204712938079</v>
      </c>
      <c r="S928" s="6" t="n">
        <v>0.5434162250305749</v>
      </c>
      <c r="T928" s="2" t="inlineStr">
        <is>
          <t>Under</t>
        </is>
      </c>
      <c r="U928" s="4" t="n">
        <v>-124</v>
      </c>
      <c r="V928" s="2" t="n">
        <v>1.806451612903226</v>
      </c>
      <c r="W928" s="4" t="n">
        <v>-124</v>
      </c>
      <c r="X928" s="2" t="n">
        <v>1</v>
      </c>
      <c r="Y928" s="5" t="n">
        <v>0.8064516129032258</v>
      </c>
      <c r="Z928" s="7" t="n">
        <v>100</v>
      </c>
      <c r="AA928" s="7">
        <f>Y928*Z928</f>
        <v/>
      </c>
      <c r="AB928" s="6">
        <f>IF(Z928=0,0,AA928/Z928)</f>
        <v/>
      </c>
      <c r="AC928" s="6" t="n"/>
      <c r="AD928" s="2" t="inlineStr">
        <is>
          <t>Win</t>
        </is>
      </c>
      <c r="AE928" s="6">
        <f>IF((COUNTIF($AD$2:AD928,"Win")+COUNTIF($AD$2:AD928,"Loss"))=0,0,COUNTIF($AD$2:AD928,"Win")/(COUNTIF($AD$2:AD928,"Win")+COUNTIF($AD$2:AD928,"Loss")))</f>
        <v/>
      </c>
      <c r="AF928" s="6">
        <f>SUM($Y$2:Y928)/SUM($X$2:X928)</f>
        <v/>
      </c>
      <c r="AG928" s="5">
        <f>SUM($Y$2:Y928)</f>
        <v/>
      </c>
      <c r="AH928" s="7">
        <f>10000.0+SUM($AA$2:AA928)</f>
        <v/>
      </c>
      <c r="AI928" s="2" t="n">
        <v>2026</v>
      </c>
      <c r="AJ928" s="2" t="inlineStr">
        <is>
          <t>2026-06</t>
        </is>
      </c>
      <c r="AK928" s="2" t="inlineStr">
        <is>
          <t>-149 to -120</t>
        </is>
      </c>
      <c r="AL928" s="2" t="inlineStr">
        <is>
          <t>2026 Frozen Test</t>
        </is>
      </c>
      <c r="AM928" s="6" t="n">
        <v>0.2746985569812971</v>
      </c>
    </row>
    <row r="929">
      <c r="A929" s="2" t="inlineStr">
        <is>
          <t>KPROP-00928</t>
        </is>
      </c>
      <c r="B929" s="3" t="n">
        <v>46180.56638888889</v>
      </c>
      <c r="C929" s="3" t="n">
        <v>46180</v>
      </c>
      <c r="D929" s="2" t="inlineStr">
        <is>
          <t>Bryce Elder</t>
        </is>
      </c>
      <c r="E929" s="2" t="n">
        <v>144</v>
      </c>
      <c r="F929" s="2" t="n">
        <v>134</v>
      </c>
      <c r="G929" s="2" t="inlineStr">
        <is>
          <t>Home</t>
        </is>
      </c>
      <c r="H929" s="2" t="inlineStr">
        <is>
          <t>draftkings</t>
        </is>
      </c>
      <c r="I929" s="4" t="n"/>
      <c r="J929" s="4" t="n"/>
      <c r="K929" s="4" t="n">
        <v>123</v>
      </c>
      <c r="L929" s="4" t="n">
        <v>123</v>
      </c>
      <c r="M929" s="5" t="n">
        <v>4.5</v>
      </c>
      <c r="N929" s="5" t="n">
        <v>4.534029747685084</v>
      </c>
      <c r="O929" s="5" t="n">
        <v>4.5</v>
      </c>
      <c r="P929" s="5" t="n">
        <v>-0.03402974768508393</v>
      </c>
      <c r="Q929" s="6" t="n">
        <v>0.1722149123973327</v>
      </c>
      <c r="R929" s="6" t="n">
        <v>0.5256569113889384</v>
      </c>
      <c r="S929" s="6" t="n">
        <v>0.4466501240694789</v>
      </c>
      <c r="T929" s="2" t="inlineStr">
        <is>
          <t>Under</t>
        </is>
      </c>
      <c r="U929" s="4" t="n">
        <v>123</v>
      </c>
      <c r="V929" s="2" t="n">
        <v>2.23</v>
      </c>
      <c r="W929" s="4" t="n">
        <v>123</v>
      </c>
      <c r="X929" s="2" t="n">
        <v>1</v>
      </c>
      <c r="Y929" s="5" t="n">
        <v>1.23</v>
      </c>
      <c r="Z929" s="7" t="n">
        <v>100</v>
      </c>
      <c r="AA929" s="7">
        <f>Y929*Z929</f>
        <v/>
      </c>
      <c r="AB929" s="6">
        <f>IF(Z929=0,0,AA929/Z929)</f>
        <v/>
      </c>
      <c r="AC929" s="6" t="n"/>
      <c r="AD929" s="2" t="inlineStr">
        <is>
          <t>Win</t>
        </is>
      </c>
      <c r="AE929" s="6">
        <f>IF((COUNTIF($AD$2:AD929,"Win")+COUNTIF($AD$2:AD929,"Loss"))=0,0,COUNTIF($AD$2:AD929,"Win")/(COUNTIF($AD$2:AD929,"Win")+COUNTIF($AD$2:AD929,"Loss")))</f>
        <v/>
      </c>
      <c r="AF929" s="6">
        <f>SUM($Y$2:Y929)/SUM($X$2:X929)</f>
        <v/>
      </c>
      <c r="AG929" s="5">
        <f>SUM($Y$2:Y929)</f>
        <v/>
      </c>
      <c r="AH929" s="7">
        <f>10000.0+SUM($AA$2:AA929)</f>
        <v/>
      </c>
      <c r="AI929" s="2" t="n">
        <v>2026</v>
      </c>
      <c r="AJ929" s="2" t="inlineStr">
        <is>
          <t>2026-06</t>
        </is>
      </c>
      <c r="AK929" s="2" t="inlineStr">
        <is>
          <t>+121 to +150</t>
        </is>
      </c>
      <c r="AL929" s="2" t="inlineStr">
        <is>
          <t>2026 Frozen Test</t>
        </is>
      </c>
      <c r="AM929" s="6" t="n">
        <v>0.1400121239002705</v>
      </c>
    </row>
    <row r="930">
      <c r="A930" s="2" t="inlineStr">
        <is>
          <t>KPROP-00929</t>
        </is>
      </c>
      <c r="B930" s="3" t="n">
        <v>46180.56638888889</v>
      </c>
      <c r="C930" s="3" t="n">
        <v>46180</v>
      </c>
      <c r="D930" s="2" t="inlineStr">
        <is>
          <t>Cam Schlittler</t>
        </is>
      </c>
      <c r="E930" s="2" t="n">
        <v>147</v>
      </c>
      <c r="F930" s="2" t="n">
        <v>111</v>
      </c>
      <c r="G930" s="2" t="inlineStr">
        <is>
          <t>Home</t>
        </is>
      </c>
      <c r="H930" s="2" t="inlineStr">
        <is>
          <t>draftkings</t>
        </is>
      </c>
      <c r="I930" s="4" t="n"/>
      <c r="J930" s="4" t="n"/>
      <c r="K930" s="4" t="n">
        <v>122</v>
      </c>
      <c r="L930" s="4" t="n">
        <v>122</v>
      </c>
      <c r="M930" s="5" t="n">
        <v>5.5</v>
      </c>
      <c r="N930" s="5" t="n">
        <v>5.250241847319014</v>
      </c>
      <c r="O930" s="5" t="n">
        <v>5.5</v>
      </c>
      <c r="P930" s="5" t="n">
        <v>0.249758152680986</v>
      </c>
      <c r="Q930" s="6" t="n">
        <v>0.2701522232111278</v>
      </c>
      <c r="R930" s="6" t="n">
        <v>0.5721406410860936</v>
      </c>
      <c r="S930" s="6" t="n">
        <v>0.4256384576865299</v>
      </c>
      <c r="T930" s="2" t="inlineStr">
        <is>
          <t>Under</t>
        </is>
      </c>
      <c r="U930" s="4" t="n">
        <v>122</v>
      </c>
      <c r="V930" s="2" t="n">
        <v>2.22</v>
      </c>
      <c r="W930" s="4" t="n">
        <v>122</v>
      </c>
      <c r="X930" s="2" t="n">
        <v>1</v>
      </c>
      <c r="Y930" s="5" t="n">
        <v>1.22</v>
      </c>
      <c r="Z930" s="7" t="n">
        <v>100</v>
      </c>
      <c r="AA930" s="7">
        <f>Y930*Z930</f>
        <v/>
      </c>
      <c r="AB930" s="6">
        <f>IF(Z930=0,0,AA930/Z930)</f>
        <v/>
      </c>
      <c r="AC930" s="6" t="n"/>
      <c r="AD930" s="2" t="inlineStr">
        <is>
          <t>Win</t>
        </is>
      </c>
      <c r="AE930" s="6">
        <f>IF((COUNTIF($AD$2:AD930,"Win")+COUNTIF($AD$2:AD930,"Loss"))=0,0,COUNTIF($AD$2:AD930,"Win")/(COUNTIF($AD$2:AD930,"Win")+COUNTIF($AD$2:AD930,"Loss")))</f>
        <v/>
      </c>
      <c r="AF930" s="6">
        <f>SUM($Y$2:Y930)/SUM($X$2:X930)</f>
        <v/>
      </c>
      <c r="AG930" s="5">
        <f>SUM($Y$2:Y930)</f>
        <v/>
      </c>
      <c r="AH930" s="7">
        <f>10000.0+SUM($AA$2:AA930)</f>
        <v/>
      </c>
      <c r="AI930" s="2" t="n">
        <v>2026</v>
      </c>
      <c r="AJ930" s="2" t="inlineStr">
        <is>
          <t>2026-06</t>
        </is>
      </c>
      <c r="AK930" s="2" t="inlineStr">
        <is>
          <t>+121 to +150</t>
        </is>
      </c>
      <c r="AL930" s="2" t="inlineStr">
        <is>
          <t>2026 Frozen Test</t>
        </is>
      </c>
      <c r="AM930" s="6" t="n">
        <v>0.2214362485337113</v>
      </c>
    </row>
    <row r="931">
      <c r="A931" s="2" t="inlineStr">
        <is>
          <t>KPROP-00930</t>
        </is>
      </c>
      <c r="B931" s="3" t="n">
        <v>46180.56638888889</v>
      </c>
      <c r="C931" s="3" t="n">
        <v>46180</v>
      </c>
      <c r="D931" s="2" t="inlineStr">
        <is>
          <t>Cam Schlittler</t>
        </is>
      </c>
      <c r="E931" s="2" t="n">
        <v>147</v>
      </c>
      <c r="F931" s="2" t="n">
        <v>111</v>
      </c>
      <c r="G931" s="2" t="inlineStr">
        <is>
          <t>Home</t>
        </is>
      </c>
      <c r="H931" s="2" t="inlineStr">
        <is>
          <t>betrivers</t>
        </is>
      </c>
      <c r="I931" s="4" t="n"/>
      <c r="J931" s="4" t="n"/>
      <c r="K931" s="4" t="n">
        <v>-157</v>
      </c>
      <c r="L931" s="4" t="n">
        <v>-157</v>
      </c>
      <c r="M931" s="5" t="n">
        <v>6.5</v>
      </c>
      <c r="N931" s="5" t="n">
        <v>5.250241847319014</v>
      </c>
      <c r="O931" s="5" t="n">
        <v>6.5</v>
      </c>
      <c r="P931" s="5" t="n">
        <v>1.249758152680986</v>
      </c>
      <c r="Q931" s="6" t="n">
        <v>0.1863806048971304</v>
      </c>
      <c r="R931" s="6" t="n">
        <v>0.7247539103846283</v>
      </c>
      <c r="S931" s="6" t="n">
        <v>0.5863112484708004</v>
      </c>
      <c r="T931" s="2" t="inlineStr">
        <is>
          <t>Under</t>
        </is>
      </c>
      <c r="U931" s="4" t="n">
        <v>-157</v>
      </c>
      <c r="V931" s="2" t="n">
        <v>1.636942675159236</v>
      </c>
      <c r="W931" s="4" t="n">
        <v>-157</v>
      </c>
      <c r="X931" s="2" t="n">
        <v>1</v>
      </c>
      <c r="Y931" s="5" t="n">
        <v>0.6369426751592355</v>
      </c>
      <c r="Z931" s="7" t="n">
        <v>100</v>
      </c>
      <c r="AA931" s="7">
        <f>Y931*Z931</f>
        <v/>
      </c>
      <c r="AB931" s="6">
        <f>IF(Z931=0,0,AA931/Z931)</f>
        <v/>
      </c>
      <c r="AC931" s="6" t="n"/>
      <c r="AD931" s="2" t="inlineStr">
        <is>
          <t>Win</t>
        </is>
      </c>
      <c r="AE931" s="6">
        <f>IF((COUNTIF($AD$2:AD931,"Win")+COUNTIF($AD$2:AD931,"Loss"))=0,0,COUNTIF($AD$2:AD931,"Win")/(COUNTIF($AD$2:AD931,"Win")+COUNTIF($AD$2:AD931,"Loss")))</f>
        <v/>
      </c>
      <c r="AF931" s="6">
        <f>SUM($Y$2:Y931)/SUM($X$2:X931)</f>
        <v/>
      </c>
      <c r="AG931" s="5">
        <f>SUM($Y$2:Y931)</f>
        <v/>
      </c>
      <c r="AH931" s="7">
        <f>10000.0+SUM($AA$2:AA931)</f>
        <v/>
      </c>
      <c r="AI931" s="2" t="n">
        <v>2026</v>
      </c>
      <c r="AJ931" s="2" t="inlineStr">
        <is>
          <t>2026-06</t>
        </is>
      </c>
      <c r="AK931" s="2" t="inlineStr">
        <is>
          <t>&lt;= -150</t>
        </is>
      </c>
      <c r="AL931" s="2" t="inlineStr">
        <is>
          <t>2026 Frozen Test</t>
        </is>
      </c>
      <c r="AM931" s="6" t="n">
        <v>0.2926175496884947</v>
      </c>
    </row>
    <row r="932">
      <c r="A932" s="2" t="inlineStr">
        <is>
          <t>KPROP-00931</t>
        </is>
      </c>
      <c r="B932" s="3" t="n">
        <v>46180.56986111111</v>
      </c>
      <c r="C932" s="3" t="n">
        <v>46180</v>
      </c>
      <c r="D932" s="2" t="inlineStr">
        <is>
          <t>Jack Flaherty</t>
        </is>
      </c>
      <c r="E932" s="2" t="n">
        <v>116</v>
      </c>
      <c r="F932" s="2" t="n">
        <v>136</v>
      </c>
      <c r="G932" s="2" t="inlineStr">
        <is>
          <t>Home</t>
        </is>
      </c>
      <c r="H932" s="2" t="inlineStr">
        <is>
          <t>fanduel</t>
        </is>
      </c>
      <c r="I932" s="4" t="n"/>
      <c r="J932" s="4" t="n"/>
      <c r="K932" s="4" t="n">
        <v>116</v>
      </c>
      <c r="L932" s="4" t="n">
        <v>116</v>
      </c>
      <c r="M932" s="5" t="n">
        <v>5.5</v>
      </c>
      <c r="N932" s="5" t="n">
        <v>5.089430871822168</v>
      </c>
      <c r="O932" s="5" t="n">
        <v>5.5</v>
      </c>
      <c r="P932" s="5" t="n">
        <v>0.4105691281778316</v>
      </c>
      <c r="Q932" s="6" t="n">
        <v>0.2965888169852622</v>
      </c>
      <c r="R932" s="6" t="n">
        <v>0.6002726004561398</v>
      </c>
      <c r="S932" s="6" t="n">
        <v>0.4470426409903714</v>
      </c>
      <c r="T932" s="2" t="inlineStr">
        <is>
          <t>Under</t>
        </is>
      </c>
      <c r="U932" s="4" t="n">
        <v>116</v>
      </c>
      <c r="V932" s="2" t="n">
        <v>2.16</v>
      </c>
      <c r="W932" s="4" t="n">
        <v>116</v>
      </c>
      <c r="X932" s="2" t="n">
        <v>1</v>
      </c>
      <c r="Y932" s="5" t="n">
        <v>-1</v>
      </c>
      <c r="Z932" s="7" t="n">
        <v>100</v>
      </c>
      <c r="AA932" s="7">
        <f>Y932*Z932</f>
        <v/>
      </c>
      <c r="AB932" s="6">
        <f>IF(Z932=0,0,AA932/Z932)</f>
        <v/>
      </c>
      <c r="AC932" s="6" t="n"/>
      <c r="AD932" s="2" t="inlineStr">
        <is>
          <t>Loss</t>
        </is>
      </c>
      <c r="AE932" s="6">
        <f>IF((COUNTIF($AD$2:AD932,"Win")+COUNTIF($AD$2:AD932,"Loss"))=0,0,COUNTIF($AD$2:AD932,"Win")/(COUNTIF($AD$2:AD932,"Win")+COUNTIF($AD$2:AD932,"Loss")))</f>
        <v/>
      </c>
      <c r="AF932" s="6">
        <f>SUM($Y$2:Y932)/SUM($X$2:X932)</f>
        <v/>
      </c>
      <c r="AG932" s="5">
        <f>SUM($Y$2:Y932)</f>
        <v/>
      </c>
      <c r="AH932" s="7">
        <f>10000.0+SUM($AA$2:AA932)</f>
        <v/>
      </c>
      <c r="AI932" s="2" t="n">
        <v>2026</v>
      </c>
      <c r="AJ932" s="2" t="inlineStr">
        <is>
          <t>2026-06</t>
        </is>
      </c>
      <c r="AK932" s="2" t="inlineStr">
        <is>
          <t>+100 to +120</t>
        </is>
      </c>
      <c r="AL932" s="2" t="inlineStr">
        <is>
          <t>2026 Frozen Test</t>
        </is>
      </c>
      <c r="AM932" s="6" t="n">
        <v>0.2556800146424674</v>
      </c>
    </row>
    <row r="933">
      <c r="A933" s="2" t="inlineStr">
        <is>
          <t>KPROP-00932</t>
        </is>
      </c>
      <c r="B933" s="3" t="n">
        <v>46180.60805555555</v>
      </c>
      <c r="C933" s="3" t="n">
        <v>46180</v>
      </c>
      <c r="D933" s="2" t="inlineStr">
        <is>
          <t>Jacob deGrom</t>
        </is>
      </c>
      <c r="E933" s="2" t="n">
        <v>140</v>
      </c>
      <c r="F933" s="2" t="n">
        <v>114</v>
      </c>
      <c r="G933" s="2" t="inlineStr">
        <is>
          <t>Home</t>
        </is>
      </c>
      <c r="H933" s="2" t="inlineStr">
        <is>
          <t>betrivers</t>
        </is>
      </c>
      <c r="I933" s="4" t="n"/>
      <c r="J933" s="4" t="n"/>
      <c r="K933" s="4" t="n">
        <v>120</v>
      </c>
      <c r="L933" s="4" t="n">
        <v>120</v>
      </c>
      <c r="M933" s="5" t="n">
        <v>5.5</v>
      </c>
      <c r="N933" s="5" t="n">
        <v>4.984942344528103</v>
      </c>
      <c r="O933" s="5" t="n">
        <v>5.5</v>
      </c>
      <c r="P933" s="5" t="n">
        <v>0.5150576554718969</v>
      </c>
      <c r="Q933" s="6" t="n">
        <v>0.3609260764770477</v>
      </c>
      <c r="R933" s="6" t="n">
        <v>0.6186027620350216</v>
      </c>
      <c r="S933" s="6" t="n">
        <v>0.4236739974126779</v>
      </c>
      <c r="T933" s="2" t="inlineStr">
        <is>
          <t>Under</t>
        </is>
      </c>
      <c r="U933" s="4" t="n">
        <v>120</v>
      </c>
      <c r="V933" s="2" t="n">
        <v>2.2</v>
      </c>
      <c r="W933" s="4" t="n">
        <v>120</v>
      </c>
      <c r="X933" s="2" t="n">
        <v>1</v>
      </c>
      <c r="Y933" s="5" t="n">
        <v>-1</v>
      </c>
      <c r="Z933" s="7" t="n">
        <v>100</v>
      </c>
      <c r="AA933" s="7">
        <f>Y933*Z933</f>
        <v/>
      </c>
      <c r="AB933" s="6">
        <f>IF(Z933=0,0,AA933/Z933)</f>
        <v/>
      </c>
      <c r="AC933" s="6" t="n"/>
      <c r="AD933" s="2" t="inlineStr">
        <is>
          <t>Loss</t>
        </is>
      </c>
      <c r="AE933" s="6">
        <f>IF((COUNTIF($AD$2:AD933,"Win")+COUNTIF($AD$2:AD933,"Loss"))=0,0,COUNTIF($AD$2:AD933,"Win")/(COUNTIF($AD$2:AD933,"Win")+COUNTIF($AD$2:AD933,"Loss")))</f>
        <v/>
      </c>
      <c r="AF933" s="6">
        <f>SUM($Y$2:Y933)/SUM($X$2:X933)</f>
        <v/>
      </c>
      <c r="AG933" s="5">
        <f>SUM($Y$2:Y933)</f>
        <v/>
      </c>
      <c r="AH933" s="7">
        <f>10000.0+SUM($AA$2:AA933)</f>
        <v/>
      </c>
      <c r="AI933" s="2" t="n">
        <v>2026</v>
      </c>
      <c r="AJ933" s="2" t="inlineStr">
        <is>
          <t>2026-06</t>
        </is>
      </c>
      <c r="AK933" s="2" t="inlineStr">
        <is>
          <t>+100 to +120</t>
        </is>
      </c>
      <c r="AL933" s="2" t="inlineStr">
        <is>
          <t>2026 Frozen Test</t>
        </is>
      </c>
      <c r="AM933" s="6" t="n">
        <v>0.3007717303975397</v>
      </c>
    </row>
    <row r="934">
      <c r="A934" s="2" t="inlineStr">
        <is>
          <t>KPROP-00933</t>
        </is>
      </c>
      <c r="B934" s="3" t="n">
        <v>46180.60805555555</v>
      </c>
      <c r="C934" s="3" t="n">
        <v>46180</v>
      </c>
      <c r="D934" s="2" t="inlineStr">
        <is>
          <t>Jacob deGrom</t>
        </is>
      </c>
      <c r="E934" s="2" t="n">
        <v>140</v>
      </c>
      <c r="F934" s="2" t="n">
        <v>114</v>
      </c>
      <c r="G934" s="2" t="inlineStr">
        <is>
          <t>Home</t>
        </is>
      </c>
      <c r="H934" s="2" t="inlineStr">
        <is>
          <t>betmgm</t>
        </is>
      </c>
      <c r="I934" s="4" t="n"/>
      <c r="J934" s="4" t="n"/>
      <c r="K934" s="4" t="n">
        <v>-140</v>
      </c>
      <c r="L934" s="4" t="n">
        <v>-140</v>
      </c>
      <c r="M934" s="5" t="n">
        <v>6.5</v>
      </c>
      <c r="N934" s="5" t="n">
        <v>4.984942344528103</v>
      </c>
      <c r="O934" s="5" t="n">
        <v>6.5</v>
      </c>
      <c r="P934" s="5" t="n">
        <v>1.515057655471897</v>
      </c>
      <c r="Q934" s="6" t="n">
        <v>0.3103689777007841</v>
      </c>
      <c r="R934" s="6" t="n">
        <v>0.7643819036587907</v>
      </c>
      <c r="S934" s="6" t="n">
        <v>0.5729537366548043</v>
      </c>
      <c r="T934" s="2" t="inlineStr">
        <is>
          <t>Under</t>
        </is>
      </c>
      <c r="U934" s="4" t="n">
        <v>-140</v>
      </c>
      <c r="V934" s="2" t="n">
        <v>1.714285714285714</v>
      </c>
      <c r="W934" s="4" t="n">
        <v>-140</v>
      </c>
      <c r="X934" s="2" t="n">
        <v>1</v>
      </c>
      <c r="Y934" s="5" t="n">
        <v>0.7142857142857144</v>
      </c>
      <c r="Z934" s="7" t="n">
        <v>100</v>
      </c>
      <c r="AA934" s="7">
        <f>Y934*Z934</f>
        <v/>
      </c>
      <c r="AB934" s="6">
        <f>IF(Z934=0,0,AA934/Z934)</f>
        <v/>
      </c>
      <c r="AC934" s="6" t="n"/>
      <c r="AD934" s="2" t="inlineStr">
        <is>
          <t>Win</t>
        </is>
      </c>
      <c r="AE934" s="6">
        <f>IF((COUNTIF($AD$2:AD934,"Win")+COUNTIF($AD$2:AD934,"Loss"))=0,0,COUNTIF($AD$2:AD934,"Win")/(COUNTIF($AD$2:AD934,"Win")+COUNTIF($AD$2:AD934,"Loss")))</f>
        <v/>
      </c>
      <c r="AF934" s="6">
        <f>SUM($Y$2:Y934)/SUM($X$2:X934)</f>
        <v/>
      </c>
      <c r="AG934" s="5">
        <f>SUM($Y$2:Y934)</f>
        <v/>
      </c>
      <c r="AH934" s="7">
        <f>10000.0+SUM($AA$2:AA934)</f>
        <v/>
      </c>
      <c r="AI934" s="2" t="n">
        <v>2026</v>
      </c>
      <c r="AJ934" s="2" t="inlineStr">
        <is>
          <t>2026-06</t>
        </is>
      </c>
      <c r="AK934" s="2" t="inlineStr">
        <is>
          <t>-149 to -120</t>
        </is>
      </c>
      <c r="AL934" s="2" t="inlineStr">
        <is>
          <t>2026 Frozen Test</t>
        </is>
      </c>
      <c r="AM934" s="6" t="n">
        <v>0.4345165687810976</v>
      </c>
    </row>
    <row r="935">
      <c r="A935" s="2" t="inlineStr">
        <is>
          <t>KPROP-00934</t>
        </is>
      </c>
      <c r="B935" s="3" t="n">
        <v>46180.60805555555</v>
      </c>
      <c r="C935" s="3" t="n">
        <v>46180</v>
      </c>
      <c r="D935" s="2" t="inlineStr">
        <is>
          <t>Joey Cantillo</t>
        </is>
      </c>
      <c r="E935" s="2" t="n">
        <v>114</v>
      </c>
      <c r="F935" s="2" t="n">
        <v>140</v>
      </c>
      <c r="G935" s="2" t="inlineStr">
        <is>
          <t>Away</t>
        </is>
      </c>
      <c r="H935" s="2" t="inlineStr">
        <is>
          <t>betrivers</t>
        </is>
      </c>
      <c r="I935" s="4" t="n"/>
      <c r="J935" s="4" t="n"/>
      <c r="K935" s="4" t="n">
        <v>135</v>
      </c>
      <c r="L935" s="4" t="n">
        <v>135</v>
      </c>
      <c r="M935" s="5" t="n">
        <v>4.5</v>
      </c>
      <c r="N935" s="5" t="n">
        <v>4.907016946262589</v>
      </c>
      <c r="O935" s="5" t="n">
        <v>4.5</v>
      </c>
      <c r="P935" s="5" t="n">
        <v>-0.4070169462625888</v>
      </c>
      <c r="Q935" s="6" t="n">
        <v>0.07385030965238593</v>
      </c>
      <c r="R935" s="6" t="n">
        <v>0.4569575785754834</v>
      </c>
      <c r="S935" s="6" t="n">
        <v>0.4117884537747275</v>
      </c>
      <c r="T935" s="2" t="inlineStr">
        <is>
          <t>Under</t>
        </is>
      </c>
      <c r="U935" s="4" t="n">
        <v>135</v>
      </c>
      <c r="V935" s="2" t="n">
        <v>2.35</v>
      </c>
      <c r="W935" s="4" t="n">
        <v>135</v>
      </c>
      <c r="X935" s="2" t="n">
        <v>1</v>
      </c>
      <c r="Y935" s="5" t="n">
        <v>-1</v>
      </c>
      <c r="Z935" s="7" t="n">
        <v>100</v>
      </c>
      <c r="AA935" s="7">
        <f>Y935*Z935</f>
        <v/>
      </c>
      <c r="AB935" s="6">
        <f>IF(Z935=0,0,AA935/Z935)</f>
        <v/>
      </c>
      <c r="AC935" s="6" t="n"/>
      <c r="AD935" s="2" t="inlineStr">
        <is>
          <t>Loss</t>
        </is>
      </c>
      <c r="AE935" s="6">
        <f>IF((COUNTIF($AD$2:AD935,"Win")+COUNTIF($AD$2:AD935,"Loss"))=0,0,COUNTIF($AD$2:AD935,"Win")/(COUNTIF($AD$2:AD935,"Win")+COUNTIF($AD$2:AD935,"Loss")))</f>
        <v/>
      </c>
      <c r="AF935" s="6">
        <f>SUM($Y$2:Y935)/SUM($X$2:X935)</f>
        <v/>
      </c>
      <c r="AG935" s="5">
        <f>SUM($Y$2:Y935)</f>
        <v/>
      </c>
      <c r="AH935" s="7">
        <f>10000.0+SUM($AA$2:AA935)</f>
        <v/>
      </c>
      <c r="AI935" s="2" t="n">
        <v>2026</v>
      </c>
      <c r="AJ935" s="2" t="inlineStr">
        <is>
          <t>2026-06</t>
        </is>
      </c>
      <c r="AK935" s="2" t="inlineStr">
        <is>
          <t>+121 to +150</t>
        </is>
      </c>
      <c r="AL935" s="2" t="inlineStr">
        <is>
          <t>2026 Frozen Test</t>
        </is>
      </c>
      <c r="AM935" s="6" t="n">
        <v>0.05470393307584142</v>
      </c>
    </row>
    <row r="936">
      <c r="A936" s="2" t="inlineStr">
        <is>
          <t>KPROP-00935</t>
        </is>
      </c>
      <c r="B936" s="3" t="n">
        <v>46180.56638888889</v>
      </c>
      <c r="C936" s="3" t="n">
        <v>46180</v>
      </c>
      <c r="D936" s="2" t="inlineStr">
        <is>
          <t>Kevin Gausman</t>
        </is>
      </c>
      <c r="E936" s="2" t="n">
        <v>141</v>
      </c>
      <c r="F936" s="2" t="n">
        <v>110</v>
      </c>
      <c r="G936" s="2" t="inlineStr">
        <is>
          <t>Home</t>
        </is>
      </c>
      <c r="H936" s="2" t="inlineStr">
        <is>
          <t>draftkings</t>
        </is>
      </c>
      <c r="I936" s="4" t="n"/>
      <c r="J936" s="4" t="n"/>
      <c r="K936" s="4" t="n">
        <v>-136</v>
      </c>
      <c r="L936" s="4" t="n">
        <v>-136</v>
      </c>
      <c r="M936" s="5" t="n">
        <v>6.5</v>
      </c>
      <c r="N936" s="5" t="n">
        <v>5.592728724530016</v>
      </c>
      <c r="O936" s="5" t="n">
        <v>6.5</v>
      </c>
      <c r="P936" s="5" t="n">
        <v>0.9072712754699843</v>
      </c>
      <c r="Q936" s="6" t="n">
        <v>0.1650925119734902</v>
      </c>
      <c r="R936" s="6" t="n">
        <v>0.671409244188113</v>
      </c>
      <c r="S936" s="6" t="n">
        <v>0.5590433482810164</v>
      </c>
      <c r="T936" s="2" t="inlineStr">
        <is>
          <t>Under</t>
        </is>
      </c>
      <c r="U936" s="4" t="n">
        <v>-136</v>
      </c>
      <c r="V936" s="2" t="n">
        <v>1.735294117647059</v>
      </c>
      <c r="W936" s="4" t="n">
        <v>-136</v>
      </c>
      <c r="X936" s="2" t="n">
        <v>1</v>
      </c>
      <c r="Y936" s="5" t="n">
        <v>0.7352941176470589</v>
      </c>
      <c r="Z936" s="7" t="n">
        <v>100</v>
      </c>
      <c r="AA936" s="7">
        <f>Y936*Z936</f>
        <v/>
      </c>
      <c r="AB936" s="6">
        <f>IF(Z936=0,0,AA936/Z936)</f>
        <v/>
      </c>
      <c r="AC936" s="6" t="n"/>
      <c r="AD936" s="2" t="inlineStr">
        <is>
          <t>Win</t>
        </is>
      </c>
      <c r="AE936" s="6">
        <f>IF((COUNTIF($AD$2:AD936,"Win")+COUNTIF($AD$2:AD936,"Loss"))=0,0,COUNTIF($AD$2:AD936,"Win")/(COUNTIF($AD$2:AD936,"Win")+COUNTIF($AD$2:AD936,"Loss")))</f>
        <v/>
      </c>
      <c r="AF936" s="6">
        <f>SUM($Y$2:Y936)/SUM($X$2:X936)</f>
        <v/>
      </c>
      <c r="AG936" s="5">
        <f>SUM($Y$2:Y936)</f>
        <v/>
      </c>
      <c r="AH936" s="7">
        <f>10000.0+SUM($AA$2:AA936)</f>
        <v/>
      </c>
      <c r="AI936" s="2" t="n">
        <v>2026</v>
      </c>
      <c r="AJ936" s="2" t="inlineStr">
        <is>
          <t>2026-06</t>
        </is>
      </c>
      <c r="AK936" s="2" t="inlineStr">
        <is>
          <t>-149 to -120</t>
        </is>
      </c>
      <c r="AL936" s="2" t="inlineStr">
        <is>
          <t>2026 Frozen Test</t>
        </is>
      </c>
      <c r="AM936" s="6" t="n">
        <v>0.2245258162839467</v>
      </c>
    </row>
    <row r="937">
      <c r="A937" s="2" t="inlineStr">
        <is>
          <t>KPROP-00936</t>
        </is>
      </c>
      <c r="B937" s="3" t="n">
        <v>46180.63583333333</v>
      </c>
      <c r="C937" s="3" t="n">
        <v>46180</v>
      </c>
      <c r="D937" s="2" t="inlineStr">
        <is>
          <t>Michael Soroka</t>
        </is>
      </c>
      <c r="E937" s="2" t="n">
        <v>109</v>
      </c>
      <c r="F937" s="2" t="n">
        <v>120</v>
      </c>
      <c r="G937" s="2" t="inlineStr">
        <is>
          <t>Home</t>
        </is>
      </c>
      <c r="H937" s="2" t="inlineStr">
        <is>
          <t>fanduel</t>
        </is>
      </c>
      <c r="I937" s="4" t="n"/>
      <c r="J937" s="4" t="n"/>
      <c r="K937" s="4" t="n">
        <v>122</v>
      </c>
      <c r="L937" s="4" t="n">
        <v>122</v>
      </c>
      <c r="M937" s="5" t="n">
        <v>4.5</v>
      </c>
      <c r="N937" s="5" t="n">
        <v>4.554785175976727</v>
      </c>
      <c r="O937" s="5" t="n">
        <v>4.5</v>
      </c>
      <c r="P937" s="5" t="n">
        <v>-0.05478517597672727</v>
      </c>
      <c r="Q937" s="6" t="n">
        <v>0.1582573264839047</v>
      </c>
      <c r="R937" s="6" t="n">
        <v>0.5217375344522094</v>
      </c>
      <c r="S937" s="6" t="n">
        <v>0.4288164665523156</v>
      </c>
      <c r="T937" s="2" t="inlineStr">
        <is>
          <t>Under</t>
        </is>
      </c>
      <c r="U937" s="4" t="n">
        <v>122</v>
      </c>
      <c r="V937" s="2" t="n">
        <v>2.22</v>
      </c>
      <c r="W937" s="4" t="n">
        <v>122</v>
      </c>
      <c r="X937" s="2" t="n">
        <v>1</v>
      </c>
      <c r="Y937" s="5" t="n">
        <v>-1</v>
      </c>
      <c r="Z937" s="7" t="n">
        <v>100</v>
      </c>
      <c r="AA937" s="7">
        <f>Y937*Z937</f>
        <v/>
      </c>
      <c r="AB937" s="6">
        <f>IF(Z937=0,0,AA937/Z937)</f>
        <v/>
      </c>
      <c r="AC937" s="6" t="n"/>
      <c r="AD937" s="2" t="inlineStr">
        <is>
          <t>Loss</t>
        </is>
      </c>
      <c r="AE937" s="6">
        <f>IF((COUNTIF($AD$2:AD937,"Win")+COUNTIF($AD$2:AD937,"Loss"))=0,0,COUNTIF($AD$2:AD937,"Win")/(COUNTIF($AD$2:AD937,"Win")+COUNTIF($AD$2:AD937,"Loss")))</f>
        <v/>
      </c>
      <c r="AF937" s="6">
        <f>SUM($Y$2:Y937)/SUM($X$2:X937)</f>
        <v/>
      </c>
      <c r="AG937" s="5">
        <f>SUM($Y$2:Y937)</f>
        <v/>
      </c>
      <c r="AH937" s="7">
        <f>10000.0+SUM($AA$2:AA937)</f>
        <v/>
      </c>
      <c r="AI937" s="2" t="n">
        <v>2026</v>
      </c>
      <c r="AJ937" s="2" t="inlineStr">
        <is>
          <t>2026-06</t>
        </is>
      </c>
      <c r="AK937" s="2" t="inlineStr">
        <is>
          <t>+121 to +150</t>
        </is>
      </c>
      <c r="AL937" s="2" t="inlineStr">
        <is>
          <t>2026 Frozen Test</t>
        </is>
      </c>
      <c r="AM937" s="6" t="n">
        <v>0.1297191200687743</v>
      </c>
    </row>
    <row r="938">
      <c r="A938" s="2" t="inlineStr">
        <is>
          <t>KPROP-00937</t>
        </is>
      </c>
      <c r="B938" s="3" t="n">
        <v>46180.56638888889</v>
      </c>
      <c r="C938" s="3" t="n">
        <v>46180</v>
      </c>
      <c r="D938" s="2" t="inlineStr">
        <is>
          <t>Ranger Suarez</t>
        </is>
      </c>
      <c r="E938" s="2" t="n">
        <v>111</v>
      </c>
      <c r="F938" s="2" t="n">
        <v>147</v>
      </c>
      <c r="G938" s="2" t="inlineStr">
        <is>
          <t>Away</t>
        </is>
      </c>
      <c r="H938" s="2" t="inlineStr">
        <is>
          <t>draftkings</t>
        </is>
      </c>
      <c r="I938" s="4" t="n"/>
      <c r="J938" s="4" t="n"/>
      <c r="K938" s="4" t="n">
        <v>-156</v>
      </c>
      <c r="L938" s="4" t="n">
        <v>-156</v>
      </c>
      <c r="M938" s="5" t="n">
        <v>5.5</v>
      </c>
      <c r="N938" s="5" t="n">
        <v>4.740172329509888</v>
      </c>
      <c r="O938" s="5" t="n">
        <v>5.5</v>
      </c>
      <c r="P938" s="5" t="n">
        <v>0.7598276704901119</v>
      </c>
      <c r="Q938" s="6" t="n">
        <v>0.08545116676407394</v>
      </c>
      <c r="R938" s="6" t="n">
        <v>0.6614468047468576</v>
      </c>
      <c r="S938" s="6" t="n">
        <v>0.5749767565413734</v>
      </c>
      <c r="T938" s="2" t="inlineStr">
        <is>
          <t>Under</t>
        </is>
      </c>
      <c r="U938" s="4" t="n">
        <v>-156</v>
      </c>
      <c r="V938" s="2" t="n">
        <v>1.641025641025641</v>
      </c>
      <c r="W938" s="4" t="n">
        <v>-156</v>
      </c>
      <c r="X938" s="2" t="n">
        <v>1</v>
      </c>
      <c r="Y938" s="5" t="n">
        <v>-1</v>
      </c>
      <c r="Z938" s="7" t="n">
        <v>100</v>
      </c>
      <c r="AA938" s="7">
        <f>Y938*Z938</f>
        <v/>
      </c>
      <c r="AB938" s="6">
        <f>IF(Z938=0,0,AA938/Z938)</f>
        <v/>
      </c>
      <c r="AC938" s="6" t="n"/>
      <c r="AD938" s="2" t="inlineStr">
        <is>
          <t>Loss</t>
        </is>
      </c>
      <c r="AE938" s="6">
        <f>IF((COUNTIF($AD$2:AD938,"Win")+COUNTIF($AD$2:AD938,"Loss"))=0,0,COUNTIF($AD$2:AD938,"Win")/(COUNTIF($AD$2:AD938,"Win")+COUNTIF($AD$2:AD938,"Loss")))</f>
        <v/>
      </c>
      <c r="AF938" s="6">
        <f>SUM($Y$2:Y938)/SUM($X$2:X938)</f>
        <v/>
      </c>
      <c r="AG938" s="5">
        <f>SUM($Y$2:Y938)</f>
        <v/>
      </c>
      <c r="AH938" s="7">
        <f>10000.0+SUM($AA$2:AA938)</f>
        <v/>
      </c>
      <c r="AI938" s="2" t="n">
        <v>2026</v>
      </c>
      <c r="AJ938" s="2" t="inlineStr">
        <is>
          <t>2026-06</t>
        </is>
      </c>
      <c r="AK938" s="2" t="inlineStr">
        <is>
          <t>&lt;= -150</t>
        </is>
      </c>
      <c r="AL938" s="2" t="inlineStr">
        <is>
          <t>2026 Frozen Test</t>
        </is>
      </c>
      <c r="AM938" s="6" t="n">
        <v>0.1333038201519554</v>
      </c>
    </row>
    <row r="939">
      <c r="A939" s="2" t="inlineStr">
        <is>
          <t>KPROP-00938</t>
        </is>
      </c>
      <c r="B939" s="3" t="n">
        <v>46181.79555555555</v>
      </c>
      <c r="C939" s="3" t="n">
        <v>46181</v>
      </c>
      <c r="D939" s="2" t="inlineStr">
        <is>
          <t>Cristopher Sánchez</t>
        </is>
      </c>
      <c r="E939" s="2" t="n">
        <v>143</v>
      </c>
      <c r="F939" s="2" t="n">
        <v>141</v>
      </c>
      <c r="G939" s="2" t="inlineStr">
        <is>
          <t>Away</t>
        </is>
      </c>
      <c r="H939" s="2" t="inlineStr">
        <is>
          <t>betmgm</t>
        </is>
      </c>
      <c r="I939" s="4" t="n"/>
      <c r="J939" s="4" t="n"/>
      <c r="K939" s="4" t="n">
        <v>-135</v>
      </c>
      <c r="L939" s="4" t="n">
        <v>-135</v>
      </c>
      <c r="M939" s="5" t="n">
        <v>6.5</v>
      </c>
      <c r="N939" s="5" t="n">
        <v>5.489735376442258</v>
      </c>
      <c r="O939" s="5" t="n">
        <v>6.5</v>
      </c>
      <c r="P939" s="5" t="n">
        <v>1.010264623557742</v>
      </c>
      <c r="Q939" s="6" t="n">
        <v>0.1970168406802802</v>
      </c>
      <c r="R939" s="6" t="n">
        <v>0.6876479723056929</v>
      </c>
      <c r="S939" s="6" t="n">
        <v>0.552594002855783</v>
      </c>
      <c r="T939" s="2" t="inlineStr">
        <is>
          <t>Under</t>
        </is>
      </c>
      <c r="U939" s="4" t="n">
        <v>-135</v>
      </c>
      <c r="V939" s="2" t="n">
        <v>1.740740740740741</v>
      </c>
      <c r="W939" s="4" t="n">
        <v>-135</v>
      </c>
      <c r="X939" s="2" t="n">
        <v>1</v>
      </c>
      <c r="Y939" s="5" t="n">
        <v>-1</v>
      </c>
      <c r="Z939" s="7" t="n">
        <v>100</v>
      </c>
      <c r="AA939" s="7">
        <f>Y939*Z939</f>
        <v/>
      </c>
      <c r="AB939" s="6">
        <f>IF(Z939=0,0,AA939/Z939)</f>
        <v/>
      </c>
      <c r="AC939" s="6" t="n"/>
      <c r="AD939" s="2" t="inlineStr">
        <is>
          <t>Loss</t>
        </is>
      </c>
      <c r="AE939" s="6">
        <f>IF((COUNTIF($AD$2:AD939,"Win")+COUNTIF($AD$2:AD939,"Loss"))=0,0,COUNTIF($AD$2:AD939,"Win")/(COUNTIF($AD$2:AD939,"Win")+COUNTIF($AD$2:AD939,"Loss")))</f>
        <v/>
      </c>
      <c r="AF939" s="6">
        <f>SUM($Y$2:Y939)/SUM($X$2:X939)</f>
        <v/>
      </c>
      <c r="AG939" s="5">
        <f>SUM($Y$2:Y939)</f>
        <v/>
      </c>
      <c r="AH939" s="7">
        <f>10000.0+SUM($AA$2:AA939)</f>
        <v/>
      </c>
      <c r="AI939" s="2" t="n">
        <v>2026</v>
      </c>
      <c r="AJ939" s="2" t="inlineStr">
        <is>
          <t>2026-06</t>
        </is>
      </c>
      <c r="AK939" s="2" t="inlineStr">
        <is>
          <t>-149 to -120</t>
        </is>
      </c>
      <c r="AL939" s="2" t="inlineStr">
        <is>
          <t>2026 Frozen Test</t>
        </is>
      </c>
      <c r="AM939" s="6" t="n">
        <v>0.2659727349183782</v>
      </c>
    </row>
    <row r="940">
      <c r="A940" s="2" t="inlineStr">
        <is>
          <t>KPROP-00939</t>
        </is>
      </c>
      <c r="B940" s="3" t="n">
        <v>46181.77819444444</v>
      </c>
      <c r="C940" s="3" t="n">
        <v>46181</v>
      </c>
      <c r="D940" s="2" t="inlineStr">
        <is>
          <t>Gavin Williams</t>
        </is>
      </c>
      <c r="E940" s="2" t="n">
        <v>114</v>
      </c>
      <c r="F940" s="2" t="n">
        <v>147</v>
      </c>
      <c r="G940" s="2" t="inlineStr">
        <is>
          <t>Home</t>
        </is>
      </c>
      <c r="H940" s="2" t="inlineStr">
        <is>
          <t>betrivers</t>
        </is>
      </c>
      <c r="I940" s="4" t="n"/>
      <c r="J940" s="4" t="n"/>
      <c r="K940" s="4" t="n">
        <v>118</v>
      </c>
      <c r="L940" s="4" t="n">
        <v>118</v>
      </c>
      <c r="M940" s="5" t="n">
        <v>6.5</v>
      </c>
      <c r="N940" s="5" t="n">
        <v>6.248045481844035</v>
      </c>
      <c r="O940" s="5" t="n">
        <v>6.5</v>
      </c>
      <c r="P940" s="5" t="n">
        <v>0.2519545181559648</v>
      </c>
      <c r="Q940" s="6" t="n">
        <v>0.2350300743269094</v>
      </c>
      <c r="R940" s="6" t="n">
        <v>0.5665275570306925</v>
      </c>
      <c r="S940" s="6" t="n">
        <v>0.4439826185528055</v>
      </c>
      <c r="T940" s="2" t="inlineStr">
        <is>
          <t>Under</t>
        </is>
      </c>
      <c r="U940" s="4" t="n">
        <v>118</v>
      </c>
      <c r="V940" s="2" t="n">
        <v>2.18</v>
      </c>
      <c r="W940" s="4" t="n">
        <v>118</v>
      </c>
      <c r="X940" s="2" t="n">
        <v>1</v>
      </c>
      <c r="Y940" s="5" t="n">
        <v>1.18</v>
      </c>
      <c r="Z940" s="7" t="n">
        <v>100</v>
      </c>
      <c r="AA940" s="7">
        <f>Y940*Z940</f>
        <v/>
      </c>
      <c r="AB940" s="6">
        <f>IF(Z940=0,0,AA940/Z940)</f>
        <v/>
      </c>
      <c r="AC940" s="6" t="n"/>
      <c r="AD940" s="2" t="inlineStr">
        <is>
          <t>Win</t>
        </is>
      </c>
      <c r="AE940" s="6">
        <f>IF((COUNTIF($AD$2:AD940,"Win")+COUNTIF($AD$2:AD940,"Loss"))=0,0,COUNTIF($AD$2:AD940,"Win")/(COUNTIF($AD$2:AD940,"Win")+COUNTIF($AD$2:AD940,"Loss")))</f>
        <v/>
      </c>
      <c r="AF940" s="6">
        <f>SUM($Y$2:Y940)/SUM($X$2:X940)</f>
        <v/>
      </c>
      <c r="AG940" s="5">
        <f>SUM($Y$2:Y940)</f>
        <v/>
      </c>
      <c r="AH940" s="7">
        <f>10000.0+SUM($AA$2:AA940)</f>
        <v/>
      </c>
      <c r="AI940" s="2" t="n">
        <v>2026</v>
      </c>
      <c r="AJ940" s="2" t="inlineStr">
        <is>
          <t>2026-06</t>
        </is>
      </c>
      <c r="AK940" s="2" t="inlineStr">
        <is>
          <t>+100 to +120</t>
        </is>
      </c>
      <c r="AL940" s="2" t="inlineStr">
        <is>
          <t>2026 Frozen Test</t>
        </is>
      </c>
      <c r="AM940" s="6" t="n">
        <v>0.1991780290906012</v>
      </c>
    </row>
    <row r="941">
      <c r="A941" s="2" t="inlineStr">
        <is>
          <t>KPROP-00940</t>
        </is>
      </c>
      <c r="B941" s="3" t="n">
        <v>46182.79555555555</v>
      </c>
      <c r="C941" s="3" t="n">
        <v>46182</v>
      </c>
      <c r="D941" s="2" t="inlineStr">
        <is>
          <t>Dylan Cease</t>
        </is>
      </c>
      <c r="E941" s="2" t="n">
        <v>141</v>
      </c>
      <c r="F941" s="2" t="n">
        <v>143</v>
      </c>
      <c r="G941" s="2" t="inlineStr">
        <is>
          <t>Home</t>
        </is>
      </c>
      <c r="H941" s="2" t="inlineStr">
        <is>
          <t>betmgm</t>
        </is>
      </c>
      <c r="I941" s="4" t="n"/>
      <c r="J941" s="4" t="n"/>
      <c r="K941" s="4" t="n">
        <v>115</v>
      </c>
      <c r="L941" s="4" t="n">
        <v>115</v>
      </c>
      <c r="M941" s="5" t="n">
        <v>6.5</v>
      </c>
      <c r="N941" s="5" t="n">
        <v>5.866299673993143</v>
      </c>
      <c r="O941" s="5" t="n">
        <v>6.5</v>
      </c>
      <c r="P941" s="5" t="n">
        <v>0.6337003260068572</v>
      </c>
      <c r="Q941" s="6" t="n">
        <v>0.3496998446761672</v>
      </c>
      <c r="R941" s="6" t="n">
        <v>0.627767369616822</v>
      </c>
      <c r="S941" s="6" t="n">
        <v>0.4451094071441929</v>
      </c>
      <c r="T941" s="2" t="inlineStr">
        <is>
          <t>Under</t>
        </is>
      </c>
      <c r="U941" s="4" t="n">
        <v>115</v>
      </c>
      <c r="V941" s="2" t="n">
        <v>2.15</v>
      </c>
      <c r="W941" s="4" t="n">
        <v>115</v>
      </c>
      <c r="X941" s="2" t="n">
        <v>1</v>
      </c>
      <c r="Y941" s="5" t="n">
        <v>-1</v>
      </c>
      <c r="Z941" s="7" t="n">
        <v>100</v>
      </c>
      <c r="AA941" s="7">
        <f>Y941*Z941</f>
        <v/>
      </c>
      <c r="AB941" s="6">
        <f>IF(Z941=0,0,AA941/Z941)</f>
        <v/>
      </c>
      <c r="AC941" s="6" t="n"/>
      <c r="AD941" s="2" t="inlineStr">
        <is>
          <t>Loss</t>
        </is>
      </c>
      <c r="AE941" s="6">
        <f>IF((COUNTIF($AD$2:AD941,"Win")+COUNTIF($AD$2:AD941,"Loss"))=0,0,COUNTIF($AD$2:AD941,"Win")/(COUNTIF($AD$2:AD941,"Win")+COUNTIF($AD$2:AD941,"Loss")))</f>
        <v/>
      </c>
      <c r="AF941" s="6">
        <f>SUM($Y$2:Y941)/SUM($X$2:X941)</f>
        <v/>
      </c>
      <c r="AG941" s="5">
        <f>SUM($Y$2:Y941)</f>
        <v/>
      </c>
      <c r="AH941" s="7">
        <f>10000.0+SUM($AA$2:AA941)</f>
        <v/>
      </c>
      <c r="AI941" s="2" t="n">
        <v>2026</v>
      </c>
      <c r="AJ941" s="2" t="inlineStr">
        <is>
          <t>2026-06</t>
        </is>
      </c>
      <c r="AK941" s="2" t="inlineStr">
        <is>
          <t>+100 to +120</t>
        </is>
      </c>
      <c r="AL941" s="2" t="inlineStr">
        <is>
          <t>2026 Frozen Test</t>
        </is>
      </c>
      <c r="AM941" s="6" t="n">
        <v>0.3040868214575367</v>
      </c>
    </row>
    <row r="942">
      <c r="A942" s="2" t="inlineStr">
        <is>
          <t>KPROP-00941</t>
        </is>
      </c>
      <c r="B942" s="3" t="n">
        <v>46182.79903935185</v>
      </c>
      <c r="C942" s="3" t="n">
        <v>46182</v>
      </c>
      <c r="D942" s="2" t="inlineStr">
        <is>
          <t>Freddy Peralta</t>
        </is>
      </c>
      <c r="E942" s="2" t="n">
        <v>121</v>
      </c>
      <c r="F942" s="2" t="n">
        <v>138</v>
      </c>
      <c r="G942" s="2" t="inlineStr">
        <is>
          <t>Home</t>
        </is>
      </c>
      <c r="H942" s="2" t="inlineStr">
        <is>
          <t>fanduel</t>
        </is>
      </c>
      <c r="I942" s="4" t="n"/>
      <c r="J942" s="4" t="n"/>
      <c r="K942" s="4" t="n">
        <v>116</v>
      </c>
      <c r="L942" s="4" t="n">
        <v>116</v>
      </c>
      <c r="M942" s="5" t="n">
        <v>5.5</v>
      </c>
      <c r="N942" s="5" t="n">
        <v>5.440064331627437</v>
      </c>
      <c r="O942" s="5" t="n">
        <v>5.5</v>
      </c>
      <c r="P942" s="5" t="n">
        <v>0.05993566837256292</v>
      </c>
      <c r="Q942" s="6" t="n">
        <v>0.1647124199947102</v>
      </c>
      <c r="R942" s="6" t="n">
        <v>0.5392187129605139</v>
      </c>
      <c r="S942" s="6" t="n">
        <v>0.4462590201291302</v>
      </c>
      <c r="T942" s="2" t="inlineStr">
        <is>
          <t>Under</t>
        </is>
      </c>
      <c r="U942" s="4" t="n">
        <v>116</v>
      </c>
      <c r="V942" s="2" t="n">
        <v>2.16</v>
      </c>
      <c r="W942" s="4" t="n">
        <v>116</v>
      </c>
      <c r="X942" s="2" t="n">
        <v>1</v>
      </c>
      <c r="Y942" s="5" t="n">
        <v>1.16</v>
      </c>
      <c r="Z942" s="7" t="n">
        <v>100</v>
      </c>
      <c r="AA942" s="7">
        <f>Y942*Z942</f>
        <v/>
      </c>
      <c r="AB942" s="6">
        <f>IF(Z942=0,0,AA942/Z942)</f>
        <v/>
      </c>
      <c r="AC942" s="6" t="n"/>
      <c r="AD942" s="2" t="inlineStr">
        <is>
          <t>Win</t>
        </is>
      </c>
      <c r="AE942" s="6">
        <f>IF((COUNTIF($AD$2:AD942,"Win")+COUNTIF($AD$2:AD942,"Loss"))=0,0,COUNTIF($AD$2:AD942,"Win")/(COUNTIF($AD$2:AD942,"Win")+COUNTIF($AD$2:AD942,"Loss")))</f>
        <v/>
      </c>
      <c r="AF942" s="6">
        <f>SUM($Y$2:Y942)/SUM($X$2:X942)</f>
        <v/>
      </c>
      <c r="AG942" s="5">
        <f>SUM($Y$2:Y942)</f>
        <v/>
      </c>
      <c r="AH942" s="7">
        <f>10000.0+SUM($AA$2:AA942)</f>
        <v/>
      </c>
      <c r="AI942" s="2" t="n">
        <v>2026</v>
      </c>
      <c r="AJ942" s="2" t="inlineStr">
        <is>
          <t>2026-06</t>
        </is>
      </c>
      <c r="AK942" s="2" t="inlineStr">
        <is>
          <t>+100 to +120</t>
        </is>
      </c>
      <c r="AL942" s="2" t="inlineStr">
        <is>
          <t>2026 Frozen Test</t>
        </is>
      </c>
      <c r="AM942" s="6" t="n">
        <v>0.1419934655126812</v>
      </c>
    </row>
    <row r="943">
      <c r="A943" s="2" t="inlineStr">
        <is>
          <t>KPROP-00942</t>
        </is>
      </c>
      <c r="B943" s="3" t="n">
        <v>46182.77819444444</v>
      </c>
      <c r="C943" s="3" t="n">
        <v>46182</v>
      </c>
      <c r="D943" s="2" t="inlineStr">
        <is>
          <t>Gerrit Cole</t>
        </is>
      </c>
      <c r="E943" s="2" t="n">
        <v>147</v>
      </c>
      <c r="F943" s="2" t="n">
        <v>114</v>
      </c>
      <c r="G943" s="2" t="inlineStr">
        <is>
          <t>Away</t>
        </is>
      </c>
      <c r="H943" s="2" t="inlineStr">
        <is>
          <t>betrivers</t>
        </is>
      </c>
      <c r="I943" s="4" t="n"/>
      <c r="J943" s="4" t="n"/>
      <c r="K943" s="4" t="n">
        <v>123</v>
      </c>
      <c r="L943" s="4" t="n">
        <v>123</v>
      </c>
      <c r="M943" s="5" t="n">
        <v>4.5</v>
      </c>
      <c r="N943" s="5" t="n">
        <v>4.780079478291912</v>
      </c>
      <c r="O943" s="5" t="n">
        <v>4.5</v>
      </c>
      <c r="P943" s="5" t="n">
        <v>-0.2800794782919116</v>
      </c>
      <c r="Q943" s="6" t="n">
        <v>0.07015658962950833</v>
      </c>
      <c r="R943" s="6" t="n">
        <v>0.4798908473674925</v>
      </c>
      <c r="S943" s="6" t="n">
        <v>0.4346251358203549</v>
      </c>
      <c r="T943" s="2" t="inlineStr">
        <is>
          <t>Under</t>
        </is>
      </c>
      <c r="U943" s="4" t="n">
        <v>123</v>
      </c>
      <c r="V943" s="2" t="n">
        <v>2.23</v>
      </c>
      <c r="W943" s="4" t="n">
        <v>123</v>
      </c>
      <c r="X943" s="2" t="n">
        <v>1</v>
      </c>
      <c r="Y943" s="5" t="n">
        <v>1.23</v>
      </c>
      <c r="Z943" s="7" t="n">
        <v>100</v>
      </c>
      <c r="AA943" s="7">
        <f>Y943*Z943</f>
        <v/>
      </c>
      <c r="AB943" s="6">
        <f>IF(Z943=0,0,AA943/Z943)</f>
        <v/>
      </c>
      <c r="AC943" s="6" t="n"/>
      <c r="AD943" s="2" t="inlineStr">
        <is>
          <t>Win</t>
        </is>
      </c>
      <c r="AE943" s="6">
        <f>IF((COUNTIF($AD$2:AD943,"Win")+COUNTIF($AD$2:AD943,"Loss"))=0,0,COUNTIF($AD$2:AD943,"Win")/(COUNTIF($AD$2:AD943,"Win")+COUNTIF($AD$2:AD943,"Loss")))</f>
        <v/>
      </c>
      <c r="AF943" s="6">
        <f>SUM($Y$2:Y943)/SUM($X$2:X943)</f>
        <v/>
      </c>
      <c r="AG943" s="5">
        <f>SUM($Y$2:Y943)</f>
        <v/>
      </c>
      <c r="AH943" s="7">
        <f>10000.0+SUM($AA$2:AA943)</f>
        <v/>
      </c>
      <c r="AI943" s="2" t="n">
        <v>2026</v>
      </c>
      <c r="AJ943" s="2" t="inlineStr">
        <is>
          <t>2026-06</t>
        </is>
      </c>
      <c r="AK943" s="2" t="inlineStr">
        <is>
          <t>+121 to +150</t>
        </is>
      </c>
      <c r="AL943" s="2" t="inlineStr">
        <is>
          <t>2026 Frozen Test</t>
        </is>
      </c>
      <c r="AM943" s="6" t="n">
        <v>0.05703787774756774</v>
      </c>
    </row>
    <row r="944">
      <c r="A944" s="2" t="inlineStr">
        <is>
          <t>KPROP-00943</t>
        </is>
      </c>
      <c r="B944" s="3" t="n">
        <v>46182.77472222222</v>
      </c>
      <c r="C944" s="3" t="n">
        <v>46182</v>
      </c>
      <c r="D944" s="2" t="inlineStr">
        <is>
          <t>Logan Gilbert</t>
        </is>
      </c>
      <c r="E944" s="2" t="n">
        <v>136</v>
      </c>
      <c r="F944" s="2" t="n">
        <v>110</v>
      </c>
      <c r="G944" s="2" t="inlineStr">
        <is>
          <t>Away</t>
        </is>
      </c>
      <c r="H944" s="2" t="inlineStr">
        <is>
          <t>draftkings</t>
        </is>
      </c>
      <c r="I944" s="4" t="n"/>
      <c r="J944" s="4" t="n"/>
      <c r="K944" s="4" t="n">
        <v>-129</v>
      </c>
      <c r="L944" s="4" t="n">
        <v>-129</v>
      </c>
      <c r="M944" s="5" t="n">
        <v>6.5</v>
      </c>
      <c r="N944" s="5" t="n">
        <v>5.903012147593933</v>
      </c>
      <c r="O944" s="5" t="n">
        <v>6.5</v>
      </c>
      <c r="P944" s="5" t="n">
        <v>0.596987852406067</v>
      </c>
      <c r="Q944" s="6" t="n">
        <v>0.1039525010295551</v>
      </c>
      <c r="R944" s="6" t="n">
        <v>0.6218771730690507</v>
      </c>
      <c r="S944" s="6" t="n">
        <v>0.5419083816763353</v>
      </c>
      <c r="T944" s="2" t="inlineStr">
        <is>
          <t>Under</t>
        </is>
      </c>
      <c r="U944" s="4" t="n">
        <v>-129</v>
      </c>
      <c r="V944" s="2" t="n">
        <v>1.775193798449612</v>
      </c>
      <c r="W944" s="4" t="n">
        <v>-129</v>
      </c>
      <c r="X944" s="2" t="n">
        <v>1</v>
      </c>
      <c r="Y944" s="5" t="n">
        <v>0.7751937984496124</v>
      </c>
      <c r="Z944" s="7" t="n">
        <v>100</v>
      </c>
      <c r="AA944" s="7">
        <f>Y944*Z944</f>
        <v/>
      </c>
      <c r="AB944" s="6">
        <f>IF(Z944=0,0,AA944/Z944)</f>
        <v/>
      </c>
      <c r="AC944" s="6" t="n"/>
      <c r="AD944" s="2" t="inlineStr">
        <is>
          <t>Win</t>
        </is>
      </c>
      <c r="AE944" s="6">
        <f>IF((COUNTIF($AD$2:AD944,"Win")+COUNTIF($AD$2:AD944,"Loss"))=0,0,COUNTIF($AD$2:AD944,"Win")/(COUNTIF($AD$2:AD944,"Win")+COUNTIF($AD$2:AD944,"Loss")))</f>
        <v/>
      </c>
      <c r="AF944" s="6">
        <f>SUM($Y$2:Y944)/SUM($X$2:X944)</f>
        <v/>
      </c>
      <c r="AG944" s="5">
        <f>SUM($Y$2:Y944)</f>
        <v/>
      </c>
      <c r="AH944" s="7">
        <f>10000.0+SUM($AA$2:AA944)</f>
        <v/>
      </c>
      <c r="AI944" s="2" t="n">
        <v>2026</v>
      </c>
      <c r="AJ944" s="2" t="inlineStr">
        <is>
          <t>2026-06</t>
        </is>
      </c>
      <c r="AK944" s="2" t="inlineStr">
        <is>
          <t>-149 to -120</t>
        </is>
      </c>
      <c r="AL944" s="2" t="inlineStr">
        <is>
          <t>2026 Frozen Test</t>
        </is>
      </c>
      <c r="AM944" s="6" t="n">
        <v>0.134098726328126</v>
      </c>
    </row>
    <row r="945">
      <c r="A945" s="2" t="inlineStr">
        <is>
          <t>KPROP-00944</t>
        </is>
      </c>
      <c r="B945" s="3" t="n">
        <v>46182.77819444444</v>
      </c>
      <c r="C945" s="3" t="n">
        <v>46182</v>
      </c>
      <c r="D945" s="2" t="inlineStr">
        <is>
          <t>Paul Skenes</t>
        </is>
      </c>
      <c r="E945" s="2" t="n">
        <v>134</v>
      </c>
      <c r="F945" s="2" t="n">
        <v>119</v>
      </c>
      <c r="G945" s="2" t="inlineStr">
        <is>
          <t>Home</t>
        </is>
      </c>
      <c r="H945" s="2" t="inlineStr">
        <is>
          <t>betmgm</t>
        </is>
      </c>
      <c r="I945" s="4" t="n"/>
      <c r="J945" s="4" t="n"/>
      <c r="K945" s="4" t="n">
        <v>-110</v>
      </c>
      <c r="L945" s="4" t="n">
        <v>-110</v>
      </c>
      <c r="M945" s="5" t="n">
        <v>6.5</v>
      </c>
      <c r="N945" s="5" t="n">
        <v>5.287866679196169</v>
      </c>
      <c r="O945" s="5" t="n">
        <v>6.5</v>
      </c>
      <c r="P945" s="5" t="n">
        <v>1.212133320803831</v>
      </c>
      <c r="Q945" s="6" t="n">
        <v>0.3726300696097508</v>
      </c>
      <c r="R945" s="6" t="n">
        <v>0.7189967031289171</v>
      </c>
      <c r="S945" s="6" t="n">
        <v>0.5091659028414299</v>
      </c>
      <c r="T945" s="2" t="inlineStr">
        <is>
          <t>Under</t>
        </is>
      </c>
      <c r="U945" s="4" t="n">
        <v>-110</v>
      </c>
      <c r="V945" s="2" t="n">
        <v>1.909090909090909</v>
      </c>
      <c r="W945" s="4" t="n">
        <v>-110</v>
      </c>
      <c r="X945" s="2" t="n">
        <v>1</v>
      </c>
      <c r="Y945" s="5" t="n">
        <v>-1</v>
      </c>
      <c r="Z945" s="7" t="n">
        <v>100</v>
      </c>
      <c r="AA945" s="7">
        <f>Y945*Z945</f>
        <v/>
      </c>
      <c r="AB945" s="6">
        <f>IF(Z945=0,0,AA945/Z945)</f>
        <v/>
      </c>
      <c r="AC945" s="6" t="n"/>
      <c r="AD945" s="2" t="inlineStr">
        <is>
          <t>Loss</t>
        </is>
      </c>
      <c r="AE945" s="6">
        <f>IF((COUNTIF($AD$2:AD945,"Win")+COUNTIF($AD$2:AD945,"Loss"))=0,0,COUNTIF($AD$2:AD945,"Win")/(COUNTIF($AD$2:AD945,"Win")+COUNTIF($AD$2:AD945,"Loss")))</f>
        <v/>
      </c>
      <c r="AF945" s="6">
        <f>SUM($Y$2:Y945)/SUM($X$2:X945)</f>
        <v/>
      </c>
      <c r="AG945" s="5">
        <f>SUM($Y$2:Y945)</f>
        <v/>
      </c>
      <c r="AH945" s="7">
        <f>10000.0+SUM($AA$2:AA945)</f>
        <v/>
      </c>
      <c r="AI945" s="2" t="n">
        <v>2026</v>
      </c>
      <c r="AJ945" s="2" t="inlineStr">
        <is>
          <t>2026-06</t>
        </is>
      </c>
      <c r="AK945" s="2" t="inlineStr">
        <is>
          <t>-119 to -101</t>
        </is>
      </c>
      <c r="AL945" s="2" t="inlineStr">
        <is>
          <t>2026 Frozen Test</t>
        </is>
      </c>
      <c r="AM945" s="6" t="n">
        <v>0.4098930765707258</v>
      </c>
    </row>
    <row r="946">
      <c r="A946" s="2" t="inlineStr">
        <is>
          <t>KPROP-00945</t>
        </is>
      </c>
      <c r="B946" s="3" t="n">
        <v>46182.77819444444</v>
      </c>
      <c r="C946" s="3" t="n">
        <v>46182</v>
      </c>
      <c r="D946" s="2" t="inlineStr">
        <is>
          <t>Payton Tolle</t>
        </is>
      </c>
      <c r="E946" s="2" t="n">
        <v>111</v>
      </c>
      <c r="F946" s="2" t="n">
        <v>139</v>
      </c>
      <c r="G946" s="2" t="inlineStr">
        <is>
          <t>Away</t>
        </is>
      </c>
      <c r="H946" s="2" t="inlineStr">
        <is>
          <t>betrivers</t>
        </is>
      </c>
      <c r="I946" s="4" t="n"/>
      <c r="J946" s="4" t="n"/>
      <c r="K946" s="4" t="n">
        <v>-155</v>
      </c>
      <c r="L946" s="4" t="n">
        <v>-155</v>
      </c>
      <c r="M946" s="5" t="n">
        <v>5.5</v>
      </c>
      <c r="N946" s="5" t="n">
        <v>4.690194525384528</v>
      </c>
      <c r="O946" s="5" t="n">
        <v>5.5</v>
      </c>
      <c r="P946" s="5" t="n">
        <v>0.8098054746154721</v>
      </c>
      <c r="Q946" s="6" t="n">
        <v>0.102492382410787</v>
      </c>
      <c r="R946" s="6" t="n">
        <v>0.6701424285242039</v>
      </c>
      <c r="S946" s="6" t="n">
        <v>0.579797313998517</v>
      </c>
      <c r="T946" s="2" t="inlineStr">
        <is>
          <t>Under</t>
        </is>
      </c>
      <c r="U946" s="4" t="n">
        <v>-155</v>
      </c>
      <c r="V946" s="2" t="n">
        <v>1.645161290322581</v>
      </c>
      <c r="W946" s="4" t="n">
        <v>-155</v>
      </c>
      <c r="X946" s="2" t="n">
        <v>1</v>
      </c>
      <c r="Y946" s="5" t="n">
        <v>0.6451612903225805</v>
      </c>
      <c r="Z946" s="7" t="n">
        <v>100</v>
      </c>
      <c r="AA946" s="7">
        <f>Y946*Z946</f>
        <v/>
      </c>
      <c r="AB946" s="6">
        <f>IF(Z946=0,0,AA946/Z946)</f>
        <v/>
      </c>
      <c r="AC946" s="6" t="n"/>
      <c r="AD946" s="2" t="inlineStr">
        <is>
          <t>Win</t>
        </is>
      </c>
      <c r="AE946" s="6">
        <f>IF((COUNTIF($AD$2:AD946,"Win")+COUNTIF($AD$2:AD946,"Loss"))=0,0,COUNTIF($AD$2:AD946,"Win")/(COUNTIF($AD$2:AD946,"Win")+COUNTIF($AD$2:AD946,"Loss")))</f>
        <v/>
      </c>
      <c r="AF946" s="6">
        <f>SUM($Y$2:Y946)/SUM($X$2:X946)</f>
        <v/>
      </c>
      <c r="AG946" s="5">
        <f>SUM($Y$2:Y946)</f>
        <v/>
      </c>
      <c r="AH946" s="7">
        <f>10000.0+SUM($AA$2:AA946)</f>
        <v/>
      </c>
      <c r="AI946" s="2" t="n">
        <v>2026</v>
      </c>
      <c r="AJ946" s="2" t="inlineStr">
        <is>
          <t>2026-06</t>
        </is>
      </c>
      <c r="AK946" s="2" t="inlineStr">
        <is>
          <t>&lt;= -150</t>
        </is>
      </c>
      <c r="AL946" s="2" t="inlineStr">
        <is>
          <t>2026 Frozen Test</t>
        </is>
      </c>
      <c r="AM946" s="6" t="n">
        <v>0.1588631927367199</v>
      </c>
    </row>
    <row r="947">
      <c r="A947" s="2" t="inlineStr">
        <is>
          <t>KPROP-00946</t>
        </is>
      </c>
      <c r="B947" s="3" t="n">
        <v>46182.77819444444</v>
      </c>
      <c r="C947" s="3" t="n">
        <v>46182</v>
      </c>
      <c r="D947" s="2" t="inlineStr">
        <is>
          <t>Taj Bradley</t>
        </is>
      </c>
      <c r="E947" s="2" t="n">
        <v>142</v>
      </c>
      <c r="F947" s="2" t="n">
        <v>116</v>
      </c>
      <c r="G947" s="2" t="inlineStr">
        <is>
          <t>Away</t>
        </is>
      </c>
      <c r="H947" s="2" t="inlineStr">
        <is>
          <t>betmgm</t>
        </is>
      </c>
      <c r="I947" s="4" t="n"/>
      <c r="J947" s="4" t="n"/>
      <c r="K947" s="4" t="n">
        <v>-105</v>
      </c>
      <c r="L947" s="4" t="n">
        <v>-105</v>
      </c>
      <c r="M947" s="5" t="n">
        <v>5.5</v>
      </c>
      <c r="N947" s="5" t="n">
        <v>5.260635021124767</v>
      </c>
      <c r="O947" s="5" t="n">
        <v>5.5</v>
      </c>
      <c r="P947" s="5" t="n">
        <v>0.2393649788752334</v>
      </c>
      <c r="Q947" s="6" t="n">
        <v>0.1134984068033577</v>
      </c>
      <c r="R947" s="6" t="n">
        <v>0.5703284522651344</v>
      </c>
      <c r="S947" s="6" t="n">
        <v>0.4988468634686347</v>
      </c>
      <c r="T947" s="2" t="inlineStr">
        <is>
          <t>Under</t>
        </is>
      </c>
      <c r="U947" s="4" t="n">
        <v>-105</v>
      </c>
      <c r="V947" s="2" t="n">
        <v>1.952380952380952</v>
      </c>
      <c r="W947" s="4" t="n">
        <v>-105</v>
      </c>
      <c r="X947" s="2" t="n">
        <v>1</v>
      </c>
      <c r="Y947" s="5" t="n">
        <v>0.9523809523809523</v>
      </c>
      <c r="Z947" s="7" t="n">
        <v>100</v>
      </c>
      <c r="AA947" s="7">
        <f>Y947*Z947</f>
        <v/>
      </c>
      <c r="AB947" s="6">
        <f>IF(Z947=0,0,AA947/Z947)</f>
        <v/>
      </c>
      <c r="AC947" s="6" t="n"/>
      <c r="AD947" s="2" t="inlineStr">
        <is>
          <t>Win</t>
        </is>
      </c>
      <c r="AE947" s="6">
        <f>IF((COUNTIF($AD$2:AD947,"Win")+COUNTIF($AD$2:AD947,"Loss"))=0,0,COUNTIF($AD$2:AD947,"Win")/(COUNTIF($AD$2:AD947,"Win")+COUNTIF($AD$2:AD947,"Loss")))</f>
        <v/>
      </c>
      <c r="AF947" s="6">
        <f>SUM($Y$2:Y947)/SUM($X$2:X947)</f>
        <v/>
      </c>
      <c r="AG947" s="5">
        <f>SUM($Y$2:Y947)</f>
        <v/>
      </c>
      <c r="AH947" s="7">
        <f>10000.0+SUM($AA$2:AA947)</f>
        <v/>
      </c>
      <c r="AI947" s="2" t="n">
        <v>2026</v>
      </c>
      <c r="AJ947" s="2" t="inlineStr">
        <is>
          <t>2026-06</t>
        </is>
      </c>
      <c r="AK947" s="2" t="inlineStr">
        <is>
          <t>-119 to -101</t>
        </is>
      </c>
      <c r="AL947" s="2" t="inlineStr">
        <is>
          <t>2026 Frozen Test</t>
        </is>
      </c>
      <c r="AM947" s="6" t="n">
        <v>0.1191733271435255</v>
      </c>
    </row>
    <row r="948">
      <c r="A948" s="2" t="inlineStr">
        <is>
          <t>KPROP-00947</t>
        </is>
      </c>
      <c r="B948" s="3" t="n">
        <v>46182.79555555555</v>
      </c>
      <c r="C948" s="3" t="n">
        <v>46182</v>
      </c>
      <c r="D948" s="2" t="inlineStr">
        <is>
          <t>Zack Wheeler</t>
        </is>
      </c>
      <c r="E948" s="2" t="n">
        <v>143</v>
      </c>
      <c r="F948" s="2" t="n">
        <v>141</v>
      </c>
      <c r="G948" s="2" t="inlineStr">
        <is>
          <t>Away</t>
        </is>
      </c>
      <c r="H948" s="2" t="inlineStr">
        <is>
          <t>betmgm</t>
        </is>
      </c>
      <c r="I948" s="4" t="n"/>
      <c r="J948" s="4" t="n"/>
      <c r="K948" s="4" t="n">
        <v>100</v>
      </c>
      <c r="L948" s="4" t="n">
        <v>100</v>
      </c>
      <c r="M948" s="5" t="n">
        <v>5.5</v>
      </c>
      <c r="N948" s="5" t="n">
        <v>4.993696594927146</v>
      </c>
      <c r="O948" s="5" t="n">
        <v>5.5</v>
      </c>
      <c r="P948" s="5" t="n">
        <v>0.5063034050728543</v>
      </c>
      <c r="Q948" s="6" t="n">
        <v>0.2341333905519614</v>
      </c>
      <c r="R948" s="6" t="n">
        <v>0.6170666952759807</v>
      </c>
      <c r="S948" s="6" t="n">
        <v>0.4792122538293216</v>
      </c>
      <c r="T948" s="2" t="inlineStr">
        <is>
          <t>Under</t>
        </is>
      </c>
      <c r="U948" s="4" t="n">
        <v>100</v>
      </c>
      <c r="V948" s="2" t="n">
        <v>2</v>
      </c>
      <c r="W948" s="4" t="n">
        <v>100</v>
      </c>
      <c r="X948" s="2" t="n">
        <v>1</v>
      </c>
      <c r="Y948" s="5" t="n">
        <v>1</v>
      </c>
      <c r="Z948" s="7" t="n">
        <v>100</v>
      </c>
      <c r="AA948" s="7">
        <f>Y948*Z948</f>
        <v/>
      </c>
      <c r="AB948" s="6">
        <f>IF(Z948=0,0,AA948/Z948)</f>
        <v/>
      </c>
      <c r="AC948" s="6" t="n"/>
      <c r="AD948" s="2" t="inlineStr">
        <is>
          <t>Win</t>
        </is>
      </c>
      <c r="AE948" s="6">
        <f>IF((COUNTIF($AD$2:AD948,"Win")+COUNTIF($AD$2:AD948,"Loss"))=0,0,COUNTIF($AD$2:AD948,"Win")/(COUNTIF($AD$2:AD948,"Win")+COUNTIF($AD$2:AD948,"Loss")))</f>
        <v/>
      </c>
      <c r="AF948" s="6">
        <f>SUM($Y$2:Y948)/SUM($X$2:X948)</f>
        <v/>
      </c>
      <c r="AG948" s="5">
        <f>SUM($Y$2:Y948)</f>
        <v/>
      </c>
      <c r="AH948" s="7">
        <f>10000.0+SUM($AA$2:AA948)</f>
        <v/>
      </c>
      <c r="AI948" s="2" t="n">
        <v>2026</v>
      </c>
      <c r="AJ948" s="2" t="inlineStr">
        <is>
          <t>2026-06</t>
        </is>
      </c>
      <c r="AK948" s="2" t="inlineStr">
        <is>
          <t>+100 to +120</t>
        </is>
      </c>
      <c r="AL948" s="2" t="inlineStr">
        <is>
          <t>2026 Frozen Test</t>
        </is>
      </c>
      <c r="AM948" s="6" t="n">
        <v>0.2341333905519614</v>
      </c>
    </row>
    <row r="949">
      <c r="A949" s="2" t="inlineStr">
        <is>
          <t>KPROP-00948</t>
        </is>
      </c>
      <c r="B949" s="3" t="n">
        <v>46183.81986111111</v>
      </c>
      <c r="C949" s="3" t="n">
        <v>46183</v>
      </c>
      <c r="D949" s="2" t="inlineStr">
        <is>
          <t>Chris Sale</t>
        </is>
      </c>
      <c r="E949" s="2" t="n">
        <v>144</v>
      </c>
      <c r="F949" s="2" t="n">
        <v>145</v>
      </c>
      <c r="G949" s="2" t="inlineStr">
        <is>
          <t>Away</t>
        </is>
      </c>
      <c r="H949" s="2" t="inlineStr">
        <is>
          <t>bovada</t>
        </is>
      </c>
      <c r="I949" s="4" t="n"/>
      <c r="J949" s="4" t="n"/>
      <c r="K949" s="4" t="n">
        <v>-120</v>
      </c>
      <c r="L949" s="4" t="n">
        <v>-120</v>
      </c>
      <c r="M949" s="5" t="n">
        <v>7.5</v>
      </c>
      <c r="N949" s="5" t="n">
        <v>5.834019574434609</v>
      </c>
      <c r="O949" s="5" t="n">
        <v>7.5</v>
      </c>
      <c r="P949" s="5" t="n">
        <v>1.665980425565391</v>
      </c>
      <c r="Q949" s="6" t="n">
        <v>0.4052463572431202</v>
      </c>
      <c r="R949" s="6" t="n">
        <v>0.7664980130417018</v>
      </c>
      <c r="S949" s="6" t="n">
        <v>0.5278969957081545</v>
      </c>
      <c r="T949" s="2" t="inlineStr">
        <is>
          <t>Under</t>
        </is>
      </c>
      <c r="U949" s="4" t="n">
        <v>-120</v>
      </c>
      <c r="V949" s="2" t="n">
        <v>1.833333333333333</v>
      </c>
      <c r="W949" s="4" t="n">
        <v>-120</v>
      </c>
      <c r="X949" s="2" t="n">
        <v>1</v>
      </c>
      <c r="Y949" s="5" t="n">
        <v>0.8333333333333335</v>
      </c>
      <c r="Z949" s="7" t="n">
        <v>100</v>
      </c>
      <c r="AA949" s="7">
        <f>Y949*Z949</f>
        <v/>
      </c>
      <c r="AB949" s="6">
        <f>IF(Z949=0,0,AA949/Z949)</f>
        <v/>
      </c>
      <c r="AC949" s="6" t="n"/>
      <c r="AD949" s="2" t="inlineStr">
        <is>
          <t>Win</t>
        </is>
      </c>
      <c r="AE949" s="6">
        <f>IF((COUNTIF($AD$2:AD949,"Win")+COUNTIF($AD$2:AD949,"Loss"))=0,0,COUNTIF($AD$2:AD949,"Win")/(COUNTIF($AD$2:AD949,"Win")+COUNTIF($AD$2:AD949,"Loss")))</f>
        <v/>
      </c>
      <c r="AF949" s="6">
        <f>SUM($Y$2:Y949)/SUM($X$2:X949)</f>
        <v/>
      </c>
      <c r="AG949" s="5">
        <f>SUM($Y$2:Y949)</f>
        <v/>
      </c>
      <c r="AH949" s="7">
        <f>10000.0+SUM($AA$2:AA949)</f>
        <v/>
      </c>
      <c r="AI949" s="2" t="n">
        <v>2026</v>
      </c>
      <c r="AJ949" s="2" t="inlineStr">
        <is>
          <t>2026-06</t>
        </is>
      </c>
      <c r="AK949" s="2" t="inlineStr">
        <is>
          <t>-149 to -120</t>
        </is>
      </c>
      <c r="AL949" s="2" t="inlineStr">
        <is>
          <t>2026 Frozen Test</t>
        </is>
      </c>
      <c r="AM949" s="6" t="n">
        <v>0.4862956286917441</v>
      </c>
    </row>
    <row r="950">
      <c r="A950" s="2" t="inlineStr">
        <is>
          <t>KPROP-00949</t>
        </is>
      </c>
      <c r="B950" s="3" t="n">
        <v>46183.54902777778</v>
      </c>
      <c r="C950" s="3" t="n">
        <v>46183</v>
      </c>
      <c r="D950" s="2" t="inlineStr">
        <is>
          <t>Drew Rasmussen</t>
        </is>
      </c>
      <c r="E950" s="2" t="n">
        <v>139</v>
      </c>
      <c r="F950" s="2" t="n">
        <v>111</v>
      </c>
      <c r="G950" s="2" t="inlineStr">
        <is>
          <t>Home</t>
        </is>
      </c>
      <c r="H950" s="2" t="inlineStr">
        <is>
          <t>betmgm</t>
        </is>
      </c>
      <c r="I950" s="4" t="n"/>
      <c r="J950" s="4" t="n"/>
      <c r="K950" s="4" t="n">
        <v>115</v>
      </c>
      <c r="L950" s="4" t="n">
        <v>115</v>
      </c>
      <c r="M950" s="5" t="n">
        <v>4.5</v>
      </c>
      <c r="N950" s="5" t="n">
        <v>4.541807063854944</v>
      </c>
      <c r="O950" s="5" t="n">
        <v>4.5</v>
      </c>
      <c r="P950" s="5" t="n">
        <v>-0.04180706385494393</v>
      </c>
      <c r="Q950" s="6" t="n">
        <v>0.1270023340115782</v>
      </c>
      <c r="R950" s="6" t="n">
        <v>0.5241871320984085</v>
      </c>
      <c r="S950" s="6" t="n">
        <v>0.4334891627709307</v>
      </c>
      <c r="T950" s="2" t="inlineStr">
        <is>
          <t>Under</t>
        </is>
      </c>
      <c r="U950" s="4" t="n">
        <v>115</v>
      </c>
      <c r="V950" s="2" t="n">
        <v>2.15</v>
      </c>
      <c r="W950" s="4" t="n">
        <v>115</v>
      </c>
      <c r="X950" s="2" t="n">
        <v>1</v>
      </c>
      <c r="Y950" s="5" t="n">
        <v>-1</v>
      </c>
      <c r="Z950" s="7" t="n">
        <v>100</v>
      </c>
      <c r="AA950" s="7">
        <f>Y950*Z950</f>
        <v/>
      </c>
      <c r="AB950" s="6">
        <f>IF(Z950=0,0,AA950/Z950)</f>
        <v/>
      </c>
      <c r="AC950" s="6" t="n"/>
      <c r="AD950" s="2" t="inlineStr">
        <is>
          <t>Loss</t>
        </is>
      </c>
      <c r="AE950" s="6">
        <f>IF((COUNTIF($AD$2:AD950,"Win")+COUNTIF($AD$2:AD950,"Loss"))=0,0,COUNTIF($AD$2:AD950,"Win")/(COUNTIF($AD$2:AD950,"Win")+COUNTIF($AD$2:AD950,"Loss")))</f>
        <v/>
      </c>
      <c r="AF950" s="6">
        <f>SUM($Y$2:Y950)/SUM($X$2:X950)</f>
        <v/>
      </c>
      <c r="AG950" s="5">
        <f>SUM($Y$2:Y950)</f>
        <v/>
      </c>
      <c r="AH950" s="7">
        <f>10000.0+SUM($AA$2:AA950)</f>
        <v/>
      </c>
      <c r="AI950" s="2" t="n">
        <v>2026</v>
      </c>
      <c r="AJ950" s="2" t="inlineStr">
        <is>
          <t>2026-06</t>
        </is>
      </c>
      <c r="AK950" s="2" t="inlineStr">
        <is>
          <t>+100 to +120</t>
        </is>
      </c>
      <c r="AL950" s="2" t="inlineStr">
        <is>
          <t>2026 Frozen Test</t>
        </is>
      </c>
      <c r="AM950" s="6" t="n">
        <v>0.1104368121839811</v>
      </c>
    </row>
    <row r="951">
      <c r="A951" s="2" t="inlineStr">
        <is>
          <t>KPROP-00950</t>
        </is>
      </c>
      <c r="B951" s="3" t="n">
        <v>46183.54902777778</v>
      </c>
      <c r="C951" s="3" t="n">
        <v>46183</v>
      </c>
      <c r="D951" s="2" t="inlineStr">
        <is>
          <t>Drew Rasmussen</t>
        </is>
      </c>
      <c r="E951" s="2" t="n">
        <v>139</v>
      </c>
      <c r="F951" s="2" t="n">
        <v>111</v>
      </c>
      <c r="G951" s="2" t="inlineStr">
        <is>
          <t>Home</t>
        </is>
      </c>
      <c r="H951" s="2" t="inlineStr">
        <is>
          <t>draftkings</t>
        </is>
      </c>
      <c r="I951" s="4" t="n"/>
      <c r="J951" s="4" t="n"/>
      <c r="K951" s="4" t="n">
        <v>-144</v>
      </c>
      <c r="L951" s="4" t="n">
        <v>-144</v>
      </c>
      <c r="M951" s="5" t="n">
        <v>5.5</v>
      </c>
      <c r="N951" s="5" t="n">
        <v>4.541807063854944</v>
      </c>
      <c r="O951" s="5" t="n">
        <v>5.5</v>
      </c>
      <c r="P951" s="5" t="n">
        <v>0.9581929361450561</v>
      </c>
      <c r="Q951" s="6" t="n">
        <v>0.1789479577897653</v>
      </c>
      <c r="R951" s="6" t="n">
        <v>0.6957725652529763</v>
      </c>
      <c r="S951" s="6" t="n">
        <v>0.5736650824713447</v>
      </c>
      <c r="T951" s="2" t="inlineStr">
        <is>
          <t>Under</t>
        </is>
      </c>
      <c r="U951" s="4" t="n">
        <v>-144</v>
      </c>
      <c r="V951" s="2" t="n">
        <v>1.694444444444444</v>
      </c>
      <c r="W951" s="4" t="n">
        <v>-144</v>
      </c>
      <c r="X951" s="2" t="n">
        <v>1</v>
      </c>
      <c r="Y951" s="5" t="n">
        <v>-1</v>
      </c>
      <c r="Z951" s="7" t="n">
        <v>100</v>
      </c>
      <c r="AA951" s="7">
        <f>Y951*Z951</f>
        <v/>
      </c>
      <c r="AB951" s="6">
        <f>IF(Z951=0,0,AA951/Z951)</f>
        <v/>
      </c>
      <c r="AC951" s="6" t="n"/>
      <c r="AD951" s="2" t="inlineStr">
        <is>
          <t>Loss</t>
        </is>
      </c>
      <c r="AE951" s="6">
        <f>IF((COUNTIF($AD$2:AD951,"Win")+COUNTIF($AD$2:AD951,"Loss"))=0,0,COUNTIF($AD$2:AD951,"Win")/(COUNTIF($AD$2:AD951,"Win")+COUNTIF($AD$2:AD951,"Loss")))</f>
        <v/>
      </c>
      <c r="AF951" s="6">
        <f>SUM($Y$2:Y951)/SUM($X$2:X951)</f>
        <v/>
      </c>
      <c r="AG951" s="5">
        <f>SUM($Y$2:Y951)</f>
        <v/>
      </c>
      <c r="AH951" s="7">
        <f>10000.0+SUM($AA$2:AA951)</f>
        <v/>
      </c>
      <c r="AI951" s="2" t="n">
        <v>2026</v>
      </c>
      <c r="AJ951" s="2" t="inlineStr">
        <is>
          <t>2026-06</t>
        </is>
      </c>
      <c r="AK951" s="2" t="inlineStr">
        <is>
          <t>-149 to -120</t>
        </is>
      </c>
      <c r="AL951" s="2" t="inlineStr">
        <is>
          <t>2026 Frozen Test</t>
        </is>
      </c>
      <c r="AM951" s="6" t="n">
        <v>0.257685059217262</v>
      </c>
    </row>
    <row r="952">
      <c r="A952" s="2" t="inlineStr">
        <is>
          <t>KPROP-00951</t>
        </is>
      </c>
      <c r="B952" s="3" t="n">
        <v>46183.65666666667</v>
      </c>
      <c r="C952" s="3" t="n">
        <v>46183</v>
      </c>
      <c r="D952" s="2" t="inlineStr">
        <is>
          <t>Foster Griffin</t>
        </is>
      </c>
      <c r="E952" s="2" t="n">
        <v>120</v>
      </c>
      <c r="F952" s="2" t="n">
        <v>137</v>
      </c>
      <c r="G952" s="2" t="inlineStr">
        <is>
          <t>Away</t>
        </is>
      </c>
      <c r="H952" s="2" t="inlineStr">
        <is>
          <t>betrivers</t>
        </is>
      </c>
      <c r="I952" s="4" t="n"/>
      <c r="J952" s="4" t="n"/>
      <c r="K952" s="4" t="n">
        <v>-152</v>
      </c>
      <c r="L952" s="4" t="n">
        <v>-152</v>
      </c>
      <c r="M952" s="5" t="n">
        <v>5.5</v>
      </c>
      <c r="N952" s="5" t="n">
        <v>4.806424204331422</v>
      </c>
      <c r="O952" s="5" t="n">
        <v>5.5</v>
      </c>
      <c r="P952" s="5" t="n">
        <v>0.6935757956685782</v>
      </c>
      <c r="Q952" s="6" t="n">
        <v>0.07743872244680133</v>
      </c>
      <c r="R952" s="6" t="n">
        <v>0.6498836738568008</v>
      </c>
      <c r="S952" s="6" t="n">
        <v>0.5702592087312415</v>
      </c>
      <c r="T952" s="2" t="inlineStr">
        <is>
          <t>Under</t>
        </is>
      </c>
      <c r="U952" s="4" t="n">
        <v>-152</v>
      </c>
      <c r="V952" s="2" t="n">
        <v>1.657894736842105</v>
      </c>
      <c r="W952" s="4" t="n">
        <v>-152</v>
      </c>
      <c r="X952" s="2" t="n">
        <v>1</v>
      </c>
      <c r="Y952" s="5" t="n">
        <v>0.6578947368421053</v>
      </c>
      <c r="Z952" s="7" t="n">
        <v>100</v>
      </c>
      <c r="AA952" s="7">
        <f>Y952*Z952</f>
        <v/>
      </c>
      <c r="AB952" s="6">
        <f>IF(Z952=0,0,AA952/Z952)</f>
        <v/>
      </c>
      <c r="AC952" s="6" t="n"/>
      <c r="AD952" s="2" t="inlineStr">
        <is>
          <t>Win</t>
        </is>
      </c>
      <c r="AE952" s="6">
        <f>IF((COUNTIF($AD$2:AD952,"Win")+COUNTIF($AD$2:AD952,"Loss"))=0,0,COUNTIF($AD$2:AD952,"Win")/(COUNTIF($AD$2:AD952,"Win")+COUNTIF($AD$2:AD952,"Loss")))</f>
        <v/>
      </c>
      <c r="AF952" s="6">
        <f>SUM($Y$2:Y952)/SUM($X$2:X952)</f>
        <v/>
      </c>
      <c r="AG952" s="5">
        <f>SUM($Y$2:Y952)</f>
        <v/>
      </c>
      <c r="AH952" s="7">
        <f>10000.0+SUM($AA$2:AA952)</f>
        <v/>
      </c>
      <c r="AI952" s="2" t="n">
        <v>2026</v>
      </c>
      <c r="AJ952" s="2" t="inlineStr">
        <is>
          <t>2026-06</t>
        </is>
      </c>
      <c r="AK952" s="2" t="inlineStr">
        <is>
          <t>&lt;= -150</t>
        </is>
      </c>
      <c r="AL952" s="2" t="inlineStr">
        <is>
          <t>2026 Frozen Test</t>
        </is>
      </c>
      <c r="AM952" s="6" t="n">
        <v>0.117706858119138</v>
      </c>
    </row>
    <row r="953">
      <c r="A953" s="2" t="inlineStr">
        <is>
          <t>KPROP-00952</t>
        </is>
      </c>
      <c r="B953" s="3" t="n">
        <v>46183.79556712963</v>
      </c>
      <c r="C953" s="3" t="n">
        <v>46183</v>
      </c>
      <c r="D953" s="2" t="inlineStr">
        <is>
          <t>Jesús Luzardo</t>
        </is>
      </c>
      <c r="E953" s="2" t="n">
        <v>143</v>
      </c>
      <c r="F953" s="2" t="n">
        <v>141</v>
      </c>
      <c r="G953" s="2" t="inlineStr">
        <is>
          <t>Away</t>
        </is>
      </c>
      <c r="H953" s="2" t="inlineStr">
        <is>
          <t>bovada</t>
        </is>
      </c>
      <c r="I953" s="4" t="n"/>
      <c r="J953" s="4" t="n"/>
      <c r="K953" s="4" t="n">
        <v>-120</v>
      </c>
      <c r="L953" s="4" t="n">
        <v>-120</v>
      </c>
      <c r="M953" s="5" t="n">
        <v>5.5</v>
      </c>
      <c r="N953" s="5" t="n">
        <v>5.181570288766241</v>
      </c>
      <c r="O953" s="5" t="n">
        <v>5.5</v>
      </c>
      <c r="P953" s="5" t="n">
        <v>0.3184297112337591</v>
      </c>
      <c r="Q953" s="6" t="n">
        <v>0.0709148079757751</v>
      </c>
      <c r="R953" s="6" t="n">
        <v>0.5841353498049682</v>
      </c>
      <c r="S953" s="6" t="n">
        <v>0.5157232704402516</v>
      </c>
      <c r="T953" s="2" t="inlineStr">
        <is>
          <t>Under</t>
        </is>
      </c>
      <c r="U953" s="4" t="n">
        <v>-120</v>
      </c>
      <c r="V953" s="2" t="n">
        <v>1.833333333333333</v>
      </c>
      <c r="W953" s="4" t="n">
        <v>-120</v>
      </c>
      <c r="X953" s="2" t="n">
        <v>1</v>
      </c>
      <c r="Y953" s="5" t="n">
        <v>-1</v>
      </c>
      <c r="Z953" s="7" t="n">
        <v>100</v>
      </c>
      <c r="AA953" s="7">
        <f>Y953*Z953</f>
        <v/>
      </c>
      <c r="AB953" s="6">
        <f>IF(Z953=0,0,AA953/Z953)</f>
        <v/>
      </c>
      <c r="AC953" s="6" t="n"/>
      <c r="AD953" s="2" t="inlineStr">
        <is>
          <t>Loss</t>
        </is>
      </c>
      <c r="AE953" s="6">
        <f>IF((COUNTIF($AD$2:AD953,"Win")+COUNTIF($AD$2:AD953,"Loss"))=0,0,COUNTIF($AD$2:AD953,"Win")/(COUNTIF($AD$2:AD953,"Win")+COUNTIF($AD$2:AD953,"Loss")))</f>
        <v/>
      </c>
      <c r="AF953" s="6">
        <f>SUM($Y$2:Y953)/SUM($X$2:X953)</f>
        <v/>
      </c>
      <c r="AG953" s="5">
        <f>SUM($Y$2:Y953)</f>
        <v/>
      </c>
      <c r="AH953" s="7">
        <f>10000.0+SUM($AA$2:AA953)</f>
        <v/>
      </c>
      <c r="AI953" s="2" t="n">
        <v>2026</v>
      </c>
      <c r="AJ953" s="2" t="inlineStr">
        <is>
          <t>2026-06</t>
        </is>
      </c>
      <c r="AK953" s="2" t="inlineStr">
        <is>
          <t>-149 to -120</t>
        </is>
      </c>
      <c r="AL953" s="2" t="inlineStr">
        <is>
          <t>2026 Frozen Test</t>
        </is>
      </c>
      <c r="AM953" s="6" t="n">
        <v>0.0850977695709301</v>
      </c>
    </row>
    <row r="954">
      <c r="A954" s="2" t="inlineStr">
        <is>
          <t>KPROP-00953</t>
        </is>
      </c>
      <c r="B954" s="3" t="n">
        <v>46183.67402777778</v>
      </c>
      <c r="C954" s="3" t="n">
        <v>46183</v>
      </c>
      <c r="D954" s="2" t="inlineStr">
        <is>
          <t>Michael King</t>
        </is>
      </c>
      <c r="E954" s="2" t="n">
        <v>135</v>
      </c>
      <c r="F954" s="2" t="n">
        <v>113</v>
      </c>
      <c r="G954" s="2" t="inlineStr">
        <is>
          <t>Home</t>
        </is>
      </c>
      <c r="H954" s="2" t="inlineStr">
        <is>
          <t>fanduel</t>
        </is>
      </c>
      <c r="I954" s="4" t="n"/>
      <c r="J954" s="4" t="n"/>
      <c r="K954" s="4" t="n">
        <v>130</v>
      </c>
      <c r="L954" s="4" t="n">
        <v>130</v>
      </c>
      <c r="M954" s="5" t="n">
        <v>5.5</v>
      </c>
      <c r="N954" s="5" t="n">
        <v>5.4176939445328</v>
      </c>
      <c r="O954" s="5" t="n">
        <v>5.5</v>
      </c>
      <c r="P954" s="5" t="n">
        <v>0.08230605546719971</v>
      </c>
      <c r="Q954" s="6" t="n">
        <v>0.2490753603271384</v>
      </c>
      <c r="R954" s="6" t="n">
        <v>0.543076243620495</v>
      </c>
      <c r="S954" s="6" t="n">
        <v>0.4140127388535032</v>
      </c>
      <c r="T954" s="2" t="inlineStr">
        <is>
          <t>Under</t>
        </is>
      </c>
      <c r="U954" s="4" t="n">
        <v>130</v>
      </c>
      <c r="V954" s="2" t="n">
        <v>2.3</v>
      </c>
      <c r="W954" s="4" t="n">
        <v>130</v>
      </c>
      <c r="X954" s="2" t="n">
        <v>1</v>
      </c>
      <c r="Y954" s="5" t="n">
        <v>1.3</v>
      </c>
      <c r="Z954" s="7" t="n">
        <v>100</v>
      </c>
      <c r="AA954" s="7">
        <f>Y954*Z954</f>
        <v/>
      </c>
      <c r="AB954" s="6">
        <f>IF(Z954=0,0,AA954/Z954)</f>
        <v/>
      </c>
      <c r="AC954" s="6" t="n"/>
      <c r="AD954" s="2" t="inlineStr">
        <is>
          <t>Win</t>
        </is>
      </c>
      <c r="AE954" s="6">
        <f>IF((COUNTIF($AD$2:AD954,"Win")+COUNTIF($AD$2:AD954,"Loss"))=0,0,COUNTIF($AD$2:AD954,"Win")/(COUNTIF($AD$2:AD954,"Win")+COUNTIF($AD$2:AD954,"Loss")))</f>
        <v/>
      </c>
      <c r="AF954" s="6">
        <f>SUM($Y$2:Y954)/SUM($X$2:X954)</f>
        <v/>
      </c>
      <c r="AG954" s="5">
        <f>SUM($Y$2:Y954)</f>
        <v/>
      </c>
      <c r="AH954" s="7">
        <f>10000.0+SUM($AA$2:AA954)</f>
        <v/>
      </c>
      <c r="AI954" s="2" t="n">
        <v>2026</v>
      </c>
      <c r="AJ954" s="2" t="inlineStr">
        <is>
          <t>2026-06</t>
        </is>
      </c>
      <c r="AK954" s="2" t="inlineStr">
        <is>
          <t>+121 to +150</t>
        </is>
      </c>
      <c r="AL954" s="2" t="inlineStr">
        <is>
          <t>2026 Frozen Test</t>
        </is>
      </c>
      <c r="AM954" s="6" t="n">
        <v>0.1915964310208757</v>
      </c>
    </row>
    <row r="955">
      <c r="A955" s="2" t="inlineStr">
        <is>
          <t>KPROP-00954</t>
        </is>
      </c>
      <c r="B955" s="3" t="n">
        <v>46183.67402777778</v>
      </c>
      <c r="C955" s="3" t="n">
        <v>46183</v>
      </c>
      <c r="D955" s="2" t="inlineStr">
        <is>
          <t>Michael King</t>
        </is>
      </c>
      <c r="E955" s="2" t="n">
        <v>135</v>
      </c>
      <c r="F955" s="2" t="n">
        <v>113</v>
      </c>
      <c r="G955" s="2" t="inlineStr">
        <is>
          <t>Home</t>
        </is>
      </c>
      <c r="H955" s="2" t="inlineStr">
        <is>
          <t>draftkings</t>
        </is>
      </c>
      <c r="I955" s="4" t="n"/>
      <c r="J955" s="4" t="n"/>
      <c r="K955" s="4" t="n">
        <v>-147</v>
      </c>
      <c r="L955" s="4" t="n">
        <v>-147</v>
      </c>
      <c r="M955" s="5" t="n">
        <v>6.5</v>
      </c>
      <c r="N955" s="5" t="n">
        <v>5.4176939445328</v>
      </c>
      <c r="O955" s="5" t="n">
        <v>6.5</v>
      </c>
      <c r="P955" s="5" t="n">
        <v>1.0823060554672</v>
      </c>
      <c r="Q955" s="6" t="n">
        <v>0.1743699427197283</v>
      </c>
      <c r="R955" s="6" t="n">
        <v>0.6989165246145752</v>
      </c>
      <c r="S955" s="6" t="n">
        <v>0.5669705469845722</v>
      </c>
      <c r="T955" s="2" t="inlineStr">
        <is>
          <t>Under</t>
        </is>
      </c>
      <c r="U955" s="4" t="n">
        <v>-147</v>
      </c>
      <c r="V955" s="2" t="n">
        <v>1.680272108843537</v>
      </c>
      <c r="W955" s="4" t="n">
        <v>-147</v>
      </c>
      <c r="X955" s="2" t="n">
        <v>1</v>
      </c>
      <c r="Y955" s="5" t="n">
        <v>0.6802721088435373</v>
      </c>
      <c r="Z955" s="7" t="n">
        <v>100</v>
      </c>
      <c r="AA955" s="7">
        <f>Y955*Z955</f>
        <v/>
      </c>
      <c r="AB955" s="6">
        <f>IF(Z955=0,0,AA955/Z955)</f>
        <v/>
      </c>
      <c r="AC955" s="6" t="n"/>
      <c r="AD955" s="2" t="inlineStr">
        <is>
          <t>Win</t>
        </is>
      </c>
      <c r="AE955" s="6">
        <f>IF((COUNTIF($AD$2:AD955,"Win")+COUNTIF($AD$2:AD955,"Loss"))=0,0,COUNTIF($AD$2:AD955,"Win")/(COUNTIF($AD$2:AD955,"Win")+COUNTIF($AD$2:AD955,"Loss")))</f>
        <v/>
      </c>
      <c r="AF955" s="6">
        <f>SUM($Y$2:Y955)/SUM($X$2:X955)</f>
        <v/>
      </c>
      <c r="AG955" s="5">
        <f>SUM($Y$2:Y955)</f>
        <v/>
      </c>
      <c r="AH955" s="7">
        <f>10000.0+SUM($AA$2:AA955)</f>
        <v/>
      </c>
      <c r="AI955" s="2" t="n">
        <v>2026</v>
      </c>
      <c r="AJ955" s="2" t="inlineStr">
        <is>
          <t>2026-06</t>
        </is>
      </c>
      <c r="AK955" s="2" t="inlineStr">
        <is>
          <t>-149 to -120</t>
        </is>
      </c>
      <c r="AL955" s="2" t="inlineStr">
        <is>
          <t>2026 Frozen Test</t>
        </is>
      </c>
      <c r="AM955" s="6" t="n">
        <v>0.2563238157980007</v>
      </c>
    </row>
    <row r="956">
      <c r="A956" s="2" t="inlineStr">
        <is>
          <t>KPROP-00955</t>
        </is>
      </c>
      <c r="B956" s="3" t="n">
        <v>46183.54902777778</v>
      </c>
      <c r="C956" s="3" t="n">
        <v>46183</v>
      </c>
      <c r="D956" s="2" t="inlineStr">
        <is>
          <t>Parker Messick</t>
        </is>
      </c>
      <c r="E956" s="2" t="n">
        <v>114</v>
      </c>
      <c r="F956" s="2" t="n">
        <v>147</v>
      </c>
      <c r="G956" s="2" t="inlineStr">
        <is>
          <t>Home</t>
        </is>
      </c>
      <c r="H956" s="2" t="inlineStr">
        <is>
          <t>draftkings</t>
        </is>
      </c>
      <c r="I956" s="4" t="n"/>
      <c r="J956" s="4" t="n"/>
      <c r="K956" s="4" t="n">
        <v>-118</v>
      </c>
      <c r="L956" s="4" t="n">
        <v>-118</v>
      </c>
      <c r="M956" s="5" t="n">
        <v>5.5</v>
      </c>
      <c r="N956" s="5" t="n">
        <v>4.972668792571953</v>
      </c>
      <c r="O956" s="5" t="n">
        <v>5.5</v>
      </c>
      <c r="P956" s="5" t="n">
        <v>0.5273312074280474</v>
      </c>
      <c r="Q956" s="6" t="n">
        <v>0.1468209059170833</v>
      </c>
      <c r="R956" s="6" t="n">
        <v>0.620756270175302</v>
      </c>
      <c r="S956" s="6" t="n">
        <v>0.5378418486326054</v>
      </c>
      <c r="T956" s="2" t="inlineStr">
        <is>
          <t>Under</t>
        </is>
      </c>
      <c r="U956" s="4" t="n">
        <v>-118</v>
      </c>
      <c r="V956" s="2" t="n">
        <v>1.847457627118644</v>
      </c>
      <c r="W956" s="4" t="n">
        <v>-118</v>
      </c>
      <c r="X956" s="2" t="n">
        <v>1</v>
      </c>
      <c r="Y956" s="5" t="n">
        <v>0.847457627118644</v>
      </c>
      <c r="Z956" s="7" t="n">
        <v>100</v>
      </c>
      <c r="AA956" s="7">
        <f>Y956*Z956</f>
        <v/>
      </c>
      <c r="AB956" s="6">
        <f>IF(Z956=0,0,AA956/Z956)</f>
        <v/>
      </c>
      <c r="AC956" s="6" t="n"/>
      <c r="AD956" s="2" t="inlineStr">
        <is>
          <t>Win</t>
        </is>
      </c>
      <c r="AE956" s="6">
        <f>IF((COUNTIF($AD$2:AD956,"Win")+COUNTIF($AD$2:AD956,"Loss"))=0,0,COUNTIF($AD$2:AD956,"Win")/(COUNTIF($AD$2:AD956,"Win")+COUNTIF($AD$2:AD956,"Loss")))</f>
        <v/>
      </c>
      <c r="AF956" s="6">
        <f>SUM($Y$2:Y956)/SUM($X$2:X956)</f>
        <v/>
      </c>
      <c r="AG956" s="5">
        <f>SUM($Y$2:Y956)</f>
        <v/>
      </c>
      <c r="AH956" s="7">
        <f>10000.0+SUM($AA$2:AA956)</f>
        <v/>
      </c>
      <c r="AI956" s="2" t="n">
        <v>2026</v>
      </c>
      <c r="AJ956" s="2" t="inlineStr">
        <is>
          <t>2026-06</t>
        </is>
      </c>
      <c r="AK956" s="2" t="inlineStr">
        <is>
          <t>-119 to -101</t>
        </is>
      </c>
      <c r="AL956" s="2" t="inlineStr">
        <is>
          <t>2026 Frozen Test</t>
        </is>
      </c>
      <c r="AM956" s="6" t="n">
        <v>0.1732486689821583</v>
      </c>
    </row>
    <row r="957">
      <c r="A957" s="2" t="inlineStr">
        <is>
          <t>KPROP-00956</t>
        </is>
      </c>
      <c r="B957" s="3" t="n">
        <v>46183.65666666667</v>
      </c>
      <c r="C957" s="3" t="n">
        <v>46183</v>
      </c>
      <c r="D957" s="2" t="inlineStr">
        <is>
          <t>Robbie Ray</t>
        </is>
      </c>
      <c r="E957" s="2" t="n">
        <v>137</v>
      </c>
      <c r="F957" s="2" t="n">
        <v>120</v>
      </c>
      <c r="G957" s="2" t="inlineStr">
        <is>
          <t>Home</t>
        </is>
      </c>
      <c r="H957" s="2" t="inlineStr">
        <is>
          <t>betmgm</t>
        </is>
      </c>
      <c r="I957" s="4" t="n"/>
      <c r="J957" s="4" t="n"/>
      <c r="K957" s="4" t="n">
        <v>-145</v>
      </c>
      <c r="L957" s="4" t="n">
        <v>-145</v>
      </c>
      <c r="M957" s="5" t="n">
        <v>5.5</v>
      </c>
      <c r="N957" s="5" t="n">
        <v>4.460432245965172</v>
      </c>
      <c r="O957" s="5" t="n">
        <v>5.5</v>
      </c>
      <c r="P957" s="5" t="n">
        <v>1.039567754034828</v>
      </c>
      <c r="Q957" s="6" t="n">
        <v>0.199105016595296</v>
      </c>
      <c r="R957" s="6" t="n">
        <v>0.7096743975768078</v>
      </c>
      <c r="S957" s="6" t="n">
        <v>0.5764909248055315</v>
      </c>
      <c r="T957" s="2" t="inlineStr">
        <is>
          <t>Under</t>
        </is>
      </c>
      <c r="U957" s="4" t="n">
        <v>-145</v>
      </c>
      <c r="V957" s="2" t="n">
        <v>1.689655172413793</v>
      </c>
      <c r="W957" s="4" t="n">
        <v>-145</v>
      </c>
      <c r="X957" s="2" t="n">
        <v>1</v>
      </c>
      <c r="Y957" s="5" t="n">
        <v>0.6896551724137931</v>
      </c>
      <c r="Z957" s="7" t="n">
        <v>100</v>
      </c>
      <c r="AA957" s="7">
        <f>Y957*Z957</f>
        <v/>
      </c>
      <c r="AB957" s="6">
        <f>IF(Z957=0,0,AA957/Z957)</f>
        <v/>
      </c>
      <c r="AC957" s="6" t="n"/>
      <c r="AD957" s="2" t="inlineStr">
        <is>
          <t>Win</t>
        </is>
      </c>
      <c r="AE957" s="6">
        <f>IF((COUNTIF($AD$2:AD957,"Win")+COUNTIF($AD$2:AD957,"Loss"))=0,0,COUNTIF($AD$2:AD957,"Win")/(COUNTIF($AD$2:AD957,"Win")+COUNTIF($AD$2:AD957,"Loss")))</f>
        <v/>
      </c>
      <c r="AF957" s="6">
        <f>SUM($Y$2:Y957)/SUM($X$2:X957)</f>
        <v/>
      </c>
      <c r="AG957" s="5">
        <f>SUM($Y$2:Y957)</f>
        <v/>
      </c>
      <c r="AH957" s="7">
        <f>10000.0+SUM($AA$2:AA957)</f>
        <v/>
      </c>
      <c r="AI957" s="2" t="n">
        <v>2026</v>
      </c>
      <c r="AJ957" s="2" t="inlineStr">
        <is>
          <t>2026-06</t>
        </is>
      </c>
      <c r="AK957" s="2" t="inlineStr">
        <is>
          <t>-149 to -120</t>
        </is>
      </c>
      <c r="AL957" s="2" t="inlineStr">
        <is>
          <t>2026 Frozen Test</t>
        </is>
      </c>
      <c r="AM957" s="6" t="n">
        <v>0.2887022740631793</v>
      </c>
    </row>
    <row r="958">
      <c r="A958" s="2" t="inlineStr">
        <is>
          <t>KPROP-00957</t>
        </is>
      </c>
      <c r="B958" s="3" t="n">
        <v>46183.77819444444</v>
      </c>
      <c r="C958" s="3" t="n">
        <v>46183</v>
      </c>
      <c r="D958" s="2" t="inlineStr">
        <is>
          <t>Shohei Ohtani</t>
        </is>
      </c>
      <c r="E958" s="2" t="n">
        <v>119</v>
      </c>
      <c r="F958" s="2" t="n">
        <v>134</v>
      </c>
      <c r="G958" s="2" t="inlineStr">
        <is>
          <t>Away</t>
        </is>
      </c>
      <c r="H958" s="2" t="inlineStr">
        <is>
          <t>draftkings</t>
        </is>
      </c>
      <c r="I958" s="4" t="n"/>
      <c r="J958" s="4" t="n"/>
      <c r="K958" s="4" t="n">
        <v>-106</v>
      </c>
      <c r="L958" s="4" t="n">
        <v>-106</v>
      </c>
      <c r="M958" s="5" t="n">
        <v>6.5</v>
      </c>
      <c r="N958" s="5" t="n">
        <v>5.362233872297962</v>
      </c>
      <c r="O958" s="5" t="n">
        <v>6.5</v>
      </c>
      <c r="P958" s="5" t="n">
        <v>1.137766127702038</v>
      </c>
      <c r="Q958" s="6" t="n">
        <v>0.3750166175806275</v>
      </c>
      <c r="R958" s="6" t="n">
        <v>0.7075328226385753</v>
      </c>
      <c r="S958" s="6" t="n">
        <v>0.4977424598157846</v>
      </c>
      <c r="T958" s="2" t="inlineStr">
        <is>
          <t>Under</t>
        </is>
      </c>
      <c r="U958" s="4" t="n">
        <v>-106</v>
      </c>
      <c r="V958" s="2" t="n">
        <v>1.943396226415094</v>
      </c>
      <c r="W958" s="4" t="n">
        <v>-106</v>
      </c>
      <c r="X958" s="2" t="n">
        <v>1</v>
      </c>
      <c r="Y958" s="5" t="n">
        <v>0.9433962264150944</v>
      </c>
      <c r="Z958" s="7" t="n">
        <v>100</v>
      </c>
      <c r="AA958" s="7">
        <f>Y958*Z958</f>
        <v/>
      </c>
      <c r="AB958" s="6">
        <f>IF(Z958=0,0,AA958/Z958)</f>
        <v/>
      </c>
      <c r="AC958" s="6" t="n"/>
      <c r="AD958" s="2" t="inlineStr">
        <is>
          <t>Win</t>
        </is>
      </c>
      <c r="AE958" s="6">
        <f>IF((COUNTIF($AD$2:AD958,"Win")+COUNTIF($AD$2:AD958,"Loss"))=0,0,COUNTIF($AD$2:AD958,"Win")/(COUNTIF($AD$2:AD958,"Win")+COUNTIF($AD$2:AD958,"Loss")))</f>
        <v/>
      </c>
      <c r="AF958" s="6">
        <f>SUM($Y$2:Y958)/SUM($X$2:X958)</f>
        <v/>
      </c>
      <c r="AG958" s="5">
        <f>SUM($Y$2:Y958)</f>
        <v/>
      </c>
      <c r="AH958" s="7">
        <f>10000.0+SUM($AA$2:AA958)</f>
        <v/>
      </c>
      <c r="AI958" s="2" t="n">
        <v>2026</v>
      </c>
      <c r="AJ958" s="2" t="inlineStr">
        <is>
          <t>2026-06</t>
        </is>
      </c>
      <c r="AK958" s="2" t="inlineStr">
        <is>
          <t>-119 to -101</t>
        </is>
      </c>
      <c r="AL958" s="2" t="inlineStr">
        <is>
          <t>2026 Frozen Test</t>
        </is>
      </c>
      <c r="AM958" s="6" t="n">
        <v>0.3975176146354652</v>
      </c>
    </row>
    <row r="959">
      <c r="A959" s="2" t="inlineStr">
        <is>
          <t>KPROP-00958</t>
        </is>
      </c>
      <c r="B959" s="3" t="n">
        <v>46184.79555555555</v>
      </c>
      <c r="C959" s="3" t="n">
        <v>46184</v>
      </c>
      <c r="D959" s="2" t="inlineStr">
        <is>
          <t>Bryan Woo</t>
        </is>
      </c>
      <c r="E959" s="2" t="n">
        <v>136</v>
      </c>
      <c r="F959" s="2" t="n">
        <v>110</v>
      </c>
      <c r="G959" s="2" t="inlineStr">
        <is>
          <t>Away</t>
        </is>
      </c>
      <c r="H959" s="2" t="inlineStr">
        <is>
          <t>draftkings</t>
        </is>
      </c>
      <c r="I959" s="4" t="n"/>
      <c r="J959" s="4" t="n"/>
      <c r="K959" s="4" t="n">
        <v>-140</v>
      </c>
      <c r="L959" s="4" t="n">
        <v>-140</v>
      </c>
      <c r="M959" s="5" t="n">
        <v>6.5</v>
      </c>
      <c r="N959" s="5" t="n">
        <v>5.720577434022882</v>
      </c>
      <c r="O959" s="5" t="n">
        <v>6.5</v>
      </c>
      <c r="P959" s="5" t="n">
        <v>0.7794225659771179</v>
      </c>
      <c r="Q959" s="6" t="n">
        <v>0.1161457844731877</v>
      </c>
      <c r="R959" s="6" t="n">
        <v>0.6510850409426928</v>
      </c>
      <c r="S959" s="6" t="n">
        <v>0.5675675675675677</v>
      </c>
      <c r="T959" s="2" t="inlineStr">
        <is>
          <t>Under</t>
        </is>
      </c>
      <c r="U959" s="4" t="n">
        <v>-140</v>
      </c>
      <c r="V959" s="2" t="n">
        <v>1.714285714285714</v>
      </c>
      <c r="W959" s="4" t="n">
        <v>-140</v>
      </c>
      <c r="X959" s="2" t="n">
        <v>1</v>
      </c>
      <c r="Y959" s="5" t="n">
        <v>0.7142857142857144</v>
      </c>
      <c r="Z959" s="7" t="n">
        <v>100</v>
      </c>
      <c r="AA959" s="7">
        <f>Y959*Z959</f>
        <v/>
      </c>
      <c r="AB959" s="6">
        <f>IF(Z959=0,0,AA959/Z959)</f>
        <v/>
      </c>
      <c r="AC959" s="6" t="n"/>
      <c r="AD959" s="2" t="inlineStr">
        <is>
          <t>Win</t>
        </is>
      </c>
      <c r="AE959" s="6">
        <f>IF((COUNTIF($AD$2:AD959,"Win")+COUNTIF($AD$2:AD959,"Loss"))=0,0,COUNTIF($AD$2:AD959,"Win")/(COUNTIF($AD$2:AD959,"Win")+COUNTIF($AD$2:AD959,"Loss")))</f>
        <v/>
      </c>
      <c r="AF959" s="6">
        <f>SUM($Y$2:Y959)/SUM($X$2:X959)</f>
        <v/>
      </c>
      <c r="AG959" s="5">
        <f>SUM($Y$2:Y959)</f>
        <v/>
      </c>
      <c r="AH959" s="7">
        <f>10000.0+SUM($AA$2:AA959)</f>
        <v/>
      </c>
      <c r="AI959" s="2" t="n">
        <v>2026</v>
      </c>
      <c r="AJ959" s="2" t="inlineStr">
        <is>
          <t>2026-06</t>
        </is>
      </c>
      <c r="AK959" s="2" t="inlineStr">
        <is>
          <t>-149 to -120</t>
        </is>
      </c>
      <c r="AL959" s="2" t="inlineStr">
        <is>
          <t>2026 Frozen Test</t>
        </is>
      </c>
      <c r="AM959" s="6" t="n">
        <v>0.1626040982624628</v>
      </c>
    </row>
    <row r="960">
      <c r="A960" s="2" t="inlineStr">
        <is>
          <t>KPROP-00959</t>
        </is>
      </c>
      <c r="B960" s="3" t="n">
        <v>46184.54902777778</v>
      </c>
      <c r="C960" s="3" t="n">
        <v>46184</v>
      </c>
      <c r="D960" s="2" t="inlineStr">
        <is>
          <t>Christian Scott</t>
        </is>
      </c>
      <c r="E960" s="2" t="n">
        <v>121</v>
      </c>
      <c r="F960" s="2" t="n">
        <v>138</v>
      </c>
      <c r="G960" s="2" t="inlineStr">
        <is>
          <t>Home</t>
        </is>
      </c>
      <c r="H960" s="2" t="inlineStr">
        <is>
          <t>draftkings</t>
        </is>
      </c>
      <c r="I960" s="4" t="n"/>
      <c r="J960" s="4" t="n"/>
      <c r="K960" s="4" t="n">
        <v>130</v>
      </c>
      <c r="L960" s="4" t="n">
        <v>130</v>
      </c>
      <c r="M960" s="5" t="n">
        <v>4.5</v>
      </c>
      <c r="N960" s="5" t="n">
        <v>4.732207878370621</v>
      </c>
      <c r="O960" s="5" t="n">
        <v>4.5</v>
      </c>
      <c r="P960" s="5" t="n">
        <v>-0.2322078783706205</v>
      </c>
      <c r="Q960" s="6" t="n">
        <v>0.1239345255720127</v>
      </c>
      <c r="R960" s="6" t="n">
        <v>0.4886671850313099</v>
      </c>
      <c r="S960" s="6" t="n">
        <v>0.4106205619018215</v>
      </c>
      <c r="T960" s="2" t="inlineStr">
        <is>
          <t>Under</t>
        </is>
      </c>
      <c r="U960" s="4" t="n">
        <v>130</v>
      </c>
      <c r="V960" s="2" t="n">
        <v>2.3</v>
      </c>
      <c r="W960" s="4" t="n">
        <v>130</v>
      </c>
      <c r="X960" s="2" t="n">
        <v>1</v>
      </c>
      <c r="Y960" s="5" t="n">
        <v>-1</v>
      </c>
      <c r="Z960" s="7" t="n">
        <v>100</v>
      </c>
      <c r="AA960" s="7">
        <f>Y960*Z960</f>
        <v/>
      </c>
      <c r="AB960" s="6">
        <f>IF(Z960=0,0,AA960/Z960)</f>
        <v/>
      </c>
      <c r="AC960" s="6" t="n"/>
      <c r="AD960" s="2" t="inlineStr">
        <is>
          <t>Loss</t>
        </is>
      </c>
      <c r="AE960" s="6">
        <f>IF((COUNTIF($AD$2:AD960,"Win")+COUNTIF($AD$2:AD960,"Loss"))=0,0,COUNTIF($AD$2:AD960,"Win")/(COUNTIF($AD$2:AD960,"Win")+COUNTIF($AD$2:AD960,"Loss")))</f>
        <v/>
      </c>
      <c r="AF960" s="6">
        <f>SUM($Y$2:Y960)/SUM($X$2:X960)</f>
        <v/>
      </c>
      <c r="AG960" s="5">
        <f>SUM($Y$2:Y960)</f>
        <v/>
      </c>
      <c r="AH960" s="7">
        <f>10000.0+SUM($AA$2:AA960)</f>
        <v/>
      </c>
      <c r="AI960" s="2" t="n">
        <v>2026</v>
      </c>
      <c r="AJ960" s="2" t="inlineStr">
        <is>
          <t>2026-06</t>
        </is>
      </c>
      <c r="AK960" s="2" t="inlineStr">
        <is>
          <t>+121 to +150</t>
        </is>
      </c>
      <c r="AL960" s="2" t="inlineStr">
        <is>
          <t>2026 Frozen Test</t>
        </is>
      </c>
      <c r="AM960" s="6" t="n">
        <v>0.09533425044000976</v>
      </c>
    </row>
    <row r="961">
      <c r="A961" s="2" t="inlineStr">
        <is>
          <t>KPROP-00960</t>
        </is>
      </c>
      <c r="B961" s="3" t="n">
        <v>46184.79555555555</v>
      </c>
      <c r="C961" s="3" t="n">
        <v>46184</v>
      </c>
      <c r="D961" s="2" t="inlineStr">
        <is>
          <t>Kyle Bradish</t>
        </is>
      </c>
      <c r="E961" s="2" t="n">
        <v>110</v>
      </c>
      <c r="F961" s="2" t="n">
        <v>136</v>
      </c>
      <c r="G961" s="2" t="inlineStr">
        <is>
          <t>Home</t>
        </is>
      </c>
      <c r="H961" s="2" t="inlineStr">
        <is>
          <t>draftkings</t>
        </is>
      </c>
      <c r="I961" s="4" t="n"/>
      <c r="J961" s="4" t="n"/>
      <c r="K961" s="4" t="n">
        <v>-102</v>
      </c>
      <c r="L961" s="4" t="n">
        <v>-102</v>
      </c>
      <c r="M961" s="5" t="n">
        <v>5.5</v>
      </c>
      <c r="N961" s="5" t="n">
        <v>5.367759175236607</v>
      </c>
      <c r="O961" s="5" t="n">
        <v>5.5</v>
      </c>
      <c r="P961" s="5" t="n">
        <v>0.1322408247633931</v>
      </c>
      <c r="Q961" s="6" t="n">
        <v>0.09260314527554303</v>
      </c>
      <c r="R961" s="6" t="n">
        <v>0.5517104990995316</v>
      </c>
      <c r="S961" s="6" t="n">
        <v>0.4908340971585702</v>
      </c>
      <c r="T961" s="2" t="inlineStr">
        <is>
          <t>Under</t>
        </is>
      </c>
      <c r="U961" s="4" t="n">
        <v>-102</v>
      </c>
      <c r="V961" s="2" t="n">
        <v>1.980392156862745</v>
      </c>
      <c r="W961" s="4" t="n">
        <v>-102</v>
      </c>
      <c r="X961" s="2" t="n">
        <v>1</v>
      </c>
      <c r="Y961" s="5" t="n">
        <v>0.9803921568627452</v>
      </c>
      <c r="Z961" s="7" t="n">
        <v>100</v>
      </c>
      <c r="AA961" s="7">
        <f>Y961*Z961</f>
        <v/>
      </c>
      <c r="AB961" s="6">
        <f>IF(Z961=0,0,AA961/Z961)</f>
        <v/>
      </c>
      <c r="AC961" s="6" t="n"/>
      <c r="AD961" s="2" t="inlineStr">
        <is>
          <t>Win</t>
        </is>
      </c>
      <c r="AE961" s="6">
        <f>IF((COUNTIF($AD$2:AD961,"Win")+COUNTIF($AD$2:AD961,"Loss"))=0,0,COUNTIF($AD$2:AD961,"Win")/(COUNTIF($AD$2:AD961,"Win")+COUNTIF($AD$2:AD961,"Loss")))</f>
        <v/>
      </c>
      <c r="AF961" s="6">
        <f>SUM($Y$2:Y961)/SUM($X$2:X961)</f>
        <v/>
      </c>
      <c r="AG961" s="5">
        <f>SUM($Y$2:Y961)</f>
        <v/>
      </c>
      <c r="AH961" s="7">
        <f>10000.0+SUM($AA$2:AA961)</f>
        <v/>
      </c>
      <c r="AI961" s="2" t="n">
        <v>2026</v>
      </c>
      <c r="AJ961" s="2" t="inlineStr">
        <is>
          <t>2026-06</t>
        </is>
      </c>
      <c r="AK961" s="2" t="inlineStr">
        <is>
          <t>-119 to -101</t>
        </is>
      </c>
      <c r="AL961" s="2" t="inlineStr">
        <is>
          <t>2026 Frozen Test</t>
        </is>
      </c>
      <c r="AM961" s="6" t="n">
        <v>0.09445520818105388</v>
      </c>
    </row>
    <row r="962">
      <c r="A962" s="2" t="inlineStr">
        <is>
          <t>KPROP-00961</t>
        </is>
      </c>
      <c r="B962" s="3" t="n">
        <v>46185.77819444444</v>
      </c>
      <c r="C962" s="3" t="n">
        <v>46185</v>
      </c>
      <c r="D962" s="2" t="inlineStr">
        <is>
          <t>Braxton Ashcraft</t>
        </is>
      </c>
      <c r="E962" s="2" t="n">
        <v>134</v>
      </c>
      <c r="F962" s="2" t="n">
        <v>146</v>
      </c>
      <c r="G962" s="2" t="inlineStr">
        <is>
          <t>Home</t>
        </is>
      </c>
      <c r="H962" s="2" t="inlineStr">
        <is>
          <t>fanduel</t>
        </is>
      </c>
      <c r="I962" s="4" t="n"/>
      <c r="J962" s="4" t="n"/>
      <c r="K962" s="4" t="n">
        <v>116</v>
      </c>
      <c r="L962" s="4" t="n">
        <v>116</v>
      </c>
      <c r="M962" s="5" t="n">
        <v>5.5</v>
      </c>
      <c r="N962" s="5" t="n">
        <v>5.482026394773845</v>
      </c>
      <c r="O962" s="5" t="n">
        <v>5.5</v>
      </c>
      <c r="P962" s="5" t="n">
        <v>0.01797360522615499</v>
      </c>
      <c r="Q962" s="6" t="n">
        <v>0.1491240294819585</v>
      </c>
      <c r="R962" s="6" t="n">
        <v>0.5320018655009067</v>
      </c>
      <c r="S962" s="6" t="n">
        <v>0.4528045958669114</v>
      </c>
      <c r="T962" s="2" t="inlineStr">
        <is>
          <t>Under</t>
        </is>
      </c>
      <c r="U962" s="4" t="n">
        <v>116</v>
      </c>
      <c r="V962" s="2" t="n">
        <v>2.16</v>
      </c>
      <c r="W962" s="4" t="n">
        <v>116</v>
      </c>
      <c r="X962" s="2" t="n">
        <v>1</v>
      </c>
      <c r="Y962" s="5" t="n">
        <v>1.16</v>
      </c>
      <c r="Z962" s="7" t="n">
        <v>100</v>
      </c>
      <c r="AA962" s="7">
        <f>Y962*Z962</f>
        <v/>
      </c>
      <c r="AB962" s="6">
        <f>IF(Z962=0,0,AA962/Z962)</f>
        <v/>
      </c>
      <c r="AC962" s="6" t="n"/>
      <c r="AD962" s="2" t="inlineStr">
        <is>
          <t>Win</t>
        </is>
      </c>
      <c r="AE962" s="6">
        <f>IF((COUNTIF($AD$2:AD962,"Win")+COUNTIF($AD$2:AD962,"Loss"))=0,0,COUNTIF($AD$2:AD962,"Win")/(COUNTIF($AD$2:AD962,"Win")+COUNTIF($AD$2:AD962,"Loss")))</f>
        <v/>
      </c>
      <c r="AF962" s="6">
        <f>SUM($Y$2:Y962)/SUM($X$2:X962)</f>
        <v/>
      </c>
      <c r="AG962" s="5">
        <f>SUM($Y$2:Y962)</f>
        <v/>
      </c>
      <c r="AH962" s="7">
        <f>10000.0+SUM($AA$2:AA962)</f>
        <v/>
      </c>
      <c r="AI962" s="2" t="n">
        <v>2026</v>
      </c>
      <c r="AJ962" s="2" t="inlineStr">
        <is>
          <t>2026-06</t>
        </is>
      </c>
      <c r="AK962" s="2" t="inlineStr">
        <is>
          <t>+100 to +120</t>
        </is>
      </c>
      <c r="AL962" s="2" t="inlineStr">
        <is>
          <t>2026 Frozen Test</t>
        </is>
      </c>
      <c r="AM962" s="6" t="n">
        <v>0.1285551978292745</v>
      </c>
    </row>
    <row r="963">
      <c r="A963" s="2" t="inlineStr">
        <is>
          <t>KPROP-00962</t>
        </is>
      </c>
      <c r="B963" s="3" t="n">
        <v>46185.78166666667</v>
      </c>
      <c r="C963" s="3" t="n">
        <v>46185</v>
      </c>
      <c r="D963" s="2" t="inlineStr">
        <is>
          <t>Bryce Miller</t>
        </is>
      </c>
      <c r="E963" s="2" t="n">
        <v>136</v>
      </c>
      <c r="F963" s="2" t="n">
        <v>120</v>
      </c>
      <c r="G963" s="2" t="inlineStr">
        <is>
          <t>Away</t>
        </is>
      </c>
      <c r="H963" s="2" t="inlineStr">
        <is>
          <t>bovada</t>
        </is>
      </c>
      <c r="I963" s="4" t="n"/>
      <c r="J963" s="4" t="n"/>
      <c r="K963" s="4" t="n">
        <v>100</v>
      </c>
      <c r="L963" s="4" t="n">
        <v>100</v>
      </c>
      <c r="M963" s="5" t="n">
        <v>4.5</v>
      </c>
      <c r="N963" s="5" t="n">
        <v>4.360226632444768</v>
      </c>
      <c r="O963" s="5" t="n">
        <v>4.5</v>
      </c>
      <c r="P963" s="5" t="n">
        <v>0.1397733675552315</v>
      </c>
      <c r="Q963" s="6" t="n">
        <v>0.1176463629108626</v>
      </c>
      <c r="R963" s="6" t="n">
        <v>0.5588231814554313</v>
      </c>
      <c r="S963" s="6" t="n">
        <v>0.4811529933481153</v>
      </c>
      <c r="T963" s="2" t="inlineStr">
        <is>
          <t>Under</t>
        </is>
      </c>
      <c r="U963" s="4" t="n">
        <v>100</v>
      </c>
      <c r="V963" s="2" t="n">
        <v>2</v>
      </c>
      <c r="W963" s="4" t="n">
        <v>100</v>
      </c>
      <c r="X963" s="2" t="n">
        <v>1</v>
      </c>
      <c r="Y963" s="5" t="n">
        <v>-1</v>
      </c>
      <c r="Z963" s="7" t="n">
        <v>100</v>
      </c>
      <c r="AA963" s="7">
        <f>Y963*Z963</f>
        <v/>
      </c>
      <c r="AB963" s="6">
        <f>IF(Z963=0,0,AA963/Z963)</f>
        <v/>
      </c>
      <c r="AC963" s="6" t="n"/>
      <c r="AD963" s="2" t="inlineStr">
        <is>
          <t>Loss</t>
        </is>
      </c>
      <c r="AE963" s="6">
        <f>IF((COUNTIF($AD$2:AD963,"Win")+COUNTIF($AD$2:AD963,"Loss"))=0,0,COUNTIF($AD$2:AD963,"Win")/(COUNTIF($AD$2:AD963,"Win")+COUNTIF($AD$2:AD963,"Loss")))</f>
        <v/>
      </c>
      <c r="AF963" s="6">
        <f>SUM($Y$2:Y963)/SUM($X$2:X963)</f>
        <v/>
      </c>
      <c r="AG963" s="5">
        <f>SUM($Y$2:Y963)</f>
        <v/>
      </c>
      <c r="AH963" s="7">
        <f>10000.0+SUM($AA$2:AA963)</f>
        <v/>
      </c>
      <c r="AI963" s="2" t="n">
        <v>2026</v>
      </c>
      <c r="AJ963" s="2" t="inlineStr">
        <is>
          <t>2026-06</t>
        </is>
      </c>
      <c r="AK963" s="2" t="inlineStr">
        <is>
          <t>+100 to +120</t>
        </is>
      </c>
      <c r="AL963" s="2" t="inlineStr">
        <is>
          <t>2026 Frozen Test</t>
        </is>
      </c>
      <c r="AM963" s="6" t="n">
        <v>0.1176463629108626</v>
      </c>
    </row>
    <row r="964">
      <c r="A964" s="2" t="inlineStr">
        <is>
          <t>KPROP-00963</t>
        </is>
      </c>
      <c r="B964" s="3" t="n">
        <v>46185.79903935185</v>
      </c>
      <c r="C964" s="3" t="n">
        <v>46185</v>
      </c>
      <c r="D964" s="2" t="inlineStr">
        <is>
          <t>Jack Flaherty</t>
        </is>
      </c>
      <c r="E964" s="2" t="n">
        <v>116</v>
      </c>
      <c r="F964" s="2" t="n">
        <v>114</v>
      </c>
      <c r="G964" s="2" t="inlineStr">
        <is>
          <t>Away</t>
        </is>
      </c>
      <c r="H964" s="2" t="inlineStr">
        <is>
          <t>draftkings</t>
        </is>
      </c>
      <c r="I964" s="4" t="n"/>
      <c r="J964" s="4" t="n"/>
      <c r="K964" s="4" t="n">
        <v>122</v>
      </c>
      <c r="L964" s="4" t="n">
        <v>122</v>
      </c>
      <c r="M964" s="5" t="n">
        <v>4.5</v>
      </c>
      <c r="N964" s="5" t="n">
        <v>4.526105674587639</v>
      </c>
      <c r="O964" s="5" t="n">
        <v>4.5</v>
      </c>
      <c r="P964" s="5" t="n">
        <v>-0.02610567458763935</v>
      </c>
      <c r="Q964" s="6" t="n">
        <v>0.1702858992165251</v>
      </c>
      <c r="R964" s="6" t="n">
        <v>0.5271558104578943</v>
      </c>
      <c r="S964" s="6" t="n">
        <v>0.4250232434586266</v>
      </c>
      <c r="T964" s="2" t="inlineStr">
        <is>
          <t>Under</t>
        </is>
      </c>
      <c r="U964" s="4" t="n">
        <v>122</v>
      </c>
      <c r="V964" s="2" t="n">
        <v>2.22</v>
      </c>
      <c r="W964" s="4" t="n">
        <v>122</v>
      </c>
      <c r="X964" s="2" t="n">
        <v>1</v>
      </c>
      <c r="Y964" s="5" t="n">
        <v>1.22</v>
      </c>
      <c r="Z964" s="7" t="n">
        <v>100</v>
      </c>
      <c r="AA964" s="7">
        <f>Y964*Z964</f>
        <v/>
      </c>
      <c r="AB964" s="6">
        <f>IF(Z964=0,0,AA964/Z964)</f>
        <v/>
      </c>
      <c r="AC964" s="6" t="n"/>
      <c r="AD964" s="2" t="inlineStr">
        <is>
          <t>Win</t>
        </is>
      </c>
      <c r="AE964" s="6">
        <f>IF((COUNTIF($AD$2:AD964,"Win")+COUNTIF($AD$2:AD964,"Loss"))=0,0,COUNTIF($AD$2:AD964,"Win")/(COUNTIF($AD$2:AD964,"Win")+COUNTIF($AD$2:AD964,"Loss")))</f>
        <v/>
      </c>
      <c r="AF964" s="6">
        <f>SUM($Y$2:Y964)/SUM($X$2:X964)</f>
        <v/>
      </c>
      <c r="AG964" s="5">
        <f>SUM($Y$2:Y964)</f>
        <v/>
      </c>
      <c r="AH964" s="7">
        <f>10000.0+SUM($AA$2:AA964)</f>
        <v/>
      </c>
      <c r="AI964" s="2" t="n">
        <v>2026</v>
      </c>
      <c r="AJ964" s="2" t="inlineStr">
        <is>
          <t>2026-06</t>
        </is>
      </c>
      <c r="AK964" s="2" t="inlineStr">
        <is>
          <t>+121 to +150</t>
        </is>
      </c>
      <c r="AL964" s="2" t="inlineStr">
        <is>
          <t>2026 Frozen Test</t>
        </is>
      </c>
      <c r="AM964" s="6" t="n">
        <v>0.1395786059151846</v>
      </c>
    </row>
    <row r="965">
      <c r="A965" s="2" t="inlineStr">
        <is>
          <t>KPROP-00964</t>
        </is>
      </c>
      <c r="B965" s="3" t="n">
        <v>46185.79903935185</v>
      </c>
      <c r="C965" s="3" t="n">
        <v>46185</v>
      </c>
      <c r="D965" s="2" t="inlineStr">
        <is>
          <t>Jack Flaherty</t>
        </is>
      </c>
      <c r="E965" s="2" t="n">
        <v>116</v>
      </c>
      <c r="F965" s="2" t="n">
        <v>114</v>
      </c>
      <c r="G965" s="2" t="inlineStr">
        <is>
          <t>Away</t>
        </is>
      </c>
      <c r="H965" s="2" t="inlineStr">
        <is>
          <t>fanduel</t>
        </is>
      </c>
      <c r="I965" s="4" t="n"/>
      <c r="J965" s="4" t="n"/>
      <c r="K965" s="4" t="n">
        <v>-178</v>
      </c>
      <c r="L965" s="4" t="n">
        <v>-178</v>
      </c>
      <c r="M965" s="5" t="n">
        <v>5.5</v>
      </c>
      <c r="N965" s="5" t="n">
        <v>4.526105674587639</v>
      </c>
      <c r="O965" s="5" t="n">
        <v>5.5</v>
      </c>
      <c r="P965" s="5" t="n">
        <v>0.9738943254123607</v>
      </c>
      <c r="Q965" s="6" t="n">
        <v>0.09086034187896258</v>
      </c>
      <c r="R965" s="6" t="n">
        <v>0.6984645354476811</v>
      </c>
      <c r="S965" s="6" t="n">
        <v>0.6007468045382738</v>
      </c>
      <c r="T965" s="2" t="inlineStr">
        <is>
          <t>Under</t>
        </is>
      </c>
      <c r="U965" s="4" t="n">
        <v>-178</v>
      </c>
      <c r="V965" s="2" t="n">
        <v>1.561797752808989</v>
      </c>
      <c r="W965" s="4" t="n">
        <v>-178</v>
      </c>
      <c r="X965" s="2" t="n">
        <v>1</v>
      </c>
      <c r="Y965" s="5" t="n">
        <v>0.5617977528089888</v>
      </c>
      <c r="Z965" s="7" t="n">
        <v>100</v>
      </c>
      <c r="AA965" s="7">
        <f>Y965*Z965</f>
        <v/>
      </c>
      <c r="AB965" s="6">
        <f>IF(Z965=0,0,AA965/Z965)</f>
        <v/>
      </c>
      <c r="AC965" s="6" t="n"/>
      <c r="AD965" s="2" t="inlineStr">
        <is>
          <t>Win</t>
        </is>
      </c>
      <c r="AE965" s="6">
        <f>IF((COUNTIF($AD$2:AD965,"Win")+COUNTIF($AD$2:AD965,"Loss"))=0,0,COUNTIF($AD$2:AD965,"Win")/(COUNTIF($AD$2:AD965,"Win")+COUNTIF($AD$2:AD965,"Loss")))</f>
        <v/>
      </c>
      <c r="AF965" s="6">
        <f>SUM($Y$2:Y965)/SUM($X$2:X965)</f>
        <v/>
      </c>
      <c r="AG965" s="5">
        <f>SUM($Y$2:Y965)</f>
        <v/>
      </c>
      <c r="AH965" s="7">
        <f>10000.0+SUM($AA$2:AA965)</f>
        <v/>
      </c>
      <c r="AI965" s="2" t="n">
        <v>2026</v>
      </c>
      <c r="AJ965" s="2" t="inlineStr">
        <is>
          <t>2026-06</t>
        </is>
      </c>
      <c r="AK965" s="2" t="inlineStr">
        <is>
          <t>&lt;= -150</t>
        </is>
      </c>
      <c r="AL965" s="2" t="inlineStr">
        <is>
          <t>2026 Frozen Test</t>
        </is>
      </c>
      <c r="AM965" s="6" t="n">
        <v>0.1617314085445534</v>
      </c>
    </row>
    <row r="966">
      <c r="A966" s="2" t="inlineStr">
        <is>
          <t>KPROP-00965</t>
        </is>
      </c>
      <c r="B966" s="3" t="n">
        <v>46185.81987268518</v>
      </c>
      <c r="C966" s="3" t="n">
        <v>46185</v>
      </c>
      <c r="D966" s="2" t="inlineStr">
        <is>
          <t>Jacob Misiorowski</t>
        </is>
      </c>
      <c r="E966" s="2" t="n">
        <v>158</v>
      </c>
      <c r="F966" s="2" t="n">
        <v>143</v>
      </c>
      <c r="G966" s="2" t="inlineStr">
        <is>
          <t>Home</t>
        </is>
      </c>
      <c r="H966" s="2" t="inlineStr">
        <is>
          <t>bovada</t>
        </is>
      </c>
      <c r="I966" s="4" t="n"/>
      <c r="J966" s="4" t="n"/>
      <c r="K966" s="4" t="n">
        <v>-110</v>
      </c>
      <c r="L966" s="4" t="n">
        <v>-110</v>
      </c>
      <c r="M966" s="5" t="n">
        <v>8.5</v>
      </c>
      <c r="N966" s="5" t="n">
        <v>6.379778463702971</v>
      </c>
      <c r="O966" s="5" t="n">
        <v>8.5</v>
      </c>
      <c r="P966" s="5" t="n">
        <v>2.120221536297029</v>
      </c>
      <c r="Q966" s="6" t="n">
        <v>0.5380675318103388</v>
      </c>
      <c r="R966" s="6" t="n">
        <v>0.8056544214244632</v>
      </c>
      <c r="S966" s="6" t="n">
        <v>0.5056053811659194</v>
      </c>
      <c r="T966" s="2" t="inlineStr">
        <is>
          <t>Under</t>
        </is>
      </c>
      <c r="U966" s="4" t="n">
        <v>-110</v>
      </c>
      <c r="V966" s="2" t="n">
        <v>1.909090909090909</v>
      </c>
      <c r="W966" s="4" t="n">
        <v>-110</v>
      </c>
      <c r="X966" s="2" t="n">
        <v>1</v>
      </c>
      <c r="Y966" s="5" t="n">
        <v>-1</v>
      </c>
      <c r="Z966" s="7" t="n">
        <v>100</v>
      </c>
      <c r="AA966" s="7">
        <f>Y966*Z966</f>
        <v/>
      </c>
      <c r="AB966" s="6">
        <f>IF(Z966=0,0,AA966/Z966)</f>
        <v/>
      </c>
      <c r="AC966" s="6" t="n"/>
      <c r="AD966" s="2" t="inlineStr">
        <is>
          <t>Loss</t>
        </is>
      </c>
      <c r="AE966" s="6">
        <f>IF((COUNTIF($AD$2:AD966,"Win")+COUNTIF($AD$2:AD966,"Loss"))=0,0,COUNTIF($AD$2:AD966,"Win")/(COUNTIF($AD$2:AD966,"Win")+COUNTIF($AD$2:AD966,"Loss")))</f>
        <v/>
      </c>
      <c r="AF966" s="6">
        <f>SUM($Y$2:Y966)/SUM($X$2:X966)</f>
        <v/>
      </c>
      <c r="AG966" s="5">
        <f>SUM($Y$2:Y966)</f>
        <v/>
      </c>
      <c r="AH966" s="7">
        <f>10000.0+SUM($AA$2:AA966)</f>
        <v/>
      </c>
      <c r="AI966" s="2" t="n">
        <v>2026</v>
      </c>
      <c r="AJ966" s="2" t="inlineStr">
        <is>
          <t>2026-06</t>
        </is>
      </c>
      <c r="AK966" s="2" t="inlineStr">
        <is>
          <t>-119 to -101</t>
        </is>
      </c>
      <c r="AL966" s="2" t="inlineStr">
        <is>
          <t>2026 Frozen Test</t>
        </is>
      </c>
      <c r="AM966" s="6" t="n">
        <v>0.5918742849913726</v>
      </c>
    </row>
    <row r="967">
      <c r="A967" s="2" t="inlineStr">
        <is>
          <t>KPROP-00966</t>
        </is>
      </c>
      <c r="B967" s="3" t="n">
        <v>46185.79903935185</v>
      </c>
      <c r="C967" s="3" t="n">
        <v>46185</v>
      </c>
      <c r="D967" s="2" t="inlineStr">
        <is>
          <t>Nolan McLean</t>
        </is>
      </c>
      <c r="E967" s="2" t="n">
        <v>121</v>
      </c>
      <c r="F967" s="2" t="n">
        <v>144</v>
      </c>
      <c r="G967" s="2" t="inlineStr">
        <is>
          <t>Home</t>
        </is>
      </c>
      <c r="H967" s="2" t="inlineStr">
        <is>
          <t>betrivers</t>
        </is>
      </c>
      <c r="I967" s="4" t="n"/>
      <c r="J967" s="4" t="n"/>
      <c r="K967" s="4" t="n">
        <v>106</v>
      </c>
      <c r="L967" s="4" t="n">
        <v>106</v>
      </c>
      <c r="M967" s="5" t="n">
        <v>5.5</v>
      </c>
      <c r="N967" s="5" t="n">
        <v>4.946473350758541</v>
      </c>
      <c r="O967" s="5" t="n">
        <v>5.5</v>
      </c>
      <c r="P967" s="5" t="n">
        <v>0.5535266492414586</v>
      </c>
      <c r="Q967" s="6" t="n">
        <v>0.2882249829037697</v>
      </c>
      <c r="R967" s="6" t="n">
        <v>0.6253519334484319</v>
      </c>
      <c r="S967" s="6" t="n">
        <v>0.4663212435233161</v>
      </c>
      <c r="T967" s="2" t="inlineStr">
        <is>
          <t>Under</t>
        </is>
      </c>
      <c r="U967" s="4" t="n">
        <v>106</v>
      </c>
      <c r="V967" s="2" t="n">
        <v>2.06</v>
      </c>
      <c r="W967" s="4" t="n">
        <v>106</v>
      </c>
      <c r="X967" s="2" t="n">
        <v>1</v>
      </c>
      <c r="Y967" s="5" t="n">
        <v>-1</v>
      </c>
      <c r="Z967" s="7" t="n">
        <v>100</v>
      </c>
      <c r="AA967" s="7">
        <f>Y967*Z967</f>
        <v/>
      </c>
      <c r="AB967" s="6">
        <f>IF(Z967=0,0,AA967/Z967)</f>
        <v/>
      </c>
      <c r="AC967" s="6" t="n"/>
      <c r="AD967" s="2" t="inlineStr">
        <is>
          <t>Loss</t>
        </is>
      </c>
      <c r="AE967" s="6">
        <f>IF((COUNTIF($AD$2:AD967,"Win")+COUNTIF($AD$2:AD967,"Loss"))=0,0,COUNTIF($AD$2:AD967,"Win")/(COUNTIF($AD$2:AD967,"Win")+COUNTIF($AD$2:AD967,"Loss")))</f>
        <v/>
      </c>
      <c r="AF967" s="6">
        <f>SUM($Y$2:Y967)/SUM($X$2:X967)</f>
        <v/>
      </c>
      <c r="AG967" s="5">
        <f>SUM($Y$2:Y967)</f>
        <v/>
      </c>
      <c r="AH967" s="7">
        <f>10000.0+SUM($AA$2:AA967)</f>
        <v/>
      </c>
      <c r="AI967" s="2" t="n">
        <v>2026</v>
      </c>
      <c r="AJ967" s="2" t="inlineStr">
        <is>
          <t>2026-06</t>
        </is>
      </c>
      <c r="AK967" s="2" t="inlineStr">
        <is>
          <t>+100 to +120</t>
        </is>
      </c>
      <c r="AL967" s="2" t="inlineStr">
        <is>
          <t>2026 Frozen Test</t>
        </is>
      </c>
      <c r="AM967" s="6" t="n">
        <v>0.2719103612299714</v>
      </c>
    </row>
    <row r="968">
      <c r="A968" s="2" t="inlineStr">
        <is>
          <t>KPROP-00967</t>
        </is>
      </c>
      <c r="B968" s="3" t="n">
        <v>46185.81987268518</v>
      </c>
      <c r="C968" s="3" t="n">
        <v>46185</v>
      </c>
      <c r="D968" s="2" t="inlineStr">
        <is>
          <t>Roki Sasaki</t>
        </is>
      </c>
      <c r="E968" s="2" t="n">
        <v>119</v>
      </c>
      <c r="F968" s="2" t="n">
        <v>145</v>
      </c>
      <c r="G968" s="2" t="inlineStr">
        <is>
          <t>Away</t>
        </is>
      </c>
      <c r="H968" s="2" t="inlineStr">
        <is>
          <t>bovada</t>
        </is>
      </c>
      <c r="I968" s="4" t="n"/>
      <c r="J968" s="4" t="n"/>
      <c r="K968" s="4" t="n">
        <v>-115</v>
      </c>
      <c r="L968" s="4" t="n">
        <v>-115</v>
      </c>
      <c r="M968" s="5" t="n">
        <v>5.5</v>
      </c>
      <c r="N968" s="5" t="n">
        <v>4.983199653511428</v>
      </c>
      <c r="O968" s="5" t="n">
        <v>5.5</v>
      </c>
      <c r="P968" s="5" t="n">
        <v>0.516800346488572</v>
      </c>
      <c r="Q968" s="6" t="n">
        <v>0.1570898784967292</v>
      </c>
      <c r="R968" s="6" t="n">
        <v>0.6189085396610412</v>
      </c>
      <c r="S968" s="6" t="n">
        <v>0.5143932683790965</v>
      </c>
      <c r="T968" s="2" t="inlineStr">
        <is>
          <t>Under</t>
        </is>
      </c>
      <c r="U968" s="4" t="n">
        <v>-115</v>
      </c>
      <c r="V968" s="2" t="n">
        <v>1.869565217391304</v>
      </c>
      <c r="W968" s="4" t="n">
        <v>-115</v>
      </c>
      <c r="X968" s="2" t="n">
        <v>1</v>
      </c>
      <c r="Y968" s="5" t="n">
        <v>0.8695652173913042</v>
      </c>
      <c r="Z968" s="7" t="n">
        <v>100</v>
      </c>
      <c r="AA968" s="7">
        <f>Y968*Z968</f>
        <v/>
      </c>
      <c r="AB968" s="6">
        <f>IF(Z968=0,0,AA968/Z968)</f>
        <v/>
      </c>
      <c r="AC968" s="6" t="n"/>
      <c r="AD968" s="2" t="inlineStr">
        <is>
          <t>Win</t>
        </is>
      </c>
      <c r="AE968" s="6">
        <f>IF((COUNTIF($AD$2:AD968,"Win")+COUNTIF($AD$2:AD968,"Loss"))=0,0,COUNTIF($AD$2:AD968,"Win")/(COUNTIF($AD$2:AD968,"Win")+COUNTIF($AD$2:AD968,"Loss")))</f>
        <v/>
      </c>
      <c r="AF968" s="6">
        <f>SUM($Y$2:Y968)/SUM($X$2:X968)</f>
        <v/>
      </c>
      <c r="AG968" s="5">
        <f>SUM($Y$2:Y968)</f>
        <v/>
      </c>
      <c r="AH968" s="7">
        <f>10000.0+SUM($AA$2:AA968)</f>
        <v/>
      </c>
      <c r="AI968" s="2" t="n">
        <v>2026</v>
      </c>
      <c r="AJ968" s="2" t="inlineStr">
        <is>
          <t>2026-06</t>
        </is>
      </c>
      <c r="AK968" s="2" t="inlineStr">
        <is>
          <t>-119 to -101</t>
        </is>
      </c>
      <c r="AL968" s="2" t="inlineStr">
        <is>
          <t>2026 Frozen Test</t>
        </is>
      </c>
      <c r="AM968" s="6" t="n">
        <v>0.1806533602712386</v>
      </c>
    </row>
    <row r="969">
      <c r="A969" s="2" t="inlineStr">
        <is>
          <t>KPROP-00968</t>
        </is>
      </c>
      <c r="B969" s="3" t="n">
        <v>46185.81638888889</v>
      </c>
      <c r="C969" s="3" t="n">
        <v>46185</v>
      </c>
      <c r="D969" s="2" t="inlineStr">
        <is>
          <t>Ryan Weathers</t>
        </is>
      </c>
      <c r="E969" s="2" t="n">
        <v>147</v>
      </c>
      <c r="F969" s="2" t="n">
        <v>141</v>
      </c>
      <c r="G969" s="2" t="inlineStr">
        <is>
          <t>Away</t>
        </is>
      </c>
      <c r="H969" s="2" t="inlineStr">
        <is>
          <t>draftkings</t>
        </is>
      </c>
      <c r="I969" s="4" t="n"/>
      <c r="J969" s="4" t="n"/>
      <c r="K969" s="4" t="n">
        <v>-156</v>
      </c>
      <c r="L969" s="4" t="n">
        <v>-156</v>
      </c>
      <c r="M969" s="5" t="n">
        <v>5.5</v>
      </c>
      <c r="N969" s="5" t="n">
        <v>4.754782870263353</v>
      </c>
      <c r="O969" s="5" t="n">
        <v>5.5</v>
      </c>
      <c r="P969" s="5" t="n">
        <v>0.7452171297366474</v>
      </c>
      <c r="Q969" s="6" t="n">
        <v>0.08127179637248449</v>
      </c>
      <c r="R969" s="6" t="n">
        <v>0.6589000009144828</v>
      </c>
      <c r="S969" s="6" t="n">
        <v>0.5836044242029929</v>
      </c>
      <c r="T969" s="2" t="inlineStr">
        <is>
          <t>Under</t>
        </is>
      </c>
      <c r="U969" s="4" t="n">
        <v>-156</v>
      </c>
      <c r="V969" s="2" t="n">
        <v>1.641025641025641</v>
      </c>
      <c r="W969" s="4" t="n">
        <v>-156</v>
      </c>
      <c r="X969" s="2" t="n">
        <v>1</v>
      </c>
      <c r="Y969" s="5" t="n">
        <v>0.641025641025641</v>
      </c>
      <c r="Z969" s="7" t="n">
        <v>100</v>
      </c>
      <c r="AA969" s="7">
        <f>Y969*Z969</f>
        <v/>
      </c>
      <c r="AB969" s="6">
        <f>IF(Z969=0,0,AA969/Z969)</f>
        <v/>
      </c>
      <c r="AC969" s="6" t="n"/>
      <c r="AD969" s="2" t="inlineStr">
        <is>
          <t>Win</t>
        </is>
      </c>
      <c r="AE969" s="6">
        <f>IF((COUNTIF($AD$2:AD969,"Win")+COUNTIF($AD$2:AD969,"Loss"))=0,0,COUNTIF($AD$2:AD969,"Win")/(COUNTIF($AD$2:AD969,"Win")+COUNTIF($AD$2:AD969,"Loss")))</f>
        <v/>
      </c>
      <c r="AF969" s="6">
        <f>SUM($Y$2:Y969)/SUM($X$2:X969)</f>
        <v/>
      </c>
      <c r="AG969" s="5">
        <f>SUM($Y$2:Y969)</f>
        <v/>
      </c>
      <c r="AH969" s="7">
        <f>10000.0+SUM($AA$2:AA969)</f>
        <v/>
      </c>
      <c r="AI969" s="2" t="n">
        <v>2026</v>
      </c>
      <c r="AJ969" s="2" t="inlineStr">
        <is>
          <t>2026-06</t>
        </is>
      </c>
      <c r="AK969" s="2" t="inlineStr">
        <is>
          <t>&lt;= -150</t>
        </is>
      </c>
      <c r="AL969" s="2" t="inlineStr">
        <is>
          <t>2026 Frozen Test</t>
        </is>
      </c>
      <c r="AM969" s="6" t="n">
        <v>0.1267840023410758</v>
      </c>
    </row>
    <row r="970">
      <c r="A970" s="2" t="inlineStr">
        <is>
          <t>KPROP-00969</t>
        </is>
      </c>
      <c r="B970" s="3" t="n">
        <v>46185.79903935185</v>
      </c>
      <c r="C970" s="3" t="n">
        <v>46185</v>
      </c>
      <c r="D970" s="2" t="inlineStr">
        <is>
          <t>Spencer Strider</t>
        </is>
      </c>
      <c r="E970" s="2" t="n">
        <v>144</v>
      </c>
      <c r="F970" s="2" t="n">
        <v>121</v>
      </c>
      <c r="G970" s="2" t="inlineStr">
        <is>
          <t>Away</t>
        </is>
      </c>
      <c r="H970" s="2" t="inlineStr">
        <is>
          <t>draftkings</t>
        </is>
      </c>
      <c r="I970" s="4" t="n"/>
      <c r="J970" s="4" t="n"/>
      <c r="K970" s="4" t="n">
        <v>111</v>
      </c>
      <c r="L970" s="4" t="n">
        <v>111</v>
      </c>
      <c r="M970" s="5" t="n">
        <v>5.5</v>
      </c>
      <c r="N970" s="5" t="n">
        <v>5.067577155211231</v>
      </c>
      <c r="O970" s="5" t="n">
        <v>5.5</v>
      </c>
      <c r="P970" s="5" t="n">
        <v>0.4324228447887695</v>
      </c>
      <c r="Q970" s="6" t="n">
        <v>0.2746612583952557</v>
      </c>
      <c r="R970" s="6" t="n">
        <v>0.6041048617986993</v>
      </c>
      <c r="S970" s="6" t="n">
        <v>0.45443861161169</v>
      </c>
      <c r="T970" s="2" t="inlineStr">
        <is>
          <t>Under</t>
        </is>
      </c>
      <c r="U970" s="4" t="n">
        <v>111</v>
      </c>
      <c r="V970" s="2" t="n">
        <v>2.11</v>
      </c>
      <c r="W970" s="4" t="n">
        <v>111</v>
      </c>
      <c r="X970" s="2" t="n">
        <v>1</v>
      </c>
      <c r="Y970" s="5" t="n">
        <v>1.11</v>
      </c>
      <c r="Z970" s="7" t="n">
        <v>100</v>
      </c>
      <c r="AA970" s="7">
        <f>Y970*Z970</f>
        <v/>
      </c>
      <c r="AB970" s="6">
        <f>IF(Z970=0,0,AA970/Z970)</f>
        <v/>
      </c>
      <c r="AC970" s="6" t="n"/>
      <c r="AD970" s="2" t="inlineStr">
        <is>
          <t>Win</t>
        </is>
      </c>
      <c r="AE970" s="6">
        <f>IF((COUNTIF($AD$2:AD970,"Win")+COUNTIF($AD$2:AD970,"Loss"))=0,0,COUNTIF($AD$2:AD970,"Win")/(COUNTIF($AD$2:AD970,"Win")+COUNTIF($AD$2:AD970,"Loss")))</f>
        <v/>
      </c>
      <c r="AF970" s="6">
        <f>SUM($Y$2:Y970)/SUM($X$2:X970)</f>
        <v/>
      </c>
      <c r="AG970" s="5">
        <f>SUM($Y$2:Y970)</f>
        <v/>
      </c>
      <c r="AH970" s="7">
        <f>10000.0+SUM($AA$2:AA970)</f>
        <v/>
      </c>
      <c r="AI970" s="2" t="n">
        <v>2026</v>
      </c>
      <c r="AJ970" s="2" t="inlineStr">
        <is>
          <t>2026-06</t>
        </is>
      </c>
      <c r="AK970" s="2" t="inlineStr">
        <is>
          <t>+100 to +120</t>
        </is>
      </c>
      <c r="AL970" s="2" t="inlineStr">
        <is>
          <t>2026 Frozen Test</t>
        </is>
      </c>
      <c r="AM970" s="6" t="n">
        <v>0.2474425751308609</v>
      </c>
    </row>
    <row r="971">
      <c r="A971" s="2" t="inlineStr">
        <is>
          <t>KPROP-00970</t>
        </is>
      </c>
      <c r="B971" s="3" t="n">
        <v>46185.81638888889</v>
      </c>
      <c r="C971" s="3" t="n">
        <v>46185</v>
      </c>
      <c r="D971" s="2" t="inlineStr">
        <is>
          <t>Trey Yesavage</t>
        </is>
      </c>
      <c r="E971" s="2" t="n">
        <v>141</v>
      </c>
      <c r="F971" s="2" t="n">
        <v>147</v>
      </c>
      <c r="G971" s="2" t="inlineStr">
        <is>
          <t>Home</t>
        </is>
      </c>
      <c r="H971" s="2" t="inlineStr">
        <is>
          <t>betrivers</t>
        </is>
      </c>
      <c r="I971" s="4" t="n"/>
      <c r="J971" s="4" t="n"/>
      <c r="K971" s="4" t="n">
        <v>-143</v>
      </c>
      <c r="L971" s="4" t="n">
        <v>-143</v>
      </c>
      <c r="M971" s="5" t="n">
        <v>6.5</v>
      </c>
      <c r="N971" s="5" t="n">
        <v>5.502986313524842</v>
      </c>
      <c r="O971" s="5" t="n">
        <v>6.5</v>
      </c>
      <c r="P971" s="5" t="n">
        <v>0.9970136864751575</v>
      </c>
      <c r="Q971" s="6" t="n">
        <v>0.1649839985998034</v>
      </c>
      <c r="R971" s="6" t="n">
        <v>0.6855667152253988</v>
      </c>
      <c r="S971" s="6" t="n">
        <v>0.5697211155378487</v>
      </c>
      <c r="T971" s="2" t="inlineStr">
        <is>
          <t>Under</t>
        </is>
      </c>
      <c r="U971" s="4" t="n">
        <v>-143</v>
      </c>
      <c r="V971" s="2" t="n">
        <v>1.699300699300699</v>
      </c>
      <c r="W971" s="4" t="n">
        <v>-143</v>
      </c>
      <c r="X971" s="2" t="n">
        <v>1</v>
      </c>
      <c r="Y971" s="5" t="n">
        <v>0.6993006993006992</v>
      </c>
      <c r="Z971" s="7" t="n">
        <v>100</v>
      </c>
      <c r="AA971" s="7">
        <f>Y971*Z971</f>
        <v/>
      </c>
      <c r="AB971" s="6">
        <f>IF(Z971=0,0,AA971/Z971)</f>
        <v/>
      </c>
      <c r="AC971" s="6" t="n"/>
      <c r="AD971" s="2" t="inlineStr">
        <is>
          <t>Win</t>
        </is>
      </c>
      <c r="AE971" s="6">
        <f>IF((COUNTIF($AD$2:AD971,"Win")+COUNTIF($AD$2:AD971,"Loss"))=0,0,COUNTIF($AD$2:AD971,"Win")/(COUNTIF($AD$2:AD971,"Win")+COUNTIF($AD$2:AD971,"Loss")))</f>
        <v/>
      </c>
      <c r="AF971" s="6">
        <f>SUM($Y$2:Y971)/SUM($X$2:X971)</f>
        <v/>
      </c>
      <c r="AG971" s="5">
        <f>SUM($Y$2:Y971)</f>
        <v/>
      </c>
      <c r="AH971" s="7">
        <f>10000.0+SUM($AA$2:AA971)</f>
        <v/>
      </c>
      <c r="AI971" s="2" t="n">
        <v>2026</v>
      </c>
      <c r="AJ971" s="2" t="inlineStr">
        <is>
          <t>2026-06</t>
        </is>
      </c>
      <c r="AK971" s="2" t="inlineStr">
        <is>
          <t>-149 to -120</t>
        </is>
      </c>
      <c r="AL971" s="2" t="inlineStr">
        <is>
          <t>2026 Frozen Test</t>
        </is>
      </c>
      <c r="AM971" s="6" t="n">
        <v>0.235927117997719</v>
      </c>
    </row>
    <row r="972">
      <c r="A972" s="2" t="inlineStr">
        <is>
          <t>KPROP-00971</t>
        </is>
      </c>
      <c r="B972" s="3" t="n">
        <v>46186.67402777778</v>
      </c>
      <c r="C972" s="3" t="n">
        <v>46186</v>
      </c>
      <c r="D972" s="2" t="inlineStr">
        <is>
          <t>Jacob deGrom</t>
        </is>
      </c>
      <c r="E972" s="2" t="n">
        <v>140</v>
      </c>
      <c r="F972" s="2" t="n">
        <v>111</v>
      </c>
      <c r="G972" s="2" t="inlineStr">
        <is>
          <t>Away</t>
        </is>
      </c>
      <c r="H972" s="2" t="inlineStr">
        <is>
          <t>betrivers</t>
        </is>
      </c>
      <c r="I972" s="4" t="n"/>
      <c r="J972" s="4" t="n"/>
      <c r="K972" s="4" t="n">
        <v>-139</v>
      </c>
      <c r="L972" s="4" t="n">
        <v>-139</v>
      </c>
      <c r="M972" s="5" t="n">
        <v>6.5</v>
      </c>
      <c r="N972" s="5" t="n">
        <v>5.221277966572047</v>
      </c>
      <c r="O972" s="5" t="n">
        <v>6.5</v>
      </c>
      <c r="P972" s="5" t="n">
        <v>1.278722033427953</v>
      </c>
      <c r="Q972" s="6" t="n">
        <v>0.2537439983230579</v>
      </c>
      <c r="R972" s="6" t="n">
        <v>0.7291649195267994</v>
      </c>
      <c r="S972" s="6" t="n">
        <v>0.5668328047122791</v>
      </c>
      <c r="T972" s="2" t="inlineStr">
        <is>
          <t>Under</t>
        </is>
      </c>
      <c r="U972" s="4" t="n">
        <v>-139</v>
      </c>
      <c r="V972" s="2" t="n">
        <v>1.719424460431655</v>
      </c>
      <c r="W972" s="4" t="n">
        <v>-139</v>
      </c>
      <c r="X972" s="2" t="n">
        <v>1</v>
      </c>
      <c r="Y972" s="5" t="n">
        <v>0.7194244604316546</v>
      </c>
      <c r="Z972" s="7" t="n">
        <v>100</v>
      </c>
      <c r="AA972" s="7">
        <f>Y972*Z972</f>
        <v/>
      </c>
      <c r="AB972" s="6">
        <f>IF(Z972=0,0,AA972/Z972)</f>
        <v/>
      </c>
      <c r="AC972" s="6" t="n"/>
      <c r="AD972" s="2" t="inlineStr">
        <is>
          <t>Win</t>
        </is>
      </c>
      <c r="AE972" s="6">
        <f>IF((COUNTIF($AD$2:AD972,"Win")+COUNTIF($AD$2:AD972,"Loss"))=0,0,COUNTIF($AD$2:AD972,"Win")/(COUNTIF($AD$2:AD972,"Win")+COUNTIF($AD$2:AD972,"Loss")))</f>
        <v/>
      </c>
      <c r="AF972" s="6">
        <f>SUM($Y$2:Y972)/SUM($X$2:X972)</f>
        <v/>
      </c>
      <c r="AG972" s="5">
        <f>SUM($Y$2:Y972)</f>
        <v/>
      </c>
      <c r="AH972" s="7">
        <f>10000.0+SUM($AA$2:AA972)</f>
        <v/>
      </c>
      <c r="AI972" s="2" t="n">
        <v>2026</v>
      </c>
      <c r="AJ972" s="2" t="inlineStr">
        <is>
          <t>2026-06</t>
        </is>
      </c>
      <c r="AK972" s="2" t="inlineStr">
        <is>
          <t>-149 to -120</t>
        </is>
      </c>
      <c r="AL972" s="2" t="inlineStr">
        <is>
          <t>2026 Frozen Test</t>
        </is>
      </c>
      <c r="AM972" s="6" t="n">
        <v>0.3527041576690506</v>
      </c>
    </row>
    <row r="973">
      <c r="A973" s="2" t="inlineStr">
        <is>
          <t>KPROP-00972</t>
        </is>
      </c>
      <c r="B973" s="3" t="n">
        <v>46186.67402777778</v>
      </c>
      <c r="C973" s="3" t="n">
        <v>46186</v>
      </c>
      <c r="D973" s="2" t="inlineStr">
        <is>
          <t>Joey Cantillo</t>
        </is>
      </c>
      <c r="E973" s="2" t="n">
        <v>114</v>
      </c>
      <c r="F973" s="2" t="n">
        <v>116</v>
      </c>
      <c r="G973" s="2" t="inlineStr">
        <is>
          <t>Home</t>
        </is>
      </c>
      <c r="H973" s="2" t="inlineStr">
        <is>
          <t>fanduel</t>
        </is>
      </c>
      <c r="I973" s="4" t="n"/>
      <c r="J973" s="4" t="n"/>
      <c r="K973" s="4" t="n">
        <v>128</v>
      </c>
      <c r="L973" s="4" t="n">
        <v>128</v>
      </c>
      <c r="M973" s="5" t="n">
        <v>4.5</v>
      </c>
      <c r="N973" s="5" t="n">
        <v>4.69024781117548</v>
      </c>
      <c r="O973" s="5" t="n">
        <v>4.5</v>
      </c>
      <c r="P973" s="5" t="n">
        <v>-0.19024781117548</v>
      </c>
      <c r="Q973" s="6" t="n">
        <v>0.1318228183337127</v>
      </c>
      <c r="R973" s="6" t="n">
        <v>0.4964135168130318</v>
      </c>
      <c r="S973" s="6" t="n">
        <v>0.4256428075052119</v>
      </c>
      <c r="T973" s="2" t="inlineStr">
        <is>
          <t>Under</t>
        </is>
      </c>
      <c r="U973" s="4" t="n">
        <v>128</v>
      </c>
      <c r="V973" s="2" t="n">
        <v>2.28</v>
      </c>
      <c r="W973" s="4" t="n">
        <v>128</v>
      </c>
      <c r="X973" s="2" t="n">
        <v>1</v>
      </c>
      <c r="Y973" s="5" t="n">
        <v>1.28</v>
      </c>
      <c r="Z973" s="7" t="n">
        <v>100</v>
      </c>
      <c r="AA973" s="7">
        <f>Y973*Z973</f>
        <v/>
      </c>
      <c r="AB973" s="6">
        <f>IF(Z973=0,0,AA973/Z973)</f>
        <v/>
      </c>
      <c r="AC973" s="6" t="n"/>
      <c r="AD973" s="2" t="inlineStr">
        <is>
          <t>Win</t>
        </is>
      </c>
      <c r="AE973" s="6">
        <f>IF((COUNTIF($AD$2:AD973,"Win")+COUNTIF($AD$2:AD973,"Loss"))=0,0,COUNTIF($AD$2:AD973,"Win")/(COUNTIF($AD$2:AD973,"Win")+COUNTIF($AD$2:AD973,"Loss")))</f>
        <v/>
      </c>
      <c r="AF973" s="6">
        <f>SUM($Y$2:Y973)/SUM($X$2:X973)</f>
        <v/>
      </c>
      <c r="AG973" s="5">
        <f>SUM($Y$2:Y973)</f>
        <v/>
      </c>
      <c r="AH973" s="7">
        <f>10000.0+SUM($AA$2:AA973)</f>
        <v/>
      </c>
      <c r="AI973" s="2" t="n">
        <v>2026</v>
      </c>
      <c r="AJ973" s="2" t="inlineStr">
        <is>
          <t>2026-06</t>
        </is>
      </c>
      <c r="AK973" s="2" t="inlineStr">
        <is>
          <t>+121 to +150</t>
        </is>
      </c>
      <c r="AL973" s="2" t="inlineStr">
        <is>
          <t>2026 Frozen Test</t>
        </is>
      </c>
      <c r="AM973" s="6" t="n">
        <v>0.102986576823213</v>
      </c>
    </row>
    <row r="974">
      <c r="A974" s="2" t="inlineStr">
        <is>
          <t>KPROP-00973</t>
        </is>
      </c>
      <c r="B974" s="3" t="n">
        <v>46186.67402777778</v>
      </c>
      <c r="C974" s="3" t="n">
        <v>46186</v>
      </c>
      <c r="D974" s="2" t="inlineStr">
        <is>
          <t>Joey Cantillo</t>
        </is>
      </c>
      <c r="E974" s="2" t="n">
        <v>114</v>
      </c>
      <c r="F974" s="2" t="n">
        <v>116</v>
      </c>
      <c r="G974" s="2" t="inlineStr">
        <is>
          <t>Home</t>
        </is>
      </c>
      <c r="H974" s="2" t="inlineStr">
        <is>
          <t>draftkings</t>
        </is>
      </c>
      <c r="I974" s="4" t="n"/>
      <c r="J974" s="4" t="n"/>
      <c r="K974" s="4" t="n">
        <v>-161</v>
      </c>
      <c r="L974" s="4" t="n">
        <v>-161</v>
      </c>
      <c r="M974" s="5" t="n">
        <v>5.5</v>
      </c>
      <c r="N974" s="5" t="n">
        <v>4.69024781117548</v>
      </c>
      <c r="O974" s="5" t="n">
        <v>5.5</v>
      </c>
      <c r="P974" s="5" t="n">
        <v>0.80975218882452</v>
      </c>
      <c r="Q974" s="6" t="n">
        <v>0.08636495544771944</v>
      </c>
      <c r="R974" s="6" t="n">
        <v>0.6701331717512753</v>
      </c>
      <c r="S974" s="6" t="n">
        <v>0.5823064366418077</v>
      </c>
      <c r="T974" s="2" t="inlineStr">
        <is>
          <t>Under</t>
        </is>
      </c>
      <c r="U974" s="4" t="n">
        <v>-161</v>
      </c>
      <c r="V974" s="2" t="n">
        <v>1.62111801242236</v>
      </c>
      <c r="W974" s="4" t="n">
        <v>-161</v>
      </c>
      <c r="X974" s="2" t="n">
        <v>1</v>
      </c>
      <c r="Y974" s="5" t="n">
        <v>0.6211180124223601</v>
      </c>
      <c r="Z974" s="7" t="n">
        <v>100</v>
      </c>
      <c r="AA974" s="7">
        <f>Y974*Z974</f>
        <v/>
      </c>
      <c r="AB974" s="6">
        <f>IF(Z974=0,0,AA974/Z974)</f>
        <v/>
      </c>
      <c r="AC974" s="6" t="n"/>
      <c r="AD974" s="2" t="inlineStr">
        <is>
          <t>Win</t>
        </is>
      </c>
      <c r="AE974" s="6">
        <f>IF((COUNTIF($AD$2:AD974,"Win")+COUNTIF($AD$2:AD974,"Loss"))=0,0,COUNTIF($AD$2:AD974,"Win")/(COUNTIF($AD$2:AD974,"Win")+COUNTIF($AD$2:AD974,"Loss")))</f>
        <v/>
      </c>
      <c r="AF974" s="6">
        <f>SUM($Y$2:Y974)/SUM($X$2:X974)</f>
        <v/>
      </c>
      <c r="AG974" s="5">
        <f>SUM($Y$2:Y974)</f>
        <v/>
      </c>
      <c r="AH974" s="7">
        <f>10000.0+SUM($AA$2:AA974)</f>
        <v/>
      </c>
      <c r="AI974" s="2" t="n">
        <v>2026</v>
      </c>
      <c r="AJ974" s="2" t="inlineStr">
        <is>
          <t>2026-06</t>
        </is>
      </c>
      <c r="AK974" s="2" t="inlineStr">
        <is>
          <t>&lt;= -150</t>
        </is>
      </c>
      <c r="AL974" s="2" t="inlineStr">
        <is>
          <t>2026 Frozen Test</t>
        </is>
      </c>
      <c r="AM974" s="6" t="n">
        <v>0.1390475782708283</v>
      </c>
    </row>
    <row r="975">
      <c r="A975" s="2" t="inlineStr">
        <is>
          <t>KPROP-00974</t>
        </is>
      </c>
      <c r="B975" s="3" t="n">
        <v>46186.62890046297</v>
      </c>
      <c r="C975" s="3" t="n">
        <v>46186</v>
      </c>
      <c r="D975" s="2" t="inlineStr">
        <is>
          <t>Kevin Gausman</t>
        </is>
      </c>
      <c r="E975" s="2" t="n">
        <v>141</v>
      </c>
      <c r="F975" s="2" t="n">
        <v>147</v>
      </c>
      <c r="G975" s="2" t="inlineStr">
        <is>
          <t>Home</t>
        </is>
      </c>
      <c r="H975" s="2" t="inlineStr">
        <is>
          <t>betmgm</t>
        </is>
      </c>
      <c r="I975" s="4" t="n"/>
      <c r="J975" s="4" t="n"/>
      <c r="K975" s="4" t="n">
        <v>115</v>
      </c>
      <c r="L975" s="4" t="n">
        <v>115</v>
      </c>
      <c r="M975" s="5" t="n">
        <v>5.5</v>
      </c>
      <c r="N975" s="5" t="n">
        <v>5.484971509445289</v>
      </c>
      <c r="O975" s="5" t="n">
        <v>5.5</v>
      </c>
      <c r="P975" s="5" t="n">
        <v>0.01502849055471067</v>
      </c>
      <c r="Q975" s="6" t="n">
        <v>0.1427170975699608</v>
      </c>
      <c r="R975" s="6" t="n">
        <v>0.5314963244511446</v>
      </c>
      <c r="S975" s="6" t="n">
        <v>0.4334891627709307</v>
      </c>
      <c r="T975" s="2" t="inlineStr">
        <is>
          <t>Under</t>
        </is>
      </c>
      <c r="U975" s="4" t="n">
        <v>115</v>
      </c>
      <c r="V975" s="2" t="n">
        <v>2.15</v>
      </c>
      <c r="W975" s="4" t="n">
        <v>115</v>
      </c>
      <c r="X975" s="2" t="n">
        <v>1</v>
      </c>
      <c r="Y975" s="5" t="n">
        <v>-1</v>
      </c>
      <c r="Z975" s="7" t="n">
        <v>100</v>
      </c>
      <c r="AA975" s="7">
        <f>Y975*Z975</f>
        <v/>
      </c>
      <c r="AB975" s="6">
        <f>IF(Z975=0,0,AA975/Z975)</f>
        <v/>
      </c>
      <c r="AC975" s="6" t="n"/>
      <c r="AD975" s="2" t="inlineStr">
        <is>
          <t>Loss</t>
        </is>
      </c>
      <c r="AE975" s="6">
        <f>IF((COUNTIF($AD$2:AD975,"Win")+COUNTIF($AD$2:AD975,"Loss"))=0,0,COUNTIF($AD$2:AD975,"Win")/(COUNTIF($AD$2:AD975,"Win")+COUNTIF($AD$2:AD975,"Loss")))</f>
        <v/>
      </c>
      <c r="AF975" s="6">
        <f>SUM($Y$2:Y975)/SUM($X$2:X975)</f>
        <v/>
      </c>
      <c r="AG975" s="5">
        <f>SUM($Y$2:Y975)</f>
        <v/>
      </c>
      <c r="AH975" s="7">
        <f>10000.0+SUM($AA$2:AA975)</f>
        <v/>
      </c>
      <c r="AI975" s="2" t="n">
        <v>2026</v>
      </c>
      <c r="AJ975" s="2" t="inlineStr">
        <is>
          <t>2026-06</t>
        </is>
      </c>
      <c r="AK975" s="2" t="inlineStr">
        <is>
          <t>+100 to +120</t>
        </is>
      </c>
      <c r="AL975" s="2" t="inlineStr">
        <is>
          <t>2026 Frozen Test</t>
        </is>
      </c>
      <c r="AM975" s="6" t="n">
        <v>0.1241018239738789</v>
      </c>
    </row>
    <row r="976">
      <c r="A976" s="2" t="inlineStr">
        <is>
          <t>KPROP-00975</t>
        </is>
      </c>
      <c r="B976" s="3" t="n">
        <v>46186.62890046297</v>
      </c>
      <c r="C976" s="3" t="n">
        <v>46186</v>
      </c>
      <c r="D976" s="2" t="inlineStr">
        <is>
          <t>Kevin Gausman</t>
        </is>
      </c>
      <c r="E976" s="2" t="n">
        <v>141</v>
      </c>
      <c r="F976" s="2" t="n">
        <v>147</v>
      </c>
      <c r="G976" s="2" t="inlineStr">
        <is>
          <t>Home</t>
        </is>
      </c>
      <c r="H976" s="2" t="inlineStr">
        <is>
          <t>fanduel</t>
        </is>
      </c>
      <c r="I976" s="4" t="n"/>
      <c r="J976" s="4" t="n"/>
      <c r="K976" s="4" t="n">
        <v>-152</v>
      </c>
      <c r="L976" s="4" t="n">
        <v>-152</v>
      </c>
      <c r="M976" s="5" t="n">
        <v>6.5</v>
      </c>
      <c r="N976" s="5" t="n">
        <v>5.484971509445289</v>
      </c>
      <c r="O976" s="5" t="n">
        <v>6.5</v>
      </c>
      <c r="P976" s="5" t="n">
        <v>1.015028490554711</v>
      </c>
      <c r="Q976" s="6" t="n">
        <v>0.1412874191514966</v>
      </c>
      <c r="R976" s="6" t="n">
        <v>0.688395586154871</v>
      </c>
      <c r="S976" s="6" t="n">
        <v>0.5746691871455576</v>
      </c>
      <c r="T976" s="2" t="inlineStr">
        <is>
          <t>Under</t>
        </is>
      </c>
      <c r="U976" s="4" t="n">
        <v>-152</v>
      </c>
      <c r="V976" s="2" t="n">
        <v>1.657894736842105</v>
      </c>
      <c r="W976" s="4" t="n">
        <v>-152</v>
      </c>
      <c r="X976" s="2" t="n">
        <v>1</v>
      </c>
      <c r="Y976" s="5" t="n">
        <v>-1</v>
      </c>
      <c r="Z976" s="7" t="n">
        <v>100</v>
      </c>
      <c r="AA976" s="7">
        <f>Y976*Z976</f>
        <v/>
      </c>
      <c r="AB976" s="6">
        <f>IF(Z976=0,0,AA976/Z976)</f>
        <v/>
      </c>
      <c r="AC976" s="6" t="n"/>
      <c r="AD976" s="2" t="inlineStr">
        <is>
          <t>Loss</t>
        </is>
      </c>
      <c r="AE976" s="6">
        <f>IF((COUNTIF($AD$2:AD976,"Win")+COUNTIF($AD$2:AD976,"Loss"))=0,0,COUNTIF($AD$2:AD976,"Win")/(COUNTIF($AD$2:AD976,"Win")+COUNTIF($AD$2:AD976,"Loss")))</f>
        <v/>
      </c>
      <c r="AF976" s="6">
        <f>SUM($Y$2:Y976)/SUM($X$2:X976)</f>
        <v/>
      </c>
      <c r="AG976" s="5">
        <f>SUM($Y$2:Y976)</f>
        <v/>
      </c>
      <c r="AH976" s="7">
        <f>10000.0+SUM($AA$2:AA976)</f>
        <v/>
      </c>
      <c r="AI976" s="2" t="n">
        <v>2026</v>
      </c>
      <c r="AJ976" s="2" t="inlineStr">
        <is>
          <t>2026-06</t>
        </is>
      </c>
      <c r="AK976" s="2" t="inlineStr">
        <is>
          <t>&lt;= -150</t>
        </is>
      </c>
      <c r="AL976" s="2" t="inlineStr">
        <is>
          <t>2026 Frozen Test</t>
        </is>
      </c>
      <c r="AM976" s="6" t="n">
        <v>0.2147568771102749</v>
      </c>
    </row>
    <row r="977">
      <c r="A977" s="2" t="inlineStr">
        <is>
          <t>KPROP-00976</t>
        </is>
      </c>
      <c r="B977" s="3" t="n">
        <v>46186.67402777778</v>
      </c>
      <c r="C977" s="3" t="n">
        <v>46186</v>
      </c>
      <c r="D977" s="2" t="inlineStr">
        <is>
          <t>Michael Soroka</t>
        </is>
      </c>
      <c r="E977" s="2" t="n">
        <v>109</v>
      </c>
      <c r="F977" s="2" t="n">
        <v>113</v>
      </c>
      <c r="G977" s="2" t="inlineStr">
        <is>
          <t>Away</t>
        </is>
      </c>
      <c r="H977" s="2" t="inlineStr">
        <is>
          <t>draftkings</t>
        </is>
      </c>
      <c r="I977" s="4" t="n"/>
      <c r="J977" s="4" t="n"/>
      <c r="K977" s="4" t="n">
        <v>123</v>
      </c>
      <c r="L977" s="4" t="n">
        <v>123</v>
      </c>
      <c r="M977" s="5" t="n">
        <v>5.5</v>
      </c>
      <c r="N977" s="5" t="n">
        <v>5.280856945234491</v>
      </c>
      <c r="O977" s="5" t="n">
        <v>5.5</v>
      </c>
      <c r="P977" s="5" t="n">
        <v>0.2191430547655093</v>
      </c>
      <c r="Q977" s="6" t="n">
        <v>0.263975583077116</v>
      </c>
      <c r="R977" s="6" t="n">
        <v>0.5668051942049848</v>
      </c>
      <c r="S977" s="6" t="n">
        <v>0.4290360528683136</v>
      </c>
      <c r="T977" s="2" t="inlineStr">
        <is>
          <t>Under</t>
        </is>
      </c>
      <c r="U977" s="4" t="n">
        <v>123</v>
      </c>
      <c r="V977" s="2" t="n">
        <v>2.23</v>
      </c>
      <c r="W977" s="4" t="n">
        <v>123</v>
      </c>
      <c r="X977" s="2" t="n">
        <v>1</v>
      </c>
      <c r="Y977" s="5" t="n">
        <v>-1</v>
      </c>
      <c r="Z977" s="7" t="n">
        <v>100</v>
      </c>
      <c r="AA977" s="7">
        <f>Y977*Z977</f>
        <v/>
      </c>
      <c r="AB977" s="6">
        <f>IF(Z977=0,0,AA977/Z977)</f>
        <v/>
      </c>
      <c r="AC977" s="6" t="n"/>
      <c r="AD977" s="2" t="inlineStr">
        <is>
          <t>Loss</t>
        </is>
      </c>
      <c r="AE977" s="6">
        <f>IF((COUNTIF($AD$2:AD977,"Win")+COUNTIF($AD$2:AD977,"Loss"))=0,0,COUNTIF($AD$2:AD977,"Win")/(COUNTIF($AD$2:AD977,"Win")+COUNTIF($AD$2:AD977,"Loss")))</f>
        <v/>
      </c>
      <c r="AF977" s="6">
        <f>SUM($Y$2:Y977)/SUM($X$2:X977)</f>
        <v/>
      </c>
      <c r="AG977" s="5">
        <f>SUM($Y$2:Y977)</f>
        <v/>
      </c>
      <c r="AH977" s="7">
        <f>10000.0+SUM($AA$2:AA977)</f>
        <v/>
      </c>
      <c r="AI977" s="2" t="n">
        <v>2026</v>
      </c>
      <c r="AJ977" s="2" t="inlineStr">
        <is>
          <t>2026-06</t>
        </is>
      </c>
      <c r="AK977" s="2" t="inlineStr">
        <is>
          <t>+121 to +150</t>
        </is>
      </c>
      <c r="AL977" s="2" t="inlineStr">
        <is>
          <t>2026 Frozen Test</t>
        </is>
      </c>
      <c r="AM977" s="6" t="n">
        <v>0.2146142951846471</v>
      </c>
    </row>
    <row r="978">
      <c r="A978" s="2" t="inlineStr">
        <is>
          <t>KPROP-00977</t>
        </is>
      </c>
      <c r="B978" s="3" t="n">
        <v>46186.67402777778</v>
      </c>
      <c r="C978" s="3" t="n">
        <v>46186</v>
      </c>
      <c r="D978" s="2" t="inlineStr">
        <is>
          <t>Ranger Suarez</t>
        </is>
      </c>
      <c r="E978" s="2" t="n">
        <v>111</v>
      </c>
      <c r="F978" s="2" t="n">
        <v>140</v>
      </c>
      <c r="G978" s="2" t="inlineStr">
        <is>
          <t>Home</t>
        </is>
      </c>
      <c r="H978" s="2" t="inlineStr">
        <is>
          <t>fanduel</t>
        </is>
      </c>
      <c r="I978" s="4" t="n"/>
      <c r="J978" s="4" t="n"/>
      <c r="K978" s="4" t="n">
        <v>-104</v>
      </c>
      <c r="L978" s="4" t="n">
        <v>-104</v>
      </c>
      <c r="M978" s="5" t="n">
        <v>5.5</v>
      </c>
      <c r="N978" s="5" t="n">
        <v>5.046360447710548</v>
      </c>
      <c r="O978" s="5" t="n">
        <v>5.5</v>
      </c>
      <c r="P978" s="5" t="n">
        <v>0.4536395522894523</v>
      </c>
      <c r="Q978" s="6" t="n">
        <v>0.192275036283683</v>
      </c>
      <c r="R978" s="6" t="n">
        <v>0.6078264890857992</v>
      </c>
      <c r="S978" s="6" t="n">
        <v>0.4988301357042583</v>
      </c>
      <c r="T978" s="2" t="inlineStr">
        <is>
          <t>Under</t>
        </is>
      </c>
      <c r="U978" s="4" t="n">
        <v>-104</v>
      </c>
      <c r="V978" s="2" t="n">
        <v>1.961538461538462</v>
      </c>
      <c r="W978" s="4" t="n">
        <v>-104</v>
      </c>
      <c r="X978" s="2" t="n">
        <v>1</v>
      </c>
      <c r="Y978" s="5" t="n">
        <v>-1</v>
      </c>
      <c r="Z978" s="7" t="n">
        <v>100</v>
      </c>
      <c r="AA978" s="7">
        <f>Y978*Z978</f>
        <v/>
      </c>
      <c r="AB978" s="6">
        <f>IF(Z978=0,0,AA978/Z978)</f>
        <v/>
      </c>
      <c r="AC978" s="6" t="n"/>
      <c r="AD978" s="2" t="inlineStr">
        <is>
          <t>Loss</t>
        </is>
      </c>
      <c r="AE978" s="6">
        <f>IF((COUNTIF($AD$2:AD978,"Win")+COUNTIF($AD$2:AD978,"Loss"))=0,0,COUNTIF($AD$2:AD978,"Win")/(COUNTIF($AD$2:AD978,"Win")+COUNTIF($AD$2:AD978,"Loss")))</f>
        <v/>
      </c>
      <c r="AF978" s="6">
        <f>SUM($Y$2:Y978)/SUM($X$2:X978)</f>
        <v/>
      </c>
      <c r="AG978" s="5">
        <f>SUM($Y$2:Y978)</f>
        <v/>
      </c>
      <c r="AH978" s="7">
        <f>10000.0+SUM($AA$2:AA978)</f>
        <v/>
      </c>
      <c r="AI978" s="2" t="n">
        <v>2026</v>
      </c>
      <c r="AJ978" s="2" t="inlineStr">
        <is>
          <t>2026-06</t>
        </is>
      </c>
      <c r="AK978" s="2" t="inlineStr">
        <is>
          <t>-119 to -101</t>
        </is>
      </c>
      <c r="AL978" s="2" t="inlineStr">
        <is>
          <t>2026 Frozen Test</t>
        </is>
      </c>
      <c r="AM978" s="6" t="n">
        <v>0.1999660377350303</v>
      </c>
    </row>
    <row r="979">
      <c r="A979" s="2" t="inlineStr">
        <is>
          <t>KPROP-00978</t>
        </is>
      </c>
      <c r="B979" s="3" t="n">
        <v>46186.79902777778</v>
      </c>
      <c r="C979" s="3" t="n">
        <v>46186</v>
      </c>
      <c r="D979" s="2" t="inlineStr">
        <is>
          <t>Shane Drohan</t>
        </is>
      </c>
      <c r="E979" s="2" t="n">
        <v>158</v>
      </c>
      <c r="F979" s="2" t="n">
        <v>143</v>
      </c>
      <c r="G979" s="2" t="inlineStr">
        <is>
          <t>Home</t>
        </is>
      </c>
      <c r="H979" s="2" t="inlineStr">
        <is>
          <t>fanduel</t>
        </is>
      </c>
      <c r="I979" s="4" t="n"/>
      <c r="J979" s="4" t="n"/>
      <c r="K979" s="4" t="n">
        <v>132</v>
      </c>
      <c r="L979" s="4" t="n">
        <v>132</v>
      </c>
      <c r="M979" s="5" t="n">
        <v>4.5</v>
      </c>
      <c r="N979" s="5" t="n">
        <v>4.665605242424786</v>
      </c>
      <c r="O979" s="5" t="n">
        <v>4.5</v>
      </c>
      <c r="P979" s="5" t="n">
        <v>-0.1656052424247862</v>
      </c>
      <c r="Q979" s="6" t="n">
        <v>0.1622859751092151</v>
      </c>
      <c r="R979" s="6" t="n">
        <v>0.5009853340987995</v>
      </c>
      <c r="S979" s="6" t="n">
        <v>0.4149040026033192</v>
      </c>
      <c r="T979" s="2" t="inlineStr">
        <is>
          <t>Under</t>
        </is>
      </c>
      <c r="U979" s="4" t="n">
        <v>132</v>
      </c>
      <c r="V979" s="2" t="n">
        <v>2.32</v>
      </c>
      <c r="W979" s="4" t="n">
        <v>132</v>
      </c>
      <c r="X979" s="2" t="n">
        <v>1</v>
      </c>
      <c r="Y979" s="5" t="n">
        <v>-1</v>
      </c>
      <c r="Z979" s="7" t="n">
        <v>100</v>
      </c>
      <c r="AA979" s="7">
        <f>Y979*Z979</f>
        <v/>
      </c>
      <c r="AB979" s="6">
        <f>IF(Z979=0,0,AA979/Z979)</f>
        <v/>
      </c>
      <c r="AC979" s="6" t="n"/>
      <c r="AD979" s="2" t="inlineStr">
        <is>
          <t>Loss</t>
        </is>
      </c>
      <c r="AE979" s="6">
        <f>IF((COUNTIF($AD$2:AD979,"Win")+COUNTIF($AD$2:AD979,"Loss"))=0,0,COUNTIF($AD$2:AD979,"Win")/(COUNTIF($AD$2:AD979,"Win")+COUNTIF($AD$2:AD979,"Loss")))</f>
        <v/>
      </c>
      <c r="AF979" s="6">
        <f>SUM($Y$2:Y979)/SUM($X$2:X979)</f>
        <v/>
      </c>
      <c r="AG979" s="5">
        <f>SUM($Y$2:Y979)</f>
        <v/>
      </c>
      <c r="AH979" s="7">
        <f>10000.0+SUM($AA$2:AA979)</f>
        <v/>
      </c>
      <c r="AI979" s="2" t="n">
        <v>2026</v>
      </c>
      <c r="AJ979" s="2" t="inlineStr">
        <is>
          <t>2026-06</t>
        </is>
      </c>
      <c r="AK979" s="2" t="inlineStr">
        <is>
          <t>+121 to +150</t>
        </is>
      </c>
      <c r="AL979" s="2" t="inlineStr">
        <is>
          <t>2026 Frozen Test</t>
        </is>
      </c>
      <c r="AM979" s="6" t="n">
        <v>0.1229439205372841</v>
      </c>
    </row>
    <row r="980">
      <c r="A980" s="2" t="inlineStr">
        <is>
          <t>KPROP-00979</t>
        </is>
      </c>
      <c r="B980" s="3" t="n">
        <v>46186.79902777778</v>
      </c>
      <c r="C980" s="3" t="n">
        <v>46186</v>
      </c>
      <c r="D980" s="2" t="inlineStr">
        <is>
          <t>Shane Drohan</t>
        </is>
      </c>
      <c r="E980" s="2" t="n">
        <v>158</v>
      </c>
      <c r="F980" s="2" t="n">
        <v>143</v>
      </c>
      <c r="G980" s="2" t="inlineStr">
        <is>
          <t>Home</t>
        </is>
      </c>
      <c r="H980" s="2" t="inlineStr">
        <is>
          <t>draftkings</t>
        </is>
      </c>
      <c r="I980" s="4" t="n"/>
      <c r="J980" s="4" t="n"/>
      <c r="K980" s="4" t="n">
        <v>-162</v>
      </c>
      <c r="L980" s="4" t="n">
        <v>-162</v>
      </c>
      <c r="M980" s="5" t="n">
        <v>5.5</v>
      </c>
      <c r="N980" s="5" t="n">
        <v>4.665605242424786</v>
      </c>
      <c r="O980" s="5" t="n">
        <v>5.5</v>
      </c>
      <c r="P980" s="5" t="n">
        <v>0.8343947575752138</v>
      </c>
      <c r="Q980" s="6" t="n">
        <v>0.09071326179431199</v>
      </c>
      <c r="R980" s="6" t="n">
        <v>0.6744104901170936</v>
      </c>
      <c r="S980" s="6" t="n">
        <v>0.5828822517990193</v>
      </c>
      <c r="T980" s="2" t="inlineStr">
        <is>
          <t>Under</t>
        </is>
      </c>
      <c r="U980" s="4" t="n">
        <v>-162</v>
      </c>
      <c r="V980" s="2" t="n">
        <v>1.617283950617284</v>
      </c>
      <c r="W980" s="4" t="n">
        <v>-162</v>
      </c>
      <c r="X980" s="2" t="n">
        <v>1</v>
      </c>
      <c r="Y980" s="5" t="n">
        <v>-1</v>
      </c>
      <c r="Z980" s="7" t="n">
        <v>100</v>
      </c>
      <c r="AA980" s="7">
        <f>Y980*Z980</f>
        <v/>
      </c>
      <c r="AB980" s="6">
        <f>IF(Z980=0,0,AA980/Z980)</f>
        <v/>
      </c>
      <c r="AC980" s="6" t="n"/>
      <c r="AD980" s="2" t="inlineStr">
        <is>
          <t>Loss</t>
        </is>
      </c>
      <c r="AE980" s="6">
        <f>IF((COUNTIF($AD$2:AD980,"Win")+COUNTIF($AD$2:AD980,"Loss"))=0,0,COUNTIF($AD$2:AD980,"Win")/(COUNTIF($AD$2:AD980,"Win")+COUNTIF($AD$2:AD980,"Loss")))</f>
        <v/>
      </c>
      <c r="AF980" s="6">
        <f>SUM($Y$2:Y980)/SUM($X$2:X980)</f>
        <v/>
      </c>
      <c r="AG980" s="5">
        <f>SUM($Y$2:Y980)</f>
        <v/>
      </c>
      <c r="AH980" s="7">
        <f>10000.0+SUM($AA$2:AA980)</f>
        <v/>
      </c>
      <c r="AI980" s="2" t="n">
        <v>2026</v>
      </c>
      <c r="AJ980" s="2" t="inlineStr">
        <is>
          <t>2026-06</t>
        </is>
      </c>
      <c r="AK980" s="2" t="inlineStr">
        <is>
          <t>&lt;= -150</t>
        </is>
      </c>
      <c r="AL980" s="2" t="inlineStr">
        <is>
          <t>2026 Frozen Test</t>
        </is>
      </c>
      <c r="AM980" s="6" t="n">
        <v>0.1469554841067854</v>
      </c>
    </row>
    <row r="981">
      <c r="A981" s="2" t="inlineStr">
        <is>
          <t>KPROP-00980</t>
        </is>
      </c>
      <c r="B981" s="3" t="n">
        <v>46186.67055555555</v>
      </c>
      <c r="C981" s="3" t="n">
        <v>46186</v>
      </c>
      <c r="D981" s="2" t="inlineStr">
        <is>
          <t>Yoshinobu Yamamoto</t>
        </is>
      </c>
      <c r="E981" s="2" t="n">
        <v>119</v>
      </c>
      <c r="F981" s="2" t="n">
        <v>145</v>
      </c>
      <c r="G981" s="2" t="inlineStr">
        <is>
          <t>Away</t>
        </is>
      </c>
      <c r="H981" s="2" t="inlineStr">
        <is>
          <t>bovada</t>
        </is>
      </c>
      <c r="I981" s="4" t="n"/>
      <c r="J981" s="4" t="n"/>
      <c r="K981" s="4" t="n">
        <v>-150</v>
      </c>
      <c r="L981" s="4" t="n">
        <v>-150</v>
      </c>
      <c r="M981" s="5" t="n">
        <v>6.5</v>
      </c>
      <c r="N981" s="5" t="n">
        <v>5.521985848520881</v>
      </c>
      <c r="O981" s="5" t="n">
        <v>6.5</v>
      </c>
      <c r="P981" s="5" t="n">
        <v>0.978014151479119</v>
      </c>
      <c r="Q981" s="6" t="n">
        <v>0.1376303733267903</v>
      </c>
      <c r="R981" s="6" t="n">
        <v>0.6825782239960743</v>
      </c>
      <c r="S981" s="6" t="n">
        <v>0.5667244367417678</v>
      </c>
      <c r="T981" s="2" t="inlineStr">
        <is>
          <t>Under</t>
        </is>
      </c>
      <c r="U981" s="4" t="n">
        <v>-150</v>
      </c>
      <c r="V981" s="2" t="n">
        <v>1.666666666666667</v>
      </c>
      <c r="W981" s="4" t="n">
        <v>-150</v>
      </c>
      <c r="X981" s="2" t="n">
        <v>1</v>
      </c>
      <c r="Y981" s="5" t="n">
        <v>-1</v>
      </c>
      <c r="Z981" s="7" t="n">
        <v>100</v>
      </c>
      <c r="AA981" s="7">
        <f>Y981*Z981</f>
        <v/>
      </c>
      <c r="AB981" s="6">
        <f>IF(Z981=0,0,AA981/Z981)</f>
        <v/>
      </c>
      <c r="AC981" s="6" t="n"/>
      <c r="AD981" s="2" t="inlineStr">
        <is>
          <t>Loss</t>
        </is>
      </c>
      <c r="AE981" s="6">
        <f>IF((COUNTIF($AD$2:AD981,"Win")+COUNTIF($AD$2:AD981,"Loss"))=0,0,COUNTIF($AD$2:AD981,"Win")/(COUNTIF($AD$2:AD981,"Win")+COUNTIF($AD$2:AD981,"Loss")))</f>
        <v/>
      </c>
      <c r="AF981" s="6">
        <f>SUM($Y$2:Y981)/SUM($X$2:X981)</f>
        <v/>
      </c>
      <c r="AG981" s="5">
        <f>SUM($Y$2:Y981)</f>
        <v/>
      </c>
      <c r="AH981" s="7">
        <f>10000.0+SUM($AA$2:AA981)</f>
        <v/>
      </c>
      <c r="AI981" s="2" t="n">
        <v>2026</v>
      </c>
      <c r="AJ981" s="2" t="inlineStr">
        <is>
          <t>2026-06</t>
        </is>
      </c>
      <c r="AK981" s="2" t="inlineStr">
        <is>
          <t>&lt;= -150</t>
        </is>
      </c>
      <c r="AL981" s="2" t="inlineStr">
        <is>
          <t>2026 Frozen Test</t>
        </is>
      </c>
      <c r="AM981" s="6" t="n">
        <v>0.2064455599901856</v>
      </c>
    </row>
    <row r="982">
      <c r="A982" s="2" t="inlineStr">
        <is>
          <t>KPROP-00981</t>
        </is>
      </c>
      <c r="B982" s="3" t="n">
        <v>46187.80597222222</v>
      </c>
      <c r="C982" s="3" t="n">
        <v>46187</v>
      </c>
      <c r="D982" s="2" t="inlineStr">
        <is>
          <t>Connelly Early</t>
        </is>
      </c>
      <c r="E982" s="2" t="n">
        <v>111</v>
      </c>
      <c r="F982" s="2" t="n">
        <v>140</v>
      </c>
      <c r="G982" s="2" t="inlineStr">
        <is>
          <t>Home</t>
        </is>
      </c>
      <c r="H982" s="2" t="inlineStr">
        <is>
          <t>betrivers</t>
        </is>
      </c>
      <c r="I982" s="4" t="n"/>
      <c r="J982" s="4" t="n"/>
      <c r="K982" s="4" t="n">
        <v>100</v>
      </c>
      <c r="L982" s="4" t="n">
        <v>100</v>
      </c>
      <c r="M982" s="5" t="n">
        <v>5.5</v>
      </c>
      <c r="N982" s="5" t="n">
        <v>5.410593693539893</v>
      </c>
      <c r="O982" s="5" t="n">
        <v>5.5</v>
      </c>
      <c r="P982" s="5" t="n">
        <v>0.08940630646010739</v>
      </c>
      <c r="Q982" s="6" t="n">
        <v>0.08860402426082814</v>
      </c>
      <c r="R982" s="6" t="n">
        <v>0.5443020121304141</v>
      </c>
      <c r="S982" s="6" t="n">
        <v>0.4831460674157303</v>
      </c>
      <c r="T982" s="2" t="inlineStr">
        <is>
          <t>Under</t>
        </is>
      </c>
      <c r="U982" s="4" t="n">
        <v>100</v>
      </c>
      <c r="V982" s="2" t="n">
        <v>2</v>
      </c>
      <c r="W982" s="4" t="n">
        <v>100</v>
      </c>
      <c r="X982" s="2" t="n">
        <v>1</v>
      </c>
      <c r="Y982" s="5" t="n">
        <v>1</v>
      </c>
      <c r="Z982" s="7" t="n">
        <v>100</v>
      </c>
      <c r="AA982" s="7">
        <f>Y982*Z982</f>
        <v/>
      </c>
      <c r="AB982" s="6">
        <f>IF(Z982=0,0,AA982/Z982)</f>
        <v/>
      </c>
      <c r="AC982" s="6" t="n"/>
      <c r="AD982" s="2" t="inlineStr">
        <is>
          <t>Win</t>
        </is>
      </c>
      <c r="AE982" s="6">
        <f>IF((COUNTIF($AD$2:AD982,"Win")+COUNTIF($AD$2:AD982,"Loss"))=0,0,COUNTIF($AD$2:AD982,"Win")/(COUNTIF($AD$2:AD982,"Win")+COUNTIF($AD$2:AD982,"Loss")))</f>
        <v/>
      </c>
      <c r="AF982" s="6">
        <f>SUM($Y$2:Y982)/SUM($X$2:X982)</f>
        <v/>
      </c>
      <c r="AG982" s="5">
        <f>SUM($Y$2:Y982)</f>
        <v/>
      </c>
      <c r="AH982" s="7">
        <f>10000.0+SUM($AA$2:AA982)</f>
        <v/>
      </c>
      <c r="AI982" s="2" t="n">
        <v>2026</v>
      </c>
      <c r="AJ982" s="2" t="inlineStr">
        <is>
          <t>2026-06</t>
        </is>
      </c>
      <c r="AK982" s="2" t="inlineStr">
        <is>
          <t>+100 to +120</t>
        </is>
      </c>
      <c r="AL982" s="2" t="inlineStr">
        <is>
          <t>2026 Frozen Test</t>
        </is>
      </c>
      <c r="AM982" s="6" t="n">
        <v>0.08860402426082814</v>
      </c>
    </row>
    <row r="983">
      <c r="A983" s="2" t="inlineStr">
        <is>
          <t>KPROP-00982</t>
        </is>
      </c>
      <c r="B983" s="3" t="n">
        <v>46187.59070601852</v>
      </c>
      <c r="C983" s="3" t="n">
        <v>46187</v>
      </c>
      <c r="D983" s="2" t="inlineStr">
        <is>
          <t>Cristopher Sánchez</t>
        </is>
      </c>
      <c r="E983" s="2" t="n">
        <v>143</v>
      </c>
      <c r="F983" s="2" t="n">
        <v>158</v>
      </c>
      <c r="G983" s="2" t="inlineStr">
        <is>
          <t>Away</t>
        </is>
      </c>
      <c r="H983" s="2" t="inlineStr">
        <is>
          <t>draftkings</t>
        </is>
      </c>
      <c r="I983" s="4" t="n"/>
      <c r="J983" s="4" t="n"/>
      <c r="K983" s="4" t="n">
        <v>-146</v>
      </c>
      <c r="L983" s="4" t="n">
        <v>-146</v>
      </c>
      <c r="M983" s="5" t="n">
        <v>7.5</v>
      </c>
      <c r="N983" s="5" t="n">
        <v>6.140255823231648</v>
      </c>
      <c r="O983" s="5" t="n">
        <v>7.5</v>
      </c>
      <c r="P983" s="5" t="n">
        <v>1.359744176768352</v>
      </c>
      <c r="Q983" s="6" t="n">
        <v>0.2206565075384801</v>
      </c>
      <c r="R983" s="6" t="n">
        <v>0.7244546752057646</v>
      </c>
      <c r="S983" s="6" t="n">
        <v>0.5662905500705219</v>
      </c>
      <c r="T983" s="2" t="inlineStr">
        <is>
          <t>Under</t>
        </is>
      </c>
      <c r="U983" s="4" t="n">
        <v>-146</v>
      </c>
      <c r="V983" s="2" t="n">
        <v>1.684931506849315</v>
      </c>
      <c r="W983" s="4" t="n">
        <v>-146</v>
      </c>
      <c r="X983" s="2" t="n">
        <v>1</v>
      </c>
      <c r="Y983" s="5" t="n">
        <v>0.6849315068493151</v>
      </c>
      <c r="Z983" s="7" t="n">
        <v>100</v>
      </c>
      <c r="AA983" s="7">
        <f>Y983*Z983</f>
        <v/>
      </c>
      <c r="AB983" s="6">
        <f>IF(Z983=0,0,AA983/Z983)</f>
        <v/>
      </c>
      <c r="AC983" s="6" t="n"/>
      <c r="AD983" s="2" t="inlineStr">
        <is>
          <t>Win</t>
        </is>
      </c>
      <c r="AE983" s="6">
        <f>IF((COUNTIF($AD$2:AD983,"Win")+COUNTIF($AD$2:AD983,"Loss"))=0,0,COUNTIF($AD$2:AD983,"Win")/(COUNTIF($AD$2:AD983,"Win")+COUNTIF($AD$2:AD983,"Loss")))</f>
        <v/>
      </c>
      <c r="AF983" s="6">
        <f>SUM($Y$2:Y983)/SUM($X$2:X983)</f>
        <v/>
      </c>
      <c r="AG983" s="5">
        <f>SUM($Y$2:Y983)</f>
        <v/>
      </c>
      <c r="AH983" s="7">
        <f>10000.0+SUM($AA$2:AA983)</f>
        <v/>
      </c>
      <c r="AI983" s="2" t="n">
        <v>2026</v>
      </c>
      <c r="AJ983" s="2" t="inlineStr">
        <is>
          <t>2026-06</t>
        </is>
      </c>
      <c r="AK983" s="2" t="inlineStr">
        <is>
          <t>-149 to -120</t>
        </is>
      </c>
      <c r="AL983" s="2" t="inlineStr">
        <is>
          <t>2026 Frozen Test</t>
        </is>
      </c>
      <c r="AM983" s="6" t="n">
        <v>0.3221585010061809</v>
      </c>
    </row>
    <row r="984">
      <c r="A984" s="2" t="inlineStr">
        <is>
          <t>KPROP-00983</t>
        </is>
      </c>
      <c r="B984" s="3" t="n">
        <v>46187.59070601852</v>
      </c>
      <c r="C984" s="3" t="n">
        <v>46187</v>
      </c>
      <c r="D984" s="2" t="inlineStr">
        <is>
          <t>Emmet Sheehan</t>
        </is>
      </c>
      <c r="E984" s="2" t="n">
        <v>119</v>
      </c>
      <c r="F984" s="2" t="n">
        <v>145</v>
      </c>
      <c r="G984" s="2" t="inlineStr">
        <is>
          <t>Away</t>
        </is>
      </c>
      <c r="H984" s="2" t="inlineStr">
        <is>
          <t>betmgm</t>
        </is>
      </c>
      <c r="I984" s="4" t="n"/>
      <c r="J984" s="4" t="n"/>
      <c r="K984" s="4" t="n">
        <v>-110</v>
      </c>
      <c r="L984" s="4" t="n">
        <v>-110</v>
      </c>
      <c r="M984" s="5" t="n">
        <v>5.5</v>
      </c>
      <c r="N984" s="5" t="n">
        <v>5.056794079784944</v>
      </c>
      <c r="O984" s="5" t="n">
        <v>5.5</v>
      </c>
      <c r="P984" s="5" t="n">
        <v>0.443205920215056</v>
      </c>
      <c r="Q984" s="6" t="n">
        <v>0.15690185997684</v>
      </c>
      <c r="R984" s="6" t="n">
        <v>0.605996212368821</v>
      </c>
      <c r="S984" s="6" t="n">
        <v>0.5190105359596885</v>
      </c>
      <c r="T984" s="2" t="inlineStr">
        <is>
          <t>Under</t>
        </is>
      </c>
      <c r="U984" s="4" t="n">
        <v>-110</v>
      </c>
      <c r="V984" s="2" t="n">
        <v>1.909090909090909</v>
      </c>
      <c r="W984" s="4" t="n">
        <v>-110</v>
      </c>
      <c r="X984" s="2" t="n">
        <v>1</v>
      </c>
      <c r="Y984" s="5" t="n">
        <v>-1</v>
      </c>
      <c r="Z984" s="7" t="n">
        <v>100</v>
      </c>
      <c r="AA984" s="7">
        <f>Y984*Z984</f>
        <v/>
      </c>
      <c r="AB984" s="6">
        <f>IF(Z984=0,0,AA984/Z984)</f>
        <v/>
      </c>
      <c r="AC984" s="6" t="n"/>
      <c r="AD984" s="2" t="inlineStr">
        <is>
          <t>Loss</t>
        </is>
      </c>
      <c r="AE984" s="6">
        <f>IF((COUNTIF($AD$2:AD984,"Win")+COUNTIF($AD$2:AD984,"Loss"))=0,0,COUNTIF($AD$2:AD984,"Win")/(COUNTIF($AD$2:AD984,"Win")+COUNTIF($AD$2:AD984,"Loss")))</f>
        <v/>
      </c>
      <c r="AF984" s="6">
        <f>SUM($Y$2:Y984)/SUM($X$2:X984)</f>
        <v/>
      </c>
      <c r="AG984" s="5">
        <f>SUM($Y$2:Y984)</f>
        <v/>
      </c>
      <c r="AH984" s="7">
        <f>10000.0+SUM($AA$2:AA984)</f>
        <v/>
      </c>
      <c r="AI984" s="2" t="n">
        <v>2026</v>
      </c>
      <c r="AJ984" s="2" t="inlineStr">
        <is>
          <t>2026-06</t>
        </is>
      </c>
      <c r="AK984" s="2" t="inlineStr">
        <is>
          <t>-119 to -101</t>
        </is>
      </c>
      <c r="AL984" s="2" t="inlineStr">
        <is>
          <t>2026 Frozen Test</t>
        </is>
      </c>
      <c r="AM984" s="6" t="n">
        <v>0.172592045974524</v>
      </c>
    </row>
    <row r="985">
      <c r="A985" s="2" t="inlineStr">
        <is>
          <t>KPROP-00984</t>
        </is>
      </c>
      <c r="B985" s="3" t="n">
        <v>46187.56986111111</v>
      </c>
      <c r="C985" s="3" t="n">
        <v>46187</v>
      </c>
      <c r="D985" s="2" t="inlineStr">
        <is>
          <t>Freddy Peralta</t>
        </is>
      </c>
      <c r="E985" s="2" t="n">
        <v>121</v>
      </c>
      <c r="F985" s="2" t="n">
        <v>144</v>
      </c>
      <c r="G985" s="2" t="inlineStr">
        <is>
          <t>Home</t>
        </is>
      </c>
      <c r="H985" s="2" t="inlineStr">
        <is>
          <t>fanduel</t>
        </is>
      </c>
      <c r="I985" s="4" t="n"/>
      <c r="J985" s="4" t="n"/>
      <c r="K985" s="4" t="n">
        <v>-108</v>
      </c>
      <c r="L985" s="4" t="n">
        <v>-108</v>
      </c>
      <c r="M985" s="5" t="n">
        <v>5.5</v>
      </c>
      <c r="N985" s="5" t="n">
        <v>5.328248748601903</v>
      </c>
      <c r="O985" s="5" t="n">
        <v>5.5</v>
      </c>
      <c r="P985" s="5" t="n">
        <v>0.1717512513980974</v>
      </c>
      <c r="Q985" s="6" t="n">
        <v>0.07575176963854913</v>
      </c>
      <c r="R985" s="6" t="n">
        <v>0.5585634188507851</v>
      </c>
      <c r="S985" s="6" t="n">
        <v>0.4967303165053624</v>
      </c>
      <c r="T985" s="2" t="inlineStr">
        <is>
          <t>Under</t>
        </is>
      </c>
      <c r="U985" s="4" t="n">
        <v>-108</v>
      </c>
      <c r="V985" s="2" t="n">
        <v>1.925925925925926</v>
      </c>
      <c r="W985" s="4" t="n">
        <v>-108</v>
      </c>
      <c r="X985" s="2" t="n">
        <v>1</v>
      </c>
      <c r="Y985" s="5" t="n">
        <v>0.925925925925926</v>
      </c>
      <c r="Z985" s="7" t="n">
        <v>100</v>
      </c>
      <c r="AA985" s="7">
        <f>Y985*Z985</f>
        <v/>
      </c>
      <c r="AB985" s="6">
        <f>IF(Z985=0,0,AA985/Z985)</f>
        <v/>
      </c>
      <c r="AC985" s="6" t="n"/>
      <c r="AD985" s="2" t="inlineStr">
        <is>
          <t>Win</t>
        </is>
      </c>
      <c r="AE985" s="6">
        <f>IF((COUNTIF($AD$2:AD985,"Win")+COUNTIF($AD$2:AD985,"Loss"))=0,0,COUNTIF($AD$2:AD985,"Win")/(COUNTIF($AD$2:AD985,"Win")+COUNTIF($AD$2:AD985,"Loss")))</f>
        <v/>
      </c>
      <c r="AF985" s="6">
        <f>SUM($Y$2:Y985)/SUM($X$2:X985)</f>
        <v/>
      </c>
      <c r="AG985" s="5">
        <f>SUM($Y$2:Y985)</f>
        <v/>
      </c>
      <c r="AH985" s="7">
        <f>10000.0+SUM($AA$2:AA985)</f>
        <v/>
      </c>
      <c r="AI985" s="2" t="n">
        <v>2026</v>
      </c>
      <c r="AJ985" s="2" t="inlineStr">
        <is>
          <t>2026-06</t>
        </is>
      </c>
      <c r="AK985" s="2" t="inlineStr">
        <is>
          <t>-119 to -101</t>
        </is>
      </c>
      <c r="AL985" s="2" t="inlineStr">
        <is>
          <t>2026 Frozen Test</t>
        </is>
      </c>
      <c r="AM985" s="6" t="n">
        <v>0.08181191120963305</v>
      </c>
    </row>
    <row r="986">
      <c r="A986" s="2" t="inlineStr">
        <is>
          <t>KPROP-00985</t>
        </is>
      </c>
      <c r="B986" s="3" t="n">
        <v>46187.67055555555</v>
      </c>
      <c r="C986" s="3" t="n">
        <v>46187</v>
      </c>
      <c r="D986" s="2" t="inlineStr">
        <is>
          <t>Grayson Rodriguez</t>
        </is>
      </c>
      <c r="E986" s="2" t="n">
        <v>108</v>
      </c>
      <c r="F986" s="2" t="n">
        <v>139</v>
      </c>
      <c r="G986" s="2" t="inlineStr">
        <is>
          <t>Home</t>
        </is>
      </c>
      <c r="H986" s="2" t="inlineStr">
        <is>
          <t>fanduel</t>
        </is>
      </c>
      <c r="I986" s="4" t="n"/>
      <c r="J986" s="4" t="n"/>
      <c r="K986" s="4" t="n">
        <v>122</v>
      </c>
      <c r="L986" s="4" t="n">
        <v>122</v>
      </c>
      <c r="M986" s="5" t="n">
        <v>4.5</v>
      </c>
      <c r="N986" s="5" t="n">
        <v>4.651446408131372</v>
      </c>
      <c r="O986" s="5" t="n">
        <v>4.5</v>
      </c>
      <c r="P986" s="5" t="n">
        <v>-0.1514464081313722</v>
      </c>
      <c r="Q986" s="6" t="n">
        <v>0.1180352160435387</v>
      </c>
      <c r="R986" s="6" t="n">
        <v>0.5036194666862788</v>
      </c>
      <c r="S986" s="6" t="n">
        <v>0.4350023464856865</v>
      </c>
      <c r="T986" s="2" t="inlineStr">
        <is>
          <t>Under</t>
        </is>
      </c>
      <c r="U986" s="4" t="n">
        <v>122</v>
      </c>
      <c r="V986" s="2" t="n">
        <v>2.22</v>
      </c>
      <c r="W986" s="4" t="n">
        <v>122</v>
      </c>
      <c r="X986" s="2" t="n">
        <v>1</v>
      </c>
      <c r="Y986" s="5" t="n">
        <v>1.22</v>
      </c>
      <c r="Z986" s="7" t="n">
        <v>100</v>
      </c>
      <c r="AA986" s="7">
        <f>Y986*Z986</f>
        <v/>
      </c>
      <c r="AB986" s="6">
        <f>IF(Z986=0,0,AA986/Z986)</f>
        <v/>
      </c>
      <c r="AC986" s="6" t="n"/>
      <c r="AD986" s="2" t="inlineStr">
        <is>
          <t>Win</t>
        </is>
      </c>
      <c r="AE986" s="6">
        <f>IF((COUNTIF($AD$2:AD986,"Win")+COUNTIF($AD$2:AD986,"Loss"))=0,0,COUNTIF($AD$2:AD986,"Win")/(COUNTIF($AD$2:AD986,"Win")+COUNTIF($AD$2:AD986,"Loss")))</f>
        <v/>
      </c>
      <c r="AF986" s="6">
        <f>SUM($Y$2:Y986)/SUM($X$2:X986)</f>
        <v/>
      </c>
      <c r="AG986" s="5">
        <f>SUM($Y$2:Y986)</f>
        <v/>
      </c>
      <c r="AH986" s="7">
        <f>10000.0+SUM($AA$2:AA986)</f>
        <v/>
      </c>
      <c r="AI986" s="2" t="n">
        <v>2026</v>
      </c>
      <c r="AJ986" s="2" t="inlineStr">
        <is>
          <t>2026-06</t>
        </is>
      </c>
      <c r="AK986" s="2" t="inlineStr">
        <is>
          <t>+121 to +150</t>
        </is>
      </c>
      <c r="AL986" s="2" t="inlineStr">
        <is>
          <t>2026 Frozen Test</t>
        </is>
      </c>
      <c r="AM986" s="6" t="n">
        <v>0.09675017708486783</v>
      </c>
    </row>
    <row r="987">
      <c r="A987" s="2" t="inlineStr">
        <is>
          <t>KPROP-00986</t>
        </is>
      </c>
      <c r="B987" s="3" t="n">
        <v>46187.67055555555</v>
      </c>
      <c r="C987" s="3" t="n">
        <v>46187</v>
      </c>
      <c r="D987" s="2" t="inlineStr">
        <is>
          <t>Grayson Rodriguez</t>
        </is>
      </c>
      <c r="E987" s="2" t="n">
        <v>108</v>
      </c>
      <c r="F987" s="2" t="n">
        <v>139</v>
      </c>
      <c r="G987" s="2" t="inlineStr">
        <is>
          <t>Home</t>
        </is>
      </c>
      <c r="H987" s="2" t="inlineStr">
        <is>
          <t>betmgm</t>
        </is>
      </c>
      <c r="I987" s="4" t="n"/>
      <c r="J987" s="4" t="n"/>
      <c r="K987" s="4" t="n">
        <v>-155</v>
      </c>
      <c r="L987" s="4" t="n">
        <v>-155</v>
      </c>
      <c r="M987" s="5" t="n">
        <v>5.5</v>
      </c>
      <c r="N987" s="5" t="n">
        <v>4.651446408131372</v>
      </c>
      <c r="O987" s="5" t="n">
        <v>5.5</v>
      </c>
      <c r="P987" s="5" t="n">
        <v>0.8485535918686278</v>
      </c>
      <c r="Q987" s="6" t="n">
        <v>0.1135516423973675</v>
      </c>
      <c r="R987" s="6" t="n">
        <v>0.6768647238101646</v>
      </c>
      <c r="S987" s="6" t="n">
        <v>0.5665108372290693</v>
      </c>
      <c r="T987" s="2" t="inlineStr">
        <is>
          <t>Under</t>
        </is>
      </c>
      <c r="U987" s="4" t="n">
        <v>-155</v>
      </c>
      <c r="V987" s="2" t="n">
        <v>1.645161290322581</v>
      </c>
      <c r="W987" s="4" t="n">
        <v>-155</v>
      </c>
      <c r="X987" s="2" t="n">
        <v>1</v>
      </c>
      <c r="Y987" s="5" t="n">
        <v>0.6451612903225805</v>
      </c>
      <c r="Z987" s="7" t="n">
        <v>100</v>
      </c>
      <c r="AA987" s="7">
        <f>Y987*Z987</f>
        <v/>
      </c>
      <c r="AB987" s="6">
        <f>IF(Z987=0,0,AA987/Z987)</f>
        <v/>
      </c>
      <c r="AC987" s="6" t="n"/>
      <c r="AD987" s="2" t="inlineStr">
        <is>
          <t>Win</t>
        </is>
      </c>
      <c r="AE987" s="6">
        <f>IF((COUNTIF($AD$2:AD987,"Win")+COUNTIF($AD$2:AD987,"Loss"))=0,0,COUNTIF($AD$2:AD987,"Win")/(COUNTIF($AD$2:AD987,"Win")+COUNTIF($AD$2:AD987,"Loss")))</f>
        <v/>
      </c>
      <c r="AF987" s="6">
        <f>SUM($Y$2:Y987)/SUM($X$2:X987)</f>
        <v/>
      </c>
      <c r="AG987" s="5">
        <f>SUM($Y$2:Y987)</f>
        <v/>
      </c>
      <c r="AH987" s="7">
        <f>10000.0+SUM($AA$2:AA987)</f>
        <v/>
      </c>
      <c r="AI987" s="2" t="n">
        <v>2026</v>
      </c>
      <c r="AJ987" s="2" t="inlineStr">
        <is>
          <t>2026-06</t>
        </is>
      </c>
      <c r="AK987" s="2" t="inlineStr">
        <is>
          <t>&lt;= -150</t>
        </is>
      </c>
      <c r="AL987" s="2" t="inlineStr">
        <is>
          <t>2026 Frozen Test</t>
        </is>
      </c>
      <c r="AM987" s="6" t="n">
        <v>0.1760050457159196</v>
      </c>
    </row>
    <row r="988">
      <c r="A988" s="2" t="inlineStr">
        <is>
          <t>KPROP-00987</t>
        </is>
      </c>
      <c r="B988" s="3" t="n">
        <v>46187.62888888889</v>
      </c>
      <c r="C988" s="3" t="n">
        <v>46187</v>
      </c>
      <c r="D988" s="2" t="inlineStr">
        <is>
          <t>Jeffrey Springs</t>
        </is>
      </c>
      <c r="E988" s="2" t="n">
        <v>133</v>
      </c>
      <c r="F988" s="2" t="n">
        <v>115</v>
      </c>
      <c r="G988" s="2" t="inlineStr">
        <is>
          <t>Home</t>
        </is>
      </c>
      <c r="H988" s="2" t="inlineStr">
        <is>
          <t>betrivers</t>
        </is>
      </c>
      <c r="I988" s="4" t="n"/>
      <c r="J988" s="4" t="n"/>
      <c r="K988" s="4" t="n">
        <v>123</v>
      </c>
      <c r="L988" s="4" t="n">
        <v>123</v>
      </c>
      <c r="M988" s="5" t="n">
        <v>4.5</v>
      </c>
      <c r="N988" s="5" t="n">
        <v>4.475442194124254</v>
      </c>
      <c r="O988" s="5" t="n">
        <v>4.5</v>
      </c>
      <c r="P988" s="5" t="n">
        <v>0.0245578058757463</v>
      </c>
      <c r="Q988" s="6" t="n">
        <v>0.1969995693516332</v>
      </c>
      <c r="R988" s="6" t="n">
        <v>0.5367711073325709</v>
      </c>
      <c r="S988" s="6" t="n">
        <v>0.4449148389878677</v>
      </c>
      <c r="T988" s="2" t="inlineStr">
        <is>
          <t>Under</t>
        </is>
      </c>
      <c r="U988" s="4" t="n">
        <v>123</v>
      </c>
      <c r="V988" s="2" t="n">
        <v>2.23</v>
      </c>
      <c r="W988" s="4" t="n">
        <v>123</v>
      </c>
      <c r="X988" s="2" t="n">
        <v>1</v>
      </c>
      <c r="Y988" s="5" t="n">
        <v>-1</v>
      </c>
      <c r="Z988" s="7" t="n">
        <v>100</v>
      </c>
      <c r="AA988" s="7">
        <f>Y988*Z988</f>
        <v/>
      </c>
      <c r="AB988" s="6">
        <f>IF(Z988=0,0,AA988/Z988)</f>
        <v/>
      </c>
      <c r="AC988" s="6" t="n"/>
      <c r="AD988" s="2" t="inlineStr">
        <is>
          <t>Loss</t>
        </is>
      </c>
      <c r="AE988" s="6">
        <f>IF((COUNTIF($AD$2:AD988,"Win")+COUNTIF($AD$2:AD988,"Loss"))=0,0,COUNTIF($AD$2:AD988,"Win")/(COUNTIF($AD$2:AD988,"Win")+COUNTIF($AD$2:AD988,"Loss")))</f>
        <v/>
      </c>
      <c r="AF988" s="6">
        <f>SUM($Y$2:Y988)/SUM($X$2:X988)</f>
        <v/>
      </c>
      <c r="AG988" s="5">
        <f>SUM($Y$2:Y988)</f>
        <v/>
      </c>
      <c r="AH988" s="7">
        <f>10000.0+SUM($AA$2:AA988)</f>
        <v/>
      </c>
      <c r="AI988" s="2" t="n">
        <v>2026</v>
      </c>
      <c r="AJ988" s="2" t="inlineStr">
        <is>
          <t>2026-06</t>
        </is>
      </c>
      <c r="AK988" s="2" t="inlineStr">
        <is>
          <t>+121 to +150</t>
        </is>
      </c>
      <c r="AL988" s="2" t="inlineStr">
        <is>
          <t>2026 Frozen Test</t>
        </is>
      </c>
      <c r="AM988" s="6" t="n">
        <v>0.1601622515053928</v>
      </c>
    </row>
    <row r="989">
      <c r="A989" s="2" t="inlineStr">
        <is>
          <t>KPROP-00988</t>
        </is>
      </c>
      <c r="B989" s="3" t="n">
        <v>46187.59070601852</v>
      </c>
      <c r="C989" s="3" t="n">
        <v>46187</v>
      </c>
      <c r="D989" s="2" t="inlineStr">
        <is>
          <t>Kyle Harrison</t>
        </is>
      </c>
      <c r="E989" s="2" t="n">
        <v>158</v>
      </c>
      <c r="F989" s="2" t="n">
        <v>143</v>
      </c>
      <c r="G989" s="2" t="inlineStr">
        <is>
          <t>Home</t>
        </is>
      </c>
      <c r="H989" s="2" t="inlineStr">
        <is>
          <t>betmgm</t>
        </is>
      </c>
      <c r="I989" s="4" t="n"/>
      <c r="J989" s="4" t="n"/>
      <c r="K989" s="4" t="n">
        <v>120</v>
      </c>
      <c r="L989" s="4" t="n">
        <v>120</v>
      </c>
      <c r="M989" s="5" t="n">
        <v>6.5</v>
      </c>
      <c r="N989" s="5" t="n">
        <v>5.278916373035047</v>
      </c>
      <c r="O989" s="5" t="n">
        <v>6.5</v>
      </c>
      <c r="P989" s="5" t="n">
        <v>1.221083626964953</v>
      </c>
      <c r="Q989" s="6" t="n">
        <v>0.5848117028401313</v>
      </c>
      <c r="R989" s="6" t="n">
        <v>0.7203689558364232</v>
      </c>
      <c r="S989" s="6" t="n">
        <v>0.4323570432357043</v>
      </c>
      <c r="T989" s="2" t="inlineStr">
        <is>
          <t>Under</t>
        </is>
      </c>
      <c r="U989" s="4" t="n">
        <v>120</v>
      </c>
      <c r="V989" s="2" t="n">
        <v>2.2</v>
      </c>
      <c r="W989" s="4" t="n">
        <v>120</v>
      </c>
      <c r="X989" s="2" t="n">
        <v>1</v>
      </c>
      <c r="Y989" s="5" t="n">
        <v>1.2</v>
      </c>
      <c r="Z989" s="7" t="n">
        <v>100</v>
      </c>
      <c r="AA989" s="7">
        <f>Y989*Z989</f>
        <v/>
      </c>
      <c r="AB989" s="6">
        <f>IF(Z989=0,0,AA989/Z989)</f>
        <v/>
      </c>
      <c r="AC989" s="6" t="n"/>
      <c r="AD989" s="2" t="inlineStr">
        <is>
          <t>Win</t>
        </is>
      </c>
      <c r="AE989" s="6">
        <f>IF((COUNTIF($AD$2:AD989,"Win")+COUNTIF($AD$2:AD989,"Loss"))=0,0,COUNTIF($AD$2:AD989,"Win")/(COUNTIF($AD$2:AD989,"Win")+COUNTIF($AD$2:AD989,"Loss")))</f>
        <v/>
      </c>
      <c r="AF989" s="6">
        <f>SUM($Y$2:Y989)/SUM($X$2:X989)</f>
        <v/>
      </c>
      <c r="AG989" s="5">
        <f>SUM($Y$2:Y989)</f>
        <v/>
      </c>
      <c r="AH989" s="7">
        <f>10000.0+SUM($AA$2:AA989)</f>
        <v/>
      </c>
      <c r="AI989" s="2" t="n">
        <v>2026</v>
      </c>
      <c r="AJ989" s="2" t="inlineStr">
        <is>
          <t>2026-06</t>
        </is>
      </c>
      <c r="AK989" s="2" t="inlineStr">
        <is>
          <t>+100 to +120</t>
        </is>
      </c>
      <c r="AL989" s="2" t="inlineStr">
        <is>
          <t>2026 Frozen Test</t>
        </is>
      </c>
      <c r="AM989" s="6" t="n">
        <v>0.4873430857001093</v>
      </c>
    </row>
    <row r="990">
      <c r="A990" s="2" t="inlineStr">
        <is>
          <t>KPROP-00989</t>
        </is>
      </c>
      <c r="B990" s="3" t="n">
        <v>46187.59070601852</v>
      </c>
      <c r="C990" s="3" t="n">
        <v>46187</v>
      </c>
      <c r="D990" s="2" t="inlineStr">
        <is>
          <t>Kyle Harrison</t>
        </is>
      </c>
      <c r="E990" s="2" t="n">
        <v>158</v>
      </c>
      <c r="F990" s="2" t="n">
        <v>143</v>
      </c>
      <c r="G990" s="2" t="inlineStr">
        <is>
          <t>Home</t>
        </is>
      </c>
      <c r="H990" s="2" t="inlineStr">
        <is>
          <t>fanduel</t>
        </is>
      </c>
      <c r="I990" s="4" t="n"/>
      <c r="J990" s="4" t="n"/>
      <c r="K990" s="4" t="n">
        <v>-152</v>
      </c>
      <c r="L990" s="4" t="n">
        <v>-152</v>
      </c>
      <c r="M990" s="5" t="n">
        <v>7.5</v>
      </c>
      <c r="N990" s="5" t="n">
        <v>5.278916373035047</v>
      </c>
      <c r="O990" s="5" t="n">
        <v>7.5</v>
      </c>
      <c r="P990" s="5" t="n">
        <v>2.221083626964953</v>
      </c>
      <c r="Q990" s="6" t="n">
        <v>0.3858694913635511</v>
      </c>
      <c r="R990" s="6" t="n">
        <v>0.8359212805049991</v>
      </c>
      <c r="S990" s="6" t="n">
        <v>0.5746691871455576</v>
      </c>
      <c r="T990" s="2" t="inlineStr">
        <is>
          <t>Under</t>
        </is>
      </c>
      <c r="U990" s="4" t="n">
        <v>-152</v>
      </c>
      <c r="V990" s="2" t="n">
        <v>1.657894736842105</v>
      </c>
      <c r="W990" s="4" t="n">
        <v>-152</v>
      </c>
      <c r="X990" s="2" t="n">
        <v>1</v>
      </c>
      <c r="Y990" s="5" t="n">
        <v>0.6578947368421053</v>
      </c>
      <c r="Z990" s="7" t="n">
        <v>100</v>
      </c>
      <c r="AA990" s="7">
        <f>Y990*Z990</f>
        <v/>
      </c>
      <c r="AB990" s="6">
        <f>IF(Z990=0,0,AA990/Z990)</f>
        <v/>
      </c>
      <c r="AC990" s="6" t="n"/>
      <c r="AD990" s="2" t="inlineStr">
        <is>
          <t>Win</t>
        </is>
      </c>
      <c r="AE990" s="6">
        <f>IF((COUNTIF($AD$2:AD990,"Win")+COUNTIF($AD$2:AD990,"Loss"))=0,0,COUNTIF($AD$2:AD990,"Win")/(COUNTIF($AD$2:AD990,"Win")+COUNTIF($AD$2:AD990,"Loss")))</f>
        <v/>
      </c>
      <c r="AF990" s="6">
        <f>SUM($Y$2:Y990)/SUM($X$2:X990)</f>
        <v/>
      </c>
      <c r="AG990" s="5">
        <f>SUM($Y$2:Y990)</f>
        <v/>
      </c>
      <c r="AH990" s="7">
        <f>10000.0+SUM($AA$2:AA990)</f>
        <v/>
      </c>
      <c r="AI990" s="2" t="n">
        <v>2026</v>
      </c>
      <c r="AJ990" s="2" t="inlineStr">
        <is>
          <t>2026-06</t>
        </is>
      </c>
      <c r="AK990" s="2" t="inlineStr">
        <is>
          <t>&lt;= -150</t>
        </is>
      </c>
      <c r="AL990" s="2" t="inlineStr">
        <is>
          <t>2026 Frozen Test</t>
        </is>
      </c>
      <c r="AM990" s="6" t="n">
        <v>0.5865216268725978</v>
      </c>
    </row>
    <row r="991">
      <c r="A991" s="2" t="inlineStr">
        <is>
          <t>KPROP-00990</t>
        </is>
      </c>
      <c r="B991" s="3" t="n">
        <v>46187.63236111111</v>
      </c>
      <c r="C991" s="3" t="n">
        <v>46187</v>
      </c>
      <c r="D991" s="2" t="inlineStr">
        <is>
          <t>Logan Webb</t>
        </is>
      </c>
      <c r="E991" s="2" t="n">
        <v>137</v>
      </c>
      <c r="F991" s="2" t="n">
        <v>112</v>
      </c>
      <c r="G991" s="2" t="inlineStr">
        <is>
          <t>Home</t>
        </is>
      </c>
      <c r="H991" s="2" t="inlineStr">
        <is>
          <t>betmgm</t>
        </is>
      </c>
      <c r="I991" s="4" t="n"/>
      <c r="J991" s="4" t="n"/>
      <c r="K991" s="4" t="n">
        <v>-135</v>
      </c>
      <c r="L991" s="4" t="n">
        <v>-135</v>
      </c>
      <c r="M991" s="5" t="n">
        <v>5.5</v>
      </c>
      <c r="N991" s="5" t="n">
        <v>4.885706977784791</v>
      </c>
      <c r="O991" s="5" t="n">
        <v>5.5</v>
      </c>
      <c r="P991" s="5" t="n">
        <v>0.6142930222152092</v>
      </c>
      <c r="Q991" s="6" t="n">
        <v>0.1071224620035962</v>
      </c>
      <c r="R991" s="6" t="n">
        <v>0.6360065207254701</v>
      </c>
      <c r="S991" s="6" t="n">
        <v>0.5582706766917294</v>
      </c>
      <c r="T991" s="2" t="inlineStr">
        <is>
          <t>Under</t>
        </is>
      </c>
      <c r="U991" s="4" t="n">
        <v>-135</v>
      </c>
      <c r="V991" s="2" t="n">
        <v>1.740740740740741</v>
      </c>
      <c r="W991" s="4" t="n">
        <v>-135</v>
      </c>
      <c r="X991" s="2" t="n">
        <v>1</v>
      </c>
      <c r="Y991" s="5" t="n">
        <v>-1</v>
      </c>
      <c r="Z991" s="7" t="n">
        <v>100</v>
      </c>
      <c r="AA991" s="7">
        <f>Y991*Z991</f>
        <v/>
      </c>
      <c r="AB991" s="6">
        <f>IF(Z991=0,0,AA991/Z991)</f>
        <v/>
      </c>
      <c r="AC991" s="6" t="n"/>
      <c r="AD991" s="2" t="inlineStr">
        <is>
          <t>Loss</t>
        </is>
      </c>
      <c r="AE991" s="6">
        <f>IF((COUNTIF($AD$2:AD991,"Win")+COUNTIF($AD$2:AD991,"Loss"))=0,0,COUNTIF($AD$2:AD991,"Win")/(COUNTIF($AD$2:AD991,"Win")+COUNTIF($AD$2:AD991,"Loss")))</f>
        <v/>
      </c>
      <c r="AF991" s="6">
        <f>SUM($Y$2:Y991)/SUM($X$2:X991)</f>
        <v/>
      </c>
      <c r="AG991" s="5">
        <f>SUM($Y$2:Y991)</f>
        <v/>
      </c>
      <c r="AH991" s="7">
        <f>10000.0+SUM($AA$2:AA991)</f>
        <v/>
      </c>
      <c r="AI991" s="2" t="n">
        <v>2026</v>
      </c>
      <c r="AJ991" s="2" t="inlineStr">
        <is>
          <t>2026-06</t>
        </is>
      </c>
      <c r="AK991" s="2" t="inlineStr">
        <is>
          <t>-149 to -120</t>
        </is>
      </c>
      <c r="AL991" s="2" t="inlineStr">
        <is>
          <t>2026 Frozen Test</t>
        </is>
      </c>
      <c r="AM991" s="6" t="n">
        <v>0.1446153237048548</v>
      </c>
    </row>
    <row r="992">
      <c r="A992" s="2" t="inlineStr">
        <is>
          <t>KPROP-00991</t>
        </is>
      </c>
      <c r="B992" s="3" t="n">
        <v>46187.51083333333</v>
      </c>
      <c r="C992" s="3" t="n">
        <v>46187</v>
      </c>
      <c r="D992" s="2" t="inlineStr">
        <is>
          <t>Max Meyer</t>
        </is>
      </c>
      <c r="E992" s="2" t="n">
        <v>146</v>
      </c>
      <c r="F992" s="2" t="n">
        <v>134</v>
      </c>
      <c r="G992" s="2" t="inlineStr">
        <is>
          <t>Away</t>
        </is>
      </c>
      <c r="H992" s="2" t="inlineStr">
        <is>
          <t>betrivers</t>
        </is>
      </c>
      <c r="I992" s="4" t="n"/>
      <c r="J992" s="4" t="n"/>
      <c r="K992" s="4" t="n">
        <v>-104</v>
      </c>
      <c r="L992" s="4" t="n">
        <v>-104</v>
      </c>
      <c r="M992" s="5" t="n">
        <v>5.5</v>
      </c>
      <c r="N992" s="5" t="n">
        <v>5.161585215849309</v>
      </c>
      <c r="O992" s="5" t="n">
        <v>5.5</v>
      </c>
      <c r="P992" s="5" t="n">
        <v>0.3384147841506913</v>
      </c>
      <c r="Q992" s="6" t="n">
        <v>0.1526627466803417</v>
      </c>
      <c r="R992" s="6" t="n">
        <v>0.5876319885037036</v>
      </c>
      <c r="S992" s="6" t="n">
        <v>0.4988301357042583</v>
      </c>
      <c r="T992" s="2" t="inlineStr">
        <is>
          <t>Under</t>
        </is>
      </c>
      <c r="U992" s="4" t="n">
        <v>-104</v>
      </c>
      <c r="V992" s="2" t="n">
        <v>1.961538461538462</v>
      </c>
      <c r="W992" s="4" t="n">
        <v>-104</v>
      </c>
      <c r="X992" s="2" t="n">
        <v>1</v>
      </c>
      <c r="Y992" s="5" t="n">
        <v>-1</v>
      </c>
      <c r="Z992" s="7" t="n">
        <v>100</v>
      </c>
      <c r="AA992" s="7">
        <f>Y992*Z992</f>
        <v/>
      </c>
      <c r="AB992" s="6">
        <f>IF(Z992=0,0,AA992/Z992)</f>
        <v/>
      </c>
      <c r="AC992" s="6" t="n"/>
      <c r="AD992" s="2" t="inlineStr">
        <is>
          <t>Loss</t>
        </is>
      </c>
      <c r="AE992" s="6">
        <f>IF((COUNTIF($AD$2:AD992,"Win")+COUNTIF($AD$2:AD992,"Loss"))=0,0,COUNTIF($AD$2:AD992,"Win")/(COUNTIF($AD$2:AD992,"Win")+COUNTIF($AD$2:AD992,"Loss")))</f>
        <v/>
      </c>
      <c r="AF992" s="6">
        <f>SUM($Y$2:Y992)/SUM($X$2:X992)</f>
        <v/>
      </c>
      <c r="AG992" s="5">
        <f>SUM($Y$2:Y992)</f>
        <v/>
      </c>
      <c r="AH992" s="7">
        <f>10000.0+SUM($AA$2:AA992)</f>
        <v/>
      </c>
      <c r="AI992" s="2" t="n">
        <v>2026</v>
      </c>
      <c r="AJ992" s="2" t="inlineStr">
        <is>
          <t>2026-06</t>
        </is>
      </c>
      <c r="AK992" s="2" t="inlineStr">
        <is>
          <t>-119 to -101</t>
        </is>
      </c>
      <c r="AL992" s="2" t="inlineStr">
        <is>
          <t>2026 Frozen Test</t>
        </is>
      </c>
      <c r="AM992" s="6" t="n">
        <v>0.1587692565475554</v>
      </c>
    </row>
    <row r="993">
      <c r="A993" s="2" t="inlineStr">
        <is>
          <t>KPROP-00992</t>
        </is>
      </c>
      <c r="B993" s="3" t="n">
        <v>46187.51083333333</v>
      </c>
      <c r="C993" s="3" t="n">
        <v>46187</v>
      </c>
      <c r="D993" s="2" t="inlineStr">
        <is>
          <t>Paul Skenes</t>
        </is>
      </c>
      <c r="E993" s="2" t="n">
        <v>134</v>
      </c>
      <c r="F993" s="2" t="n">
        <v>146</v>
      </c>
      <c r="G993" s="2" t="inlineStr">
        <is>
          <t>Home</t>
        </is>
      </c>
      <c r="H993" s="2" t="inlineStr">
        <is>
          <t>betmgm</t>
        </is>
      </c>
      <c r="I993" s="4" t="n"/>
      <c r="J993" s="4" t="n"/>
      <c r="K993" s="4" t="n">
        <v>110</v>
      </c>
      <c r="L993" s="4" t="n">
        <v>110</v>
      </c>
      <c r="M993" s="5" t="n">
        <v>6.5</v>
      </c>
      <c r="N993" s="5" t="n">
        <v>5.512205240541636</v>
      </c>
      <c r="O993" s="5" t="n">
        <v>6.5</v>
      </c>
      <c r="P993" s="5" t="n">
        <v>0.9877947594583638</v>
      </c>
      <c r="Q993" s="6" t="n">
        <v>0.4366462692738858</v>
      </c>
      <c r="R993" s="6" t="n">
        <v>0.6841172710828027</v>
      </c>
      <c r="S993" s="6" t="n">
        <v>0.4589371980676328</v>
      </c>
      <c r="T993" s="2" t="inlineStr">
        <is>
          <t>Under</t>
        </is>
      </c>
      <c r="U993" s="4" t="n">
        <v>110</v>
      </c>
      <c r="V993" s="2" t="n">
        <v>2.1</v>
      </c>
      <c r="W993" s="4" t="n">
        <v>110</v>
      </c>
      <c r="X993" s="2" t="n">
        <v>1</v>
      </c>
      <c r="Y993" s="5" t="n">
        <v>-1</v>
      </c>
      <c r="Z993" s="7" t="n">
        <v>100</v>
      </c>
      <c r="AA993" s="7">
        <f>Y993*Z993</f>
        <v/>
      </c>
      <c r="AB993" s="6">
        <f>IF(Z993=0,0,AA993/Z993)</f>
        <v/>
      </c>
      <c r="AC993" s="6" t="n"/>
      <c r="AD993" s="2" t="inlineStr">
        <is>
          <t>Loss</t>
        </is>
      </c>
      <c r="AE993" s="6">
        <f>IF((COUNTIF($AD$2:AD993,"Win")+COUNTIF($AD$2:AD993,"Loss"))=0,0,COUNTIF($AD$2:AD993,"Win")/(COUNTIF($AD$2:AD993,"Win")+COUNTIF($AD$2:AD993,"Loss")))</f>
        <v/>
      </c>
      <c r="AF993" s="6">
        <f>SUM($Y$2:Y993)/SUM($X$2:X993)</f>
        <v/>
      </c>
      <c r="AG993" s="5">
        <f>SUM($Y$2:Y993)</f>
        <v/>
      </c>
      <c r="AH993" s="7">
        <f>10000.0+SUM($AA$2:AA993)</f>
        <v/>
      </c>
      <c r="AI993" s="2" t="n">
        <v>2026</v>
      </c>
      <c r="AJ993" s="2" t="inlineStr">
        <is>
          <t>2026-06</t>
        </is>
      </c>
      <c r="AK993" s="2" t="inlineStr">
        <is>
          <t>+100 to +120</t>
        </is>
      </c>
      <c r="AL993" s="2" t="inlineStr">
        <is>
          <t>2026 Frozen Test</t>
        </is>
      </c>
      <c r="AM993" s="6" t="n">
        <v>0.3969511538853507</v>
      </c>
    </row>
    <row r="994">
      <c r="A994" s="2" t="inlineStr">
        <is>
          <t>KPROP-00993</t>
        </is>
      </c>
      <c r="B994" s="3" t="n">
        <v>46188.79902777778</v>
      </c>
      <c r="C994" s="3" t="n">
        <v>46188</v>
      </c>
      <c r="D994" s="2" t="inlineStr">
        <is>
          <t>Chase Burns</t>
        </is>
      </c>
      <c r="E994" s="2" t="n">
        <v>113</v>
      </c>
      <c r="F994" s="2" t="n">
        <v>121</v>
      </c>
      <c r="G994" s="2" t="inlineStr">
        <is>
          <t>Home</t>
        </is>
      </c>
      <c r="H994" s="2" t="inlineStr">
        <is>
          <t>betmgm</t>
        </is>
      </c>
      <c r="I994" s="4" t="n"/>
      <c r="J994" s="4" t="n"/>
      <c r="K994" s="4" t="n">
        <v>-135</v>
      </c>
      <c r="L994" s="4" t="n">
        <v>-135</v>
      </c>
      <c r="M994" s="5" t="n">
        <v>7.5</v>
      </c>
      <c r="N994" s="5" t="n">
        <v>5.847235078735995</v>
      </c>
      <c r="O994" s="5" t="n">
        <v>7.5</v>
      </c>
      <c r="P994" s="5" t="n">
        <v>1.652764921264005</v>
      </c>
      <c r="Q994" s="6" t="n">
        <v>0.3311978607371194</v>
      </c>
      <c r="R994" s="6" t="n">
        <v>0.7647306859553664</v>
      </c>
      <c r="S994" s="6" t="n">
        <v>0.551441114716549</v>
      </c>
      <c r="T994" s="2" t="inlineStr">
        <is>
          <t>Under</t>
        </is>
      </c>
      <c r="U994" s="4" t="n">
        <v>-135</v>
      </c>
      <c r="V994" s="2" t="n">
        <v>1.740740740740741</v>
      </c>
      <c r="W994" s="4" t="n">
        <v>-135</v>
      </c>
      <c r="X994" s="2" t="n">
        <v>1</v>
      </c>
      <c r="Y994" s="5" t="n">
        <v>0.7407407407407407</v>
      </c>
      <c r="Z994" s="7" t="n">
        <v>100</v>
      </c>
      <c r="AA994" s="7">
        <f>Y994*Z994</f>
        <v/>
      </c>
      <c r="AB994" s="6">
        <f>IF(Z994=0,0,AA994/Z994)</f>
        <v/>
      </c>
      <c r="AC994" s="6" t="n"/>
      <c r="AD994" s="2" t="inlineStr">
        <is>
          <t>Win</t>
        </is>
      </c>
      <c r="AE994" s="6">
        <f>IF((COUNTIF($AD$2:AD994,"Win")+COUNTIF($AD$2:AD994,"Loss"))=0,0,COUNTIF($AD$2:AD994,"Win")/(COUNTIF($AD$2:AD994,"Win")+COUNTIF($AD$2:AD994,"Loss")))</f>
        <v/>
      </c>
      <c r="AF994" s="6">
        <f>SUM($Y$2:Y994)/SUM($X$2:X994)</f>
        <v/>
      </c>
      <c r="AG994" s="5">
        <f>SUM($Y$2:Y994)</f>
        <v/>
      </c>
      <c r="AH994" s="7">
        <f>10000.0+SUM($AA$2:AA994)</f>
        <v/>
      </c>
      <c r="AI994" s="2" t="n">
        <v>2026</v>
      </c>
      <c r="AJ994" s="2" t="inlineStr">
        <is>
          <t>2026-06</t>
        </is>
      </c>
      <c r="AK994" s="2" t="inlineStr">
        <is>
          <t>-149 to -120</t>
        </is>
      </c>
      <c r="AL994" s="2" t="inlineStr">
        <is>
          <t>2026 Frozen Test</t>
        </is>
      </c>
      <c r="AM994" s="6" t="n">
        <v>0.4471171119951111</v>
      </c>
    </row>
    <row r="995">
      <c r="A995" s="2" t="inlineStr">
        <is>
          <t>KPROP-00994</t>
        </is>
      </c>
      <c r="B995" s="3" t="n">
        <v>46188.77819444444</v>
      </c>
      <c r="C995" s="3" t="n">
        <v>46188</v>
      </c>
      <c r="D995" s="2" t="inlineStr">
        <is>
          <t>Zack Wheeler</t>
        </is>
      </c>
      <c r="E995" s="2" t="n">
        <v>143</v>
      </c>
      <c r="F995" s="2" t="n">
        <v>146</v>
      </c>
      <c r="G995" s="2" t="inlineStr">
        <is>
          <t>Home</t>
        </is>
      </c>
      <c r="H995" s="2" t="inlineStr">
        <is>
          <t>fanduel</t>
        </is>
      </c>
      <c r="I995" s="4" t="n"/>
      <c r="J995" s="4" t="n"/>
      <c r="K995" s="4" t="n">
        <v>-134</v>
      </c>
      <c r="L995" s="4" t="n">
        <v>-134</v>
      </c>
      <c r="M995" s="5" t="n">
        <v>6.5</v>
      </c>
      <c r="N995" s="5" t="n">
        <v>5.526076621360013</v>
      </c>
      <c r="O995" s="5" t="n">
        <v>6.5</v>
      </c>
      <c r="P995" s="5" t="n">
        <v>0.973923378639987</v>
      </c>
      <c r="Q995" s="6" t="n">
        <v>0.1908401867285194</v>
      </c>
      <c r="R995" s="6" t="n">
        <v>0.681934124024024</v>
      </c>
      <c r="S995" s="6" t="n">
        <v>0.5494975164606677</v>
      </c>
      <c r="T995" s="2" t="inlineStr">
        <is>
          <t>Under</t>
        </is>
      </c>
      <c r="U995" s="4" t="n">
        <v>-134</v>
      </c>
      <c r="V995" s="2" t="n">
        <v>1.746268656716418</v>
      </c>
      <c r="W995" s="4" t="n">
        <v>-134</v>
      </c>
      <c r="X995" s="2" t="n">
        <v>1</v>
      </c>
      <c r="Y995" s="5" t="n">
        <v>-1</v>
      </c>
      <c r="Z995" s="7" t="n">
        <v>100</v>
      </c>
      <c r="AA995" s="7">
        <f>Y995*Z995</f>
        <v/>
      </c>
      <c r="AB995" s="6">
        <f>IF(Z995=0,0,AA995/Z995)</f>
        <v/>
      </c>
      <c r="AC995" s="6" t="n"/>
      <c r="AD995" s="2" t="inlineStr">
        <is>
          <t>Loss</t>
        </is>
      </c>
      <c r="AE995" s="6">
        <f>IF((COUNTIF($AD$2:AD995,"Win")+COUNTIF($AD$2:AD995,"Loss"))=0,0,COUNTIF($AD$2:AD995,"Win")/(COUNTIF($AD$2:AD995,"Win")+COUNTIF($AD$2:AD995,"Loss")))</f>
        <v/>
      </c>
      <c r="AF995" s="6">
        <f>SUM($Y$2:Y995)/SUM($X$2:X995)</f>
        <v/>
      </c>
      <c r="AG995" s="5">
        <f>SUM($Y$2:Y995)</f>
        <v/>
      </c>
      <c r="AH995" s="7">
        <f>10000.0+SUM($AA$2:AA995)</f>
        <v/>
      </c>
      <c r="AI995" s="2" t="n">
        <v>2026</v>
      </c>
      <c r="AJ995" s="2" t="inlineStr">
        <is>
          <t>2026-06</t>
        </is>
      </c>
      <c r="AK995" s="2" t="inlineStr">
        <is>
          <t>-149 to -120</t>
        </is>
      </c>
      <c r="AL995" s="2" t="inlineStr">
        <is>
          <t>2026 Frozen Test</t>
        </is>
      </c>
      <c r="AM995" s="6" t="n">
        <v>0.2557258502162161</v>
      </c>
    </row>
    <row r="996">
      <c r="A996" s="2" t="inlineStr">
        <is>
          <t>KPROP-00995</t>
        </is>
      </c>
      <c r="B996" s="3" t="n">
        <v>46189.77819444444</v>
      </c>
      <c r="C996" s="3" t="n">
        <v>46189</v>
      </c>
      <c r="D996" s="2" t="inlineStr">
        <is>
          <t>Dylan Cease</t>
        </is>
      </c>
      <c r="E996" s="2" t="n">
        <v>141</v>
      </c>
      <c r="F996" s="2" t="n">
        <v>111</v>
      </c>
      <c r="G996" s="2" t="inlineStr">
        <is>
          <t>Away</t>
        </is>
      </c>
      <c r="H996" s="2" t="inlineStr">
        <is>
          <t>fanduel</t>
        </is>
      </c>
      <c r="I996" s="4" t="n"/>
      <c r="J996" s="4" t="n"/>
      <c r="K996" s="4" t="n">
        <v>106</v>
      </c>
      <c r="L996" s="4" t="n">
        <v>106</v>
      </c>
      <c r="M996" s="5" t="n">
        <v>6.5</v>
      </c>
      <c r="N996" s="5" t="n">
        <v>5.66563242983541</v>
      </c>
      <c r="O996" s="5" t="n">
        <v>6.5</v>
      </c>
      <c r="P996" s="5" t="n">
        <v>0.8343675701645896</v>
      </c>
      <c r="Q996" s="6" t="n">
        <v>0.3592680212521463</v>
      </c>
      <c r="R996" s="6" t="n">
        <v>0.6598388452680322</v>
      </c>
      <c r="S996" s="6" t="n">
        <v>0.4612067244339736</v>
      </c>
      <c r="T996" s="2" t="inlineStr">
        <is>
          <t>Under</t>
        </is>
      </c>
      <c r="U996" s="4" t="n">
        <v>106</v>
      </c>
      <c r="V996" s="2" t="n">
        <v>2.06</v>
      </c>
      <c r="W996" s="4" t="n">
        <v>106</v>
      </c>
      <c r="X996" s="2" t="n">
        <v>1</v>
      </c>
      <c r="Y996" s="5" t="n">
        <v>-1</v>
      </c>
      <c r="Z996" s="7" t="n">
        <v>100</v>
      </c>
      <c r="AA996" s="7">
        <f>Y996*Z996</f>
        <v/>
      </c>
      <c r="AB996" s="6">
        <f>IF(Z996=0,0,AA996/Z996)</f>
        <v/>
      </c>
      <c r="AC996" s="6" t="n"/>
      <c r="AD996" s="2" t="inlineStr">
        <is>
          <t>Loss</t>
        </is>
      </c>
      <c r="AE996" s="6">
        <f>IF((COUNTIF($AD$2:AD996,"Win")+COUNTIF($AD$2:AD996,"Loss"))=0,0,COUNTIF($AD$2:AD996,"Win")/(COUNTIF($AD$2:AD996,"Win")+COUNTIF($AD$2:AD996,"Loss")))</f>
        <v/>
      </c>
      <c r="AF996" s="6">
        <f>SUM($Y$2:Y996)/SUM($X$2:X996)</f>
        <v/>
      </c>
      <c r="AG996" s="5">
        <f>SUM($Y$2:Y996)</f>
        <v/>
      </c>
      <c r="AH996" s="7">
        <f>10000.0+SUM($AA$2:AA996)</f>
        <v/>
      </c>
      <c r="AI996" s="2" t="n">
        <v>2026</v>
      </c>
      <c r="AJ996" s="2" t="inlineStr">
        <is>
          <t>2026-06</t>
        </is>
      </c>
      <c r="AK996" s="2" t="inlineStr">
        <is>
          <t>+100 to +120</t>
        </is>
      </c>
      <c r="AL996" s="2" t="inlineStr">
        <is>
          <t>2026 Frozen Test</t>
        </is>
      </c>
      <c r="AM996" s="6" t="n">
        <v>0.3389320955208927</v>
      </c>
    </row>
    <row r="997">
      <c r="A997" s="2" t="inlineStr">
        <is>
          <t>KPROP-00996</t>
        </is>
      </c>
      <c r="B997" s="3" t="n">
        <v>46189.79555555555</v>
      </c>
      <c r="C997" s="3" t="n">
        <v>46189</v>
      </c>
      <c r="D997" s="2" t="inlineStr">
        <is>
          <t>Gerrit Cole</t>
        </is>
      </c>
      <c r="E997" s="2" t="n">
        <v>147</v>
      </c>
      <c r="F997" s="2" t="n">
        <v>145</v>
      </c>
      <c r="G997" s="2" t="inlineStr">
        <is>
          <t>Home</t>
        </is>
      </c>
      <c r="H997" s="2" t="inlineStr">
        <is>
          <t>fanduel</t>
        </is>
      </c>
      <c r="I997" s="4" t="n"/>
      <c r="J997" s="4" t="n"/>
      <c r="K997" s="4" t="n">
        <v>-106</v>
      </c>
      <c r="L997" s="4" t="n">
        <v>-106</v>
      </c>
      <c r="M997" s="5" t="n">
        <v>5.5</v>
      </c>
      <c r="N997" s="5" t="n">
        <v>5.205303595815958</v>
      </c>
      <c r="O997" s="5" t="n">
        <v>5.5</v>
      </c>
      <c r="P997" s="5" t="n">
        <v>0.2946964041840419</v>
      </c>
      <c r="Q997" s="6" t="n">
        <v>0.1271428192337632</v>
      </c>
      <c r="R997" s="6" t="n">
        <v>0.5799861108678588</v>
      </c>
      <c r="S997" s="6" t="n">
        <v>0.5047143126532152</v>
      </c>
      <c r="T997" s="2" t="inlineStr">
        <is>
          <t>Under</t>
        </is>
      </c>
      <c r="U997" s="4" t="n">
        <v>-106</v>
      </c>
      <c r="V997" s="2" t="n">
        <v>1.943396226415094</v>
      </c>
      <c r="W997" s="4" t="n">
        <v>-106</v>
      </c>
      <c r="X997" s="2" t="n">
        <v>1</v>
      </c>
      <c r="Y997" s="5" t="n">
        <v>-1</v>
      </c>
      <c r="Z997" s="7" t="n">
        <v>100</v>
      </c>
      <c r="AA997" s="7">
        <f>Y997*Z997</f>
        <v/>
      </c>
      <c r="AB997" s="6">
        <f>IF(Z997=0,0,AA997/Z997)</f>
        <v/>
      </c>
      <c r="AC997" s="6" t="n"/>
      <c r="AD997" s="2" t="inlineStr">
        <is>
          <t>Loss</t>
        </is>
      </c>
      <c r="AE997" s="6">
        <f>IF((COUNTIF($AD$2:AD997,"Win")+COUNTIF($AD$2:AD997,"Loss"))=0,0,COUNTIF($AD$2:AD997,"Win")/(COUNTIF($AD$2:AD997,"Win")+COUNTIF($AD$2:AD997,"Loss")))</f>
        <v/>
      </c>
      <c r="AF997" s="6">
        <f>SUM($Y$2:Y997)/SUM($X$2:X997)</f>
        <v/>
      </c>
      <c r="AG997" s="5">
        <f>SUM($Y$2:Y997)</f>
        <v/>
      </c>
      <c r="AH997" s="7">
        <f>10000.0+SUM($AA$2:AA997)</f>
        <v/>
      </c>
      <c r="AI997" s="2" t="n">
        <v>2026</v>
      </c>
      <c r="AJ997" s="2" t="inlineStr">
        <is>
          <t>2026-06</t>
        </is>
      </c>
      <c r="AK997" s="2" t="inlineStr">
        <is>
          <t>-119 to -101</t>
        </is>
      </c>
      <c r="AL997" s="2" t="inlineStr">
        <is>
          <t>2026 Frozen Test</t>
        </is>
      </c>
      <c r="AM997" s="6" t="n">
        <v>0.134771388387789</v>
      </c>
    </row>
    <row r="998">
      <c r="A998" s="2" t="inlineStr">
        <is>
          <t>KPROP-00997</t>
        </is>
      </c>
      <c r="B998" s="3" t="n">
        <v>46189.77819444444</v>
      </c>
      <c r="C998" s="3" t="n">
        <v>46189</v>
      </c>
      <c r="D998" s="2" t="inlineStr">
        <is>
          <t>Jesús Luzardo</t>
        </is>
      </c>
      <c r="E998" s="2" t="n">
        <v>143</v>
      </c>
      <c r="F998" s="2" t="n">
        <v>146</v>
      </c>
      <c r="G998" s="2" t="inlineStr">
        <is>
          <t>Home</t>
        </is>
      </c>
      <c r="H998" s="2" t="inlineStr">
        <is>
          <t>fanduel</t>
        </is>
      </c>
      <c r="I998" s="4" t="n"/>
      <c r="J998" s="4" t="n"/>
      <c r="K998" s="4" t="n">
        <v>-104</v>
      </c>
      <c r="L998" s="4" t="n">
        <v>-104</v>
      </c>
      <c r="M998" s="5" t="n">
        <v>6.5</v>
      </c>
      <c r="N998" s="5" t="n">
        <v>5.235144885202646</v>
      </c>
      <c r="O998" s="5" t="n">
        <v>6.5</v>
      </c>
      <c r="P998" s="5" t="n">
        <v>1.264855114797354</v>
      </c>
      <c r="Q998" s="6" t="n">
        <v>0.4261471430429856</v>
      </c>
      <c r="R998" s="6" t="n">
        <v>0.7270554062572083</v>
      </c>
      <c r="S998" s="6" t="n">
        <v>0.4850248160191682</v>
      </c>
      <c r="T998" s="2" t="inlineStr">
        <is>
          <t>Under</t>
        </is>
      </c>
      <c r="U998" s="4" t="n">
        <v>-104</v>
      </c>
      <c r="V998" s="2" t="n">
        <v>1.961538461538462</v>
      </c>
      <c r="W998" s="4" t="n">
        <v>-104</v>
      </c>
      <c r="X998" s="2" t="n">
        <v>1</v>
      </c>
      <c r="Y998" s="5" t="n">
        <v>-1</v>
      </c>
      <c r="Z998" s="7" t="n">
        <v>100</v>
      </c>
      <c r="AA998" s="7">
        <f>Y998*Z998</f>
        <v/>
      </c>
      <c r="AB998" s="6">
        <f>IF(Z998=0,0,AA998/Z998)</f>
        <v/>
      </c>
      <c r="AC998" s="6" t="n"/>
      <c r="AD998" s="2" t="inlineStr">
        <is>
          <t>Loss</t>
        </is>
      </c>
      <c r="AE998" s="6">
        <f>IF((COUNTIF($AD$2:AD998,"Win")+COUNTIF($AD$2:AD998,"Loss"))=0,0,COUNTIF($AD$2:AD998,"Win")/(COUNTIF($AD$2:AD998,"Win")+COUNTIF($AD$2:AD998,"Loss")))</f>
        <v/>
      </c>
      <c r="AF998" s="6">
        <f>SUM($Y$2:Y998)/SUM($X$2:X998)</f>
        <v/>
      </c>
      <c r="AG998" s="5">
        <f>SUM($Y$2:Y998)</f>
        <v/>
      </c>
      <c r="AH998" s="7">
        <f>10000.0+SUM($AA$2:AA998)</f>
        <v/>
      </c>
      <c r="AI998" s="2" t="n">
        <v>2026</v>
      </c>
      <c r="AJ998" s="2" t="inlineStr">
        <is>
          <t>2026-06</t>
        </is>
      </c>
      <c r="AK998" s="2" t="inlineStr">
        <is>
          <t>-119 to -101</t>
        </is>
      </c>
      <c r="AL998" s="2" t="inlineStr">
        <is>
          <t>2026 Frozen Test</t>
        </is>
      </c>
      <c r="AM998" s="6" t="n">
        <v>0.443193028764705</v>
      </c>
    </row>
    <row r="999">
      <c r="A999" s="2" t="inlineStr">
        <is>
          <t>KPROP-00998</t>
        </is>
      </c>
      <c r="B999" s="3" t="n">
        <v>46189.77819444444</v>
      </c>
      <c r="C999" s="3" t="n">
        <v>46189</v>
      </c>
      <c r="D999" s="2" t="inlineStr">
        <is>
          <t>Payton Tolle</t>
        </is>
      </c>
      <c r="E999" s="2" t="n">
        <v>111</v>
      </c>
      <c r="F999" s="2" t="n">
        <v>141</v>
      </c>
      <c r="G999" s="2" t="inlineStr">
        <is>
          <t>Home</t>
        </is>
      </c>
      <c r="H999" s="2" t="inlineStr">
        <is>
          <t>draftkings</t>
        </is>
      </c>
      <c r="I999" s="4" t="n"/>
      <c r="J999" s="4" t="n"/>
      <c r="K999" s="4" t="n">
        <v>-125</v>
      </c>
      <c r="L999" s="4" t="n">
        <v>-125</v>
      </c>
      <c r="M999" s="5" t="n">
        <v>5.5</v>
      </c>
      <c r="N999" s="5" t="n">
        <v>4.709548985110271</v>
      </c>
      <c r="O999" s="5" t="n">
        <v>5.5</v>
      </c>
      <c r="P999" s="5" t="n">
        <v>0.7904510148897286</v>
      </c>
      <c r="Q999" s="6" t="n">
        <v>0.2002005580945264</v>
      </c>
      <c r="R999" s="6" t="n">
        <v>0.6667780878302925</v>
      </c>
      <c r="S999" s="6" t="n">
        <v>0.5533498759305211</v>
      </c>
      <c r="T999" s="2" t="inlineStr">
        <is>
          <t>Under</t>
        </is>
      </c>
      <c r="U999" s="4" t="n">
        <v>-125</v>
      </c>
      <c r="V999" s="2" t="n">
        <v>1.8</v>
      </c>
      <c r="W999" s="4" t="n">
        <v>-125</v>
      </c>
      <c r="X999" s="2" t="n">
        <v>1</v>
      </c>
      <c r="Y999" s="5" t="n">
        <v>-1</v>
      </c>
      <c r="Z999" s="7" t="n">
        <v>100</v>
      </c>
      <c r="AA999" s="7">
        <f>Y999*Z999</f>
        <v/>
      </c>
      <c r="AB999" s="6">
        <f>IF(Z999=0,0,AA999/Z999)</f>
        <v/>
      </c>
      <c r="AC999" s="6" t="n"/>
      <c r="AD999" s="2" t="inlineStr">
        <is>
          <t>Loss</t>
        </is>
      </c>
      <c r="AE999" s="6">
        <f>IF((COUNTIF($AD$2:AD999,"Win")+COUNTIF($AD$2:AD999,"Loss"))=0,0,COUNTIF($AD$2:AD999,"Win")/(COUNTIF($AD$2:AD999,"Win")+COUNTIF($AD$2:AD999,"Loss")))</f>
        <v/>
      </c>
      <c r="AF999" s="6">
        <f>SUM($Y$2:Y999)/SUM($X$2:X999)</f>
        <v/>
      </c>
      <c r="AG999" s="5">
        <f>SUM($Y$2:Y999)</f>
        <v/>
      </c>
      <c r="AH999" s="7">
        <f>10000.0+SUM($AA$2:AA999)</f>
        <v/>
      </c>
      <c r="AI999" s="2" t="n">
        <v>2026</v>
      </c>
      <c r="AJ999" s="2" t="inlineStr">
        <is>
          <t>2026-06</t>
        </is>
      </c>
      <c r="AK999" s="2" t="inlineStr">
        <is>
          <t>-149 to -120</t>
        </is>
      </c>
      <c r="AL999" s="2" t="inlineStr">
        <is>
          <t>2026 Frozen Test</t>
        </is>
      </c>
      <c r="AM999" s="6" t="n">
        <v>0.250250697618158</v>
      </c>
    </row>
    <row r="1000">
      <c r="A1000" s="2" t="inlineStr">
        <is>
          <t>KPROP-00999</t>
        </is>
      </c>
      <c r="B1000" s="3" t="n">
        <v>46189.81986111111</v>
      </c>
      <c r="C1000" s="3" t="n">
        <v>46189</v>
      </c>
      <c r="D1000" s="2" t="inlineStr">
        <is>
          <t>Robert Gasser</t>
        </is>
      </c>
      <c r="E1000" s="2" t="n">
        <v>158</v>
      </c>
      <c r="F1000" s="2" t="n">
        <v>114</v>
      </c>
      <c r="G1000" s="2" t="inlineStr">
        <is>
          <t>Home</t>
        </is>
      </c>
      <c r="H1000" s="2" t="inlineStr">
        <is>
          <t>draftkings</t>
        </is>
      </c>
      <c r="I1000" s="4" t="n"/>
      <c r="J1000" s="4" t="n"/>
      <c r="K1000" s="4" t="n">
        <v>125</v>
      </c>
      <c r="L1000" s="4" t="n">
        <v>125</v>
      </c>
      <c r="M1000" s="5" t="n">
        <v>4.5</v>
      </c>
      <c r="N1000" s="5" t="n">
        <v>4.605853192724179</v>
      </c>
      <c r="O1000" s="5" t="n">
        <v>4.5</v>
      </c>
      <c r="P1000" s="5" t="n">
        <v>-0.1058531927241786</v>
      </c>
      <c r="Q1000" s="6" t="n">
        <v>0.1523077662493042</v>
      </c>
      <c r="R1000" s="6" t="n">
        <v>0.5121367849996907</v>
      </c>
      <c r="S1000" s="6" t="n">
        <v>0.4255319148936171</v>
      </c>
      <c r="T1000" s="2" t="inlineStr">
        <is>
          <t>Under</t>
        </is>
      </c>
      <c r="U1000" s="4" t="n">
        <v>125</v>
      </c>
      <c r="V1000" s="2" t="n">
        <v>2.25</v>
      </c>
      <c r="W1000" s="4" t="n">
        <v>125</v>
      </c>
      <c r="X1000" s="2" t="n">
        <v>1</v>
      </c>
      <c r="Y1000" s="5" t="n">
        <v>-1</v>
      </c>
      <c r="Z1000" s="7" t="n">
        <v>100</v>
      </c>
      <c r="AA1000" s="7">
        <f>Y1000*Z1000</f>
        <v/>
      </c>
      <c r="AB1000" s="6">
        <f>IF(Z1000=0,0,AA1000/Z1000)</f>
        <v/>
      </c>
      <c r="AC1000" s="6" t="n"/>
      <c r="AD1000" s="2" t="inlineStr">
        <is>
          <t>Loss</t>
        </is>
      </c>
      <c r="AE1000" s="6">
        <f>IF((COUNTIF($AD$2:AD1000,"Win")+COUNTIF($AD$2:AD1000,"Loss"))=0,0,COUNTIF($AD$2:AD1000,"Win")/(COUNTIF($AD$2:AD1000,"Win")+COUNTIF($AD$2:AD1000,"Loss")))</f>
        <v/>
      </c>
      <c r="AF1000" s="6">
        <f>SUM($Y$2:Y1000)/SUM($X$2:X1000)</f>
        <v/>
      </c>
      <c r="AG1000" s="5">
        <f>SUM($Y$2:Y1000)</f>
        <v/>
      </c>
      <c r="AH1000" s="7">
        <f>10000.0+SUM($AA$2:AA1000)</f>
        <v/>
      </c>
      <c r="AI1000" s="2" t="n">
        <v>2026</v>
      </c>
      <c r="AJ1000" s="2" t="inlineStr">
        <is>
          <t>2026-06</t>
        </is>
      </c>
      <c r="AK1000" s="2" t="inlineStr">
        <is>
          <t>+121 to +150</t>
        </is>
      </c>
      <c r="AL1000" s="2" t="inlineStr">
        <is>
          <t>2026 Frozen Test</t>
        </is>
      </c>
      <c r="AM1000" s="6" t="n">
        <v>0.1218462129994434</v>
      </c>
    </row>
    <row r="1001">
      <c r="A1001" s="2" t="inlineStr">
        <is>
          <t>KPROP-01000</t>
        </is>
      </c>
      <c r="B1001" s="3" t="n">
        <v>46189.81986111111</v>
      </c>
      <c r="C1001" s="3" t="n">
        <v>46189</v>
      </c>
      <c r="D1001" s="2" t="inlineStr">
        <is>
          <t>Robert Gasser</t>
        </is>
      </c>
      <c r="E1001" s="2" t="n">
        <v>158</v>
      </c>
      <c r="F1001" s="2" t="n">
        <v>114</v>
      </c>
      <c r="G1001" s="2" t="inlineStr">
        <is>
          <t>Home</t>
        </is>
      </c>
      <c r="H1001" s="2" t="inlineStr">
        <is>
          <t>fanduel</t>
        </is>
      </c>
      <c r="I1001" s="4" t="n"/>
      <c r="J1001" s="4" t="n"/>
      <c r="K1001" s="4" t="n">
        <v>-162</v>
      </c>
      <c r="L1001" s="4" t="n">
        <v>-162</v>
      </c>
      <c r="M1001" s="5" t="n">
        <v>5.5</v>
      </c>
      <c r="N1001" s="5" t="n">
        <v>4.605853192724179</v>
      </c>
      <c r="O1001" s="5" t="n">
        <v>5.5</v>
      </c>
      <c r="P1001" s="5" t="n">
        <v>0.8941468072758214</v>
      </c>
      <c r="Q1001" s="6" t="n">
        <v>0.107434247930663</v>
      </c>
      <c r="R1001" s="6" t="n">
        <v>0.6847494204762115</v>
      </c>
      <c r="S1001" s="6" t="n">
        <v>0.5892386805468457</v>
      </c>
      <c r="T1001" s="2" t="inlineStr">
        <is>
          <t>Under</t>
        </is>
      </c>
      <c r="U1001" s="4" t="n">
        <v>-162</v>
      </c>
      <c r="V1001" s="2" t="n">
        <v>1.617283950617284</v>
      </c>
      <c r="W1001" s="4" t="n">
        <v>-162</v>
      </c>
      <c r="X1001" s="2" t="n">
        <v>1</v>
      </c>
      <c r="Y1001" s="5" t="n">
        <v>0.617283950617284</v>
      </c>
      <c r="Z1001" s="7" t="n">
        <v>100</v>
      </c>
      <c r="AA1001" s="7">
        <f>Y1001*Z1001</f>
        <v/>
      </c>
      <c r="AB1001" s="6">
        <f>IF(Z1001=0,0,AA1001/Z1001)</f>
        <v/>
      </c>
      <c r="AC1001" s="6" t="n"/>
      <c r="AD1001" s="2" t="inlineStr">
        <is>
          <t>Win</t>
        </is>
      </c>
      <c r="AE1001" s="6">
        <f>IF((COUNTIF($AD$2:AD1001,"Win")+COUNTIF($AD$2:AD1001,"Loss"))=0,0,COUNTIF($AD$2:AD1001,"Win")/(COUNTIF($AD$2:AD1001,"Win")+COUNTIF($AD$2:AD1001,"Loss")))</f>
        <v/>
      </c>
      <c r="AF1001" s="6">
        <f>SUM($Y$2:Y1001)/SUM($X$2:X1001)</f>
        <v/>
      </c>
      <c r="AG1001" s="5">
        <f>SUM($Y$2:Y1001)</f>
        <v/>
      </c>
      <c r="AH1001" s="7">
        <f>10000.0+SUM($AA$2:AA1001)</f>
        <v/>
      </c>
      <c r="AI1001" s="2" t="n">
        <v>2026</v>
      </c>
      <c r="AJ1001" s="2" t="inlineStr">
        <is>
          <t>2026-06</t>
        </is>
      </c>
      <c r="AK1001" s="2" t="inlineStr">
        <is>
          <t>&lt;= -150</t>
        </is>
      </c>
      <c r="AL1001" s="2" t="inlineStr">
        <is>
          <t>2026 Frozen Test</t>
        </is>
      </c>
      <c r="AM1001" s="6" t="n">
        <v>0.1740434816476741</v>
      </c>
    </row>
    <row r="1002">
      <c r="A1002" s="2" t="inlineStr">
        <is>
          <t>KPROP-01001</t>
        </is>
      </c>
      <c r="B1002" s="3" t="n">
        <v>46190.79556712963</v>
      </c>
      <c r="C1002" s="3" t="n">
        <v>46190</v>
      </c>
      <c r="D1002" s="2" t="inlineStr">
        <is>
          <t>Carlos Rodón</t>
        </is>
      </c>
      <c r="E1002" s="2" t="n">
        <v>147</v>
      </c>
      <c r="F1002" s="2" t="n">
        <v>145</v>
      </c>
      <c r="G1002" s="2" t="inlineStr">
        <is>
          <t>Home</t>
        </is>
      </c>
      <c r="H1002" s="2" t="inlineStr">
        <is>
          <t>betrivers</t>
        </is>
      </c>
      <c r="I1002" s="4" t="n"/>
      <c r="J1002" s="4" t="n"/>
      <c r="K1002" s="4" t="n">
        <v>115</v>
      </c>
      <c r="L1002" s="4" t="n">
        <v>115</v>
      </c>
      <c r="M1002" s="5" t="n">
        <v>5.5</v>
      </c>
      <c r="N1002" s="5" t="n">
        <v>5.005712258616168</v>
      </c>
      <c r="O1002" s="5" t="n">
        <v>5.5</v>
      </c>
      <c r="P1002" s="5" t="n">
        <v>0.4942877413838325</v>
      </c>
      <c r="Q1002" s="6" t="n">
        <v>0.3221604329947879</v>
      </c>
      <c r="R1002" s="6" t="n">
        <v>0.6149583409278083</v>
      </c>
      <c r="S1002" s="6" t="n">
        <v>0.4497867390461419</v>
      </c>
      <c r="T1002" s="2" t="inlineStr">
        <is>
          <t>Under</t>
        </is>
      </c>
      <c r="U1002" s="4" t="n">
        <v>115</v>
      </c>
      <c r="V1002" s="2" t="n">
        <v>2.15</v>
      </c>
      <c r="W1002" s="4" t="n">
        <v>115</v>
      </c>
      <c r="X1002" s="2" t="n">
        <v>1</v>
      </c>
      <c r="Y1002" s="5" t="n">
        <v>-1</v>
      </c>
      <c r="Z1002" s="7" t="n">
        <v>100</v>
      </c>
      <c r="AA1002" s="7">
        <f>Y1002*Z1002</f>
        <v/>
      </c>
      <c r="AB1002" s="6">
        <f>IF(Z1002=0,0,AA1002/Z1002)</f>
        <v/>
      </c>
      <c r="AC1002" s="6" t="n"/>
      <c r="AD1002" s="2" t="inlineStr">
        <is>
          <t>Loss</t>
        </is>
      </c>
      <c r="AE1002" s="6">
        <f>IF((COUNTIF($AD$2:AD1002,"Win")+COUNTIF($AD$2:AD1002,"Loss"))=0,0,COUNTIF($AD$2:AD1002,"Win")/(COUNTIF($AD$2:AD1002,"Win")+COUNTIF($AD$2:AD1002,"Loss")))</f>
        <v/>
      </c>
      <c r="AF1002" s="6">
        <f>SUM($Y$2:Y1002)/SUM($X$2:X1002)</f>
        <v/>
      </c>
      <c r="AG1002" s="5">
        <f>SUM($Y$2:Y1002)</f>
        <v/>
      </c>
      <c r="AH1002" s="7">
        <f>10000.0+SUM($AA$2:AA1002)</f>
        <v/>
      </c>
      <c r="AI1002" s="2" t="n">
        <v>2026</v>
      </c>
      <c r="AJ1002" s="2" t="inlineStr">
        <is>
          <t>2026-06</t>
        </is>
      </c>
      <c r="AK1002" s="2" t="inlineStr">
        <is>
          <t>+100 to +120</t>
        </is>
      </c>
      <c r="AL1002" s="2" t="inlineStr">
        <is>
          <t>2026 Frozen Test</t>
        </is>
      </c>
      <c r="AM1002" s="6" t="n">
        <v>0.2801395069519894</v>
      </c>
    </row>
    <row r="1003">
      <c r="A1003" s="2" t="inlineStr">
        <is>
          <t>KPROP-01002</t>
        </is>
      </c>
      <c r="B1003" s="3" t="n">
        <v>46190.79556712963</v>
      </c>
      <c r="C1003" s="3" t="n">
        <v>46190</v>
      </c>
      <c r="D1003" s="2" t="inlineStr">
        <is>
          <t>Carlos Rodón</t>
        </is>
      </c>
      <c r="E1003" s="2" t="n">
        <v>147</v>
      </c>
      <c r="F1003" s="2" t="n">
        <v>145</v>
      </c>
      <c r="G1003" s="2" t="inlineStr">
        <is>
          <t>Home</t>
        </is>
      </c>
      <c r="H1003" s="2" t="inlineStr">
        <is>
          <t>draftkings</t>
        </is>
      </c>
      <c r="I1003" s="4" t="n"/>
      <c r="J1003" s="4" t="n"/>
      <c r="K1003" s="4" t="n">
        <v>-151</v>
      </c>
      <c r="L1003" s="4" t="n">
        <v>-151</v>
      </c>
      <c r="M1003" s="5" t="n">
        <v>6.5</v>
      </c>
      <c r="N1003" s="5" t="n">
        <v>5.005712258616168</v>
      </c>
      <c r="O1003" s="5" t="n">
        <v>6.5</v>
      </c>
      <c r="P1003" s="5" t="n">
        <v>1.494287741383832</v>
      </c>
      <c r="Q1003" s="6" t="n">
        <v>0.2655515151647606</v>
      </c>
      <c r="R1003" s="6" t="n">
        <v>0.7613477242624656</v>
      </c>
      <c r="S1003" s="6" t="n">
        <v>0.5684986848665096</v>
      </c>
      <c r="T1003" s="2" t="inlineStr">
        <is>
          <t>Under</t>
        </is>
      </c>
      <c r="U1003" s="4" t="n">
        <v>-151</v>
      </c>
      <c r="V1003" s="2" t="n">
        <v>1.662251655629139</v>
      </c>
      <c r="W1003" s="4" t="n">
        <v>-151</v>
      </c>
      <c r="X1003" s="2" t="n">
        <v>1</v>
      </c>
      <c r="Y1003" s="5" t="n">
        <v>-1</v>
      </c>
      <c r="Z1003" s="7" t="n">
        <v>100</v>
      </c>
      <c r="AA1003" s="7">
        <f>Y1003*Z1003</f>
        <v/>
      </c>
      <c r="AB1003" s="6">
        <f>IF(Z1003=0,0,AA1003/Z1003)</f>
        <v/>
      </c>
      <c r="AC1003" s="6" t="n"/>
      <c r="AD1003" s="2" t="inlineStr">
        <is>
          <t>Loss</t>
        </is>
      </c>
      <c r="AE1003" s="6">
        <f>IF((COUNTIF($AD$2:AD1003,"Win")+COUNTIF($AD$2:AD1003,"Loss"))=0,0,COUNTIF($AD$2:AD1003,"Win")/(COUNTIF($AD$2:AD1003,"Win")+COUNTIF($AD$2:AD1003,"Loss")))</f>
        <v/>
      </c>
      <c r="AF1003" s="6">
        <f>SUM($Y$2:Y1003)/SUM($X$2:X1003)</f>
        <v/>
      </c>
      <c r="AG1003" s="5">
        <f>SUM($Y$2:Y1003)</f>
        <v/>
      </c>
      <c r="AH1003" s="7">
        <f>10000.0+SUM($AA$2:AA1003)</f>
        <v/>
      </c>
      <c r="AI1003" s="2" t="n">
        <v>2026</v>
      </c>
      <c r="AJ1003" s="2" t="inlineStr">
        <is>
          <t>2026-06</t>
        </is>
      </c>
      <c r="AK1003" s="2" t="inlineStr">
        <is>
          <t>&lt;= -150</t>
        </is>
      </c>
      <c r="AL1003" s="2" t="inlineStr">
        <is>
          <t>2026 Frozen Test</t>
        </is>
      </c>
      <c r="AM1003" s="6" t="n">
        <v>0.4009827878987885</v>
      </c>
    </row>
    <row r="1004">
      <c r="A1004" s="2" t="inlineStr">
        <is>
          <t>KPROP-01003</t>
        </is>
      </c>
      <c r="B1004" s="3" t="n">
        <v>46190.81987268518</v>
      </c>
      <c r="C1004" s="3" t="n">
        <v>46190</v>
      </c>
      <c r="D1004" s="2" t="inlineStr">
        <is>
          <t>Gavin Williams</t>
        </is>
      </c>
      <c r="E1004" s="2" t="n">
        <v>114</v>
      </c>
      <c r="F1004" s="2" t="n">
        <v>158</v>
      </c>
      <c r="G1004" s="2" t="inlineStr">
        <is>
          <t>Away</t>
        </is>
      </c>
      <c r="H1004" s="2" t="inlineStr">
        <is>
          <t>draftkings</t>
        </is>
      </c>
      <c r="I1004" s="4" t="n"/>
      <c r="J1004" s="4" t="n"/>
      <c r="K1004" s="4" t="n">
        <v>-112</v>
      </c>
      <c r="L1004" s="4" t="n">
        <v>-112</v>
      </c>
      <c r="M1004" s="5" t="n">
        <v>6.5</v>
      </c>
      <c r="N1004" s="5" t="n">
        <v>5.437010718228592</v>
      </c>
      <c r="O1004" s="5" t="n">
        <v>6.5</v>
      </c>
      <c r="P1004" s="5" t="n">
        <v>1.062989281771408</v>
      </c>
      <c r="Q1004" s="6" t="n">
        <v>0.3172451615772747</v>
      </c>
      <c r="R1004" s="6" t="n">
        <v>0.6959031042295036</v>
      </c>
      <c r="S1004" s="6" t="n">
        <v>0.5100960244099434</v>
      </c>
      <c r="T1004" s="2" t="inlineStr">
        <is>
          <t>Under</t>
        </is>
      </c>
      <c r="U1004" s="4" t="n">
        <v>-112</v>
      </c>
      <c r="V1004" s="2" t="n">
        <v>1.892857142857143</v>
      </c>
      <c r="W1004" s="4" t="n">
        <v>-112</v>
      </c>
      <c r="X1004" s="2" t="n">
        <v>1</v>
      </c>
      <c r="Y1004" s="5" t="n">
        <v>0.8928571428571428</v>
      </c>
      <c r="Z1004" s="7" t="n">
        <v>100</v>
      </c>
      <c r="AA1004" s="7">
        <f>Y1004*Z1004</f>
        <v/>
      </c>
      <c r="AB1004" s="6">
        <f>IF(Z1004=0,0,AA1004/Z1004)</f>
        <v/>
      </c>
      <c r="AC1004" s="6" t="n"/>
      <c r="AD1004" s="2" t="inlineStr">
        <is>
          <t>Win</t>
        </is>
      </c>
      <c r="AE1004" s="6">
        <f>IF((COUNTIF($AD$2:AD1004,"Win")+COUNTIF($AD$2:AD1004,"Loss"))=0,0,COUNTIF($AD$2:AD1004,"Win")/(COUNTIF($AD$2:AD1004,"Win")+COUNTIF($AD$2:AD1004,"Loss")))</f>
        <v/>
      </c>
      <c r="AF1004" s="6">
        <f>SUM($Y$2:Y1004)/SUM($X$2:X1004)</f>
        <v/>
      </c>
      <c r="AG1004" s="5">
        <f>SUM($Y$2:Y1004)</f>
        <v/>
      </c>
      <c r="AH1004" s="7">
        <f>10000.0+SUM($AA$2:AA1004)</f>
        <v/>
      </c>
      <c r="AI1004" s="2" t="n">
        <v>2026</v>
      </c>
      <c r="AJ1004" s="2" t="inlineStr">
        <is>
          <t>2026-06</t>
        </is>
      </c>
      <c r="AK1004" s="2" t="inlineStr">
        <is>
          <t>-119 to -101</t>
        </is>
      </c>
      <c r="AL1004" s="2" t="inlineStr">
        <is>
          <t>2026 Frozen Test</t>
        </is>
      </c>
      <c r="AM1004" s="6" t="n">
        <v>0.3553145809665477</v>
      </c>
    </row>
    <row r="1005">
      <c r="A1005" s="2" t="inlineStr">
        <is>
          <t>KPROP-01004</t>
        </is>
      </c>
      <c r="B1005" s="3" t="n">
        <v>46190.52819444444</v>
      </c>
      <c r="C1005" s="3" t="n">
        <v>46190</v>
      </c>
      <c r="D1005" s="2" t="inlineStr">
        <is>
          <t>Nolan McLean</t>
        </is>
      </c>
      <c r="E1005" s="2" t="n">
        <v>121</v>
      </c>
      <c r="F1005" s="2" t="n">
        <v>113</v>
      </c>
      <c r="G1005" s="2" t="inlineStr">
        <is>
          <t>Away</t>
        </is>
      </c>
      <c r="H1005" s="2" t="inlineStr">
        <is>
          <t>draftkings</t>
        </is>
      </c>
      <c r="I1005" s="4" t="n"/>
      <c r="J1005" s="4" t="n"/>
      <c r="K1005" s="4" t="n">
        <v>-140</v>
      </c>
      <c r="L1005" s="4" t="n">
        <v>-140</v>
      </c>
      <c r="M1005" s="5" t="n">
        <v>6.5</v>
      </c>
      <c r="N1005" s="5" t="n">
        <v>5.372089409125649</v>
      </c>
      <c r="O1005" s="5" t="n">
        <v>6.5</v>
      </c>
      <c r="P1005" s="5" t="n">
        <v>1.127910590874351</v>
      </c>
      <c r="Q1005" s="6" t="n">
        <v>0.2102954079674607</v>
      </c>
      <c r="R1005" s="6" t="n">
        <v>0.7060056546476854</v>
      </c>
      <c r="S1005" s="6" t="n">
        <v>0.562043795620438</v>
      </c>
      <c r="T1005" s="2" t="inlineStr">
        <is>
          <t>Under</t>
        </is>
      </c>
      <c r="U1005" s="4" t="n">
        <v>-140</v>
      </c>
      <c r="V1005" s="2" t="n">
        <v>1.714285714285714</v>
      </c>
      <c r="W1005" s="4" t="n">
        <v>-140</v>
      </c>
      <c r="X1005" s="2" t="n">
        <v>1</v>
      </c>
      <c r="Y1005" s="5" t="n">
        <v>-1</v>
      </c>
      <c r="Z1005" s="7" t="n">
        <v>100</v>
      </c>
      <c r="AA1005" s="7">
        <f>Y1005*Z1005</f>
        <v/>
      </c>
      <c r="AB1005" s="6">
        <f>IF(Z1005=0,0,AA1005/Z1005)</f>
        <v/>
      </c>
      <c r="AC1005" s="6" t="n"/>
      <c r="AD1005" s="2" t="inlineStr">
        <is>
          <t>Loss</t>
        </is>
      </c>
      <c r="AE1005" s="6">
        <f>IF((COUNTIF($AD$2:AD1005,"Win")+COUNTIF($AD$2:AD1005,"Loss"))=0,0,COUNTIF($AD$2:AD1005,"Win")/(COUNTIF($AD$2:AD1005,"Win")+COUNTIF($AD$2:AD1005,"Loss")))</f>
        <v/>
      </c>
      <c r="AF1005" s="6">
        <f>SUM($Y$2:Y1005)/SUM($X$2:X1005)</f>
        <v/>
      </c>
      <c r="AG1005" s="5">
        <f>SUM($Y$2:Y1005)</f>
        <v/>
      </c>
      <c r="AH1005" s="7">
        <f>10000.0+SUM($AA$2:AA1005)</f>
        <v/>
      </c>
      <c r="AI1005" s="2" t="n">
        <v>2026</v>
      </c>
      <c r="AJ1005" s="2" t="inlineStr">
        <is>
          <t>2026-06</t>
        </is>
      </c>
      <c r="AK1005" s="2" t="inlineStr">
        <is>
          <t>-149 to -120</t>
        </is>
      </c>
      <c r="AL1005" s="2" t="inlineStr">
        <is>
          <t>2026 Frozen Test</t>
        </is>
      </c>
      <c r="AM1005" s="6" t="n">
        <v>0.2944135711544449</v>
      </c>
    </row>
    <row r="1006">
      <c r="A1006" s="2" t="inlineStr">
        <is>
          <t>KPROP-01005</t>
        </is>
      </c>
      <c r="B1006" s="3" t="n">
        <v>46190.59071759259</v>
      </c>
      <c r="C1006" s="3" t="n">
        <v>46190</v>
      </c>
      <c r="D1006" s="2" t="inlineStr">
        <is>
          <t>Peter Lambert</t>
        </is>
      </c>
      <c r="E1006" s="2" t="n">
        <v>117</v>
      </c>
      <c r="F1006" s="2" t="n">
        <v>116</v>
      </c>
      <c r="G1006" s="2" t="inlineStr">
        <is>
          <t>Home</t>
        </is>
      </c>
      <c r="H1006" s="2" t="inlineStr">
        <is>
          <t>betmgm</t>
        </is>
      </c>
      <c r="I1006" s="4" t="n"/>
      <c r="J1006" s="4" t="n"/>
      <c r="K1006" s="4" t="n">
        <v>-135</v>
      </c>
      <c r="L1006" s="4" t="n">
        <v>-135</v>
      </c>
      <c r="M1006" s="5" t="n">
        <v>5.5</v>
      </c>
      <c r="N1006" s="5" t="n">
        <v>4.993758612909449</v>
      </c>
      <c r="O1006" s="5" t="n">
        <v>5.5</v>
      </c>
      <c r="P1006" s="5" t="n">
        <v>0.5062413870905509</v>
      </c>
      <c r="Q1006" s="6" t="n">
        <v>0.07413419332481674</v>
      </c>
      <c r="R1006" s="6" t="n">
        <v>0.6170558131865969</v>
      </c>
      <c r="S1006" s="6" t="n">
        <v>0.5638051044083527</v>
      </c>
      <c r="T1006" s="2" t="inlineStr">
        <is>
          <t>Under</t>
        </is>
      </c>
      <c r="U1006" s="4" t="n">
        <v>-135</v>
      </c>
      <c r="V1006" s="2" t="n">
        <v>1.740740740740741</v>
      </c>
      <c r="W1006" s="4" t="n">
        <v>-135</v>
      </c>
      <c r="X1006" s="2" t="n">
        <v>1</v>
      </c>
      <c r="Y1006" s="5" t="n">
        <v>0.7407407407407407</v>
      </c>
      <c r="Z1006" s="7" t="n">
        <v>100</v>
      </c>
      <c r="AA1006" s="7">
        <f>Y1006*Z1006</f>
        <v/>
      </c>
      <c r="AB1006" s="6">
        <f>IF(Z1006=0,0,AA1006/Z1006)</f>
        <v/>
      </c>
      <c r="AC1006" s="6" t="n"/>
      <c r="AD1006" s="2" t="inlineStr">
        <is>
          <t>Win</t>
        </is>
      </c>
      <c r="AE1006" s="6">
        <f>IF((COUNTIF($AD$2:AD1006,"Win")+COUNTIF($AD$2:AD1006,"Loss"))=0,0,COUNTIF($AD$2:AD1006,"Win")/(COUNTIF($AD$2:AD1006,"Win")+COUNTIF($AD$2:AD1006,"Loss")))</f>
        <v/>
      </c>
      <c r="AF1006" s="6">
        <f>SUM($Y$2:Y1006)/SUM($X$2:X1006)</f>
        <v/>
      </c>
      <c r="AG1006" s="5">
        <f>SUM($Y$2:Y1006)</f>
        <v/>
      </c>
      <c r="AH1006" s="7">
        <f>10000.0+SUM($AA$2:AA1006)</f>
        <v/>
      </c>
      <c r="AI1006" s="2" t="n">
        <v>2026</v>
      </c>
      <c r="AJ1006" s="2" t="inlineStr">
        <is>
          <t>2026-06</t>
        </is>
      </c>
      <c r="AK1006" s="2" t="inlineStr">
        <is>
          <t>-149 to -120</t>
        </is>
      </c>
      <c r="AL1006" s="2" t="inlineStr">
        <is>
          <t>2026 Frozen Test</t>
        </is>
      </c>
      <c r="AM1006" s="6" t="n">
        <v>0.1000811609885026</v>
      </c>
    </row>
    <row r="1007">
      <c r="A1007" s="2" t="inlineStr">
        <is>
          <t>KPROP-01006</t>
        </is>
      </c>
      <c r="B1007" s="3" t="n">
        <v>46190.63236111111</v>
      </c>
      <c r="C1007" s="3" t="n">
        <v>46190</v>
      </c>
      <c r="D1007" s="2" t="inlineStr">
        <is>
          <t>Shohei Ohtani</t>
        </is>
      </c>
      <c r="E1007" s="2" t="n">
        <v>119</v>
      </c>
      <c r="F1007" s="2" t="n">
        <v>139</v>
      </c>
      <c r="G1007" s="2" t="inlineStr">
        <is>
          <t>Home</t>
        </is>
      </c>
      <c r="H1007" s="2" t="inlineStr">
        <is>
          <t>fanduel</t>
        </is>
      </c>
      <c r="I1007" s="4" t="n"/>
      <c r="J1007" s="4" t="n"/>
      <c r="K1007" s="4" t="n">
        <v>120</v>
      </c>
      <c r="L1007" s="4" t="n">
        <v>120</v>
      </c>
      <c r="M1007" s="5" t="n">
        <v>5.5</v>
      </c>
      <c r="N1007" s="5" t="n">
        <v>5.3422321734392</v>
      </c>
      <c r="O1007" s="5" t="n">
        <v>5.5</v>
      </c>
      <c r="P1007" s="5" t="n">
        <v>0.1577678265608</v>
      </c>
      <c r="Q1007" s="6" t="n">
        <v>0.2234993048069056</v>
      </c>
      <c r="R1007" s="6" t="n">
        <v>0.5561360476395025</v>
      </c>
      <c r="S1007" s="6" t="n">
        <v>0.4323570432357043</v>
      </c>
      <c r="T1007" s="2" t="inlineStr">
        <is>
          <t>Under</t>
        </is>
      </c>
      <c r="U1007" s="4" t="n">
        <v>120</v>
      </c>
      <c r="V1007" s="2" t="n">
        <v>2.2</v>
      </c>
      <c r="W1007" s="4" t="n">
        <v>120</v>
      </c>
      <c r="X1007" s="2" t="n">
        <v>1</v>
      </c>
      <c r="Y1007" s="5" t="n">
        <v>1.2</v>
      </c>
      <c r="Z1007" s="7" t="n">
        <v>100</v>
      </c>
      <c r="AA1007" s="7">
        <f>Y1007*Z1007</f>
        <v/>
      </c>
      <c r="AB1007" s="6">
        <f>IF(Z1007=0,0,AA1007/Z1007)</f>
        <v/>
      </c>
      <c r="AC1007" s="6" t="n"/>
      <c r="AD1007" s="2" t="inlineStr">
        <is>
          <t>Win</t>
        </is>
      </c>
      <c r="AE1007" s="6">
        <f>IF((COUNTIF($AD$2:AD1007,"Win")+COUNTIF($AD$2:AD1007,"Loss"))=0,0,COUNTIF($AD$2:AD1007,"Win")/(COUNTIF($AD$2:AD1007,"Win")+COUNTIF($AD$2:AD1007,"Loss")))</f>
        <v/>
      </c>
      <c r="AF1007" s="6">
        <f>SUM($Y$2:Y1007)/SUM($X$2:X1007)</f>
        <v/>
      </c>
      <c r="AG1007" s="5">
        <f>SUM($Y$2:Y1007)</f>
        <v/>
      </c>
      <c r="AH1007" s="7">
        <f>10000.0+SUM($AA$2:AA1007)</f>
        <v/>
      </c>
      <c r="AI1007" s="2" t="n">
        <v>2026</v>
      </c>
      <c r="AJ1007" s="2" t="inlineStr">
        <is>
          <t>2026-06</t>
        </is>
      </c>
      <c r="AK1007" s="2" t="inlineStr">
        <is>
          <t>+100 to +120</t>
        </is>
      </c>
      <c r="AL1007" s="2" t="inlineStr">
        <is>
          <t>2026 Frozen Test</t>
        </is>
      </c>
      <c r="AM1007" s="6" t="n">
        <v>0.1862494206724213</v>
      </c>
    </row>
    <row r="1008">
      <c r="A1008" s="2" t="inlineStr">
        <is>
          <t>KPROP-01007</t>
        </is>
      </c>
      <c r="B1008" s="3" t="n">
        <v>46190.63236111111</v>
      </c>
      <c r="C1008" s="3" t="n">
        <v>46190</v>
      </c>
      <c r="D1008" s="2" t="inlineStr">
        <is>
          <t>Shohei Ohtani</t>
        </is>
      </c>
      <c r="E1008" s="2" t="n">
        <v>119</v>
      </c>
      <c r="F1008" s="2" t="n">
        <v>139</v>
      </c>
      <c r="G1008" s="2" t="inlineStr">
        <is>
          <t>Home</t>
        </is>
      </c>
      <c r="H1008" s="2" t="inlineStr">
        <is>
          <t>draftkings</t>
        </is>
      </c>
      <c r="I1008" s="4" t="n"/>
      <c r="J1008" s="4" t="n"/>
      <c r="K1008" s="4" t="n">
        <v>-133</v>
      </c>
      <c r="L1008" s="4" t="n">
        <v>-133</v>
      </c>
      <c r="M1008" s="5" t="n">
        <v>6.5</v>
      </c>
      <c r="N1008" s="5" t="n">
        <v>5.3422321734392</v>
      </c>
      <c r="O1008" s="5" t="n">
        <v>6.5</v>
      </c>
      <c r="P1008" s="5" t="n">
        <v>1.1577678265608</v>
      </c>
      <c r="Q1008" s="6" t="n">
        <v>0.24493242326537</v>
      </c>
      <c r="R1008" s="6" t="n">
        <v>0.7106266622072713</v>
      </c>
      <c r="S1008" s="6" t="n">
        <v>0.556697108066971</v>
      </c>
      <c r="T1008" s="2" t="inlineStr">
        <is>
          <t>Under</t>
        </is>
      </c>
      <c r="U1008" s="4" t="n">
        <v>-133</v>
      </c>
      <c r="V1008" s="2" t="n">
        <v>1.75187969924812</v>
      </c>
      <c r="W1008" s="4" t="n">
        <v>-133</v>
      </c>
      <c r="X1008" s="2" t="n">
        <v>1</v>
      </c>
      <c r="Y1008" s="5" t="n">
        <v>0.7518796992481203</v>
      </c>
      <c r="Z1008" s="7" t="n">
        <v>100</v>
      </c>
      <c r="AA1008" s="7">
        <f>Y1008*Z1008</f>
        <v/>
      </c>
      <c r="AB1008" s="6">
        <f>IF(Z1008=0,0,AA1008/Z1008)</f>
        <v/>
      </c>
      <c r="AC1008" s="6" t="n"/>
      <c r="AD1008" s="2" t="inlineStr">
        <is>
          <t>Win</t>
        </is>
      </c>
      <c r="AE1008" s="6">
        <f>IF((COUNTIF($AD$2:AD1008,"Win")+COUNTIF($AD$2:AD1008,"Loss"))=0,0,COUNTIF($AD$2:AD1008,"Win")/(COUNTIF($AD$2:AD1008,"Win")+COUNTIF($AD$2:AD1008,"Loss")))</f>
        <v/>
      </c>
      <c r="AF1008" s="6">
        <f>SUM($Y$2:Y1008)/SUM($X$2:X1008)</f>
        <v/>
      </c>
      <c r="AG1008" s="5">
        <f>SUM($Y$2:Y1008)</f>
        <v/>
      </c>
      <c r="AH1008" s="7">
        <f>10000.0+SUM($AA$2:AA1008)</f>
        <v/>
      </c>
      <c r="AI1008" s="2" t="n">
        <v>2026</v>
      </c>
      <c r="AJ1008" s="2" t="inlineStr">
        <is>
          <t>2026-06</t>
        </is>
      </c>
      <c r="AK1008" s="2" t="inlineStr">
        <is>
          <t>-149 to -120</t>
        </is>
      </c>
      <c r="AL1008" s="2" t="inlineStr">
        <is>
          <t>2026 Frozen Test</t>
        </is>
      </c>
      <c r="AM1008" s="6" t="n">
        <v>0.3257601229429422</v>
      </c>
    </row>
    <row r="1009">
      <c r="A1009" s="2" t="inlineStr">
        <is>
          <t>KPROP-01008</t>
        </is>
      </c>
      <c r="B1009" s="3" t="n">
        <v>46191.77819444444</v>
      </c>
      <c r="C1009" s="3" t="n">
        <v>46191</v>
      </c>
      <c r="D1009" s="2" t="inlineStr">
        <is>
          <t>Aaron Nola</t>
        </is>
      </c>
      <c r="E1009" s="2" t="n">
        <v>143</v>
      </c>
      <c r="F1009" s="2" t="n">
        <v>121</v>
      </c>
      <c r="G1009" s="2" t="inlineStr">
        <is>
          <t>Home</t>
        </is>
      </c>
      <c r="H1009" s="2" t="inlineStr">
        <is>
          <t>draftkings</t>
        </is>
      </c>
      <c r="I1009" s="4" t="n"/>
      <c r="J1009" s="4" t="n"/>
      <c r="K1009" s="4" t="n">
        <v>-140</v>
      </c>
      <c r="L1009" s="4" t="n">
        <v>-140</v>
      </c>
      <c r="M1009" s="5" t="n">
        <v>5.5</v>
      </c>
      <c r="N1009" s="5" t="n">
        <v>4.855072958887514</v>
      </c>
      <c r="O1009" s="5" t="n">
        <v>5.5</v>
      </c>
      <c r="P1009" s="5" t="n">
        <v>0.6449270411124859</v>
      </c>
      <c r="Q1009" s="6" t="n">
        <v>0.09949582791535017</v>
      </c>
      <c r="R1009" s="6" t="n">
        <v>0.6413725662839542</v>
      </c>
      <c r="S1009" s="6" t="n">
        <v>0.5675675675675677</v>
      </c>
      <c r="T1009" s="2" t="inlineStr">
        <is>
          <t>Under</t>
        </is>
      </c>
      <c r="U1009" s="4" t="n">
        <v>-140</v>
      </c>
      <c r="V1009" s="2" t="n">
        <v>1.714285714285714</v>
      </c>
      <c r="W1009" s="4" t="n">
        <v>-140</v>
      </c>
      <c r="X1009" s="2" t="n">
        <v>1</v>
      </c>
      <c r="Y1009" s="5" t="n">
        <v>-1</v>
      </c>
      <c r="Z1009" s="7" t="n">
        <v>100</v>
      </c>
      <c r="AA1009" s="7">
        <f>Y1009*Z1009</f>
        <v/>
      </c>
      <c r="AB1009" s="6">
        <f>IF(Z1009=0,0,AA1009/Z1009)</f>
        <v/>
      </c>
      <c r="AC1009" s="6" t="n"/>
      <c r="AD1009" s="2" t="inlineStr">
        <is>
          <t>Loss</t>
        </is>
      </c>
      <c r="AE1009" s="6">
        <f>IF((COUNTIF($AD$2:AD1009,"Win")+COUNTIF($AD$2:AD1009,"Loss"))=0,0,COUNTIF($AD$2:AD1009,"Win")/(COUNTIF($AD$2:AD1009,"Win")+COUNTIF($AD$2:AD1009,"Loss")))</f>
        <v/>
      </c>
      <c r="AF1009" s="6">
        <f>SUM($Y$2:Y1009)/SUM($X$2:X1009)</f>
        <v/>
      </c>
      <c r="AG1009" s="5">
        <f>SUM($Y$2:Y1009)</f>
        <v/>
      </c>
      <c r="AH1009" s="7">
        <f>10000.0+SUM($AA$2:AA1009)</f>
        <v/>
      </c>
      <c r="AI1009" s="2" t="n">
        <v>2026</v>
      </c>
      <c r="AJ1009" s="2" t="inlineStr">
        <is>
          <t>2026-06</t>
        </is>
      </c>
      <c r="AK1009" s="2" t="inlineStr">
        <is>
          <t>-149 to -120</t>
        </is>
      </c>
      <c r="AL1009" s="2" t="inlineStr">
        <is>
          <t>2026 Frozen Test</t>
        </is>
      </c>
      <c r="AM1009" s="6" t="n">
        <v>0.1392941590814902</v>
      </c>
    </row>
    <row r="1010">
      <c r="A1010" s="2" t="inlineStr">
        <is>
          <t>KPROP-01009</t>
        </is>
      </c>
      <c r="B1010" s="3" t="n">
        <v>46191.67402777778</v>
      </c>
      <c r="C1010" s="3" t="n">
        <v>46191</v>
      </c>
      <c r="D1010" s="2" t="inlineStr">
        <is>
          <t>Bryan Woo</t>
        </is>
      </c>
      <c r="E1010" s="2" t="n">
        <v>136</v>
      </c>
      <c r="F1010" s="2" t="n">
        <v>110</v>
      </c>
      <c r="G1010" s="2" t="inlineStr">
        <is>
          <t>Home</t>
        </is>
      </c>
      <c r="H1010" s="2" t="inlineStr">
        <is>
          <t>betmgm</t>
        </is>
      </c>
      <c r="I1010" s="4" t="n"/>
      <c r="J1010" s="4" t="n"/>
      <c r="K1010" s="4" t="n">
        <v>-120</v>
      </c>
      <c r="L1010" s="4" t="n">
        <v>-120</v>
      </c>
      <c r="M1010" s="5" t="n">
        <v>6.5</v>
      </c>
      <c r="N1010" s="5" t="n">
        <v>5.529652394900642</v>
      </c>
      <c r="O1010" s="5" t="n">
        <v>6.5</v>
      </c>
      <c r="P1010" s="5" t="n">
        <v>0.9703476050993585</v>
      </c>
      <c r="Q1010" s="6" t="n">
        <v>0.2491800318819315</v>
      </c>
      <c r="R1010" s="6" t="n">
        <v>0.6813709264810535</v>
      </c>
      <c r="S1010" s="6" t="n">
        <v>0.5266781411359724</v>
      </c>
      <c r="T1010" s="2" t="inlineStr">
        <is>
          <t>Under</t>
        </is>
      </c>
      <c r="U1010" s="4" t="n">
        <v>-120</v>
      </c>
      <c r="V1010" s="2" t="n">
        <v>1.833333333333333</v>
      </c>
      <c r="W1010" s="4" t="n">
        <v>-120</v>
      </c>
      <c r="X1010" s="2" t="n">
        <v>1</v>
      </c>
      <c r="Y1010" s="5" t="n">
        <v>-1</v>
      </c>
      <c r="Z1010" s="7" t="n">
        <v>100</v>
      </c>
      <c r="AA1010" s="7">
        <f>Y1010*Z1010</f>
        <v/>
      </c>
      <c r="AB1010" s="6">
        <f>IF(Z1010=0,0,AA1010/Z1010)</f>
        <v/>
      </c>
      <c r="AC1010" s="6" t="n"/>
      <c r="AD1010" s="2" t="inlineStr">
        <is>
          <t>Loss</t>
        </is>
      </c>
      <c r="AE1010" s="6">
        <f>IF((COUNTIF($AD$2:AD1010,"Win")+COUNTIF($AD$2:AD1010,"Loss"))=0,0,COUNTIF($AD$2:AD1010,"Win")/(COUNTIF($AD$2:AD1010,"Win")+COUNTIF($AD$2:AD1010,"Loss")))</f>
        <v/>
      </c>
      <c r="AF1010" s="6">
        <f>SUM($Y$2:Y1010)/SUM($X$2:X1010)</f>
        <v/>
      </c>
      <c r="AG1010" s="5">
        <f>SUM($Y$2:Y1010)</f>
        <v/>
      </c>
      <c r="AH1010" s="7">
        <f>10000.0+SUM($AA$2:AA1010)</f>
        <v/>
      </c>
      <c r="AI1010" s="2" t="n">
        <v>2026</v>
      </c>
      <c r="AJ1010" s="2" t="inlineStr">
        <is>
          <t>2026-06</t>
        </is>
      </c>
      <c r="AK1010" s="2" t="inlineStr">
        <is>
          <t>-149 to -120</t>
        </is>
      </c>
      <c r="AL1010" s="2" t="inlineStr">
        <is>
          <t>2026 Frozen Test</t>
        </is>
      </c>
      <c r="AM1010" s="6" t="n">
        <v>0.2990160382583177</v>
      </c>
    </row>
    <row r="1011">
      <c r="A1011" s="2" t="inlineStr">
        <is>
          <t>KPROP-01010</t>
        </is>
      </c>
      <c r="B1011" s="3" t="n">
        <v>46191.60805555555</v>
      </c>
      <c r="C1011" s="3" t="n">
        <v>46191</v>
      </c>
      <c r="D1011" s="2" t="inlineStr">
        <is>
          <t>Jack Leiter</t>
        </is>
      </c>
      <c r="E1011" s="2" t="n">
        <v>140</v>
      </c>
      <c r="F1011" s="2" t="n">
        <v>142</v>
      </c>
      <c r="G1011" s="2" t="inlineStr">
        <is>
          <t>Home</t>
        </is>
      </c>
      <c r="H1011" s="2" t="inlineStr">
        <is>
          <t>betmgm</t>
        </is>
      </c>
      <c r="I1011" s="4" t="n"/>
      <c r="J1011" s="4" t="n"/>
      <c r="K1011" s="4" t="n">
        <v>-105</v>
      </c>
      <c r="L1011" s="4" t="n">
        <v>-105</v>
      </c>
      <c r="M1011" s="5" t="n">
        <v>5.5</v>
      </c>
      <c r="N1011" s="5" t="n">
        <v>4.974468126302557</v>
      </c>
      <c r="O1011" s="5" t="n">
        <v>5.5</v>
      </c>
      <c r="P1011" s="5" t="n">
        <v>0.5255318736974433</v>
      </c>
      <c r="Q1011" s="6" t="n">
        <v>0.2113363469723911</v>
      </c>
      <c r="R1011" s="6" t="n">
        <v>0.6204405679614686</v>
      </c>
      <c r="S1011" s="6" t="n">
        <v>0.5205799812909261</v>
      </c>
      <c r="T1011" s="2" t="inlineStr">
        <is>
          <t>Under</t>
        </is>
      </c>
      <c r="U1011" s="4" t="n">
        <v>-105</v>
      </c>
      <c r="V1011" s="2" t="n">
        <v>1.952380952380952</v>
      </c>
      <c r="W1011" s="4" t="n">
        <v>-105</v>
      </c>
      <c r="X1011" s="2" t="n">
        <v>1</v>
      </c>
      <c r="Y1011" s="5" t="n">
        <v>0.9523809523809523</v>
      </c>
      <c r="Z1011" s="7" t="n">
        <v>100</v>
      </c>
      <c r="AA1011" s="7">
        <f>Y1011*Z1011</f>
        <v/>
      </c>
      <c r="AB1011" s="6">
        <f>IF(Z1011=0,0,AA1011/Z1011)</f>
        <v/>
      </c>
      <c r="AC1011" s="6" t="n"/>
      <c r="AD1011" s="2" t="inlineStr">
        <is>
          <t>Win</t>
        </is>
      </c>
      <c r="AE1011" s="6">
        <f>IF((COUNTIF($AD$2:AD1011,"Win")+COUNTIF($AD$2:AD1011,"Loss"))=0,0,COUNTIF($AD$2:AD1011,"Win")/(COUNTIF($AD$2:AD1011,"Win")+COUNTIF($AD$2:AD1011,"Loss")))</f>
        <v/>
      </c>
      <c r="AF1011" s="6">
        <f>SUM($Y$2:Y1011)/SUM($X$2:X1011)</f>
        <v/>
      </c>
      <c r="AG1011" s="5">
        <f>SUM($Y$2:Y1011)</f>
        <v/>
      </c>
      <c r="AH1011" s="7">
        <f>10000.0+SUM($AA$2:AA1011)</f>
        <v/>
      </c>
      <c r="AI1011" s="2" t="n">
        <v>2026</v>
      </c>
      <c r="AJ1011" s="2" t="inlineStr">
        <is>
          <t>2026-06</t>
        </is>
      </c>
      <c r="AK1011" s="2" t="inlineStr">
        <is>
          <t>-119 to -101</t>
        </is>
      </c>
      <c r="AL1011" s="2" t="inlineStr">
        <is>
          <t>2026 Frozen Test</t>
        </is>
      </c>
      <c r="AM1011" s="6" t="n">
        <v>0.2219031643210107</v>
      </c>
    </row>
    <row r="1012">
      <c r="A1012" s="2" t="inlineStr">
        <is>
          <t>KPROP-01011</t>
        </is>
      </c>
      <c r="B1012" s="3" t="n">
        <v>46191.60805555555</v>
      </c>
      <c r="C1012" s="3" t="n">
        <v>46191</v>
      </c>
      <c r="D1012" s="2" t="inlineStr">
        <is>
          <t>Joe Ryan</t>
        </is>
      </c>
      <c r="E1012" s="2" t="n">
        <v>142</v>
      </c>
      <c r="F1012" s="2" t="n">
        <v>140</v>
      </c>
      <c r="G1012" s="2" t="inlineStr">
        <is>
          <t>Away</t>
        </is>
      </c>
      <c r="H1012" s="2" t="inlineStr">
        <is>
          <t>betrivers</t>
        </is>
      </c>
      <c r="I1012" s="4" t="n"/>
      <c r="J1012" s="4" t="n"/>
      <c r="K1012" s="4" t="n">
        <v>-105</v>
      </c>
      <c r="L1012" s="4" t="n">
        <v>-105</v>
      </c>
      <c r="M1012" s="5" t="n">
        <v>6.5</v>
      </c>
      <c r="N1012" s="5" t="n">
        <v>5.487988471966088</v>
      </c>
      <c r="O1012" s="5" t="n">
        <v>6.5</v>
      </c>
      <c r="P1012" s="5" t="n">
        <v>1.012011528033912</v>
      </c>
      <c r="Q1012" s="6" t="n">
        <v>0.3430861220050485</v>
      </c>
      <c r="R1012" s="6" t="n">
        <v>0.6879221600513663</v>
      </c>
      <c r="S1012" s="6" t="n">
        <v>0.4861937128292268</v>
      </c>
      <c r="T1012" s="2" t="inlineStr">
        <is>
          <t>Under</t>
        </is>
      </c>
      <c r="U1012" s="4" t="n">
        <v>-105</v>
      </c>
      <c r="V1012" s="2" t="n">
        <v>1.952380952380952</v>
      </c>
      <c r="W1012" s="4" t="n">
        <v>-105</v>
      </c>
      <c r="X1012" s="2" t="n">
        <v>1</v>
      </c>
      <c r="Y1012" s="5" t="n">
        <v>-1</v>
      </c>
      <c r="Z1012" s="7" t="n">
        <v>100</v>
      </c>
      <c r="AA1012" s="7">
        <f>Y1012*Z1012</f>
        <v/>
      </c>
      <c r="AB1012" s="6">
        <f>IF(Z1012=0,0,AA1012/Z1012)</f>
        <v/>
      </c>
      <c r="AC1012" s="6" t="n"/>
      <c r="AD1012" s="2" t="inlineStr">
        <is>
          <t>Loss</t>
        </is>
      </c>
      <c r="AE1012" s="6">
        <f>IF((COUNTIF($AD$2:AD1012,"Win")+COUNTIF($AD$2:AD1012,"Loss"))=0,0,COUNTIF($AD$2:AD1012,"Win")/(COUNTIF($AD$2:AD1012,"Win")+COUNTIF($AD$2:AD1012,"Loss")))</f>
        <v/>
      </c>
      <c r="AF1012" s="6">
        <f>SUM($Y$2:Y1012)/SUM($X$2:X1012)</f>
        <v/>
      </c>
      <c r="AG1012" s="5">
        <f>SUM($Y$2:Y1012)</f>
        <v/>
      </c>
      <c r="AH1012" s="7">
        <f>10000.0+SUM($AA$2:AA1012)</f>
        <v/>
      </c>
      <c r="AI1012" s="2" t="n">
        <v>2026</v>
      </c>
      <c r="AJ1012" s="2" t="inlineStr">
        <is>
          <t>2026-06</t>
        </is>
      </c>
      <c r="AK1012" s="2" t="inlineStr">
        <is>
          <t>-119 to -101</t>
        </is>
      </c>
      <c r="AL1012" s="2" t="inlineStr">
        <is>
          <t>2026 Frozen Test</t>
        </is>
      </c>
      <c r="AM1012" s="6" t="n">
        <v>0.3602404281053009</v>
      </c>
    </row>
    <row r="1013">
      <c r="A1013" s="2" t="inlineStr">
        <is>
          <t>KPROP-01012</t>
        </is>
      </c>
      <c r="B1013" s="3" t="n">
        <v>46191.59069444444</v>
      </c>
      <c r="C1013" s="3" t="n">
        <v>46191</v>
      </c>
      <c r="D1013" s="2" t="inlineStr">
        <is>
          <t>Parker Messick</t>
        </is>
      </c>
      <c r="E1013" s="2" t="n">
        <v>114</v>
      </c>
      <c r="F1013" s="2" t="n">
        <v>158</v>
      </c>
      <c r="G1013" s="2" t="inlineStr">
        <is>
          <t>Away</t>
        </is>
      </c>
      <c r="H1013" s="2" t="inlineStr">
        <is>
          <t>betmgm</t>
        </is>
      </c>
      <c r="I1013" s="4" t="n"/>
      <c r="J1013" s="4" t="n"/>
      <c r="K1013" s="4" t="n">
        <v>-125</v>
      </c>
      <c r="L1013" s="4" t="n">
        <v>-125</v>
      </c>
      <c r="M1013" s="5" t="n">
        <v>5.5</v>
      </c>
      <c r="N1013" s="5" t="n">
        <v>5.0225050497348</v>
      </c>
      <c r="O1013" s="5" t="n">
        <v>5.5</v>
      </c>
      <c r="P1013" s="5" t="n">
        <v>0.4774949502651999</v>
      </c>
      <c r="Q1013" s="6" t="n">
        <v>0.1016212750398752</v>
      </c>
      <c r="R1013" s="6" t="n">
        <v>0.6120118194665973</v>
      </c>
      <c r="S1013" s="6" t="n">
        <v>0.5324675324675325</v>
      </c>
      <c r="T1013" s="2" t="inlineStr">
        <is>
          <t>Under</t>
        </is>
      </c>
      <c r="U1013" s="4" t="n">
        <v>-125</v>
      </c>
      <c r="V1013" s="2" t="n">
        <v>1.8</v>
      </c>
      <c r="W1013" s="4" t="n">
        <v>-125</v>
      </c>
      <c r="X1013" s="2" t="n">
        <v>1</v>
      </c>
      <c r="Y1013" s="5" t="n">
        <v>-1</v>
      </c>
      <c r="Z1013" s="7" t="n">
        <v>100</v>
      </c>
      <c r="AA1013" s="7">
        <f>Y1013*Z1013</f>
        <v/>
      </c>
      <c r="AB1013" s="6">
        <f>IF(Z1013=0,0,AA1013/Z1013)</f>
        <v/>
      </c>
      <c r="AC1013" s="6" t="n"/>
      <c r="AD1013" s="2" t="inlineStr">
        <is>
          <t>Loss</t>
        </is>
      </c>
      <c r="AE1013" s="6">
        <f>IF((COUNTIF($AD$2:AD1013,"Win")+COUNTIF($AD$2:AD1013,"Loss"))=0,0,COUNTIF($AD$2:AD1013,"Win")/(COUNTIF($AD$2:AD1013,"Win")+COUNTIF($AD$2:AD1013,"Loss")))</f>
        <v/>
      </c>
      <c r="AF1013" s="6">
        <f>SUM($Y$2:Y1013)/SUM($X$2:X1013)</f>
        <v/>
      </c>
      <c r="AG1013" s="5">
        <f>SUM($Y$2:Y1013)</f>
        <v/>
      </c>
      <c r="AH1013" s="7">
        <f>10000.0+SUM($AA$2:AA1013)</f>
        <v/>
      </c>
      <c r="AI1013" s="2" t="n">
        <v>2026</v>
      </c>
      <c r="AJ1013" s="2" t="inlineStr">
        <is>
          <t>2026-06</t>
        </is>
      </c>
      <c r="AK1013" s="2" t="inlineStr">
        <is>
          <t>-149 to -120</t>
        </is>
      </c>
      <c r="AL1013" s="2" t="inlineStr">
        <is>
          <t>2026 Frozen Test</t>
        </is>
      </c>
      <c r="AM1013" s="6" t="n">
        <v>0.127026593799844</v>
      </c>
    </row>
    <row r="1014">
      <c r="A1014" s="2" t="inlineStr">
        <is>
          <t>KPROP-01013</t>
        </is>
      </c>
      <c r="B1014" s="3" t="n">
        <v>46191.79555555555</v>
      </c>
      <c r="C1014" s="3" t="n">
        <v>46191</v>
      </c>
      <c r="D1014" s="2" t="inlineStr">
        <is>
          <t>Ryan Weathers</t>
        </is>
      </c>
      <c r="E1014" s="2" t="n">
        <v>147</v>
      </c>
      <c r="F1014" s="2" t="n">
        <v>145</v>
      </c>
      <c r="G1014" s="2" t="inlineStr">
        <is>
          <t>Home</t>
        </is>
      </c>
      <c r="H1014" s="2" t="inlineStr">
        <is>
          <t>fanduel</t>
        </is>
      </c>
      <c r="I1014" s="4" t="n"/>
      <c r="J1014" s="4" t="n"/>
      <c r="K1014" s="4" t="n">
        <v>100</v>
      </c>
      <c r="L1014" s="4" t="n">
        <v>100</v>
      </c>
      <c r="M1014" s="5" t="n">
        <v>5.5</v>
      </c>
      <c r="N1014" s="5" t="n">
        <v>5.059370020676995</v>
      </c>
      <c r="O1014" s="5" t="n">
        <v>5.5</v>
      </c>
      <c r="P1014" s="5" t="n">
        <v>0.4406299793230053</v>
      </c>
      <c r="Q1014" s="6" t="n">
        <v>0.2110887402107377</v>
      </c>
      <c r="R1014" s="6" t="n">
        <v>0.6055443701053689</v>
      </c>
      <c r="S1014" s="6" t="n">
        <v>0.4801762114537445</v>
      </c>
      <c r="T1014" s="2" t="inlineStr">
        <is>
          <t>Under</t>
        </is>
      </c>
      <c r="U1014" s="4" t="n">
        <v>100</v>
      </c>
      <c r="V1014" s="2" t="n">
        <v>2</v>
      </c>
      <c r="W1014" s="4" t="n">
        <v>100</v>
      </c>
      <c r="X1014" s="2" t="n">
        <v>1</v>
      </c>
      <c r="Y1014" s="5" t="n">
        <v>-1</v>
      </c>
      <c r="Z1014" s="7" t="n">
        <v>100</v>
      </c>
      <c r="AA1014" s="7">
        <f>Y1014*Z1014</f>
        <v/>
      </c>
      <c r="AB1014" s="6">
        <f>IF(Z1014=0,0,AA1014/Z1014)</f>
        <v/>
      </c>
      <c r="AC1014" s="6" t="n"/>
      <c r="AD1014" s="2" t="inlineStr">
        <is>
          <t>Loss</t>
        </is>
      </c>
      <c r="AE1014" s="6">
        <f>IF((COUNTIF($AD$2:AD1014,"Win")+COUNTIF($AD$2:AD1014,"Loss"))=0,0,COUNTIF($AD$2:AD1014,"Win")/(COUNTIF($AD$2:AD1014,"Win")+COUNTIF($AD$2:AD1014,"Loss")))</f>
        <v/>
      </c>
      <c r="AF1014" s="6">
        <f>SUM($Y$2:Y1014)/SUM($X$2:X1014)</f>
        <v/>
      </c>
      <c r="AG1014" s="5">
        <f>SUM($Y$2:Y1014)</f>
        <v/>
      </c>
      <c r="AH1014" s="7">
        <f>10000.0+SUM($AA$2:AA1014)</f>
        <v/>
      </c>
      <c r="AI1014" s="2" t="n">
        <v>2026</v>
      </c>
      <c r="AJ1014" s="2" t="inlineStr">
        <is>
          <t>2026-06</t>
        </is>
      </c>
      <c r="AK1014" s="2" t="inlineStr">
        <is>
          <t>+100 to +120</t>
        </is>
      </c>
      <c r="AL1014" s="2" t="inlineStr">
        <is>
          <t>2026 Frozen Test</t>
        </is>
      </c>
      <c r="AM1014" s="6" t="n">
        <v>0.2110887402107378</v>
      </c>
    </row>
    <row r="1015">
      <c r="A1015" s="2" t="inlineStr">
        <is>
          <t>KPROP-01014</t>
        </is>
      </c>
      <c r="B1015" s="3" t="n">
        <v>46191.79555555555</v>
      </c>
      <c r="C1015" s="3" t="n">
        <v>46191</v>
      </c>
      <c r="D1015" s="2" t="inlineStr">
        <is>
          <t>Ryan Weathers</t>
        </is>
      </c>
      <c r="E1015" s="2" t="n">
        <v>147</v>
      </c>
      <c r="F1015" s="2" t="n">
        <v>145</v>
      </c>
      <c r="G1015" s="2" t="inlineStr">
        <is>
          <t>Home</t>
        </is>
      </c>
      <c r="H1015" s="2" t="inlineStr">
        <is>
          <t>betmgm</t>
        </is>
      </c>
      <c r="I1015" s="4" t="n"/>
      <c r="J1015" s="4" t="n"/>
      <c r="K1015" s="4" t="n">
        <v>-150</v>
      </c>
      <c r="L1015" s="4" t="n">
        <v>-150</v>
      </c>
      <c r="M1015" s="5" t="n">
        <v>6.5</v>
      </c>
      <c r="N1015" s="5" t="n">
        <v>5.059370020676995</v>
      </c>
      <c r="O1015" s="5" t="n">
        <v>6.5</v>
      </c>
      <c r="P1015" s="5" t="n">
        <v>1.440629979323005</v>
      </c>
      <c r="Q1015" s="6" t="n">
        <v>0.2557528235320616</v>
      </c>
      <c r="R1015" s="6" t="n">
        <v>0.7534516941192371</v>
      </c>
      <c r="S1015" s="6" t="n">
        <v>0.5575221238938053</v>
      </c>
      <c r="T1015" s="2" t="inlineStr">
        <is>
          <t>Under</t>
        </is>
      </c>
      <c r="U1015" s="4" t="n">
        <v>-150</v>
      </c>
      <c r="V1015" s="2" t="n">
        <v>1.666666666666667</v>
      </c>
      <c r="W1015" s="4" t="n">
        <v>-150</v>
      </c>
      <c r="X1015" s="2" t="n">
        <v>1</v>
      </c>
      <c r="Y1015" s="5" t="n">
        <v>-1</v>
      </c>
      <c r="Z1015" s="7" t="n">
        <v>100</v>
      </c>
      <c r="AA1015" s="7">
        <f>Y1015*Z1015</f>
        <v/>
      </c>
      <c r="AB1015" s="6">
        <f>IF(Z1015=0,0,AA1015/Z1015)</f>
        <v/>
      </c>
      <c r="AC1015" s="6" t="n"/>
      <c r="AD1015" s="2" t="inlineStr">
        <is>
          <t>Loss</t>
        </is>
      </c>
      <c r="AE1015" s="6">
        <f>IF((COUNTIF($AD$2:AD1015,"Win")+COUNTIF($AD$2:AD1015,"Loss"))=0,0,COUNTIF($AD$2:AD1015,"Win")/(COUNTIF($AD$2:AD1015,"Win")+COUNTIF($AD$2:AD1015,"Loss")))</f>
        <v/>
      </c>
      <c r="AF1015" s="6">
        <f>SUM($Y$2:Y1015)/SUM($X$2:X1015)</f>
        <v/>
      </c>
      <c r="AG1015" s="5">
        <f>SUM($Y$2:Y1015)</f>
        <v/>
      </c>
      <c r="AH1015" s="7">
        <f>10000.0+SUM($AA$2:AA1015)</f>
        <v/>
      </c>
      <c r="AI1015" s="2" t="n">
        <v>2026</v>
      </c>
      <c r="AJ1015" s="2" t="inlineStr">
        <is>
          <t>2026-06</t>
        </is>
      </c>
      <c r="AK1015" s="2" t="inlineStr">
        <is>
          <t>&lt;= -150</t>
        </is>
      </c>
      <c r="AL1015" s="2" t="inlineStr">
        <is>
          <t>2026 Frozen Test</t>
        </is>
      </c>
      <c r="AM1015" s="6" t="n">
        <v>0.3836292352980926</v>
      </c>
    </row>
    <row r="1016">
      <c r="A1016" s="2" t="inlineStr">
        <is>
          <t>KPROP-01015</t>
        </is>
      </c>
      <c r="B1016" s="3" t="n">
        <v>46191.77819444444</v>
      </c>
      <c r="C1016" s="3" t="n">
        <v>46191</v>
      </c>
      <c r="D1016" s="2" t="inlineStr">
        <is>
          <t>Sean Manaea</t>
        </is>
      </c>
      <c r="E1016" s="2" t="n">
        <v>121</v>
      </c>
      <c r="F1016" s="2" t="n">
        <v>143</v>
      </c>
      <c r="G1016" s="2" t="inlineStr">
        <is>
          <t>Away</t>
        </is>
      </c>
      <c r="H1016" s="2" t="inlineStr">
        <is>
          <t>draftkings</t>
        </is>
      </c>
      <c r="I1016" s="4" t="n"/>
      <c r="J1016" s="4" t="n"/>
      <c r="K1016" s="4" t="n">
        <v>-149</v>
      </c>
      <c r="L1016" s="4" t="n">
        <v>-149</v>
      </c>
      <c r="M1016" s="5" t="n">
        <v>5.5</v>
      </c>
      <c r="N1016" s="5" t="n">
        <v>4.666216008984307</v>
      </c>
      <c r="O1016" s="5" t="n">
        <v>5.5</v>
      </c>
      <c r="P1016" s="5" t="n">
        <v>0.833783991015693</v>
      </c>
      <c r="Q1016" s="6" t="n">
        <v>0.1268579651883596</v>
      </c>
      <c r="R1016" s="6" t="n">
        <v>0.6743045655143196</v>
      </c>
      <c r="S1016" s="6" t="n">
        <v>0.5683079056865465</v>
      </c>
      <c r="T1016" s="2" t="inlineStr">
        <is>
          <t>Under</t>
        </is>
      </c>
      <c r="U1016" s="4" t="n">
        <v>-149</v>
      </c>
      <c r="V1016" s="2" t="n">
        <v>1.671140939597315</v>
      </c>
      <c r="W1016" s="4" t="n">
        <v>-149</v>
      </c>
      <c r="X1016" s="2" t="n">
        <v>1</v>
      </c>
      <c r="Y1016" s="5" t="n">
        <v>0.6711409395973154</v>
      </c>
      <c r="Z1016" s="7" t="n">
        <v>100</v>
      </c>
      <c r="AA1016" s="7">
        <f>Y1016*Z1016</f>
        <v/>
      </c>
      <c r="AB1016" s="6">
        <f>IF(Z1016=0,0,AA1016/Z1016)</f>
        <v/>
      </c>
      <c r="AC1016" s="6" t="n"/>
      <c r="AD1016" s="2" t="inlineStr">
        <is>
          <t>Win</t>
        </is>
      </c>
      <c r="AE1016" s="6">
        <f>IF((COUNTIF($AD$2:AD1016,"Win")+COUNTIF($AD$2:AD1016,"Loss"))=0,0,COUNTIF($AD$2:AD1016,"Win")/(COUNTIF($AD$2:AD1016,"Win")+COUNTIF($AD$2:AD1016,"Loss")))</f>
        <v/>
      </c>
      <c r="AF1016" s="6">
        <f>SUM($Y$2:Y1016)/SUM($X$2:X1016)</f>
        <v/>
      </c>
      <c r="AG1016" s="5">
        <f>SUM($Y$2:Y1016)</f>
        <v/>
      </c>
      <c r="AH1016" s="7">
        <f>10000.0+SUM($AA$2:AA1016)</f>
        <v/>
      </c>
      <c r="AI1016" s="2" t="n">
        <v>2026</v>
      </c>
      <c r="AJ1016" s="2" t="inlineStr">
        <is>
          <t>2026-06</t>
        </is>
      </c>
      <c r="AK1016" s="2" t="inlineStr">
        <is>
          <t>-149 to -120</t>
        </is>
      </c>
      <c r="AL1016" s="2" t="inlineStr">
        <is>
          <t>2026 Frozen Test</t>
        </is>
      </c>
      <c r="AM1016" s="6" t="n">
        <v>0.1890183681306558</v>
      </c>
    </row>
  </sheetData>
  <conditionalFormatting sqref="AD2:AD1016">
    <cfRule type="cellIs" priority="1" operator="equal" dxfId="0">
      <formula>"Win"</formula>
    </cfRule>
    <cfRule type="cellIs" priority="2" operator="equal" dxfId="1">
      <formula>"Loss"</formula>
    </cfRule>
    <cfRule type="cellIs" priority="3" operator="equal" dxfId="2">
      <formula>"Push"</formula>
    </cfRule>
  </conditionalFormatting>
  <conditionalFormatting sqref="AB2:AB1016">
    <cfRule type="colorScale" priority="4">
      <colorScale>
        <cfvo type="min"/>
        <cfvo type="num" val="0"/>
        <cfvo type="max"/>
        <color rgb="00FFC7CE"/>
        <color rgb="00FFFFFF"/>
        <color rgb="00C6EFCE"/>
      </colorScale>
    </cfRule>
  </conditionalFormatting>
  <conditionalFormatting sqref="AC2:AC101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A2:AA1016">
    <cfRule type="expression" priority="7" dxfId="0">
      <formula>AA2&gt;=LARGE($AA$2:$AA$1016,10)</formula>
    </cfRule>
    <cfRule type="expression" priority="8" dxfId="1">
      <formula>AA2&lt;=SMALL($AA$2:$AA$1016,10)</formula>
    </cfRule>
  </conditionalFormatting>
  <conditionalFormatting sqref="AH2:AH1016">
    <cfRule type="colorScale" priority="9">
      <colorScale>
        <cfvo type="min"/>
        <cfvo type="percentile" val="50"/>
        <cfvo type="max"/>
        <color rgb="00F4B183"/>
        <color rgb="00FFFFFF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8" t="inlineStr">
        <is>
          <t>MLB Pitcher Strikeout Model Ledger Dashboard</t>
        </is>
      </c>
    </row>
    <row r="2">
      <c r="A2" s="9" t="inlineStr">
        <is>
          <t>Model: poisson_top120_a2 | Rule: under only, devig edge &gt;= 7% | Flat ledger stake: $100</t>
        </is>
      </c>
    </row>
    <row r="3"/>
    <row r="4">
      <c r="A4" s="10" t="inlineStr">
        <is>
          <t>Total Bets</t>
        </is>
      </c>
      <c r="B4" s="11" t="n"/>
      <c r="D4" s="10" t="inlineStr">
        <is>
          <t>Win Rate</t>
        </is>
      </c>
      <c r="E4" s="11" t="n"/>
      <c r="G4" s="10" t="inlineStr">
        <is>
          <t>ROI</t>
        </is>
      </c>
      <c r="H4" s="11" t="n"/>
      <c r="J4" s="10" t="inlineStr">
        <is>
          <t>Units</t>
        </is>
      </c>
      <c r="K4" s="11" t="n"/>
    </row>
    <row r="5">
      <c r="A5" s="12" t="n">
        <v>1015</v>
      </c>
      <c r="B5" s="11" t="n"/>
      <c r="D5" s="13" t="n">
        <v>0.5615763546798029</v>
      </c>
      <c r="E5" s="11" t="n"/>
      <c r="G5" s="13" t="n">
        <v>0.093222417259838</v>
      </c>
      <c r="H5" s="11" t="n"/>
      <c r="J5" s="14" t="n">
        <v>94.62075351873557</v>
      </c>
      <c r="K5" s="11" t="n"/>
    </row>
    <row r="6"/>
    <row r="7">
      <c r="A7" s="10" t="inlineStr">
        <is>
          <t>Profit</t>
        </is>
      </c>
      <c r="B7" s="11" t="n"/>
      <c r="D7" s="10" t="inlineStr">
        <is>
          <t>Average Odds</t>
        </is>
      </c>
      <c r="E7" s="11" t="n"/>
      <c r="G7" s="10" t="inlineStr">
        <is>
          <t>Average CLV</t>
        </is>
      </c>
      <c r="H7" s="11" t="n"/>
      <c r="J7" s="10" t="inlineStr">
        <is>
          <t>Average Stake</t>
        </is>
      </c>
      <c r="K7" s="11" t="n"/>
    </row>
    <row r="8">
      <c r="A8" s="15" t="n">
        <v>9462.075351873556</v>
      </c>
      <c r="B8" s="11" t="n"/>
      <c r="D8" s="12" t="n">
        <v>-6.8</v>
      </c>
      <c r="E8" s="11" t="n"/>
      <c r="G8" s="13" t="n"/>
      <c r="H8" s="11" t="n"/>
      <c r="J8" s="15" t="n">
        <v>100</v>
      </c>
      <c r="K8" s="11" t="n"/>
    </row>
    <row r="9"/>
    <row r="10">
      <c r="A10" s="10" t="inlineStr">
        <is>
          <t>Max Drawdown</t>
        </is>
      </c>
      <c r="B10" s="11" t="n"/>
      <c r="D10" s="10" t="inlineStr">
        <is>
          <t>Final Bankroll</t>
        </is>
      </c>
      <c r="E10" s="11" t="n"/>
      <c r="G10" s="10" t="inlineStr">
        <is>
          <t>Biggest Winning Streak</t>
        </is>
      </c>
      <c r="H10" s="11" t="n"/>
      <c r="J10" s="10" t="inlineStr">
        <is>
          <t>Biggest Losing Streak</t>
        </is>
      </c>
      <c r="K10" s="11" t="n"/>
    </row>
    <row r="11">
      <c r="A11" s="15" t="n">
        <v>-2351.865825164179</v>
      </c>
      <c r="B11" s="11" t="n"/>
      <c r="D11" s="15" t="n">
        <v>19462.07535187355</v>
      </c>
      <c r="E11" s="11" t="n"/>
      <c r="G11" s="12" t="n">
        <v>10</v>
      </c>
      <c r="H11" s="11" t="n"/>
      <c r="J11" s="12" t="n">
        <v>8</v>
      </c>
      <c r="K11" s="11" t="n"/>
    </row>
    <row r="12"/>
    <row r="13">
      <c r="A13" s="10" t="inlineStr">
        <is>
          <t>Average Margin</t>
        </is>
      </c>
      <c r="B13" s="11" t="n"/>
      <c r="D13" s="10" t="inlineStr">
        <is>
          <t>Average Devig Edge</t>
        </is>
      </c>
      <c r="E13" s="11" t="n"/>
    </row>
    <row r="14">
      <c r="A14" s="14" t="n">
        <v>0.4521452162160917</v>
      </c>
      <c r="B14" s="11" t="n"/>
      <c r="D14" s="13" t="n">
        <v>0.1775233748566025</v>
      </c>
      <c r="E14" s="11" t="n"/>
    </row>
    <row r="15"/>
    <row r="16"/>
    <row r="17"/>
    <row r="18">
      <c r="A18" s="1" t="inlineStr">
        <is>
          <t>Bet #</t>
        </is>
      </c>
      <c r="B18" s="1" t="inlineStr">
        <is>
          <t>Running Bankroll</t>
        </is>
      </c>
      <c r="C18" s="1" t="inlineStr">
        <is>
          <t>Running Units</t>
        </is>
      </c>
      <c r="D18" s="1" t="inlineStr">
        <is>
          <t>Cumulative Profit</t>
        </is>
      </c>
      <c r="E18" s="1" t="inlineStr">
        <is>
          <t>Drawdown</t>
        </is>
      </c>
      <c r="F18" s="1" t="inlineStr">
        <is>
          <t>Rolling ROI (25)</t>
        </is>
      </c>
      <c r="G18" s="1" t="inlineStr">
        <is>
          <t>Rolling Win Rate (25)</t>
        </is>
      </c>
      <c r="J18" s="1" t="inlineStr">
        <is>
          <t>Month</t>
        </is>
      </c>
      <c r="K18" s="1" t="inlineStr">
        <is>
          <t>ROI</t>
        </is>
      </c>
      <c r="L18" s="1" t="inlineStr">
        <is>
          <t>Win Rate</t>
        </is>
      </c>
      <c r="M18" s="1" t="inlineStr">
        <is>
          <t>Bets</t>
        </is>
      </c>
    </row>
    <row r="19">
      <c r="A19" s="2" t="n">
        <v>1</v>
      </c>
      <c r="B19" s="2" t="n">
        <v>10100</v>
      </c>
      <c r="C19" s="2" t="n">
        <v>1</v>
      </c>
      <c r="D19" s="2" t="n">
        <v>100</v>
      </c>
      <c r="E19" s="2" t="n">
        <v>0</v>
      </c>
      <c r="F19" s="2" t="n"/>
      <c r="G19" s="2" t="n"/>
      <c r="J19" s="2" t="inlineStr">
        <is>
          <t>2025-07</t>
        </is>
      </c>
      <c r="K19" s="2" t="n">
        <v>0.03909682482601738</v>
      </c>
      <c r="L19" s="2" t="n">
        <v>0.5213675213675214</v>
      </c>
      <c r="M19" s="2" t="n">
        <v>117</v>
      </c>
    </row>
    <row r="20">
      <c r="A20" s="2" t="n">
        <v>2</v>
      </c>
      <c r="B20" s="2" t="n">
        <v>10176.92307692308</v>
      </c>
      <c r="C20" s="2" t="n">
        <v>1.769230769230769</v>
      </c>
      <c r="D20" s="2" t="n">
        <v>176.9230769230769</v>
      </c>
      <c r="E20" s="2" t="n">
        <v>0</v>
      </c>
      <c r="F20" s="2" t="n"/>
      <c r="G20" s="2" t="n"/>
      <c r="J20" s="2" t="inlineStr">
        <is>
          <t>2025-08</t>
        </is>
      </c>
      <c r="K20" s="2" t="n">
        <v>-0.009490164539247134</v>
      </c>
      <c r="L20" s="2" t="n">
        <v>0.5141242937853108</v>
      </c>
      <c r="M20" s="2" t="n">
        <v>177</v>
      </c>
    </row>
    <row r="21">
      <c r="A21" s="2" t="n">
        <v>3</v>
      </c>
      <c r="B21" s="2" t="n">
        <v>10266.20879120879</v>
      </c>
      <c r="C21" s="2" t="n">
        <v>2.662087912087912</v>
      </c>
      <c r="D21" s="2" t="n">
        <v>266.2087912087912</v>
      </c>
      <c r="E21" s="2" t="n">
        <v>0</v>
      </c>
      <c r="F21" s="2" t="n"/>
      <c r="G21" s="2" t="n"/>
      <c r="J21" s="2" t="inlineStr">
        <is>
          <t>2025-09</t>
        </is>
      </c>
      <c r="K21" s="2" t="n">
        <v>0.2492562802967738</v>
      </c>
      <c r="L21" s="2" t="n">
        <v>0.6481481481481481</v>
      </c>
      <c r="M21" s="2" t="n">
        <v>108</v>
      </c>
    </row>
    <row r="22">
      <c r="A22" s="2" t="n">
        <v>4</v>
      </c>
      <c r="B22" s="2" t="n">
        <v>10166.20879120879</v>
      </c>
      <c r="C22" s="2" t="n">
        <v>1.662087912087912</v>
      </c>
      <c r="D22" s="2" t="n">
        <v>166.2087912087912</v>
      </c>
      <c r="E22" s="2" t="n">
        <v>-100</v>
      </c>
      <c r="F22" s="2" t="n"/>
      <c r="G22" s="2" t="n"/>
      <c r="J22" s="2" t="inlineStr">
        <is>
          <t>2026-03</t>
        </is>
      </c>
      <c r="K22" s="2" t="n">
        <v>0.221366053222939</v>
      </c>
      <c r="L22" s="2" t="n">
        <v>0.6129032258064516</v>
      </c>
      <c r="M22" s="2" t="n">
        <v>31</v>
      </c>
    </row>
    <row r="23">
      <c r="A23" s="2" t="n">
        <v>5</v>
      </c>
      <c r="B23" s="2" t="n">
        <v>10256.29888129888</v>
      </c>
      <c r="C23" s="2" t="n">
        <v>2.562988812988813</v>
      </c>
      <c r="D23" s="2" t="n">
        <v>256.2988812988813</v>
      </c>
      <c r="E23" s="2" t="n">
        <v>-9.909909909911221</v>
      </c>
      <c r="F23" s="2" t="n"/>
      <c r="G23" s="2" t="n"/>
      <c r="J23" s="2" t="inlineStr">
        <is>
          <t>2026-04</t>
        </is>
      </c>
      <c r="K23" s="2" t="n">
        <v>0.1807191083178425</v>
      </c>
      <c r="L23" s="2" t="n">
        <v>0.5985401459854015</v>
      </c>
      <c r="M23" s="2" t="n">
        <v>274</v>
      </c>
    </row>
    <row r="24">
      <c r="A24" s="2" t="n">
        <v>6</v>
      </c>
      <c r="B24" s="2" t="n">
        <v>10156.29888129888</v>
      </c>
      <c r="C24" s="2" t="n">
        <v>1.562988812988813</v>
      </c>
      <c r="D24" s="2" t="n">
        <v>156.2988812988813</v>
      </c>
      <c r="E24" s="2" t="n">
        <v>-109.9099099099112</v>
      </c>
      <c r="F24" s="2" t="n"/>
      <c r="G24" s="2" t="n"/>
      <c r="J24" s="2" t="inlineStr">
        <is>
          <t>2026-05</t>
        </is>
      </c>
      <c r="K24" s="2" t="n">
        <v>0.06129080923375371</v>
      </c>
      <c r="L24" s="2" t="n">
        <v>0.5459459459459459</v>
      </c>
      <c r="M24" s="2" t="n">
        <v>185</v>
      </c>
    </row>
    <row r="25">
      <c r="A25" s="2" t="n">
        <v>7</v>
      </c>
      <c r="B25" s="2" t="n">
        <v>10056.29888129888</v>
      </c>
      <c r="C25" s="2" t="n">
        <v>0.562988812988813</v>
      </c>
      <c r="D25" s="2" t="n">
        <v>56.29888129888127</v>
      </c>
      <c r="E25" s="2" t="n">
        <v>-209.9099099099112</v>
      </c>
      <c r="F25" s="2" t="n"/>
      <c r="G25" s="2" t="n"/>
      <c r="J25" s="2" t="inlineStr">
        <is>
          <t>2026-06</t>
        </is>
      </c>
      <c r="K25" s="2" t="n">
        <v>-0.02367217212811116</v>
      </c>
      <c r="L25" s="2" t="n">
        <v>0.5203252032520326</v>
      </c>
      <c r="M25" s="2" t="n">
        <v>123</v>
      </c>
    </row>
    <row r="26">
      <c r="A26" s="2" t="n">
        <v>8</v>
      </c>
      <c r="B26" s="2" t="n">
        <v>10172.29888129888</v>
      </c>
      <c r="C26" s="2" t="n">
        <v>1.722988812988813</v>
      </c>
      <c r="D26" s="2" t="n">
        <v>172.2988812988813</v>
      </c>
      <c r="E26" s="2" t="n">
        <v>-93.90990990991122</v>
      </c>
      <c r="F26" s="2" t="n"/>
      <c r="G26" s="2" t="n"/>
    </row>
    <row r="27">
      <c r="A27" s="2" t="n">
        <v>9</v>
      </c>
      <c r="B27" s="2" t="n">
        <v>10072.29888129888</v>
      </c>
      <c r="C27" s="2" t="n">
        <v>0.7229888129888131</v>
      </c>
      <c r="D27" s="2" t="n">
        <v>72.29888129888127</v>
      </c>
      <c r="E27" s="2" t="n">
        <v>-193.9099099099112</v>
      </c>
      <c r="F27" s="2" t="n"/>
      <c r="G27" s="2" t="n"/>
    </row>
    <row r="28">
      <c r="A28" s="2" t="n">
        <v>10</v>
      </c>
      <c r="B28" s="2" t="n">
        <v>9972.298881298881</v>
      </c>
      <c r="C28" s="2" t="n">
        <v>-0.2770111870111869</v>
      </c>
      <c r="D28" s="2" t="n">
        <v>-27.70111870111873</v>
      </c>
      <c r="E28" s="2" t="n">
        <v>-293.9099099099112</v>
      </c>
      <c r="F28" s="2" t="n"/>
      <c r="G28" s="2" t="n"/>
    </row>
    <row r="29">
      <c r="A29" s="2" t="n">
        <v>11</v>
      </c>
      <c r="B29" s="2" t="n">
        <v>9872.298881298881</v>
      </c>
      <c r="C29" s="2" t="n">
        <v>-1.277011187011187</v>
      </c>
      <c r="D29" s="2" t="n">
        <v>-127.7011187011187</v>
      </c>
      <c r="E29" s="2" t="n">
        <v>-393.9099099099112</v>
      </c>
      <c r="F29" s="2" t="n"/>
      <c r="G29" s="2" t="n"/>
    </row>
    <row r="30">
      <c r="A30" s="2" t="n">
        <v>12</v>
      </c>
      <c r="B30" s="2" t="n">
        <v>9772.298881298881</v>
      </c>
      <c r="C30" s="2" t="n">
        <v>-2.277011187011187</v>
      </c>
      <c r="D30" s="2" t="n">
        <v>-227.7011187011187</v>
      </c>
      <c r="E30" s="2" t="n">
        <v>-493.9099099099112</v>
      </c>
      <c r="F30" s="2" t="n"/>
      <c r="G30" s="2" t="n"/>
    </row>
    <row r="31">
      <c r="A31" s="2" t="n">
        <v>13</v>
      </c>
      <c r="B31" s="2" t="n">
        <v>9902.298881298881</v>
      </c>
      <c r="C31" s="2" t="n">
        <v>-0.9770111870111871</v>
      </c>
      <c r="D31" s="2" t="n">
        <v>-97.70111870111876</v>
      </c>
      <c r="E31" s="2" t="n">
        <v>-363.9099099099112</v>
      </c>
      <c r="F31" s="2" t="n"/>
      <c r="G31" s="2" t="n"/>
    </row>
    <row r="32">
      <c r="A32" s="2" t="n">
        <v>14</v>
      </c>
      <c r="B32" s="2" t="n">
        <v>10022.29888129888</v>
      </c>
      <c r="C32" s="2" t="n">
        <v>0.2229888129888131</v>
      </c>
      <c r="D32" s="2" t="n">
        <v>22.29888129888126</v>
      </c>
      <c r="E32" s="2" t="n">
        <v>-243.9099099099112</v>
      </c>
      <c r="F32" s="2" t="n"/>
      <c r="G32" s="2" t="n"/>
    </row>
    <row r="33">
      <c r="A33" s="2" t="n">
        <v>15</v>
      </c>
      <c r="B33" s="2" t="n">
        <v>9922.298881298881</v>
      </c>
      <c r="C33" s="2" t="n">
        <v>-0.7770111870111869</v>
      </c>
      <c r="D33" s="2" t="n">
        <v>-77.70111870111874</v>
      </c>
      <c r="E33" s="2" t="n">
        <v>-343.9099099099112</v>
      </c>
      <c r="F33" s="2" t="n"/>
      <c r="G33" s="2" t="n"/>
    </row>
    <row r="34">
      <c r="A34" s="2" t="n">
        <v>16</v>
      </c>
      <c r="B34" s="2" t="n">
        <v>9822.298881298881</v>
      </c>
      <c r="C34" s="2" t="n">
        <v>-1.777011187011187</v>
      </c>
      <c r="D34" s="2" t="n">
        <v>-177.7011187011187</v>
      </c>
      <c r="E34" s="2" t="n">
        <v>-443.9099099099112</v>
      </c>
      <c r="F34" s="2" t="n"/>
      <c r="G34" s="2" t="n"/>
    </row>
    <row r="35">
      <c r="A35" s="2" t="n">
        <v>17</v>
      </c>
      <c r="B35" s="2" t="n">
        <v>9722.298881298881</v>
      </c>
      <c r="C35" s="2" t="n">
        <v>-2.777011187011187</v>
      </c>
      <c r="D35" s="2" t="n">
        <v>-277.7011187011187</v>
      </c>
      <c r="E35" s="2" t="n">
        <v>-543.9099099099112</v>
      </c>
      <c r="F35" s="2" t="n"/>
      <c r="G35" s="2" t="n"/>
    </row>
    <row r="36">
      <c r="A36" s="2" t="n">
        <v>18</v>
      </c>
      <c r="B36" s="2" t="n">
        <v>9622.298881298881</v>
      </c>
      <c r="C36" s="2" t="n">
        <v>-3.777011187011187</v>
      </c>
      <c r="D36" s="2" t="n">
        <v>-377.7011187011187</v>
      </c>
      <c r="E36" s="2" t="n">
        <v>-643.9099099099112</v>
      </c>
      <c r="F36" s="2" t="n"/>
      <c r="G36" s="2" t="n"/>
    </row>
    <row r="37">
      <c r="A37" s="2" t="n">
        <v>19</v>
      </c>
      <c r="B37" s="2" t="n">
        <v>9522.298881298881</v>
      </c>
      <c r="C37" s="2" t="n">
        <v>-4.777011187011187</v>
      </c>
      <c r="D37" s="2" t="n">
        <v>-477.7011187011187</v>
      </c>
      <c r="E37" s="2" t="n">
        <v>-743.9099099099112</v>
      </c>
      <c r="F37" s="2" t="n"/>
      <c r="G37" s="2" t="n"/>
    </row>
    <row r="38">
      <c r="A38" s="2" t="n">
        <v>20</v>
      </c>
      <c r="B38" s="2" t="n">
        <v>9642.298881298881</v>
      </c>
      <c r="C38" s="2" t="n">
        <v>-3.577011187011187</v>
      </c>
      <c r="D38" s="2" t="n">
        <v>-357.7011187011187</v>
      </c>
      <c r="E38" s="2" t="n">
        <v>-623.9099099099112</v>
      </c>
      <c r="F38" s="2" t="n"/>
      <c r="G38" s="2" t="n"/>
    </row>
    <row r="39">
      <c r="A39" s="2" t="n">
        <v>21</v>
      </c>
      <c r="B39" s="2" t="n">
        <v>9542.298881298881</v>
      </c>
      <c r="C39" s="2" t="n">
        <v>-4.577011187011187</v>
      </c>
      <c r="D39" s="2" t="n">
        <v>-457.7011187011187</v>
      </c>
      <c r="E39" s="2" t="n">
        <v>-723.9099099099112</v>
      </c>
      <c r="F39" s="2" t="n"/>
      <c r="G39" s="2" t="n"/>
    </row>
    <row r="40">
      <c r="A40" s="2" t="n">
        <v>22</v>
      </c>
      <c r="B40" s="2" t="n">
        <v>9442.298881298881</v>
      </c>
      <c r="C40" s="2" t="n">
        <v>-5.577011187011187</v>
      </c>
      <c r="D40" s="2" t="n">
        <v>-557.7011187011187</v>
      </c>
      <c r="E40" s="2" t="n">
        <v>-823.9099099099112</v>
      </c>
      <c r="F40" s="2" t="n"/>
      <c r="G40" s="2" t="n"/>
    </row>
    <row r="41">
      <c r="A41" s="2" t="n">
        <v>23</v>
      </c>
      <c r="B41" s="2" t="n">
        <v>9342.298881298881</v>
      </c>
      <c r="C41" s="2" t="n">
        <v>-6.577011187011187</v>
      </c>
      <c r="D41" s="2" t="n">
        <v>-657.7011187011187</v>
      </c>
      <c r="E41" s="2" t="n">
        <v>-923.9099099099112</v>
      </c>
      <c r="F41" s="2" t="n"/>
      <c r="G41" s="2" t="n"/>
    </row>
    <row r="42">
      <c r="A42" s="2" t="n">
        <v>24</v>
      </c>
      <c r="B42" s="2" t="n">
        <v>9465.298881298881</v>
      </c>
      <c r="C42" s="2" t="n">
        <v>-5.347011187011187</v>
      </c>
      <c r="D42" s="2" t="n">
        <v>-534.7011187011187</v>
      </c>
      <c r="E42" s="2" t="n">
        <v>-800.9099099099112</v>
      </c>
      <c r="F42" s="2" t="n"/>
      <c r="G42" s="2" t="n"/>
    </row>
    <row r="43">
      <c r="A43" s="2" t="n">
        <v>25</v>
      </c>
      <c r="B43" s="2" t="n">
        <v>9528.590020539388</v>
      </c>
      <c r="C43" s="2" t="n">
        <v>-4.714099794606124</v>
      </c>
      <c r="D43" s="2" t="n">
        <v>-471.4099794606124</v>
      </c>
      <c r="E43" s="2" t="n">
        <v>-737.6187706694036</v>
      </c>
      <c r="F43" s="2" t="n">
        <v>-0.1885639917842449</v>
      </c>
      <c r="G43" s="2" t="n">
        <v>0.4</v>
      </c>
    </row>
    <row r="44">
      <c r="A44" s="2" t="n">
        <v>26</v>
      </c>
      <c r="B44" s="2" t="n">
        <v>9650.590020539388</v>
      </c>
      <c r="C44" s="2" t="n">
        <v>-3.494099794606124</v>
      </c>
      <c r="D44" s="2" t="n">
        <v>-349.4099794606125</v>
      </c>
      <c r="E44" s="2" t="n">
        <v>-615.6187706694036</v>
      </c>
      <c r="F44" s="2" t="n">
        <v>-0.1797639917842449</v>
      </c>
      <c r="G44" s="2" t="n">
        <v>0.4</v>
      </c>
    </row>
    <row r="45">
      <c r="A45" s="2" t="n">
        <v>27</v>
      </c>
      <c r="B45" s="2" t="n">
        <v>9704.644074593441</v>
      </c>
      <c r="C45" s="2" t="n">
        <v>-2.953559254065584</v>
      </c>
      <c r="D45" s="2" t="n">
        <v>-295.3559254065584</v>
      </c>
      <c r="E45" s="2" t="n">
        <v>-561.5647166153503</v>
      </c>
      <c r="F45" s="2" t="n">
        <v>-0.1889116009318541</v>
      </c>
      <c r="G45" s="2" t="n">
        <v>0.4</v>
      </c>
    </row>
    <row r="46">
      <c r="A46" s="2" t="n">
        <v>28</v>
      </c>
      <c r="B46" s="2" t="n">
        <v>9604.644074593441</v>
      </c>
      <c r="C46" s="2" t="n">
        <v>-3.953559254065584</v>
      </c>
      <c r="D46" s="2" t="n">
        <v>-395.3559254065584</v>
      </c>
      <c r="E46" s="2" t="n">
        <v>-661.5647166153503</v>
      </c>
      <c r="F46" s="2" t="n">
        <v>-0.2646258866461398</v>
      </c>
      <c r="G46" s="2" t="n">
        <v>0.36</v>
      </c>
    </row>
    <row r="47">
      <c r="A47" s="2" t="n">
        <v>29</v>
      </c>
      <c r="B47" s="2" t="n">
        <v>9719.644074593441</v>
      </c>
      <c r="C47" s="2" t="n">
        <v>-2.803559254065584</v>
      </c>
      <c r="D47" s="2" t="n">
        <v>-280.3559254065584</v>
      </c>
      <c r="E47" s="2" t="n">
        <v>-546.5647166153503</v>
      </c>
      <c r="F47" s="2" t="n">
        <v>-0.1786258866461398</v>
      </c>
      <c r="G47" s="2" t="n">
        <v>0.4</v>
      </c>
    </row>
    <row r="48">
      <c r="A48" s="2" t="n">
        <v>30</v>
      </c>
      <c r="B48" s="2" t="n">
        <v>9834.644074593441</v>
      </c>
      <c r="C48" s="2" t="n">
        <v>-1.653559254065584</v>
      </c>
      <c r="D48" s="2" t="n">
        <v>-165.3559254065584</v>
      </c>
      <c r="E48" s="2" t="n">
        <v>-431.5647166153503</v>
      </c>
      <c r="F48" s="2" t="n">
        <v>-0.1686619226821758</v>
      </c>
      <c r="G48" s="2" t="n">
        <v>0.4</v>
      </c>
    </row>
    <row r="49">
      <c r="A49" s="2" t="n">
        <v>31</v>
      </c>
      <c r="B49" s="2" t="n">
        <v>9928.983697234951</v>
      </c>
      <c r="C49" s="2" t="n">
        <v>-0.7101630276504898</v>
      </c>
      <c r="D49" s="2" t="n">
        <v>-71.01630276504898</v>
      </c>
      <c r="E49" s="2" t="n">
        <v>-337.2250939738406</v>
      </c>
      <c r="F49" s="2" t="n">
        <v>-0.09092607362557206</v>
      </c>
      <c r="G49" s="2" t="n">
        <v>0.44</v>
      </c>
    </row>
    <row r="50">
      <c r="A50" s="2" t="n">
        <v>32</v>
      </c>
      <c r="B50" s="2" t="n">
        <v>9828.983697234951</v>
      </c>
      <c r="C50" s="2" t="n">
        <v>-1.71016302765049</v>
      </c>
      <c r="D50" s="2" t="n">
        <v>-171.016302765049</v>
      </c>
      <c r="E50" s="2" t="n">
        <v>-437.2250939738406</v>
      </c>
      <c r="F50" s="2" t="n">
        <v>-0.09092607362557206</v>
      </c>
      <c r="G50" s="2" t="n">
        <v>0.44</v>
      </c>
    </row>
    <row r="51">
      <c r="A51" s="2" t="n">
        <v>33</v>
      </c>
      <c r="B51" s="2" t="n">
        <v>9905.906774158027</v>
      </c>
      <c r="C51" s="2" t="n">
        <v>-0.9409322584197206</v>
      </c>
      <c r="D51" s="2" t="n">
        <v>-94.09322584197206</v>
      </c>
      <c r="E51" s="2" t="n">
        <v>-360.3020170507643</v>
      </c>
      <c r="F51" s="2" t="n">
        <v>-0.1065568428563413</v>
      </c>
      <c r="G51" s="2" t="n">
        <v>0.44</v>
      </c>
    </row>
    <row r="52">
      <c r="A52" s="2" t="n">
        <v>34</v>
      </c>
      <c r="B52" s="2" t="n">
        <v>10015.90677415803</v>
      </c>
      <c r="C52" s="2" t="n">
        <v>0.1590677415802795</v>
      </c>
      <c r="D52" s="2" t="n">
        <v>15.90677415802796</v>
      </c>
      <c r="E52" s="2" t="n">
        <v>-250.3020170507643</v>
      </c>
      <c r="F52" s="2" t="n">
        <v>-0.02255684285634131</v>
      </c>
      <c r="G52" s="2" t="n">
        <v>0.48</v>
      </c>
    </row>
    <row r="53">
      <c r="A53" s="2" t="n">
        <v>35</v>
      </c>
      <c r="B53" s="2" t="n">
        <v>10111.14486939612</v>
      </c>
      <c r="C53" s="2" t="n">
        <v>1.111448693961232</v>
      </c>
      <c r="D53" s="2" t="n">
        <v>111.1448693961232</v>
      </c>
      <c r="E53" s="2" t="n">
        <v>-155.0639218126689</v>
      </c>
      <c r="F53" s="2" t="n">
        <v>0.05553839523889678</v>
      </c>
      <c r="G53" s="2" t="n">
        <v>0.52</v>
      </c>
    </row>
    <row r="54">
      <c r="A54" s="2" t="n">
        <v>36</v>
      </c>
      <c r="B54" s="2" t="n">
        <v>10243.14486939612</v>
      </c>
      <c r="C54" s="2" t="n">
        <v>2.431448693961232</v>
      </c>
      <c r="D54" s="2" t="n">
        <v>243.1448693961232</v>
      </c>
      <c r="E54" s="2" t="n">
        <v>-23.06392181266892</v>
      </c>
      <c r="F54" s="2" t="n">
        <v>0.1483383952388968</v>
      </c>
      <c r="G54" s="2" t="n">
        <v>0.5600000000000001</v>
      </c>
    </row>
    <row r="55">
      <c r="A55" s="2" t="n">
        <v>37</v>
      </c>
      <c r="B55" s="2" t="n">
        <v>10307.24743349869</v>
      </c>
      <c r="C55" s="2" t="n">
        <v>3.072474334986873</v>
      </c>
      <c r="D55" s="2" t="n">
        <v>307.2474334986873</v>
      </c>
      <c r="E55" s="2" t="n">
        <v>0</v>
      </c>
      <c r="F55" s="2" t="n">
        <v>0.2139794208799224</v>
      </c>
      <c r="G55" s="2" t="n">
        <v>0.6</v>
      </c>
    </row>
    <row r="56">
      <c r="A56" s="2" t="n">
        <v>38</v>
      </c>
      <c r="B56" s="2" t="n">
        <v>10402.48552873678</v>
      </c>
      <c r="C56" s="2" t="n">
        <v>4.024855287367825</v>
      </c>
      <c r="D56" s="2" t="n">
        <v>402.4855287367826</v>
      </c>
      <c r="E56" s="2" t="n">
        <v>0</v>
      </c>
      <c r="F56" s="2" t="n">
        <v>0.2000746589751605</v>
      </c>
      <c r="G56" s="2" t="n">
        <v>0.6</v>
      </c>
    </row>
    <row r="57">
      <c r="A57" s="2" t="n">
        <v>39</v>
      </c>
      <c r="B57" s="2" t="n">
        <v>10302.48552873678</v>
      </c>
      <c r="C57" s="2" t="n">
        <v>3.024855287367825</v>
      </c>
      <c r="D57" s="2" t="n">
        <v>302.4855287367826</v>
      </c>
      <c r="E57" s="2" t="n">
        <v>-100</v>
      </c>
      <c r="F57" s="2" t="n">
        <v>0.1120746589751605</v>
      </c>
      <c r="G57" s="2" t="n">
        <v>0.5600000000000001</v>
      </c>
    </row>
    <row r="58">
      <c r="A58" s="2" t="n">
        <v>40</v>
      </c>
      <c r="B58" s="2" t="n">
        <v>10202.48552873678</v>
      </c>
      <c r="C58" s="2" t="n">
        <v>2.024855287367825</v>
      </c>
      <c r="D58" s="2" t="n">
        <v>202.4855287367826</v>
      </c>
      <c r="E58" s="2" t="n">
        <v>-200</v>
      </c>
      <c r="F58" s="2" t="n">
        <v>0.1120746589751605</v>
      </c>
      <c r="G58" s="2" t="n">
        <v>0.5600000000000001</v>
      </c>
    </row>
    <row r="59">
      <c r="A59" s="2" t="n">
        <v>41</v>
      </c>
      <c r="B59" s="2" t="n">
        <v>10102.48552873678</v>
      </c>
      <c r="C59" s="2" t="n">
        <v>1.024855287367825</v>
      </c>
      <c r="D59" s="2" t="n">
        <v>102.4855287367826</v>
      </c>
      <c r="E59" s="2" t="n">
        <v>-300</v>
      </c>
      <c r="F59" s="2" t="n">
        <v>0.1120746589751605</v>
      </c>
      <c r="G59" s="2" t="n">
        <v>0.5600000000000001</v>
      </c>
    </row>
    <row r="60">
      <c r="A60" s="2" t="n">
        <v>42</v>
      </c>
      <c r="B60" s="2" t="n">
        <v>10002.48552873678</v>
      </c>
      <c r="C60" s="2" t="n">
        <v>0.02485528736782516</v>
      </c>
      <c r="D60" s="2" t="n">
        <v>2.485528736782555</v>
      </c>
      <c r="E60" s="2" t="n">
        <v>-400</v>
      </c>
      <c r="F60" s="2" t="n">
        <v>0.1120746589751605</v>
      </c>
      <c r="G60" s="2" t="n">
        <v>0.5600000000000001</v>
      </c>
    </row>
    <row r="61">
      <c r="A61" s="2" t="n">
        <v>43</v>
      </c>
      <c r="B61" s="2" t="n">
        <v>9902.485528736783</v>
      </c>
      <c r="C61" s="2" t="n">
        <v>-0.9751447126321748</v>
      </c>
      <c r="D61" s="2" t="n">
        <v>-97.51447126321744</v>
      </c>
      <c r="E61" s="2" t="n">
        <v>-500</v>
      </c>
      <c r="F61" s="2" t="n">
        <v>0.1120746589751605</v>
      </c>
      <c r="G61" s="2" t="n">
        <v>0.5600000000000001</v>
      </c>
    </row>
    <row r="62">
      <c r="A62" s="2" t="n">
        <v>44</v>
      </c>
      <c r="B62" s="2" t="n">
        <v>9802.485528736783</v>
      </c>
      <c r="C62" s="2" t="n">
        <v>-1.975144712632175</v>
      </c>
      <c r="D62" s="2" t="n">
        <v>-197.5144712632174</v>
      </c>
      <c r="E62" s="2" t="n">
        <v>-600</v>
      </c>
      <c r="F62" s="2" t="n">
        <v>0.1120746589751605</v>
      </c>
      <c r="G62" s="2" t="n">
        <v>0.5600000000000001</v>
      </c>
    </row>
    <row r="63">
      <c r="A63" s="2" t="n">
        <v>45</v>
      </c>
      <c r="B63" s="2" t="n">
        <v>9932.485528736783</v>
      </c>
      <c r="C63" s="2" t="n">
        <v>-0.675144712632175</v>
      </c>
      <c r="D63" s="2" t="n">
        <v>-67.51447126321747</v>
      </c>
      <c r="E63" s="2" t="n">
        <v>-470</v>
      </c>
      <c r="F63" s="2" t="n">
        <v>0.1160746589751605</v>
      </c>
      <c r="G63" s="2" t="n">
        <v>0.5600000000000001</v>
      </c>
    </row>
    <row r="64">
      <c r="A64" s="2" t="n">
        <v>46</v>
      </c>
      <c r="B64" s="2" t="n">
        <v>10023.39461964587</v>
      </c>
      <c r="C64" s="2" t="n">
        <v>0.2339461964587342</v>
      </c>
      <c r="D64" s="2" t="n">
        <v>23.39461964587345</v>
      </c>
      <c r="E64" s="2" t="n">
        <v>-379.0909090909099</v>
      </c>
      <c r="F64" s="2" t="n">
        <v>0.1924382953387969</v>
      </c>
      <c r="G64" s="2" t="n">
        <v>0.6</v>
      </c>
    </row>
    <row r="65">
      <c r="A65" s="2" t="n">
        <v>47</v>
      </c>
      <c r="B65" s="2" t="n">
        <v>9923.394619645873</v>
      </c>
      <c r="C65" s="2" t="n">
        <v>-0.7660538035412658</v>
      </c>
      <c r="D65" s="2" t="n">
        <v>-76.60538035412655</v>
      </c>
      <c r="E65" s="2" t="n">
        <v>-479.0909090909099</v>
      </c>
      <c r="F65" s="2" t="n">
        <v>0.1924382953387969</v>
      </c>
      <c r="G65" s="2" t="n">
        <v>0.6</v>
      </c>
    </row>
    <row r="66">
      <c r="A66" s="2" t="n">
        <v>48</v>
      </c>
      <c r="B66" s="2" t="n">
        <v>9823.394619645873</v>
      </c>
      <c r="C66" s="2" t="n">
        <v>-1.766053803541266</v>
      </c>
      <c r="D66" s="2" t="n">
        <v>-176.6053803541266</v>
      </c>
      <c r="E66" s="2" t="n">
        <v>-579.0909090909099</v>
      </c>
      <c r="F66" s="2" t="n">
        <v>0.1924382953387969</v>
      </c>
      <c r="G66" s="2" t="n">
        <v>0.6</v>
      </c>
    </row>
    <row r="67">
      <c r="A67" s="2" t="n">
        <v>49</v>
      </c>
      <c r="B67" s="2" t="n">
        <v>9723.394619645873</v>
      </c>
      <c r="C67" s="2" t="n">
        <v>-2.766053803541266</v>
      </c>
      <c r="D67" s="2" t="n">
        <v>-276.6053803541266</v>
      </c>
      <c r="E67" s="2" t="n">
        <v>-679.0909090909099</v>
      </c>
      <c r="F67" s="2" t="n">
        <v>0.1032382953387969</v>
      </c>
      <c r="G67" s="2" t="n">
        <v>0.5600000000000001</v>
      </c>
    </row>
    <row r="68">
      <c r="A68" s="2" t="n">
        <v>50</v>
      </c>
      <c r="B68" s="2" t="n">
        <v>9623.394619645873</v>
      </c>
      <c r="C68" s="2" t="n">
        <v>-3.766053803541266</v>
      </c>
      <c r="D68" s="2" t="n">
        <v>-376.6053803541266</v>
      </c>
      <c r="E68" s="2" t="n">
        <v>-779.0909090909099</v>
      </c>
      <c r="F68" s="2" t="n">
        <v>0.03792183964259434</v>
      </c>
      <c r="G68" s="2" t="n">
        <v>0.52</v>
      </c>
    </row>
    <row r="69">
      <c r="A69" s="2" t="n">
        <v>51</v>
      </c>
      <c r="B69" s="2" t="n">
        <v>9523.394619645873</v>
      </c>
      <c r="C69" s="2" t="n">
        <v>-4.766053803541266</v>
      </c>
      <c r="D69" s="2" t="n">
        <v>-476.6053803541266</v>
      </c>
      <c r="E69" s="2" t="n">
        <v>-879.0909090909099</v>
      </c>
      <c r="F69" s="2" t="n">
        <v>-0.05087816035740565</v>
      </c>
      <c r="G69" s="2" t="n">
        <v>0.48</v>
      </c>
    </row>
    <row r="70">
      <c r="A70" s="2" t="n">
        <v>52</v>
      </c>
      <c r="B70" s="2" t="n">
        <v>9423.394619645873</v>
      </c>
      <c r="C70" s="2" t="n">
        <v>-5.766053803541266</v>
      </c>
      <c r="D70" s="2" t="n">
        <v>-576.6053803541265</v>
      </c>
      <c r="E70" s="2" t="n">
        <v>-979.0909090909099</v>
      </c>
      <c r="F70" s="2" t="n">
        <v>-0.1124997819790273</v>
      </c>
      <c r="G70" s="2" t="n">
        <v>0.44</v>
      </c>
    </row>
    <row r="71">
      <c r="A71" s="2" t="n">
        <v>53</v>
      </c>
      <c r="B71" s="2" t="n">
        <v>9323.394619645873</v>
      </c>
      <c r="C71" s="2" t="n">
        <v>-6.766053803541266</v>
      </c>
      <c r="D71" s="2" t="n">
        <v>-676.6053803541265</v>
      </c>
      <c r="E71" s="2" t="n">
        <v>-1079.09090909091</v>
      </c>
      <c r="F71" s="2" t="n">
        <v>-0.1124997819790273</v>
      </c>
      <c r="G71" s="2" t="n">
        <v>0.44</v>
      </c>
    </row>
    <row r="72">
      <c r="A72" s="2" t="n">
        <v>54</v>
      </c>
      <c r="B72" s="2" t="n">
        <v>9401.519619645873</v>
      </c>
      <c r="C72" s="2" t="n">
        <v>-5.984803803541266</v>
      </c>
      <c r="D72" s="2" t="n">
        <v>-598.4803803541265</v>
      </c>
      <c r="E72" s="2" t="n">
        <v>-1000.96590909091</v>
      </c>
      <c r="F72" s="2" t="n">
        <v>-0.1272497819790273</v>
      </c>
      <c r="G72" s="2" t="n">
        <v>0.44</v>
      </c>
    </row>
    <row r="73">
      <c r="A73" s="2" t="n">
        <v>55</v>
      </c>
      <c r="B73" s="2" t="n">
        <v>9301.519619645873</v>
      </c>
      <c r="C73" s="2" t="n">
        <v>-6.984803803541266</v>
      </c>
      <c r="D73" s="2" t="n">
        <v>-698.4803803541265</v>
      </c>
      <c r="E73" s="2" t="n">
        <v>-1100.96590909091</v>
      </c>
      <c r="F73" s="2" t="n">
        <v>-0.2132497819790272</v>
      </c>
      <c r="G73" s="2" t="n">
        <v>0.4</v>
      </c>
    </row>
    <row r="74">
      <c r="A74" s="2" t="n">
        <v>56</v>
      </c>
      <c r="B74" s="2" t="n">
        <v>9416.519619645873</v>
      </c>
      <c r="C74" s="2" t="n">
        <v>-5.834803803541266</v>
      </c>
      <c r="D74" s="2" t="n">
        <v>-583.4803803541265</v>
      </c>
      <c r="E74" s="2" t="n">
        <v>-985.9659090909099</v>
      </c>
      <c r="F74" s="2" t="n">
        <v>-0.204985631035631</v>
      </c>
      <c r="G74" s="2" t="n">
        <v>0.4</v>
      </c>
    </row>
    <row r="75">
      <c r="A75" s="2" t="n">
        <v>57</v>
      </c>
      <c r="B75" s="2" t="n">
        <v>9316.519619645873</v>
      </c>
      <c r="C75" s="2" t="n">
        <v>-6.834803803541266</v>
      </c>
      <c r="D75" s="2" t="n">
        <v>-683.4803803541265</v>
      </c>
      <c r="E75" s="2" t="n">
        <v>-1085.96590909091</v>
      </c>
      <c r="F75" s="2" t="n">
        <v>-0.204985631035631</v>
      </c>
      <c r="G75" s="2" t="n">
        <v>0.4</v>
      </c>
    </row>
    <row r="76">
      <c r="A76" s="2" t="n">
        <v>58</v>
      </c>
      <c r="B76" s="2" t="n">
        <v>9390.593693719948</v>
      </c>
      <c r="C76" s="2" t="n">
        <v>-6.094063062800526</v>
      </c>
      <c r="D76" s="2" t="n">
        <v>-609.4063062800524</v>
      </c>
      <c r="E76" s="2" t="n">
        <v>-1011.891835016835</v>
      </c>
      <c r="F76" s="2" t="n">
        <v>-0.2061252321752322</v>
      </c>
      <c r="G76" s="2" t="n">
        <v>0.4</v>
      </c>
    </row>
    <row r="77">
      <c r="A77" s="2" t="n">
        <v>59</v>
      </c>
      <c r="B77" s="2" t="n">
        <v>9500.593693719948</v>
      </c>
      <c r="C77" s="2" t="n">
        <v>-4.994063062800526</v>
      </c>
      <c r="D77" s="2" t="n">
        <v>-499.4063062800524</v>
      </c>
      <c r="E77" s="2" t="n">
        <v>-901.8918350168351</v>
      </c>
      <c r="F77" s="2" t="n">
        <v>-0.2061252321752322</v>
      </c>
      <c r="G77" s="2" t="n">
        <v>0.4</v>
      </c>
    </row>
    <row r="78">
      <c r="A78" s="2" t="n">
        <v>60</v>
      </c>
      <c r="B78" s="2" t="n">
        <v>9400.593693719948</v>
      </c>
      <c r="C78" s="2" t="n">
        <v>-5.994063062800526</v>
      </c>
      <c r="D78" s="2" t="n">
        <v>-599.4063062800524</v>
      </c>
      <c r="E78" s="2" t="n">
        <v>-1001.891835016835</v>
      </c>
      <c r="F78" s="2" t="n">
        <v>-0.2842204702704703</v>
      </c>
      <c r="G78" s="2" t="n">
        <v>0.36</v>
      </c>
    </row>
    <row r="79">
      <c r="A79" s="2" t="n">
        <v>61</v>
      </c>
      <c r="B79" s="2" t="n">
        <v>9505.593693719948</v>
      </c>
      <c r="C79" s="2" t="n">
        <v>-4.944063062800526</v>
      </c>
      <c r="D79" s="2" t="n">
        <v>-494.4063062800524</v>
      </c>
      <c r="E79" s="2" t="n">
        <v>-896.8918350168351</v>
      </c>
      <c r="F79" s="2" t="n">
        <v>-0.2950204702704703</v>
      </c>
      <c r="G79" s="2" t="n">
        <v>0.36</v>
      </c>
    </row>
    <row r="80">
      <c r="A80" s="2" t="n">
        <v>62</v>
      </c>
      <c r="B80" s="2" t="n">
        <v>9625.593693719948</v>
      </c>
      <c r="C80" s="2" t="n">
        <v>-3.744063062800526</v>
      </c>
      <c r="D80" s="2" t="n">
        <v>-374.4063062800524</v>
      </c>
      <c r="E80" s="2" t="n">
        <v>-776.8918350168351</v>
      </c>
      <c r="F80" s="2" t="n">
        <v>-0.272661495911496</v>
      </c>
      <c r="G80" s="2" t="n">
        <v>0.36</v>
      </c>
    </row>
    <row r="81">
      <c r="A81" s="2" t="n">
        <v>63</v>
      </c>
      <c r="B81" s="2" t="n">
        <v>9703.718693719948</v>
      </c>
      <c r="C81" s="2" t="n">
        <v>-2.962813062800526</v>
      </c>
      <c r="D81" s="2" t="n">
        <v>-296.2813062800524</v>
      </c>
      <c r="E81" s="2" t="n">
        <v>-698.7668350168351</v>
      </c>
      <c r="F81" s="2" t="n">
        <v>-0.279506734006734</v>
      </c>
      <c r="G81" s="2" t="n">
        <v>0.36</v>
      </c>
    </row>
    <row r="82">
      <c r="A82" s="2" t="n">
        <v>64</v>
      </c>
      <c r="B82" s="2" t="n">
        <v>9808.718693719948</v>
      </c>
      <c r="C82" s="2" t="n">
        <v>-1.912813062800526</v>
      </c>
      <c r="D82" s="2" t="n">
        <v>-191.2813062800524</v>
      </c>
      <c r="E82" s="2" t="n">
        <v>-593.7668350168351</v>
      </c>
      <c r="F82" s="2" t="n">
        <v>-0.197506734006734</v>
      </c>
      <c r="G82" s="2" t="n">
        <v>0.4</v>
      </c>
    </row>
    <row r="83">
      <c r="A83" s="2" t="n">
        <v>65</v>
      </c>
      <c r="B83" s="2" t="n">
        <v>9933.718693719948</v>
      </c>
      <c r="C83" s="2" t="n">
        <v>-0.6628130628005264</v>
      </c>
      <c r="D83" s="2" t="n">
        <v>-66.28130628005238</v>
      </c>
      <c r="E83" s="2" t="n">
        <v>-468.7668350168351</v>
      </c>
      <c r="F83" s="2" t="n">
        <v>-0.107506734006734</v>
      </c>
      <c r="G83" s="2" t="n">
        <v>0.44</v>
      </c>
    </row>
    <row r="84">
      <c r="A84" s="2" t="n">
        <v>66</v>
      </c>
      <c r="B84" s="2" t="n">
        <v>10013.71869371995</v>
      </c>
      <c r="C84" s="2" t="n">
        <v>0.1371869371994736</v>
      </c>
      <c r="D84" s="2" t="n">
        <v>13.71869371994762</v>
      </c>
      <c r="E84" s="2" t="n">
        <v>-388.7668350168351</v>
      </c>
      <c r="F84" s="2" t="n">
        <v>-0.03550673400673401</v>
      </c>
      <c r="G84" s="2" t="n">
        <v>0.48</v>
      </c>
    </row>
    <row r="85">
      <c r="A85" s="2" t="n">
        <v>67</v>
      </c>
      <c r="B85" s="2" t="n">
        <v>10109.87253987379</v>
      </c>
      <c r="C85" s="2" t="n">
        <v>1.098725398737935</v>
      </c>
      <c r="D85" s="2" t="n">
        <v>109.8725398737938</v>
      </c>
      <c r="E85" s="2" t="n">
        <v>-292.6129888629894</v>
      </c>
      <c r="F85" s="2" t="n">
        <v>0.04295480445480445</v>
      </c>
      <c r="G85" s="2" t="n">
        <v>0.52</v>
      </c>
    </row>
    <row r="86">
      <c r="A86" s="2" t="n">
        <v>68</v>
      </c>
      <c r="B86" s="2" t="n">
        <v>10009.87253987379</v>
      </c>
      <c r="C86" s="2" t="n">
        <v>0.09872539873793529</v>
      </c>
      <c r="D86" s="2" t="n">
        <v>9.872539873793784</v>
      </c>
      <c r="E86" s="2" t="n">
        <v>-392.6129888629894</v>
      </c>
      <c r="F86" s="2" t="n">
        <v>0.04295480445480445</v>
      </c>
      <c r="G86" s="2" t="n">
        <v>0.52</v>
      </c>
    </row>
    <row r="87">
      <c r="A87" s="2" t="n">
        <v>69</v>
      </c>
      <c r="B87" s="2" t="n">
        <v>10119.87253987379</v>
      </c>
      <c r="C87" s="2" t="n">
        <v>1.198725398737935</v>
      </c>
      <c r="D87" s="2" t="n">
        <v>119.8725398737938</v>
      </c>
      <c r="E87" s="2" t="n">
        <v>-282.6129888629894</v>
      </c>
      <c r="F87" s="2" t="n">
        <v>0.1269548044548044</v>
      </c>
      <c r="G87" s="2" t="n">
        <v>0.5600000000000001</v>
      </c>
    </row>
    <row r="88">
      <c r="A88" s="2" t="n">
        <v>70</v>
      </c>
      <c r="B88" s="2" t="n">
        <v>10173.63598073401</v>
      </c>
      <c r="C88" s="2" t="n">
        <v>1.736359807340086</v>
      </c>
      <c r="D88" s="2" t="n">
        <v>173.6359807340089</v>
      </c>
      <c r="E88" s="2" t="n">
        <v>-228.8495480027741</v>
      </c>
      <c r="F88" s="2" t="n">
        <v>0.09646018079889047</v>
      </c>
      <c r="G88" s="2" t="n">
        <v>0.5600000000000001</v>
      </c>
    </row>
    <row r="89">
      <c r="A89" s="2" t="n">
        <v>71</v>
      </c>
      <c r="B89" s="2" t="n">
        <v>10073.63598073401</v>
      </c>
      <c r="C89" s="2" t="n">
        <v>0.7363598073400859</v>
      </c>
      <c r="D89" s="2" t="n">
        <v>73.63598073400885</v>
      </c>
      <c r="E89" s="2" t="n">
        <v>-328.8495480027741</v>
      </c>
      <c r="F89" s="2" t="n">
        <v>0.02009654443525411</v>
      </c>
      <c r="G89" s="2" t="n">
        <v>0.52</v>
      </c>
    </row>
    <row r="90">
      <c r="A90" s="2" t="n">
        <v>72</v>
      </c>
      <c r="B90" s="2" t="n">
        <v>10189.63598073401</v>
      </c>
      <c r="C90" s="2" t="n">
        <v>1.896359807340086</v>
      </c>
      <c r="D90" s="2" t="n">
        <v>189.6359807340089</v>
      </c>
      <c r="E90" s="2" t="n">
        <v>-212.8495480027741</v>
      </c>
      <c r="F90" s="2" t="n">
        <v>0.1064965444352541</v>
      </c>
      <c r="G90" s="2" t="n">
        <v>0.5600000000000001</v>
      </c>
    </row>
    <row r="91">
      <c r="A91" s="2" t="n">
        <v>73</v>
      </c>
      <c r="B91" s="2" t="n">
        <v>10245.19153628957</v>
      </c>
      <c r="C91" s="2" t="n">
        <v>2.451915362895642</v>
      </c>
      <c r="D91" s="2" t="n">
        <v>245.1915362895644</v>
      </c>
      <c r="E91" s="2" t="n">
        <v>-157.2939924472175</v>
      </c>
      <c r="F91" s="2" t="n">
        <v>0.1687187666574763</v>
      </c>
      <c r="G91" s="2" t="n">
        <v>0.6</v>
      </c>
    </row>
    <row r="92">
      <c r="A92" s="2" t="n">
        <v>74</v>
      </c>
      <c r="B92" s="2" t="n">
        <v>10145.19153628957</v>
      </c>
      <c r="C92" s="2" t="n">
        <v>1.451915362895642</v>
      </c>
      <c r="D92" s="2" t="n">
        <v>145.1915362895644</v>
      </c>
      <c r="E92" s="2" t="n">
        <v>-257.2939924472175</v>
      </c>
      <c r="F92" s="2" t="n">
        <v>0.1687187666574763</v>
      </c>
      <c r="G92" s="2" t="n">
        <v>0.6</v>
      </c>
    </row>
    <row r="93">
      <c r="A93" s="2" t="n">
        <v>75</v>
      </c>
      <c r="B93" s="2" t="n">
        <v>10045.19153628957</v>
      </c>
      <c r="C93" s="2" t="n">
        <v>0.4519153628956416</v>
      </c>
      <c r="D93" s="2" t="n">
        <v>45.1915362895644</v>
      </c>
      <c r="E93" s="2" t="n">
        <v>-357.2939924472175</v>
      </c>
      <c r="F93" s="2" t="n">
        <v>0.1687187666574763</v>
      </c>
      <c r="G93" s="2" t="n">
        <v>0.6</v>
      </c>
    </row>
    <row r="94">
      <c r="A94" s="2" t="n">
        <v>76</v>
      </c>
      <c r="B94" s="2" t="n">
        <v>9945.191536289565</v>
      </c>
      <c r="C94" s="2" t="n">
        <v>-0.5480846371043584</v>
      </c>
      <c r="D94" s="2" t="n">
        <v>-54.8084637104356</v>
      </c>
      <c r="E94" s="2" t="n">
        <v>-457.2939924472175</v>
      </c>
      <c r="F94" s="2" t="n">
        <v>0.1687187666574763</v>
      </c>
      <c r="G94" s="2" t="n">
        <v>0.6</v>
      </c>
    </row>
    <row r="95">
      <c r="A95" s="2" t="n">
        <v>77</v>
      </c>
      <c r="B95" s="2" t="n">
        <v>9845.191536289565</v>
      </c>
      <c r="C95" s="2" t="n">
        <v>-1.548084637104358</v>
      </c>
      <c r="D95" s="2" t="n">
        <v>-154.8084637104356</v>
      </c>
      <c r="E95" s="2" t="n">
        <v>-557.2939924472175</v>
      </c>
      <c r="F95" s="2" t="n">
        <v>0.1687187666574763</v>
      </c>
      <c r="G95" s="2" t="n">
        <v>0.6</v>
      </c>
    </row>
    <row r="96">
      <c r="A96" s="2" t="n">
        <v>78</v>
      </c>
      <c r="B96" s="2" t="n">
        <v>9953.191536289565</v>
      </c>
      <c r="C96" s="2" t="n">
        <v>-0.4680846371043583</v>
      </c>
      <c r="D96" s="2" t="n">
        <v>-46.8084637104356</v>
      </c>
      <c r="E96" s="2" t="n">
        <v>-449.2939924472175</v>
      </c>
      <c r="F96" s="2" t="n">
        <v>0.2519187666574764</v>
      </c>
      <c r="G96" s="2" t="n">
        <v>0.64</v>
      </c>
    </row>
    <row r="97">
      <c r="A97" s="2" t="n">
        <v>79</v>
      </c>
      <c r="B97" s="2" t="n">
        <v>9853.191536289565</v>
      </c>
      <c r="C97" s="2" t="n">
        <v>-1.468084637104358</v>
      </c>
      <c r="D97" s="2" t="n">
        <v>-146.8084637104356</v>
      </c>
      <c r="E97" s="2" t="n">
        <v>-549.2939924472175</v>
      </c>
      <c r="F97" s="2" t="n">
        <v>0.1806687666574764</v>
      </c>
      <c r="G97" s="2" t="n">
        <v>0.6</v>
      </c>
    </row>
    <row r="98">
      <c r="A98" s="2" t="n">
        <v>80</v>
      </c>
      <c r="B98" s="2" t="n">
        <v>9753.191536289565</v>
      </c>
      <c r="C98" s="2" t="n">
        <v>-2.468084637104358</v>
      </c>
      <c r="D98" s="2" t="n">
        <v>-246.8084637104356</v>
      </c>
      <c r="E98" s="2" t="n">
        <v>-649.2939924472175</v>
      </c>
      <c r="F98" s="2" t="n">
        <v>0.1806687666574764</v>
      </c>
      <c r="G98" s="2" t="n">
        <v>0.6</v>
      </c>
    </row>
    <row r="99">
      <c r="A99" s="2" t="n">
        <v>81</v>
      </c>
      <c r="B99" s="2" t="n">
        <v>9815.691536289565</v>
      </c>
      <c r="C99" s="2" t="n">
        <v>-1.843084637104358</v>
      </c>
      <c r="D99" s="2" t="n">
        <v>-184.3084637104356</v>
      </c>
      <c r="E99" s="2" t="n">
        <v>-586.7939924472175</v>
      </c>
      <c r="F99" s="2" t="n">
        <v>0.1596687666574763</v>
      </c>
      <c r="G99" s="2" t="n">
        <v>0.6</v>
      </c>
    </row>
    <row r="100">
      <c r="A100" s="2" t="n">
        <v>82</v>
      </c>
      <c r="B100" s="2" t="n">
        <v>9933.691536289565</v>
      </c>
      <c r="C100" s="2" t="n">
        <v>-0.6630846371043586</v>
      </c>
      <c r="D100" s="2" t="n">
        <v>-66.30846371043563</v>
      </c>
      <c r="E100" s="2" t="n">
        <v>-468.7939924472175</v>
      </c>
      <c r="F100" s="2" t="n">
        <v>0.2468687666574763</v>
      </c>
      <c r="G100" s="2" t="n">
        <v>0.64</v>
      </c>
    </row>
    <row r="101">
      <c r="A101" s="2" t="n">
        <v>83</v>
      </c>
      <c r="B101" s="2" t="n">
        <v>10068.69153628957</v>
      </c>
      <c r="C101" s="2" t="n">
        <v>0.6869153628956415</v>
      </c>
      <c r="D101" s="2" t="n">
        <v>68.69153628956437</v>
      </c>
      <c r="E101" s="2" t="n">
        <v>-333.7939924472175</v>
      </c>
      <c r="F101" s="2" t="n">
        <v>0.2712391370278467</v>
      </c>
      <c r="G101" s="2" t="n">
        <v>0.64</v>
      </c>
    </row>
    <row r="102">
      <c r="A102" s="2" t="n">
        <v>84</v>
      </c>
      <c r="B102" s="2" t="n">
        <v>10132.38580380549</v>
      </c>
      <c r="C102" s="2" t="n">
        <v>1.323858038054877</v>
      </c>
      <c r="D102" s="2" t="n">
        <v>132.3858038054879</v>
      </c>
      <c r="E102" s="2" t="n">
        <v>-270.099724931295</v>
      </c>
      <c r="F102" s="2" t="n">
        <v>0.2527168440342161</v>
      </c>
      <c r="G102" s="2" t="n">
        <v>0.64</v>
      </c>
    </row>
    <row r="103">
      <c r="A103" s="2" t="n">
        <v>85</v>
      </c>
      <c r="B103" s="2" t="n">
        <v>10264.38580380549</v>
      </c>
      <c r="C103" s="2" t="n">
        <v>2.643858038054877</v>
      </c>
      <c r="D103" s="2" t="n">
        <v>264.385803805488</v>
      </c>
      <c r="E103" s="2" t="n">
        <v>-138.099724931295</v>
      </c>
      <c r="F103" s="2" t="n">
        <v>0.3455168440342161</v>
      </c>
      <c r="G103" s="2" t="n">
        <v>0.68</v>
      </c>
    </row>
    <row r="104">
      <c r="A104" s="2" t="n">
        <v>86</v>
      </c>
      <c r="B104" s="2" t="n">
        <v>10341.30888072856</v>
      </c>
      <c r="C104" s="2" t="n">
        <v>3.413088807285646</v>
      </c>
      <c r="D104" s="2" t="n">
        <v>341.3088807285649</v>
      </c>
      <c r="E104" s="2" t="n">
        <v>-61.17664800821876</v>
      </c>
      <c r="F104" s="2" t="n">
        <v>0.3342860748034469</v>
      </c>
      <c r="G104" s="2" t="n">
        <v>0.68</v>
      </c>
    </row>
    <row r="105">
      <c r="A105" s="2" t="n">
        <v>87</v>
      </c>
      <c r="B105" s="2" t="n">
        <v>10479.30888072856</v>
      </c>
      <c r="C105" s="2" t="n">
        <v>4.793088807285646</v>
      </c>
      <c r="D105" s="2" t="n">
        <v>479.3088807285649</v>
      </c>
      <c r="E105" s="2" t="n">
        <v>0</v>
      </c>
      <c r="F105" s="2" t="n">
        <v>0.3414860748034469</v>
      </c>
      <c r="G105" s="2" t="n">
        <v>0.68</v>
      </c>
    </row>
    <row r="106">
      <c r="A106" s="2" t="n">
        <v>88</v>
      </c>
      <c r="B106" s="2" t="n">
        <v>10566.2654024677</v>
      </c>
      <c r="C106" s="2" t="n">
        <v>5.66265402467695</v>
      </c>
      <c r="D106" s="2" t="n">
        <v>566.2654024676953</v>
      </c>
      <c r="E106" s="2" t="n">
        <v>0</v>
      </c>
      <c r="F106" s="2" t="n">
        <v>0.345018683499099</v>
      </c>
      <c r="G106" s="2" t="n">
        <v>0.68</v>
      </c>
    </row>
    <row r="107">
      <c r="A107" s="2" t="n">
        <v>89</v>
      </c>
      <c r="B107" s="2" t="n">
        <v>10699.2654024677</v>
      </c>
      <c r="C107" s="2" t="n">
        <v>6.99265402467695</v>
      </c>
      <c r="D107" s="2" t="n">
        <v>699.2654024676953</v>
      </c>
      <c r="E107" s="2" t="n">
        <v>0</v>
      </c>
      <c r="F107" s="2" t="n">
        <v>0.3562186834990991</v>
      </c>
      <c r="G107" s="2" t="n">
        <v>0.68</v>
      </c>
    </row>
    <row r="108">
      <c r="A108" s="2" t="n">
        <v>90</v>
      </c>
      <c r="B108" s="2" t="n">
        <v>10764.20046740276</v>
      </c>
      <c r="C108" s="2" t="n">
        <v>7.6420046740276</v>
      </c>
      <c r="D108" s="2" t="n">
        <v>764.2004674027602</v>
      </c>
      <c r="E108" s="2" t="n">
        <v>0</v>
      </c>
      <c r="F108" s="2" t="n">
        <v>0.332192709473125</v>
      </c>
      <c r="G108" s="2" t="n">
        <v>0.68</v>
      </c>
    </row>
    <row r="109">
      <c r="A109" s="2" t="n">
        <v>91</v>
      </c>
      <c r="B109" s="2" t="n">
        <v>10664.20046740276</v>
      </c>
      <c r="C109" s="2" t="n">
        <v>6.6420046740276</v>
      </c>
      <c r="D109" s="2" t="n">
        <v>664.2004674027602</v>
      </c>
      <c r="E109" s="2" t="n">
        <v>-100</v>
      </c>
      <c r="F109" s="2" t="n">
        <v>0.2601927094731251</v>
      </c>
      <c r="G109" s="2" t="n">
        <v>0.64</v>
      </c>
    </row>
    <row r="110">
      <c r="A110" s="2" t="n">
        <v>92</v>
      </c>
      <c r="B110" s="2" t="n">
        <v>10768.20046740276</v>
      </c>
      <c r="C110" s="2" t="n">
        <v>7.6820046740276</v>
      </c>
      <c r="D110" s="2" t="n">
        <v>768.2004674027602</v>
      </c>
      <c r="E110" s="2" t="n">
        <v>0</v>
      </c>
      <c r="F110" s="2" t="n">
        <v>0.2633311710115866</v>
      </c>
      <c r="G110" s="2" t="n">
        <v>0.64</v>
      </c>
    </row>
    <row r="111">
      <c r="A111" s="2" t="n">
        <v>93</v>
      </c>
      <c r="B111" s="2" t="n">
        <v>10668.20046740276</v>
      </c>
      <c r="C111" s="2" t="n">
        <v>6.6820046740276</v>
      </c>
      <c r="D111" s="2" t="n">
        <v>668.2004674027602</v>
      </c>
      <c r="E111" s="2" t="n">
        <v>-100</v>
      </c>
      <c r="F111" s="2" t="n">
        <v>0.2633311710115866</v>
      </c>
      <c r="G111" s="2" t="n">
        <v>0.64</v>
      </c>
    </row>
    <row r="112">
      <c r="A112" s="2" t="n">
        <v>94</v>
      </c>
      <c r="B112" s="2" t="n">
        <v>10568.20046740276</v>
      </c>
      <c r="C112" s="2" t="n">
        <v>5.6820046740276</v>
      </c>
      <c r="D112" s="2" t="n">
        <v>568.2004674027602</v>
      </c>
      <c r="E112" s="2" t="n">
        <v>-200</v>
      </c>
      <c r="F112" s="2" t="n">
        <v>0.1793311710115866</v>
      </c>
      <c r="G112" s="2" t="n">
        <v>0.6</v>
      </c>
    </row>
    <row r="113">
      <c r="A113" s="2" t="n">
        <v>95</v>
      </c>
      <c r="B113" s="2" t="n">
        <v>10468.20046740276</v>
      </c>
      <c r="C113" s="2" t="n">
        <v>4.6820046740276</v>
      </c>
      <c r="D113" s="2" t="n">
        <v>468.2004674027602</v>
      </c>
      <c r="E113" s="2" t="n">
        <v>-300</v>
      </c>
      <c r="F113" s="2" t="n">
        <v>0.1178257946675006</v>
      </c>
      <c r="G113" s="2" t="n">
        <v>0.5600000000000001</v>
      </c>
    </row>
    <row r="114">
      <c r="A114" s="2" t="n">
        <v>96</v>
      </c>
      <c r="B114" s="2" t="n">
        <v>10545.12354432584</v>
      </c>
      <c r="C114" s="2" t="n">
        <v>5.451235443258369</v>
      </c>
      <c r="D114" s="2" t="n">
        <v>545.1235443258371</v>
      </c>
      <c r="E114" s="2" t="n">
        <v>-223.076923076922</v>
      </c>
      <c r="F114" s="2" t="n">
        <v>0.1885950254367313</v>
      </c>
      <c r="G114" s="2" t="n">
        <v>0.6</v>
      </c>
    </row>
    <row r="115">
      <c r="A115" s="2" t="n">
        <v>97</v>
      </c>
      <c r="B115" s="2" t="n">
        <v>10445.12354432584</v>
      </c>
      <c r="C115" s="2" t="n">
        <v>4.451235443258369</v>
      </c>
      <c r="D115" s="2" t="n">
        <v>445.1235443258371</v>
      </c>
      <c r="E115" s="2" t="n">
        <v>-323.076923076922</v>
      </c>
      <c r="F115" s="2" t="n">
        <v>0.1021950254367313</v>
      </c>
      <c r="G115" s="2" t="n">
        <v>0.5600000000000001</v>
      </c>
    </row>
    <row r="116">
      <c r="A116" s="2" t="n">
        <v>98</v>
      </c>
      <c r="B116" s="2" t="n">
        <v>10345.12354432584</v>
      </c>
      <c r="C116" s="2" t="n">
        <v>3.451235443258369</v>
      </c>
      <c r="D116" s="2" t="n">
        <v>345.1235443258371</v>
      </c>
      <c r="E116" s="2" t="n">
        <v>-423.076923076922</v>
      </c>
      <c r="F116" s="2" t="n">
        <v>0.03997280321450911</v>
      </c>
      <c r="G116" s="2" t="n">
        <v>0.52</v>
      </c>
    </row>
    <row r="117">
      <c r="A117" s="2" t="n">
        <v>99</v>
      </c>
      <c r="B117" s="2" t="n">
        <v>10245.12354432584</v>
      </c>
      <c r="C117" s="2" t="n">
        <v>2.451235443258369</v>
      </c>
      <c r="D117" s="2" t="n">
        <v>245.1235443258371</v>
      </c>
      <c r="E117" s="2" t="n">
        <v>-523.076923076922</v>
      </c>
      <c r="F117" s="2" t="n">
        <v>0.03997280321450911</v>
      </c>
      <c r="G117" s="2" t="n">
        <v>0.52</v>
      </c>
    </row>
    <row r="118">
      <c r="A118" s="2" t="n">
        <v>100</v>
      </c>
      <c r="B118" s="2" t="n">
        <v>10351.12354432584</v>
      </c>
      <c r="C118" s="2" t="n">
        <v>3.511235443258369</v>
      </c>
      <c r="D118" s="2" t="n">
        <v>351.1235443258371</v>
      </c>
      <c r="E118" s="2" t="n">
        <v>-417.076923076922</v>
      </c>
      <c r="F118" s="2" t="n">
        <v>0.1223728032145091</v>
      </c>
      <c r="G118" s="2" t="n">
        <v>0.5600000000000001</v>
      </c>
    </row>
    <row r="119">
      <c r="A119" s="2" t="n">
        <v>101</v>
      </c>
      <c r="B119" s="2" t="n">
        <v>10451.12354432584</v>
      </c>
      <c r="C119" s="2" t="n">
        <v>4.51123544325837</v>
      </c>
      <c r="D119" s="2" t="n">
        <v>451.1235443258371</v>
      </c>
      <c r="E119" s="2" t="n">
        <v>-317.076923076922</v>
      </c>
      <c r="F119" s="2" t="n">
        <v>0.2023728032145091</v>
      </c>
      <c r="G119" s="2" t="n">
        <v>0.6</v>
      </c>
    </row>
    <row r="120">
      <c r="A120" s="2" t="n">
        <v>102</v>
      </c>
      <c r="B120" s="2" t="n">
        <v>10351.12354432584</v>
      </c>
      <c r="C120" s="2" t="n">
        <v>3.51123544325837</v>
      </c>
      <c r="D120" s="2" t="n">
        <v>351.1235443258371</v>
      </c>
      <c r="E120" s="2" t="n">
        <v>-417.076923076922</v>
      </c>
      <c r="F120" s="2" t="n">
        <v>0.2023728032145091</v>
      </c>
      <c r="G120" s="2" t="n">
        <v>0.6</v>
      </c>
    </row>
    <row r="121">
      <c r="A121" s="2" t="n">
        <v>103</v>
      </c>
      <c r="B121" s="2" t="n">
        <v>10251.12354432584</v>
      </c>
      <c r="C121" s="2" t="n">
        <v>2.51123544325837</v>
      </c>
      <c r="D121" s="2" t="n">
        <v>251.1235443258371</v>
      </c>
      <c r="E121" s="2" t="n">
        <v>-517.076923076922</v>
      </c>
      <c r="F121" s="2" t="n">
        <v>0.1191728032145091</v>
      </c>
      <c r="G121" s="2" t="n">
        <v>0.5600000000000001</v>
      </c>
    </row>
    <row r="122">
      <c r="A122" s="2" t="n">
        <v>104</v>
      </c>
      <c r="B122" s="2" t="n">
        <v>10351.12354432584</v>
      </c>
      <c r="C122" s="2" t="n">
        <v>3.51123544325837</v>
      </c>
      <c r="D122" s="2" t="n">
        <v>351.1235443258371</v>
      </c>
      <c r="E122" s="2" t="n">
        <v>-417.076923076922</v>
      </c>
      <c r="F122" s="2" t="n">
        <v>0.1991728032145091</v>
      </c>
      <c r="G122" s="2" t="n">
        <v>0.6</v>
      </c>
    </row>
    <row r="123">
      <c r="A123" s="2" t="n">
        <v>105</v>
      </c>
      <c r="B123" s="2" t="n">
        <v>10481.12354432584</v>
      </c>
      <c r="C123" s="2" t="n">
        <v>4.811235443258369</v>
      </c>
      <c r="D123" s="2" t="n">
        <v>481.1235443258371</v>
      </c>
      <c r="E123" s="2" t="n">
        <v>-287.076923076922</v>
      </c>
      <c r="F123" s="2" t="n">
        <v>0.2911728032145091</v>
      </c>
      <c r="G123" s="2" t="n">
        <v>0.64</v>
      </c>
    </row>
    <row r="124">
      <c r="A124" s="2" t="n">
        <v>106</v>
      </c>
      <c r="B124" s="2" t="n">
        <v>10381.12354432584</v>
      </c>
      <c r="C124" s="2" t="n">
        <v>3.811235443258369</v>
      </c>
      <c r="D124" s="2" t="n">
        <v>381.1235443258371</v>
      </c>
      <c r="E124" s="2" t="n">
        <v>-387.076923076922</v>
      </c>
      <c r="F124" s="2" t="n">
        <v>0.2261728032145091</v>
      </c>
      <c r="G124" s="2" t="n">
        <v>0.6</v>
      </c>
    </row>
    <row r="125">
      <c r="A125" s="2" t="n">
        <v>107</v>
      </c>
      <c r="B125" s="2" t="n">
        <v>10491.12354432584</v>
      </c>
      <c r="C125" s="2" t="n">
        <v>4.91123544325837</v>
      </c>
      <c r="D125" s="2" t="n">
        <v>491.1235443258371</v>
      </c>
      <c r="E125" s="2" t="n">
        <v>-277.076923076922</v>
      </c>
      <c r="F125" s="2" t="n">
        <v>0.2229728032145091</v>
      </c>
      <c r="G125" s="2" t="n">
        <v>0.6</v>
      </c>
    </row>
    <row r="126">
      <c r="A126" s="2" t="n">
        <v>108</v>
      </c>
      <c r="B126" s="2" t="n">
        <v>10391.12354432584</v>
      </c>
      <c r="C126" s="2" t="n">
        <v>3.91123544325837</v>
      </c>
      <c r="D126" s="2" t="n">
        <v>391.1235443258371</v>
      </c>
      <c r="E126" s="2" t="n">
        <v>-377.076923076922</v>
      </c>
      <c r="F126" s="2" t="n">
        <v>0.1289728032145091</v>
      </c>
      <c r="G126" s="2" t="n">
        <v>0.5600000000000001</v>
      </c>
    </row>
    <row r="127">
      <c r="A127" s="2" t="n">
        <v>109</v>
      </c>
      <c r="B127" s="2" t="n">
        <v>10488.21092296661</v>
      </c>
      <c r="C127" s="2" t="n">
        <v>4.882109229666137</v>
      </c>
      <c r="D127" s="2" t="n">
        <v>488.2109229666138</v>
      </c>
      <c r="E127" s="2" t="n">
        <v>-279.9895444361464</v>
      </c>
      <c r="F127" s="2" t="n">
        <v>0.1423300476644504</v>
      </c>
      <c r="G127" s="2" t="n">
        <v>0.5600000000000001</v>
      </c>
    </row>
    <row r="128">
      <c r="A128" s="2" t="n">
        <v>110</v>
      </c>
      <c r="B128" s="2" t="n">
        <v>10628.21092296661</v>
      </c>
      <c r="C128" s="2" t="n">
        <v>6.282109229666137</v>
      </c>
      <c r="D128" s="2" t="n">
        <v>628.2109229666138</v>
      </c>
      <c r="E128" s="2" t="n">
        <v>-139.9895444361464</v>
      </c>
      <c r="F128" s="2" t="n">
        <v>0.1455300476644504</v>
      </c>
      <c r="G128" s="2" t="n">
        <v>0.5600000000000001</v>
      </c>
    </row>
    <row r="129">
      <c r="A129" s="2" t="n">
        <v>111</v>
      </c>
      <c r="B129" s="2" t="n">
        <v>10697.17644020799</v>
      </c>
      <c r="C129" s="2" t="n">
        <v>6.971764402079931</v>
      </c>
      <c r="D129" s="2" t="n">
        <v>697.1764402079931</v>
      </c>
      <c r="E129" s="2" t="n">
        <v>-71.02402719476595</v>
      </c>
      <c r="F129" s="2" t="n">
        <v>0.1423470237917713</v>
      </c>
      <c r="G129" s="2" t="n">
        <v>0.5600000000000001</v>
      </c>
    </row>
    <row r="130">
      <c r="A130" s="2" t="n">
        <v>112</v>
      </c>
      <c r="B130" s="2" t="n">
        <v>10780.50977354133</v>
      </c>
      <c r="C130" s="2" t="n">
        <v>7.805097735413264</v>
      </c>
      <c r="D130" s="2" t="n">
        <v>780.5097735413265</v>
      </c>
      <c r="E130" s="2" t="n">
        <v>0</v>
      </c>
      <c r="F130" s="2" t="n">
        <v>0.1204803571251047</v>
      </c>
      <c r="G130" s="2" t="n">
        <v>0.5600000000000001</v>
      </c>
    </row>
    <row r="131">
      <c r="A131" s="2" t="n">
        <v>113</v>
      </c>
      <c r="B131" s="2" t="n">
        <v>10680.50977354133</v>
      </c>
      <c r="C131" s="2" t="n">
        <v>6.805097735413264</v>
      </c>
      <c r="D131" s="2" t="n">
        <v>680.5097735413265</v>
      </c>
      <c r="E131" s="2" t="n">
        <v>-100</v>
      </c>
      <c r="F131" s="2" t="n">
        <v>0.04569774842945248</v>
      </c>
      <c r="G131" s="2" t="n">
        <v>0.52</v>
      </c>
    </row>
    <row r="132">
      <c r="A132" s="2" t="n">
        <v>114</v>
      </c>
      <c r="B132" s="2" t="n">
        <v>10580.50977354133</v>
      </c>
      <c r="C132" s="2" t="n">
        <v>5.805097735413264</v>
      </c>
      <c r="D132" s="2" t="n">
        <v>580.5097735413265</v>
      </c>
      <c r="E132" s="2" t="n">
        <v>-200</v>
      </c>
      <c r="F132" s="2" t="n">
        <v>-0.04750225157054752</v>
      </c>
      <c r="G132" s="2" t="n">
        <v>0.48</v>
      </c>
    </row>
    <row r="133">
      <c r="A133" s="2" t="n">
        <v>115</v>
      </c>
      <c r="B133" s="2" t="n">
        <v>10657.4328504644</v>
      </c>
      <c r="C133" s="2" t="n">
        <v>6.574328504644034</v>
      </c>
      <c r="D133" s="2" t="n">
        <v>657.4328504644034</v>
      </c>
      <c r="E133" s="2" t="n">
        <v>-123.076923076922</v>
      </c>
      <c r="F133" s="2" t="n">
        <v>-0.04270704677534273</v>
      </c>
      <c r="G133" s="2" t="n">
        <v>0.48</v>
      </c>
    </row>
    <row r="134">
      <c r="A134" s="2" t="n">
        <v>116</v>
      </c>
      <c r="B134" s="2" t="n">
        <v>10557.4328504644</v>
      </c>
      <c r="C134" s="2" t="n">
        <v>5.574328504644034</v>
      </c>
      <c r="D134" s="2" t="n">
        <v>557.4328504644034</v>
      </c>
      <c r="E134" s="2" t="n">
        <v>-223.076923076922</v>
      </c>
      <c r="F134" s="2" t="n">
        <v>-0.04270704677534273</v>
      </c>
      <c r="G134" s="2" t="n">
        <v>0.48</v>
      </c>
    </row>
    <row r="135">
      <c r="A135" s="2" t="n">
        <v>117</v>
      </c>
      <c r="B135" s="2" t="n">
        <v>10457.4328504644</v>
      </c>
      <c r="C135" s="2" t="n">
        <v>4.574328504644034</v>
      </c>
      <c r="D135" s="2" t="n">
        <v>457.4328504644034</v>
      </c>
      <c r="E135" s="2" t="n">
        <v>-323.076923076922</v>
      </c>
      <c r="F135" s="2" t="n">
        <v>-0.1243070467753427</v>
      </c>
      <c r="G135" s="2" t="n">
        <v>0.44</v>
      </c>
    </row>
    <row r="136">
      <c r="A136" s="2" t="n">
        <v>118</v>
      </c>
      <c r="B136" s="2" t="n">
        <v>10357.4328504644</v>
      </c>
      <c r="C136" s="2" t="n">
        <v>3.574328504644034</v>
      </c>
      <c r="D136" s="2" t="n">
        <v>357.4328504644034</v>
      </c>
      <c r="E136" s="2" t="n">
        <v>-423.076923076922</v>
      </c>
      <c r="F136" s="2" t="n">
        <v>-0.1243070467753427</v>
      </c>
      <c r="G136" s="2" t="n">
        <v>0.44</v>
      </c>
    </row>
    <row r="137">
      <c r="A137" s="2" t="n">
        <v>119</v>
      </c>
      <c r="B137" s="2" t="n">
        <v>10257.4328504644</v>
      </c>
      <c r="C137" s="2" t="n">
        <v>2.574328504644034</v>
      </c>
      <c r="D137" s="2" t="n">
        <v>257.4328504644034</v>
      </c>
      <c r="E137" s="2" t="n">
        <v>-523.076923076922</v>
      </c>
      <c r="F137" s="2" t="n">
        <v>-0.1243070467753427</v>
      </c>
      <c r="G137" s="2" t="n">
        <v>0.44</v>
      </c>
    </row>
    <row r="138">
      <c r="A138" s="2" t="n">
        <v>120</v>
      </c>
      <c r="B138" s="2" t="n">
        <v>10385.4328504644</v>
      </c>
      <c r="C138" s="2" t="n">
        <v>3.854328504644034</v>
      </c>
      <c r="D138" s="2" t="n">
        <v>385.4328504644034</v>
      </c>
      <c r="E138" s="2" t="n">
        <v>-395.076923076922</v>
      </c>
      <c r="F138" s="2" t="n">
        <v>-0.03310704677534271</v>
      </c>
      <c r="G138" s="2" t="n">
        <v>0.48</v>
      </c>
    </row>
    <row r="139">
      <c r="A139" s="2" t="n">
        <v>121</v>
      </c>
      <c r="B139" s="2" t="n">
        <v>10447.9328504644</v>
      </c>
      <c r="C139" s="2" t="n">
        <v>4.479328504644034</v>
      </c>
      <c r="D139" s="2" t="n">
        <v>447.9328504644034</v>
      </c>
      <c r="E139" s="2" t="n">
        <v>-332.576923076922</v>
      </c>
      <c r="F139" s="2" t="n">
        <v>-0.03887627754457348</v>
      </c>
      <c r="G139" s="2" t="n">
        <v>0.48</v>
      </c>
    </row>
    <row r="140">
      <c r="A140" s="2" t="n">
        <v>122</v>
      </c>
      <c r="B140" s="2" t="n">
        <v>10347.9328504644</v>
      </c>
      <c r="C140" s="2" t="n">
        <v>3.479328504644034</v>
      </c>
      <c r="D140" s="2" t="n">
        <v>347.9328504644034</v>
      </c>
      <c r="E140" s="2" t="n">
        <v>-432.576923076922</v>
      </c>
      <c r="F140" s="2" t="n">
        <v>-0.03887627754457348</v>
      </c>
      <c r="G140" s="2" t="n">
        <v>0.48</v>
      </c>
    </row>
    <row r="141">
      <c r="A141" s="2" t="n">
        <v>123</v>
      </c>
      <c r="B141" s="2" t="n">
        <v>10247.9328504644</v>
      </c>
      <c r="C141" s="2" t="n">
        <v>2.479328504644034</v>
      </c>
      <c r="D141" s="2" t="n">
        <v>247.9328504644034</v>
      </c>
      <c r="E141" s="2" t="n">
        <v>-532.576923076922</v>
      </c>
      <c r="F141" s="2" t="n">
        <v>-0.03887627754457348</v>
      </c>
      <c r="G141" s="2" t="n">
        <v>0.48</v>
      </c>
    </row>
    <row r="142">
      <c r="A142" s="2" t="n">
        <v>124</v>
      </c>
      <c r="B142" s="2" t="n">
        <v>10147.9328504644</v>
      </c>
      <c r="C142" s="2" t="n">
        <v>1.479328504644034</v>
      </c>
      <c r="D142" s="2" t="n">
        <v>147.9328504644034</v>
      </c>
      <c r="E142" s="2" t="n">
        <v>-632.576923076922</v>
      </c>
      <c r="F142" s="2" t="n">
        <v>-0.03887627754457348</v>
      </c>
      <c r="G142" s="2" t="n">
        <v>0.48</v>
      </c>
    </row>
    <row r="143">
      <c r="A143" s="2" t="n">
        <v>125</v>
      </c>
      <c r="B143" s="2" t="n">
        <v>10275.9328504644</v>
      </c>
      <c r="C143" s="2" t="n">
        <v>2.759328504644034</v>
      </c>
      <c r="D143" s="2" t="n">
        <v>275.9328504644034</v>
      </c>
      <c r="E143" s="2" t="n">
        <v>-504.576923076922</v>
      </c>
      <c r="F143" s="2" t="n">
        <v>-0.03007627754457348</v>
      </c>
      <c r="G143" s="2" t="n">
        <v>0.48</v>
      </c>
    </row>
    <row r="144">
      <c r="A144" s="2" t="n">
        <v>126</v>
      </c>
      <c r="B144" s="2" t="n">
        <v>10342.59951713107</v>
      </c>
      <c r="C144" s="2" t="n">
        <v>3.425995171310701</v>
      </c>
      <c r="D144" s="2" t="n">
        <v>342.59951713107</v>
      </c>
      <c r="E144" s="2" t="n">
        <v>-437.9102564102559</v>
      </c>
      <c r="F144" s="2" t="n">
        <v>-0.04340961087790682</v>
      </c>
      <c r="G144" s="2" t="n">
        <v>0.48</v>
      </c>
    </row>
    <row r="145">
      <c r="A145" s="2" t="n">
        <v>127</v>
      </c>
      <c r="B145" s="2" t="n">
        <v>10242.59951713107</v>
      </c>
      <c r="C145" s="2" t="n">
        <v>2.425995171310701</v>
      </c>
      <c r="D145" s="2" t="n">
        <v>242.59951713107</v>
      </c>
      <c r="E145" s="2" t="n">
        <v>-537.9102564102559</v>
      </c>
      <c r="F145" s="2" t="n">
        <v>-0.04340961087790682</v>
      </c>
      <c r="G145" s="2" t="n">
        <v>0.48</v>
      </c>
    </row>
    <row r="146">
      <c r="A146" s="2" t="n">
        <v>128</v>
      </c>
      <c r="B146" s="2" t="n">
        <v>10305.09951713107</v>
      </c>
      <c r="C146" s="2" t="n">
        <v>3.050995171310701</v>
      </c>
      <c r="D146" s="2" t="n">
        <v>305.09951713107</v>
      </c>
      <c r="E146" s="2" t="n">
        <v>-475.4102564102559</v>
      </c>
      <c r="F146" s="2" t="n">
        <v>0.02159038912209318</v>
      </c>
      <c r="G146" s="2" t="n">
        <v>0.52</v>
      </c>
    </row>
    <row r="147">
      <c r="A147" s="2" t="n">
        <v>129</v>
      </c>
      <c r="B147" s="2" t="n">
        <v>10428.09951713107</v>
      </c>
      <c r="C147" s="2" t="n">
        <v>4.280995171310701</v>
      </c>
      <c r="D147" s="2" t="n">
        <v>428.09951713107</v>
      </c>
      <c r="E147" s="2" t="n">
        <v>-352.4102564102559</v>
      </c>
      <c r="F147" s="2" t="n">
        <v>0.03079038912209318</v>
      </c>
      <c r="G147" s="2" t="n">
        <v>0.52</v>
      </c>
    </row>
    <row r="148">
      <c r="A148" s="2" t="n">
        <v>130</v>
      </c>
      <c r="B148" s="2" t="n">
        <v>10502.17359120514</v>
      </c>
      <c r="C148" s="2" t="n">
        <v>5.021735912051441</v>
      </c>
      <c r="D148" s="2" t="n">
        <v>502.1735912051441</v>
      </c>
      <c r="E148" s="2" t="n">
        <v>-278.3361823361811</v>
      </c>
      <c r="F148" s="2" t="n">
        <v>0.008420018751722819</v>
      </c>
      <c r="G148" s="2" t="n">
        <v>0.52</v>
      </c>
    </row>
    <row r="149">
      <c r="A149" s="2" t="n">
        <v>131</v>
      </c>
      <c r="B149" s="2" t="n">
        <v>10591.45930549086</v>
      </c>
      <c r="C149" s="2" t="n">
        <v>5.914593054908584</v>
      </c>
      <c r="D149" s="2" t="n">
        <v>591.4593054908584</v>
      </c>
      <c r="E149" s="2" t="n">
        <v>-189.0504680504673</v>
      </c>
      <c r="F149" s="2" t="n">
        <v>0.08413430446600852</v>
      </c>
      <c r="G149" s="2" t="n">
        <v>0.5600000000000001</v>
      </c>
    </row>
    <row r="150">
      <c r="A150" s="2" t="n">
        <v>132</v>
      </c>
      <c r="B150" s="2" t="n">
        <v>10682.36839639995</v>
      </c>
      <c r="C150" s="2" t="n">
        <v>6.823683963999494</v>
      </c>
      <c r="D150" s="2" t="n">
        <v>682.3683963999492</v>
      </c>
      <c r="E150" s="2" t="n">
        <v>-98.14137714137541</v>
      </c>
      <c r="F150" s="2" t="n">
        <v>0.07649794082964489</v>
      </c>
      <c r="G150" s="2" t="n">
        <v>0.5600000000000001</v>
      </c>
    </row>
    <row r="151">
      <c r="A151" s="2" t="n">
        <v>133</v>
      </c>
      <c r="B151" s="2" t="n">
        <v>10582.36839639995</v>
      </c>
      <c r="C151" s="2" t="n">
        <v>5.823683963999494</v>
      </c>
      <c r="D151" s="2" t="n">
        <v>582.3683963999492</v>
      </c>
      <c r="E151" s="2" t="n">
        <v>-198.1413771413754</v>
      </c>
      <c r="F151" s="2" t="n">
        <v>0.07649794082964491</v>
      </c>
      <c r="G151" s="2" t="n">
        <v>0.5600000000000001</v>
      </c>
    </row>
    <row r="152">
      <c r="A152" s="2" t="n">
        <v>134</v>
      </c>
      <c r="B152" s="2" t="n">
        <v>10702.36839639995</v>
      </c>
      <c r="C152" s="2" t="n">
        <v>7.023683963999494</v>
      </c>
      <c r="D152" s="2" t="n">
        <v>702.3683963999492</v>
      </c>
      <c r="E152" s="2" t="n">
        <v>-78.14137714137541</v>
      </c>
      <c r="F152" s="2" t="n">
        <v>0.08566298937333422</v>
      </c>
      <c r="G152" s="2" t="n">
        <v>0.5600000000000001</v>
      </c>
    </row>
    <row r="153">
      <c r="A153" s="2" t="n">
        <v>135</v>
      </c>
      <c r="B153" s="2" t="n">
        <v>10780.49339639995</v>
      </c>
      <c r="C153" s="2" t="n">
        <v>7.804933963999494</v>
      </c>
      <c r="D153" s="2" t="n">
        <v>780.4933963999492</v>
      </c>
      <c r="E153" s="2" t="n">
        <v>-0.01637714137541479</v>
      </c>
      <c r="F153" s="2" t="n">
        <v>0.06091298937333423</v>
      </c>
      <c r="G153" s="2" t="n">
        <v>0.5600000000000001</v>
      </c>
    </row>
    <row r="154">
      <c r="A154" s="2" t="n">
        <v>136</v>
      </c>
      <c r="B154" s="2" t="n">
        <v>10864.52700984533</v>
      </c>
      <c r="C154" s="2" t="n">
        <v>8.645270098453276</v>
      </c>
      <c r="D154" s="2" t="n">
        <v>864.5270098453274</v>
      </c>
      <c r="E154" s="2" t="n">
        <v>0</v>
      </c>
      <c r="F154" s="2" t="n">
        <v>0.06694022785493377</v>
      </c>
      <c r="G154" s="2" t="n">
        <v>0.5600000000000001</v>
      </c>
    </row>
    <row r="155">
      <c r="A155" s="2" t="n">
        <v>137</v>
      </c>
      <c r="B155" s="2" t="n">
        <v>10951.48353158446</v>
      </c>
      <c r="C155" s="2" t="n">
        <v>9.51483531584458</v>
      </c>
      <c r="D155" s="2" t="n">
        <v>951.4835315844578</v>
      </c>
      <c r="E155" s="2" t="n">
        <v>0</v>
      </c>
      <c r="F155" s="2" t="n">
        <v>0.0683895032172526</v>
      </c>
      <c r="G155" s="2" t="n">
        <v>0.5600000000000001</v>
      </c>
    </row>
    <row r="156">
      <c r="A156" s="2" t="n">
        <v>138</v>
      </c>
      <c r="B156" s="2" t="n">
        <v>11015.99966061672</v>
      </c>
      <c r="C156" s="2" t="n">
        <v>10.15999660616716</v>
      </c>
      <c r="D156" s="2" t="n">
        <v>1015.999660616716</v>
      </c>
      <c r="E156" s="2" t="n">
        <v>0</v>
      </c>
      <c r="F156" s="2" t="n">
        <v>0.1341959548301558</v>
      </c>
      <c r="G156" s="2" t="n">
        <v>0.6</v>
      </c>
    </row>
    <row r="157">
      <c r="A157" s="2" t="n">
        <v>139</v>
      </c>
      <c r="B157" s="2" t="n">
        <v>10915.99966061672</v>
      </c>
      <c r="C157" s="2" t="n">
        <v>9.15999660616716</v>
      </c>
      <c r="D157" s="2" t="n">
        <v>915.9996606167158</v>
      </c>
      <c r="E157" s="2" t="n">
        <v>-100</v>
      </c>
      <c r="F157" s="2" t="n">
        <v>0.1341959548301558</v>
      </c>
      <c r="G157" s="2" t="n">
        <v>0.6</v>
      </c>
    </row>
    <row r="158">
      <c r="A158" s="2" t="n">
        <v>140</v>
      </c>
      <c r="B158" s="2" t="n">
        <v>11033.99966061672</v>
      </c>
      <c r="C158" s="2" t="n">
        <v>10.33999660616716</v>
      </c>
      <c r="D158" s="2" t="n">
        <v>1033.999660616716</v>
      </c>
      <c r="E158" s="2" t="n">
        <v>0</v>
      </c>
      <c r="F158" s="2" t="n">
        <v>0.150626724060925</v>
      </c>
      <c r="G158" s="2" t="n">
        <v>0.6</v>
      </c>
    </row>
    <row r="159">
      <c r="A159" s="2" t="n">
        <v>141</v>
      </c>
      <c r="B159" s="2" t="n">
        <v>11094.60572122278</v>
      </c>
      <c r="C159" s="2" t="n">
        <v>10.94605721222777</v>
      </c>
      <c r="D159" s="2" t="n">
        <v>1094.605721222776</v>
      </c>
      <c r="E159" s="2" t="n">
        <v>0</v>
      </c>
      <c r="F159" s="2" t="n">
        <v>0.2148691483033492</v>
      </c>
      <c r="G159" s="2" t="n">
        <v>0.64</v>
      </c>
    </row>
    <row r="160">
      <c r="A160" s="2" t="n">
        <v>142</v>
      </c>
      <c r="B160" s="2" t="n">
        <v>10994.60572122278</v>
      </c>
      <c r="C160" s="2" t="n">
        <v>9.946057212227766</v>
      </c>
      <c r="D160" s="2" t="n">
        <v>994.6057212227763</v>
      </c>
      <c r="E160" s="2" t="n">
        <v>-100</v>
      </c>
      <c r="F160" s="2" t="n">
        <v>0.2148691483033492</v>
      </c>
      <c r="G160" s="2" t="n">
        <v>0.64</v>
      </c>
    </row>
    <row r="161">
      <c r="A161" s="2" t="n">
        <v>143</v>
      </c>
      <c r="B161" s="2" t="n">
        <v>11085.51481213187</v>
      </c>
      <c r="C161" s="2" t="n">
        <v>10.85514812131867</v>
      </c>
      <c r="D161" s="2" t="n">
        <v>1085.514812131867</v>
      </c>
      <c r="E161" s="2" t="n">
        <v>-9.090909090909918</v>
      </c>
      <c r="F161" s="2" t="n">
        <v>0.2912327846669857</v>
      </c>
      <c r="G161" s="2" t="n">
        <v>0.68</v>
      </c>
    </row>
    <row r="162">
      <c r="A162" s="2" t="n">
        <v>144</v>
      </c>
      <c r="B162" s="2" t="n">
        <v>10985.51481213187</v>
      </c>
      <c r="C162" s="2" t="n">
        <v>9.855148121318674</v>
      </c>
      <c r="D162" s="2" t="n">
        <v>985.5148121318673</v>
      </c>
      <c r="E162" s="2" t="n">
        <v>-109.0909090909099</v>
      </c>
      <c r="F162" s="2" t="n">
        <v>0.2912327846669857</v>
      </c>
      <c r="G162" s="2" t="n">
        <v>0.68</v>
      </c>
    </row>
    <row r="163">
      <c r="A163" s="2" t="n">
        <v>145</v>
      </c>
      <c r="B163" s="2" t="n">
        <v>11048.01481213187</v>
      </c>
      <c r="C163" s="2" t="n">
        <v>10.48014812131867</v>
      </c>
      <c r="D163" s="2" t="n">
        <v>1048.014812131867</v>
      </c>
      <c r="E163" s="2" t="n">
        <v>-46.59090909090992</v>
      </c>
      <c r="F163" s="2" t="n">
        <v>0.2650327846669856</v>
      </c>
      <c r="G163" s="2" t="n">
        <v>0.68</v>
      </c>
    </row>
    <row r="164">
      <c r="A164" s="2" t="n">
        <v>146</v>
      </c>
      <c r="B164" s="2" t="n">
        <v>11171.01481213187</v>
      </c>
      <c r="C164" s="2" t="n">
        <v>11.71014812131867</v>
      </c>
      <c r="D164" s="2" t="n">
        <v>1171.014812131867</v>
      </c>
      <c r="E164" s="2" t="n">
        <v>0</v>
      </c>
      <c r="F164" s="2" t="n">
        <v>0.2892327846669856</v>
      </c>
      <c r="G164" s="2" t="n">
        <v>0.68</v>
      </c>
    </row>
    <row r="165">
      <c r="A165" s="2" t="n">
        <v>147</v>
      </c>
      <c r="B165" s="2" t="n">
        <v>11246.20278205668</v>
      </c>
      <c r="C165" s="2" t="n">
        <v>12.46202782056679</v>
      </c>
      <c r="D165" s="2" t="n">
        <v>1246.202782056679</v>
      </c>
      <c r="E165" s="2" t="n">
        <v>0</v>
      </c>
      <c r="F165" s="2" t="n">
        <v>0.3593079726369104</v>
      </c>
      <c r="G165" s="2" t="n">
        <v>0.72</v>
      </c>
    </row>
    <row r="166">
      <c r="A166" s="2" t="n">
        <v>148</v>
      </c>
      <c r="B166" s="2" t="n">
        <v>11146.20278205668</v>
      </c>
      <c r="C166" s="2" t="n">
        <v>11.46202782056679</v>
      </c>
      <c r="D166" s="2" t="n">
        <v>1146.202782056679</v>
      </c>
      <c r="E166" s="2" t="n">
        <v>-100</v>
      </c>
      <c r="F166" s="2" t="n">
        <v>0.3593079726369104</v>
      </c>
      <c r="G166" s="2" t="n">
        <v>0.72</v>
      </c>
    </row>
    <row r="167">
      <c r="A167" s="2" t="n">
        <v>149</v>
      </c>
      <c r="B167" s="2" t="n">
        <v>11266.20278205668</v>
      </c>
      <c r="C167" s="2" t="n">
        <v>12.6620278205668</v>
      </c>
      <c r="D167" s="2" t="n">
        <v>1266.202782056679</v>
      </c>
      <c r="E167" s="2" t="n">
        <v>0</v>
      </c>
      <c r="F167" s="2" t="n">
        <v>0.4473079726369105</v>
      </c>
      <c r="G167" s="2" t="n">
        <v>0.76</v>
      </c>
    </row>
    <row r="168">
      <c r="A168" s="2" t="n">
        <v>150</v>
      </c>
      <c r="B168" s="2" t="n">
        <v>11323.34563919954</v>
      </c>
      <c r="C168" s="2" t="n">
        <v>13.23345639199537</v>
      </c>
      <c r="D168" s="2" t="n">
        <v>1323.345639199536</v>
      </c>
      <c r="E168" s="2" t="n">
        <v>0</v>
      </c>
      <c r="F168" s="2" t="n">
        <v>0.4189651154940533</v>
      </c>
      <c r="G168" s="2" t="n">
        <v>0.76</v>
      </c>
    </row>
    <row r="169">
      <c r="A169" s="2" t="n">
        <v>151</v>
      </c>
      <c r="B169" s="2" t="n">
        <v>11443.34563919954</v>
      </c>
      <c r="C169" s="2" t="n">
        <v>14.43345639199537</v>
      </c>
      <c r="D169" s="2" t="n">
        <v>1443.345639199536</v>
      </c>
      <c r="E169" s="2" t="n">
        <v>0</v>
      </c>
      <c r="F169" s="2" t="n">
        <v>0.4402984488273866</v>
      </c>
      <c r="G169" s="2" t="n">
        <v>0.76</v>
      </c>
    </row>
    <row r="170">
      <c r="A170" s="2" t="n">
        <v>152</v>
      </c>
      <c r="B170" s="2" t="n">
        <v>11343.34563919954</v>
      </c>
      <c r="C170" s="2" t="n">
        <v>13.43345639199537</v>
      </c>
      <c r="D170" s="2" t="n">
        <v>1343.345639199536</v>
      </c>
      <c r="E170" s="2" t="n">
        <v>-100</v>
      </c>
      <c r="F170" s="2" t="n">
        <v>0.4402984488273866</v>
      </c>
      <c r="G170" s="2" t="n">
        <v>0.76</v>
      </c>
    </row>
    <row r="171">
      <c r="A171" s="2" t="n">
        <v>153</v>
      </c>
      <c r="B171" s="2" t="n">
        <v>11243.34563919954</v>
      </c>
      <c r="C171" s="2" t="n">
        <v>12.43345639199537</v>
      </c>
      <c r="D171" s="2" t="n">
        <v>1243.345639199536</v>
      </c>
      <c r="E171" s="2" t="n">
        <v>-200</v>
      </c>
      <c r="F171" s="2" t="n">
        <v>0.3752984488273866</v>
      </c>
      <c r="G171" s="2" t="n">
        <v>0.72</v>
      </c>
    </row>
    <row r="172">
      <c r="A172" s="2" t="n">
        <v>154</v>
      </c>
      <c r="B172" s="2" t="n">
        <v>11371.34563919954</v>
      </c>
      <c r="C172" s="2" t="n">
        <v>13.71345639199537</v>
      </c>
      <c r="D172" s="2" t="n">
        <v>1371.345639199536</v>
      </c>
      <c r="E172" s="2" t="n">
        <v>-72</v>
      </c>
      <c r="F172" s="2" t="n">
        <v>0.3772984488273867</v>
      </c>
      <c r="G172" s="2" t="n">
        <v>0.72</v>
      </c>
    </row>
    <row r="173">
      <c r="A173" s="2" t="n">
        <v>155</v>
      </c>
      <c r="B173" s="2" t="n">
        <v>11438.0123058662</v>
      </c>
      <c r="C173" s="2" t="n">
        <v>14.38012305866203</v>
      </c>
      <c r="D173" s="2" t="n">
        <v>1438.012305866203</v>
      </c>
      <c r="E173" s="2" t="n">
        <v>-5.33333333333394</v>
      </c>
      <c r="F173" s="2" t="n">
        <v>0.3743354858644236</v>
      </c>
      <c r="G173" s="2" t="n">
        <v>0.72</v>
      </c>
    </row>
    <row r="174">
      <c r="A174" s="2" t="n">
        <v>156</v>
      </c>
      <c r="B174" s="2" t="n">
        <v>11338.0123058662</v>
      </c>
      <c r="C174" s="2" t="n">
        <v>13.38012305866203</v>
      </c>
      <c r="D174" s="2" t="n">
        <v>1338.012305866203</v>
      </c>
      <c r="E174" s="2" t="n">
        <v>-105.3333333333339</v>
      </c>
      <c r="F174" s="2" t="n">
        <v>0.2986212001501379</v>
      </c>
      <c r="G174" s="2" t="n">
        <v>0.68</v>
      </c>
    </row>
    <row r="175">
      <c r="A175" s="2" t="n">
        <v>157</v>
      </c>
      <c r="B175" s="2" t="n">
        <v>11466.0123058662</v>
      </c>
      <c r="C175" s="2" t="n">
        <v>14.66012305866203</v>
      </c>
      <c r="D175" s="2" t="n">
        <v>1466.012305866203</v>
      </c>
      <c r="E175" s="2" t="n">
        <v>0</v>
      </c>
      <c r="F175" s="2" t="n">
        <v>0.3134575637865016</v>
      </c>
      <c r="G175" s="2" t="n">
        <v>0.68</v>
      </c>
    </row>
    <row r="176">
      <c r="A176" s="2" t="n">
        <v>158</v>
      </c>
      <c r="B176" s="2" t="n">
        <v>11537.44087729478</v>
      </c>
      <c r="C176" s="2" t="n">
        <v>15.37440877294775</v>
      </c>
      <c r="D176" s="2" t="n">
        <v>1537.440877294775</v>
      </c>
      <c r="E176" s="2" t="n">
        <v>0</v>
      </c>
      <c r="F176" s="2" t="n">
        <v>0.3820289923579302</v>
      </c>
      <c r="G176" s="2" t="n">
        <v>0.72</v>
      </c>
    </row>
    <row r="177">
      <c r="A177" s="2" t="n">
        <v>159</v>
      </c>
      <c r="B177" s="2" t="n">
        <v>11437.44087729478</v>
      </c>
      <c r="C177" s="2" t="n">
        <v>14.37440877294775</v>
      </c>
      <c r="D177" s="2" t="n">
        <v>1437.440877294775</v>
      </c>
      <c r="E177" s="2" t="n">
        <v>-100</v>
      </c>
      <c r="F177" s="2" t="n">
        <v>0.2940289923579302</v>
      </c>
      <c r="G177" s="2" t="n">
        <v>0.68</v>
      </c>
    </row>
    <row r="178">
      <c r="A178" s="2" t="n">
        <v>160</v>
      </c>
      <c r="B178" s="2" t="n">
        <v>11337.44087729478</v>
      </c>
      <c r="C178" s="2" t="n">
        <v>13.37440877294775</v>
      </c>
      <c r="D178" s="2" t="n">
        <v>1337.440877294775</v>
      </c>
      <c r="E178" s="2" t="n">
        <v>-200</v>
      </c>
      <c r="F178" s="2" t="n">
        <v>0.2227789923579301</v>
      </c>
      <c r="G178" s="2" t="n">
        <v>0.64</v>
      </c>
    </row>
    <row r="179">
      <c r="A179" s="2" t="n">
        <v>161</v>
      </c>
      <c r="B179" s="2" t="n">
        <v>11400.73201653528</v>
      </c>
      <c r="C179" s="2" t="n">
        <v>14.00732016535281</v>
      </c>
      <c r="D179" s="2" t="n">
        <v>1400.732016535281</v>
      </c>
      <c r="E179" s="2" t="n">
        <v>-136.7088607594942</v>
      </c>
      <c r="F179" s="2" t="n">
        <v>0.2144820026759815</v>
      </c>
      <c r="G179" s="2" t="n">
        <v>0.64</v>
      </c>
    </row>
    <row r="180">
      <c r="A180" s="2" t="n">
        <v>162</v>
      </c>
      <c r="B180" s="2" t="n">
        <v>11300.73201653528</v>
      </c>
      <c r="C180" s="2" t="n">
        <v>13.00732016535281</v>
      </c>
      <c r="D180" s="2" t="n">
        <v>1300.732016535281</v>
      </c>
      <c r="E180" s="2" t="n">
        <v>-236.7088607594942</v>
      </c>
      <c r="F180" s="2" t="n">
        <v>0.1396993939803293</v>
      </c>
      <c r="G180" s="2" t="n">
        <v>0.6</v>
      </c>
    </row>
    <row r="181">
      <c r="A181" s="2" t="n">
        <v>163</v>
      </c>
      <c r="B181" s="2" t="n">
        <v>11200.73201653528</v>
      </c>
      <c r="C181" s="2" t="n">
        <v>12.00732016535281</v>
      </c>
      <c r="D181" s="2" t="n">
        <v>1200.732016535281</v>
      </c>
      <c r="E181" s="2" t="n">
        <v>-336.7088607594942</v>
      </c>
      <c r="F181" s="2" t="n">
        <v>0.07389294236742606</v>
      </c>
      <c r="G181" s="2" t="n">
        <v>0.5600000000000001</v>
      </c>
    </row>
    <row r="182">
      <c r="A182" s="2" t="n">
        <v>164</v>
      </c>
      <c r="B182" s="2" t="n">
        <v>11100.73201653528</v>
      </c>
      <c r="C182" s="2" t="n">
        <v>11.00732016535281</v>
      </c>
      <c r="D182" s="2" t="n">
        <v>1100.732016535281</v>
      </c>
      <c r="E182" s="2" t="n">
        <v>-436.7088607594942</v>
      </c>
      <c r="F182" s="2" t="n">
        <v>0.07389294236742608</v>
      </c>
      <c r="G182" s="2" t="n">
        <v>0.5600000000000001</v>
      </c>
    </row>
    <row r="183">
      <c r="A183" s="2" t="n">
        <v>165</v>
      </c>
      <c r="B183" s="2" t="n">
        <v>11203.73201653528</v>
      </c>
      <c r="C183" s="2" t="n">
        <v>12.03732016535281</v>
      </c>
      <c r="D183" s="2" t="n">
        <v>1203.732016535281</v>
      </c>
      <c r="E183" s="2" t="n">
        <v>-333.7088607594942</v>
      </c>
      <c r="F183" s="2" t="n">
        <v>0.06789294236742609</v>
      </c>
      <c r="G183" s="2" t="n">
        <v>0.5600000000000001</v>
      </c>
    </row>
    <row r="184">
      <c r="A184" s="2" t="n">
        <v>166</v>
      </c>
      <c r="B184" s="2" t="n">
        <v>11283.73201653528</v>
      </c>
      <c r="C184" s="2" t="n">
        <v>12.83732016535281</v>
      </c>
      <c r="D184" s="2" t="n">
        <v>1283.732016535281</v>
      </c>
      <c r="E184" s="2" t="n">
        <v>-253.7088607594942</v>
      </c>
      <c r="F184" s="2" t="n">
        <v>0.07565051812500184</v>
      </c>
      <c r="G184" s="2" t="n">
        <v>0.5600000000000001</v>
      </c>
    </row>
    <row r="185">
      <c r="A185" s="2" t="n">
        <v>167</v>
      </c>
      <c r="B185" s="2" t="n">
        <v>11367.06534986861</v>
      </c>
      <c r="C185" s="2" t="n">
        <v>13.67065349868615</v>
      </c>
      <c r="D185" s="2" t="n">
        <v>1367.065349868614</v>
      </c>
      <c r="E185" s="2" t="n">
        <v>-170.3755274261621</v>
      </c>
      <c r="F185" s="2" t="n">
        <v>0.1489838514583352</v>
      </c>
      <c r="G185" s="2" t="n">
        <v>0.6</v>
      </c>
    </row>
    <row r="186">
      <c r="A186" s="2" t="n">
        <v>168</v>
      </c>
      <c r="B186" s="2" t="n">
        <v>11507.06534986861</v>
      </c>
      <c r="C186" s="2" t="n">
        <v>15.07065349868615</v>
      </c>
      <c r="D186" s="2" t="n">
        <v>1507.065349868614</v>
      </c>
      <c r="E186" s="2" t="n">
        <v>-30.37552742616208</v>
      </c>
      <c r="F186" s="2" t="n">
        <v>0.1686202150946988</v>
      </c>
      <c r="G186" s="2" t="n">
        <v>0.6</v>
      </c>
    </row>
    <row r="187">
      <c r="A187" s="2" t="n">
        <v>169</v>
      </c>
      <c r="B187" s="2" t="n">
        <v>11583.98842679169</v>
      </c>
      <c r="C187" s="2" t="n">
        <v>15.83988426791692</v>
      </c>
      <c r="D187" s="2" t="n">
        <v>1583.988426791691</v>
      </c>
      <c r="E187" s="2" t="n">
        <v>0</v>
      </c>
      <c r="F187" s="2" t="n">
        <v>0.2393894458639296</v>
      </c>
      <c r="G187" s="2" t="n">
        <v>0.64</v>
      </c>
    </row>
    <row r="188">
      <c r="A188" s="2" t="n">
        <v>170</v>
      </c>
      <c r="B188" s="2" t="n">
        <v>11483.98842679169</v>
      </c>
      <c r="C188" s="2" t="n">
        <v>14.83988426791692</v>
      </c>
      <c r="D188" s="2" t="n">
        <v>1483.988426791691</v>
      </c>
      <c r="E188" s="2" t="n">
        <v>-100</v>
      </c>
      <c r="F188" s="2" t="n">
        <v>0.1743894458639296</v>
      </c>
      <c r="G188" s="2" t="n">
        <v>0.6</v>
      </c>
    </row>
    <row r="189">
      <c r="A189" s="2" t="n">
        <v>171</v>
      </c>
      <c r="B189" s="2" t="n">
        <v>11383.98842679169</v>
      </c>
      <c r="C189" s="2" t="n">
        <v>13.83988426791692</v>
      </c>
      <c r="D189" s="2" t="n">
        <v>1383.988426791691</v>
      </c>
      <c r="E189" s="2" t="n">
        <v>-200</v>
      </c>
      <c r="F189" s="2" t="n">
        <v>0.08518944586392958</v>
      </c>
      <c r="G189" s="2" t="n">
        <v>0.5600000000000001</v>
      </c>
    </row>
    <row r="190">
      <c r="A190" s="2" t="n">
        <v>172</v>
      </c>
      <c r="B190" s="2" t="n">
        <v>11283.98842679169</v>
      </c>
      <c r="C190" s="2" t="n">
        <v>12.83988426791692</v>
      </c>
      <c r="D190" s="2" t="n">
        <v>1283.988426791691</v>
      </c>
      <c r="E190" s="2" t="n">
        <v>-300</v>
      </c>
      <c r="F190" s="2" t="n">
        <v>0.01511425789400477</v>
      </c>
      <c r="G190" s="2" t="n">
        <v>0.52</v>
      </c>
    </row>
    <row r="191">
      <c r="A191" s="2" t="n">
        <v>173</v>
      </c>
      <c r="B191" s="2" t="n">
        <v>11183.98842679169</v>
      </c>
      <c r="C191" s="2" t="n">
        <v>11.83988426791692</v>
      </c>
      <c r="D191" s="2" t="n">
        <v>1183.988426791691</v>
      </c>
      <c r="E191" s="2" t="n">
        <v>-400</v>
      </c>
      <c r="F191" s="2" t="n">
        <v>0.01511425789400477</v>
      </c>
      <c r="G191" s="2" t="n">
        <v>0.52</v>
      </c>
    </row>
    <row r="192">
      <c r="A192" s="2" t="n">
        <v>174</v>
      </c>
      <c r="B192" s="2" t="n">
        <v>11083.98842679169</v>
      </c>
      <c r="C192" s="2" t="n">
        <v>10.83988426791692</v>
      </c>
      <c r="D192" s="2" t="n">
        <v>1083.988426791691</v>
      </c>
      <c r="E192" s="2" t="n">
        <v>-500</v>
      </c>
      <c r="F192" s="2" t="n">
        <v>-0.07288574210599523</v>
      </c>
      <c r="G192" s="2" t="n">
        <v>0.48</v>
      </c>
    </row>
    <row r="193">
      <c r="A193" s="2" t="n">
        <v>175</v>
      </c>
      <c r="B193" s="2" t="n">
        <v>11161.50780663665</v>
      </c>
      <c r="C193" s="2" t="n">
        <v>11.61507806636653</v>
      </c>
      <c r="D193" s="2" t="n">
        <v>1161.507806636652</v>
      </c>
      <c r="E193" s="2" t="n">
        <v>-422.48062015504</v>
      </c>
      <c r="F193" s="2" t="n">
        <v>-0.06473513302515359</v>
      </c>
      <c r="G193" s="2" t="n">
        <v>0.48</v>
      </c>
    </row>
    <row r="194">
      <c r="A194" s="2" t="n">
        <v>176</v>
      </c>
      <c r="B194" s="2" t="n">
        <v>11061.50780663665</v>
      </c>
      <c r="C194" s="2" t="n">
        <v>10.61507806636653</v>
      </c>
      <c r="D194" s="2" t="n">
        <v>1061.507806636652</v>
      </c>
      <c r="E194" s="2" t="n">
        <v>-522.48062015504</v>
      </c>
      <c r="F194" s="2" t="n">
        <v>-0.1527351330251536</v>
      </c>
      <c r="G194" s="2" t="n">
        <v>0.44</v>
      </c>
    </row>
    <row r="195">
      <c r="A195" s="2" t="n">
        <v>177</v>
      </c>
      <c r="B195" s="2" t="n">
        <v>10961.50780663665</v>
      </c>
      <c r="C195" s="2" t="n">
        <v>9.615078066366531</v>
      </c>
      <c r="D195" s="2" t="n">
        <v>961.5078066366523</v>
      </c>
      <c r="E195" s="2" t="n">
        <v>-622.48062015504</v>
      </c>
      <c r="F195" s="2" t="n">
        <v>-0.1527351330251536</v>
      </c>
      <c r="G195" s="2" t="n">
        <v>0.44</v>
      </c>
    </row>
    <row r="196">
      <c r="A196" s="2" t="n">
        <v>178</v>
      </c>
      <c r="B196" s="2" t="n">
        <v>10861.50780663665</v>
      </c>
      <c r="C196" s="2" t="n">
        <v>8.615078066366531</v>
      </c>
      <c r="D196" s="2" t="n">
        <v>861.5078066366523</v>
      </c>
      <c r="E196" s="2" t="n">
        <v>-722.48062015504</v>
      </c>
      <c r="F196" s="2" t="n">
        <v>-0.1527351330251536</v>
      </c>
      <c r="G196" s="2" t="n">
        <v>0.44</v>
      </c>
    </row>
    <row r="197">
      <c r="A197" s="2" t="n">
        <v>179</v>
      </c>
      <c r="B197" s="2" t="n">
        <v>10926.02393566891</v>
      </c>
      <c r="C197" s="2" t="n">
        <v>9.260239356689111</v>
      </c>
      <c r="D197" s="2" t="n">
        <v>926.0239356689103</v>
      </c>
      <c r="E197" s="2" t="n">
        <v>-657.9644911227806</v>
      </c>
      <c r="F197" s="2" t="n">
        <v>-0.1781286814122504</v>
      </c>
      <c r="G197" s="2" t="n">
        <v>0.44</v>
      </c>
    </row>
    <row r="198">
      <c r="A198" s="2" t="n">
        <v>180</v>
      </c>
      <c r="B198" s="2" t="n">
        <v>10826.02393566891</v>
      </c>
      <c r="C198" s="2" t="n">
        <v>8.260239356689111</v>
      </c>
      <c r="D198" s="2" t="n">
        <v>826.0239356689103</v>
      </c>
      <c r="E198" s="2" t="n">
        <v>-757.9644911227806</v>
      </c>
      <c r="F198" s="2" t="n">
        <v>-0.244795348078917</v>
      </c>
      <c r="G198" s="2" t="n">
        <v>0.4</v>
      </c>
    </row>
    <row r="199">
      <c r="A199" s="2" t="n">
        <v>181</v>
      </c>
      <c r="B199" s="2" t="n">
        <v>10892.69060233558</v>
      </c>
      <c r="C199" s="2" t="n">
        <v>8.926906023355777</v>
      </c>
      <c r="D199" s="2" t="n">
        <v>892.690602335577</v>
      </c>
      <c r="E199" s="2" t="n">
        <v>-691.2978244561145</v>
      </c>
      <c r="F199" s="2" t="n">
        <v>-0.1781286814122504</v>
      </c>
      <c r="G199" s="2" t="n">
        <v>0.44</v>
      </c>
    </row>
    <row r="200">
      <c r="A200" s="2" t="n">
        <v>182</v>
      </c>
      <c r="B200" s="2" t="n">
        <v>10987.92869757367</v>
      </c>
      <c r="C200" s="2" t="n">
        <v>9.879286975736729</v>
      </c>
      <c r="D200" s="2" t="n">
        <v>987.9286975736721</v>
      </c>
      <c r="E200" s="2" t="n">
        <v>-596.0597292180191</v>
      </c>
      <c r="F200" s="2" t="n">
        <v>-0.1912334433170123</v>
      </c>
      <c r="G200" s="2" t="n">
        <v>0.44</v>
      </c>
    </row>
    <row r="201">
      <c r="A201" s="2" t="n">
        <v>183</v>
      </c>
      <c r="B201" s="2" t="n">
        <v>11125.92869757367</v>
      </c>
      <c r="C201" s="2" t="n">
        <v>11.25928697573673</v>
      </c>
      <c r="D201" s="2" t="n">
        <v>1125.928697573672</v>
      </c>
      <c r="E201" s="2" t="n">
        <v>-458.0597292180191</v>
      </c>
      <c r="F201" s="2" t="n">
        <v>-0.1646048718884409</v>
      </c>
      <c r="G201" s="2" t="n">
        <v>0.44</v>
      </c>
    </row>
    <row r="202">
      <c r="A202" s="2" t="n">
        <v>184</v>
      </c>
      <c r="B202" s="2" t="n">
        <v>11195.85876750374</v>
      </c>
      <c r="C202" s="2" t="n">
        <v>11.95858767503743</v>
      </c>
      <c r="D202" s="2" t="n">
        <v>1195.858767503742</v>
      </c>
      <c r="E202" s="2" t="n">
        <v>-388.1296592879498</v>
      </c>
      <c r="F202" s="2" t="n">
        <v>-0.09663284391641291</v>
      </c>
      <c r="G202" s="2" t="n">
        <v>0.48</v>
      </c>
    </row>
    <row r="203">
      <c r="A203" s="2" t="n">
        <v>185</v>
      </c>
      <c r="B203" s="2" t="n">
        <v>11310.85876750374</v>
      </c>
      <c r="C203" s="2" t="n">
        <v>13.10858767503743</v>
      </c>
      <c r="D203" s="2" t="n">
        <v>1310.858767503742</v>
      </c>
      <c r="E203" s="2" t="n">
        <v>-273.1296592879498</v>
      </c>
      <c r="F203" s="2" t="n">
        <v>-0.01063284391641292</v>
      </c>
      <c r="G203" s="2" t="n">
        <v>0.52</v>
      </c>
    </row>
    <row r="204">
      <c r="A204" s="2" t="n">
        <v>186</v>
      </c>
      <c r="B204" s="2" t="n">
        <v>11435.85876750374</v>
      </c>
      <c r="C204" s="2" t="n">
        <v>14.35858767503743</v>
      </c>
      <c r="D204" s="2" t="n">
        <v>1435.858767503742</v>
      </c>
      <c r="E204" s="2" t="n">
        <v>-148.1296592879498</v>
      </c>
      <c r="F204" s="2" t="n">
        <v>0.01405070038738455</v>
      </c>
      <c r="G204" s="2" t="n">
        <v>0.52</v>
      </c>
    </row>
    <row r="205">
      <c r="A205" s="2" t="n">
        <v>187</v>
      </c>
      <c r="B205" s="2" t="n">
        <v>11502.52543417041</v>
      </c>
      <c r="C205" s="2" t="n">
        <v>15.02525434170409</v>
      </c>
      <c r="D205" s="2" t="n">
        <v>1502.525434170409</v>
      </c>
      <c r="E205" s="2" t="n">
        <v>-81.46299262128196</v>
      </c>
      <c r="F205" s="2" t="n">
        <v>0.08071736705405121</v>
      </c>
      <c r="G205" s="2" t="n">
        <v>0.5600000000000001</v>
      </c>
    </row>
    <row r="206">
      <c r="A206" s="2" t="n">
        <v>188</v>
      </c>
      <c r="B206" s="2" t="n">
        <v>11602.52543417041</v>
      </c>
      <c r="C206" s="2" t="n">
        <v>16.02525434170409</v>
      </c>
      <c r="D206" s="2" t="n">
        <v>1602.525434170409</v>
      </c>
      <c r="E206" s="2" t="n">
        <v>0</v>
      </c>
      <c r="F206" s="2" t="n">
        <v>0.1607173670540512</v>
      </c>
      <c r="G206" s="2" t="n">
        <v>0.6</v>
      </c>
    </row>
    <row r="207">
      <c r="A207" s="2" t="n">
        <v>189</v>
      </c>
      <c r="B207" s="2" t="n">
        <v>11737.52543417041</v>
      </c>
      <c r="C207" s="2" t="n">
        <v>17.3752543417041</v>
      </c>
      <c r="D207" s="2" t="n">
        <v>1737.525434170409</v>
      </c>
      <c r="E207" s="2" t="n">
        <v>0</v>
      </c>
      <c r="F207" s="2" t="n">
        <v>0.2547173670540512</v>
      </c>
      <c r="G207" s="2" t="n">
        <v>0.64</v>
      </c>
    </row>
    <row r="208">
      <c r="A208" s="2" t="n">
        <v>190</v>
      </c>
      <c r="B208" s="2" t="n">
        <v>11804.19210083708</v>
      </c>
      <c r="C208" s="2" t="n">
        <v>18.04192100837076</v>
      </c>
      <c r="D208" s="2" t="n">
        <v>1804.192100837076</v>
      </c>
      <c r="E208" s="2" t="n">
        <v>0</v>
      </c>
      <c r="F208" s="2" t="n">
        <v>0.2401840337207179</v>
      </c>
      <c r="G208" s="2" t="n">
        <v>0.64</v>
      </c>
    </row>
    <row r="209">
      <c r="A209" s="2" t="n">
        <v>191</v>
      </c>
      <c r="B209" s="2" t="n">
        <v>11704.19210083708</v>
      </c>
      <c r="C209" s="2" t="n">
        <v>17.04192100837076</v>
      </c>
      <c r="D209" s="2" t="n">
        <v>1704.192100837076</v>
      </c>
      <c r="E209" s="2" t="n">
        <v>-100</v>
      </c>
      <c r="F209" s="2" t="n">
        <v>0.1681840337207179</v>
      </c>
      <c r="G209" s="2" t="n">
        <v>0.6</v>
      </c>
    </row>
    <row r="210">
      <c r="A210" s="2" t="n">
        <v>192</v>
      </c>
      <c r="B210" s="2" t="n">
        <v>11799.43019607517</v>
      </c>
      <c r="C210" s="2" t="n">
        <v>17.99430196075172</v>
      </c>
      <c r="D210" s="2" t="n">
        <v>1799.430196075171</v>
      </c>
      <c r="E210" s="2" t="n">
        <v>-4.761904761904589</v>
      </c>
      <c r="F210" s="2" t="n">
        <v>0.1729459384826226</v>
      </c>
      <c r="G210" s="2" t="n">
        <v>0.6</v>
      </c>
    </row>
    <row r="211">
      <c r="A211" s="2" t="n">
        <v>193</v>
      </c>
      <c r="B211" s="2" t="n">
        <v>11919.43019607517</v>
      </c>
      <c r="C211" s="2" t="n">
        <v>19.19430196075172</v>
      </c>
      <c r="D211" s="2" t="n">
        <v>1919.430196075171</v>
      </c>
      <c r="E211" s="2" t="n">
        <v>0</v>
      </c>
      <c r="F211" s="2" t="n">
        <v>0.1649459384826226</v>
      </c>
      <c r="G211" s="2" t="n">
        <v>0.6</v>
      </c>
    </row>
    <row r="212">
      <c r="A212" s="2" t="n">
        <v>194</v>
      </c>
      <c r="B212" s="2" t="n">
        <v>11988.39571331655</v>
      </c>
      <c r="C212" s="2" t="n">
        <v>19.88395713316551</v>
      </c>
      <c r="D212" s="2" t="n">
        <v>1988.39571331655</v>
      </c>
      <c r="E212" s="2" t="n">
        <v>0</v>
      </c>
      <c r="F212" s="2" t="n">
        <v>0.1617629146099436</v>
      </c>
      <c r="G212" s="2" t="n">
        <v>0.6</v>
      </c>
    </row>
    <row r="213">
      <c r="A213" s="2" t="n">
        <v>195</v>
      </c>
      <c r="B213" s="2" t="n">
        <v>12118.39571331655</v>
      </c>
      <c r="C213" s="2" t="n">
        <v>21.18395713316551</v>
      </c>
      <c r="D213" s="2" t="n">
        <v>2118.39571331655</v>
      </c>
      <c r="E213" s="2" t="n">
        <v>0</v>
      </c>
      <c r="F213" s="2" t="n">
        <v>0.2537629146099436</v>
      </c>
      <c r="G213" s="2" t="n">
        <v>0.64</v>
      </c>
    </row>
    <row r="214">
      <c r="A214" s="2" t="n">
        <v>196</v>
      </c>
      <c r="B214" s="2" t="n">
        <v>12180.89571331655</v>
      </c>
      <c r="C214" s="2" t="n">
        <v>21.80895713316551</v>
      </c>
      <c r="D214" s="2" t="n">
        <v>2180.89571331655</v>
      </c>
      <c r="E214" s="2" t="n">
        <v>0</v>
      </c>
      <c r="F214" s="2" t="n">
        <v>0.3187629146099436</v>
      </c>
      <c r="G214" s="2" t="n">
        <v>0.68</v>
      </c>
    </row>
    <row r="215">
      <c r="A215" s="2" t="n">
        <v>197</v>
      </c>
      <c r="B215" s="2" t="n">
        <v>12080.89571331655</v>
      </c>
      <c r="C215" s="2" t="n">
        <v>20.80895713316551</v>
      </c>
      <c r="D215" s="2" t="n">
        <v>2080.89571331655</v>
      </c>
      <c r="E215" s="2" t="n">
        <v>-100</v>
      </c>
      <c r="F215" s="2" t="n">
        <v>0.3187629146099436</v>
      </c>
      <c r="G215" s="2" t="n">
        <v>0.68</v>
      </c>
    </row>
    <row r="216">
      <c r="A216" s="2" t="n">
        <v>198</v>
      </c>
      <c r="B216" s="2" t="n">
        <v>11980.89571331655</v>
      </c>
      <c r="C216" s="2" t="n">
        <v>19.80895713316551</v>
      </c>
      <c r="D216" s="2" t="n">
        <v>1980.89571331655</v>
      </c>
      <c r="E216" s="2" t="n">
        <v>-200</v>
      </c>
      <c r="F216" s="2" t="n">
        <v>0.3187629146099436</v>
      </c>
      <c r="G216" s="2" t="n">
        <v>0.68</v>
      </c>
    </row>
    <row r="217">
      <c r="A217" s="2" t="n">
        <v>199</v>
      </c>
      <c r="B217" s="2" t="n">
        <v>12071.80480422564</v>
      </c>
      <c r="C217" s="2" t="n">
        <v>20.71804804225642</v>
      </c>
      <c r="D217" s="2" t="n">
        <v>2071.804804225641</v>
      </c>
      <c r="E217" s="2" t="n">
        <v>-109.0909090909081</v>
      </c>
      <c r="F217" s="2" t="n">
        <v>0.3951265509735799</v>
      </c>
      <c r="G217" s="2" t="n">
        <v>0.72</v>
      </c>
    </row>
    <row r="218">
      <c r="A218" s="2" t="n">
        <v>200</v>
      </c>
      <c r="B218" s="2" t="n">
        <v>12145.87887829971</v>
      </c>
      <c r="C218" s="2" t="n">
        <v>21.45878878299716</v>
      </c>
      <c r="D218" s="2" t="n">
        <v>2145.878878299715</v>
      </c>
      <c r="E218" s="2" t="n">
        <v>-35.0168350168351</v>
      </c>
      <c r="F218" s="2" t="n">
        <v>0.3937484286652251</v>
      </c>
      <c r="G218" s="2" t="n">
        <v>0.72</v>
      </c>
    </row>
    <row r="219">
      <c r="A219" s="2" t="n">
        <v>201</v>
      </c>
      <c r="B219" s="2" t="n">
        <v>12267.87887829971</v>
      </c>
      <c r="C219" s="2" t="n">
        <v>22.67878878299716</v>
      </c>
      <c r="D219" s="2" t="n">
        <v>2267.878878299715</v>
      </c>
      <c r="E219" s="2" t="n">
        <v>0</v>
      </c>
      <c r="F219" s="2" t="n">
        <v>0.4825484286652251</v>
      </c>
      <c r="G219" s="2" t="n">
        <v>0.76</v>
      </c>
    </row>
    <row r="220">
      <c r="A220" s="2" t="n">
        <v>202</v>
      </c>
      <c r="B220" s="2" t="n">
        <v>12167.87887829971</v>
      </c>
      <c r="C220" s="2" t="n">
        <v>21.67878878299716</v>
      </c>
      <c r="D220" s="2" t="n">
        <v>2167.878878299715</v>
      </c>
      <c r="E220" s="2" t="n">
        <v>-100</v>
      </c>
      <c r="F220" s="2" t="n">
        <v>0.4825484286652251</v>
      </c>
      <c r="G220" s="2" t="n">
        <v>0.76</v>
      </c>
    </row>
    <row r="221">
      <c r="A221" s="2" t="n">
        <v>203</v>
      </c>
      <c r="B221" s="2" t="n">
        <v>12067.87887829971</v>
      </c>
      <c r="C221" s="2" t="n">
        <v>20.67878878299716</v>
      </c>
      <c r="D221" s="2" t="n">
        <v>2067.878878299715</v>
      </c>
      <c r="E221" s="2" t="n">
        <v>-200</v>
      </c>
      <c r="F221" s="2" t="n">
        <v>0.4825484286652251</v>
      </c>
      <c r="G221" s="2" t="n">
        <v>0.76</v>
      </c>
    </row>
    <row r="222">
      <c r="A222" s="2" t="n">
        <v>204</v>
      </c>
      <c r="B222" s="2" t="n">
        <v>12125.02173544257</v>
      </c>
      <c r="C222" s="2" t="n">
        <v>21.25021735442573</v>
      </c>
      <c r="D222" s="2" t="n">
        <v>2125.021735442572</v>
      </c>
      <c r="E222" s="2" t="n">
        <v>-142.8571428571413</v>
      </c>
      <c r="F222" s="2" t="n">
        <v>0.4795991199094647</v>
      </c>
      <c r="G222" s="2" t="n">
        <v>0.76</v>
      </c>
    </row>
    <row r="223">
      <c r="A223" s="2" t="n">
        <v>205</v>
      </c>
      <c r="B223" s="2" t="n">
        <v>12025.02173544257</v>
      </c>
      <c r="C223" s="2" t="n">
        <v>20.25021735442573</v>
      </c>
      <c r="D223" s="2" t="n">
        <v>2025.021735442572</v>
      </c>
      <c r="E223" s="2" t="n">
        <v>-242.8571428571413</v>
      </c>
      <c r="F223" s="2" t="n">
        <v>0.4795991199094647</v>
      </c>
      <c r="G223" s="2" t="n">
        <v>0.76</v>
      </c>
    </row>
    <row r="224">
      <c r="A224" s="2" t="n">
        <v>206</v>
      </c>
      <c r="B224" s="2" t="n">
        <v>11925.02173544257</v>
      </c>
      <c r="C224" s="2" t="n">
        <v>19.25021735442573</v>
      </c>
      <c r="D224" s="2" t="n">
        <v>1925.021735442572</v>
      </c>
      <c r="E224" s="2" t="n">
        <v>-342.8571428571413</v>
      </c>
      <c r="F224" s="2" t="n">
        <v>0.412932453242798</v>
      </c>
      <c r="G224" s="2" t="n">
        <v>0.72</v>
      </c>
    </row>
    <row r="225">
      <c r="A225" s="2" t="n">
        <v>207</v>
      </c>
      <c r="B225" s="2" t="n">
        <v>11825.02173544257</v>
      </c>
      <c r="C225" s="2" t="n">
        <v>18.25021735442573</v>
      </c>
      <c r="D225" s="2" t="n">
        <v>1825.021735442572</v>
      </c>
      <c r="E225" s="2" t="n">
        <v>-442.8571428571413</v>
      </c>
      <c r="F225" s="2" t="n">
        <v>0.3348372151475599</v>
      </c>
      <c r="G225" s="2" t="n">
        <v>0.68</v>
      </c>
    </row>
    <row r="226">
      <c r="A226" s="2" t="n">
        <v>208</v>
      </c>
      <c r="B226" s="2" t="n">
        <v>11725.02173544257</v>
      </c>
      <c r="C226" s="2" t="n">
        <v>17.25021735442573</v>
      </c>
      <c r="D226" s="2" t="n">
        <v>1725.021735442572</v>
      </c>
      <c r="E226" s="2" t="n">
        <v>-542.8571428571413</v>
      </c>
      <c r="F226" s="2" t="n">
        <v>0.23963721514756</v>
      </c>
      <c r="G226" s="2" t="n">
        <v>0.64</v>
      </c>
    </row>
    <row r="227">
      <c r="A227" s="2" t="n">
        <v>209</v>
      </c>
      <c r="B227" s="2" t="n">
        <v>11793.98725268395</v>
      </c>
      <c r="C227" s="2" t="n">
        <v>17.93987252683953</v>
      </c>
      <c r="D227" s="2" t="n">
        <v>1793.987252683952</v>
      </c>
      <c r="E227" s="2" t="n">
        <v>-473.8916256157627</v>
      </c>
      <c r="F227" s="2" t="n">
        <v>0.2392513940720837</v>
      </c>
      <c r="G227" s="2" t="n">
        <v>0.64</v>
      </c>
    </row>
    <row r="228">
      <c r="A228" s="2" t="n">
        <v>210</v>
      </c>
      <c r="B228" s="2" t="n">
        <v>11693.98725268395</v>
      </c>
      <c r="C228" s="2" t="n">
        <v>16.93987252683953</v>
      </c>
      <c r="D228" s="2" t="n">
        <v>1693.987252683952</v>
      </c>
      <c r="E228" s="2" t="n">
        <v>-573.8916256157627</v>
      </c>
      <c r="F228" s="2" t="n">
        <v>0.1532513940720837</v>
      </c>
      <c r="G228" s="2" t="n">
        <v>0.6</v>
      </c>
    </row>
    <row r="229">
      <c r="A229" s="2" t="n">
        <v>211</v>
      </c>
      <c r="B229" s="2" t="n">
        <v>11593.98725268395</v>
      </c>
      <c r="C229" s="2" t="n">
        <v>15.93987252683953</v>
      </c>
      <c r="D229" s="2" t="n">
        <v>1593.987252683952</v>
      </c>
      <c r="E229" s="2" t="n">
        <v>-673.8916256157627</v>
      </c>
      <c r="F229" s="2" t="n">
        <v>0.06325139407208372</v>
      </c>
      <c r="G229" s="2" t="n">
        <v>0.5600000000000001</v>
      </c>
    </row>
    <row r="230">
      <c r="A230" s="2" t="n">
        <v>212</v>
      </c>
      <c r="B230" s="2" t="n">
        <v>11493.98725268395</v>
      </c>
      <c r="C230" s="2" t="n">
        <v>14.93987252683953</v>
      </c>
      <c r="D230" s="2" t="n">
        <v>1493.987252683952</v>
      </c>
      <c r="E230" s="2" t="n">
        <v>-773.8916256157627</v>
      </c>
      <c r="F230" s="2" t="n">
        <v>-0.00341527259458295</v>
      </c>
      <c r="G230" s="2" t="n">
        <v>0.52</v>
      </c>
    </row>
    <row r="231">
      <c r="A231" s="2" t="n">
        <v>213</v>
      </c>
      <c r="B231" s="2" t="n">
        <v>11393.98725268395</v>
      </c>
      <c r="C231" s="2" t="n">
        <v>13.93987252683953</v>
      </c>
      <c r="D231" s="2" t="n">
        <v>1393.987252683952</v>
      </c>
      <c r="E231" s="2" t="n">
        <v>-873.8916256157627</v>
      </c>
      <c r="F231" s="2" t="n">
        <v>-0.08341527259458296</v>
      </c>
      <c r="G231" s="2" t="n">
        <v>0.48</v>
      </c>
    </row>
    <row r="232">
      <c r="A232" s="2" t="n">
        <v>214</v>
      </c>
      <c r="B232" s="2" t="n">
        <v>11293.98725268395</v>
      </c>
      <c r="C232" s="2" t="n">
        <v>12.93987252683953</v>
      </c>
      <c r="D232" s="2" t="n">
        <v>1293.987252683952</v>
      </c>
      <c r="E232" s="2" t="n">
        <v>-973.8916256157627</v>
      </c>
      <c r="F232" s="2" t="n">
        <v>-0.177415272594583</v>
      </c>
      <c r="G232" s="2" t="n">
        <v>0.44</v>
      </c>
    </row>
    <row r="233">
      <c r="A233" s="2" t="n">
        <v>215</v>
      </c>
      <c r="B233" s="2" t="n">
        <v>11193.98725268395</v>
      </c>
      <c r="C233" s="2" t="n">
        <v>11.93987252683953</v>
      </c>
      <c r="D233" s="2" t="n">
        <v>1193.987252683952</v>
      </c>
      <c r="E233" s="2" t="n">
        <v>-1073.891625615763</v>
      </c>
      <c r="F233" s="2" t="n">
        <v>-0.2440819392612496</v>
      </c>
      <c r="G233" s="2" t="n">
        <v>0.4</v>
      </c>
    </row>
    <row r="234">
      <c r="A234" s="2" t="n">
        <v>216</v>
      </c>
      <c r="B234" s="2" t="n">
        <v>11093.98725268395</v>
      </c>
      <c r="C234" s="2" t="n">
        <v>10.93987252683953</v>
      </c>
      <c r="D234" s="2" t="n">
        <v>1093.987252683952</v>
      </c>
      <c r="E234" s="2" t="n">
        <v>-1173.891625615763</v>
      </c>
      <c r="F234" s="2" t="n">
        <v>-0.2440819392612496</v>
      </c>
      <c r="G234" s="2" t="n">
        <v>0.4</v>
      </c>
    </row>
    <row r="235">
      <c r="A235" s="2" t="n">
        <v>217</v>
      </c>
      <c r="B235" s="2" t="n">
        <v>11168.61411835559</v>
      </c>
      <c r="C235" s="2" t="n">
        <v>11.68614118355594</v>
      </c>
      <c r="D235" s="2" t="n">
        <v>1168.614118355593</v>
      </c>
      <c r="E235" s="2" t="n">
        <v>-1099.264759944121</v>
      </c>
      <c r="F235" s="2" t="n">
        <v>-0.252326431087831</v>
      </c>
      <c r="G235" s="2" t="n">
        <v>0.4</v>
      </c>
    </row>
    <row r="236">
      <c r="A236" s="2" t="n">
        <v>218</v>
      </c>
      <c r="B236" s="2" t="n">
        <v>11259.52320926468</v>
      </c>
      <c r="C236" s="2" t="n">
        <v>12.59523209264685</v>
      </c>
      <c r="D236" s="2" t="n">
        <v>1259.523209264684</v>
      </c>
      <c r="E236" s="2" t="n">
        <v>-1008.355669035031</v>
      </c>
      <c r="F236" s="2" t="n">
        <v>-0.2639627947241946</v>
      </c>
      <c r="G236" s="2" t="n">
        <v>0.4</v>
      </c>
    </row>
    <row r="237">
      <c r="A237" s="2" t="n">
        <v>219</v>
      </c>
      <c r="B237" s="2" t="n">
        <v>11159.52320926468</v>
      </c>
      <c r="C237" s="2" t="n">
        <v>11.59523209264685</v>
      </c>
      <c r="D237" s="2" t="n">
        <v>1159.523209264684</v>
      </c>
      <c r="E237" s="2" t="n">
        <v>-1108.355669035031</v>
      </c>
      <c r="F237" s="2" t="n">
        <v>-0.3315490016207464</v>
      </c>
      <c r="G237" s="2" t="n">
        <v>0.36</v>
      </c>
    </row>
    <row r="238">
      <c r="A238" s="2" t="n">
        <v>220</v>
      </c>
      <c r="B238" s="2" t="n">
        <v>11274.52320926468</v>
      </c>
      <c r="C238" s="2" t="n">
        <v>12.74523209264685</v>
      </c>
      <c r="D238" s="2" t="n">
        <v>1274.523209264684</v>
      </c>
      <c r="E238" s="2" t="n">
        <v>-993.3556690350306</v>
      </c>
      <c r="F238" s="2" t="n">
        <v>-0.3375490016207464</v>
      </c>
      <c r="G238" s="2" t="n">
        <v>0.36</v>
      </c>
    </row>
    <row r="239">
      <c r="A239" s="2" t="n">
        <v>221</v>
      </c>
      <c r="B239" s="2" t="n">
        <v>11327.15478821205</v>
      </c>
      <c r="C239" s="2" t="n">
        <v>13.27154788212054</v>
      </c>
      <c r="D239" s="2" t="n">
        <v>1327.154788212053</v>
      </c>
      <c r="E239" s="2" t="n">
        <v>-940.7240900876623</v>
      </c>
      <c r="F239" s="2" t="n">
        <v>-0.3414963700417989</v>
      </c>
      <c r="G239" s="2" t="n">
        <v>0.36</v>
      </c>
    </row>
    <row r="240">
      <c r="A240" s="2" t="n">
        <v>222</v>
      </c>
      <c r="B240" s="2" t="n">
        <v>11450.15478821205</v>
      </c>
      <c r="C240" s="2" t="n">
        <v>14.50154788212054</v>
      </c>
      <c r="D240" s="2" t="n">
        <v>1450.154788212053</v>
      </c>
      <c r="E240" s="2" t="n">
        <v>-817.7240900876623</v>
      </c>
      <c r="F240" s="2" t="n">
        <v>-0.252296370041799</v>
      </c>
      <c r="G240" s="2" t="n">
        <v>0.4</v>
      </c>
    </row>
    <row r="241">
      <c r="A241" s="2" t="n">
        <v>223</v>
      </c>
      <c r="B241" s="2" t="n">
        <v>11510.76084881811</v>
      </c>
      <c r="C241" s="2" t="n">
        <v>15.10760848818114</v>
      </c>
      <c r="D241" s="2" t="n">
        <v>1510.760848818113</v>
      </c>
      <c r="E241" s="2" t="n">
        <v>-757.1180294816004</v>
      </c>
      <c r="F241" s="2" t="n">
        <v>-0.1880539457993748</v>
      </c>
      <c r="G241" s="2" t="n">
        <v>0.44</v>
      </c>
    </row>
    <row r="242">
      <c r="A242" s="2" t="n">
        <v>224</v>
      </c>
      <c r="B242" s="2" t="n">
        <v>11620.76084881811</v>
      </c>
      <c r="C242" s="2" t="n">
        <v>16.20760848818114</v>
      </c>
      <c r="D242" s="2" t="n">
        <v>1620.760848818113</v>
      </c>
      <c r="E242" s="2" t="n">
        <v>-647.1180294816004</v>
      </c>
      <c r="F242" s="2" t="n">
        <v>-0.1804175821630111</v>
      </c>
      <c r="G242" s="2" t="n">
        <v>0.44</v>
      </c>
    </row>
    <row r="243">
      <c r="A243" s="2" t="n">
        <v>225</v>
      </c>
      <c r="B243" s="2" t="n">
        <v>11520.76084881811</v>
      </c>
      <c r="C243" s="2" t="n">
        <v>15.20760848818114</v>
      </c>
      <c r="D243" s="2" t="n">
        <v>1520.760848818113</v>
      </c>
      <c r="E243" s="2" t="n">
        <v>-747.1180294816004</v>
      </c>
      <c r="F243" s="2" t="n">
        <v>-0.2500472117926407</v>
      </c>
      <c r="G243" s="2" t="n">
        <v>0.4</v>
      </c>
    </row>
    <row r="244">
      <c r="A244" s="2" t="n">
        <v>226</v>
      </c>
      <c r="B244" s="2" t="n">
        <v>11420.76084881811</v>
      </c>
      <c r="C244" s="2" t="n">
        <v>14.20760848818114</v>
      </c>
      <c r="D244" s="2" t="n">
        <v>1420.760848818113</v>
      </c>
      <c r="E244" s="2" t="n">
        <v>-847.1180294816004</v>
      </c>
      <c r="F244" s="2" t="n">
        <v>-0.3388472117926408</v>
      </c>
      <c r="G244" s="2" t="n">
        <v>0.36</v>
      </c>
    </row>
    <row r="245">
      <c r="A245" s="2" t="n">
        <v>227</v>
      </c>
      <c r="B245" s="2" t="n">
        <v>11320.76084881811</v>
      </c>
      <c r="C245" s="2" t="n">
        <v>13.20760848818114</v>
      </c>
      <c r="D245" s="2" t="n">
        <v>1320.760848818113</v>
      </c>
      <c r="E245" s="2" t="n">
        <v>-947.1180294816004</v>
      </c>
      <c r="F245" s="2" t="n">
        <v>-0.3388472117926408</v>
      </c>
      <c r="G245" s="2" t="n">
        <v>0.36</v>
      </c>
    </row>
    <row r="246">
      <c r="A246" s="2" t="n">
        <v>228</v>
      </c>
      <c r="B246" s="2" t="n">
        <v>11220.76084881811</v>
      </c>
      <c r="C246" s="2" t="n">
        <v>12.20760848818114</v>
      </c>
      <c r="D246" s="2" t="n">
        <v>1220.760848818113</v>
      </c>
      <c r="E246" s="2" t="n">
        <v>-1047.1180294816</v>
      </c>
      <c r="F246" s="2" t="n">
        <v>-0.3388472117926408</v>
      </c>
      <c r="G246" s="2" t="n">
        <v>0.36</v>
      </c>
    </row>
    <row r="247">
      <c r="A247" s="2" t="n">
        <v>229</v>
      </c>
      <c r="B247" s="2" t="n">
        <v>11120.76084881811</v>
      </c>
      <c r="C247" s="2" t="n">
        <v>11.20760848818114</v>
      </c>
      <c r="D247" s="2" t="n">
        <v>1120.760848818113</v>
      </c>
      <c r="E247" s="2" t="n">
        <v>-1147.1180294816</v>
      </c>
      <c r="F247" s="2" t="n">
        <v>-0.4017043546497836</v>
      </c>
      <c r="G247" s="2" t="n">
        <v>0.32</v>
      </c>
    </row>
    <row r="248">
      <c r="A248" s="2" t="n">
        <v>230</v>
      </c>
      <c r="B248" s="2" t="n">
        <v>11263.76084881811</v>
      </c>
      <c r="C248" s="2" t="n">
        <v>12.63760848818114</v>
      </c>
      <c r="D248" s="2" t="n">
        <v>1263.760848818113</v>
      </c>
      <c r="E248" s="2" t="n">
        <v>-1004.1180294816</v>
      </c>
      <c r="F248" s="2" t="n">
        <v>-0.3045043546497836</v>
      </c>
      <c r="G248" s="2" t="n">
        <v>0.36</v>
      </c>
    </row>
    <row r="249">
      <c r="A249" s="2" t="n">
        <v>231</v>
      </c>
      <c r="B249" s="2" t="n">
        <v>11333.69091874818</v>
      </c>
      <c r="C249" s="2" t="n">
        <v>13.33690918748184</v>
      </c>
      <c r="D249" s="2" t="n">
        <v>1333.690918748183</v>
      </c>
      <c r="E249" s="2" t="n">
        <v>-934.1879595515311</v>
      </c>
      <c r="F249" s="2" t="n">
        <v>-0.2365323266777556</v>
      </c>
      <c r="G249" s="2" t="n">
        <v>0.4</v>
      </c>
    </row>
    <row r="250">
      <c r="A250" s="2" t="n">
        <v>232</v>
      </c>
      <c r="B250" s="2" t="n">
        <v>11233.69091874818</v>
      </c>
      <c r="C250" s="2" t="n">
        <v>12.33690918748184</v>
      </c>
      <c r="D250" s="2" t="n">
        <v>1233.690918748183</v>
      </c>
      <c r="E250" s="2" t="n">
        <v>-1034.187959551531</v>
      </c>
      <c r="F250" s="2" t="n">
        <v>-0.2365323266777556</v>
      </c>
      <c r="G250" s="2" t="n">
        <v>0.4</v>
      </c>
    </row>
    <row r="251">
      <c r="A251" s="2" t="n">
        <v>233</v>
      </c>
      <c r="B251" s="2" t="n">
        <v>11353.69091874818</v>
      </c>
      <c r="C251" s="2" t="n">
        <v>13.53690918748184</v>
      </c>
      <c r="D251" s="2" t="n">
        <v>1353.690918748183</v>
      </c>
      <c r="E251" s="2" t="n">
        <v>-914.1879595515311</v>
      </c>
      <c r="F251" s="2" t="n">
        <v>-0.1485323266777556</v>
      </c>
      <c r="G251" s="2" t="n">
        <v>0.44</v>
      </c>
    </row>
    <row r="252">
      <c r="A252" s="2" t="n">
        <v>234</v>
      </c>
      <c r="B252" s="2" t="n">
        <v>11416.19091874818</v>
      </c>
      <c r="C252" s="2" t="n">
        <v>14.16190918748184</v>
      </c>
      <c r="D252" s="2" t="n">
        <v>1416.190918748183</v>
      </c>
      <c r="E252" s="2" t="n">
        <v>-851.6879595515311</v>
      </c>
      <c r="F252" s="2" t="n">
        <v>-0.1511185335743074</v>
      </c>
      <c r="G252" s="2" t="n">
        <v>0.44</v>
      </c>
    </row>
    <row r="253">
      <c r="A253" s="2" t="n">
        <v>235</v>
      </c>
      <c r="B253" s="2" t="n">
        <v>11316.19091874818</v>
      </c>
      <c r="C253" s="2" t="n">
        <v>13.16190918748184</v>
      </c>
      <c r="D253" s="2" t="n">
        <v>1316.190918748183</v>
      </c>
      <c r="E253" s="2" t="n">
        <v>-951.6879595515311</v>
      </c>
      <c r="F253" s="2" t="n">
        <v>-0.1511185335743074</v>
      </c>
      <c r="G253" s="2" t="n">
        <v>0.44</v>
      </c>
    </row>
    <row r="254">
      <c r="A254" s="2" t="n">
        <v>236</v>
      </c>
      <c r="B254" s="2" t="n">
        <v>11216.19091874818</v>
      </c>
      <c r="C254" s="2" t="n">
        <v>12.16190918748184</v>
      </c>
      <c r="D254" s="2" t="n">
        <v>1216.190918748183</v>
      </c>
      <c r="E254" s="2" t="n">
        <v>-1051.687959551531</v>
      </c>
      <c r="F254" s="2" t="n">
        <v>-0.1511185335743074</v>
      </c>
      <c r="G254" s="2" t="n">
        <v>0.44</v>
      </c>
    </row>
    <row r="255">
      <c r="A255" s="2" t="n">
        <v>237</v>
      </c>
      <c r="B255" s="2" t="n">
        <v>11116.19091874818</v>
      </c>
      <c r="C255" s="2" t="n">
        <v>11.16190918748184</v>
      </c>
      <c r="D255" s="2" t="n">
        <v>1116.190918748183</v>
      </c>
      <c r="E255" s="2" t="n">
        <v>-1151.687959551531</v>
      </c>
      <c r="F255" s="2" t="n">
        <v>-0.1511185335743074</v>
      </c>
      <c r="G255" s="2" t="n">
        <v>0.44</v>
      </c>
    </row>
    <row r="256">
      <c r="A256" s="2" t="n">
        <v>238</v>
      </c>
      <c r="B256" s="2" t="n">
        <v>11016.19091874818</v>
      </c>
      <c r="C256" s="2" t="n">
        <v>10.16190918748184</v>
      </c>
      <c r="D256" s="2" t="n">
        <v>1016.190918748183</v>
      </c>
      <c r="E256" s="2" t="n">
        <v>-1251.687959551531</v>
      </c>
      <c r="F256" s="2" t="n">
        <v>-0.1511185335743074</v>
      </c>
      <c r="G256" s="2" t="n">
        <v>0.44</v>
      </c>
    </row>
    <row r="257">
      <c r="A257" s="2" t="n">
        <v>239</v>
      </c>
      <c r="B257" s="2" t="n">
        <v>10916.19091874818</v>
      </c>
      <c r="C257" s="2" t="n">
        <v>9.161909187481843</v>
      </c>
      <c r="D257" s="2" t="n">
        <v>916.1909187481831</v>
      </c>
      <c r="E257" s="2" t="n">
        <v>-1351.687959551531</v>
      </c>
      <c r="F257" s="2" t="n">
        <v>-0.1511185335743074</v>
      </c>
      <c r="G257" s="2" t="n">
        <v>0.44</v>
      </c>
    </row>
    <row r="258">
      <c r="A258" s="2" t="n">
        <v>240</v>
      </c>
      <c r="B258" s="2" t="n">
        <v>10816.19091874818</v>
      </c>
      <c r="C258" s="2" t="n">
        <v>8.161909187481843</v>
      </c>
      <c r="D258" s="2" t="n">
        <v>816.1909187481831</v>
      </c>
      <c r="E258" s="2" t="n">
        <v>-1451.687959551531</v>
      </c>
      <c r="F258" s="2" t="n">
        <v>-0.1511185335743074</v>
      </c>
      <c r="G258" s="2" t="n">
        <v>0.44</v>
      </c>
    </row>
    <row r="259">
      <c r="A259" s="2" t="n">
        <v>241</v>
      </c>
      <c r="B259" s="2" t="n">
        <v>10716.19091874818</v>
      </c>
      <c r="C259" s="2" t="n">
        <v>7.161909187481843</v>
      </c>
      <c r="D259" s="2" t="n">
        <v>716.1909187481831</v>
      </c>
      <c r="E259" s="2" t="n">
        <v>-1551.687959551531</v>
      </c>
      <c r="F259" s="2" t="n">
        <v>-0.1511185335743074</v>
      </c>
      <c r="G259" s="2" t="n">
        <v>0.44</v>
      </c>
    </row>
    <row r="260">
      <c r="A260" s="2" t="n">
        <v>242</v>
      </c>
      <c r="B260" s="2" t="n">
        <v>10616.19091874818</v>
      </c>
      <c r="C260" s="2" t="n">
        <v>6.161909187481843</v>
      </c>
      <c r="D260" s="2" t="n">
        <v>616.1909187481831</v>
      </c>
      <c r="E260" s="2" t="n">
        <v>-1651.687959551531</v>
      </c>
      <c r="F260" s="2" t="n">
        <v>-0.2209692798429641</v>
      </c>
      <c r="G260" s="2" t="n">
        <v>0.4</v>
      </c>
    </row>
    <row r="261">
      <c r="A261" s="2" t="n">
        <v>243</v>
      </c>
      <c r="B261" s="2" t="n">
        <v>10703.14744048731</v>
      </c>
      <c r="C261" s="2" t="n">
        <v>7.031474404873148</v>
      </c>
      <c r="D261" s="2" t="n">
        <v>703.1474404873135</v>
      </c>
      <c r="E261" s="2" t="n">
        <v>-1564.731437812401</v>
      </c>
      <c r="F261" s="2" t="n">
        <v>-0.2225503075109483</v>
      </c>
      <c r="G261" s="2" t="n">
        <v>0.4</v>
      </c>
    </row>
    <row r="262">
      <c r="A262" s="2" t="n">
        <v>244</v>
      </c>
      <c r="B262" s="2" t="n">
        <v>10603.14744048731</v>
      </c>
      <c r="C262" s="2" t="n">
        <v>6.031474404873148</v>
      </c>
      <c r="D262" s="2" t="n">
        <v>603.1474404873135</v>
      </c>
      <c r="E262" s="2" t="n">
        <v>-1664.731437812401</v>
      </c>
      <c r="F262" s="2" t="n">
        <v>-0.2225503075109483</v>
      </c>
      <c r="G262" s="2" t="n">
        <v>0.4</v>
      </c>
    </row>
    <row r="263">
      <c r="A263" s="2" t="n">
        <v>245</v>
      </c>
      <c r="B263" s="2" t="n">
        <v>10703.14744048731</v>
      </c>
      <c r="C263" s="2" t="n">
        <v>7.031474404873148</v>
      </c>
      <c r="D263" s="2" t="n">
        <v>703.1474404873135</v>
      </c>
      <c r="E263" s="2" t="n">
        <v>-1564.731437812401</v>
      </c>
      <c r="F263" s="2" t="n">
        <v>-0.2285503075109483</v>
      </c>
      <c r="G263" s="2" t="n">
        <v>0.4</v>
      </c>
    </row>
    <row r="264">
      <c r="A264" s="2" t="n">
        <v>246</v>
      </c>
      <c r="B264" s="2" t="n">
        <v>10794.0565313964</v>
      </c>
      <c r="C264" s="2" t="n">
        <v>7.940565313964057</v>
      </c>
      <c r="D264" s="2" t="n">
        <v>794.0565313964044</v>
      </c>
      <c r="E264" s="2" t="n">
        <v>-1473.822346903311</v>
      </c>
      <c r="F264" s="2" t="n">
        <v>-0.2132393027262593</v>
      </c>
      <c r="G264" s="2" t="n">
        <v>0.4</v>
      </c>
    </row>
    <row r="265">
      <c r="A265" s="2" t="n">
        <v>247</v>
      </c>
      <c r="B265" s="2" t="n">
        <v>10694.0565313964</v>
      </c>
      <c r="C265" s="2" t="n">
        <v>6.940565313964057</v>
      </c>
      <c r="D265" s="2" t="n">
        <v>694.0565313964044</v>
      </c>
      <c r="E265" s="2" t="n">
        <v>-1573.822346903311</v>
      </c>
      <c r="F265" s="2" t="n">
        <v>-0.3024393027262593</v>
      </c>
      <c r="G265" s="2" t="n">
        <v>0.36</v>
      </c>
    </row>
    <row r="266">
      <c r="A266" s="2" t="n">
        <v>248</v>
      </c>
      <c r="B266" s="2" t="n">
        <v>10794.0565313964</v>
      </c>
      <c r="C266" s="2" t="n">
        <v>7.940565313964057</v>
      </c>
      <c r="D266" s="2" t="n">
        <v>794.0565313964044</v>
      </c>
      <c r="E266" s="2" t="n">
        <v>-1473.822346903311</v>
      </c>
      <c r="F266" s="2" t="n">
        <v>-0.2866817269686835</v>
      </c>
      <c r="G266" s="2" t="n">
        <v>0.36</v>
      </c>
    </row>
    <row r="267">
      <c r="A267" s="2" t="n">
        <v>249</v>
      </c>
      <c r="B267" s="2" t="n">
        <v>10881.01305313554</v>
      </c>
      <c r="C267" s="2" t="n">
        <v>8.810130531355361</v>
      </c>
      <c r="D267" s="2" t="n">
        <v>881.0130531355347</v>
      </c>
      <c r="E267" s="2" t="n">
        <v>-1386.865825164179</v>
      </c>
      <c r="F267" s="2" t="n">
        <v>-0.2958991182730313</v>
      </c>
      <c r="G267" s="2" t="n">
        <v>0.36</v>
      </c>
    </row>
    <row r="268">
      <c r="A268" s="2" t="n">
        <v>250</v>
      </c>
      <c r="B268" s="2" t="n">
        <v>10781.01305313554</v>
      </c>
      <c r="C268" s="2" t="n">
        <v>7.810130531355361</v>
      </c>
      <c r="D268" s="2" t="n">
        <v>781.0130531355347</v>
      </c>
      <c r="E268" s="2" t="n">
        <v>-1486.865825164179</v>
      </c>
      <c r="F268" s="2" t="n">
        <v>-0.2958991182730313</v>
      </c>
      <c r="G268" s="2" t="n">
        <v>0.36</v>
      </c>
    </row>
    <row r="269">
      <c r="A269" s="2" t="n">
        <v>251</v>
      </c>
      <c r="B269" s="2" t="n">
        <v>10681.01305313554</v>
      </c>
      <c r="C269" s="2" t="n">
        <v>6.810130531355361</v>
      </c>
      <c r="D269" s="2" t="n">
        <v>681.0130531355347</v>
      </c>
      <c r="E269" s="2" t="n">
        <v>-1586.865825164179</v>
      </c>
      <c r="F269" s="2" t="n">
        <v>-0.2958991182730313</v>
      </c>
      <c r="G269" s="2" t="n">
        <v>0.36</v>
      </c>
    </row>
    <row r="270">
      <c r="A270" s="2" t="n">
        <v>252</v>
      </c>
      <c r="B270" s="2" t="n">
        <v>10581.01305313554</v>
      </c>
      <c r="C270" s="2" t="n">
        <v>5.810130531355361</v>
      </c>
      <c r="D270" s="2" t="n">
        <v>581.0130531355347</v>
      </c>
      <c r="E270" s="2" t="n">
        <v>-1686.865825164179</v>
      </c>
      <c r="F270" s="2" t="n">
        <v>-0.2958991182730313</v>
      </c>
      <c r="G270" s="2" t="n">
        <v>0.36</v>
      </c>
    </row>
    <row r="271">
      <c r="A271" s="2" t="n">
        <v>253</v>
      </c>
      <c r="B271" s="2" t="n">
        <v>10481.01305313554</v>
      </c>
      <c r="C271" s="2" t="n">
        <v>4.810130531355361</v>
      </c>
      <c r="D271" s="2" t="n">
        <v>481.0130531355347</v>
      </c>
      <c r="E271" s="2" t="n">
        <v>-1786.865825164179</v>
      </c>
      <c r="F271" s="2" t="n">
        <v>-0.2958991182730313</v>
      </c>
      <c r="G271" s="2" t="n">
        <v>0.36</v>
      </c>
    </row>
    <row r="272">
      <c r="A272" s="2" t="n">
        <v>254</v>
      </c>
      <c r="B272" s="2" t="n">
        <v>10381.01305313554</v>
      </c>
      <c r="C272" s="2" t="n">
        <v>3.810130531355361</v>
      </c>
      <c r="D272" s="2" t="n">
        <v>381.0130531355347</v>
      </c>
      <c r="E272" s="2" t="n">
        <v>-1886.865825164179</v>
      </c>
      <c r="F272" s="2" t="n">
        <v>-0.2958991182730313</v>
      </c>
      <c r="G272" s="2" t="n">
        <v>0.36</v>
      </c>
    </row>
    <row r="273">
      <c r="A273" s="2" t="n">
        <v>255</v>
      </c>
      <c r="B273" s="2" t="n">
        <v>10501.01305313554</v>
      </c>
      <c r="C273" s="2" t="n">
        <v>5.010130531355361</v>
      </c>
      <c r="D273" s="2" t="n">
        <v>501.0130531355347</v>
      </c>
      <c r="E273" s="2" t="n">
        <v>-1766.865825164179</v>
      </c>
      <c r="F273" s="2" t="n">
        <v>-0.3050991182730313</v>
      </c>
      <c r="G273" s="2" t="n">
        <v>0.36</v>
      </c>
    </row>
    <row r="274">
      <c r="A274" s="2" t="n">
        <v>256</v>
      </c>
      <c r="B274" s="2" t="n">
        <v>10401.01305313554</v>
      </c>
      <c r="C274" s="2" t="n">
        <v>4.010130531355361</v>
      </c>
      <c r="D274" s="2" t="n">
        <v>401.0130531355347</v>
      </c>
      <c r="E274" s="2" t="n">
        <v>-1866.865825164179</v>
      </c>
      <c r="F274" s="2" t="n">
        <v>-0.3730711462450593</v>
      </c>
      <c r="G274" s="2" t="n">
        <v>0.32</v>
      </c>
    </row>
    <row r="275">
      <c r="A275" s="2" t="n">
        <v>257</v>
      </c>
      <c r="B275" s="2" t="n">
        <v>10516.01305313554</v>
      </c>
      <c r="C275" s="2" t="n">
        <v>5.16013053135536</v>
      </c>
      <c r="D275" s="2" t="n">
        <v>516.0130531355347</v>
      </c>
      <c r="E275" s="2" t="n">
        <v>-1751.865825164179</v>
      </c>
      <c r="F275" s="2" t="n">
        <v>-0.2870711462450593</v>
      </c>
      <c r="G275" s="2" t="n">
        <v>0.36</v>
      </c>
    </row>
    <row r="276">
      <c r="A276" s="2" t="n">
        <v>258</v>
      </c>
      <c r="B276" s="2" t="n">
        <v>10416.01305313554</v>
      </c>
      <c r="C276" s="2" t="n">
        <v>4.16013053135536</v>
      </c>
      <c r="D276" s="2" t="n">
        <v>416.0130531355347</v>
      </c>
      <c r="E276" s="2" t="n">
        <v>-1851.865825164179</v>
      </c>
      <c r="F276" s="2" t="n">
        <v>-0.3750711462450593</v>
      </c>
      <c r="G276" s="2" t="n">
        <v>0.32</v>
      </c>
    </row>
    <row r="277">
      <c r="A277" s="2" t="n">
        <v>259</v>
      </c>
      <c r="B277" s="2" t="n">
        <v>10316.01305313554</v>
      </c>
      <c r="C277" s="2" t="n">
        <v>3.16013053135536</v>
      </c>
      <c r="D277" s="2" t="n">
        <v>316.0130531355347</v>
      </c>
      <c r="E277" s="2" t="n">
        <v>-1951.865825164179</v>
      </c>
      <c r="F277" s="2" t="n">
        <v>-0.4400711462450593</v>
      </c>
      <c r="G277" s="2" t="n">
        <v>0.28</v>
      </c>
    </row>
    <row r="278">
      <c r="A278" s="2" t="n">
        <v>260</v>
      </c>
      <c r="B278" s="2" t="n">
        <v>10216.01305313554</v>
      </c>
      <c r="C278" s="2" t="n">
        <v>2.16013053135536</v>
      </c>
      <c r="D278" s="2" t="n">
        <v>216.0130531355347</v>
      </c>
      <c r="E278" s="2" t="n">
        <v>-2051.865825164179</v>
      </c>
      <c r="F278" s="2" t="n">
        <v>-0.4400711462450593</v>
      </c>
      <c r="G278" s="2" t="n">
        <v>0.28</v>
      </c>
    </row>
    <row r="279">
      <c r="A279" s="2" t="n">
        <v>261</v>
      </c>
      <c r="B279" s="2" t="n">
        <v>10116.01305313554</v>
      </c>
      <c r="C279" s="2" t="n">
        <v>1.16013053135536</v>
      </c>
      <c r="D279" s="2" t="n">
        <v>116.0130531355347</v>
      </c>
      <c r="E279" s="2" t="n">
        <v>-2151.865825164179</v>
      </c>
      <c r="F279" s="2" t="n">
        <v>-0.4400711462450593</v>
      </c>
      <c r="G279" s="2" t="n">
        <v>0.28</v>
      </c>
    </row>
    <row r="280">
      <c r="A280" s="2" t="n">
        <v>262</v>
      </c>
      <c r="B280" s="2" t="n">
        <v>10016.01305313554</v>
      </c>
      <c r="C280" s="2" t="n">
        <v>0.1601305313553603</v>
      </c>
      <c r="D280" s="2" t="n">
        <v>16.01305313553473</v>
      </c>
      <c r="E280" s="2" t="n">
        <v>-2251.865825164179</v>
      </c>
      <c r="F280" s="2" t="n">
        <v>-0.4400711462450593</v>
      </c>
      <c r="G280" s="2" t="n">
        <v>0.28</v>
      </c>
    </row>
    <row r="281">
      <c r="A281" s="2" t="n">
        <v>263</v>
      </c>
      <c r="B281" s="2" t="n">
        <v>9916.013053135535</v>
      </c>
      <c r="C281" s="2" t="n">
        <v>-0.8398694686446397</v>
      </c>
      <c r="D281" s="2" t="n">
        <v>-83.98694686446527</v>
      </c>
      <c r="E281" s="2" t="n">
        <v>-2351.865825164179</v>
      </c>
      <c r="F281" s="2" t="n">
        <v>-0.4400711462450593</v>
      </c>
      <c r="G281" s="2" t="n">
        <v>0.28</v>
      </c>
    </row>
    <row r="282">
      <c r="A282" s="2" t="n">
        <v>264</v>
      </c>
      <c r="B282" s="2" t="n">
        <v>10046.01305313554</v>
      </c>
      <c r="C282" s="2" t="n">
        <v>0.4601305313553601</v>
      </c>
      <c r="D282" s="2" t="n">
        <v>46.0130531355347</v>
      </c>
      <c r="E282" s="2" t="n">
        <v>-2221.865825164179</v>
      </c>
      <c r="F282" s="2" t="n">
        <v>-0.3480711462450593</v>
      </c>
      <c r="G282" s="2" t="n">
        <v>0.32</v>
      </c>
    </row>
    <row r="283">
      <c r="A283" s="2" t="n">
        <v>265</v>
      </c>
      <c r="B283" s="2" t="n">
        <v>10108.12485437777</v>
      </c>
      <c r="C283" s="2" t="n">
        <v>1.08124854377772</v>
      </c>
      <c r="D283" s="2" t="n">
        <v>108.1248543777707</v>
      </c>
      <c r="E283" s="2" t="n">
        <v>-2159.754023921943</v>
      </c>
      <c r="F283" s="2" t="n">
        <v>-0.2832264257481649</v>
      </c>
      <c r="G283" s="2" t="n">
        <v>0.36</v>
      </c>
    </row>
    <row r="284">
      <c r="A284" s="2" t="n">
        <v>266</v>
      </c>
      <c r="B284" s="2" t="n">
        <v>10228.12485437777</v>
      </c>
      <c r="C284" s="2" t="n">
        <v>2.28124854377772</v>
      </c>
      <c r="D284" s="2" t="n">
        <v>228.1248543777707</v>
      </c>
      <c r="E284" s="2" t="n">
        <v>-2039.754023921943</v>
      </c>
      <c r="F284" s="2" t="n">
        <v>-0.1952264257481649</v>
      </c>
      <c r="G284" s="2" t="n">
        <v>0.4</v>
      </c>
    </row>
    <row r="285">
      <c r="A285" s="2" t="n">
        <v>267</v>
      </c>
      <c r="B285" s="2" t="n">
        <v>10285.26771152063</v>
      </c>
      <c r="C285" s="2" t="n">
        <v>2.852677115206292</v>
      </c>
      <c r="D285" s="2" t="n">
        <v>285.2677115206279</v>
      </c>
      <c r="E285" s="2" t="n">
        <v>-1982.611166779086</v>
      </c>
      <c r="F285" s="2" t="n">
        <v>-0.132369282891022</v>
      </c>
      <c r="G285" s="2" t="n">
        <v>0.44</v>
      </c>
    </row>
    <row r="286">
      <c r="A286" s="2" t="n">
        <v>268</v>
      </c>
      <c r="B286" s="2" t="n">
        <v>10400.26771152063</v>
      </c>
      <c r="C286" s="2" t="n">
        <v>4.002677115206291</v>
      </c>
      <c r="D286" s="2" t="n">
        <v>400.2677115206279</v>
      </c>
      <c r="E286" s="2" t="n">
        <v>-1867.611166779086</v>
      </c>
      <c r="F286" s="2" t="n">
        <v>-0.1211518915866742</v>
      </c>
      <c r="G286" s="2" t="n">
        <v>0.44</v>
      </c>
    </row>
    <row r="287">
      <c r="A287" s="2" t="n">
        <v>269</v>
      </c>
      <c r="B287" s="2" t="n">
        <v>10525.26771152063</v>
      </c>
      <c r="C287" s="2" t="n">
        <v>5.252677115206291</v>
      </c>
      <c r="D287" s="2" t="n">
        <v>525.2677115206279</v>
      </c>
      <c r="E287" s="2" t="n">
        <v>-1742.611166779086</v>
      </c>
      <c r="F287" s="2" t="n">
        <v>-0.0311518915866742</v>
      </c>
      <c r="G287" s="2" t="n">
        <v>0.48</v>
      </c>
    </row>
    <row r="288">
      <c r="A288" s="2" t="n">
        <v>270</v>
      </c>
      <c r="B288" s="2" t="n">
        <v>10613.76328674187</v>
      </c>
      <c r="C288" s="2" t="n">
        <v>6.137632867418681</v>
      </c>
      <c r="D288" s="2" t="n">
        <v>613.7632867418669</v>
      </c>
      <c r="E288" s="2" t="n">
        <v>-1654.115591557847</v>
      </c>
      <c r="F288" s="2" t="n">
        <v>-0.03575366149817863</v>
      </c>
      <c r="G288" s="2" t="n">
        <v>0.48</v>
      </c>
    </row>
    <row r="289">
      <c r="A289" s="2" t="n">
        <v>271</v>
      </c>
      <c r="B289" s="2" t="n">
        <v>10513.76328674187</v>
      </c>
      <c r="C289" s="2" t="n">
        <v>5.137632867418681</v>
      </c>
      <c r="D289" s="2" t="n">
        <v>513.7632867418669</v>
      </c>
      <c r="E289" s="2" t="n">
        <v>-1754.115591557847</v>
      </c>
      <c r="F289" s="2" t="n">
        <v>-0.112117297861815</v>
      </c>
      <c r="G289" s="2" t="n">
        <v>0.44</v>
      </c>
    </row>
    <row r="290">
      <c r="A290" s="2" t="n">
        <v>272</v>
      </c>
      <c r="B290" s="2" t="n">
        <v>10413.76328674187</v>
      </c>
      <c r="C290" s="2" t="n">
        <v>4.137632867418681</v>
      </c>
      <c r="D290" s="2" t="n">
        <v>413.7632867418669</v>
      </c>
      <c r="E290" s="2" t="n">
        <v>-1854.115591557847</v>
      </c>
      <c r="F290" s="2" t="n">
        <v>-0.112117297861815</v>
      </c>
      <c r="G290" s="2" t="n">
        <v>0.44</v>
      </c>
    </row>
    <row r="291">
      <c r="A291" s="2" t="n">
        <v>273</v>
      </c>
      <c r="B291" s="2" t="n">
        <v>10313.76328674187</v>
      </c>
      <c r="C291" s="2" t="n">
        <v>3.137632867418681</v>
      </c>
      <c r="D291" s="2" t="n">
        <v>313.7632867418669</v>
      </c>
      <c r="E291" s="2" t="n">
        <v>-1954.115591557847</v>
      </c>
      <c r="F291" s="2" t="n">
        <v>-0.192117297861815</v>
      </c>
      <c r="G291" s="2" t="n">
        <v>0.4</v>
      </c>
    </row>
    <row r="292">
      <c r="A292" s="2" t="n">
        <v>274</v>
      </c>
      <c r="B292" s="2" t="n">
        <v>10423.76328674187</v>
      </c>
      <c r="C292" s="2" t="n">
        <v>4.237632867418681</v>
      </c>
      <c r="D292" s="2" t="n">
        <v>423.7632867418669</v>
      </c>
      <c r="E292" s="2" t="n">
        <v>-1844.115591557847</v>
      </c>
      <c r="F292" s="2" t="n">
        <v>-0.1828999065574672</v>
      </c>
      <c r="G292" s="2" t="n">
        <v>0.4</v>
      </c>
    </row>
    <row r="293">
      <c r="A293" s="2" t="n">
        <v>275</v>
      </c>
      <c r="B293" s="2" t="n">
        <v>10323.76328674187</v>
      </c>
      <c r="C293" s="2" t="n">
        <v>3.237632867418681</v>
      </c>
      <c r="D293" s="2" t="n">
        <v>323.7632867418669</v>
      </c>
      <c r="E293" s="2" t="n">
        <v>-1944.115591557847</v>
      </c>
      <c r="F293" s="2" t="n">
        <v>-0.1828999065574672</v>
      </c>
      <c r="G293" s="2" t="n">
        <v>0.4</v>
      </c>
    </row>
    <row r="294">
      <c r="A294" s="2" t="n">
        <v>276</v>
      </c>
      <c r="B294" s="2" t="n">
        <v>10425.76328674187</v>
      </c>
      <c r="C294" s="2" t="n">
        <v>4.25763286741868</v>
      </c>
      <c r="D294" s="2" t="n">
        <v>425.7632867418669</v>
      </c>
      <c r="E294" s="2" t="n">
        <v>-1842.115591557847</v>
      </c>
      <c r="F294" s="2" t="n">
        <v>-0.1020999065574671</v>
      </c>
      <c r="G294" s="2" t="n">
        <v>0.44</v>
      </c>
    </row>
    <row r="295">
      <c r="A295" s="2" t="n">
        <v>277</v>
      </c>
      <c r="B295" s="2" t="n">
        <v>10325.76328674187</v>
      </c>
      <c r="C295" s="2" t="n">
        <v>3.25763286741868</v>
      </c>
      <c r="D295" s="2" t="n">
        <v>325.7632867418669</v>
      </c>
      <c r="E295" s="2" t="n">
        <v>-1942.115591557847</v>
      </c>
      <c r="F295" s="2" t="n">
        <v>-0.1020999065574671</v>
      </c>
      <c r="G295" s="2" t="n">
        <v>0.44</v>
      </c>
    </row>
    <row r="296">
      <c r="A296" s="2" t="n">
        <v>278</v>
      </c>
      <c r="B296" s="2" t="n">
        <v>10455.76328674187</v>
      </c>
      <c r="C296" s="2" t="n">
        <v>4.55763286741868</v>
      </c>
      <c r="D296" s="2" t="n">
        <v>455.7632867418669</v>
      </c>
      <c r="E296" s="2" t="n">
        <v>-1812.115591557847</v>
      </c>
      <c r="F296" s="2" t="n">
        <v>-0.01009990655746717</v>
      </c>
      <c r="G296" s="2" t="n">
        <v>0.48</v>
      </c>
    </row>
    <row r="297">
      <c r="A297" s="2" t="n">
        <v>279</v>
      </c>
      <c r="B297" s="2" t="n">
        <v>10355.76328674187</v>
      </c>
      <c r="C297" s="2" t="n">
        <v>3.55763286741868</v>
      </c>
      <c r="D297" s="2" t="n">
        <v>355.7632867418669</v>
      </c>
      <c r="E297" s="2" t="n">
        <v>-1912.115591557847</v>
      </c>
      <c r="F297" s="2" t="n">
        <v>-0.01009990655746717</v>
      </c>
      <c r="G297" s="2" t="n">
        <v>0.48</v>
      </c>
    </row>
    <row r="298">
      <c r="A298" s="2" t="n">
        <v>280</v>
      </c>
      <c r="B298" s="2" t="n">
        <v>10255.76328674187</v>
      </c>
      <c r="C298" s="2" t="n">
        <v>2.55763286741868</v>
      </c>
      <c r="D298" s="2" t="n">
        <v>255.7632867418669</v>
      </c>
      <c r="E298" s="2" t="n">
        <v>-2012.115591557847</v>
      </c>
      <c r="F298" s="2" t="n">
        <v>-0.09809990655746717</v>
      </c>
      <c r="G298" s="2" t="n">
        <v>0.44</v>
      </c>
    </row>
    <row r="299">
      <c r="A299" s="2" t="n">
        <v>281</v>
      </c>
      <c r="B299" s="2" t="n">
        <v>10327.19185817044</v>
      </c>
      <c r="C299" s="2" t="n">
        <v>3.271918581704394</v>
      </c>
      <c r="D299" s="2" t="n">
        <v>327.1918581704383</v>
      </c>
      <c r="E299" s="2" t="n">
        <v>-1940.687020129277</v>
      </c>
      <c r="F299" s="2" t="n">
        <v>-0.0295284779860386</v>
      </c>
      <c r="G299" s="2" t="n">
        <v>0.48</v>
      </c>
    </row>
    <row r="300">
      <c r="A300" s="2" t="n">
        <v>282</v>
      </c>
      <c r="B300" s="2" t="n">
        <v>10227.19185817044</v>
      </c>
      <c r="C300" s="2" t="n">
        <v>2.271918581704394</v>
      </c>
      <c r="D300" s="2" t="n">
        <v>227.1918581704383</v>
      </c>
      <c r="E300" s="2" t="n">
        <v>-2040.687020129277</v>
      </c>
      <c r="F300" s="2" t="n">
        <v>-0.1155284779860386</v>
      </c>
      <c r="G300" s="2" t="n">
        <v>0.44</v>
      </c>
    </row>
    <row r="301">
      <c r="A301" s="2" t="n">
        <v>283</v>
      </c>
      <c r="B301" s="2" t="n">
        <v>10287.7979187765</v>
      </c>
      <c r="C301" s="2" t="n">
        <v>2.877979187765</v>
      </c>
      <c r="D301" s="2" t="n">
        <v>287.7979187764989</v>
      </c>
      <c r="E301" s="2" t="n">
        <v>-1980.080959523215</v>
      </c>
      <c r="F301" s="2" t="n">
        <v>-0.05128605374361436</v>
      </c>
      <c r="G301" s="2" t="n">
        <v>0.48</v>
      </c>
    </row>
    <row r="302">
      <c r="A302" s="2" t="n">
        <v>284</v>
      </c>
      <c r="B302" s="2" t="n">
        <v>10187.7979187765</v>
      </c>
      <c r="C302" s="2" t="n">
        <v>1.877979187765</v>
      </c>
      <c r="D302" s="2" t="n">
        <v>187.7979187764989</v>
      </c>
      <c r="E302" s="2" t="n">
        <v>-2080.080959523215</v>
      </c>
      <c r="F302" s="2" t="n">
        <v>-0.05128605374361436</v>
      </c>
      <c r="G302" s="2" t="n">
        <v>0.48</v>
      </c>
    </row>
    <row r="303">
      <c r="A303" s="2" t="n">
        <v>285</v>
      </c>
      <c r="B303" s="2" t="n">
        <v>10246.27745094024</v>
      </c>
      <c r="C303" s="2" t="n">
        <v>2.462774509402427</v>
      </c>
      <c r="D303" s="2" t="n">
        <v>246.2774509402416</v>
      </c>
      <c r="E303" s="2" t="n">
        <v>-2021.601427359472</v>
      </c>
      <c r="F303" s="2" t="n">
        <v>0.01210575912188272</v>
      </c>
      <c r="G303" s="2" t="n">
        <v>0.52</v>
      </c>
    </row>
    <row r="304">
      <c r="A304" s="2" t="n">
        <v>286</v>
      </c>
      <c r="B304" s="2" t="n">
        <v>10329.61078427357</v>
      </c>
      <c r="C304" s="2" t="n">
        <v>3.296107842735761</v>
      </c>
      <c r="D304" s="2" t="n">
        <v>329.610784273575</v>
      </c>
      <c r="E304" s="2" t="n">
        <v>-1938.26809402614</v>
      </c>
      <c r="F304" s="2" t="n">
        <v>0.08543909245521605</v>
      </c>
      <c r="G304" s="2" t="n">
        <v>0.5600000000000001</v>
      </c>
    </row>
    <row r="305">
      <c r="A305" s="2" t="n">
        <v>287</v>
      </c>
      <c r="B305" s="2" t="n">
        <v>10406.53386119665</v>
      </c>
      <c r="C305" s="2" t="n">
        <v>4.06533861196653</v>
      </c>
      <c r="D305" s="2" t="n">
        <v>406.5338611966519</v>
      </c>
      <c r="E305" s="2" t="n">
        <v>-1861.345017103062</v>
      </c>
      <c r="F305" s="2" t="n">
        <v>0.1562083232244468</v>
      </c>
      <c r="G305" s="2" t="n">
        <v>0.6</v>
      </c>
    </row>
    <row r="306">
      <c r="A306" s="2" t="n">
        <v>288</v>
      </c>
      <c r="B306" s="2" t="n">
        <v>10506.53386119665</v>
      </c>
      <c r="C306" s="2" t="n">
        <v>5.06533861196653</v>
      </c>
      <c r="D306" s="2" t="n">
        <v>506.5338611966519</v>
      </c>
      <c r="E306" s="2" t="n">
        <v>-1761.345017103062</v>
      </c>
      <c r="F306" s="2" t="n">
        <v>0.2362083232244468</v>
      </c>
      <c r="G306" s="2" t="n">
        <v>0.64</v>
      </c>
    </row>
    <row r="307">
      <c r="A307" s="2" t="n">
        <v>289</v>
      </c>
      <c r="B307" s="2" t="n">
        <v>10406.53386119665</v>
      </c>
      <c r="C307" s="2" t="n">
        <v>4.06533861196653</v>
      </c>
      <c r="D307" s="2" t="n">
        <v>406.5338611966519</v>
      </c>
      <c r="E307" s="2" t="n">
        <v>-1861.345017103062</v>
      </c>
      <c r="F307" s="2" t="n">
        <v>0.1442083232244468</v>
      </c>
      <c r="G307" s="2" t="n">
        <v>0.6</v>
      </c>
    </row>
    <row r="308">
      <c r="A308" s="2" t="n">
        <v>290</v>
      </c>
      <c r="B308" s="2" t="n">
        <v>10512.53386119665</v>
      </c>
      <c r="C308" s="2" t="n">
        <v>5.12533861196653</v>
      </c>
      <c r="D308" s="2" t="n">
        <v>512.5338611966519</v>
      </c>
      <c r="E308" s="2" t="n">
        <v>-1755.345017103062</v>
      </c>
      <c r="F308" s="2" t="n">
        <v>0.1617636027275524</v>
      </c>
      <c r="G308" s="2" t="n">
        <v>0.6</v>
      </c>
    </row>
    <row r="309">
      <c r="A309" s="2" t="n">
        <v>291</v>
      </c>
      <c r="B309" s="2" t="n">
        <v>10412.53386119665</v>
      </c>
      <c r="C309" s="2" t="n">
        <v>4.12533861196653</v>
      </c>
      <c r="D309" s="2" t="n">
        <v>412.5338611966519</v>
      </c>
      <c r="E309" s="2" t="n">
        <v>-1855.345017103062</v>
      </c>
      <c r="F309" s="2" t="n">
        <v>0.07376360272755242</v>
      </c>
      <c r="G309" s="2" t="n">
        <v>0.5600000000000001</v>
      </c>
    </row>
    <row r="310">
      <c r="A310" s="2" t="n">
        <v>292</v>
      </c>
      <c r="B310" s="2" t="n">
        <v>10312.53386119665</v>
      </c>
      <c r="C310" s="2" t="n">
        <v>3.12533861196653</v>
      </c>
      <c r="D310" s="2" t="n">
        <v>312.5338611966519</v>
      </c>
      <c r="E310" s="2" t="n">
        <v>-1955.345017103062</v>
      </c>
      <c r="F310" s="2" t="n">
        <v>0.01090645987040957</v>
      </c>
      <c r="G310" s="2" t="n">
        <v>0.52</v>
      </c>
    </row>
    <row r="311">
      <c r="A311" s="2" t="n">
        <v>293</v>
      </c>
      <c r="B311" s="2" t="n">
        <v>10212.53386119665</v>
      </c>
      <c r="C311" s="2" t="n">
        <v>2.12533861196653</v>
      </c>
      <c r="D311" s="2" t="n">
        <v>212.5338611966519</v>
      </c>
      <c r="E311" s="2" t="n">
        <v>-2055.345017103062</v>
      </c>
      <c r="F311" s="2" t="n">
        <v>-0.07509354012959042</v>
      </c>
      <c r="G311" s="2" t="n">
        <v>0.48</v>
      </c>
    </row>
    <row r="312">
      <c r="A312" s="2" t="n">
        <v>294</v>
      </c>
      <c r="B312" s="2" t="n">
        <v>10289.45693811973</v>
      </c>
      <c r="C312" s="2" t="n">
        <v>2.894569381197299</v>
      </c>
      <c r="D312" s="2" t="n">
        <v>289.4569381197288</v>
      </c>
      <c r="E312" s="2" t="n">
        <v>-1978.421940179986</v>
      </c>
      <c r="F312" s="2" t="n">
        <v>-0.09432430936035967</v>
      </c>
      <c r="G312" s="2" t="n">
        <v>0.48</v>
      </c>
    </row>
    <row r="313">
      <c r="A313" s="2" t="n">
        <v>295</v>
      </c>
      <c r="B313" s="2" t="n">
        <v>10414.45693811973</v>
      </c>
      <c r="C313" s="2" t="n">
        <v>4.144569381197299</v>
      </c>
      <c r="D313" s="2" t="n">
        <v>414.4569381197288</v>
      </c>
      <c r="E313" s="2" t="n">
        <v>-1853.421940179986</v>
      </c>
      <c r="F313" s="2" t="n">
        <v>-0.07972253944885523</v>
      </c>
      <c r="G313" s="2" t="n">
        <v>0.48</v>
      </c>
    </row>
    <row r="314">
      <c r="A314" s="2" t="n">
        <v>296</v>
      </c>
      <c r="B314" s="2" t="n">
        <v>10478.97306715199</v>
      </c>
      <c r="C314" s="2" t="n">
        <v>4.78973067151988</v>
      </c>
      <c r="D314" s="2" t="n">
        <v>478.9730671519868</v>
      </c>
      <c r="E314" s="2" t="n">
        <v>-1788.905811147728</v>
      </c>
      <c r="F314" s="2" t="n">
        <v>-0.01391608783595202</v>
      </c>
      <c r="G314" s="2" t="n">
        <v>0.52</v>
      </c>
    </row>
    <row r="315">
      <c r="A315" s="2" t="n">
        <v>297</v>
      </c>
      <c r="B315" s="2" t="n">
        <v>10378.97306715199</v>
      </c>
      <c r="C315" s="2" t="n">
        <v>3.78973067151988</v>
      </c>
      <c r="D315" s="2" t="n">
        <v>378.9730671519868</v>
      </c>
      <c r="E315" s="2" t="n">
        <v>-1888.905811147728</v>
      </c>
      <c r="F315" s="2" t="n">
        <v>-0.01391608783595202</v>
      </c>
      <c r="G315" s="2" t="n">
        <v>0.52</v>
      </c>
    </row>
    <row r="316">
      <c r="A316" s="2" t="n">
        <v>298</v>
      </c>
      <c r="B316" s="2" t="n">
        <v>10513.97306715199</v>
      </c>
      <c r="C316" s="2" t="n">
        <v>5.13973067151988</v>
      </c>
      <c r="D316" s="2" t="n">
        <v>513.9730671519868</v>
      </c>
      <c r="E316" s="2" t="n">
        <v>-1753.905811147728</v>
      </c>
      <c r="F316" s="2" t="n">
        <v>0.08008391216404799</v>
      </c>
      <c r="G316" s="2" t="n">
        <v>0.5600000000000001</v>
      </c>
    </row>
    <row r="317">
      <c r="A317" s="2" t="n">
        <v>299</v>
      </c>
      <c r="B317" s="2" t="n">
        <v>10576.47306715199</v>
      </c>
      <c r="C317" s="2" t="n">
        <v>5.76473067151988</v>
      </c>
      <c r="D317" s="2" t="n">
        <v>576.4730671519868</v>
      </c>
      <c r="E317" s="2" t="n">
        <v>-1691.405811147728</v>
      </c>
      <c r="F317" s="2" t="n">
        <v>0.06108391216404798</v>
      </c>
      <c r="G317" s="2" t="n">
        <v>0.5600000000000001</v>
      </c>
    </row>
    <row r="318">
      <c r="A318" s="2" t="n">
        <v>300</v>
      </c>
      <c r="B318" s="2" t="n">
        <v>10476.47306715199</v>
      </c>
      <c r="C318" s="2" t="n">
        <v>4.76473067151988</v>
      </c>
      <c r="D318" s="2" t="n">
        <v>476.4730671519868</v>
      </c>
      <c r="E318" s="2" t="n">
        <v>-1791.405811147728</v>
      </c>
      <c r="F318" s="2" t="n">
        <v>0.06108391216404797</v>
      </c>
      <c r="G318" s="2" t="n">
        <v>0.5600000000000001</v>
      </c>
    </row>
    <row r="319">
      <c r="A319" s="2" t="n">
        <v>301</v>
      </c>
      <c r="B319" s="2" t="n">
        <v>10556.47306715199</v>
      </c>
      <c r="C319" s="2" t="n">
        <v>5.56473067151988</v>
      </c>
      <c r="D319" s="2" t="n">
        <v>556.4730671519868</v>
      </c>
      <c r="E319" s="2" t="n">
        <v>-1711.405811147728</v>
      </c>
      <c r="F319" s="2" t="n">
        <v>0.05228391216404799</v>
      </c>
      <c r="G319" s="2" t="n">
        <v>0.5600000000000001</v>
      </c>
    </row>
    <row r="320">
      <c r="A320" s="2" t="n">
        <v>302</v>
      </c>
      <c r="B320" s="2" t="n">
        <v>10681.47306715199</v>
      </c>
      <c r="C320" s="2" t="n">
        <v>6.81473067151988</v>
      </c>
      <c r="D320" s="2" t="n">
        <v>681.4730671519868</v>
      </c>
      <c r="E320" s="2" t="n">
        <v>-1586.405811147728</v>
      </c>
      <c r="F320" s="2" t="n">
        <v>0.142283912164048</v>
      </c>
      <c r="G320" s="2" t="n">
        <v>0.6</v>
      </c>
    </row>
    <row r="321">
      <c r="A321" s="2" t="n">
        <v>303</v>
      </c>
      <c r="B321" s="2" t="n">
        <v>10750.43858439337</v>
      </c>
      <c r="C321" s="2" t="n">
        <v>7.504385843933672</v>
      </c>
      <c r="D321" s="2" t="n">
        <v>750.4385843933661</v>
      </c>
      <c r="E321" s="2" t="n">
        <v>-1517.440293906348</v>
      </c>
      <c r="F321" s="2" t="n">
        <v>0.1178701190605997</v>
      </c>
      <c r="G321" s="2" t="n">
        <v>0.6</v>
      </c>
    </row>
    <row r="322">
      <c r="A322" s="2" t="n">
        <v>304</v>
      </c>
      <c r="B322" s="2" t="n">
        <v>10830.43858439337</v>
      </c>
      <c r="C322" s="2" t="n">
        <v>8.304385843933673</v>
      </c>
      <c r="D322" s="2" t="n">
        <v>830.4385843933661</v>
      </c>
      <c r="E322" s="2" t="n">
        <v>-1437.440293906348</v>
      </c>
      <c r="F322" s="2" t="n">
        <v>0.1898701190605997</v>
      </c>
      <c r="G322" s="2" t="n">
        <v>0.64</v>
      </c>
    </row>
    <row r="323">
      <c r="A323" s="2" t="n">
        <v>305</v>
      </c>
      <c r="B323" s="2" t="n">
        <v>10899.40410163475</v>
      </c>
      <c r="C323" s="2" t="n">
        <v>8.994041016347467</v>
      </c>
      <c r="D323" s="2" t="n">
        <v>899.4041016347454</v>
      </c>
      <c r="E323" s="2" t="n">
        <v>-1368.474776664969</v>
      </c>
      <c r="F323" s="2" t="n">
        <v>0.2574563259571515</v>
      </c>
      <c r="G323" s="2" t="n">
        <v>0.68</v>
      </c>
    </row>
    <row r="324">
      <c r="A324" s="2" t="n">
        <v>306</v>
      </c>
      <c r="B324" s="2" t="n">
        <v>10990.31319254384</v>
      </c>
      <c r="C324" s="2" t="n">
        <v>9.903131925438377</v>
      </c>
      <c r="D324" s="2" t="n">
        <v>990.3131925438363</v>
      </c>
      <c r="E324" s="2" t="n">
        <v>-1277.565685755879</v>
      </c>
      <c r="F324" s="2" t="n">
        <v>0.2652485337493592</v>
      </c>
      <c r="G324" s="2" t="n">
        <v>0.68</v>
      </c>
    </row>
    <row r="325">
      <c r="A325" s="2" t="n">
        <v>307</v>
      </c>
      <c r="B325" s="2" t="n">
        <v>11067.23626946691</v>
      </c>
      <c r="C325" s="2" t="n">
        <v>10.67236269466915</v>
      </c>
      <c r="D325" s="2" t="n">
        <v>1067.236269466913</v>
      </c>
      <c r="E325" s="2" t="n">
        <v>-1200.642608832801</v>
      </c>
      <c r="F325" s="2" t="n">
        <v>0.33601776451859</v>
      </c>
      <c r="G325" s="2" t="n">
        <v>0.72</v>
      </c>
    </row>
    <row r="326">
      <c r="A326" s="2" t="n">
        <v>308</v>
      </c>
      <c r="B326" s="2" t="n">
        <v>10967.23626946691</v>
      </c>
      <c r="C326" s="2" t="n">
        <v>9.672362694669147</v>
      </c>
      <c r="D326" s="2" t="n">
        <v>967.2362694669132</v>
      </c>
      <c r="E326" s="2" t="n">
        <v>-1300.642608832801</v>
      </c>
      <c r="F326" s="2" t="n">
        <v>0.2717753402761658</v>
      </c>
      <c r="G326" s="2" t="n">
        <v>0.68</v>
      </c>
    </row>
    <row r="327">
      <c r="A327" s="2" t="n">
        <v>309</v>
      </c>
      <c r="B327" s="2" t="n">
        <v>11087.23626946691</v>
      </c>
      <c r="C327" s="2" t="n">
        <v>10.87236269466915</v>
      </c>
      <c r="D327" s="2" t="n">
        <v>1087.236269466913</v>
      </c>
      <c r="E327" s="2" t="n">
        <v>-1180.642608832801</v>
      </c>
      <c r="F327" s="2" t="n">
        <v>0.3597753402761658</v>
      </c>
      <c r="G327" s="2" t="n">
        <v>0.72</v>
      </c>
    </row>
    <row r="328">
      <c r="A328" s="2" t="n">
        <v>310</v>
      </c>
      <c r="B328" s="2" t="n">
        <v>11158.66484089548</v>
      </c>
      <c r="C328" s="2" t="n">
        <v>11.58664840895486</v>
      </c>
      <c r="D328" s="2" t="n">
        <v>1158.664840895485</v>
      </c>
      <c r="E328" s="2" t="n">
        <v>-1109.21403740423</v>
      </c>
      <c r="F328" s="2" t="n">
        <v>0.3649549559820973</v>
      </c>
      <c r="G328" s="2" t="n">
        <v>0.72</v>
      </c>
    </row>
    <row r="329">
      <c r="A329" s="2" t="n">
        <v>311</v>
      </c>
      <c r="B329" s="2" t="n">
        <v>11268.66484089548</v>
      </c>
      <c r="C329" s="2" t="n">
        <v>12.68664840895486</v>
      </c>
      <c r="D329" s="2" t="n">
        <v>1268.664840895485</v>
      </c>
      <c r="E329" s="2" t="n">
        <v>-999.2140374042301</v>
      </c>
      <c r="F329" s="2" t="n">
        <v>0.3756216226487639</v>
      </c>
      <c r="G329" s="2" t="n">
        <v>0.72</v>
      </c>
    </row>
    <row r="330">
      <c r="A330" s="2" t="n">
        <v>312</v>
      </c>
      <c r="B330" s="2" t="n">
        <v>11168.66484089548</v>
      </c>
      <c r="C330" s="2" t="n">
        <v>11.68664840895486</v>
      </c>
      <c r="D330" s="2" t="n">
        <v>1168.664840895485</v>
      </c>
      <c r="E330" s="2" t="n">
        <v>-1099.21403740423</v>
      </c>
      <c r="F330" s="2" t="n">
        <v>0.3048523918795332</v>
      </c>
      <c r="G330" s="2" t="n">
        <v>0.68</v>
      </c>
    </row>
    <row r="331">
      <c r="A331" s="2" t="n">
        <v>313</v>
      </c>
      <c r="B331" s="2" t="n">
        <v>11068.66484089548</v>
      </c>
      <c r="C331" s="2" t="n">
        <v>10.68664840895486</v>
      </c>
      <c r="D331" s="2" t="n">
        <v>1068.664840895485</v>
      </c>
      <c r="E331" s="2" t="n">
        <v>-1199.21403740423</v>
      </c>
      <c r="F331" s="2" t="n">
        <v>0.2248523918795332</v>
      </c>
      <c r="G331" s="2" t="n">
        <v>0.64</v>
      </c>
    </row>
    <row r="332">
      <c r="A332" s="2" t="n">
        <v>314</v>
      </c>
      <c r="B332" s="2" t="n">
        <v>11201.66484089548</v>
      </c>
      <c r="C332" s="2" t="n">
        <v>12.01664840895486</v>
      </c>
      <c r="D332" s="2" t="n">
        <v>1201.664840895485</v>
      </c>
      <c r="E332" s="2" t="n">
        <v>-1066.21403740423</v>
      </c>
      <c r="F332" s="2" t="n">
        <v>0.3180523918795332</v>
      </c>
      <c r="G332" s="2" t="n">
        <v>0.68</v>
      </c>
    </row>
    <row r="333">
      <c r="A333" s="2" t="n">
        <v>315</v>
      </c>
      <c r="B333" s="2" t="n">
        <v>11284.99817422882</v>
      </c>
      <c r="C333" s="2" t="n">
        <v>12.8499817422882</v>
      </c>
      <c r="D333" s="2" t="n">
        <v>1284.998174228818</v>
      </c>
      <c r="E333" s="2" t="n">
        <v>-982.8807040708962</v>
      </c>
      <c r="F333" s="2" t="n">
        <v>0.3089857252128665</v>
      </c>
      <c r="G333" s="2" t="n">
        <v>0.68</v>
      </c>
    </row>
    <row r="334">
      <c r="A334" s="2" t="n">
        <v>316</v>
      </c>
      <c r="B334" s="2" t="n">
        <v>11184.99817422882</v>
      </c>
      <c r="C334" s="2" t="n">
        <v>11.8499817422882</v>
      </c>
      <c r="D334" s="2" t="n">
        <v>1184.998174228818</v>
      </c>
      <c r="E334" s="2" t="n">
        <v>-1082.880704070896</v>
      </c>
      <c r="F334" s="2" t="n">
        <v>0.3089857252128665</v>
      </c>
      <c r="G334" s="2" t="n">
        <v>0.68</v>
      </c>
    </row>
    <row r="335">
      <c r="A335" s="2" t="n">
        <v>317</v>
      </c>
      <c r="B335" s="2" t="n">
        <v>11084.99817422882</v>
      </c>
      <c r="C335" s="2" t="n">
        <v>10.8499817422882</v>
      </c>
      <c r="D335" s="2" t="n">
        <v>1084.998174228818</v>
      </c>
      <c r="E335" s="2" t="n">
        <v>-1182.880704070896</v>
      </c>
      <c r="F335" s="2" t="n">
        <v>0.3089857252128665</v>
      </c>
      <c r="G335" s="2" t="n">
        <v>0.68</v>
      </c>
    </row>
    <row r="336">
      <c r="A336" s="2" t="n">
        <v>318</v>
      </c>
      <c r="B336" s="2" t="n">
        <v>10984.99817422882</v>
      </c>
      <c r="C336" s="2" t="n">
        <v>9.849981742288195</v>
      </c>
      <c r="D336" s="2" t="n">
        <v>984.998174228818</v>
      </c>
      <c r="E336" s="2" t="n">
        <v>-1282.880704070896</v>
      </c>
      <c r="F336" s="2" t="n">
        <v>0.3089857252128665</v>
      </c>
      <c r="G336" s="2" t="n">
        <v>0.68</v>
      </c>
    </row>
    <row r="337">
      <c r="A337" s="2" t="n">
        <v>319</v>
      </c>
      <c r="B337" s="2" t="n">
        <v>11049.51430326108</v>
      </c>
      <c r="C337" s="2" t="n">
        <v>10.49514303261078</v>
      </c>
      <c r="D337" s="2" t="n">
        <v>1049.514303261076</v>
      </c>
      <c r="E337" s="2" t="n">
        <v>-1218.364575038639</v>
      </c>
      <c r="F337" s="2" t="n">
        <v>0.304022946056539</v>
      </c>
      <c r="G337" s="2" t="n">
        <v>0.68</v>
      </c>
    </row>
    <row r="338">
      <c r="A338" s="2" t="n">
        <v>320</v>
      </c>
      <c r="B338" s="2" t="n">
        <v>10949.51430326108</v>
      </c>
      <c r="C338" s="2" t="n">
        <v>9.495143032610775</v>
      </c>
      <c r="D338" s="2" t="n">
        <v>949.5143032610761</v>
      </c>
      <c r="E338" s="2" t="n">
        <v>-1318.364575038639</v>
      </c>
      <c r="F338" s="2" t="n">
        <v>0.214022946056539</v>
      </c>
      <c r="G338" s="2" t="n">
        <v>0.64</v>
      </c>
    </row>
    <row r="339">
      <c r="A339" s="2" t="n">
        <v>321</v>
      </c>
      <c r="B339" s="2" t="n">
        <v>10849.51430326108</v>
      </c>
      <c r="C339" s="2" t="n">
        <v>8.495143032610775</v>
      </c>
      <c r="D339" s="2" t="n">
        <v>849.5143032610761</v>
      </c>
      <c r="E339" s="2" t="n">
        <v>-1418.364575038639</v>
      </c>
      <c r="F339" s="2" t="n">
        <v>0.1482164944436358</v>
      </c>
      <c r="G339" s="2" t="n">
        <v>0.6</v>
      </c>
    </row>
    <row r="340">
      <c r="A340" s="2" t="n">
        <v>322</v>
      </c>
      <c r="B340" s="2" t="n">
        <v>10936.47082500021</v>
      </c>
      <c r="C340" s="2" t="n">
        <v>9.36470825000208</v>
      </c>
      <c r="D340" s="2" t="n">
        <v>936.4708250002064</v>
      </c>
      <c r="E340" s="2" t="n">
        <v>-1331.408053299509</v>
      </c>
      <c r="F340" s="2" t="n">
        <v>0.2229991031392879</v>
      </c>
      <c r="G340" s="2" t="n">
        <v>0.64</v>
      </c>
    </row>
    <row r="341">
      <c r="A341" s="2" t="n">
        <v>323</v>
      </c>
      <c r="B341" s="2" t="n">
        <v>10836.47082500021</v>
      </c>
      <c r="C341" s="2" t="n">
        <v>8.36470825000208</v>
      </c>
      <c r="D341" s="2" t="n">
        <v>836.4708250002064</v>
      </c>
      <c r="E341" s="2" t="n">
        <v>-1431.408053299509</v>
      </c>
      <c r="F341" s="2" t="n">
        <v>0.1289991031392879</v>
      </c>
      <c r="G341" s="2" t="n">
        <v>0.6</v>
      </c>
    </row>
    <row r="342">
      <c r="A342" s="2" t="n">
        <v>324</v>
      </c>
      <c r="B342" s="2" t="n">
        <v>10956.47082500021</v>
      </c>
      <c r="C342" s="2" t="n">
        <v>9.564708250002081</v>
      </c>
      <c r="D342" s="2" t="n">
        <v>956.4708250002064</v>
      </c>
      <c r="E342" s="2" t="n">
        <v>-1311.408053299509</v>
      </c>
      <c r="F342" s="2" t="n">
        <v>0.1519991031392879</v>
      </c>
      <c r="G342" s="2" t="n">
        <v>0.6</v>
      </c>
    </row>
    <row r="343">
      <c r="A343" s="2" t="n">
        <v>325</v>
      </c>
      <c r="B343" s="2" t="n">
        <v>11074.47082500021</v>
      </c>
      <c r="C343" s="2" t="n">
        <v>10.74470825000208</v>
      </c>
      <c r="D343" s="2" t="n">
        <v>1074.470825000206</v>
      </c>
      <c r="E343" s="2" t="n">
        <v>-1193.408053299509</v>
      </c>
      <c r="F343" s="2" t="n">
        <v>0.2391991031392879</v>
      </c>
      <c r="G343" s="2" t="n">
        <v>0.64</v>
      </c>
    </row>
    <row r="344">
      <c r="A344" s="2" t="n">
        <v>326</v>
      </c>
      <c r="B344" s="2" t="n">
        <v>10974.47082500021</v>
      </c>
      <c r="C344" s="2" t="n">
        <v>9.744708250002081</v>
      </c>
      <c r="D344" s="2" t="n">
        <v>974.4708250002063</v>
      </c>
      <c r="E344" s="2" t="n">
        <v>-1293.408053299509</v>
      </c>
      <c r="F344" s="2" t="n">
        <v>0.1671991031392879</v>
      </c>
      <c r="G344" s="2" t="n">
        <v>0.6</v>
      </c>
    </row>
    <row r="345">
      <c r="A345" s="2" t="n">
        <v>327</v>
      </c>
      <c r="B345" s="2" t="n">
        <v>11061.42734673934</v>
      </c>
      <c r="C345" s="2" t="n">
        <v>10.61427346739339</v>
      </c>
      <c r="D345" s="2" t="n">
        <v>1061.427346739337</v>
      </c>
      <c r="E345" s="2" t="n">
        <v>-1206.451531560378</v>
      </c>
      <c r="F345" s="2" t="n">
        <v>0.1519817118349401</v>
      </c>
      <c r="G345" s="2" t="n">
        <v>0.6</v>
      </c>
    </row>
    <row r="346">
      <c r="A346" s="2" t="n">
        <v>328</v>
      </c>
      <c r="B346" s="2" t="n">
        <v>10961.42734673934</v>
      </c>
      <c r="C346" s="2" t="n">
        <v>9.614273467393385</v>
      </c>
      <c r="D346" s="2" t="n">
        <v>961.4273467393368</v>
      </c>
      <c r="E346" s="2" t="n">
        <v>-1306.451531560378</v>
      </c>
      <c r="F346" s="2" t="n">
        <v>0.08439550493838834</v>
      </c>
      <c r="G346" s="2" t="n">
        <v>0.5600000000000001</v>
      </c>
    </row>
    <row r="347">
      <c r="A347" s="2" t="n">
        <v>329</v>
      </c>
      <c r="B347" s="2" t="n">
        <v>10861.42734673934</v>
      </c>
      <c r="C347" s="2" t="n">
        <v>8.614273467393385</v>
      </c>
      <c r="D347" s="2" t="n">
        <v>861.4273467393368</v>
      </c>
      <c r="E347" s="2" t="n">
        <v>-1406.451531560378</v>
      </c>
      <c r="F347" s="2" t="n">
        <v>0.01239550493838834</v>
      </c>
      <c r="G347" s="2" t="n">
        <v>0.52</v>
      </c>
    </row>
    <row r="348">
      <c r="A348" s="2" t="n">
        <v>330</v>
      </c>
      <c r="B348" s="2" t="n">
        <v>10923.92734673934</v>
      </c>
      <c r="C348" s="2" t="n">
        <v>9.239273467393385</v>
      </c>
      <c r="D348" s="2" t="n">
        <v>923.9273467393368</v>
      </c>
      <c r="E348" s="2" t="n">
        <v>-1343.951531560378</v>
      </c>
      <c r="F348" s="2" t="n">
        <v>0.009809298041836617</v>
      </c>
      <c r="G348" s="2" t="n">
        <v>0.52</v>
      </c>
    </row>
    <row r="349">
      <c r="A349" s="2" t="n">
        <v>331</v>
      </c>
      <c r="B349" s="2" t="n">
        <v>10823.92734673934</v>
      </c>
      <c r="C349" s="2" t="n">
        <v>8.239273467393385</v>
      </c>
      <c r="D349" s="2" t="n">
        <v>823.9273467393368</v>
      </c>
      <c r="E349" s="2" t="n">
        <v>-1443.951531560378</v>
      </c>
      <c r="F349" s="2" t="n">
        <v>-0.06655433832179974</v>
      </c>
      <c r="G349" s="2" t="n">
        <v>0.48</v>
      </c>
    </row>
    <row r="350">
      <c r="A350" s="2" t="n">
        <v>332</v>
      </c>
      <c r="B350" s="2" t="n">
        <v>10723.92734673934</v>
      </c>
      <c r="C350" s="2" t="n">
        <v>7.239273467393385</v>
      </c>
      <c r="D350" s="2" t="n">
        <v>723.9273467393368</v>
      </c>
      <c r="E350" s="2" t="n">
        <v>-1543.951531560378</v>
      </c>
      <c r="F350" s="2" t="n">
        <v>-0.1373235690910305</v>
      </c>
      <c r="G350" s="2" t="n">
        <v>0.44</v>
      </c>
    </row>
    <row r="351">
      <c r="A351" s="2" t="n">
        <v>333</v>
      </c>
      <c r="B351" s="2" t="n">
        <v>10623.92734673934</v>
      </c>
      <c r="C351" s="2" t="n">
        <v>6.239273467393385</v>
      </c>
      <c r="D351" s="2" t="n">
        <v>623.9273467393368</v>
      </c>
      <c r="E351" s="2" t="n">
        <v>-1643.951531560378</v>
      </c>
      <c r="F351" s="2" t="n">
        <v>-0.1373235690910305</v>
      </c>
      <c r="G351" s="2" t="n">
        <v>0.44</v>
      </c>
    </row>
    <row r="352">
      <c r="A352" s="2" t="n">
        <v>334</v>
      </c>
      <c r="B352" s="2" t="n">
        <v>10523.92734673934</v>
      </c>
      <c r="C352" s="2" t="n">
        <v>5.239273467393385</v>
      </c>
      <c r="D352" s="2" t="n">
        <v>523.9273467393368</v>
      </c>
      <c r="E352" s="2" t="n">
        <v>-1743.951531560378</v>
      </c>
      <c r="F352" s="2" t="n">
        <v>-0.2253235690910305</v>
      </c>
      <c r="G352" s="2" t="n">
        <v>0.4</v>
      </c>
    </row>
    <row r="353">
      <c r="A353" s="2" t="n">
        <v>335</v>
      </c>
      <c r="B353" s="2" t="n">
        <v>10423.92734673934</v>
      </c>
      <c r="C353" s="2" t="n">
        <v>4.239273467393385</v>
      </c>
      <c r="D353" s="2" t="n">
        <v>423.9273467393368</v>
      </c>
      <c r="E353" s="2" t="n">
        <v>-1843.951531560378</v>
      </c>
      <c r="F353" s="2" t="n">
        <v>-0.2938949976624591</v>
      </c>
      <c r="G353" s="2" t="n">
        <v>0.36</v>
      </c>
    </row>
    <row r="354">
      <c r="A354" s="2" t="n">
        <v>336</v>
      </c>
      <c r="B354" s="2" t="n">
        <v>10323.92734673934</v>
      </c>
      <c r="C354" s="2" t="n">
        <v>3.239273467393385</v>
      </c>
      <c r="D354" s="2" t="n">
        <v>323.9273467393368</v>
      </c>
      <c r="E354" s="2" t="n">
        <v>-1943.951531560378</v>
      </c>
      <c r="F354" s="2" t="n">
        <v>-0.3778949976624591</v>
      </c>
      <c r="G354" s="2" t="n">
        <v>0.32</v>
      </c>
    </row>
    <row r="355">
      <c r="A355" s="2" t="n">
        <v>337</v>
      </c>
      <c r="B355" s="2" t="n">
        <v>10223.92734673934</v>
      </c>
      <c r="C355" s="2" t="n">
        <v>2.239273467393385</v>
      </c>
      <c r="D355" s="2" t="n">
        <v>223.9273467393368</v>
      </c>
      <c r="E355" s="2" t="n">
        <v>-2043.951531560378</v>
      </c>
      <c r="F355" s="2" t="n">
        <v>-0.3778949976624591</v>
      </c>
      <c r="G355" s="2" t="n">
        <v>0.32</v>
      </c>
    </row>
    <row r="356">
      <c r="A356" s="2" t="n">
        <v>338</v>
      </c>
      <c r="B356" s="2" t="n">
        <v>10341.92734673934</v>
      </c>
      <c r="C356" s="2" t="n">
        <v>3.419273467393385</v>
      </c>
      <c r="D356" s="2" t="n">
        <v>341.9273467393368</v>
      </c>
      <c r="E356" s="2" t="n">
        <v>-1925.951531560378</v>
      </c>
      <c r="F356" s="2" t="n">
        <v>-0.2906949976624591</v>
      </c>
      <c r="G356" s="2" t="n">
        <v>0.36</v>
      </c>
    </row>
    <row r="357">
      <c r="A357" s="2" t="n">
        <v>339</v>
      </c>
      <c r="B357" s="2" t="n">
        <v>10397.48290229489</v>
      </c>
      <c r="C357" s="2" t="n">
        <v>3.97482902294894</v>
      </c>
      <c r="D357" s="2" t="n">
        <v>397.4829022948924</v>
      </c>
      <c r="E357" s="2" t="n">
        <v>-1870.395976004822</v>
      </c>
      <c r="F357" s="2" t="n">
        <v>-0.3216727754402369</v>
      </c>
      <c r="G357" s="2" t="n">
        <v>0.36</v>
      </c>
    </row>
    <row r="358">
      <c r="A358" s="2" t="n">
        <v>340</v>
      </c>
      <c r="B358" s="2" t="n">
        <v>10514.48290229489</v>
      </c>
      <c r="C358" s="2" t="n">
        <v>5.14482902294894</v>
      </c>
      <c r="D358" s="2" t="n">
        <v>514.4829022948924</v>
      </c>
      <c r="E358" s="2" t="n">
        <v>-1753.395976004822</v>
      </c>
      <c r="F358" s="2" t="n">
        <v>-0.3082061087735702</v>
      </c>
      <c r="G358" s="2" t="n">
        <v>0.36</v>
      </c>
    </row>
    <row r="359">
      <c r="A359" s="2" t="n">
        <v>341</v>
      </c>
      <c r="B359" s="2" t="n">
        <v>10570.98007743614</v>
      </c>
      <c r="C359" s="2" t="n">
        <v>5.709800774361369</v>
      </c>
      <c r="D359" s="2" t="n">
        <v>570.9800774361353</v>
      </c>
      <c r="E359" s="2" t="n">
        <v>-1696.898800863579</v>
      </c>
      <c r="F359" s="2" t="n">
        <v>-0.2456072387170731</v>
      </c>
      <c r="G359" s="2" t="n">
        <v>0.4</v>
      </c>
    </row>
    <row r="360">
      <c r="A360" s="2" t="n">
        <v>342</v>
      </c>
      <c r="B360" s="2" t="n">
        <v>10669.01929312241</v>
      </c>
      <c r="C360" s="2" t="n">
        <v>6.690192931224114</v>
      </c>
      <c r="D360" s="2" t="n">
        <v>669.0192931224097</v>
      </c>
      <c r="E360" s="2" t="n">
        <v>-1598.859585177304</v>
      </c>
      <c r="F360" s="2" t="n">
        <v>-0.1663915524425632</v>
      </c>
      <c r="G360" s="2" t="n">
        <v>0.44</v>
      </c>
    </row>
    <row r="361">
      <c r="A361" s="2" t="n">
        <v>343</v>
      </c>
      <c r="B361" s="2" t="n">
        <v>10759.9283840315</v>
      </c>
      <c r="C361" s="2" t="n">
        <v>7.599283840315024</v>
      </c>
      <c r="D361" s="2" t="n">
        <v>759.9283840315006</v>
      </c>
      <c r="E361" s="2" t="n">
        <v>-1507.950494268214</v>
      </c>
      <c r="F361" s="2" t="n">
        <v>-0.09002791607892689</v>
      </c>
      <c r="G361" s="2" t="n">
        <v>0.48</v>
      </c>
    </row>
    <row r="362">
      <c r="A362" s="2" t="n">
        <v>344</v>
      </c>
      <c r="B362" s="2" t="n">
        <v>10879.9283840315</v>
      </c>
      <c r="C362" s="2" t="n">
        <v>8.799283840315024</v>
      </c>
      <c r="D362" s="2" t="n">
        <v>879.9283840315006</v>
      </c>
      <c r="E362" s="2" t="n">
        <v>-1387.950494268214</v>
      </c>
      <c r="F362" s="2" t="n">
        <v>-0.0678343676918301</v>
      </c>
      <c r="G362" s="2" t="n">
        <v>0.48</v>
      </c>
    </row>
    <row r="363">
      <c r="A363" s="2" t="n">
        <v>345</v>
      </c>
      <c r="B363" s="2" t="n">
        <v>10942.4283840315</v>
      </c>
      <c r="C363" s="2" t="n">
        <v>9.424283840315024</v>
      </c>
      <c r="D363" s="2" t="n">
        <v>942.4283840315006</v>
      </c>
      <c r="E363" s="2" t="n">
        <v>-1325.450494268214</v>
      </c>
      <c r="F363" s="2" t="n">
        <v>-0.002834367691830098</v>
      </c>
      <c r="G363" s="2" t="n">
        <v>0.52</v>
      </c>
    </row>
    <row r="364">
      <c r="A364" s="2" t="n">
        <v>346</v>
      </c>
      <c r="B364" s="2" t="n">
        <v>11026.46199747688</v>
      </c>
      <c r="C364" s="2" t="n">
        <v>10.26461997476881</v>
      </c>
      <c r="D364" s="2" t="n">
        <v>1026.461997476879</v>
      </c>
      <c r="E364" s="2" t="n">
        <v>-1241.416880822835</v>
      </c>
      <c r="F364" s="2" t="n">
        <v>0.07077907768632116</v>
      </c>
      <c r="G364" s="2" t="n">
        <v>0.5600000000000001</v>
      </c>
    </row>
    <row r="365">
      <c r="A365" s="2" t="n">
        <v>347</v>
      </c>
      <c r="B365" s="2" t="n">
        <v>11141.46199747688</v>
      </c>
      <c r="C365" s="2" t="n">
        <v>11.41461997476881</v>
      </c>
      <c r="D365" s="2" t="n">
        <v>1141.461997476879</v>
      </c>
      <c r="E365" s="2" t="n">
        <v>-1126.416880822835</v>
      </c>
      <c r="F365" s="2" t="n">
        <v>0.08199646899066898</v>
      </c>
      <c r="G365" s="2" t="n">
        <v>0.5600000000000001</v>
      </c>
    </row>
    <row r="366">
      <c r="A366" s="2" t="n">
        <v>348</v>
      </c>
      <c r="B366" s="2" t="n">
        <v>11041.46199747688</v>
      </c>
      <c r="C366" s="2" t="n">
        <v>10.41461997476881</v>
      </c>
      <c r="D366" s="2" t="n">
        <v>1041.461997476879</v>
      </c>
      <c r="E366" s="2" t="n">
        <v>-1226.416880822835</v>
      </c>
      <c r="F366" s="2" t="n">
        <v>0.08199646899066898</v>
      </c>
      <c r="G366" s="2" t="n">
        <v>0.5600000000000001</v>
      </c>
    </row>
    <row r="367">
      <c r="A367" s="2" t="n">
        <v>349</v>
      </c>
      <c r="B367" s="2" t="n">
        <v>11109.95514816181</v>
      </c>
      <c r="C367" s="2" t="n">
        <v>11.09955148161812</v>
      </c>
      <c r="D367" s="2" t="n">
        <v>1109.95514816181</v>
      </c>
      <c r="E367" s="2" t="n">
        <v>-1157.923730137903</v>
      </c>
      <c r="F367" s="2" t="n">
        <v>0.06139372926464159</v>
      </c>
      <c r="G367" s="2" t="n">
        <v>0.5600000000000001</v>
      </c>
    </row>
    <row r="368">
      <c r="A368" s="2" t="n">
        <v>350</v>
      </c>
      <c r="B368" s="2" t="n">
        <v>11009.95514816181</v>
      </c>
      <c r="C368" s="2" t="n">
        <v>10.09955148161812</v>
      </c>
      <c r="D368" s="2" t="n">
        <v>1009.95514816181</v>
      </c>
      <c r="E368" s="2" t="n">
        <v>-1257.923730137903</v>
      </c>
      <c r="F368" s="2" t="n">
        <v>-0.02580627073535839</v>
      </c>
      <c r="G368" s="2" t="n">
        <v>0.52</v>
      </c>
    </row>
    <row r="369">
      <c r="A369" s="2" t="n">
        <v>351</v>
      </c>
      <c r="B369" s="2" t="n">
        <v>10909.95514816181</v>
      </c>
      <c r="C369" s="2" t="n">
        <v>9.099551481618121</v>
      </c>
      <c r="D369" s="2" t="n">
        <v>909.9551481618105</v>
      </c>
      <c r="E369" s="2" t="n">
        <v>-1357.923730137903</v>
      </c>
      <c r="F369" s="2" t="n">
        <v>-0.02580627073535839</v>
      </c>
      <c r="G369" s="2" t="n">
        <v>0.52</v>
      </c>
    </row>
    <row r="370">
      <c r="A370" s="2" t="n">
        <v>352</v>
      </c>
      <c r="B370" s="2" t="n">
        <v>10809.95514816181</v>
      </c>
      <c r="C370" s="2" t="n">
        <v>8.099551481618121</v>
      </c>
      <c r="D370" s="2" t="n">
        <v>809.9551481618105</v>
      </c>
      <c r="E370" s="2" t="n">
        <v>-1457.923730137903</v>
      </c>
      <c r="F370" s="2" t="n">
        <v>-0.1005888794310106</v>
      </c>
      <c r="G370" s="2" t="n">
        <v>0.48</v>
      </c>
    </row>
    <row r="371">
      <c r="A371" s="2" t="n">
        <v>353</v>
      </c>
      <c r="B371" s="2" t="n">
        <v>10709.95514816181</v>
      </c>
      <c r="C371" s="2" t="n">
        <v>7.099551481618121</v>
      </c>
      <c r="D371" s="2" t="n">
        <v>709.9551481618105</v>
      </c>
      <c r="E371" s="2" t="n">
        <v>-1557.923730137903</v>
      </c>
      <c r="F371" s="2" t="n">
        <v>-0.1005888794310106</v>
      </c>
      <c r="G371" s="2" t="n">
        <v>0.48</v>
      </c>
    </row>
    <row r="372">
      <c r="A372" s="2" t="n">
        <v>354</v>
      </c>
      <c r="B372" s="2" t="n">
        <v>10609.95514816181</v>
      </c>
      <c r="C372" s="2" t="n">
        <v>6.099551481618121</v>
      </c>
      <c r="D372" s="2" t="n">
        <v>609.9551481618105</v>
      </c>
      <c r="E372" s="2" t="n">
        <v>-1657.923730137903</v>
      </c>
      <c r="F372" s="2" t="n">
        <v>-0.1005888794310106</v>
      </c>
      <c r="G372" s="2" t="n">
        <v>0.48</v>
      </c>
    </row>
    <row r="373">
      <c r="A373" s="2" t="n">
        <v>355</v>
      </c>
      <c r="B373" s="2" t="n">
        <v>10705.19324339991</v>
      </c>
      <c r="C373" s="2" t="n">
        <v>7.051932433999074</v>
      </c>
      <c r="D373" s="2" t="n">
        <v>705.1932433999057</v>
      </c>
      <c r="E373" s="2" t="n">
        <v>-1562.685634899808</v>
      </c>
      <c r="F373" s="2" t="n">
        <v>-0.08749364133577248</v>
      </c>
      <c r="G373" s="2" t="n">
        <v>0.48</v>
      </c>
    </row>
    <row r="374">
      <c r="A374" s="2" t="n">
        <v>356</v>
      </c>
      <c r="B374" s="2" t="n">
        <v>10820.19324339991</v>
      </c>
      <c r="C374" s="2" t="n">
        <v>8.201932433999074</v>
      </c>
      <c r="D374" s="2" t="n">
        <v>820.1932433999057</v>
      </c>
      <c r="E374" s="2" t="n">
        <v>-1447.685634899808</v>
      </c>
      <c r="F374" s="2" t="n">
        <v>-0.001493641335772473</v>
      </c>
      <c r="G374" s="2" t="n">
        <v>0.52</v>
      </c>
    </row>
    <row r="375">
      <c r="A375" s="2" t="n">
        <v>357</v>
      </c>
      <c r="B375" s="2" t="n">
        <v>10872.82482234727</v>
      </c>
      <c r="C375" s="2" t="n">
        <v>8.728248223472757</v>
      </c>
      <c r="D375" s="2" t="n">
        <v>872.8248223472741</v>
      </c>
      <c r="E375" s="2" t="n">
        <v>-1395.05405595244</v>
      </c>
      <c r="F375" s="2" t="n">
        <v>0.05955899024317489</v>
      </c>
      <c r="G375" s="2" t="n">
        <v>0.5600000000000001</v>
      </c>
    </row>
    <row r="376">
      <c r="A376" s="2" t="n">
        <v>358</v>
      </c>
      <c r="B376" s="2" t="n">
        <v>10962.11053663299</v>
      </c>
      <c r="C376" s="2" t="n">
        <v>9.6211053663299</v>
      </c>
      <c r="D376" s="2" t="n">
        <v>962.1105366329884</v>
      </c>
      <c r="E376" s="2" t="n">
        <v>-1305.768341666726</v>
      </c>
      <c r="F376" s="2" t="n">
        <v>0.1352732759574606</v>
      </c>
      <c r="G376" s="2" t="n">
        <v>0.6</v>
      </c>
    </row>
    <row r="377">
      <c r="A377" s="2" t="n">
        <v>359</v>
      </c>
      <c r="B377" s="2" t="n">
        <v>11076.11053663299</v>
      </c>
      <c r="C377" s="2" t="n">
        <v>10.7611053663299</v>
      </c>
      <c r="D377" s="2" t="n">
        <v>1076.110536632988</v>
      </c>
      <c r="E377" s="2" t="n">
        <v>-1191.768341666726</v>
      </c>
      <c r="F377" s="2" t="n">
        <v>0.2208732759574606</v>
      </c>
      <c r="G377" s="2" t="n">
        <v>0.64</v>
      </c>
    </row>
    <row r="378">
      <c r="A378" s="2" t="n">
        <v>360</v>
      </c>
      <c r="B378" s="2" t="n">
        <v>11201.11053663299</v>
      </c>
      <c r="C378" s="2" t="n">
        <v>12.0111053663299</v>
      </c>
      <c r="D378" s="2" t="n">
        <v>1201.110536632988</v>
      </c>
      <c r="E378" s="2" t="n">
        <v>-1066.768341666726</v>
      </c>
      <c r="F378" s="2" t="n">
        <v>0.3108732759574606</v>
      </c>
      <c r="G378" s="2" t="n">
        <v>0.68</v>
      </c>
    </row>
    <row r="379">
      <c r="A379" s="2" t="n">
        <v>361</v>
      </c>
      <c r="B379" s="2" t="n">
        <v>11252.39258791504</v>
      </c>
      <c r="C379" s="2" t="n">
        <v>12.52392587915041</v>
      </c>
      <c r="D379" s="2" t="n">
        <v>1252.39258791504</v>
      </c>
      <c r="E379" s="2" t="n">
        <v>-1015.486290384675</v>
      </c>
      <c r="F379" s="2" t="n">
        <v>0.3713860964702811</v>
      </c>
      <c r="G379" s="2" t="n">
        <v>0.72</v>
      </c>
    </row>
    <row r="380">
      <c r="A380" s="2" t="n">
        <v>362</v>
      </c>
      <c r="B380" s="2" t="n">
        <v>11324.85635603098</v>
      </c>
      <c r="C380" s="2" t="n">
        <v>13.24856356030983</v>
      </c>
      <c r="D380" s="2" t="n">
        <v>1324.856356030982</v>
      </c>
      <c r="E380" s="2" t="n">
        <v>-943.0225222687332</v>
      </c>
      <c r="F380" s="2" t="n">
        <v>0.4403716037166579</v>
      </c>
      <c r="G380" s="2" t="n">
        <v>0.76</v>
      </c>
    </row>
    <row r="381">
      <c r="A381" s="2" t="n">
        <v>363</v>
      </c>
      <c r="B381" s="2" t="n">
        <v>11398.93043010506</v>
      </c>
      <c r="C381" s="2" t="n">
        <v>13.98930430105057</v>
      </c>
      <c r="D381" s="2" t="n">
        <v>1398.930430105056</v>
      </c>
      <c r="E381" s="2" t="n">
        <v>-868.9484481946583</v>
      </c>
      <c r="F381" s="2" t="n">
        <v>0.4228012333462876</v>
      </c>
      <c r="G381" s="2" t="n">
        <v>0.76</v>
      </c>
    </row>
    <row r="382">
      <c r="A382" s="2" t="n">
        <v>364</v>
      </c>
      <c r="B382" s="2" t="n">
        <v>11298.93043010506</v>
      </c>
      <c r="C382" s="2" t="n">
        <v>12.98930430105057</v>
      </c>
      <c r="D382" s="2" t="n">
        <v>1298.930430105056</v>
      </c>
      <c r="E382" s="2" t="n">
        <v>-968.9484481946583</v>
      </c>
      <c r="F382" s="2" t="n">
        <v>0.3605790111240653</v>
      </c>
      <c r="G382" s="2" t="n">
        <v>0.72</v>
      </c>
    </row>
    <row r="383">
      <c r="A383" s="2" t="n">
        <v>365</v>
      </c>
      <c r="B383" s="2" t="n">
        <v>11378.93043010506</v>
      </c>
      <c r="C383" s="2" t="n">
        <v>13.78930430105057</v>
      </c>
      <c r="D383" s="2" t="n">
        <v>1378.930430105056</v>
      </c>
      <c r="E383" s="2" t="n">
        <v>-888.9484481946583</v>
      </c>
      <c r="F383" s="2" t="n">
        <v>0.3457790111240653</v>
      </c>
      <c r="G383" s="2" t="n">
        <v>0.72</v>
      </c>
    </row>
    <row r="384">
      <c r="A384" s="2" t="n">
        <v>366</v>
      </c>
      <c r="B384" s="2" t="n">
        <v>11488.93043010506</v>
      </c>
      <c r="C384" s="2" t="n">
        <v>14.88930430105057</v>
      </c>
      <c r="D384" s="2" t="n">
        <v>1488.930430105056</v>
      </c>
      <c r="E384" s="2" t="n">
        <v>-778.9484481946583</v>
      </c>
      <c r="F384" s="2" t="n">
        <v>0.3671801410675682</v>
      </c>
      <c r="G384" s="2" t="n">
        <v>0.72</v>
      </c>
    </row>
    <row r="385">
      <c r="A385" s="2" t="n">
        <v>367</v>
      </c>
      <c r="B385" s="2" t="n">
        <v>11568.93043010506</v>
      </c>
      <c r="C385" s="2" t="n">
        <v>15.68930430105057</v>
      </c>
      <c r="D385" s="2" t="n">
        <v>1568.930430105056</v>
      </c>
      <c r="E385" s="2" t="n">
        <v>-698.9484481946583</v>
      </c>
      <c r="F385" s="2" t="n">
        <v>0.3599644547930583</v>
      </c>
      <c r="G385" s="2" t="n">
        <v>0.72</v>
      </c>
    </row>
    <row r="386">
      <c r="A386" s="2" t="n">
        <v>368</v>
      </c>
      <c r="B386" s="2" t="n">
        <v>11673.93043010506</v>
      </c>
      <c r="C386" s="2" t="n">
        <v>16.73930430105057</v>
      </c>
      <c r="D386" s="2" t="n">
        <v>1673.930430105056</v>
      </c>
      <c r="E386" s="2" t="n">
        <v>-593.9484481946583</v>
      </c>
      <c r="F386" s="2" t="n">
        <v>0.3656008184294219</v>
      </c>
      <c r="G386" s="2" t="n">
        <v>0.72</v>
      </c>
    </row>
    <row r="387">
      <c r="A387" s="2" t="n">
        <v>369</v>
      </c>
      <c r="B387" s="2" t="n">
        <v>11758.67619281692</v>
      </c>
      <c r="C387" s="2" t="n">
        <v>17.58676192816922</v>
      </c>
      <c r="D387" s="2" t="n">
        <v>1758.67619281692</v>
      </c>
      <c r="E387" s="2" t="n">
        <v>-509.2026854827945</v>
      </c>
      <c r="F387" s="2" t="n">
        <v>0.3514991235141677</v>
      </c>
      <c r="G387" s="2" t="n">
        <v>0.72</v>
      </c>
    </row>
    <row r="388">
      <c r="A388" s="2" t="n">
        <v>370</v>
      </c>
      <c r="B388" s="2" t="n">
        <v>11863.67619281692</v>
      </c>
      <c r="C388" s="2" t="n">
        <v>18.63676192816922</v>
      </c>
      <c r="D388" s="2" t="n">
        <v>1863.67619281692</v>
      </c>
      <c r="E388" s="2" t="n">
        <v>-404.2026854827945</v>
      </c>
      <c r="F388" s="2" t="n">
        <v>0.3684991235141677</v>
      </c>
      <c r="G388" s="2" t="n">
        <v>0.72</v>
      </c>
    </row>
    <row r="389">
      <c r="A389" s="2" t="n">
        <v>371</v>
      </c>
      <c r="B389" s="2" t="n">
        <v>11763.67619281692</v>
      </c>
      <c r="C389" s="2" t="n">
        <v>17.63676192816922</v>
      </c>
      <c r="D389" s="2" t="n">
        <v>1763.67619281692</v>
      </c>
      <c r="E389" s="2" t="n">
        <v>-504.2026854827945</v>
      </c>
      <c r="F389" s="2" t="n">
        <v>0.2948856781360165</v>
      </c>
      <c r="G389" s="2" t="n">
        <v>0.68</v>
      </c>
    </row>
    <row r="390">
      <c r="A390" s="2" t="n">
        <v>372</v>
      </c>
      <c r="B390" s="2" t="n">
        <v>11663.67619281692</v>
      </c>
      <c r="C390" s="2" t="n">
        <v>16.63676192816922</v>
      </c>
      <c r="D390" s="2" t="n">
        <v>1663.67619281692</v>
      </c>
      <c r="E390" s="2" t="n">
        <v>-604.2026854827945</v>
      </c>
      <c r="F390" s="2" t="n">
        <v>0.2088856781360165</v>
      </c>
      <c r="G390" s="2" t="n">
        <v>0.64</v>
      </c>
    </row>
    <row r="391">
      <c r="A391" s="2" t="n">
        <v>373</v>
      </c>
      <c r="B391" s="2" t="n">
        <v>11563.67619281692</v>
      </c>
      <c r="C391" s="2" t="n">
        <v>15.63676192816922</v>
      </c>
      <c r="D391" s="2" t="n">
        <v>1563.67619281692</v>
      </c>
      <c r="E391" s="2" t="n">
        <v>-704.2026854827945</v>
      </c>
      <c r="F391" s="2" t="n">
        <v>0.2088856781360165</v>
      </c>
      <c r="G391" s="2" t="n">
        <v>0.64</v>
      </c>
    </row>
    <row r="392">
      <c r="A392" s="2" t="n">
        <v>374</v>
      </c>
      <c r="B392" s="2" t="n">
        <v>11675.67619281692</v>
      </c>
      <c r="C392" s="2" t="n">
        <v>16.75676192816922</v>
      </c>
      <c r="D392" s="2" t="n">
        <v>1675.67619281692</v>
      </c>
      <c r="E392" s="2" t="n">
        <v>-592.2026854827945</v>
      </c>
      <c r="F392" s="2" t="n">
        <v>0.2262884178620439</v>
      </c>
      <c r="G392" s="2" t="n">
        <v>0.64</v>
      </c>
    </row>
    <row r="393">
      <c r="A393" s="2" t="n">
        <v>375</v>
      </c>
      <c r="B393" s="2" t="n">
        <v>11764.17176803816</v>
      </c>
      <c r="C393" s="2" t="n">
        <v>17.64171768038161</v>
      </c>
      <c r="D393" s="2" t="n">
        <v>1764.171768038159</v>
      </c>
      <c r="E393" s="2" t="n">
        <v>-503.7071102615555</v>
      </c>
      <c r="F393" s="2" t="n">
        <v>0.3016866479505395</v>
      </c>
      <c r="G393" s="2" t="n">
        <v>0.68</v>
      </c>
    </row>
    <row r="394">
      <c r="A394" s="2" t="n">
        <v>376</v>
      </c>
      <c r="B394" s="2" t="n">
        <v>11664.17176803816</v>
      </c>
      <c r="C394" s="2" t="n">
        <v>16.64171768038161</v>
      </c>
      <c r="D394" s="2" t="n">
        <v>1664.171768038159</v>
      </c>
      <c r="E394" s="2" t="n">
        <v>-603.7071102615555</v>
      </c>
      <c r="F394" s="2" t="n">
        <v>0.3016866479505394</v>
      </c>
      <c r="G394" s="2" t="n">
        <v>0.68</v>
      </c>
    </row>
    <row r="395">
      <c r="A395" s="2" t="n">
        <v>377</v>
      </c>
      <c r="B395" s="2" t="n">
        <v>11755.91488730421</v>
      </c>
      <c r="C395" s="2" t="n">
        <v>17.55914887304216</v>
      </c>
      <c r="D395" s="2" t="n">
        <v>1755.914887304215</v>
      </c>
      <c r="E395" s="2" t="n">
        <v>-511.9639909955004</v>
      </c>
      <c r="F395" s="2" t="n">
        <v>0.3783838956569615</v>
      </c>
      <c r="G395" s="2" t="n">
        <v>0.72</v>
      </c>
    </row>
    <row r="396">
      <c r="A396" s="2" t="n">
        <v>378</v>
      </c>
      <c r="B396" s="2" t="n">
        <v>11903.91488730421</v>
      </c>
      <c r="C396" s="2" t="n">
        <v>19.03914887304216</v>
      </c>
      <c r="D396" s="2" t="n">
        <v>1903.914887304215</v>
      </c>
      <c r="E396" s="2" t="n">
        <v>-363.9639909955004</v>
      </c>
      <c r="F396" s="2" t="n">
        <v>0.4775838956569614</v>
      </c>
      <c r="G396" s="2" t="n">
        <v>0.76</v>
      </c>
    </row>
    <row r="397">
      <c r="A397" s="2" t="n">
        <v>379</v>
      </c>
      <c r="B397" s="2" t="n">
        <v>11976.90758803414</v>
      </c>
      <c r="C397" s="2" t="n">
        <v>19.76907588034143</v>
      </c>
      <c r="D397" s="2" t="n">
        <v>1976.907588034142</v>
      </c>
      <c r="E397" s="2" t="n">
        <v>-290.9712902655738</v>
      </c>
      <c r="F397" s="2" t="n">
        <v>0.5467809759489323</v>
      </c>
      <c r="G397" s="2" t="n">
        <v>0.8</v>
      </c>
    </row>
    <row r="398">
      <c r="A398" s="2" t="n">
        <v>380</v>
      </c>
      <c r="B398" s="2" t="n">
        <v>12086.90758803414</v>
      </c>
      <c r="C398" s="2" t="n">
        <v>20.86907588034143</v>
      </c>
      <c r="D398" s="2" t="n">
        <v>2086.907588034142</v>
      </c>
      <c r="E398" s="2" t="n">
        <v>-180.9712902655738</v>
      </c>
      <c r="F398" s="2" t="n">
        <v>0.5526857378536942</v>
      </c>
      <c r="G398" s="2" t="n">
        <v>0.8</v>
      </c>
    </row>
    <row r="399">
      <c r="A399" s="2" t="n">
        <v>381</v>
      </c>
      <c r="B399" s="2" t="n">
        <v>12171.65335074601</v>
      </c>
      <c r="C399" s="2" t="n">
        <v>21.71653350746007</v>
      </c>
      <c r="D399" s="2" t="n">
        <v>2171.653350746006</v>
      </c>
      <c r="E399" s="2" t="n">
        <v>-96.22552755370816</v>
      </c>
      <c r="F399" s="2" t="n">
        <v>0.5405840429384399</v>
      </c>
      <c r="G399" s="2" t="n">
        <v>0.8</v>
      </c>
    </row>
    <row r="400">
      <c r="A400" s="2" t="n">
        <v>382</v>
      </c>
      <c r="B400" s="2" t="n">
        <v>12269.69256643228</v>
      </c>
      <c r="C400" s="2" t="n">
        <v>22.69692566432282</v>
      </c>
      <c r="D400" s="2" t="n">
        <v>2269.69256643228</v>
      </c>
      <c r="E400" s="2" t="n">
        <v>0</v>
      </c>
      <c r="F400" s="2" t="n">
        <v>0.5587470976340023</v>
      </c>
      <c r="G400" s="2" t="n">
        <v>0.8</v>
      </c>
    </row>
    <row r="401">
      <c r="A401" s="2" t="n">
        <v>383</v>
      </c>
      <c r="B401" s="2" t="n">
        <v>12394.69256643228</v>
      </c>
      <c r="C401" s="2" t="n">
        <v>23.94692566432282</v>
      </c>
      <c r="D401" s="2" t="n">
        <v>2394.69256643228</v>
      </c>
      <c r="E401" s="2" t="n">
        <v>0</v>
      </c>
      <c r="F401" s="2" t="n">
        <v>0.5730328119197167</v>
      </c>
      <c r="G401" s="2" t="n">
        <v>0.8</v>
      </c>
    </row>
    <row r="402">
      <c r="A402" s="2" t="n">
        <v>384</v>
      </c>
      <c r="B402" s="2" t="n">
        <v>12454.57280595324</v>
      </c>
      <c r="C402" s="2" t="n">
        <v>24.5457280595324</v>
      </c>
      <c r="D402" s="2" t="n">
        <v>2454.572805953238</v>
      </c>
      <c r="E402" s="2" t="n">
        <v>0</v>
      </c>
      <c r="F402" s="2" t="n">
        <v>0.5513849077280999</v>
      </c>
      <c r="G402" s="2" t="n">
        <v>0.8</v>
      </c>
    </row>
    <row r="403">
      <c r="A403" s="2" t="n">
        <v>385</v>
      </c>
      <c r="B403" s="2" t="n">
        <v>12354.57280595324</v>
      </c>
      <c r="C403" s="2" t="n">
        <v>23.5457280595324</v>
      </c>
      <c r="D403" s="2" t="n">
        <v>2354.572805953238</v>
      </c>
      <c r="E403" s="2" t="n">
        <v>-100</v>
      </c>
      <c r="F403" s="2" t="n">
        <v>0.4613849077280999</v>
      </c>
      <c r="G403" s="2" t="n">
        <v>0.76</v>
      </c>
    </row>
    <row r="404">
      <c r="A404" s="2" t="n">
        <v>386</v>
      </c>
      <c r="B404" s="2" t="n">
        <v>12421.23947261991</v>
      </c>
      <c r="C404" s="2" t="n">
        <v>24.21239472619907</v>
      </c>
      <c r="D404" s="2" t="n">
        <v>2421.239472619905</v>
      </c>
      <c r="E404" s="2" t="n">
        <v>-33.33333333333212</v>
      </c>
      <c r="F404" s="2" t="n">
        <v>0.4675387538819461</v>
      </c>
      <c r="G404" s="2" t="n">
        <v>0.76</v>
      </c>
    </row>
    <row r="405">
      <c r="A405" s="2" t="n">
        <v>387</v>
      </c>
      <c r="B405" s="2" t="n">
        <v>12321.23947261991</v>
      </c>
      <c r="C405" s="2" t="n">
        <v>23.21239472619907</v>
      </c>
      <c r="D405" s="2" t="n">
        <v>2321.239472619905</v>
      </c>
      <c r="E405" s="2" t="n">
        <v>-133.3333333333321</v>
      </c>
      <c r="F405" s="2" t="n">
        <v>0.3985532466355692</v>
      </c>
      <c r="G405" s="2" t="n">
        <v>0.72</v>
      </c>
    </row>
    <row r="406">
      <c r="A406" s="2" t="n">
        <v>388</v>
      </c>
      <c r="B406" s="2" t="n">
        <v>12439.23947261991</v>
      </c>
      <c r="C406" s="2" t="n">
        <v>24.39239472619907</v>
      </c>
      <c r="D406" s="2" t="n">
        <v>2439.239472619905</v>
      </c>
      <c r="E406" s="2" t="n">
        <v>-15.33333333333212</v>
      </c>
      <c r="F406" s="2" t="n">
        <v>0.4161236170059396</v>
      </c>
      <c r="G406" s="2" t="n">
        <v>0.72</v>
      </c>
    </row>
    <row r="407">
      <c r="A407" s="2" t="n">
        <v>389</v>
      </c>
      <c r="B407" s="2" t="n">
        <v>12513.31354669398</v>
      </c>
      <c r="C407" s="2" t="n">
        <v>25.13313546693981</v>
      </c>
      <c r="D407" s="2" t="n">
        <v>2513.313546693979</v>
      </c>
      <c r="E407" s="2" t="n">
        <v>0</v>
      </c>
      <c r="F407" s="2" t="n">
        <v>0.4857532466355692</v>
      </c>
      <c r="G407" s="2" t="n">
        <v>0.76</v>
      </c>
    </row>
    <row r="408">
      <c r="A408" s="2" t="n">
        <v>390</v>
      </c>
      <c r="B408" s="2" t="n">
        <v>12646.31354669398</v>
      </c>
      <c r="C408" s="2" t="n">
        <v>26.46313546693981</v>
      </c>
      <c r="D408" s="2" t="n">
        <v>2646.313546693979</v>
      </c>
      <c r="E408" s="2" t="n">
        <v>0</v>
      </c>
      <c r="F408" s="2" t="n">
        <v>0.5069532466355693</v>
      </c>
      <c r="G408" s="2" t="n">
        <v>0.76</v>
      </c>
    </row>
    <row r="409">
      <c r="A409" s="2" t="n">
        <v>391</v>
      </c>
      <c r="B409" s="2" t="n">
        <v>12546.31354669398</v>
      </c>
      <c r="C409" s="2" t="n">
        <v>25.46313546693981</v>
      </c>
      <c r="D409" s="2" t="n">
        <v>2546.313546693979</v>
      </c>
      <c r="E409" s="2" t="n">
        <v>-100</v>
      </c>
      <c r="F409" s="2" t="n">
        <v>0.4229532466355692</v>
      </c>
      <c r="G409" s="2" t="n">
        <v>0.72</v>
      </c>
    </row>
    <row r="410">
      <c r="A410" s="2" t="n">
        <v>392</v>
      </c>
      <c r="B410" s="2" t="n">
        <v>12446.31354669398</v>
      </c>
      <c r="C410" s="2" t="n">
        <v>24.46313546693981</v>
      </c>
      <c r="D410" s="2" t="n">
        <v>2446.313546693979</v>
      </c>
      <c r="E410" s="2" t="n">
        <v>-200</v>
      </c>
      <c r="F410" s="2" t="n">
        <v>0.3509532466355692</v>
      </c>
      <c r="G410" s="2" t="n">
        <v>0.68</v>
      </c>
    </row>
    <row r="411">
      <c r="A411" s="2" t="n">
        <v>393</v>
      </c>
      <c r="B411" s="2" t="n">
        <v>12566.31354669398</v>
      </c>
      <c r="C411" s="2" t="n">
        <v>25.66313546693981</v>
      </c>
      <c r="D411" s="2" t="n">
        <v>2566.313546693979</v>
      </c>
      <c r="E411" s="2" t="n">
        <v>-80</v>
      </c>
      <c r="F411" s="2" t="n">
        <v>0.3569532466355693</v>
      </c>
      <c r="G411" s="2" t="n">
        <v>0.68</v>
      </c>
    </row>
    <row r="412">
      <c r="A412" s="2" t="n">
        <v>394</v>
      </c>
      <c r="B412" s="2" t="n">
        <v>12622.81072183522</v>
      </c>
      <c r="C412" s="2" t="n">
        <v>26.22810721835224</v>
      </c>
      <c r="D412" s="2" t="n">
        <v>2622.810721835222</v>
      </c>
      <c r="E412" s="2" t="n">
        <v>-23.50282485875687</v>
      </c>
      <c r="F412" s="2" t="n">
        <v>0.3456538116073207</v>
      </c>
      <c r="G412" s="2" t="n">
        <v>0.68</v>
      </c>
    </row>
    <row r="413">
      <c r="A413" s="2" t="n">
        <v>395</v>
      </c>
      <c r="B413" s="2" t="n">
        <v>12744.81072183522</v>
      </c>
      <c r="C413" s="2" t="n">
        <v>27.44810721835224</v>
      </c>
      <c r="D413" s="2" t="n">
        <v>2744.810721835222</v>
      </c>
      <c r="E413" s="2" t="n">
        <v>0</v>
      </c>
      <c r="F413" s="2" t="n">
        <v>0.3524538116073206</v>
      </c>
      <c r="G413" s="2" t="n">
        <v>0.68</v>
      </c>
    </row>
    <row r="414">
      <c r="A414" s="2" t="n">
        <v>396</v>
      </c>
      <c r="B414" s="2" t="n">
        <v>12809.32685086748</v>
      </c>
      <c r="C414" s="2" t="n">
        <v>28.09326850867482</v>
      </c>
      <c r="D414" s="2" t="n">
        <v>2809.32685086748</v>
      </c>
      <c r="E414" s="2" t="n">
        <v>0</v>
      </c>
      <c r="F414" s="2" t="n">
        <v>0.4182602632202239</v>
      </c>
      <c r="G414" s="2" t="n">
        <v>0.72</v>
      </c>
    </row>
    <row r="415">
      <c r="A415" s="2" t="n">
        <v>397</v>
      </c>
      <c r="B415" s="2" t="n">
        <v>12709.32685086748</v>
      </c>
      <c r="C415" s="2" t="n">
        <v>27.09326850867482</v>
      </c>
      <c r="D415" s="2" t="n">
        <v>2709.32685086748</v>
      </c>
      <c r="E415" s="2" t="n">
        <v>-100</v>
      </c>
      <c r="F415" s="2" t="n">
        <v>0.4182602632202239</v>
      </c>
      <c r="G415" s="2" t="n">
        <v>0.72</v>
      </c>
    </row>
    <row r="416">
      <c r="A416" s="2" t="n">
        <v>398</v>
      </c>
      <c r="B416" s="2" t="n">
        <v>12609.32685086748</v>
      </c>
      <c r="C416" s="2" t="n">
        <v>26.09326850867482</v>
      </c>
      <c r="D416" s="2" t="n">
        <v>2609.32685086748</v>
      </c>
      <c r="E416" s="2" t="n">
        <v>-200</v>
      </c>
      <c r="F416" s="2" t="n">
        <v>0.4182602632202239</v>
      </c>
      <c r="G416" s="2" t="n">
        <v>0.72</v>
      </c>
    </row>
    <row r="417">
      <c r="A417" s="2" t="n">
        <v>399</v>
      </c>
      <c r="B417" s="2" t="n">
        <v>12690.62766387561</v>
      </c>
      <c r="C417" s="2" t="n">
        <v>26.90627663875612</v>
      </c>
      <c r="D417" s="2" t="n">
        <v>2690.62766387561</v>
      </c>
      <c r="E417" s="2" t="n">
        <v>-118.6991869918711</v>
      </c>
      <c r="F417" s="2" t="n">
        <v>0.4059805884234759</v>
      </c>
      <c r="G417" s="2" t="n">
        <v>0.72</v>
      </c>
    </row>
    <row r="418">
      <c r="A418" s="2" t="n">
        <v>400</v>
      </c>
      <c r="B418" s="2" t="n">
        <v>12825.62766387561</v>
      </c>
      <c r="C418" s="2" t="n">
        <v>28.25627663875612</v>
      </c>
      <c r="D418" s="2" t="n">
        <v>2825.62766387561</v>
      </c>
      <c r="E418" s="2" t="n">
        <v>0</v>
      </c>
      <c r="F418" s="2" t="n">
        <v>0.4245823583349804</v>
      </c>
      <c r="G418" s="2" t="n">
        <v>0.72</v>
      </c>
    </row>
    <row r="419">
      <c r="A419" s="2" t="n">
        <v>401</v>
      </c>
      <c r="B419" s="2" t="n">
        <v>12898.09143199155</v>
      </c>
      <c r="C419" s="2" t="n">
        <v>28.98091431991554</v>
      </c>
      <c r="D419" s="2" t="n">
        <v>2898.091431991552</v>
      </c>
      <c r="E419" s="2" t="n">
        <v>0</v>
      </c>
      <c r="F419" s="2" t="n">
        <v>0.4935678655813572</v>
      </c>
      <c r="G419" s="2" t="n">
        <v>0.76</v>
      </c>
    </row>
    <row r="420">
      <c r="A420" s="2" t="n">
        <v>402</v>
      </c>
      <c r="B420" s="2" t="n">
        <v>12981.42476532489</v>
      </c>
      <c r="C420" s="2" t="n">
        <v>29.81424765324887</v>
      </c>
      <c r="D420" s="2" t="n">
        <v>2981.424765324886</v>
      </c>
      <c r="E420" s="2" t="n">
        <v>0</v>
      </c>
      <c r="F420" s="2" t="n">
        <v>0.4902039512082685</v>
      </c>
      <c r="G420" s="2" t="n">
        <v>0.76</v>
      </c>
    </row>
    <row r="421">
      <c r="A421" s="2" t="n">
        <v>403</v>
      </c>
      <c r="B421" s="2" t="n">
        <v>13111.42476532489</v>
      </c>
      <c r="C421" s="2" t="n">
        <v>31.11424765324887</v>
      </c>
      <c r="D421" s="2" t="n">
        <v>3111.424765324886</v>
      </c>
      <c r="E421" s="2" t="n">
        <v>0</v>
      </c>
      <c r="F421" s="2" t="n">
        <v>0.4830039512082684</v>
      </c>
      <c r="G421" s="2" t="n">
        <v>0.76</v>
      </c>
    </row>
    <row r="422">
      <c r="A422" s="2" t="n">
        <v>404</v>
      </c>
      <c r="B422" s="2" t="n">
        <v>13011.42476532489</v>
      </c>
      <c r="C422" s="2" t="n">
        <v>30.11424765324887</v>
      </c>
      <c r="D422" s="2" t="n">
        <v>3011.424765324886</v>
      </c>
      <c r="E422" s="2" t="n">
        <v>-100</v>
      </c>
      <c r="F422" s="2" t="n">
        <v>0.4138068709162976</v>
      </c>
      <c r="G422" s="2" t="n">
        <v>0.72</v>
      </c>
    </row>
    <row r="423">
      <c r="A423" s="2" t="n">
        <v>405</v>
      </c>
      <c r="B423" s="2" t="n">
        <v>12911.42476532489</v>
      </c>
      <c r="C423" s="2" t="n">
        <v>29.11424765324887</v>
      </c>
      <c r="D423" s="2" t="n">
        <v>2911.424765324886</v>
      </c>
      <c r="E423" s="2" t="n">
        <v>-200</v>
      </c>
      <c r="F423" s="2" t="n">
        <v>0.3298068709162976</v>
      </c>
      <c r="G423" s="2" t="n">
        <v>0.68</v>
      </c>
    </row>
    <row r="424">
      <c r="A424" s="2" t="n">
        <v>406</v>
      </c>
      <c r="B424" s="2" t="n">
        <v>13026.42476532489</v>
      </c>
      <c r="C424" s="2" t="n">
        <v>30.26424765324887</v>
      </c>
      <c r="D424" s="2" t="n">
        <v>3026.424765324886</v>
      </c>
      <c r="E424" s="2" t="n">
        <v>-85</v>
      </c>
      <c r="F424" s="2" t="n">
        <v>0.3419085658315519</v>
      </c>
      <c r="G424" s="2" t="n">
        <v>0.68</v>
      </c>
    </row>
    <row r="425">
      <c r="A425" s="2" t="n">
        <v>407</v>
      </c>
      <c r="B425" s="2" t="n">
        <v>13088.92476532489</v>
      </c>
      <c r="C425" s="2" t="n">
        <v>30.88924765324887</v>
      </c>
      <c r="D425" s="2" t="n">
        <v>3088.924765324886</v>
      </c>
      <c r="E425" s="2" t="n">
        <v>-22.5</v>
      </c>
      <c r="F425" s="2" t="n">
        <v>0.3276928795570421</v>
      </c>
      <c r="G425" s="2" t="n">
        <v>0.68</v>
      </c>
    </row>
    <row r="426">
      <c r="A426" s="2" t="n">
        <v>408</v>
      </c>
      <c r="B426" s="2" t="n">
        <v>13186.01214396566</v>
      </c>
      <c r="C426" s="2" t="n">
        <v>31.86012143965664</v>
      </c>
      <c r="D426" s="2" t="n">
        <v>3186.012143965662</v>
      </c>
      <c r="E426" s="2" t="n">
        <v>0</v>
      </c>
      <c r="F426" s="2" t="n">
        <v>0.3165278310133528</v>
      </c>
      <c r="G426" s="2" t="n">
        <v>0.68</v>
      </c>
    </row>
    <row r="427">
      <c r="A427" s="2" t="n">
        <v>409</v>
      </c>
      <c r="B427" s="2" t="n">
        <v>13272.96866570479</v>
      </c>
      <c r="C427" s="2" t="n">
        <v>32.72968665704794</v>
      </c>
      <c r="D427" s="2" t="n">
        <v>3272.968665704793</v>
      </c>
      <c r="E427" s="2" t="n">
        <v>0</v>
      </c>
      <c r="F427" s="2" t="n">
        <v>0.3273583439006217</v>
      </c>
      <c r="G427" s="2" t="n">
        <v>0.68</v>
      </c>
    </row>
    <row r="428">
      <c r="A428" s="2" t="n">
        <v>410</v>
      </c>
      <c r="B428" s="2" t="n">
        <v>13397.96866570479</v>
      </c>
      <c r="C428" s="2" t="n">
        <v>33.97968665704794</v>
      </c>
      <c r="D428" s="2" t="n">
        <v>3397.968665704793</v>
      </c>
      <c r="E428" s="2" t="n">
        <v>0</v>
      </c>
      <c r="F428" s="2" t="n">
        <v>0.4173583439006217</v>
      </c>
      <c r="G428" s="2" t="n">
        <v>0.72</v>
      </c>
    </row>
    <row r="429">
      <c r="A429" s="2" t="n">
        <v>411</v>
      </c>
      <c r="B429" s="2" t="n">
        <v>13501.96866570479</v>
      </c>
      <c r="C429" s="2" t="n">
        <v>35.01968665704794</v>
      </c>
      <c r="D429" s="2" t="n">
        <v>3501.968665704793</v>
      </c>
      <c r="E429" s="2" t="n">
        <v>0</v>
      </c>
      <c r="F429" s="2" t="n">
        <v>0.4322916772339551</v>
      </c>
      <c r="G429" s="2" t="n">
        <v>0.72</v>
      </c>
    </row>
    <row r="430">
      <c r="A430" s="2" t="n">
        <v>412</v>
      </c>
      <c r="B430" s="2" t="n">
        <v>13631.96866570479</v>
      </c>
      <c r="C430" s="2" t="n">
        <v>36.31968665704794</v>
      </c>
      <c r="D430" s="2" t="n">
        <v>3631.968665704793</v>
      </c>
      <c r="E430" s="2" t="n">
        <v>0</v>
      </c>
      <c r="F430" s="2" t="n">
        <v>0.5242916772339551</v>
      </c>
      <c r="G430" s="2" t="n">
        <v>0.76</v>
      </c>
    </row>
    <row r="431">
      <c r="A431" s="2" t="n">
        <v>413</v>
      </c>
      <c r="B431" s="2" t="n">
        <v>13531.96866570479</v>
      </c>
      <c r="C431" s="2" t="n">
        <v>35.31968665704794</v>
      </c>
      <c r="D431" s="2" t="n">
        <v>3531.968665704793</v>
      </c>
      <c r="E431" s="2" t="n">
        <v>-100</v>
      </c>
      <c r="F431" s="2" t="n">
        <v>0.4370916772339551</v>
      </c>
      <c r="G431" s="2" t="n">
        <v>0.72</v>
      </c>
    </row>
    <row r="432">
      <c r="A432" s="2" t="n">
        <v>414</v>
      </c>
      <c r="B432" s="2" t="n">
        <v>13431.96866570479</v>
      </c>
      <c r="C432" s="2" t="n">
        <v>34.31968665704794</v>
      </c>
      <c r="D432" s="2" t="n">
        <v>3431.968665704793</v>
      </c>
      <c r="E432" s="2" t="n">
        <v>-200</v>
      </c>
      <c r="F432" s="2" t="n">
        <v>0.3674620476043255</v>
      </c>
      <c r="G432" s="2" t="n">
        <v>0.68</v>
      </c>
    </row>
    <row r="433">
      <c r="A433" s="2" t="n">
        <v>415</v>
      </c>
      <c r="B433" s="2" t="n">
        <v>13543.96866570479</v>
      </c>
      <c r="C433" s="2" t="n">
        <v>35.43968665704794</v>
      </c>
      <c r="D433" s="2" t="n">
        <v>3543.968665704793</v>
      </c>
      <c r="E433" s="2" t="n">
        <v>-88</v>
      </c>
      <c r="F433" s="2" t="n">
        <v>0.3590620476043254</v>
      </c>
      <c r="G433" s="2" t="n">
        <v>0.68</v>
      </c>
    </row>
    <row r="434">
      <c r="A434" s="2" t="n">
        <v>416</v>
      </c>
      <c r="B434" s="2" t="n">
        <v>13596.60024465216</v>
      </c>
      <c r="C434" s="2" t="n">
        <v>35.96600244652162</v>
      </c>
      <c r="D434" s="2" t="n">
        <v>3596.600244652161</v>
      </c>
      <c r="E434" s="2" t="n">
        <v>-35.36842105263167</v>
      </c>
      <c r="F434" s="2" t="n">
        <v>0.4201146791832728</v>
      </c>
      <c r="G434" s="2" t="n">
        <v>0.72</v>
      </c>
    </row>
    <row r="435">
      <c r="A435" s="2" t="n">
        <v>417</v>
      </c>
      <c r="B435" s="2" t="n">
        <v>13496.60024465216</v>
      </c>
      <c r="C435" s="2" t="n">
        <v>34.96600244652162</v>
      </c>
      <c r="D435" s="2" t="n">
        <v>3496.600244652161</v>
      </c>
      <c r="E435" s="2" t="n">
        <v>-135.3684210526317</v>
      </c>
      <c r="F435" s="2" t="n">
        <v>0.4201146791832728</v>
      </c>
      <c r="G435" s="2" t="n">
        <v>0.72</v>
      </c>
    </row>
    <row r="436">
      <c r="A436" s="2" t="n">
        <v>418</v>
      </c>
      <c r="B436" s="2" t="n">
        <v>13396.60024465216</v>
      </c>
      <c r="C436" s="2" t="n">
        <v>33.96600244652162</v>
      </c>
      <c r="D436" s="2" t="n">
        <v>3396.600244652161</v>
      </c>
      <c r="E436" s="2" t="n">
        <v>-235.3684210526317</v>
      </c>
      <c r="F436" s="2" t="n">
        <v>0.3321146791832728</v>
      </c>
      <c r="G436" s="2" t="n">
        <v>0.68</v>
      </c>
    </row>
    <row r="437">
      <c r="A437" s="2" t="n">
        <v>419</v>
      </c>
      <c r="B437" s="2" t="n">
        <v>13534.60024465216</v>
      </c>
      <c r="C437" s="2" t="n">
        <v>35.34600244652162</v>
      </c>
      <c r="D437" s="2" t="n">
        <v>3534.600244652161</v>
      </c>
      <c r="E437" s="2" t="n">
        <v>-97.36842105263167</v>
      </c>
      <c r="F437" s="2" t="n">
        <v>0.3647158091267756</v>
      </c>
      <c r="G437" s="2" t="n">
        <v>0.68</v>
      </c>
    </row>
    <row r="438">
      <c r="A438" s="2" t="n">
        <v>420</v>
      </c>
      <c r="B438" s="2" t="n">
        <v>13434.60024465216</v>
      </c>
      <c r="C438" s="2" t="n">
        <v>34.34600244652162</v>
      </c>
      <c r="D438" s="2" t="n">
        <v>3434.600244652161</v>
      </c>
      <c r="E438" s="2" t="n">
        <v>-197.3684210526317</v>
      </c>
      <c r="F438" s="2" t="n">
        <v>0.2759158091267756</v>
      </c>
      <c r="G438" s="2" t="n">
        <v>0.64</v>
      </c>
    </row>
    <row r="439">
      <c r="A439" s="2" t="n">
        <v>421</v>
      </c>
      <c r="B439" s="2" t="n">
        <v>13334.60024465216</v>
      </c>
      <c r="C439" s="2" t="n">
        <v>33.34600244652162</v>
      </c>
      <c r="D439" s="2" t="n">
        <v>3334.600244652161</v>
      </c>
      <c r="E439" s="2" t="n">
        <v>-297.3684210526317</v>
      </c>
      <c r="F439" s="2" t="n">
        <v>0.2101093575138724</v>
      </c>
      <c r="G439" s="2" t="n">
        <v>0.6</v>
      </c>
    </row>
    <row r="440">
      <c r="A440" s="2" t="n">
        <v>422</v>
      </c>
      <c r="B440" s="2" t="n">
        <v>13439.60024465216</v>
      </c>
      <c r="C440" s="2" t="n">
        <v>34.39600244652162</v>
      </c>
      <c r="D440" s="2" t="n">
        <v>3439.600244652161</v>
      </c>
      <c r="E440" s="2" t="n">
        <v>-192.3684210526317</v>
      </c>
      <c r="F440" s="2" t="n">
        <v>0.2921093575138723</v>
      </c>
      <c r="G440" s="2" t="n">
        <v>0.64</v>
      </c>
    </row>
    <row r="441">
      <c r="A441" s="2" t="n">
        <v>423</v>
      </c>
      <c r="B441" s="2" t="n">
        <v>13548.60024465216</v>
      </c>
      <c r="C441" s="2" t="n">
        <v>35.48600244652162</v>
      </c>
      <c r="D441" s="2" t="n">
        <v>3548.600244652161</v>
      </c>
      <c r="E441" s="2" t="n">
        <v>-83.36842105263167</v>
      </c>
      <c r="F441" s="2" t="n">
        <v>0.3757093575138724</v>
      </c>
      <c r="G441" s="2" t="n">
        <v>0.68</v>
      </c>
    </row>
    <row r="442">
      <c r="A442" s="2" t="n">
        <v>424</v>
      </c>
      <c r="B442" s="2" t="n">
        <v>13609.57585440826</v>
      </c>
      <c r="C442" s="2" t="n">
        <v>36.0957585440826</v>
      </c>
      <c r="D442" s="2" t="n">
        <v>3609.575854408259</v>
      </c>
      <c r="E442" s="2" t="n">
        <v>-22.392811296535</v>
      </c>
      <c r="F442" s="2" t="n">
        <v>0.3675792762130593</v>
      </c>
      <c r="G442" s="2" t="n">
        <v>0.68</v>
      </c>
    </row>
    <row r="443">
      <c r="A443" s="2" t="n">
        <v>425</v>
      </c>
      <c r="B443" s="2" t="n">
        <v>13698.0714296295</v>
      </c>
      <c r="C443" s="2" t="n">
        <v>36.98071429629499</v>
      </c>
      <c r="D443" s="2" t="n">
        <v>3698.071429629498</v>
      </c>
      <c r="E443" s="2" t="n">
        <v>0</v>
      </c>
      <c r="F443" s="2" t="n">
        <v>0.3489775063015549</v>
      </c>
      <c r="G443" s="2" t="n">
        <v>0.68</v>
      </c>
    </row>
    <row r="444">
      <c r="A444" s="2" t="n">
        <v>426</v>
      </c>
      <c r="B444" s="2" t="n">
        <v>13598.0714296295</v>
      </c>
      <c r="C444" s="2" t="n">
        <v>35.98071429629499</v>
      </c>
      <c r="D444" s="2" t="n">
        <v>3598.071429629498</v>
      </c>
      <c r="E444" s="2" t="n">
        <v>-100</v>
      </c>
      <c r="F444" s="2" t="n">
        <v>0.2799919990551781</v>
      </c>
      <c r="G444" s="2" t="n">
        <v>0.64</v>
      </c>
    </row>
    <row r="445">
      <c r="A445" s="2" t="n">
        <v>427</v>
      </c>
      <c r="B445" s="2" t="n">
        <v>13498.0714296295</v>
      </c>
      <c r="C445" s="2" t="n">
        <v>34.98071429629499</v>
      </c>
      <c r="D445" s="2" t="n">
        <v>3498.071429629498</v>
      </c>
      <c r="E445" s="2" t="n">
        <v>-200</v>
      </c>
      <c r="F445" s="2" t="n">
        <v>0.2066586657218448</v>
      </c>
      <c r="G445" s="2" t="n">
        <v>0.6</v>
      </c>
    </row>
    <row r="446">
      <c r="A446" s="2" t="n">
        <v>428</v>
      </c>
      <c r="B446" s="2" t="n">
        <v>13585.02795136863</v>
      </c>
      <c r="C446" s="2" t="n">
        <v>35.8502795136863</v>
      </c>
      <c r="D446" s="2" t="n">
        <v>3585.027951368628</v>
      </c>
      <c r="E446" s="2" t="n">
        <v>-113.0434782608681</v>
      </c>
      <c r="F446" s="2" t="n">
        <v>0.189441274417497</v>
      </c>
      <c r="G446" s="2" t="n">
        <v>0.6</v>
      </c>
    </row>
    <row r="447">
      <c r="A447" s="2" t="n">
        <v>429</v>
      </c>
      <c r="B447" s="2" t="n">
        <v>13715.02795136863</v>
      </c>
      <c r="C447" s="2" t="n">
        <v>37.15027951368629</v>
      </c>
      <c r="D447" s="2" t="n">
        <v>3715.027951368628</v>
      </c>
      <c r="E447" s="2" t="n">
        <v>0</v>
      </c>
      <c r="F447" s="2" t="n">
        <v>0.2814412744174969</v>
      </c>
      <c r="G447" s="2" t="n">
        <v>0.64</v>
      </c>
    </row>
    <row r="448">
      <c r="A448" s="2" t="n">
        <v>430</v>
      </c>
      <c r="B448" s="2" t="n">
        <v>13767.659530316</v>
      </c>
      <c r="C448" s="2" t="n">
        <v>37.67659530315998</v>
      </c>
      <c r="D448" s="2" t="n">
        <v>3767.659530315997</v>
      </c>
      <c r="E448" s="2" t="n">
        <v>0</v>
      </c>
      <c r="F448" s="2" t="n">
        <v>0.3424939059964443</v>
      </c>
      <c r="G448" s="2" t="n">
        <v>0.68</v>
      </c>
    </row>
    <row r="449">
      <c r="A449" s="2" t="n">
        <v>431</v>
      </c>
      <c r="B449" s="2" t="n">
        <v>13667.659530316</v>
      </c>
      <c r="C449" s="2" t="n">
        <v>36.67659530315998</v>
      </c>
      <c r="D449" s="2" t="n">
        <v>3667.659530315997</v>
      </c>
      <c r="E449" s="2" t="n">
        <v>-100</v>
      </c>
      <c r="F449" s="2" t="n">
        <v>0.2564939059964443</v>
      </c>
      <c r="G449" s="2" t="n">
        <v>0.64</v>
      </c>
    </row>
    <row r="450">
      <c r="A450" s="2" t="n">
        <v>432</v>
      </c>
      <c r="B450" s="2" t="n">
        <v>13567.659530316</v>
      </c>
      <c r="C450" s="2" t="n">
        <v>35.67659530315998</v>
      </c>
      <c r="D450" s="2" t="n">
        <v>3567.659530315997</v>
      </c>
      <c r="E450" s="2" t="n">
        <v>-200</v>
      </c>
      <c r="F450" s="2" t="n">
        <v>0.1914939059964443</v>
      </c>
      <c r="G450" s="2" t="n">
        <v>0.6</v>
      </c>
    </row>
    <row r="451">
      <c r="A451" s="2" t="n">
        <v>433</v>
      </c>
      <c r="B451" s="2" t="n">
        <v>13667.659530316</v>
      </c>
      <c r="C451" s="2" t="n">
        <v>36.67659530315998</v>
      </c>
      <c r="D451" s="2" t="n">
        <v>3667.659530315997</v>
      </c>
      <c r="E451" s="2" t="n">
        <v>-100</v>
      </c>
      <c r="F451" s="2" t="n">
        <v>0.1926589545401337</v>
      </c>
      <c r="G451" s="2" t="n">
        <v>0.6</v>
      </c>
    </row>
    <row r="452">
      <c r="A452" s="2" t="n">
        <v>434</v>
      </c>
      <c r="B452" s="2" t="n">
        <v>13762.89762555409</v>
      </c>
      <c r="C452" s="2" t="n">
        <v>37.62897625554093</v>
      </c>
      <c r="D452" s="2" t="n">
        <v>3762.897625554092</v>
      </c>
      <c r="E452" s="2" t="n">
        <v>-4.761904761904589</v>
      </c>
      <c r="F452" s="2" t="n">
        <v>0.1959715839397196</v>
      </c>
      <c r="G452" s="2" t="n">
        <v>0.6</v>
      </c>
    </row>
    <row r="453">
      <c r="A453" s="2" t="n">
        <v>435</v>
      </c>
      <c r="B453" s="2" t="n">
        <v>13846.23095888743</v>
      </c>
      <c r="C453" s="2" t="n">
        <v>38.46230958887426</v>
      </c>
      <c r="D453" s="2" t="n">
        <v>3846.230958887425</v>
      </c>
      <c r="E453" s="2" t="n">
        <v>0</v>
      </c>
      <c r="F453" s="2" t="n">
        <v>0.1793049172730529</v>
      </c>
      <c r="G453" s="2" t="n">
        <v>0.6</v>
      </c>
    </row>
    <row r="454">
      <c r="A454" s="2" t="n">
        <v>436</v>
      </c>
      <c r="B454" s="2" t="n">
        <v>13746.23095888743</v>
      </c>
      <c r="C454" s="2" t="n">
        <v>37.46230958887426</v>
      </c>
      <c r="D454" s="2" t="n">
        <v>3746.230958887425</v>
      </c>
      <c r="E454" s="2" t="n">
        <v>-100</v>
      </c>
      <c r="F454" s="2" t="n">
        <v>0.09770491727305292</v>
      </c>
      <c r="G454" s="2" t="n">
        <v>0.5600000000000001</v>
      </c>
    </row>
    <row r="455">
      <c r="A455" s="2" t="n">
        <v>437</v>
      </c>
      <c r="B455" s="2" t="n">
        <v>13806.83701949349</v>
      </c>
      <c r="C455" s="2" t="n">
        <v>38.06837019493487</v>
      </c>
      <c r="D455" s="2" t="n">
        <v>3806.837019493486</v>
      </c>
      <c r="E455" s="2" t="n">
        <v>-39.39393939393813</v>
      </c>
      <c r="F455" s="2" t="n">
        <v>0.06994734151547716</v>
      </c>
      <c r="G455" s="2" t="n">
        <v>0.5600000000000001</v>
      </c>
    </row>
    <row r="456">
      <c r="A456" s="2" t="n">
        <v>438</v>
      </c>
      <c r="B456" s="2" t="n">
        <v>13921.83701949349</v>
      </c>
      <c r="C456" s="2" t="n">
        <v>39.21837019493487</v>
      </c>
      <c r="D456" s="2" t="n">
        <v>3921.837019493486</v>
      </c>
      <c r="E456" s="2" t="n">
        <v>0</v>
      </c>
      <c r="F456" s="2" t="n">
        <v>0.1559473415154772</v>
      </c>
      <c r="G456" s="2" t="n">
        <v>0.6</v>
      </c>
    </row>
    <row r="457">
      <c r="A457" s="2" t="n">
        <v>439</v>
      </c>
      <c r="B457" s="2" t="n">
        <v>13988.0621850564</v>
      </c>
      <c r="C457" s="2" t="n">
        <v>39.88062185056401</v>
      </c>
      <c r="D457" s="2" t="n">
        <v>3988.0621850564</v>
      </c>
      <c r="E457" s="2" t="n">
        <v>0</v>
      </c>
      <c r="F457" s="2" t="n">
        <v>0.2224374077406427</v>
      </c>
      <c r="G457" s="2" t="n">
        <v>0.64</v>
      </c>
    </row>
    <row r="458">
      <c r="A458" s="2" t="n">
        <v>440</v>
      </c>
      <c r="B458" s="2" t="n">
        <v>13888.0621850564</v>
      </c>
      <c r="C458" s="2" t="n">
        <v>38.88062185056401</v>
      </c>
      <c r="D458" s="2" t="n">
        <v>3888.0621850564</v>
      </c>
      <c r="E458" s="2" t="n">
        <v>-100</v>
      </c>
      <c r="F458" s="2" t="n">
        <v>0.1376374077406427</v>
      </c>
      <c r="G458" s="2" t="n">
        <v>0.6</v>
      </c>
    </row>
    <row r="459">
      <c r="A459" s="2" t="n">
        <v>441</v>
      </c>
      <c r="B459" s="2" t="n">
        <v>13972.80794776826</v>
      </c>
      <c r="C459" s="2" t="n">
        <v>39.72807947768266</v>
      </c>
      <c r="D459" s="2" t="n">
        <v>3972.807947768264</v>
      </c>
      <c r="E459" s="2" t="n">
        <v>-15.25423728813621</v>
      </c>
      <c r="F459" s="2" t="n">
        <v>0.1504830812464411</v>
      </c>
      <c r="G459" s="2" t="n">
        <v>0.6</v>
      </c>
    </row>
    <row r="460">
      <c r="A460" s="2" t="n">
        <v>442</v>
      </c>
      <c r="B460" s="2" t="n">
        <v>13872.80794776826</v>
      </c>
      <c r="C460" s="2" t="n">
        <v>38.72807947768266</v>
      </c>
      <c r="D460" s="2" t="n">
        <v>3872.807947768264</v>
      </c>
      <c r="E460" s="2" t="n">
        <v>-115.2542372881362</v>
      </c>
      <c r="F460" s="2" t="n">
        <v>0.1504830812464411</v>
      </c>
      <c r="G460" s="2" t="n">
        <v>0.6</v>
      </c>
    </row>
    <row r="461">
      <c r="A461" s="2" t="n">
        <v>443</v>
      </c>
      <c r="B461" s="2" t="n">
        <v>13772.80794776826</v>
      </c>
      <c r="C461" s="2" t="n">
        <v>37.72807947768266</v>
      </c>
      <c r="D461" s="2" t="n">
        <v>3772.807947768264</v>
      </c>
      <c r="E461" s="2" t="n">
        <v>-215.2542372881362</v>
      </c>
      <c r="F461" s="2" t="n">
        <v>0.1504830812464411</v>
      </c>
      <c r="G461" s="2" t="n">
        <v>0.6</v>
      </c>
    </row>
    <row r="462">
      <c r="A462" s="2" t="n">
        <v>444</v>
      </c>
      <c r="B462" s="2" t="n">
        <v>13672.80794776826</v>
      </c>
      <c r="C462" s="2" t="n">
        <v>36.72807947768266</v>
      </c>
      <c r="D462" s="2" t="n">
        <v>3672.807947768264</v>
      </c>
      <c r="E462" s="2" t="n">
        <v>-315.2542372881362</v>
      </c>
      <c r="F462" s="2" t="n">
        <v>0.05528308124644112</v>
      </c>
      <c r="G462" s="2" t="n">
        <v>0.5600000000000001</v>
      </c>
    </row>
    <row r="463">
      <c r="A463" s="2" t="n">
        <v>445</v>
      </c>
      <c r="B463" s="2" t="n">
        <v>13798.80794776826</v>
      </c>
      <c r="C463" s="2" t="n">
        <v>37.98807947768265</v>
      </c>
      <c r="D463" s="2" t="n">
        <v>3798.807947768264</v>
      </c>
      <c r="E463" s="2" t="n">
        <v>-189.2542372881362</v>
      </c>
      <c r="F463" s="2" t="n">
        <v>0.1456830812464411</v>
      </c>
      <c r="G463" s="2" t="n">
        <v>0.6</v>
      </c>
    </row>
    <row r="464">
      <c r="A464" s="2" t="n">
        <v>446</v>
      </c>
      <c r="B464" s="2" t="n">
        <v>13698.80794776826</v>
      </c>
      <c r="C464" s="2" t="n">
        <v>36.98807947768265</v>
      </c>
      <c r="D464" s="2" t="n">
        <v>3698.807947768264</v>
      </c>
      <c r="E464" s="2" t="n">
        <v>-289.2542372881362</v>
      </c>
      <c r="F464" s="2" t="n">
        <v>0.1456830812464411</v>
      </c>
      <c r="G464" s="2" t="n">
        <v>0.6</v>
      </c>
    </row>
    <row r="465">
      <c r="A465" s="2" t="n">
        <v>447</v>
      </c>
      <c r="B465" s="2" t="n">
        <v>13598.80794776826</v>
      </c>
      <c r="C465" s="2" t="n">
        <v>35.98807947768265</v>
      </c>
      <c r="D465" s="2" t="n">
        <v>3598.807947768264</v>
      </c>
      <c r="E465" s="2" t="n">
        <v>-389.2542372881362</v>
      </c>
      <c r="F465" s="2" t="n">
        <v>0.06368308124644111</v>
      </c>
      <c r="G465" s="2" t="n">
        <v>0.5600000000000001</v>
      </c>
    </row>
    <row r="466">
      <c r="A466" s="2" t="n">
        <v>448</v>
      </c>
      <c r="B466" s="2" t="n">
        <v>13738.80794776826</v>
      </c>
      <c r="C466" s="2" t="n">
        <v>37.38807947768265</v>
      </c>
      <c r="D466" s="2" t="n">
        <v>3738.807947768264</v>
      </c>
      <c r="E466" s="2" t="n">
        <v>-249.2542372881362</v>
      </c>
      <c r="F466" s="2" t="n">
        <v>0.07608308124644111</v>
      </c>
      <c r="G466" s="2" t="n">
        <v>0.5600000000000001</v>
      </c>
    </row>
    <row r="467">
      <c r="A467" s="2" t="n">
        <v>449</v>
      </c>
      <c r="B467" s="2" t="n">
        <v>13822.1412811016</v>
      </c>
      <c r="C467" s="2" t="n">
        <v>38.22141281101599</v>
      </c>
      <c r="D467" s="2" t="n">
        <v>3822.141281101598</v>
      </c>
      <c r="E467" s="2" t="n">
        <v>-165.9209039548023</v>
      </c>
      <c r="F467" s="2" t="n">
        <v>0.08502617067733542</v>
      </c>
      <c r="G467" s="2" t="n">
        <v>0.5600000000000001</v>
      </c>
    </row>
    <row r="468">
      <c r="A468" s="2" t="n">
        <v>450</v>
      </c>
      <c r="B468" s="2" t="n">
        <v>13932.1412811016</v>
      </c>
      <c r="C468" s="2" t="n">
        <v>39.32141281101599</v>
      </c>
      <c r="D468" s="2" t="n">
        <v>3932.141281101598</v>
      </c>
      <c r="E468" s="2" t="n">
        <v>-55.92090395480227</v>
      </c>
      <c r="F468" s="2" t="n">
        <v>0.09362794058883984</v>
      </c>
      <c r="G468" s="2" t="n">
        <v>0.5600000000000001</v>
      </c>
    </row>
    <row r="469">
      <c r="A469" s="2" t="n">
        <v>451</v>
      </c>
      <c r="B469" s="2" t="n">
        <v>14005.13398183152</v>
      </c>
      <c r="C469" s="2" t="n">
        <v>40.05133981831526</v>
      </c>
      <c r="D469" s="2" t="n">
        <v>4005.133981831525</v>
      </c>
      <c r="E469" s="2" t="n">
        <v>0</v>
      </c>
      <c r="F469" s="2" t="n">
        <v>0.1628250208808107</v>
      </c>
      <c r="G469" s="2" t="n">
        <v>0.6</v>
      </c>
    </row>
    <row r="470">
      <c r="A470" s="2" t="n">
        <v>452</v>
      </c>
      <c r="B470" s="2" t="n">
        <v>13905.13398183152</v>
      </c>
      <c r="C470" s="2" t="n">
        <v>39.05133981831526</v>
      </c>
      <c r="D470" s="2" t="n">
        <v>3905.133981831525</v>
      </c>
      <c r="E470" s="2" t="n">
        <v>-100</v>
      </c>
      <c r="F470" s="2" t="n">
        <v>0.1628250208808107</v>
      </c>
      <c r="G470" s="2" t="n">
        <v>0.6</v>
      </c>
    </row>
    <row r="471">
      <c r="A471" s="2" t="n">
        <v>453</v>
      </c>
      <c r="B471" s="2" t="n">
        <v>14017.13398183152</v>
      </c>
      <c r="C471" s="2" t="n">
        <v>40.17133981831525</v>
      </c>
      <c r="D471" s="2" t="n">
        <v>4017.133981831525</v>
      </c>
      <c r="E471" s="2" t="n">
        <v>0</v>
      </c>
      <c r="F471" s="2" t="n">
        <v>0.1728424121851585</v>
      </c>
      <c r="G471" s="2" t="n">
        <v>0.6</v>
      </c>
    </row>
    <row r="472">
      <c r="A472" s="2" t="n">
        <v>454</v>
      </c>
      <c r="B472" s="2" t="n">
        <v>13917.13398183152</v>
      </c>
      <c r="C472" s="2" t="n">
        <v>39.17133981831525</v>
      </c>
      <c r="D472" s="2" t="n">
        <v>3917.133981831525</v>
      </c>
      <c r="E472" s="2" t="n">
        <v>-100</v>
      </c>
      <c r="F472" s="2" t="n">
        <v>0.08084241218515849</v>
      </c>
      <c r="G472" s="2" t="n">
        <v>0.5600000000000001</v>
      </c>
    </row>
    <row r="473">
      <c r="A473" s="2" t="n">
        <v>455</v>
      </c>
      <c r="B473" s="2" t="n">
        <v>13817.13398183152</v>
      </c>
      <c r="C473" s="2" t="n">
        <v>38.17133981831525</v>
      </c>
      <c r="D473" s="2" t="n">
        <v>3817.133981831525</v>
      </c>
      <c r="E473" s="2" t="n">
        <v>-200</v>
      </c>
      <c r="F473" s="2" t="n">
        <v>0.01978978060621113</v>
      </c>
      <c r="G473" s="2" t="n">
        <v>0.52</v>
      </c>
    </row>
    <row r="474">
      <c r="A474" s="2" t="n">
        <v>456</v>
      </c>
      <c r="B474" s="2" t="n">
        <v>13717.13398183152</v>
      </c>
      <c r="C474" s="2" t="n">
        <v>37.17133981831525</v>
      </c>
      <c r="D474" s="2" t="n">
        <v>3717.133981831525</v>
      </c>
      <c r="E474" s="2" t="n">
        <v>-300</v>
      </c>
      <c r="F474" s="2" t="n">
        <v>0.01978978060621113</v>
      </c>
      <c r="G474" s="2" t="n">
        <v>0.52</v>
      </c>
    </row>
    <row r="475">
      <c r="A475" s="2" t="n">
        <v>457</v>
      </c>
      <c r="B475" s="2" t="n">
        <v>13780.42512107203</v>
      </c>
      <c r="C475" s="2" t="n">
        <v>37.80425121072032</v>
      </c>
      <c r="D475" s="2" t="n">
        <v>3780.425121072031</v>
      </c>
      <c r="E475" s="2" t="n">
        <v>-236.7088607594942</v>
      </c>
      <c r="F475" s="2" t="n">
        <v>0.08510623630241365</v>
      </c>
      <c r="G475" s="2" t="n">
        <v>0.5600000000000001</v>
      </c>
    </row>
    <row r="476">
      <c r="A476" s="2" t="n">
        <v>458</v>
      </c>
      <c r="B476" s="2" t="n">
        <v>13893.42512107203</v>
      </c>
      <c r="C476" s="2" t="n">
        <v>38.93425121072032</v>
      </c>
      <c r="D476" s="2" t="n">
        <v>3893.425121072031</v>
      </c>
      <c r="E476" s="2" t="n">
        <v>-123.7088607594942</v>
      </c>
      <c r="F476" s="2" t="n">
        <v>0.09030623630241365</v>
      </c>
      <c r="G476" s="2" t="n">
        <v>0.5600000000000001</v>
      </c>
    </row>
    <row r="477">
      <c r="A477" s="2" t="n">
        <v>459</v>
      </c>
      <c r="B477" s="2" t="n">
        <v>13997.42512107203</v>
      </c>
      <c r="C477" s="2" t="n">
        <v>39.97425121072032</v>
      </c>
      <c r="D477" s="2" t="n">
        <v>3997.425121072031</v>
      </c>
      <c r="E477" s="2" t="n">
        <v>-19.7088607594942</v>
      </c>
      <c r="F477" s="2" t="n">
        <v>0.09381099820717557</v>
      </c>
      <c r="G477" s="2" t="n">
        <v>0.5600000000000001</v>
      </c>
    </row>
    <row r="478">
      <c r="A478" s="2" t="n">
        <v>460</v>
      </c>
      <c r="B478" s="2" t="n">
        <v>13897.42512107203</v>
      </c>
      <c r="C478" s="2" t="n">
        <v>38.97425121072032</v>
      </c>
      <c r="D478" s="2" t="n">
        <v>3897.425121072031</v>
      </c>
      <c r="E478" s="2" t="n">
        <v>-119.7088607594942</v>
      </c>
      <c r="F478" s="2" t="n">
        <v>0.02047766487384223</v>
      </c>
      <c r="G478" s="2" t="n">
        <v>0.52</v>
      </c>
    </row>
    <row r="479">
      <c r="A479" s="2" t="n">
        <v>461</v>
      </c>
      <c r="B479" s="2" t="n">
        <v>13797.42512107203</v>
      </c>
      <c r="C479" s="2" t="n">
        <v>37.97425121072032</v>
      </c>
      <c r="D479" s="2" t="n">
        <v>3797.425121072031</v>
      </c>
      <c r="E479" s="2" t="n">
        <v>-219.7088607594942</v>
      </c>
      <c r="F479" s="2" t="n">
        <v>0.02047766487384223</v>
      </c>
      <c r="G479" s="2" t="n">
        <v>0.52</v>
      </c>
    </row>
    <row r="480">
      <c r="A480" s="2" t="n">
        <v>462</v>
      </c>
      <c r="B480" s="2" t="n">
        <v>13697.42512107203</v>
      </c>
      <c r="C480" s="2" t="n">
        <v>36.97425121072032</v>
      </c>
      <c r="D480" s="2" t="n">
        <v>3697.425121072031</v>
      </c>
      <c r="E480" s="2" t="n">
        <v>-319.7088607594942</v>
      </c>
      <c r="F480" s="2" t="n">
        <v>-0.04376475936858201</v>
      </c>
      <c r="G480" s="2" t="n">
        <v>0.48</v>
      </c>
    </row>
    <row r="481">
      <c r="A481" s="2" t="n">
        <v>463</v>
      </c>
      <c r="B481" s="2" t="n">
        <v>13815.42512107203</v>
      </c>
      <c r="C481" s="2" t="n">
        <v>38.15425121072032</v>
      </c>
      <c r="D481" s="2" t="n">
        <v>3815.425121072031</v>
      </c>
      <c r="E481" s="2" t="n">
        <v>-201.7088607594942</v>
      </c>
      <c r="F481" s="2" t="n">
        <v>-0.04256475936858202</v>
      </c>
      <c r="G481" s="2" t="n">
        <v>0.48</v>
      </c>
    </row>
    <row r="482">
      <c r="A482" s="2" t="n">
        <v>464</v>
      </c>
      <c r="B482" s="2" t="n">
        <v>13947.42512107203</v>
      </c>
      <c r="C482" s="2" t="n">
        <v>39.47425121072032</v>
      </c>
      <c r="D482" s="2" t="n">
        <v>3947.425121072031</v>
      </c>
      <c r="E482" s="2" t="n">
        <v>-69.7088607594942</v>
      </c>
      <c r="F482" s="2" t="n">
        <v>-0.01625482559374757</v>
      </c>
      <c r="G482" s="2" t="n">
        <v>0.48</v>
      </c>
    </row>
    <row r="483">
      <c r="A483" s="2" t="n">
        <v>465</v>
      </c>
      <c r="B483" s="2" t="n">
        <v>14028.72593408016</v>
      </c>
      <c r="C483" s="2" t="n">
        <v>40.28725934080162</v>
      </c>
      <c r="D483" s="2" t="n">
        <v>4028.725934080161</v>
      </c>
      <c r="E483" s="2" t="n">
        <v>0</v>
      </c>
      <c r="F483" s="2" t="n">
        <v>0.05626549960950446</v>
      </c>
      <c r="G483" s="2" t="n">
        <v>0.52</v>
      </c>
    </row>
    <row r="484">
      <c r="A484" s="2" t="n">
        <v>466</v>
      </c>
      <c r="B484" s="2" t="n">
        <v>13928.72593408016</v>
      </c>
      <c r="C484" s="2" t="n">
        <v>39.28725934080162</v>
      </c>
      <c r="D484" s="2" t="n">
        <v>3928.725934080161</v>
      </c>
      <c r="E484" s="2" t="n">
        <v>-100</v>
      </c>
      <c r="F484" s="2" t="n">
        <v>-0.0176328054752413</v>
      </c>
      <c r="G484" s="2" t="n">
        <v>0.48</v>
      </c>
    </row>
    <row r="485">
      <c r="A485" s="2" t="n">
        <v>467</v>
      </c>
      <c r="B485" s="2" t="n">
        <v>13828.72593408016</v>
      </c>
      <c r="C485" s="2" t="n">
        <v>38.28725934080162</v>
      </c>
      <c r="D485" s="2" t="n">
        <v>3828.725934080161</v>
      </c>
      <c r="E485" s="2" t="n">
        <v>-200</v>
      </c>
      <c r="F485" s="2" t="n">
        <v>-0.0176328054752413</v>
      </c>
      <c r="G485" s="2" t="n">
        <v>0.48</v>
      </c>
    </row>
    <row r="486">
      <c r="A486" s="2" t="n">
        <v>468</v>
      </c>
      <c r="B486" s="2" t="n">
        <v>13933.72593408016</v>
      </c>
      <c r="C486" s="2" t="n">
        <v>39.33725934080162</v>
      </c>
      <c r="D486" s="2" t="n">
        <v>3933.725934080161</v>
      </c>
      <c r="E486" s="2" t="n">
        <v>-95</v>
      </c>
      <c r="F486" s="2" t="n">
        <v>0.0643671945247587</v>
      </c>
      <c r="G486" s="2" t="n">
        <v>0.52</v>
      </c>
    </row>
    <row r="487">
      <c r="A487" s="2" t="n">
        <v>469</v>
      </c>
      <c r="B487" s="2" t="n">
        <v>13833.72593408016</v>
      </c>
      <c r="C487" s="2" t="n">
        <v>38.33725934080162</v>
      </c>
      <c r="D487" s="2" t="n">
        <v>3833.725934080161</v>
      </c>
      <c r="E487" s="2" t="n">
        <v>-195</v>
      </c>
      <c r="F487" s="2" t="n">
        <v>0.0643671945247587</v>
      </c>
      <c r="G487" s="2" t="n">
        <v>0.52</v>
      </c>
    </row>
    <row r="488">
      <c r="A488" s="2" t="n">
        <v>470</v>
      </c>
      <c r="B488" s="2" t="n">
        <v>13961.72593408016</v>
      </c>
      <c r="C488" s="2" t="n">
        <v>39.61725934080162</v>
      </c>
      <c r="D488" s="2" t="n">
        <v>3961.725934080161</v>
      </c>
      <c r="E488" s="2" t="n">
        <v>-67</v>
      </c>
      <c r="F488" s="2" t="n">
        <v>0.06516719452475871</v>
      </c>
      <c r="G488" s="2" t="n">
        <v>0.52</v>
      </c>
    </row>
    <row r="489">
      <c r="A489" s="2" t="n">
        <v>471</v>
      </c>
      <c r="B489" s="2" t="n">
        <v>14043.69314719492</v>
      </c>
      <c r="C489" s="2" t="n">
        <v>40.43693147194916</v>
      </c>
      <c r="D489" s="2" t="n">
        <v>4043.693147194915</v>
      </c>
      <c r="E489" s="2" t="n">
        <v>0</v>
      </c>
      <c r="F489" s="2" t="n">
        <v>0.1379540797706603</v>
      </c>
      <c r="G489" s="2" t="n">
        <v>0.5600000000000001</v>
      </c>
    </row>
    <row r="490">
      <c r="A490" s="2" t="n">
        <v>472</v>
      </c>
      <c r="B490" s="2" t="n">
        <v>14143.69314719492</v>
      </c>
      <c r="C490" s="2" t="n">
        <v>41.43693147194916</v>
      </c>
      <c r="D490" s="2" t="n">
        <v>4143.693147194916</v>
      </c>
      <c r="E490" s="2" t="n">
        <v>0</v>
      </c>
      <c r="F490" s="2" t="n">
        <v>0.2179540797706603</v>
      </c>
      <c r="G490" s="2" t="n">
        <v>0.6</v>
      </c>
    </row>
    <row r="491">
      <c r="A491" s="2" t="n">
        <v>473</v>
      </c>
      <c r="B491" s="2" t="n">
        <v>14043.69314719492</v>
      </c>
      <c r="C491" s="2" t="n">
        <v>40.43693147194916</v>
      </c>
      <c r="D491" s="2" t="n">
        <v>4043.693147194916</v>
      </c>
      <c r="E491" s="2" t="n">
        <v>-100</v>
      </c>
      <c r="F491" s="2" t="n">
        <v>0.1219540797706604</v>
      </c>
      <c r="G491" s="2" t="n">
        <v>0.5600000000000001</v>
      </c>
    </row>
    <row r="492">
      <c r="A492" s="2" t="n">
        <v>474</v>
      </c>
      <c r="B492" s="2" t="n">
        <v>13943.69314719492</v>
      </c>
      <c r="C492" s="2" t="n">
        <v>39.43693147194916</v>
      </c>
      <c r="D492" s="2" t="n">
        <v>3943.693147194916</v>
      </c>
      <c r="E492" s="2" t="n">
        <v>-200</v>
      </c>
      <c r="F492" s="2" t="n">
        <v>0.04862074643732701</v>
      </c>
      <c r="G492" s="2" t="n">
        <v>0.52</v>
      </c>
    </row>
    <row r="493">
      <c r="A493" s="2" t="n">
        <v>475</v>
      </c>
      <c r="B493" s="2" t="n">
        <v>13843.69314719492</v>
      </c>
      <c r="C493" s="2" t="n">
        <v>38.43693147194916</v>
      </c>
      <c r="D493" s="2" t="n">
        <v>3843.693147194916</v>
      </c>
      <c r="E493" s="2" t="n">
        <v>-300</v>
      </c>
      <c r="F493" s="2" t="n">
        <v>-0.03537925356267299</v>
      </c>
      <c r="G493" s="2" t="n">
        <v>0.48</v>
      </c>
    </row>
    <row r="494">
      <c r="A494" s="2" t="n">
        <v>476</v>
      </c>
      <c r="B494" s="2" t="n">
        <v>13743.69314719492</v>
      </c>
      <c r="C494" s="2" t="n">
        <v>37.43693147194916</v>
      </c>
      <c r="D494" s="2" t="n">
        <v>3743.693147194916</v>
      </c>
      <c r="E494" s="2" t="n">
        <v>-400</v>
      </c>
      <c r="F494" s="2" t="n">
        <v>-0.1045763338546438</v>
      </c>
      <c r="G494" s="2" t="n">
        <v>0.44</v>
      </c>
    </row>
    <row r="495">
      <c r="A495" s="2" t="n">
        <v>477</v>
      </c>
      <c r="B495" s="2" t="n">
        <v>13871.69314719492</v>
      </c>
      <c r="C495" s="2" t="n">
        <v>38.71693147194916</v>
      </c>
      <c r="D495" s="2" t="n">
        <v>3871.693147194916</v>
      </c>
      <c r="E495" s="2" t="n">
        <v>-272</v>
      </c>
      <c r="F495" s="2" t="n">
        <v>-0.01337633385464378</v>
      </c>
      <c r="G495" s="2" t="n">
        <v>0.48</v>
      </c>
    </row>
    <row r="496">
      <c r="A496" s="2" t="n">
        <v>478</v>
      </c>
      <c r="B496" s="2" t="n">
        <v>13938.35981386158</v>
      </c>
      <c r="C496" s="2" t="n">
        <v>39.38359813861582</v>
      </c>
      <c r="D496" s="2" t="n">
        <v>3938.359813861582</v>
      </c>
      <c r="E496" s="2" t="n">
        <v>-205.3333333333339</v>
      </c>
      <c r="F496" s="2" t="n">
        <v>-0.03150966718797713</v>
      </c>
      <c r="G496" s="2" t="n">
        <v>0.48</v>
      </c>
    </row>
    <row r="497">
      <c r="A497" s="2" t="n">
        <v>479</v>
      </c>
      <c r="B497" s="2" t="n">
        <v>13838.35981386158</v>
      </c>
      <c r="C497" s="2" t="n">
        <v>38.38359813861582</v>
      </c>
      <c r="D497" s="2" t="n">
        <v>3838.359813861582</v>
      </c>
      <c r="E497" s="2" t="n">
        <v>-305.3333333333339</v>
      </c>
      <c r="F497" s="2" t="n">
        <v>-0.03150966718797713</v>
      </c>
      <c r="G497" s="2" t="n">
        <v>0.48</v>
      </c>
    </row>
    <row r="498">
      <c r="A498" s="2" t="n">
        <v>480</v>
      </c>
      <c r="B498" s="2" t="n">
        <v>13738.35981386158</v>
      </c>
      <c r="C498" s="2" t="n">
        <v>37.38359813861582</v>
      </c>
      <c r="D498" s="2" t="n">
        <v>3738.359813861582</v>
      </c>
      <c r="E498" s="2" t="n">
        <v>-405.3333333333339</v>
      </c>
      <c r="F498" s="2" t="n">
        <v>-0.03150966718797713</v>
      </c>
      <c r="G498" s="2" t="n">
        <v>0.48</v>
      </c>
    </row>
    <row r="499">
      <c r="A499" s="2" t="n">
        <v>481</v>
      </c>
      <c r="B499" s="2" t="n">
        <v>13638.35981386158</v>
      </c>
      <c r="C499" s="2" t="n">
        <v>36.38359813861582</v>
      </c>
      <c r="D499" s="2" t="n">
        <v>3638.359813861582</v>
      </c>
      <c r="E499" s="2" t="n">
        <v>-505.3333333333339</v>
      </c>
      <c r="F499" s="2" t="n">
        <v>-0.03150966718797713</v>
      </c>
      <c r="G499" s="2" t="n">
        <v>0.48</v>
      </c>
    </row>
    <row r="500">
      <c r="A500" s="2" t="n">
        <v>482</v>
      </c>
      <c r="B500" s="2" t="n">
        <v>13538.35981386158</v>
      </c>
      <c r="C500" s="2" t="n">
        <v>35.38359813861582</v>
      </c>
      <c r="D500" s="2" t="n">
        <v>3538.359813861582</v>
      </c>
      <c r="E500" s="2" t="n">
        <v>-605.3333333333339</v>
      </c>
      <c r="F500" s="2" t="n">
        <v>-0.09682612288417966</v>
      </c>
      <c r="G500" s="2" t="n">
        <v>0.44</v>
      </c>
    </row>
    <row r="501">
      <c r="A501" s="2" t="n">
        <v>483</v>
      </c>
      <c r="B501" s="2" t="n">
        <v>13438.35981386158</v>
      </c>
      <c r="C501" s="2" t="n">
        <v>34.38359813861582</v>
      </c>
      <c r="D501" s="2" t="n">
        <v>3438.359813861582</v>
      </c>
      <c r="E501" s="2" t="n">
        <v>-705.3333333333339</v>
      </c>
      <c r="F501" s="2" t="n">
        <v>-0.1820261228841797</v>
      </c>
      <c r="G501" s="2" t="n">
        <v>0.4</v>
      </c>
    </row>
    <row r="502">
      <c r="A502" s="2" t="n">
        <v>484</v>
      </c>
      <c r="B502" s="2" t="n">
        <v>13338.35981386158</v>
      </c>
      <c r="C502" s="2" t="n">
        <v>33.38359813861582</v>
      </c>
      <c r="D502" s="2" t="n">
        <v>3338.359813861582</v>
      </c>
      <c r="E502" s="2" t="n">
        <v>-805.3333333333339</v>
      </c>
      <c r="F502" s="2" t="n">
        <v>-0.2636261228841796</v>
      </c>
      <c r="G502" s="2" t="n">
        <v>0.36</v>
      </c>
    </row>
    <row r="503">
      <c r="A503" s="2" t="n">
        <v>485</v>
      </c>
      <c r="B503" s="2" t="n">
        <v>13238.35981386158</v>
      </c>
      <c r="C503" s="2" t="n">
        <v>32.38359813861582</v>
      </c>
      <c r="D503" s="2" t="n">
        <v>3238.359813861582</v>
      </c>
      <c r="E503" s="2" t="n">
        <v>-905.3333333333339</v>
      </c>
      <c r="F503" s="2" t="n">
        <v>-0.2636261228841796</v>
      </c>
      <c r="G503" s="2" t="n">
        <v>0.36</v>
      </c>
    </row>
    <row r="504">
      <c r="A504" s="2" t="n">
        <v>486</v>
      </c>
      <c r="B504" s="2" t="n">
        <v>13361.35981386158</v>
      </c>
      <c r="C504" s="2" t="n">
        <v>33.61359813861582</v>
      </c>
      <c r="D504" s="2" t="n">
        <v>3361.359813861582</v>
      </c>
      <c r="E504" s="2" t="n">
        <v>-782.3333333333339</v>
      </c>
      <c r="F504" s="2" t="n">
        <v>-0.1744261228841797</v>
      </c>
      <c r="G504" s="2" t="n">
        <v>0.4</v>
      </c>
    </row>
    <row r="505">
      <c r="A505" s="2" t="n">
        <v>487</v>
      </c>
      <c r="B505" s="2" t="n">
        <v>13429.85296454651</v>
      </c>
      <c r="C505" s="2" t="n">
        <v>34.29852964546514</v>
      </c>
      <c r="D505" s="2" t="n">
        <v>3429.852964546514</v>
      </c>
      <c r="E505" s="2" t="n">
        <v>-713.8401826484023</v>
      </c>
      <c r="F505" s="2" t="n">
        <v>-0.1070288626102071</v>
      </c>
      <c r="G505" s="2" t="n">
        <v>0.44</v>
      </c>
    </row>
    <row r="506">
      <c r="A506" s="2" t="n">
        <v>488</v>
      </c>
      <c r="B506" s="2" t="n">
        <v>13549.85296454651</v>
      </c>
      <c r="C506" s="2" t="n">
        <v>35.49852964546514</v>
      </c>
      <c r="D506" s="2" t="n">
        <v>3549.852964546514</v>
      </c>
      <c r="E506" s="2" t="n">
        <v>-593.8401826484023</v>
      </c>
      <c r="F506" s="2" t="n">
        <v>-0.106228862610207</v>
      </c>
      <c r="G506" s="2" t="n">
        <v>0.44</v>
      </c>
    </row>
    <row r="507">
      <c r="A507" s="2" t="n">
        <v>489</v>
      </c>
      <c r="B507" s="2" t="n">
        <v>13617.42053211408</v>
      </c>
      <c r="C507" s="2" t="n">
        <v>36.17420532114082</v>
      </c>
      <c r="D507" s="2" t="n">
        <v>3617.420532114081</v>
      </c>
      <c r="E507" s="2" t="n">
        <v>-526.2726150808339</v>
      </c>
      <c r="F507" s="2" t="n">
        <v>-0.13200183558318</v>
      </c>
      <c r="G507" s="2" t="n">
        <v>0.44</v>
      </c>
    </row>
    <row r="508">
      <c r="A508" s="2" t="n">
        <v>490</v>
      </c>
      <c r="B508" s="2" t="n">
        <v>13739.42053211408</v>
      </c>
      <c r="C508" s="2" t="n">
        <v>37.39420532114082</v>
      </c>
      <c r="D508" s="2" t="n">
        <v>3739.420532114081</v>
      </c>
      <c r="E508" s="2" t="n">
        <v>-404.2726150808339</v>
      </c>
      <c r="F508" s="2" t="n">
        <v>-0.115722160786432</v>
      </c>
      <c r="G508" s="2" t="n">
        <v>0.44</v>
      </c>
    </row>
    <row r="509">
      <c r="A509" s="2" t="n">
        <v>491</v>
      </c>
      <c r="B509" s="2" t="n">
        <v>13815.17810787166</v>
      </c>
      <c r="C509" s="2" t="n">
        <v>38.15178107871657</v>
      </c>
      <c r="D509" s="2" t="n">
        <v>3815.178107871657</v>
      </c>
      <c r="E509" s="2" t="n">
        <v>-328.5150393232598</v>
      </c>
      <c r="F509" s="2" t="n">
        <v>-0.04541913048340176</v>
      </c>
      <c r="G509" s="2" t="n">
        <v>0.48</v>
      </c>
    </row>
    <row r="510">
      <c r="A510" s="2" t="n">
        <v>492</v>
      </c>
      <c r="B510" s="2" t="n">
        <v>13715.17810787166</v>
      </c>
      <c r="C510" s="2" t="n">
        <v>37.15178107871657</v>
      </c>
      <c r="D510" s="2" t="n">
        <v>3715.178107871657</v>
      </c>
      <c r="E510" s="2" t="n">
        <v>-428.5150393232598</v>
      </c>
      <c r="F510" s="2" t="n">
        <v>-0.04541913048340176</v>
      </c>
      <c r="G510" s="2" t="n">
        <v>0.48</v>
      </c>
    </row>
    <row r="511">
      <c r="A511" s="2" t="n">
        <v>493</v>
      </c>
      <c r="B511" s="2" t="n">
        <v>13838.17810787166</v>
      </c>
      <c r="C511" s="2" t="n">
        <v>38.38178107871657</v>
      </c>
      <c r="D511" s="2" t="n">
        <v>3838.178107871657</v>
      </c>
      <c r="E511" s="2" t="n">
        <v>-305.5150393232598</v>
      </c>
      <c r="F511" s="2" t="n">
        <v>-0.03821913048340175</v>
      </c>
      <c r="G511" s="2" t="n">
        <v>0.48</v>
      </c>
    </row>
    <row r="512">
      <c r="A512" s="2" t="n">
        <v>494</v>
      </c>
      <c r="B512" s="2" t="n">
        <v>13894.6752830129</v>
      </c>
      <c r="C512" s="2" t="n">
        <v>38.946752830129</v>
      </c>
      <c r="D512" s="2" t="n">
        <v>3894.6752830129</v>
      </c>
      <c r="E512" s="2" t="n">
        <v>-249.0178641820148</v>
      </c>
      <c r="F512" s="2" t="n">
        <v>0.02437973957309543</v>
      </c>
      <c r="G512" s="2" t="n">
        <v>0.52</v>
      </c>
    </row>
    <row r="513">
      <c r="A513" s="2" t="n">
        <v>495</v>
      </c>
      <c r="B513" s="2" t="n">
        <v>13794.6752830129</v>
      </c>
      <c r="C513" s="2" t="n">
        <v>37.946752830129</v>
      </c>
      <c r="D513" s="2" t="n">
        <v>3794.6752830129</v>
      </c>
      <c r="E513" s="2" t="n">
        <v>-349.0178641820148</v>
      </c>
      <c r="F513" s="2" t="n">
        <v>-0.06682026042690457</v>
      </c>
      <c r="G513" s="2" t="n">
        <v>0.48</v>
      </c>
    </row>
    <row r="514">
      <c r="A514" s="2" t="n">
        <v>496</v>
      </c>
      <c r="B514" s="2" t="n">
        <v>13857.56836477391</v>
      </c>
      <c r="C514" s="2" t="n">
        <v>38.57568364773906</v>
      </c>
      <c r="D514" s="2" t="n">
        <v>3857.568364773906</v>
      </c>
      <c r="E514" s="2" t="n">
        <v>-286.1247824210095</v>
      </c>
      <c r="F514" s="2" t="n">
        <v>-0.07444991296840371</v>
      </c>
      <c r="G514" s="2" t="n">
        <v>0.48</v>
      </c>
    </row>
    <row r="515">
      <c r="A515" s="2" t="n">
        <v>497</v>
      </c>
      <c r="B515" s="2" t="n">
        <v>13757.56836477391</v>
      </c>
      <c r="C515" s="2" t="n">
        <v>37.57568364773906</v>
      </c>
      <c r="D515" s="2" t="n">
        <v>3757.568364773906</v>
      </c>
      <c r="E515" s="2" t="n">
        <v>-386.1247824210095</v>
      </c>
      <c r="F515" s="2" t="n">
        <v>-0.1544499129684037</v>
      </c>
      <c r="G515" s="2" t="n">
        <v>0.44</v>
      </c>
    </row>
    <row r="516">
      <c r="A516" s="2" t="n">
        <v>498</v>
      </c>
      <c r="B516" s="2" t="n">
        <v>13852.806460012</v>
      </c>
      <c r="C516" s="2" t="n">
        <v>38.52806460012001</v>
      </c>
      <c r="D516" s="2" t="n">
        <v>3852.806460012001</v>
      </c>
      <c r="E516" s="2" t="n">
        <v>-290.8866871829141</v>
      </c>
      <c r="F516" s="2" t="n">
        <v>-0.07635467487316562</v>
      </c>
      <c r="G516" s="2" t="n">
        <v>0.48</v>
      </c>
    </row>
    <row r="517">
      <c r="A517" s="2" t="n">
        <v>499</v>
      </c>
      <c r="B517" s="2" t="n">
        <v>13752.806460012</v>
      </c>
      <c r="C517" s="2" t="n">
        <v>37.52806460012001</v>
      </c>
      <c r="D517" s="2" t="n">
        <v>3752.806460012001</v>
      </c>
      <c r="E517" s="2" t="n">
        <v>-390.8866871829141</v>
      </c>
      <c r="F517" s="2" t="n">
        <v>-0.07635467487316562</v>
      </c>
      <c r="G517" s="2" t="n">
        <v>0.48</v>
      </c>
    </row>
    <row r="518">
      <c r="A518" s="2" t="n">
        <v>500</v>
      </c>
      <c r="B518" s="2" t="n">
        <v>13829.72953693508</v>
      </c>
      <c r="C518" s="2" t="n">
        <v>38.29729536935078</v>
      </c>
      <c r="D518" s="2" t="n">
        <v>3829.729536935079</v>
      </c>
      <c r="E518" s="2" t="n">
        <v>-313.9636102598361</v>
      </c>
      <c r="F518" s="2" t="n">
        <v>-0.005585444103934849</v>
      </c>
      <c r="G518" s="2" t="n">
        <v>0.52</v>
      </c>
    </row>
    <row r="519">
      <c r="A519" s="2" t="n">
        <v>501</v>
      </c>
      <c r="B519" s="2" t="n">
        <v>13948.72953693508</v>
      </c>
      <c r="C519" s="2" t="n">
        <v>39.48729536935078</v>
      </c>
      <c r="D519" s="2" t="n">
        <v>3948.729536935079</v>
      </c>
      <c r="E519" s="2" t="n">
        <v>-194.9636102598361</v>
      </c>
      <c r="F519" s="2" t="n">
        <v>0.08201455589606514</v>
      </c>
      <c r="G519" s="2" t="n">
        <v>0.5600000000000001</v>
      </c>
    </row>
    <row r="520">
      <c r="A520" s="2" t="n">
        <v>502</v>
      </c>
      <c r="B520" s="2" t="n">
        <v>13848.72953693508</v>
      </c>
      <c r="C520" s="2" t="n">
        <v>38.48729536935078</v>
      </c>
      <c r="D520" s="2" t="n">
        <v>3848.729536935079</v>
      </c>
      <c r="E520" s="2" t="n">
        <v>-294.9636102598361</v>
      </c>
      <c r="F520" s="2" t="n">
        <v>-0.009185444103934862</v>
      </c>
      <c r="G520" s="2" t="n">
        <v>0.52</v>
      </c>
    </row>
    <row r="521">
      <c r="A521" s="2" t="n">
        <v>503</v>
      </c>
      <c r="B521" s="2" t="n">
        <v>13967.72953693508</v>
      </c>
      <c r="C521" s="2" t="n">
        <v>39.67729536935077</v>
      </c>
      <c r="D521" s="2" t="n">
        <v>3967.729536935079</v>
      </c>
      <c r="E521" s="2" t="n">
        <v>-175.9636102598361</v>
      </c>
      <c r="F521" s="2" t="n">
        <v>0.01174788922939848</v>
      </c>
      <c r="G521" s="2" t="n">
        <v>0.52</v>
      </c>
    </row>
    <row r="522">
      <c r="A522" s="2" t="n">
        <v>504</v>
      </c>
      <c r="B522" s="2" t="n">
        <v>14030.22953693508</v>
      </c>
      <c r="C522" s="2" t="n">
        <v>40.30229536935077</v>
      </c>
      <c r="D522" s="2" t="n">
        <v>4030.229536935079</v>
      </c>
      <c r="E522" s="2" t="n">
        <v>-113.4636102598361</v>
      </c>
      <c r="F522" s="2" t="n">
        <v>0.07674788922939847</v>
      </c>
      <c r="G522" s="2" t="n">
        <v>0.5600000000000001</v>
      </c>
    </row>
    <row r="523">
      <c r="A523" s="2" t="n">
        <v>505</v>
      </c>
      <c r="B523" s="2" t="n">
        <v>14150.22953693508</v>
      </c>
      <c r="C523" s="2" t="n">
        <v>41.50229536935078</v>
      </c>
      <c r="D523" s="2" t="n">
        <v>4150.229536935079</v>
      </c>
      <c r="E523" s="2" t="n">
        <v>0</v>
      </c>
      <c r="F523" s="2" t="n">
        <v>0.1647478892293985</v>
      </c>
      <c r="G523" s="2" t="n">
        <v>0.6</v>
      </c>
    </row>
    <row r="524">
      <c r="A524" s="2" t="n">
        <v>506</v>
      </c>
      <c r="B524" s="2" t="n">
        <v>14219.19505417646</v>
      </c>
      <c r="C524" s="2" t="n">
        <v>42.19195054176457</v>
      </c>
      <c r="D524" s="2" t="n">
        <v>4219.195054176458</v>
      </c>
      <c r="E524" s="2" t="n">
        <v>0</v>
      </c>
      <c r="F524" s="2" t="n">
        <v>0.2323340961259502</v>
      </c>
      <c r="G524" s="2" t="n">
        <v>0.64</v>
      </c>
    </row>
    <row r="525">
      <c r="A525" s="2" t="n">
        <v>507</v>
      </c>
      <c r="B525" s="2" t="n">
        <v>14302.52838750979</v>
      </c>
      <c r="C525" s="2" t="n">
        <v>43.02528387509791</v>
      </c>
      <c r="D525" s="2" t="n">
        <v>4302.528387509791</v>
      </c>
      <c r="E525" s="2" t="n">
        <v>0</v>
      </c>
      <c r="F525" s="2" t="n">
        <v>0.3056674294592835</v>
      </c>
      <c r="G525" s="2" t="n">
        <v>0.68</v>
      </c>
    </row>
    <row r="526">
      <c r="A526" s="2" t="n">
        <v>508</v>
      </c>
      <c r="B526" s="2" t="n">
        <v>14385.86172084312</v>
      </c>
      <c r="C526" s="2" t="n">
        <v>43.85861720843124</v>
      </c>
      <c r="D526" s="2" t="n">
        <v>4385.861720843124</v>
      </c>
      <c r="E526" s="2" t="n">
        <v>0</v>
      </c>
      <c r="F526" s="2" t="n">
        <v>0.3790007627926169</v>
      </c>
      <c r="G526" s="2" t="n">
        <v>0.72</v>
      </c>
    </row>
    <row r="527">
      <c r="A527" s="2" t="n">
        <v>509</v>
      </c>
      <c r="B527" s="2" t="n">
        <v>14285.86172084312</v>
      </c>
      <c r="C527" s="2" t="n">
        <v>42.85861720843124</v>
      </c>
      <c r="D527" s="2" t="n">
        <v>4285.861720843124</v>
      </c>
      <c r="E527" s="2" t="n">
        <v>-100</v>
      </c>
      <c r="F527" s="2" t="n">
        <v>0.3790007627926169</v>
      </c>
      <c r="G527" s="2" t="n">
        <v>0.72</v>
      </c>
    </row>
    <row r="528">
      <c r="A528" s="2" t="n">
        <v>510</v>
      </c>
      <c r="B528" s="2" t="n">
        <v>14185.86172084312</v>
      </c>
      <c r="C528" s="2" t="n">
        <v>41.85861720843124</v>
      </c>
      <c r="D528" s="2" t="n">
        <v>4185.861720843124</v>
      </c>
      <c r="E528" s="2" t="n">
        <v>-200</v>
      </c>
      <c r="F528" s="2" t="n">
        <v>0.3790007627926169</v>
      </c>
      <c r="G528" s="2" t="n">
        <v>0.72</v>
      </c>
    </row>
    <row r="529">
      <c r="A529" s="2" t="n">
        <v>511</v>
      </c>
      <c r="B529" s="2" t="n">
        <v>14281.09981608122</v>
      </c>
      <c r="C529" s="2" t="n">
        <v>42.81099816081219</v>
      </c>
      <c r="D529" s="2" t="n">
        <v>4281.09981608122</v>
      </c>
      <c r="E529" s="2" t="n">
        <v>-104.7619047619046</v>
      </c>
      <c r="F529" s="2" t="n">
        <v>0.367896000887855</v>
      </c>
      <c r="G529" s="2" t="n">
        <v>0.72</v>
      </c>
    </row>
    <row r="530">
      <c r="A530" s="2" t="n">
        <v>512</v>
      </c>
      <c r="B530" s="2" t="n">
        <v>14181.09981608122</v>
      </c>
      <c r="C530" s="2" t="n">
        <v>41.81099816081219</v>
      </c>
      <c r="D530" s="2" t="n">
        <v>4181.09981608122</v>
      </c>
      <c r="E530" s="2" t="n">
        <v>-204.7619047619046</v>
      </c>
      <c r="F530" s="2" t="n">
        <v>0.3004987406138823</v>
      </c>
      <c r="G530" s="2" t="n">
        <v>0.68</v>
      </c>
    </row>
    <row r="531">
      <c r="A531" s="2" t="n">
        <v>513</v>
      </c>
      <c r="B531" s="2" t="n">
        <v>14081.09981608122</v>
      </c>
      <c r="C531" s="2" t="n">
        <v>40.81099816081219</v>
      </c>
      <c r="D531" s="2" t="n">
        <v>4081.09981608122</v>
      </c>
      <c r="E531" s="2" t="n">
        <v>-304.7619047619046</v>
      </c>
      <c r="F531" s="2" t="n">
        <v>0.2124987406138824</v>
      </c>
      <c r="G531" s="2" t="n">
        <v>0.64</v>
      </c>
    </row>
    <row r="532">
      <c r="A532" s="2" t="n">
        <v>514</v>
      </c>
      <c r="B532" s="2" t="n">
        <v>14196.09981608122</v>
      </c>
      <c r="C532" s="2" t="n">
        <v>41.96099816081219</v>
      </c>
      <c r="D532" s="2" t="n">
        <v>4196.09981608122</v>
      </c>
      <c r="E532" s="2" t="n">
        <v>-189.7619047619046</v>
      </c>
      <c r="F532" s="2" t="n">
        <v>0.2314717135868553</v>
      </c>
      <c r="G532" s="2" t="n">
        <v>0.64</v>
      </c>
    </row>
    <row r="533">
      <c r="A533" s="2" t="n">
        <v>515</v>
      </c>
      <c r="B533" s="2" t="n">
        <v>14251.65537163677</v>
      </c>
      <c r="C533" s="2" t="n">
        <v>42.51655371636775</v>
      </c>
      <c r="D533" s="2" t="n">
        <v>4251.655371636775</v>
      </c>
      <c r="E533" s="2" t="n">
        <v>-134.2063492063498</v>
      </c>
      <c r="F533" s="2" t="n">
        <v>0.2048939358090776</v>
      </c>
      <c r="G533" s="2" t="n">
        <v>0.64</v>
      </c>
    </row>
    <row r="534">
      <c r="A534" s="2" t="n">
        <v>516</v>
      </c>
      <c r="B534" s="2" t="n">
        <v>14151.65537163677</v>
      </c>
      <c r="C534" s="2" t="n">
        <v>41.51655371636775</v>
      </c>
      <c r="D534" s="2" t="n">
        <v>4151.655371636775</v>
      </c>
      <c r="E534" s="2" t="n">
        <v>-234.2063492063498</v>
      </c>
      <c r="F534" s="2" t="n">
        <v>0.1345909055060473</v>
      </c>
      <c r="G534" s="2" t="n">
        <v>0.6</v>
      </c>
    </row>
    <row r="535">
      <c r="A535" s="2" t="n">
        <v>517</v>
      </c>
      <c r="B535" s="2" t="n">
        <v>14051.65537163677</v>
      </c>
      <c r="C535" s="2" t="n">
        <v>40.51655371636775</v>
      </c>
      <c r="D535" s="2" t="n">
        <v>4051.655371636775</v>
      </c>
      <c r="E535" s="2" t="n">
        <v>-334.2063492063498</v>
      </c>
      <c r="F535" s="2" t="n">
        <v>0.1345909055060473</v>
      </c>
      <c r="G535" s="2" t="n">
        <v>0.6</v>
      </c>
    </row>
    <row r="536">
      <c r="A536" s="2" t="n">
        <v>518</v>
      </c>
      <c r="B536" s="2" t="n">
        <v>14125.72944571085</v>
      </c>
      <c r="C536" s="2" t="n">
        <v>41.25729445710849</v>
      </c>
      <c r="D536" s="2" t="n">
        <v>4125.729445710849</v>
      </c>
      <c r="E536" s="2" t="n">
        <v>-260.132275132275</v>
      </c>
      <c r="F536" s="2" t="n">
        <v>0.1150205351356769</v>
      </c>
      <c r="G536" s="2" t="n">
        <v>0.6</v>
      </c>
    </row>
    <row r="537">
      <c r="A537" s="2" t="n">
        <v>519</v>
      </c>
      <c r="B537" s="2" t="n">
        <v>14215.81953580094</v>
      </c>
      <c r="C537" s="2" t="n">
        <v>42.15819535800939</v>
      </c>
      <c r="D537" s="2" t="n">
        <v>4215.819535800939</v>
      </c>
      <c r="E537" s="2" t="n">
        <v>-170.0421850421844</v>
      </c>
      <c r="F537" s="2" t="n">
        <v>0.1284577011152158</v>
      </c>
      <c r="G537" s="2" t="n">
        <v>0.6</v>
      </c>
    </row>
    <row r="538">
      <c r="A538" s="2" t="n">
        <v>520</v>
      </c>
      <c r="B538" s="2" t="n">
        <v>14317.81953580094</v>
      </c>
      <c r="C538" s="2" t="n">
        <v>43.17819535800939</v>
      </c>
      <c r="D538" s="2" t="n">
        <v>4317.819535800939</v>
      </c>
      <c r="E538" s="2" t="n">
        <v>-68.04218504218443</v>
      </c>
      <c r="F538" s="2" t="n">
        <v>0.2092577011152158</v>
      </c>
      <c r="G538" s="2" t="n">
        <v>0.64</v>
      </c>
    </row>
    <row r="539">
      <c r="A539" s="2" t="n">
        <v>521</v>
      </c>
      <c r="B539" s="2" t="n">
        <v>14427.81953580094</v>
      </c>
      <c r="C539" s="2" t="n">
        <v>44.27819535800939</v>
      </c>
      <c r="D539" s="2" t="n">
        <v>4427.819535800939</v>
      </c>
      <c r="E539" s="2" t="n">
        <v>0</v>
      </c>
      <c r="F539" s="2" t="n">
        <v>0.2281004684108133</v>
      </c>
      <c r="G539" s="2" t="n">
        <v>0.64</v>
      </c>
    </row>
    <row r="540">
      <c r="A540" s="2" t="n">
        <v>522</v>
      </c>
      <c r="B540" s="2" t="n">
        <v>14327.81953580094</v>
      </c>
      <c r="C540" s="2" t="n">
        <v>43.27819535800939</v>
      </c>
      <c r="D540" s="2" t="n">
        <v>4327.819535800939</v>
      </c>
      <c r="E540" s="2" t="n">
        <v>-100</v>
      </c>
      <c r="F540" s="2" t="n">
        <v>0.2281004684108133</v>
      </c>
      <c r="G540" s="2" t="n">
        <v>0.64</v>
      </c>
    </row>
    <row r="541">
      <c r="A541" s="2" t="n">
        <v>523</v>
      </c>
      <c r="B541" s="2" t="n">
        <v>14227.81953580094</v>
      </c>
      <c r="C541" s="2" t="n">
        <v>42.27819535800939</v>
      </c>
      <c r="D541" s="2" t="n">
        <v>4227.819535800939</v>
      </c>
      <c r="E541" s="2" t="n">
        <v>-200</v>
      </c>
      <c r="F541" s="2" t="n">
        <v>0.1500052303155752</v>
      </c>
      <c r="G541" s="2" t="n">
        <v>0.6</v>
      </c>
    </row>
    <row r="542">
      <c r="A542" s="2" t="n">
        <v>524</v>
      </c>
      <c r="B542" s="2" t="n">
        <v>14127.81953580094</v>
      </c>
      <c r="C542" s="2" t="n">
        <v>41.27819535800939</v>
      </c>
      <c r="D542" s="2" t="n">
        <v>4127.819535800939</v>
      </c>
      <c r="E542" s="2" t="n">
        <v>-300</v>
      </c>
      <c r="F542" s="2" t="n">
        <v>0.1500052303155752</v>
      </c>
      <c r="G542" s="2" t="n">
        <v>0.6</v>
      </c>
    </row>
    <row r="543">
      <c r="A543" s="2" t="n">
        <v>525</v>
      </c>
      <c r="B543" s="2" t="n">
        <v>14027.81953580094</v>
      </c>
      <c r="C543" s="2" t="n">
        <v>40.27819535800939</v>
      </c>
      <c r="D543" s="2" t="n">
        <v>4027.819535800939</v>
      </c>
      <c r="E543" s="2" t="n">
        <v>-400</v>
      </c>
      <c r="F543" s="2" t="n">
        <v>0.07923599954634439</v>
      </c>
      <c r="G543" s="2" t="n">
        <v>0.5600000000000001</v>
      </c>
    </row>
    <row r="544">
      <c r="A544" s="2" t="n">
        <v>526</v>
      </c>
      <c r="B544" s="2" t="n">
        <v>13927.81953580094</v>
      </c>
      <c r="C544" s="2" t="n">
        <v>39.27819535800939</v>
      </c>
      <c r="D544" s="2" t="n">
        <v>3927.819535800939</v>
      </c>
      <c r="E544" s="2" t="n">
        <v>-500</v>
      </c>
      <c r="F544" s="2" t="n">
        <v>-0.008364000453655604</v>
      </c>
      <c r="G544" s="2" t="n">
        <v>0.52</v>
      </c>
    </row>
    <row r="545">
      <c r="A545" s="2" t="n">
        <v>527</v>
      </c>
      <c r="B545" s="2" t="n">
        <v>13827.81953580094</v>
      </c>
      <c r="C545" s="2" t="n">
        <v>38.27819535800939</v>
      </c>
      <c r="D545" s="2" t="n">
        <v>3827.819535800939</v>
      </c>
      <c r="E545" s="2" t="n">
        <v>-600</v>
      </c>
      <c r="F545" s="2" t="n">
        <v>-0.008364000453655604</v>
      </c>
      <c r="G545" s="2" t="n">
        <v>0.52</v>
      </c>
    </row>
    <row r="546">
      <c r="A546" s="2" t="n">
        <v>528</v>
      </c>
      <c r="B546" s="2" t="n">
        <v>13727.81953580094</v>
      </c>
      <c r="C546" s="2" t="n">
        <v>37.27819535800939</v>
      </c>
      <c r="D546" s="2" t="n">
        <v>3727.819535800939</v>
      </c>
      <c r="E546" s="2" t="n">
        <v>-700</v>
      </c>
      <c r="F546" s="2" t="n">
        <v>-0.09596400045365559</v>
      </c>
      <c r="G546" s="2" t="n">
        <v>0.48</v>
      </c>
    </row>
    <row r="547">
      <c r="A547" s="2" t="n">
        <v>529</v>
      </c>
      <c r="B547" s="2" t="n">
        <v>13837.81953580094</v>
      </c>
      <c r="C547" s="2" t="n">
        <v>38.37819535800939</v>
      </c>
      <c r="D547" s="2" t="n">
        <v>3837.819535800939</v>
      </c>
      <c r="E547" s="2" t="n">
        <v>-590</v>
      </c>
      <c r="F547" s="2" t="n">
        <v>-0.0769640004536556</v>
      </c>
      <c r="G547" s="2" t="n">
        <v>0.48</v>
      </c>
    </row>
    <row r="548">
      <c r="A548" s="2" t="n">
        <v>530</v>
      </c>
      <c r="B548" s="2" t="n">
        <v>13943.81953580094</v>
      </c>
      <c r="C548" s="2" t="n">
        <v>39.43819535800939</v>
      </c>
      <c r="D548" s="2" t="n">
        <v>3943.819535800939</v>
      </c>
      <c r="E548" s="2" t="n">
        <v>-484</v>
      </c>
      <c r="F548" s="2" t="n">
        <v>-0.08256400045365561</v>
      </c>
      <c r="G548" s="2" t="n">
        <v>0.48</v>
      </c>
    </row>
    <row r="549">
      <c r="A549" s="2" t="n">
        <v>531</v>
      </c>
      <c r="B549" s="2" t="n">
        <v>14053.81953580094</v>
      </c>
      <c r="C549" s="2" t="n">
        <v>40.5381953580094</v>
      </c>
      <c r="D549" s="2" t="n">
        <v>4053.819535800939</v>
      </c>
      <c r="E549" s="2" t="n">
        <v>-374</v>
      </c>
      <c r="F549" s="2" t="n">
        <v>-0.06615020735020734</v>
      </c>
      <c r="G549" s="2" t="n">
        <v>0.48</v>
      </c>
    </row>
    <row r="550">
      <c r="A550" s="2" t="n">
        <v>532</v>
      </c>
      <c r="B550" s="2" t="n">
        <v>14177.81953580094</v>
      </c>
      <c r="C550" s="2" t="n">
        <v>41.7781953580094</v>
      </c>
      <c r="D550" s="2" t="n">
        <v>4177.819535800939</v>
      </c>
      <c r="E550" s="2" t="n">
        <v>-250</v>
      </c>
      <c r="F550" s="2" t="n">
        <v>-0.04988354068354067</v>
      </c>
      <c r="G550" s="2" t="n">
        <v>0.48</v>
      </c>
    </row>
    <row r="551">
      <c r="A551" s="2" t="n">
        <v>533</v>
      </c>
      <c r="B551" s="2" t="n">
        <v>14287.81953580094</v>
      </c>
      <c r="C551" s="2" t="n">
        <v>42.8781953580094</v>
      </c>
      <c r="D551" s="2" t="n">
        <v>4287.819535800939</v>
      </c>
      <c r="E551" s="2" t="n">
        <v>-140</v>
      </c>
      <c r="F551" s="2" t="n">
        <v>-0.03921687401687399</v>
      </c>
      <c r="G551" s="2" t="n">
        <v>0.48</v>
      </c>
    </row>
    <row r="552">
      <c r="A552" s="2" t="n">
        <v>534</v>
      </c>
      <c r="B552" s="2" t="n">
        <v>14392.81953580094</v>
      </c>
      <c r="C552" s="2" t="n">
        <v>43.9281953580094</v>
      </c>
      <c r="D552" s="2" t="n">
        <v>4392.819535800939</v>
      </c>
      <c r="E552" s="2" t="n">
        <v>-35</v>
      </c>
      <c r="F552" s="2" t="n">
        <v>0.042783125983126</v>
      </c>
      <c r="G552" s="2" t="n">
        <v>0.52</v>
      </c>
    </row>
    <row r="553">
      <c r="A553" s="2" t="n">
        <v>535</v>
      </c>
      <c r="B553" s="2" t="n">
        <v>14292.81953580094</v>
      </c>
      <c r="C553" s="2" t="n">
        <v>42.9281953580094</v>
      </c>
      <c r="D553" s="2" t="n">
        <v>4292.819535800939</v>
      </c>
      <c r="E553" s="2" t="n">
        <v>-135</v>
      </c>
      <c r="F553" s="2" t="n">
        <v>0.04278312598312599</v>
      </c>
      <c r="G553" s="2" t="n">
        <v>0.52</v>
      </c>
    </row>
    <row r="554">
      <c r="A554" s="2" t="n">
        <v>536</v>
      </c>
      <c r="B554" s="2" t="n">
        <v>14355.31953580094</v>
      </c>
      <c r="C554" s="2" t="n">
        <v>43.5531953580094</v>
      </c>
      <c r="D554" s="2" t="n">
        <v>4355.319535800939</v>
      </c>
      <c r="E554" s="2" t="n">
        <v>-72.5</v>
      </c>
      <c r="F554" s="2" t="n">
        <v>0.02968788788788791</v>
      </c>
      <c r="G554" s="2" t="n">
        <v>0.52</v>
      </c>
    </row>
    <row r="555">
      <c r="A555" s="2" t="n">
        <v>537</v>
      </c>
      <c r="B555" s="2" t="n">
        <v>14470.31953580094</v>
      </c>
      <c r="C555" s="2" t="n">
        <v>44.7031953580094</v>
      </c>
      <c r="D555" s="2" t="n">
        <v>4470.319535800939</v>
      </c>
      <c r="E555" s="2" t="n">
        <v>0</v>
      </c>
      <c r="F555" s="2" t="n">
        <v>0.1156878878878879</v>
      </c>
      <c r="G555" s="2" t="n">
        <v>0.5600000000000001</v>
      </c>
    </row>
    <row r="556">
      <c r="A556" s="2" t="n">
        <v>538</v>
      </c>
      <c r="B556" s="2" t="n">
        <v>14525.26459074599</v>
      </c>
      <c r="C556" s="2" t="n">
        <v>45.25264590745994</v>
      </c>
      <c r="D556" s="2" t="n">
        <v>4525.264590745994</v>
      </c>
      <c r="E556" s="2" t="n">
        <v>0</v>
      </c>
      <c r="F556" s="2" t="n">
        <v>0.1776659098659099</v>
      </c>
      <c r="G556" s="2" t="n">
        <v>0.6</v>
      </c>
    </row>
    <row r="557">
      <c r="A557" s="2" t="n">
        <v>539</v>
      </c>
      <c r="B557" s="2" t="n">
        <v>14425.26459074599</v>
      </c>
      <c r="C557" s="2" t="n">
        <v>44.25264590745994</v>
      </c>
      <c r="D557" s="2" t="n">
        <v>4425.264590745994</v>
      </c>
      <c r="E557" s="2" t="n">
        <v>-100</v>
      </c>
      <c r="F557" s="2" t="n">
        <v>0.09166590986590989</v>
      </c>
      <c r="G557" s="2" t="n">
        <v>0.5600000000000001</v>
      </c>
    </row>
    <row r="558">
      <c r="A558" s="2" t="n">
        <v>540</v>
      </c>
      <c r="B558" s="2" t="n">
        <v>14543.26459074599</v>
      </c>
      <c r="C558" s="2" t="n">
        <v>45.43264590745994</v>
      </c>
      <c r="D558" s="2" t="n">
        <v>4543.264590745994</v>
      </c>
      <c r="E558" s="2" t="n">
        <v>0</v>
      </c>
      <c r="F558" s="2" t="n">
        <v>0.1166436876436877</v>
      </c>
      <c r="G558" s="2" t="n">
        <v>0.5600000000000001</v>
      </c>
    </row>
    <row r="559">
      <c r="A559" s="2" t="n">
        <v>541</v>
      </c>
      <c r="B559" s="2" t="n">
        <v>14668.26459074599</v>
      </c>
      <c r="C559" s="2" t="n">
        <v>46.68264590745994</v>
      </c>
      <c r="D559" s="2" t="n">
        <v>4668.264590745994</v>
      </c>
      <c r="E559" s="2" t="n">
        <v>0</v>
      </c>
      <c r="F559" s="2" t="n">
        <v>0.2066436876436877</v>
      </c>
      <c r="G559" s="2" t="n">
        <v>0.6</v>
      </c>
    </row>
    <row r="560">
      <c r="A560" s="2" t="n">
        <v>542</v>
      </c>
      <c r="B560" s="2" t="n">
        <v>14568.26459074599</v>
      </c>
      <c r="C560" s="2" t="n">
        <v>45.68264590745994</v>
      </c>
      <c r="D560" s="2" t="n">
        <v>4568.264590745994</v>
      </c>
      <c r="E560" s="2" t="n">
        <v>-100</v>
      </c>
      <c r="F560" s="2" t="n">
        <v>0.2066436876436877</v>
      </c>
      <c r="G560" s="2" t="n">
        <v>0.6</v>
      </c>
    </row>
    <row r="561">
      <c r="A561" s="2" t="n">
        <v>543</v>
      </c>
      <c r="B561" s="2" t="n">
        <v>14468.26459074599</v>
      </c>
      <c r="C561" s="2" t="n">
        <v>44.68264590745994</v>
      </c>
      <c r="D561" s="2" t="n">
        <v>4468.264590745994</v>
      </c>
      <c r="E561" s="2" t="n">
        <v>-200</v>
      </c>
      <c r="F561" s="2" t="n">
        <v>0.137014058014058</v>
      </c>
      <c r="G561" s="2" t="n">
        <v>0.5600000000000001</v>
      </c>
    </row>
    <row r="562">
      <c r="A562" s="2" t="n">
        <v>544</v>
      </c>
      <c r="B562" s="2" t="n">
        <v>14368.26459074599</v>
      </c>
      <c r="C562" s="2" t="n">
        <v>43.68264590745994</v>
      </c>
      <c r="D562" s="2" t="n">
        <v>4368.264590745994</v>
      </c>
      <c r="E562" s="2" t="n">
        <v>-300</v>
      </c>
      <c r="F562" s="2" t="n">
        <v>0.06097802197802199</v>
      </c>
      <c r="G562" s="2" t="n">
        <v>0.52</v>
      </c>
    </row>
    <row r="563">
      <c r="A563" s="2" t="n">
        <v>545</v>
      </c>
      <c r="B563" s="2" t="n">
        <v>14478.26459074599</v>
      </c>
      <c r="C563" s="2" t="n">
        <v>44.78264590745994</v>
      </c>
      <c r="D563" s="2" t="n">
        <v>4478.264590745994</v>
      </c>
      <c r="E563" s="2" t="n">
        <v>-190</v>
      </c>
      <c r="F563" s="2" t="n">
        <v>0.06417802197802198</v>
      </c>
      <c r="G563" s="2" t="n">
        <v>0.52</v>
      </c>
    </row>
    <row r="564">
      <c r="A564" s="2" t="n">
        <v>546</v>
      </c>
      <c r="B564" s="2" t="n">
        <v>14378.26459074599</v>
      </c>
      <c r="C564" s="2" t="n">
        <v>43.78264590745994</v>
      </c>
      <c r="D564" s="2" t="n">
        <v>4378.264590745994</v>
      </c>
      <c r="E564" s="2" t="n">
        <v>-290</v>
      </c>
      <c r="F564" s="2" t="n">
        <v>-0.01982197802197802</v>
      </c>
      <c r="G564" s="2" t="n">
        <v>0.48</v>
      </c>
    </row>
    <row r="565">
      <c r="A565" s="2" t="n">
        <v>547</v>
      </c>
      <c r="B565" s="2" t="n">
        <v>14458.26459074599</v>
      </c>
      <c r="C565" s="2" t="n">
        <v>44.58264590745994</v>
      </c>
      <c r="D565" s="2" t="n">
        <v>4458.264590745994</v>
      </c>
      <c r="E565" s="2" t="n">
        <v>-210</v>
      </c>
      <c r="F565" s="2" t="n">
        <v>0.05217802197802199</v>
      </c>
      <c r="G565" s="2" t="n">
        <v>0.52</v>
      </c>
    </row>
    <row r="566">
      <c r="A566" s="2" t="n">
        <v>548</v>
      </c>
      <c r="B566" s="2" t="n">
        <v>14538.26459074599</v>
      </c>
      <c r="C566" s="2" t="n">
        <v>45.38264590745994</v>
      </c>
      <c r="D566" s="2" t="n">
        <v>4538.264590745994</v>
      </c>
      <c r="E566" s="2" t="n">
        <v>-130</v>
      </c>
      <c r="F566" s="2" t="n">
        <v>0.124178021978022</v>
      </c>
      <c r="G566" s="2" t="n">
        <v>0.5600000000000001</v>
      </c>
    </row>
    <row r="567">
      <c r="A567" s="2" t="n">
        <v>549</v>
      </c>
      <c r="B567" s="2" t="n">
        <v>14438.26459074599</v>
      </c>
      <c r="C567" s="2" t="n">
        <v>44.38264590745994</v>
      </c>
      <c r="D567" s="2" t="n">
        <v>4438.264590745994</v>
      </c>
      <c r="E567" s="2" t="n">
        <v>-230</v>
      </c>
      <c r="F567" s="2" t="n">
        <v>0.124178021978022</v>
      </c>
      <c r="G567" s="2" t="n">
        <v>0.5600000000000001</v>
      </c>
    </row>
    <row r="568">
      <c r="A568" s="2" t="n">
        <v>550</v>
      </c>
      <c r="B568" s="2" t="n">
        <v>14511.7940025107</v>
      </c>
      <c r="C568" s="2" t="n">
        <v>45.117940025107</v>
      </c>
      <c r="D568" s="2" t="n">
        <v>4511.7940025107</v>
      </c>
      <c r="E568" s="2" t="n">
        <v>-156.4705882352937</v>
      </c>
      <c r="F568" s="2" t="n">
        <v>0.1935897866839044</v>
      </c>
      <c r="G568" s="2" t="n">
        <v>0.6</v>
      </c>
    </row>
    <row r="569">
      <c r="A569" s="2" t="n">
        <v>551</v>
      </c>
      <c r="B569" s="2" t="n">
        <v>14411.7940025107</v>
      </c>
      <c r="C569" s="2" t="n">
        <v>44.117940025107</v>
      </c>
      <c r="D569" s="2" t="n">
        <v>4411.7940025107</v>
      </c>
      <c r="E569" s="2" t="n">
        <v>-256.4705882352937</v>
      </c>
      <c r="F569" s="2" t="n">
        <v>0.1935897866839044</v>
      </c>
      <c r="G569" s="2" t="n">
        <v>0.6</v>
      </c>
    </row>
    <row r="570">
      <c r="A570" s="2" t="n">
        <v>552</v>
      </c>
      <c r="B570" s="2" t="n">
        <v>14521.7940025107</v>
      </c>
      <c r="C570" s="2" t="n">
        <v>45.217940025107</v>
      </c>
      <c r="D570" s="2" t="n">
        <v>4521.7940025107</v>
      </c>
      <c r="E570" s="2" t="n">
        <v>-146.4705882352937</v>
      </c>
      <c r="F570" s="2" t="n">
        <v>0.2775897866839043</v>
      </c>
      <c r="G570" s="2" t="n">
        <v>0.64</v>
      </c>
    </row>
    <row r="571">
      <c r="A571" s="2" t="n">
        <v>553</v>
      </c>
      <c r="B571" s="2" t="n">
        <v>14659.7940025107</v>
      </c>
      <c r="C571" s="2" t="n">
        <v>46.597940025107</v>
      </c>
      <c r="D571" s="2" t="n">
        <v>4659.7940025107</v>
      </c>
      <c r="E571" s="2" t="n">
        <v>-8.47058823529369</v>
      </c>
      <c r="F571" s="2" t="n">
        <v>0.3727897866839044</v>
      </c>
      <c r="G571" s="2" t="n">
        <v>0.68</v>
      </c>
    </row>
    <row r="572">
      <c r="A572" s="2" t="n">
        <v>554</v>
      </c>
      <c r="B572" s="2" t="n">
        <v>14728.75951975208</v>
      </c>
      <c r="C572" s="2" t="n">
        <v>47.28759519752079</v>
      </c>
      <c r="D572" s="2" t="n">
        <v>4728.75951975208</v>
      </c>
      <c r="E572" s="2" t="n">
        <v>0</v>
      </c>
      <c r="F572" s="2" t="n">
        <v>0.3563759935804561</v>
      </c>
      <c r="G572" s="2" t="n">
        <v>0.68</v>
      </c>
    </row>
    <row r="573">
      <c r="A573" s="2" t="n">
        <v>555</v>
      </c>
      <c r="B573" s="2" t="n">
        <v>14823.99761499017</v>
      </c>
      <c r="C573" s="2" t="n">
        <v>48.23997614990174</v>
      </c>
      <c r="D573" s="2" t="n">
        <v>4823.997614990175</v>
      </c>
      <c r="E573" s="2" t="n">
        <v>0</v>
      </c>
      <c r="F573" s="2" t="n">
        <v>0.3520712316756942</v>
      </c>
      <c r="G573" s="2" t="n">
        <v>0.68</v>
      </c>
    </row>
    <row r="574">
      <c r="A574" s="2" t="n">
        <v>556</v>
      </c>
      <c r="B574" s="2" t="n">
        <v>14963.99761499017</v>
      </c>
      <c r="C574" s="2" t="n">
        <v>49.63997614990174</v>
      </c>
      <c r="D574" s="2" t="n">
        <v>4963.997614990175</v>
      </c>
      <c r="E574" s="2" t="n">
        <v>0</v>
      </c>
      <c r="F574" s="2" t="n">
        <v>0.3640712316756942</v>
      </c>
      <c r="G574" s="2" t="n">
        <v>0.68</v>
      </c>
    </row>
    <row r="575">
      <c r="A575" s="2" t="n">
        <v>557</v>
      </c>
      <c r="B575" s="2" t="n">
        <v>15047.33094832351</v>
      </c>
      <c r="C575" s="2" t="n">
        <v>50.47330948323508</v>
      </c>
      <c r="D575" s="2" t="n">
        <v>5047.330948323508</v>
      </c>
      <c r="E575" s="2" t="n">
        <v>0</v>
      </c>
      <c r="F575" s="2" t="n">
        <v>0.3478045650090275</v>
      </c>
      <c r="G575" s="2" t="n">
        <v>0.68</v>
      </c>
    </row>
    <row r="576">
      <c r="A576" s="2" t="n">
        <v>558</v>
      </c>
      <c r="B576" s="2" t="n">
        <v>15167.33094832351</v>
      </c>
      <c r="C576" s="2" t="n">
        <v>51.67330948323508</v>
      </c>
      <c r="D576" s="2" t="n">
        <v>5167.330948323508</v>
      </c>
      <c r="E576" s="2" t="n">
        <v>0</v>
      </c>
      <c r="F576" s="2" t="n">
        <v>0.3518045650090275</v>
      </c>
      <c r="G576" s="2" t="n">
        <v>0.68</v>
      </c>
    </row>
    <row r="577">
      <c r="A577" s="2" t="n">
        <v>559</v>
      </c>
      <c r="B577" s="2" t="n">
        <v>15222.27600326856</v>
      </c>
      <c r="C577" s="2" t="n">
        <v>52.22276003268563</v>
      </c>
      <c r="D577" s="2" t="n">
        <v>5222.276003268563</v>
      </c>
      <c r="E577" s="2" t="n">
        <v>0</v>
      </c>
      <c r="F577" s="2" t="n">
        <v>0.3317825869870494</v>
      </c>
      <c r="G577" s="2" t="n">
        <v>0.68</v>
      </c>
    </row>
    <row r="578">
      <c r="A578" s="2" t="n">
        <v>560</v>
      </c>
      <c r="B578" s="2" t="n">
        <v>15322.27600326856</v>
      </c>
      <c r="C578" s="2" t="n">
        <v>53.22276003268563</v>
      </c>
      <c r="D578" s="2" t="n">
        <v>5322.276003268563</v>
      </c>
      <c r="E578" s="2" t="n">
        <v>0</v>
      </c>
      <c r="F578" s="2" t="n">
        <v>0.4117825869870494</v>
      </c>
      <c r="G578" s="2" t="n">
        <v>0.72</v>
      </c>
    </row>
    <row r="579">
      <c r="A579" s="2" t="n">
        <v>561</v>
      </c>
      <c r="B579" s="2" t="n">
        <v>15222.27600326856</v>
      </c>
      <c r="C579" s="2" t="n">
        <v>52.22276003268563</v>
      </c>
      <c r="D579" s="2" t="n">
        <v>5222.276003268563</v>
      </c>
      <c r="E579" s="2" t="n">
        <v>-100</v>
      </c>
      <c r="F579" s="2" t="n">
        <v>0.3467825869870494</v>
      </c>
      <c r="G579" s="2" t="n">
        <v>0.68</v>
      </c>
    </row>
    <row r="580">
      <c r="A580" s="2" t="n">
        <v>562</v>
      </c>
      <c r="B580" s="2" t="n">
        <v>15122.27600326856</v>
      </c>
      <c r="C580" s="2" t="n">
        <v>51.22276003268563</v>
      </c>
      <c r="D580" s="2" t="n">
        <v>5122.276003268563</v>
      </c>
      <c r="E580" s="2" t="n">
        <v>-200</v>
      </c>
      <c r="F580" s="2" t="n">
        <v>0.2607825869870495</v>
      </c>
      <c r="G580" s="2" t="n">
        <v>0.64</v>
      </c>
    </row>
    <row r="581">
      <c r="A581" s="2" t="n">
        <v>563</v>
      </c>
      <c r="B581" s="2" t="n">
        <v>15189.39009722829</v>
      </c>
      <c r="C581" s="2" t="n">
        <v>51.89390097228294</v>
      </c>
      <c r="D581" s="2" t="n">
        <v>5189.390097228295</v>
      </c>
      <c r="E581" s="2" t="n">
        <v>-132.8859060402683</v>
      </c>
      <c r="F581" s="2" t="n">
        <v>0.2656502025929201</v>
      </c>
      <c r="G581" s="2" t="n">
        <v>0.64</v>
      </c>
    </row>
    <row r="582">
      <c r="A582" s="2" t="n">
        <v>564</v>
      </c>
      <c r="B582" s="2" t="n">
        <v>15266.31317415137</v>
      </c>
      <c r="C582" s="2" t="n">
        <v>52.66313174151371</v>
      </c>
      <c r="D582" s="2" t="n">
        <v>5266.313174151372</v>
      </c>
      <c r="E582" s="2" t="n">
        <v>-55.96282911719027</v>
      </c>
      <c r="F582" s="2" t="n">
        <v>0.3364194333621509</v>
      </c>
      <c r="G582" s="2" t="n">
        <v>0.68</v>
      </c>
    </row>
    <row r="583">
      <c r="A583" s="2" t="n">
        <v>565</v>
      </c>
      <c r="B583" s="2" t="n">
        <v>15398.31317415137</v>
      </c>
      <c r="C583" s="2" t="n">
        <v>53.98313174151371</v>
      </c>
      <c r="D583" s="2" t="n">
        <v>5398.313174151372</v>
      </c>
      <c r="E583" s="2" t="n">
        <v>0</v>
      </c>
      <c r="F583" s="2" t="n">
        <v>0.3420194333621509</v>
      </c>
      <c r="G583" s="2" t="n">
        <v>0.68</v>
      </c>
    </row>
    <row r="584">
      <c r="A584" s="2" t="n">
        <v>566</v>
      </c>
      <c r="B584" s="2" t="n">
        <v>15461.20625591238</v>
      </c>
      <c r="C584" s="2" t="n">
        <v>54.61206255912377</v>
      </c>
      <c r="D584" s="2" t="n">
        <v>5461.206255912378</v>
      </c>
      <c r="E584" s="2" t="n">
        <v>0</v>
      </c>
      <c r="F584" s="2" t="n">
        <v>0.3171766660665534</v>
      </c>
      <c r="G584" s="2" t="n">
        <v>0.68</v>
      </c>
    </row>
    <row r="585">
      <c r="A585" s="2" t="n">
        <v>567</v>
      </c>
      <c r="B585" s="2" t="n">
        <v>15571.20625591238</v>
      </c>
      <c r="C585" s="2" t="n">
        <v>55.71206255912377</v>
      </c>
      <c r="D585" s="2" t="n">
        <v>5571.206255912378</v>
      </c>
      <c r="E585" s="2" t="n">
        <v>0</v>
      </c>
      <c r="F585" s="2" t="n">
        <v>0.4011766660665534</v>
      </c>
      <c r="G585" s="2" t="n">
        <v>0.72</v>
      </c>
    </row>
    <row r="586">
      <c r="A586" s="2" t="n">
        <v>568</v>
      </c>
      <c r="B586" s="2" t="n">
        <v>15624.96969677259</v>
      </c>
      <c r="C586" s="2" t="n">
        <v>56.24969696772592</v>
      </c>
      <c r="D586" s="2" t="n">
        <v>5624.969696772593</v>
      </c>
      <c r="E586" s="2" t="n">
        <v>0</v>
      </c>
      <c r="F586" s="2" t="n">
        <v>0.4626820424106395</v>
      </c>
      <c r="G586" s="2" t="n">
        <v>0.76</v>
      </c>
    </row>
    <row r="587">
      <c r="A587" s="2" t="n">
        <v>569</v>
      </c>
      <c r="B587" s="2" t="n">
        <v>15524.96969677259</v>
      </c>
      <c r="C587" s="2" t="n">
        <v>55.24969696772592</v>
      </c>
      <c r="D587" s="2" t="n">
        <v>5524.969696772593</v>
      </c>
      <c r="E587" s="2" t="n">
        <v>-100</v>
      </c>
      <c r="F587" s="2" t="n">
        <v>0.4626820424106395</v>
      </c>
      <c r="G587" s="2" t="n">
        <v>0.76</v>
      </c>
    </row>
    <row r="588">
      <c r="A588" s="2" t="n">
        <v>570</v>
      </c>
      <c r="B588" s="2" t="n">
        <v>15424.96969677259</v>
      </c>
      <c r="C588" s="2" t="n">
        <v>54.24969696772592</v>
      </c>
      <c r="D588" s="2" t="n">
        <v>5424.969696772593</v>
      </c>
      <c r="E588" s="2" t="n">
        <v>-200</v>
      </c>
      <c r="F588" s="2" t="n">
        <v>0.3786820424106394</v>
      </c>
      <c r="G588" s="2" t="n">
        <v>0.72</v>
      </c>
    </row>
    <row r="589">
      <c r="A589" s="2" t="n">
        <v>571</v>
      </c>
      <c r="B589" s="2" t="n">
        <v>15324.96969677259</v>
      </c>
      <c r="C589" s="2" t="n">
        <v>53.24969696772592</v>
      </c>
      <c r="D589" s="2" t="n">
        <v>5324.969696772593</v>
      </c>
      <c r="E589" s="2" t="n">
        <v>-300</v>
      </c>
      <c r="F589" s="2" t="n">
        <v>0.3786820424106394</v>
      </c>
      <c r="G589" s="2" t="n">
        <v>0.72</v>
      </c>
    </row>
    <row r="590">
      <c r="A590" s="2" t="n">
        <v>572</v>
      </c>
      <c r="B590" s="2" t="n">
        <v>15454.96969677259</v>
      </c>
      <c r="C590" s="2" t="n">
        <v>54.54969696772592</v>
      </c>
      <c r="D590" s="2" t="n">
        <v>5454.969696772593</v>
      </c>
      <c r="E590" s="2" t="n">
        <v>-170</v>
      </c>
      <c r="F590" s="2" t="n">
        <v>0.3986820424106394</v>
      </c>
      <c r="G590" s="2" t="n">
        <v>0.72</v>
      </c>
    </row>
    <row r="591">
      <c r="A591" s="2" t="n">
        <v>573</v>
      </c>
      <c r="B591" s="2" t="n">
        <v>15534.96969677259</v>
      </c>
      <c r="C591" s="2" t="n">
        <v>55.34969696772592</v>
      </c>
      <c r="D591" s="2" t="n">
        <v>5534.969696772593</v>
      </c>
      <c r="E591" s="2" t="n">
        <v>-90</v>
      </c>
      <c r="F591" s="2" t="n">
        <v>0.3986820424106394</v>
      </c>
      <c r="G591" s="2" t="n">
        <v>0.72</v>
      </c>
    </row>
    <row r="592">
      <c r="A592" s="2" t="n">
        <v>574</v>
      </c>
      <c r="B592" s="2" t="n">
        <v>15652.96969677259</v>
      </c>
      <c r="C592" s="2" t="n">
        <v>56.52969696772592</v>
      </c>
      <c r="D592" s="2" t="n">
        <v>5652.969696772593</v>
      </c>
      <c r="E592" s="2" t="n">
        <v>0</v>
      </c>
      <c r="F592" s="2" t="n">
        <v>0.4858820424106394</v>
      </c>
      <c r="G592" s="2" t="n">
        <v>0.76</v>
      </c>
    </row>
    <row r="593">
      <c r="A593" s="2" t="n">
        <v>575</v>
      </c>
      <c r="B593" s="2" t="n">
        <v>15756.96969677259</v>
      </c>
      <c r="C593" s="2" t="n">
        <v>57.56969696772592</v>
      </c>
      <c r="D593" s="2" t="n">
        <v>5756.969696772593</v>
      </c>
      <c r="E593" s="2" t="n">
        <v>0</v>
      </c>
      <c r="F593" s="2" t="n">
        <v>0.498070277704757</v>
      </c>
      <c r="G593" s="2" t="n">
        <v>0.76</v>
      </c>
    </row>
    <row r="594">
      <c r="A594" s="2" t="n">
        <v>576</v>
      </c>
      <c r="B594" s="2" t="n">
        <v>15861.96969677259</v>
      </c>
      <c r="C594" s="2" t="n">
        <v>58.61969696772591</v>
      </c>
      <c r="D594" s="2" t="n">
        <v>5861.969696772593</v>
      </c>
      <c r="E594" s="2" t="n">
        <v>0</v>
      </c>
      <c r="F594" s="2" t="n">
        <v>0.5800702777047571</v>
      </c>
      <c r="G594" s="2" t="n">
        <v>0.8</v>
      </c>
    </row>
    <row r="595">
      <c r="A595" s="2" t="n">
        <v>577</v>
      </c>
      <c r="B595" s="2" t="n">
        <v>15941.96969677259</v>
      </c>
      <c r="C595" s="2" t="n">
        <v>59.41969696772591</v>
      </c>
      <c r="D595" s="2" t="n">
        <v>5941.969696772593</v>
      </c>
      <c r="E595" s="2" t="n">
        <v>0</v>
      </c>
      <c r="F595" s="2" t="n">
        <v>0.568070277704757</v>
      </c>
      <c r="G595" s="2" t="n">
        <v>0.8</v>
      </c>
    </row>
    <row r="596">
      <c r="A596" s="2" t="n">
        <v>578</v>
      </c>
      <c r="B596" s="2" t="n">
        <v>15841.96969677259</v>
      </c>
      <c r="C596" s="2" t="n">
        <v>58.41969696772591</v>
      </c>
      <c r="D596" s="2" t="n">
        <v>5841.969696772593</v>
      </c>
      <c r="E596" s="2" t="n">
        <v>-100</v>
      </c>
      <c r="F596" s="2" t="n">
        <v>0.472870277704757</v>
      </c>
      <c r="G596" s="2" t="n">
        <v>0.76</v>
      </c>
    </row>
    <row r="597">
      <c r="A597" s="2" t="n">
        <v>579</v>
      </c>
      <c r="B597" s="2" t="n">
        <v>15932.87878768168</v>
      </c>
      <c r="C597" s="2" t="n">
        <v>59.32878787681682</v>
      </c>
      <c r="D597" s="2" t="n">
        <v>5932.878787681684</v>
      </c>
      <c r="E597" s="2" t="n">
        <v>-9.090909090909918</v>
      </c>
      <c r="F597" s="2" t="n">
        <v>0.4816477071718417</v>
      </c>
      <c r="G597" s="2" t="n">
        <v>0.76</v>
      </c>
    </row>
    <row r="598">
      <c r="A598" s="2" t="n">
        <v>580</v>
      </c>
      <c r="B598" s="2" t="n">
        <v>16077.87878768168</v>
      </c>
      <c r="C598" s="2" t="n">
        <v>60.77878787681682</v>
      </c>
      <c r="D598" s="2" t="n">
        <v>6077.878787681684</v>
      </c>
      <c r="E598" s="2" t="n">
        <v>0</v>
      </c>
      <c r="F598" s="2" t="n">
        <v>0.5015524690766036</v>
      </c>
      <c r="G598" s="2" t="n">
        <v>0.76</v>
      </c>
    </row>
    <row r="599">
      <c r="A599" s="2" t="n">
        <v>581</v>
      </c>
      <c r="B599" s="2" t="n">
        <v>16147.80885761176</v>
      </c>
      <c r="C599" s="2" t="n">
        <v>61.47808857611752</v>
      </c>
      <c r="D599" s="2" t="n">
        <v>6147.808857611754</v>
      </c>
      <c r="E599" s="2" t="n">
        <v>0</v>
      </c>
      <c r="F599" s="2" t="n">
        <v>0.4735244970486316</v>
      </c>
      <c r="G599" s="2" t="n">
        <v>0.76</v>
      </c>
    </row>
    <row r="600">
      <c r="A600" s="2" t="n">
        <v>582</v>
      </c>
      <c r="B600" s="2" t="n">
        <v>16256.80885761176</v>
      </c>
      <c r="C600" s="2" t="n">
        <v>62.56808857611752</v>
      </c>
      <c r="D600" s="2" t="n">
        <v>6256.808857611754</v>
      </c>
      <c r="E600" s="2" t="n">
        <v>0</v>
      </c>
      <c r="F600" s="2" t="n">
        <v>0.4837911637152982</v>
      </c>
      <c r="G600" s="2" t="n">
        <v>0.76</v>
      </c>
    </row>
    <row r="601">
      <c r="A601" s="2" t="n">
        <v>583</v>
      </c>
      <c r="B601" s="2" t="n">
        <v>16156.80885761176</v>
      </c>
      <c r="C601" s="2" t="n">
        <v>61.56808857611752</v>
      </c>
      <c r="D601" s="2" t="n">
        <v>6156.808857611754</v>
      </c>
      <c r="E601" s="2" t="n">
        <v>-100</v>
      </c>
      <c r="F601" s="2" t="n">
        <v>0.3957911637152982</v>
      </c>
      <c r="G601" s="2" t="n">
        <v>0.72</v>
      </c>
    </row>
    <row r="602">
      <c r="A602" s="2" t="n">
        <v>584</v>
      </c>
      <c r="B602" s="2" t="n">
        <v>16232.56643336933</v>
      </c>
      <c r="C602" s="2" t="n">
        <v>62.32566433369328</v>
      </c>
      <c r="D602" s="2" t="n">
        <v>6232.56643336933</v>
      </c>
      <c r="E602" s="2" t="n">
        <v>-24.24242424242402</v>
      </c>
      <c r="F602" s="2" t="n">
        <v>0.4041161720403065</v>
      </c>
      <c r="G602" s="2" t="n">
        <v>0.72</v>
      </c>
    </row>
    <row r="603">
      <c r="A603" s="2" t="n">
        <v>585</v>
      </c>
      <c r="B603" s="2" t="n">
        <v>16306.6405074434</v>
      </c>
      <c r="C603" s="2" t="n">
        <v>63.06640507443402</v>
      </c>
      <c r="D603" s="2" t="n">
        <v>6306.640507443404</v>
      </c>
      <c r="E603" s="2" t="n">
        <v>0</v>
      </c>
      <c r="F603" s="2" t="n">
        <v>0.3937458016699362</v>
      </c>
      <c r="G603" s="2" t="n">
        <v>0.72</v>
      </c>
    </row>
    <row r="604">
      <c r="A604" s="2" t="n">
        <v>586</v>
      </c>
      <c r="B604" s="2" t="n">
        <v>16391.38627015527</v>
      </c>
      <c r="C604" s="2" t="n">
        <v>63.91386270155266</v>
      </c>
      <c r="D604" s="2" t="n">
        <v>6391.386270155269</v>
      </c>
      <c r="E604" s="2" t="n">
        <v>0</v>
      </c>
      <c r="F604" s="2" t="n">
        <v>0.4676441067546819</v>
      </c>
      <c r="G604" s="2" t="n">
        <v>0.76</v>
      </c>
    </row>
    <row r="605">
      <c r="A605" s="2" t="n">
        <v>587</v>
      </c>
      <c r="B605" s="2" t="n">
        <v>16504.38627015527</v>
      </c>
      <c r="C605" s="2" t="n">
        <v>65.04386270155265</v>
      </c>
      <c r="D605" s="2" t="n">
        <v>6504.386270155269</v>
      </c>
      <c r="E605" s="2" t="n">
        <v>0</v>
      </c>
      <c r="F605" s="2" t="n">
        <v>0.552844106754682</v>
      </c>
      <c r="G605" s="2" t="n">
        <v>0.8</v>
      </c>
    </row>
    <row r="606">
      <c r="A606" s="2" t="n">
        <v>588</v>
      </c>
      <c r="B606" s="2" t="n">
        <v>16561.52912729813</v>
      </c>
      <c r="C606" s="2" t="n">
        <v>65.61529127298122</v>
      </c>
      <c r="D606" s="2" t="n">
        <v>6561.529127298126</v>
      </c>
      <c r="E606" s="2" t="n">
        <v>0</v>
      </c>
      <c r="F606" s="2" t="n">
        <v>0.5488556120279322</v>
      </c>
      <c r="G606" s="2" t="n">
        <v>0.8</v>
      </c>
    </row>
    <row r="607">
      <c r="A607" s="2" t="n">
        <v>589</v>
      </c>
      <c r="B607" s="2" t="n">
        <v>16699.52912729813</v>
      </c>
      <c r="C607" s="2" t="n">
        <v>66.99529127298122</v>
      </c>
      <c r="D607" s="2" t="n">
        <v>6699.529127298126</v>
      </c>
      <c r="E607" s="2" t="n">
        <v>0</v>
      </c>
      <c r="F607" s="2" t="n">
        <v>0.5732863812587013</v>
      </c>
      <c r="G607" s="2" t="n">
        <v>0.8</v>
      </c>
    </row>
    <row r="608">
      <c r="A608" s="2" t="n">
        <v>590</v>
      </c>
      <c r="B608" s="2" t="n">
        <v>16839.52912729813</v>
      </c>
      <c r="C608" s="2" t="n">
        <v>68.39529127298123</v>
      </c>
      <c r="D608" s="2" t="n">
        <v>6839.529127298126</v>
      </c>
      <c r="E608" s="2" t="n">
        <v>0</v>
      </c>
      <c r="F608" s="2" t="n">
        <v>0.5764863812587013</v>
      </c>
      <c r="G608" s="2" t="n">
        <v>0.8</v>
      </c>
    </row>
    <row r="609">
      <c r="A609" s="2" t="n">
        <v>591</v>
      </c>
      <c r="B609" s="2" t="n">
        <v>16909.4591972282</v>
      </c>
      <c r="C609" s="2" t="n">
        <v>69.09459197228192</v>
      </c>
      <c r="D609" s="2" t="n">
        <v>6909.459197228196</v>
      </c>
      <c r="E609" s="2" t="n">
        <v>0</v>
      </c>
      <c r="F609" s="2" t="n">
        <v>0.5793011765263268</v>
      </c>
      <c r="G609" s="2" t="n">
        <v>0.8</v>
      </c>
    </row>
    <row r="610">
      <c r="A610" s="2" t="n">
        <v>592</v>
      </c>
      <c r="B610" s="2" t="n">
        <v>16809.4591972282</v>
      </c>
      <c r="C610" s="2" t="n">
        <v>68.09459197228192</v>
      </c>
      <c r="D610" s="2" t="n">
        <v>6809.459197228196</v>
      </c>
      <c r="E610" s="2" t="n">
        <v>-100</v>
      </c>
      <c r="F610" s="2" t="n">
        <v>0.4953011765263268</v>
      </c>
      <c r="G610" s="2" t="n">
        <v>0.76</v>
      </c>
    </row>
    <row r="611">
      <c r="A611" s="2" t="n">
        <v>593</v>
      </c>
      <c r="B611" s="2" t="n">
        <v>16925.4591972282</v>
      </c>
      <c r="C611" s="2" t="n">
        <v>69.25459197228191</v>
      </c>
      <c r="D611" s="2" t="n">
        <v>6925.459197228196</v>
      </c>
      <c r="E611" s="2" t="n">
        <v>0</v>
      </c>
      <c r="F611" s="2" t="n">
        <v>0.5201958001822408</v>
      </c>
      <c r="G611" s="2" t="n">
        <v>0.76</v>
      </c>
    </row>
    <row r="612">
      <c r="A612" s="2" t="n">
        <v>594</v>
      </c>
      <c r="B612" s="2" t="n">
        <v>16979.22263808841</v>
      </c>
      <c r="C612" s="2" t="n">
        <v>69.79222638088406</v>
      </c>
      <c r="D612" s="2" t="n">
        <v>6979.222638088411</v>
      </c>
      <c r="E612" s="2" t="n">
        <v>0</v>
      </c>
      <c r="F612" s="2" t="n">
        <v>0.5817011765263268</v>
      </c>
      <c r="G612" s="2" t="n">
        <v>0.8</v>
      </c>
    </row>
    <row r="613">
      <c r="A613" s="2" t="n">
        <v>595</v>
      </c>
      <c r="B613" s="2" t="n">
        <v>16879.22263808841</v>
      </c>
      <c r="C613" s="2" t="n">
        <v>68.79222638088406</v>
      </c>
      <c r="D613" s="2" t="n">
        <v>6879.222638088411</v>
      </c>
      <c r="E613" s="2" t="n">
        <v>-100</v>
      </c>
      <c r="F613" s="2" t="n">
        <v>0.5817011765263268</v>
      </c>
      <c r="G613" s="2" t="n">
        <v>0.8</v>
      </c>
    </row>
    <row r="614">
      <c r="A614" s="2" t="n">
        <v>596</v>
      </c>
      <c r="B614" s="2" t="n">
        <v>16779.22263808841</v>
      </c>
      <c r="C614" s="2" t="n">
        <v>67.79222638088406</v>
      </c>
      <c r="D614" s="2" t="n">
        <v>6779.222638088411</v>
      </c>
      <c r="E614" s="2" t="n">
        <v>-200</v>
      </c>
      <c r="F614" s="2" t="n">
        <v>0.5817011765263268</v>
      </c>
      <c r="G614" s="2" t="n">
        <v>0.8</v>
      </c>
    </row>
    <row r="615">
      <c r="A615" s="2" t="n">
        <v>597</v>
      </c>
      <c r="B615" s="2" t="n">
        <v>16679.22263808841</v>
      </c>
      <c r="C615" s="2" t="n">
        <v>66.79222638088406</v>
      </c>
      <c r="D615" s="2" t="n">
        <v>6679.222638088411</v>
      </c>
      <c r="E615" s="2" t="n">
        <v>-300</v>
      </c>
      <c r="F615" s="2" t="n">
        <v>0.4897011765263269</v>
      </c>
      <c r="G615" s="2" t="n">
        <v>0.76</v>
      </c>
    </row>
    <row r="616">
      <c r="A616" s="2" t="n">
        <v>598</v>
      </c>
      <c r="B616" s="2" t="n">
        <v>16579.22263808841</v>
      </c>
      <c r="C616" s="2" t="n">
        <v>65.79222638088406</v>
      </c>
      <c r="D616" s="2" t="n">
        <v>6579.222638088411</v>
      </c>
      <c r="E616" s="2" t="n">
        <v>-400</v>
      </c>
      <c r="F616" s="2" t="n">
        <v>0.4177011765263268</v>
      </c>
      <c r="G616" s="2" t="n">
        <v>0.72</v>
      </c>
    </row>
    <row r="617">
      <c r="A617" s="2" t="n">
        <v>599</v>
      </c>
      <c r="B617" s="2" t="n">
        <v>16674.46073332651</v>
      </c>
      <c r="C617" s="2" t="n">
        <v>66.74460733326501</v>
      </c>
      <c r="D617" s="2" t="n">
        <v>6674.460733326507</v>
      </c>
      <c r="E617" s="2" t="n">
        <v>-304.761904761901</v>
      </c>
      <c r="F617" s="2" t="n">
        <v>0.408596414621565</v>
      </c>
      <c r="G617" s="2" t="n">
        <v>0.72</v>
      </c>
    </row>
    <row r="618">
      <c r="A618" s="2" t="n">
        <v>600</v>
      </c>
      <c r="B618" s="2" t="n">
        <v>16776.46073332651</v>
      </c>
      <c r="C618" s="2" t="n">
        <v>67.764607333265</v>
      </c>
      <c r="D618" s="2" t="n">
        <v>6776.460733326507</v>
      </c>
      <c r="E618" s="2" t="n">
        <v>-202.761904761901</v>
      </c>
      <c r="F618" s="2" t="n">
        <v>0.407796414621565</v>
      </c>
      <c r="G618" s="2" t="n">
        <v>0.72</v>
      </c>
    </row>
    <row r="619">
      <c r="A619" s="2" t="n">
        <v>601</v>
      </c>
      <c r="B619" s="2" t="n">
        <v>16676.46073332651</v>
      </c>
      <c r="C619" s="2" t="n">
        <v>66.764607333265</v>
      </c>
      <c r="D619" s="2" t="n">
        <v>6676.460733326507</v>
      </c>
      <c r="E619" s="2" t="n">
        <v>-302.761904761901</v>
      </c>
      <c r="F619" s="2" t="n">
        <v>0.3257964146215649</v>
      </c>
      <c r="G619" s="2" t="n">
        <v>0.68</v>
      </c>
    </row>
    <row r="620">
      <c r="A620" s="2" t="n">
        <v>602</v>
      </c>
      <c r="B620" s="2" t="n">
        <v>16576.46073332651</v>
      </c>
      <c r="C620" s="2" t="n">
        <v>65.764607333265</v>
      </c>
      <c r="D620" s="2" t="n">
        <v>6576.460733326507</v>
      </c>
      <c r="E620" s="2" t="n">
        <v>-402.761904761901</v>
      </c>
      <c r="F620" s="2" t="n">
        <v>0.2537964146215649</v>
      </c>
      <c r="G620" s="2" t="n">
        <v>0.64</v>
      </c>
    </row>
    <row r="621">
      <c r="A621" s="2" t="n">
        <v>603</v>
      </c>
      <c r="B621" s="2" t="n">
        <v>16696.46073332651</v>
      </c>
      <c r="C621" s="2" t="n">
        <v>66.96460733326501</v>
      </c>
      <c r="D621" s="2" t="n">
        <v>6696.460733326507</v>
      </c>
      <c r="E621" s="2" t="n">
        <v>-282.761904761901</v>
      </c>
      <c r="F621" s="2" t="n">
        <v>0.341796414621565</v>
      </c>
      <c r="G621" s="2" t="n">
        <v>0.68</v>
      </c>
    </row>
    <row r="622">
      <c r="A622" s="2" t="n">
        <v>604</v>
      </c>
      <c r="B622" s="2" t="n">
        <v>16757.06679393257</v>
      </c>
      <c r="C622" s="2" t="n">
        <v>67.57066793932562</v>
      </c>
      <c r="D622" s="2" t="n">
        <v>6757.066793932568</v>
      </c>
      <c r="E622" s="2" t="n">
        <v>-222.1558441558409</v>
      </c>
      <c r="F622" s="2" t="n">
        <v>0.3296752025003529</v>
      </c>
      <c r="G622" s="2" t="n">
        <v>0.68</v>
      </c>
    </row>
    <row r="623">
      <c r="A623" s="2" t="n">
        <v>605</v>
      </c>
      <c r="B623" s="2" t="n">
        <v>16878.06679393257</v>
      </c>
      <c r="C623" s="2" t="n">
        <v>68.78066793932561</v>
      </c>
      <c r="D623" s="2" t="n">
        <v>6878.066793932568</v>
      </c>
      <c r="E623" s="2" t="n">
        <v>-101.1558441558409</v>
      </c>
      <c r="F623" s="2" t="n">
        <v>0.3200752025003528</v>
      </c>
      <c r="G623" s="2" t="n">
        <v>0.68</v>
      </c>
    </row>
    <row r="624">
      <c r="A624" s="2" t="n">
        <v>606</v>
      </c>
      <c r="B624" s="2" t="n">
        <v>16995.06679393257</v>
      </c>
      <c r="C624" s="2" t="n">
        <v>69.95066793932561</v>
      </c>
      <c r="D624" s="2" t="n">
        <v>6995.066793932568</v>
      </c>
      <c r="E624" s="2" t="n">
        <v>0</v>
      </c>
      <c r="F624" s="2" t="n">
        <v>0.3389031745283249</v>
      </c>
      <c r="G624" s="2" t="n">
        <v>0.68</v>
      </c>
    </row>
    <row r="625">
      <c r="A625" s="2" t="n">
        <v>607</v>
      </c>
      <c r="B625" s="2" t="n">
        <v>17061.73346059924</v>
      </c>
      <c r="C625" s="2" t="n">
        <v>70.61733460599228</v>
      </c>
      <c r="D625" s="2" t="n">
        <v>7061.733460599235</v>
      </c>
      <c r="E625" s="2" t="n">
        <v>0</v>
      </c>
      <c r="F625" s="2" t="n">
        <v>0.3219698411949915</v>
      </c>
      <c r="G625" s="2" t="n">
        <v>0.68</v>
      </c>
    </row>
    <row r="626">
      <c r="A626" s="2" t="n">
        <v>608</v>
      </c>
      <c r="B626" s="2" t="n">
        <v>17166.73346059924</v>
      </c>
      <c r="C626" s="2" t="n">
        <v>71.66733460599228</v>
      </c>
      <c r="D626" s="2" t="n">
        <v>7166.733460599235</v>
      </c>
      <c r="E626" s="2" t="n">
        <v>0</v>
      </c>
      <c r="F626" s="2" t="n">
        <v>0.4039698411949915</v>
      </c>
      <c r="G626" s="2" t="n">
        <v>0.72</v>
      </c>
    </row>
    <row r="627">
      <c r="A627" s="2" t="n">
        <v>609</v>
      </c>
      <c r="B627" s="2" t="n">
        <v>17274.73346059924</v>
      </c>
      <c r="C627" s="2" t="n">
        <v>72.74733460599228</v>
      </c>
      <c r="D627" s="2" t="n">
        <v>7274.733460599235</v>
      </c>
      <c r="E627" s="2" t="n">
        <v>0</v>
      </c>
      <c r="F627" s="2" t="n">
        <v>0.4168668108919612</v>
      </c>
      <c r="G627" s="2" t="n">
        <v>0.72</v>
      </c>
    </row>
    <row r="628">
      <c r="A628" s="2" t="n">
        <v>610</v>
      </c>
      <c r="B628" s="2" t="n">
        <v>17374.73346059924</v>
      </c>
      <c r="C628" s="2" t="n">
        <v>73.74733460599228</v>
      </c>
      <c r="D628" s="2" t="n">
        <v>7374.733460599235</v>
      </c>
      <c r="E628" s="2" t="n">
        <v>0</v>
      </c>
      <c r="F628" s="2" t="n">
        <v>0.4272371812623316</v>
      </c>
      <c r="G628" s="2" t="n">
        <v>0.72</v>
      </c>
    </row>
    <row r="629">
      <c r="A629" s="2" t="n">
        <v>611</v>
      </c>
      <c r="B629" s="2" t="n">
        <v>17274.73346059924</v>
      </c>
      <c r="C629" s="2" t="n">
        <v>72.74733460599228</v>
      </c>
      <c r="D629" s="2" t="n">
        <v>7274.733460599235</v>
      </c>
      <c r="E629" s="2" t="n">
        <v>-100</v>
      </c>
      <c r="F629" s="2" t="n">
        <v>0.3533388761775859</v>
      </c>
      <c r="G629" s="2" t="n">
        <v>0.68</v>
      </c>
    </row>
    <row r="630">
      <c r="A630" s="2" t="n">
        <v>612</v>
      </c>
      <c r="B630" s="2" t="n">
        <v>17174.73346059924</v>
      </c>
      <c r="C630" s="2" t="n">
        <v>71.74733460599228</v>
      </c>
      <c r="D630" s="2" t="n">
        <v>7174.733460599235</v>
      </c>
      <c r="E630" s="2" t="n">
        <v>-200</v>
      </c>
      <c r="F630" s="2" t="n">
        <v>0.2681388761775859</v>
      </c>
      <c r="G630" s="2" t="n">
        <v>0.64</v>
      </c>
    </row>
    <row r="631">
      <c r="A631" s="2" t="n">
        <v>613</v>
      </c>
      <c r="B631" s="2" t="n">
        <v>17280.73346059924</v>
      </c>
      <c r="C631" s="2" t="n">
        <v>72.80733460599228</v>
      </c>
      <c r="D631" s="2" t="n">
        <v>7280.733460599235</v>
      </c>
      <c r="E631" s="2" t="n">
        <v>-94</v>
      </c>
      <c r="F631" s="2" t="n">
        <v>0.2876817333204429</v>
      </c>
      <c r="G631" s="2" t="n">
        <v>0.64</v>
      </c>
    </row>
    <row r="632">
      <c r="A632" s="2" t="n">
        <v>614</v>
      </c>
      <c r="B632" s="2" t="n">
        <v>17398.73346059924</v>
      </c>
      <c r="C632" s="2" t="n">
        <v>73.98733460599229</v>
      </c>
      <c r="D632" s="2" t="n">
        <v>7398.733460599235</v>
      </c>
      <c r="E632" s="2" t="n">
        <v>0</v>
      </c>
      <c r="F632" s="2" t="n">
        <v>0.2796817333204429</v>
      </c>
      <c r="G632" s="2" t="n">
        <v>0.64</v>
      </c>
    </row>
    <row r="633">
      <c r="A633" s="2" t="n">
        <v>615</v>
      </c>
      <c r="B633" s="2" t="n">
        <v>17512.73346059924</v>
      </c>
      <c r="C633" s="2" t="n">
        <v>75.12733460599229</v>
      </c>
      <c r="D633" s="2" t="n">
        <v>7512.733460599235</v>
      </c>
      <c r="E633" s="2" t="n">
        <v>0</v>
      </c>
      <c r="F633" s="2" t="n">
        <v>0.269281733320443</v>
      </c>
      <c r="G633" s="2" t="n">
        <v>0.64</v>
      </c>
    </row>
    <row r="634">
      <c r="A634" s="2" t="n">
        <v>616</v>
      </c>
      <c r="B634" s="2" t="n">
        <v>17565.3650395466</v>
      </c>
      <c r="C634" s="2" t="n">
        <v>75.65365039546597</v>
      </c>
      <c r="D634" s="2" t="n">
        <v>7565.365039546603</v>
      </c>
      <c r="E634" s="2" t="n">
        <v>0</v>
      </c>
      <c r="F634" s="2" t="n">
        <v>0.2623623369273623</v>
      </c>
      <c r="G634" s="2" t="n">
        <v>0.64</v>
      </c>
    </row>
    <row r="635">
      <c r="A635" s="2" t="n">
        <v>617</v>
      </c>
      <c r="B635" s="2" t="n">
        <v>17639.43911362068</v>
      </c>
      <c r="C635" s="2" t="n">
        <v>76.39439113620672</v>
      </c>
      <c r="D635" s="2" t="n">
        <v>7639.439113620677</v>
      </c>
      <c r="E635" s="2" t="n">
        <v>0</v>
      </c>
      <c r="F635" s="2" t="n">
        <v>0.331991966556992</v>
      </c>
      <c r="G635" s="2" t="n">
        <v>0.68</v>
      </c>
    </row>
    <row r="636">
      <c r="A636" s="2" t="n">
        <v>618</v>
      </c>
      <c r="B636" s="2" t="n">
        <v>17539.43911362068</v>
      </c>
      <c r="C636" s="2" t="n">
        <v>75.39439113620672</v>
      </c>
      <c r="D636" s="2" t="n">
        <v>7539.439113620677</v>
      </c>
      <c r="E636" s="2" t="n">
        <v>-100</v>
      </c>
      <c r="F636" s="2" t="n">
        <v>0.245591966556992</v>
      </c>
      <c r="G636" s="2" t="n">
        <v>0.64</v>
      </c>
    </row>
    <row r="637">
      <c r="A637" s="2" t="n">
        <v>619</v>
      </c>
      <c r="B637" s="2" t="n">
        <v>17439.43911362068</v>
      </c>
      <c r="C637" s="2" t="n">
        <v>74.39439113620672</v>
      </c>
      <c r="D637" s="2" t="n">
        <v>7439.439113620677</v>
      </c>
      <c r="E637" s="2" t="n">
        <v>-200</v>
      </c>
      <c r="F637" s="2" t="n">
        <v>0.184086590212906</v>
      </c>
      <c r="G637" s="2" t="n">
        <v>0.6</v>
      </c>
    </row>
    <row r="638">
      <c r="A638" s="2" t="n">
        <v>620</v>
      </c>
      <c r="B638" s="2" t="n">
        <v>17530.34820452977</v>
      </c>
      <c r="C638" s="2" t="n">
        <v>75.30348204529763</v>
      </c>
      <c r="D638" s="2" t="n">
        <v>7530.348204529768</v>
      </c>
      <c r="E638" s="2" t="n">
        <v>-109.0909090909081</v>
      </c>
      <c r="F638" s="2" t="n">
        <v>0.2604502265765424</v>
      </c>
      <c r="G638" s="2" t="n">
        <v>0.64</v>
      </c>
    </row>
    <row r="639">
      <c r="A639" s="2" t="n">
        <v>621</v>
      </c>
      <c r="B639" s="2" t="n">
        <v>17430.34820452977</v>
      </c>
      <c r="C639" s="2" t="n">
        <v>74.30348204529763</v>
      </c>
      <c r="D639" s="2" t="n">
        <v>7430.348204529768</v>
      </c>
      <c r="E639" s="2" t="n">
        <v>-209.0909090909081</v>
      </c>
      <c r="F639" s="2" t="n">
        <v>0.2604502265765424</v>
      </c>
      <c r="G639" s="2" t="n">
        <v>0.64</v>
      </c>
    </row>
    <row r="640">
      <c r="A640" s="2" t="n">
        <v>622</v>
      </c>
      <c r="B640" s="2" t="n">
        <v>17330.34820452977</v>
      </c>
      <c r="C640" s="2" t="n">
        <v>73.30348204529763</v>
      </c>
      <c r="D640" s="2" t="n">
        <v>7330.348204529768</v>
      </c>
      <c r="E640" s="2" t="n">
        <v>-309.0909090909081</v>
      </c>
      <c r="F640" s="2" t="n">
        <v>0.2604502265765424</v>
      </c>
      <c r="G640" s="2" t="n">
        <v>0.64</v>
      </c>
    </row>
    <row r="641">
      <c r="A641" s="2" t="n">
        <v>623</v>
      </c>
      <c r="B641" s="2" t="n">
        <v>17435.34820452977</v>
      </c>
      <c r="C641" s="2" t="n">
        <v>74.35348204529762</v>
      </c>
      <c r="D641" s="2" t="n">
        <v>7435.348204529768</v>
      </c>
      <c r="E641" s="2" t="n">
        <v>-204.0909090909081</v>
      </c>
      <c r="F641" s="2" t="n">
        <v>0.3424502265765423</v>
      </c>
      <c r="G641" s="2" t="n">
        <v>0.68</v>
      </c>
    </row>
    <row r="642">
      <c r="A642" s="2" t="n">
        <v>624</v>
      </c>
      <c r="B642" s="2" t="n">
        <v>17520.81828999985</v>
      </c>
      <c r="C642" s="2" t="n">
        <v>75.20818289999848</v>
      </c>
      <c r="D642" s="2" t="n">
        <v>7520.818289999854</v>
      </c>
      <c r="E642" s="2" t="n">
        <v>-118.6208236208222</v>
      </c>
      <c r="F642" s="2" t="n">
        <v>0.3385430226693384</v>
      </c>
      <c r="G642" s="2" t="n">
        <v>0.68</v>
      </c>
    </row>
    <row r="643">
      <c r="A643" s="2" t="n">
        <v>625</v>
      </c>
      <c r="B643" s="2" t="n">
        <v>17420.81828999985</v>
      </c>
      <c r="C643" s="2" t="n">
        <v>74.20818289999848</v>
      </c>
      <c r="D643" s="2" t="n">
        <v>7420.818289999854</v>
      </c>
      <c r="E643" s="2" t="n">
        <v>-218.6208236208222</v>
      </c>
      <c r="F643" s="2" t="n">
        <v>0.2577430226693384</v>
      </c>
      <c r="G643" s="2" t="n">
        <v>0.64</v>
      </c>
    </row>
    <row r="644">
      <c r="A644" s="2" t="n">
        <v>626</v>
      </c>
      <c r="B644" s="2" t="n">
        <v>17320.81828999985</v>
      </c>
      <c r="C644" s="2" t="n">
        <v>73.20818289999848</v>
      </c>
      <c r="D644" s="2" t="n">
        <v>7320.818289999854</v>
      </c>
      <c r="E644" s="2" t="n">
        <v>-318.6208236208222</v>
      </c>
      <c r="F644" s="2" t="n">
        <v>0.2577430226693384</v>
      </c>
      <c r="G644" s="2" t="n">
        <v>0.64</v>
      </c>
    </row>
    <row r="645">
      <c r="A645" s="2" t="n">
        <v>627</v>
      </c>
      <c r="B645" s="2" t="n">
        <v>17220.81828999985</v>
      </c>
      <c r="C645" s="2" t="n">
        <v>72.20818289999848</v>
      </c>
      <c r="D645" s="2" t="n">
        <v>7220.818289999854</v>
      </c>
      <c r="E645" s="2" t="n">
        <v>-418.6208236208222</v>
      </c>
      <c r="F645" s="2" t="n">
        <v>0.2577430226693384</v>
      </c>
      <c r="G645" s="2" t="n">
        <v>0.64</v>
      </c>
    </row>
    <row r="646">
      <c r="A646" s="2" t="n">
        <v>628</v>
      </c>
      <c r="B646" s="2" t="n">
        <v>17311.72738090895</v>
      </c>
      <c r="C646" s="2" t="n">
        <v>73.11727380908938</v>
      </c>
      <c r="D646" s="2" t="n">
        <v>7311.727380908945</v>
      </c>
      <c r="E646" s="2" t="n">
        <v>-327.7117327117303</v>
      </c>
      <c r="F646" s="2" t="n">
        <v>0.2461066590329748</v>
      </c>
      <c r="G646" s="2" t="n">
        <v>0.64</v>
      </c>
    </row>
    <row r="647">
      <c r="A647" s="2" t="n">
        <v>629</v>
      </c>
      <c r="B647" s="2" t="n">
        <v>17211.72738090895</v>
      </c>
      <c r="C647" s="2" t="n">
        <v>72.11727380908938</v>
      </c>
      <c r="D647" s="2" t="n">
        <v>7211.727380908945</v>
      </c>
      <c r="E647" s="2" t="n">
        <v>-427.7117327117303</v>
      </c>
      <c r="F647" s="2" t="n">
        <v>0.1818642347905506</v>
      </c>
      <c r="G647" s="2" t="n">
        <v>0.6</v>
      </c>
    </row>
    <row r="648">
      <c r="A648" s="2" t="n">
        <v>630</v>
      </c>
      <c r="B648" s="2" t="n">
        <v>17111.72738090895</v>
      </c>
      <c r="C648" s="2" t="n">
        <v>71.11727380908938</v>
      </c>
      <c r="D648" s="2" t="n">
        <v>7111.727380908945</v>
      </c>
      <c r="E648" s="2" t="n">
        <v>-527.7117327117303</v>
      </c>
      <c r="F648" s="2" t="n">
        <v>0.09346423479055055</v>
      </c>
      <c r="G648" s="2" t="n">
        <v>0.5600000000000001</v>
      </c>
    </row>
    <row r="649">
      <c r="A649" s="2" t="n">
        <v>631</v>
      </c>
      <c r="B649" s="2" t="n">
        <v>17011.72738090895</v>
      </c>
      <c r="C649" s="2" t="n">
        <v>70.11727380908938</v>
      </c>
      <c r="D649" s="2" t="n">
        <v>7011.727380908945</v>
      </c>
      <c r="E649" s="2" t="n">
        <v>-627.7117327117303</v>
      </c>
      <c r="F649" s="2" t="n">
        <v>0.006664234790550543</v>
      </c>
      <c r="G649" s="2" t="n">
        <v>0.52</v>
      </c>
    </row>
    <row r="650">
      <c r="A650" s="2" t="n">
        <v>632</v>
      </c>
      <c r="B650" s="2" t="n">
        <v>17085.80145498302</v>
      </c>
      <c r="C650" s="2" t="n">
        <v>70.85801454983013</v>
      </c>
      <c r="D650" s="2" t="n">
        <v>7085.801454983019</v>
      </c>
      <c r="E650" s="2" t="n">
        <v>-553.6376586376573</v>
      </c>
      <c r="F650" s="2" t="n">
        <v>0.009627197753513511</v>
      </c>
      <c r="G650" s="2" t="n">
        <v>0.52</v>
      </c>
    </row>
    <row r="651">
      <c r="A651" s="2" t="n">
        <v>633</v>
      </c>
      <c r="B651" s="2" t="n">
        <v>17211.80145498302</v>
      </c>
      <c r="C651" s="2" t="n">
        <v>72.11801454983014</v>
      </c>
      <c r="D651" s="2" t="n">
        <v>7211.801454983019</v>
      </c>
      <c r="E651" s="2" t="n">
        <v>-427.6376586376573</v>
      </c>
      <c r="F651" s="2" t="n">
        <v>0.01802719775351351</v>
      </c>
      <c r="G651" s="2" t="n">
        <v>0.52</v>
      </c>
    </row>
    <row r="652">
      <c r="A652" s="2" t="n">
        <v>634</v>
      </c>
      <c r="B652" s="2" t="n">
        <v>17283.23002641159</v>
      </c>
      <c r="C652" s="2" t="n">
        <v>72.83230026411584</v>
      </c>
      <c r="D652" s="2" t="n">
        <v>7283.23002641159</v>
      </c>
      <c r="E652" s="2" t="n">
        <v>-356.2090872090848</v>
      </c>
      <c r="F652" s="2" t="n">
        <v>0.003398626324942082</v>
      </c>
      <c r="G652" s="2" t="n">
        <v>0.52</v>
      </c>
    </row>
    <row r="653">
      <c r="A653" s="2" t="n">
        <v>635</v>
      </c>
      <c r="B653" s="2" t="n">
        <v>17438.23002641159</v>
      </c>
      <c r="C653" s="2" t="n">
        <v>74.38230026411584</v>
      </c>
      <c r="D653" s="2" t="n">
        <v>7438.23002641159</v>
      </c>
      <c r="E653" s="2" t="n">
        <v>-201.2090872090848</v>
      </c>
      <c r="F653" s="2" t="n">
        <v>0.02539862632494207</v>
      </c>
      <c r="G653" s="2" t="n">
        <v>0.52</v>
      </c>
    </row>
    <row r="654">
      <c r="A654" s="2" t="n">
        <v>636</v>
      </c>
      <c r="B654" s="2" t="n">
        <v>17515.15310333467</v>
      </c>
      <c r="C654" s="2" t="n">
        <v>75.15153103334661</v>
      </c>
      <c r="D654" s="2" t="n">
        <v>7515.153103334667</v>
      </c>
      <c r="E654" s="2" t="n">
        <v>-124.2860102860068</v>
      </c>
      <c r="F654" s="2" t="n">
        <v>0.09616785709417285</v>
      </c>
      <c r="G654" s="2" t="n">
        <v>0.5600000000000001</v>
      </c>
    </row>
    <row r="655">
      <c r="A655" s="2" t="n">
        <v>637</v>
      </c>
      <c r="B655" s="2" t="n">
        <v>17598.486436668</v>
      </c>
      <c r="C655" s="2" t="n">
        <v>75.98486436667994</v>
      </c>
      <c r="D655" s="2" t="n">
        <v>7598.486436668</v>
      </c>
      <c r="E655" s="2" t="n">
        <v>-40.95267695267466</v>
      </c>
      <c r="F655" s="2" t="n">
        <v>0.1695011904275062</v>
      </c>
      <c r="G655" s="2" t="n">
        <v>0.6</v>
      </c>
    </row>
    <row r="656">
      <c r="A656" s="2" t="n">
        <v>638</v>
      </c>
      <c r="B656" s="2" t="n">
        <v>17733.486436668</v>
      </c>
      <c r="C656" s="2" t="n">
        <v>77.33486436667994</v>
      </c>
      <c r="D656" s="2" t="n">
        <v>7733.486436668</v>
      </c>
      <c r="E656" s="2" t="n">
        <v>0</v>
      </c>
      <c r="F656" s="2" t="n">
        <v>0.1811011904275062</v>
      </c>
      <c r="G656" s="2" t="n">
        <v>0.6</v>
      </c>
    </row>
    <row r="657">
      <c r="A657" s="2" t="n">
        <v>639</v>
      </c>
      <c r="B657" s="2" t="n">
        <v>17813.486436668</v>
      </c>
      <c r="C657" s="2" t="n">
        <v>78.13486436667993</v>
      </c>
      <c r="D657" s="2" t="n">
        <v>7813.486436668</v>
      </c>
      <c r="E657" s="2" t="n">
        <v>0</v>
      </c>
      <c r="F657" s="2" t="n">
        <v>0.1659011904275062</v>
      </c>
      <c r="G657" s="2" t="n">
        <v>0.6</v>
      </c>
    </row>
    <row r="658">
      <c r="A658" s="2" t="n">
        <v>640</v>
      </c>
      <c r="B658" s="2" t="n">
        <v>17953.486436668</v>
      </c>
      <c r="C658" s="2" t="n">
        <v>79.53486436667994</v>
      </c>
      <c r="D658" s="2" t="n">
        <v>7953.486436668</v>
      </c>
      <c r="E658" s="2" t="n">
        <v>0</v>
      </c>
      <c r="F658" s="2" t="n">
        <v>0.1763011904275062</v>
      </c>
      <c r="G658" s="2" t="n">
        <v>0.6</v>
      </c>
    </row>
    <row r="659">
      <c r="A659" s="2" t="n">
        <v>641</v>
      </c>
      <c r="B659" s="2" t="n">
        <v>18030.40951359108</v>
      </c>
      <c r="C659" s="2" t="n">
        <v>80.30409513591071</v>
      </c>
      <c r="D659" s="2" t="n">
        <v>8030.409513591077</v>
      </c>
      <c r="E659" s="2" t="n">
        <v>0</v>
      </c>
      <c r="F659" s="2" t="n">
        <v>0.1860177896177896</v>
      </c>
      <c r="G659" s="2" t="n">
        <v>0.6</v>
      </c>
    </row>
    <row r="660">
      <c r="A660" s="2" t="n">
        <v>642</v>
      </c>
      <c r="B660" s="2" t="n">
        <v>17930.40951359108</v>
      </c>
      <c r="C660" s="2" t="n">
        <v>79.30409513591071</v>
      </c>
      <c r="D660" s="2" t="n">
        <v>7930.409513591077</v>
      </c>
      <c r="E660" s="2" t="n">
        <v>-100</v>
      </c>
      <c r="F660" s="2" t="n">
        <v>0.11638815998816</v>
      </c>
      <c r="G660" s="2" t="n">
        <v>0.5600000000000001</v>
      </c>
    </row>
    <row r="661">
      <c r="A661" s="2" t="n">
        <v>643</v>
      </c>
      <c r="B661" s="2" t="n">
        <v>18021.31860450017</v>
      </c>
      <c r="C661" s="2" t="n">
        <v>80.21318604500162</v>
      </c>
      <c r="D661" s="2" t="n">
        <v>8021.318604500168</v>
      </c>
      <c r="E661" s="2" t="n">
        <v>-9.090909090908099</v>
      </c>
      <c r="F661" s="2" t="n">
        <v>0.1927517963517964</v>
      </c>
      <c r="G661" s="2" t="n">
        <v>0.6</v>
      </c>
    </row>
    <row r="662">
      <c r="A662" s="2" t="n">
        <v>644</v>
      </c>
      <c r="B662" s="2" t="n">
        <v>18126.31860450017</v>
      </c>
      <c r="C662" s="2" t="n">
        <v>81.26318604500162</v>
      </c>
      <c r="D662" s="2" t="n">
        <v>8126.318604500168</v>
      </c>
      <c r="E662" s="2" t="n">
        <v>0</v>
      </c>
      <c r="F662" s="2" t="n">
        <v>0.2747517963517964</v>
      </c>
      <c r="G662" s="2" t="n">
        <v>0.64</v>
      </c>
    </row>
    <row r="663">
      <c r="A663" s="2" t="n">
        <v>645</v>
      </c>
      <c r="B663" s="2" t="n">
        <v>18237.31860450017</v>
      </c>
      <c r="C663" s="2" t="n">
        <v>82.37318604500162</v>
      </c>
      <c r="D663" s="2" t="n">
        <v>8237.318604500169</v>
      </c>
      <c r="E663" s="2" t="n">
        <v>0</v>
      </c>
      <c r="F663" s="2" t="n">
        <v>0.28278815998816</v>
      </c>
      <c r="G663" s="2" t="n">
        <v>0.64</v>
      </c>
    </row>
    <row r="664">
      <c r="A664" s="2" t="n">
        <v>646</v>
      </c>
      <c r="B664" s="2" t="n">
        <v>18137.31860450017</v>
      </c>
      <c r="C664" s="2" t="n">
        <v>81.37318604500162</v>
      </c>
      <c r="D664" s="2" t="n">
        <v>8137.318604500169</v>
      </c>
      <c r="E664" s="2" t="n">
        <v>-100</v>
      </c>
      <c r="F664" s="2" t="n">
        <v>0.28278815998816</v>
      </c>
      <c r="G664" s="2" t="n">
        <v>0.64</v>
      </c>
    </row>
    <row r="665">
      <c r="A665" s="2" t="n">
        <v>647</v>
      </c>
      <c r="B665" s="2" t="n">
        <v>18203.98527116684</v>
      </c>
      <c r="C665" s="2" t="n">
        <v>82.03985271166829</v>
      </c>
      <c r="D665" s="2" t="n">
        <v>8203.985271166835</v>
      </c>
      <c r="E665" s="2" t="n">
        <v>-33.33333333333576</v>
      </c>
      <c r="F665" s="2" t="n">
        <v>0.3494548266548266</v>
      </c>
      <c r="G665" s="2" t="n">
        <v>0.68</v>
      </c>
    </row>
    <row r="666">
      <c r="A666" s="2" t="n">
        <v>648</v>
      </c>
      <c r="B666" s="2" t="n">
        <v>18103.98527116684</v>
      </c>
      <c r="C666" s="2" t="n">
        <v>81.03985271166829</v>
      </c>
      <c r="D666" s="2" t="n">
        <v>8103.985271166835</v>
      </c>
      <c r="E666" s="2" t="n">
        <v>-133.3333333333358</v>
      </c>
      <c r="F666" s="2" t="n">
        <v>0.2674548266548267</v>
      </c>
      <c r="G666" s="2" t="n">
        <v>0.64</v>
      </c>
    </row>
    <row r="667">
      <c r="A667" s="2" t="n">
        <v>649</v>
      </c>
      <c r="B667" s="2" t="n">
        <v>18003.98527116684</v>
      </c>
      <c r="C667" s="2" t="n">
        <v>80.03985271166829</v>
      </c>
      <c r="D667" s="2" t="n">
        <v>8003.985271166835</v>
      </c>
      <c r="E667" s="2" t="n">
        <v>-233.3333333333358</v>
      </c>
      <c r="F667" s="2" t="n">
        <v>0.1932667924667925</v>
      </c>
      <c r="G667" s="2" t="n">
        <v>0.6</v>
      </c>
    </row>
    <row r="668">
      <c r="A668" s="2" t="n">
        <v>650</v>
      </c>
      <c r="B668" s="2" t="n">
        <v>18135.98527116684</v>
      </c>
      <c r="C668" s="2" t="n">
        <v>81.35985271166828</v>
      </c>
      <c r="D668" s="2" t="n">
        <v>8135.985271166835</v>
      </c>
      <c r="E668" s="2" t="n">
        <v>-101.3333333333358</v>
      </c>
      <c r="F668" s="2" t="n">
        <v>0.2860667924667925</v>
      </c>
      <c r="G668" s="2" t="n">
        <v>0.64</v>
      </c>
    </row>
    <row r="669">
      <c r="A669" s="2" t="n">
        <v>651</v>
      </c>
      <c r="B669" s="2" t="n">
        <v>18198.87835292784</v>
      </c>
      <c r="C669" s="2" t="n">
        <v>81.98878352927835</v>
      </c>
      <c r="D669" s="2" t="n">
        <v>8198.878352927843</v>
      </c>
      <c r="E669" s="2" t="n">
        <v>-38.44025157232682</v>
      </c>
      <c r="F669" s="2" t="n">
        <v>0.3512240251711951</v>
      </c>
      <c r="G669" s="2" t="n">
        <v>0.68</v>
      </c>
    </row>
    <row r="670">
      <c r="A670" s="2" t="n">
        <v>652</v>
      </c>
      <c r="B670" s="2" t="n">
        <v>18323.87835292784</v>
      </c>
      <c r="C670" s="2" t="n">
        <v>83.23878352927835</v>
      </c>
      <c r="D670" s="2" t="n">
        <v>8323.878352927843</v>
      </c>
      <c r="E670" s="2" t="n">
        <v>0</v>
      </c>
      <c r="F670" s="2" t="n">
        <v>0.441224025171195</v>
      </c>
      <c r="G670" s="2" t="n">
        <v>0.72</v>
      </c>
    </row>
    <row r="671">
      <c r="A671" s="2" t="n">
        <v>653</v>
      </c>
      <c r="B671" s="2" t="n">
        <v>18441.87835292784</v>
      </c>
      <c r="C671" s="2" t="n">
        <v>84.41878352927836</v>
      </c>
      <c r="D671" s="2" t="n">
        <v>8441.878352927843</v>
      </c>
      <c r="E671" s="2" t="n">
        <v>0</v>
      </c>
      <c r="F671" s="2" t="n">
        <v>0.4520603888075586</v>
      </c>
      <c r="G671" s="2" t="n">
        <v>0.72</v>
      </c>
    </row>
    <row r="672">
      <c r="A672" s="2" t="n">
        <v>654</v>
      </c>
      <c r="B672" s="2" t="n">
        <v>18341.87835292784</v>
      </c>
      <c r="C672" s="2" t="n">
        <v>83.41878352927836</v>
      </c>
      <c r="D672" s="2" t="n">
        <v>8341.878352927843</v>
      </c>
      <c r="E672" s="2" t="n">
        <v>-100</v>
      </c>
      <c r="F672" s="2" t="n">
        <v>0.4520603888075586</v>
      </c>
      <c r="G672" s="2" t="n">
        <v>0.72</v>
      </c>
    </row>
    <row r="673">
      <c r="A673" s="2" t="n">
        <v>655</v>
      </c>
      <c r="B673" s="2" t="n">
        <v>18489.87835292784</v>
      </c>
      <c r="C673" s="2" t="n">
        <v>84.89878352927836</v>
      </c>
      <c r="D673" s="2" t="n">
        <v>8489.878352927843</v>
      </c>
      <c r="E673" s="2" t="n">
        <v>0</v>
      </c>
      <c r="F673" s="2" t="n">
        <v>0.5512603888075586</v>
      </c>
      <c r="G673" s="2" t="n">
        <v>0.76</v>
      </c>
    </row>
    <row r="674">
      <c r="A674" s="2" t="n">
        <v>656</v>
      </c>
      <c r="B674" s="2" t="n">
        <v>18562.87105365777</v>
      </c>
      <c r="C674" s="2" t="n">
        <v>85.62871053657763</v>
      </c>
      <c r="D674" s="2" t="n">
        <v>8562.871053657769</v>
      </c>
      <c r="E674" s="2" t="n">
        <v>0</v>
      </c>
      <c r="F674" s="2" t="n">
        <v>0.6204574690995294</v>
      </c>
      <c r="G674" s="2" t="n">
        <v>0.8</v>
      </c>
    </row>
    <row r="675">
      <c r="A675" s="2" t="n">
        <v>657</v>
      </c>
      <c r="B675" s="2" t="n">
        <v>18462.87105365777</v>
      </c>
      <c r="C675" s="2" t="n">
        <v>84.62871053657763</v>
      </c>
      <c r="D675" s="2" t="n">
        <v>8462.871053657769</v>
      </c>
      <c r="E675" s="2" t="n">
        <v>-100</v>
      </c>
      <c r="F675" s="2" t="n">
        <v>0.5508278394698998</v>
      </c>
      <c r="G675" s="2" t="n">
        <v>0.76</v>
      </c>
    </row>
    <row r="676">
      <c r="A676" s="2" t="n">
        <v>658</v>
      </c>
      <c r="B676" s="2" t="n">
        <v>18362.87105365777</v>
      </c>
      <c r="C676" s="2" t="n">
        <v>83.62871053657763</v>
      </c>
      <c r="D676" s="2" t="n">
        <v>8362.871053657769</v>
      </c>
      <c r="E676" s="2" t="n">
        <v>-200</v>
      </c>
      <c r="F676" s="2" t="n">
        <v>0.4604278394698998</v>
      </c>
      <c r="G676" s="2" t="n">
        <v>0.72</v>
      </c>
    </row>
    <row r="677">
      <c r="A677" s="2" t="n">
        <v>659</v>
      </c>
      <c r="B677" s="2" t="n">
        <v>18262.87105365777</v>
      </c>
      <c r="C677" s="2" t="n">
        <v>82.62871053657763</v>
      </c>
      <c r="D677" s="2" t="n">
        <v>8262.871053657769</v>
      </c>
      <c r="E677" s="2" t="n">
        <v>-300</v>
      </c>
      <c r="F677" s="2" t="n">
        <v>0.3918564108984712</v>
      </c>
      <c r="G677" s="2" t="n">
        <v>0.68</v>
      </c>
    </row>
    <row r="678">
      <c r="A678" s="2" t="n">
        <v>660</v>
      </c>
      <c r="B678" s="2" t="n">
        <v>18397.87105365777</v>
      </c>
      <c r="C678" s="2" t="n">
        <v>83.97871053657762</v>
      </c>
      <c r="D678" s="2" t="n">
        <v>8397.871053657769</v>
      </c>
      <c r="E678" s="2" t="n">
        <v>-165</v>
      </c>
      <c r="F678" s="2" t="n">
        <v>0.3838564108984712</v>
      </c>
      <c r="G678" s="2" t="n">
        <v>0.68</v>
      </c>
    </row>
    <row r="679">
      <c r="A679" s="2" t="n">
        <v>661</v>
      </c>
      <c r="B679" s="2" t="n">
        <v>18297.87105365777</v>
      </c>
      <c r="C679" s="2" t="n">
        <v>82.97871053657762</v>
      </c>
      <c r="D679" s="2" t="n">
        <v>8297.871053657769</v>
      </c>
      <c r="E679" s="2" t="n">
        <v>-265</v>
      </c>
      <c r="F679" s="2" t="n">
        <v>0.3130871801292405</v>
      </c>
      <c r="G679" s="2" t="n">
        <v>0.64</v>
      </c>
    </row>
    <row r="680">
      <c r="A680" s="2" t="n">
        <v>662</v>
      </c>
      <c r="B680" s="2" t="n">
        <v>18360.37105365777</v>
      </c>
      <c r="C680" s="2" t="n">
        <v>83.60371053657762</v>
      </c>
      <c r="D680" s="2" t="n">
        <v>8360.371053657769</v>
      </c>
      <c r="E680" s="2" t="n">
        <v>-202.5</v>
      </c>
      <c r="F680" s="2" t="n">
        <v>0.3047538467959071</v>
      </c>
      <c r="G680" s="2" t="n">
        <v>0.64</v>
      </c>
    </row>
    <row r="681">
      <c r="A681" s="2" t="n">
        <v>663</v>
      </c>
      <c r="B681" s="2" t="n">
        <v>18503.37105365777</v>
      </c>
      <c r="C681" s="2" t="n">
        <v>85.03371053657762</v>
      </c>
      <c r="D681" s="2" t="n">
        <v>8503.371053657769</v>
      </c>
      <c r="E681" s="2" t="n">
        <v>-59.5</v>
      </c>
      <c r="F681" s="2" t="n">
        <v>0.3079538467959071</v>
      </c>
      <c r="G681" s="2" t="n">
        <v>0.64</v>
      </c>
    </row>
    <row r="682">
      <c r="A682" s="2" t="n">
        <v>664</v>
      </c>
      <c r="B682" s="2" t="n">
        <v>18563.97711426383</v>
      </c>
      <c r="C682" s="2" t="n">
        <v>85.63977114263822</v>
      </c>
      <c r="D682" s="2" t="n">
        <v>8563.977114263829</v>
      </c>
      <c r="E682" s="2" t="n">
        <v>0</v>
      </c>
      <c r="F682" s="2" t="n">
        <v>0.3001962710383314</v>
      </c>
      <c r="G682" s="2" t="n">
        <v>0.64</v>
      </c>
    </row>
    <row r="683">
      <c r="A683" s="2" t="n">
        <v>665</v>
      </c>
      <c r="B683" s="2" t="n">
        <v>18678.97711426383</v>
      </c>
      <c r="C683" s="2" t="n">
        <v>86.78977114263823</v>
      </c>
      <c r="D683" s="2" t="n">
        <v>8678.977114263829</v>
      </c>
      <c r="E683" s="2" t="n">
        <v>0</v>
      </c>
      <c r="F683" s="2" t="n">
        <v>0.2901962710383313</v>
      </c>
      <c r="G683" s="2" t="n">
        <v>0.64</v>
      </c>
    </row>
    <row r="684">
      <c r="A684" s="2" t="n">
        <v>666</v>
      </c>
      <c r="B684" s="2" t="n">
        <v>18772.43505818906</v>
      </c>
      <c r="C684" s="2" t="n">
        <v>87.72435058189056</v>
      </c>
      <c r="D684" s="2" t="n">
        <v>8772.435058189063</v>
      </c>
      <c r="E684" s="2" t="n">
        <v>0</v>
      </c>
      <c r="F684" s="2" t="n">
        <v>0.296810217839194</v>
      </c>
      <c r="G684" s="2" t="n">
        <v>0.64</v>
      </c>
    </row>
    <row r="685">
      <c r="A685" s="2" t="n">
        <v>667</v>
      </c>
      <c r="B685" s="2" t="n">
        <v>18879.43505818906</v>
      </c>
      <c r="C685" s="2" t="n">
        <v>88.79435058189057</v>
      </c>
      <c r="D685" s="2" t="n">
        <v>8879.435058189063</v>
      </c>
      <c r="E685" s="2" t="n">
        <v>0</v>
      </c>
      <c r="F685" s="2" t="n">
        <v>0.3796102178391941</v>
      </c>
      <c r="G685" s="2" t="n">
        <v>0.68</v>
      </c>
    </row>
    <row r="686">
      <c r="A686" s="2" t="n">
        <v>668</v>
      </c>
      <c r="B686" s="2" t="n">
        <v>18932.06663713643</v>
      </c>
      <c r="C686" s="2" t="n">
        <v>89.32066637136425</v>
      </c>
      <c r="D686" s="2" t="n">
        <v>8932.066637136431</v>
      </c>
      <c r="E686" s="2" t="n">
        <v>0</v>
      </c>
      <c r="F686" s="2" t="n">
        <v>0.3642992130545051</v>
      </c>
      <c r="G686" s="2" t="n">
        <v>0.68</v>
      </c>
    </row>
    <row r="687">
      <c r="A687" s="2" t="n">
        <v>669</v>
      </c>
      <c r="B687" s="2" t="n">
        <v>19047.06663713643</v>
      </c>
      <c r="C687" s="2" t="n">
        <v>90.47066637136426</v>
      </c>
      <c r="D687" s="2" t="n">
        <v>9047.066637136431</v>
      </c>
      <c r="E687" s="2" t="n">
        <v>0</v>
      </c>
      <c r="F687" s="2" t="n">
        <v>0.368299213054505</v>
      </c>
      <c r="G687" s="2" t="n">
        <v>0.68</v>
      </c>
    </row>
    <row r="688">
      <c r="A688" s="2" t="n">
        <v>670</v>
      </c>
      <c r="B688" s="2" t="n">
        <v>19111.58276616869</v>
      </c>
      <c r="C688" s="2" t="n">
        <v>91.11582766168684</v>
      </c>
      <c r="D688" s="2" t="n">
        <v>9111.582766168689</v>
      </c>
      <c r="E688" s="2" t="n">
        <v>0</v>
      </c>
      <c r="F688" s="2" t="n">
        <v>0.3497056646674083</v>
      </c>
      <c r="G688" s="2" t="n">
        <v>0.68</v>
      </c>
    </row>
    <row r="689">
      <c r="A689" s="2" t="n">
        <v>671</v>
      </c>
      <c r="B689" s="2" t="n">
        <v>19211.58276616869</v>
      </c>
      <c r="C689" s="2" t="n">
        <v>92.11582766168684</v>
      </c>
      <c r="D689" s="2" t="n">
        <v>9211.582766168689</v>
      </c>
      <c r="E689" s="2" t="n">
        <v>0</v>
      </c>
      <c r="F689" s="2" t="n">
        <v>0.4297056646674083</v>
      </c>
      <c r="G689" s="2" t="n">
        <v>0.72</v>
      </c>
    </row>
    <row r="690">
      <c r="A690" s="2" t="n">
        <v>672</v>
      </c>
      <c r="B690" s="2" t="n">
        <v>19111.58276616869</v>
      </c>
      <c r="C690" s="2" t="n">
        <v>91.11582766168684</v>
      </c>
      <c r="D690" s="2" t="n">
        <v>9111.582766168689</v>
      </c>
      <c r="E690" s="2" t="n">
        <v>-100</v>
      </c>
      <c r="F690" s="2" t="n">
        <v>0.3630389980007416</v>
      </c>
      <c r="G690" s="2" t="n">
        <v>0.68</v>
      </c>
    </row>
    <row r="691">
      <c r="A691" s="2" t="n">
        <v>673</v>
      </c>
      <c r="B691" s="2" t="n">
        <v>19011.58276616869</v>
      </c>
      <c r="C691" s="2" t="n">
        <v>90.11582766168684</v>
      </c>
      <c r="D691" s="2" t="n">
        <v>9011.582766168689</v>
      </c>
      <c r="E691" s="2" t="n">
        <v>-200</v>
      </c>
      <c r="F691" s="2" t="n">
        <v>0.3630389980007416</v>
      </c>
      <c r="G691" s="2" t="n">
        <v>0.68</v>
      </c>
    </row>
    <row r="692">
      <c r="A692" s="2" t="n">
        <v>674</v>
      </c>
      <c r="B692" s="2" t="n">
        <v>19131.58276616869</v>
      </c>
      <c r="C692" s="2" t="n">
        <v>91.31582766168684</v>
      </c>
      <c r="D692" s="2" t="n">
        <v>9131.582766168689</v>
      </c>
      <c r="E692" s="2" t="n">
        <v>-80</v>
      </c>
      <c r="F692" s="2" t="n">
        <v>0.4510389980007416</v>
      </c>
      <c r="G692" s="2" t="n">
        <v>0.72</v>
      </c>
    </row>
    <row r="693">
      <c r="A693" s="2" t="n">
        <v>675</v>
      </c>
      <c r="B693" s="2" t="n">
        <v>19187.13832172424</v>
      </c>
      <c r="C693" s="2" t="n">
        <v>91.8713832172424</v>
      </c>
      <c r="D693" s="2" t="n">
        <v>9187.138321724244</v>
      </c>
      <c r="E693" s="2" t="n">
        <v>-24.44444444444525</v>
      </c>
      <c r="F693" s="2" t="n">
        <v>0.4204612202229638</v>
      </c>
      <c r="G693" s="2" t="n">
        <v>0.72</v>
      </c>
    </row>
    <row r="694">
      <c r="A694" s="2" t="n">
        <v>676</v>
      </c>
      <c r="B694" s="2" t="n">
        <v>19267.13832172424</v>
      </c>
      <c r="C694" s="2" t="n">
        <v>92.67138321724239</v>
      </c>
      <c r="D694" s="2" t="n">
        <v>9267.138321724244</v>
      </c>
      <c r="E694" s="2" t="n">
        <v>0</v>
      </c>
      <c r="F694" s="2" t="n">
        <v>0.4273039875185613</v>
      </c>
      <c r="G694" s="2" t="n">
        <v>0.72</v>
      </c>
    </row>
    <row r="695">
      <c r="A695" s="2" t="n">
        <v>677</v>
      </c>
      <c r="B695" s="2" t="n">
        <v>19167.13832172424</v>
      </c>
      <c r="C695" s="2" t="n">
        <v>91.67138321724239</v>
      </c>
      <c r="D695" s="2" t="n">
        <v>9167.138321724244</v>
      </c>
      <c r="E695" s="2" t="n">
        <v>-100</v>
      </c>
      <c r="F695" s="2" t="n">
        <v>0.3373039875185613</v>
      </c>
      <c r="G695" s="2" t="n">
        <v>0.68</v>
      </c>
    </row>
    <row r="696">
      <c r="A696" s="2" t="n">
        <v>678</v>
      </c>
      <c r="B696" s="2" t="n">
        <v>19275.13832172424</v>
      </c>
      <c r="C696" s="2" t="n">
        <v>92.75138321724239</v>
      </c>
      <c r="D696" s="2" t="n">
        <v>9275.138321724244</v>
      </c>
      <c r="E696" s="2" t="n">
        <v>0</v>
      </c>
      <c r="F696" s="2" t="n">
        <v>0.3333039875185613</v>
      </c>
      <c r="G696" s="2" t="n">
        <v>0.68</v>
      </c>
    </row>
    <row r="697">
      <c r="A697" s="2" t="n">
        <v>679</v>
      </c>
      <c r="B697" s="2" t="n">
        <v>19175.13832172424</v>
      </c>
      <c r="C697" s="2" t="n">
        <v>91.75138321724239</v>
      </c>
      <c r="D697" s="2" t="n">
        <v>9175.138321724244</v>
      </c>
      <c r="E697" s="2" t="n">
        <v>-100</v>
      </c>
      <c r="F697" s="2" t="n">
        <v>0.3333039875185613</v>
      </c>
      <c r="G697" s="2" t="n">
        <v>0.68</v>
      </c>
    </row>
    <row r="698">
      <c r="A698" s="2" t="n">
        <v>680</v>
      </c>
      <c r="B698" s="2" t="n">
        <v>19075.13832172424</v>
      </c>
      <c r="C698" s="2" t="n">
        <v>90.75138321724239</v>
      </c>
      <c r="D698" s="2" t="n">
        <v>9075.138321724244</v>
      </c>
      <c r="E698" s="2" t="n">
        <v>-200</v>
      </c>
      <c r="F698" s="2" t="n">
        <v>0.2341039875185613</v>
      </c>
      <c r="G698" s="2" t="n">
        <v>0.64</v>
      </c>
    </row>
    <row r="699">
      <c r="A699" s="2" t="n">
        <v>681</v>
      </c>
      <c r="B699" s="2" t="n">
        <v>19185.13832172424</v>
      </c>
      <c r="C699" s="2" t="n">
        <v>91.85138321724239</v>
      </c>
      <c r="D699" s="2" t="n">
        <v>9185.138321724244</v>
      </c>
      <c r="E699" s="2" t="n">
        <v>-90</v>
      </c>
      <c r="F699" s="2" t="n">
        <v>0.2489069072265905</v>
      </c>
      <c r="G699" s="2" t="n">
        <v>0.64</v>
      </c>
    </row>
    <row r="700">
      <c r="A700" s="2" t="n">
        <v>682</v>
      </c>
      <c r="B700" s="2" t="n">
        <v>19277.73091431684</v>
      </c>
      <c r="C700" s="2" t="n">
        <v>92.77730914316831</v>
      </c>
      <c r="D700" s="2" t="n">
        <v>9277.730914316837</v>
      </c>
      <c r="E700" s="2" t="n">
        <v>0</v>
      </c>
      <c r="F700" s="2" t="n">
        <v>0.3259439442636275</v>
      </c>
      <c r="G700" s="2" t="n">
        <v>0.68</v>
      </c>
    </row>
    <row r="701">
      <c r="A701" s="2" t="n">
        <v>683</v>
      </c>
      <c r="B701" s="2" t="n">
        <v>19177.73091431684</v>
      </c>
      <c r="C701" s="2" t="n">
        <v>91.77730914316831</v>
      </c>
      <c r="D701" s="2" t="n">
        <v>9177.730914316837</v>
      </c>
      <c r="E701" s="2" t="n">
        <v>-100</v>
      </c>
      <c r="F701" s="2" t="n">
        <v>0.3259439442636275</v>
      </c>
      <c r="G701" s="2" t="n">
        <v>0.68</v>
      </c>
    </row>
    <row r="702">
      <c r="A702" s="2" t="n">
        <v>684</v>
      </c>
      <c r="B702" s="2" t="n">
        <v>19322.73091431684</v>
      </c>
      <c r="C702" s="2" t="n">
        <v>93.22730914316831</v>
      </c>
      <c r="D702" s="2" t="n">
        <v>9322.730914316837</v>
      </c>
      <c r="E702" s="2" t="n">
        <v>0</v>
      </c>
      <c r="F702" s="2" t="n">
        <v>0.4239439442636276</v>
      </c>
      <c r="G702" s="2" t="n">
        <v>0.72</v>
      </c>
    </row>
    <row r="703">
      <c r="A703" s="2" t="n">
        <v>685</v>
      </c>
      <c r="B703" s="2" t="n">
        <v>19389.3975809835</v>
      </c>
      <c r="C703" s="2" t="n">
        <v>93.89397580983498</v>
      </c>
      <c r="D703" s="2" t="n">
        <v>9389.397580983503</v>
      </c>
      <c r="E703" s="2" t="n">
        <v>0</v>
      </c>
      <c r="F703" s="2" t="n">
        <v>0.3966106109302943</v>
      </c>
      <c r="G703" s="2" t="n">
        <v>0.72</v>
      </c>
    </row>
    <row r="704">
      <c r="A704" s="2" t="n">
        <v>686</v>
      </c>
      <c r="B704" s="2" t="n">
        <v>19289.3975809835</v>
      </c>
      <c r="C704" s="2" t="n">
        <v>92.89397580983498</v>
      </c>
      <c r="D704" s="2" t="n">
        <v>9289.397580983503</v>
      </c>
      <c r="E704" s="2" t="n">
        <v>-100</v>
      </c>
      <c r="F704" s="2" t="n">
        <v>0.3966106109302943</v>
      </c>
      <c r="G704" s="2" t="n">
        <v>0.72</v>
      </c>
    </row>
    <row r="705">
      <c r="A705" s="2" t="n">
        <v>687</v>
      </c>
      <c r="B705" s="2" t="n">
        <v>19389.3975809835</v>
      </c>
      <c r="C705" s="2" t="n">
        <v>93.89397580983498</v>
      </c>
      <c r="D705" s="2" t="n">
        <v>9389.397580983503</v>
      </c>
      <c r="E705" s="2" t="n">
        <v>0</v>
      </c>
      <c r="F705" s="2" t="n">
        <v>0.4116106109302942</v>
      </c>
      <c r="G705" s="2" t="n">
        <v>0.72</v>
      </c>
    </row>
    <row r="706">
      <c r="A706" s="2" t="n">
        <v>688</v>
      </c>
      <c r="B706" s="2" t="n">
        <v>19289.3975809835</v>
      </c>
      <c r="C706" s="2" t="n">
        <v>92.89397580983498</v>
      </c>
      <c r="D706" s="2" t="n">
        <v>9289.397580983503</v>
      </c>
      <c r="E706" s="2" t="n">
        <v>-100</v>
      </c>
      <c r="F706" s="2" t="n">
        <v>0.3144106109302943</v>
      </c>
      <c r="G706" s="2" t="n">
        <v>0.68</v>
      </c>
    </row>
    <row r="707">
      <c r="A707" s="2" t="n">
        <v>689</v>
      </c>
      <c r="B707" s="2" t="n">
        <v>19189.3975809835</v>
      </c>
      <c r="C707" s="2" t="n">
        <v>91.89397580983498</v>
      </c>
      <c r="D707" s="2" t="n">
        <v>9189.397580983503</v>
      </c>
      <c r="E707" s="2" t="n">
        <v>-200</v>
      </c>
      <c r="F707" s="2" t="n">
        <v>0.25016818668787</v>
      </c>
      <c r="G707" s="2" t="n">
        <v>0.64</v>
      </c>
    </row>
    <row r="708">
      <c r="A708" s="2" t="n">
        <v>690</v>
      </c>
      <c r="B708" s="2" t="n">
        <v>19089.3975809835</v>
      </c>
      <c r="C708" s="2" t="n">
        <v>90.89397580983498</v>
      </c>
      <c r="D708" s="2" t="n">
        <v>9089.397580983503</v>
      </c>
      <c r="E708" s="2" t="n">
        <v>-300</v>
      </c>
      <c r="F708" s="2" t="n">
        <v>0.16416818668787</v>
      </c>
      <c r="G708" s="2" t="n">
        <v>0.6</v>
      </c>
    </row>
    <row r="709">
      <c r="A709" s="2" t="n">
        <v>691</v>
      </c>
      <c r="B709" s="2" t="n">
        <v>18989.3975809835</v>
      </c>
      <c r="C709" s="2" t="n">
        <v>89.89397580983498</v>
      </c>
      <c r="D709" s="2" t="n">
        <v>8989.397580983503</v>
      </c>
      <c r="E709" s="2" t="n">
        <v>-400</v>
      </c>
      <c r="F709" s="2" t="n">
        <v>0.08678500911777653</v>
      </c>
      <c r="G709" s="2" t="n">
        <v>0.5600000000000001</v>
      </c>
    </row>
    <row r="710">
      <c r="A710" s="2" t="n">
        <v>692</v>
      </c>
      <c r="B710" s="2" t="n">
        <v>19094.3975809835</v>
      </c>
      <c r="C710" s="2" t="n">
        <v>90.94397580983498</v>
      </c>
      <c r="D710" s="2" t="n">
        <v>9094.397580983503</v>
      </c>
      <c r="E710" s="2" t="n">
        <v>-295</v>
      </c>
      <c r="F710" s="2" t="n">
        <v>0.08598500911777653</v>
      </c>
      <c r="G710" s="2" t="n">
        <v>0.5600000000000001</v>
      </c>
    </row>
    <row r="711">
      <c r="A711" s="2" t="n">
        <v>693</v>
      </c>
      <c r="B711" s="2" t="n">
        <v>19195.3975809835</v>
      </c>
      <c r="C711" s="2" t="n">
        <v>91.95397580983499</v>
      </c>
      <c r="D711" s="2" t="n">
        <v>9195.397580983503</v>
      </c>
      <c r="E711" s="2" t="n">
        <v>-194</v>
      </c>
      <c r="F711" s="2" t="n">
        <v>0.1053323775388292</v>
      </c>
      <c r="G711" s="2" t="n">
        <v>0.5600000000000001</v>
      </c>
    </row>
    <row r="712">
      <c r="A712" s="2" t="n">
        <v>694</v>
      </c>
      <c r="B712" s="2" t="n">
        <v>19095.3975809835</v>
      </c>
      <c r="C712" s="2" t="n">
        <v>90.95397580983499</v>
      </c>
      <c r="D712" s="2" t="n">
        <v>9095.397580983503</v>
      </c>
      <c r="E712" s="2" t="n">
        <v>-294</v>
      </c>
      <c r="F712" s="2" t="n">
        <v>0.01933237753882915</v>
      </c>
      <c r="G712" s="2" t="n">
        <v>0.52</v>
      </c>
    </row>
    <row r="713">
      <c r="A713" s="2" t="n">
        <v>695</v>
      </c>
      <c r="B713" s="2" t="n">
        <v>18995.3975809835</v>
      </c>
      <c r="C713" s="2" t="n">
        <v>89.95397580983499</v>
      </c>
      <c r="D713" s="2" t="n">
        <v>8995.397580983503</v>
      </c>
      <c r="E713" s="2" t="n">
        <v>-394</v>
      </c>
      <c r="F713" s="2" t="n">
        <v>-0.04647407407407407</v>
      </c>
      <c r="G713" s="2" t="n">
        <v>0.48</v>
      </c>
    </row>
    <row r="714">
      <c r="A714" s="2" t="n">
        <v>696</v>
      </c>
      <c r="B714" s="2" t="n">
        <v>19064.36309822488</v>
      </c>
      <c r="C714" s="2" t="n">
        <v>90.64363098224878</v>
      </c>
      <c r="D714" s="2" t="n">
        <v>9064.363098224881</v>
      </c>
      <c r="E714" s="2" t="n">
        <v>-325.0344827586232</v>
      </c>
      <c r="F714" s="2" t="n">
        <v>-0.05888786717752234</v>
      </c>
      <c r="G714" s="2" t="n">
        <v>0.48</v>
      </c>
    </row>
    <row r="715">
      <c r="A715" s="2" t="n">
        <v>697</v>
      </c>
      <c r="B715" s="2" t="n">
        <v>18964.36309822488</v>
      </c>
      <c r="C715" s="2" t="n">
        <v>89.64363098224878</v>
      </c>
      <c r="D715" s="2" t="n">
        <v>8964.363098224881</v>
      </c>
      <c r="E715" s="2" t="n">
        <v>-425.0344827586232</v>
      </c>
      <c r="F715" s="2" t="n">
        <v>-0.05888786717752234</v>
      </c>
      <c r="G715" s="2" t="n">
        <v>0.48</v>
      </c>
    </row>
    <row r="716">
      <c r="A716" s="2" t="n">
        <v>698</v>
      </c>
      <c r="B716" s="2" t="n">
        <v>18864.36309822488</v>
      </c>
      <c r="C716" s="2" t="n">
        <v>88.64363098224878</v>
      </c>
      <c r="D716" s="2" t="n">
        <v>8864.363098224881</v>
      </c>
      <c r="E716" s="2" t="n">
        <v>-525.0344827586232</v>
      </c>
      <c r="F716" s="2" t="n">
        <v>-0.05888786717752234</v>
      </c>
      <c r="G716" s="2" t="n">
        <v>0.48</v>
      </c>
    </row>
    <row r="717">
      <c r="A717" s="2" t="n">
        <v>699</v>
      </c>
      <c r="B717" s="2" t="n">
        <v>18764.36309822488</v>
      </c>
      <c r="C717" s="2" t="n">
        <v>87.64363098224878</v>
      </c>
      <c r="D717" s="2" t="n">
        <v>8764.363098224881</v>
      </c>
      <c r="E717" s="2" t="n">
        <v>-625.0344827586232</v>
      </c>
      <c r="F717" s="2" t="n">
        <v>-0.1468878671775223</v>
      </c>
      <c r="G717" s="2" t="n">
        <v>0.44</v>
      </c>
    </row>
    <row r="718">
      <c r="A718" s="2" t="n">
        <v>700</v>
      </c>
      <c r="B718" s="2" t="n">
        <v>18879.36309822488</v>
      </c>
      <c r="C718" s="2" t="n">
        <v>88.79363098224879</v>
      </c>
      <c r="D718" s="2" t="n">
        <v>8879.363098224881</v>
      </c>
      <c r="E718" s="2" t="n">
        <v>-510.0344827586232</v>
      </c>
      <c r="F718" s="2" t="n">
        <v>-0.1231100893997446</v>
      </c>
      <c r="G718" s="2" t="n">
        <v>0.44</v>
      </c>
    </row>
    <row r="719">
      <c r="A719" s="2" t="n">
        <v>701</v>
      </c>
      <c r="B719" s="2" t="n">
        <v>18779.36309822488</v>
      </c>
      <c r="C719" s="2" t="n">
        <v>87.79363098224879</v>
      </c>
      <c r="D719" s="2" t="n">
        <v>8779.363098224881</v>
      </c>
      <c r="E719" s="2" t="n">
        <v>-610.0344827586232</v>
      </c>
      <c r="F719" s="2" t="n">
        <v>-0.1951100893997446</v>
      </c>
      <c r="G719" s="2" t="n">
        <v>0.4</v>
      </c>
    </row>
    <row r="720">
      <c r="A720" s="2" t="n">
        <v>702</v>
      </c>
      <c r="B720" s="2" t="n">
        <v>18909.36309822488</v>
      </c>
      <c r="C720" s="2" t="n">
        <v>89.09363098224878</v>
      </c>
      <c r="D720" s="2" t="n">
        <v>8909.363098224881</v>
      </c>
      <c r="E720" s="2" t="n">
        <v>-480.0344827586232</v>
      </c>
      <c r="F720" s="2" t="n">
        <v>-0.1031100893997446</v>
      </c>
      <c r="G720" s="2" t="n">
        <v>0.44</v>
      </c>
    </row>
    <row r="721">
      <c r="A721" s="2" t="n">
        <v>703</v>
      </c>
      <c r="B721" s="2" t="n">
        <v>18809.36309822488</v>
      </c>
      <c r="C721" s="2" t="n">
        <v>88.09363098224878</v>
      </c>
      <c r="D721" s="2" t="n">
        <v>8809.363098224881</v>
      </c>
      <c r="E721" s="2" t="n">
        <v>-580.0344827586232</v>
      </c>
      <c r="F721" s="2" t="n">
        <v>-0.1863100893997446</v>
      </c>
      <c r="G721" s="2" t="n">
        <v>0.4</v>
      </c>
    </row>
    <row r="722">
      <c r="A722" s="2" t="n">
        <v>704</v>
      </c>
      <c r="B722" s="2" t="n">
        <v>18709.36309822488</v>
      </c>
      <c r="C722" s="2" t="n">
        <v>87.09363098224878</v>
      </c>
      <c r="D722" s="2" t="n">
        <v>8709.363098224881</v>
      </c>
      <c r="E722" s="2" t="n">
        <v>-680.0344827586232</v>
      </c>
      <c r="F722" s="2" t="n">
        <v>-0.1863100893997446</v>
      </c>
      <c r="G722" s="2" t="n">
        <v>0.4</v>
      </c>
    </row>
    <row r="723">
      <c r="A723" s="2" t="n">
        <v>705</v>
      </c>
      <c r="B723" s="2" t="n">
        <v>18819.36309822488</v>
      </c>
      <c r="C723" s="2" t="n">
        <v>88.19363098224878</v>
      </c>
      <c r="D723" s="2" t="n">
        <v>8819.363098224881</v>
      </c>
      <c r="E723" s="2" t="n">
        <v>-570.0344827586232</v>
      </c>
      <c r="F723" s="2" t="n">
        <v>-0.1023100893997446</v>
      </c>
      <c r="G723" s="2" t="n">
        <v>0.44</v>
      </c>
    </row>
    <row r="724">
      <c r="A724" s="2" t="n">
        <v>706</v>
      </c>
      <c r="B724" s="2" t="n">
        <v>18719.36309822488</v>
      </c>
      <c r="C724" s="2" t="n">
        <v>87.19363098224878</v>
      </c>
      <c r="D724" s="2" t="n">
        <v>8719.363098224881</v>
      </c>
      <c r="E724" s="2" t="n">
        <v>-670.0344827586232</v>
      </c>
      <c r="F724" s="2" t="n">
        <v>-0.1863100893997446</v>
      </c>
      <c r="G724" s="2" t="n">
        <v>0.4</v>
      </c>
    </row>
    <row r="725">
      <c r="A725" s="2" t="n">
        <v>707</v>
      </c>
      <c r="B725" s="2" t="n">
        <v>18619.36309822488</v>
      </c>
      <c r="C725" s="2" t="n">
        <v>86.19363098224878</v>
      </c>
      <c r="D725" s="2" t="n">
        <v>8619.363098224881</v>
      </c>
      <c r="E725" s="2" t="n">
        <v>-770.0344827586232</v>
      </c>
      <c r="F725" s="2" t="n">
        <v>-0.2633471264367816</v>
      </c>
      <c r="G725" s="2" t="n">
        <v>0.36</v>
      </c>
    </row>
    <row r="726">
      <c r="A726" s="2" t="n">
        <v>708</v>
      </c>
      <c r="B726" s="2" t="n">
        <v>18519.36309822488</v>
      </c>
      <c r="C726" s="2" t="n">
        <v>85.19363098224878</v>
      </c>
      <c r="D726" s="2" t="n">
        <v>8519.363098224881</v>
      </c>
      <c r="E726" s="2" t="n">
        <v>-870.0344827586232</v>
      </c>
      <c r="F726" s="2" t="n">
        <v>-0.2633471264367816</v>
      </c>
      <c r="G726" s="2" t="n">
        <v>0.36</v>
      </c>
    </row>
    <row r="727">
      <c r="A727" s="2" t="n">
        <v>709</v>
      </c>
      <c r="B727" s="2" t="n">
        <v>18584.72257534906</v>
      </c>
      <c r="C727" s="2" t="n">
        <v>85.8472257534906</v>
      </c>
      <c r="D727" s="2" t="n">
        <v>8584.722575349064</v>
      </c>
      <c r="E727" s="2" t="n">
        <v>-804.675005634439</v>
      </c>
      <c r="F727" s="2" t="n">
        <v>-0.2952033355871084</v>
      </c>
      <c r="G727" s="2" t="n">
        <v>0.36</v>
      </c>
    </row>
    <row r="728">
      <c r="A728" s="2" t="n">
        <v>710</v>
      </c>
      <c r="B728" s="2" t="n">
        <v>18658.79664942314</v>
      </c>
      <c r="C728" s="2" t="n">
        <v>86.58796649423135</v>
      </c>
      <c r="D728" s="2" t="n">
        <v>8658.796649423139</v>
      </c>
      <c r="E728" s="2" t="n">
        <v>-730.600931560366</v>
      </c>
      <c r="F728" s="2" t="n">
        <v>-0.2922403726241455</v>
      </c>
      <c r="G728" s="2" t="n">
        <v>0.36</v>
      </c>
    </row>
    <row r="729">
      <c r="A729" s="2" t="n">
        <v>711</v>
      </c>
      <c r="B729" s="2" t="n">
        <v>18784.79664942314</v>
      </c>
      <c r="C729" s="2" t="n">
        <v>87.84796649423136</v>
      </c>
      <c r="D729" s="2" t="n">
        <v>8784.796649423139</v>
      </c>
      <c r="E729" s="2" t="n">
        <v>-604.600931560366</v>
      </c>
      <c r="F729" s="2" t="n">
        <v>-0.2018403726241455</v>
      </c>
      <c r="G729" s="2" t="n">
        <v>0.4</v>
      </c>
    </row>
    <row r="730">
      <c r="A730" s="2" t="n">
        <v>712</v>
      </c>
      <c r="B730" s="2" t="n">
        <v>18684.79664942314</v>
      </c>
      <c r="C730" s="2" t="n">
        <v>86.84796649423136</v>
      </c>
      <c r="D730" s="2" t="n">
        <v>8684.796649423139</v>
      </c>
      <c r="E730" s="2" t="n">
        <v>-704.600931560366</v>
      </c>
      <c r="F730" s="2" t="n">
        <v>-0.2818403726241455</v>
      </c>
      <c r="G730" s="2" t="n">
        <v>0.36</v>
      </c>
    </row>
    <row r="731">
      <c r="A731" s="2" t="n">
        <v>713</v>
      </c>
      <c r="B731" s="2" t="n">
        <v>18584.79664942314</v>
      </c>
      <c r="C731" s="2" t="n">
        <v>85.84796649423136</v>
      </c>
      <c r="D731" s="2" t="n">
        <v>8584.796649423139</v>
      </c>
      <c r="E731" s="2" t="n">
        <v>-804.600931560366</v>
      </c>
      <c r="F731" s="2" t="n">
        <v>-0.2818403726241455</v>
      </c>
      <c r="G731" s="2" t="n">
        <v>0.36</v>
      </c>
    </row>
    <row r="732">
      <c r="A732" s="2" t="n">
        <v>714</v>
      </c>
      <c r="B732" s="2" t="n">
        <v>18484.79664942314</v>
      </c>
      <c r="C732" s="2" t="n">
        <v>84.84796649423136</v>
      </c>
      <c r="D732" s="2" t="n">
        <v>8484.796649423139</v>
      </c>
      <c r="E732" s="2" t="n">
        <v>-904.600931560366</v>
      </c>
      <c r="F732" s="2" t="n">
        <v>-0.2818403726241455</v>
      </c>
      <c r="G732" s="2" t="n">
        <v>0.36</v>
      </c>
    </row>
    <row r="733">
      <c r="A733" s="2" t="n">
        <v>715</v>
      </c>
      <c r="B733" s="2" t="n">
        <v>18624.79664942314</v>
      </c>
      <c r="C733" s="2" t="n">
        <v>86.24796649423136</v>
      </c>
      <c r="D733" s="2" t="n">
        <v>8624.796649423139</v>
      </c>
      <c r="E733" s="2" t="n">
        <v>-764.600931560366</v>
      </c>
      <c r="F733" s="2" t="n">
        <v>-0.1858403726241455</v>
      </c>
      <c r="G733" s="2" t="n">
        <v>0.4</v>
      </c>
    </row>
    <row r="734">
      <c r="A734" s="2" t="n">
        <v>716</v>
      </c>
      <c r="B734" s="2" t="n">
        <v>18694.72671935321</v>
      </c>
      <c r="C734" s="2" t="n">
        <v>86.94726719353206</v>
      </c>
      <c r="D734" s="2" t="n">
        <v>8694.726719353208</v>
      </c>
      <c r="E734" s="2" t="n">
        <v>-694.6708616302931</v>
      </c>
      <c r="F734" s="2" t="n">
        <v>-0.1178683446521175</v>
      </c>
      <c r="G734" s="2" t="n">
        <v>0.44</v>
      </c>
    </row>
    <row r="735">
      <c r="A735" s="2" t="n">
        <v>717</v>
      </c>
      <c r="B735" s="2" t="n">
        <v>18594.72671935321</v>
      </c>
      <c r="C735" s="2" t="n">
        <v>85.94726719353206</v>
      </c>
      <c r="D735" s="2" t="n">
        <v>8594.726719353208</v>
      </c>
      <c r="E735" s="2" t="n">
        <v>-794.6708616302931</v>
      </c>
      <c r="F735" s="2" t="n">
        <v>-0.1998683446521175</v>
      </c>
      <c r="G735" s="2" t="n">
        <v>0.4</v>
      </c>
    </row>
    <row r="736">
      <c r="A736" s="2" t="n">
        <v>718</v>
      </c>
      <c r="B736" s="2" t="n">
        <v>18668.80079342728</v>
      </c>
      <c r="C736" s="2" t="n">
        <v>86.6880079342728</v>
      </c>
      <c r="D736" s="2" t="n">
        <v>8668.800793427283</v>
      </c>
      <c r="E736" s="2" t="n">
        <v>-720.5967875562201</v>
      </c>
      <c r="F736" s="2" t="n">
        <v>-0.2106387150224879</v>
      </c>
      <c r="G736" s="2" t="n">
        <v>0.4</v>
      </c>
    </row>
    <row r="737">
      <c r="A737" s="2" t="n">
        <v>719</v>
      </c>
      <c r="B737" s="2" t="n">
        <v>18568.80079342728</v>
      </c>
      <c r="C737" s="2" t="n">
        <v>85.6880079342728</v>
      </c>
      <c r="D737" s="2" t="n">
        <v>8568.800793427283</v>
      </c>
      <c r="E737" s="2" t="n">
        <v>-820.5967875562201</v>
      </c>
      <c r="F737" s="2" t="n">
        <v>-0.2106387150224879</v>
      </c>
      <c r="G737" s="2" t="n">
        <v>0.4</v>
      </c>
    </row>
    <row r="738">
      <c r="A738" s="2" t="n">
        <v>720</v>
      </c>
      <c r="B738" s="2" t="n">
        <v>18686.80079342728</v>
      </c>
      <c r="C738" s="2" t="n">
        <v>86.86800793427281</v>
      </c>
      <c r="D738" s="2" t="n">
        <v>8686.800793427283</v>
      </c>
      <c r="E738" s="2" t="n">
        <v>-702.5967875562201</v>
      </c>
      <c r="F738" s="2" t="n">
        <v>-0.1234387150224879</v>
      </c>
      <c r="G738" s="2" t="n">
        <v>0.44</v>
      </c>
    </row>
    <row r="739">
      <c r="A739" s="2" t="n">
        <v>721</v>
      </c>
      <c r="B739" s="2" t="n">
        <v>18760.87486750136</v>
      </c>
      <c r="C739" s="2" t="n">
        <v>87.60874867501356</v>
      </c>
      <c r="D739" s="2" t="n">
        <v>8760.874867501358</v>
      </c>
      <c r="E739" s="2" t="n">
        <v>-628.5227134821471</v>
      </c>
      <c r="F739" s="2" t="n">
        <v>-0.12139529228941</v>
      </c>
      <c r="G739" s="2" t="n">
        <v>0.44</v>
      </c>
    </row>
    <row r="740">
      <c r="A740" s="2" t="n">
        <v>722</v>
      </c>
      <c r="B740" s="2" t="n">
        <v>18660.87486750136</v>
      </c>
      <c r="C740" s="2" t="n">
        <v>86.60874867501356</v>
      </c>
      <c r="D740" s="2" t="n">
        <v>8660.874867501358</v>
      </c>
      <c r="E740" s="2" t="n">
        <v>-728.5227134821471</v>
      </c>
      <c r="F740" s="2" t="n">
        <v>-0.12139529228941</v>
      </c>
      <c r="G740" s="2" t="n">
        <v>0.44</v>
      </c>
    </row>
    <row r="741">
      <c r="A741" s="2" t="n">
        <v>723</v>
      </c>
      <c r="B741" s="2" t="n">
        <v>18560.87486750136</v>
      </c>
      <c r="C741" s="2" t="n">
        <v>85.60874867501356</v>
      </c>
      <c r="D741" s="2" t="n">
        <v>8560.874867501358</v>
      </c>
      <c r="E741" s="2" t="n">
        <v>-828.5227134821471</v>
      </c>
      <c r="F741" s="2" t="n">
        <v>-0.12139529228941</v>
      </c>
      <c r="G741" s="2" t="n">
        <v>0.44</v>
      </c>
    </row>
    <row r="742">
      <c r="A742" s="2" t="n">
        <v>724</v>
      </c>
      <c r="B742" s="2" t="n">
        <v>18460.87486750136</v>
      </c>
      <c r="C742" s="2" t="n">
        <v>84.60874867501356</v>
      </c>
      <c r="D742" s="2" t="n">
        <v>8460.874867501358</v>
      </c>
      <c r="E742" s="2" t="n">
        <v>-928.5227134821471</v>
      </c>
      <c r="F742" s="2" t="n">
        <v>-0.12139529228941</v>
      </c>
      <c r="G742" s="2" t="n">
        <v>0.44</v>
      </c>
    </row>
    <row r="743">
      <c r="A743" s="2" t="n">
        <v>725</v>
      </c>
      <c r="B743" s="2" t="n">
        <v>18529.36801818629</v>
      </c>
      <c r="C743" s="2" t="n">
        <v>85.29368018186287</v>
      </c>
      <c r="D743" s="2" t="n">
        <v>8529.368018186289</v>
      </c>
      <c r="E743" s="2" t="n">
        <v>-860.0295627972155</v>
      </c>
      <c r="F743" s="2" t="n">
        <v>-0.1399980320154373</v>
      </c>
      <c r="G743" s="2" t="n">
        <v>0.44</v>
      </c>
    </row>
    <row r="744">
      <c r="A744" s="2" t="n">
        <v>726</v>
      </c>
      <c r="B744" s="2" t="n">
        <v>18600.29000400189</v>
      </c>
      <c r="C744" s="2" t="n">
        <v>86.0029000400189</v>
      </c>
      <c r="D744" s="2" t="n">
        <v>8600.290004001892</v>
      </c>
      <c r="E744" s="2" t="n">
        <v>-789.1075769816089</v>
      </c>
      <c r="F744" s="2" t="n">
        <v>-0.07162923768919623</v>
      </c>
      <c r="G744" s="2" t="n">
        <v>0.48</v>
      </c>
    </row>
    <row r="745">
      <c r="A745" s="2" t="n">
        <v>727</v>
      </c>
      <c r="B745" s="2" t="n">
        <v>18500.29000400189</v>
      </c>
      <c r="C745" s="2" t="n">
        <v>85.0029000400189</v>
      </c>
      <c r="D745" s="2" t="n">
        <v>8500.290004001892</v>
      </c>
      <c r="E745" s="2" t="n">
        <v>-889.1075769816089</v>
      </c>
      <c r="F745" s="2" t="n">
        <v>-0.1636292376891962</v>
      </c>
      <c r="G745" s="2" t="n">
        <v>0.44</v>
      </c>
    </row>
    <row r="746">
      <c r="A746" s="2" t="n">
        <v>728</v>
      </c>
      <c r="B746" s="2" t="n">
        <v>18400.29000400189</v>
      </c>
      <c r="C746" s="2" t="n">
        <v>84.0029000400189</v>
      </c>
      <c r="D746" s="2" t="n">
        <v>8400.290004001892</v>
      </c>
      <c r="E746" s="2" t="n">
        <v>-989.1075769816089</v>
      </c>
      <c r="F746" s="2" t="n">
        <v>-0.1636292376891962</v>
      </c>
      <c r="G746" s="2" t="n">
        <v>0.44</v>
      </c>
    </row>
    <row r="747">
      <c r="A747" s="2" t="n">
        <v>729</v>
      </c>
      <c r="B747" s="2" t="n">
        <v>18300.29000400189</v>
      </c>
      <c r="C747" s="2" t="n">
        <v>83.0029000400189</v>
      </c>
      <c r="D747" s="2" t="n">
        <v>8300.290004001892</v>
      </c>
      <c r="E747" s="2" t="n">
        <v>-1089.107576981609</v>
      </c>
      <c r="F747" s="2" t="n">
        <v>-0.1636292376891962</v>
      </c>
      <c r="G747" s="2" t="n">
        <v>0.44</v>
      </c>
    </row>
    <row r="748">
      <c r="A748" s="2" t="n">
        <v>730</v>
      </c>
      <c r="B748" s="2" t="n">
        <v>18425.29000400189</v>
      </c>
      <c r="C748" s="2" t="n">
        <v>84.2529000400189</v>
      </c>
      <c r="D748" s="2" t="n">
        <v>8425.290004001892</v>
      </c>
      <c r="E748" s="2" t="n">
        <v>-964.1075769816089</v>
      </c>
      <c r="F748" s="2" t="n">
        <v>-0.1576292376891962</v>
      </c>
      <c r="G748" s="2" t="n">
        <v>0.44</v>
      </c>
    </row>
    <row r="749">
      <c r="A749" s="2" t="n">
        <v>731</v>
      </c>
      <c r="B749" s="2" t="n">
        <v>18497.23245004506</v>
      </c>
      <c r="C749" s="2" t="n">
        <v>84.97232450045055</v>
      </c>
      <c r="D749" s="2" t="n">
        <v>8497.232450045058</v>
      </c>
      <c r="E749" s="2" t="n">
        <v>-892.165130938447</v>
      </c>
      <c r="F749" s="2" t="n">
        <v>-0.08885225927193005</v>
      </c>
      <c r="G749" s="2" t="n">
        <v>0.48</v>
      </c>
    </row>
    <row r="750">
      <c r="A750" s="2" t="n">
        <v>732</v>
      </c>
      <c r="B750" s="2" t="n">
        <v>18602.23245004506</v>
      </c>
      <c r="C750" s="2" t="n">
        <v>86.02232450045055</v>
      </c>
      <c r="D750" s="2" t="n">
        <v>8602.232450045058</v>
      </c>
      <c r="E750" s="2" t="n">
        <v>-787.165130938447</v>
      </c>
      <c r="F750" s="2" t="n">
        <v>-0.00685225927193005</v>
      </c>
      <c r="G750" s="2" t="n">
        <v>0.52</v>
      </c>
    </row>
    <row r="751">
      <c r="A751" s="2" t="n">
        <v>733</v>
      </c>
      <c r="B751" s="2" t="n">
        <v>18727.23245004506</v>
      </c>
      <c r="C751" s="2" t="n">
        <v>87.27232450045055</v>
      </c>
      <c r="D751" s="2" t="n">
        <v>8727.232450045058</v>
      </c>
      <c r="E751" s="2" t="n">
        <v>-662.165130938447</v>
      </c>
      <c r="F751" s="2" t="n">
        <v>0.08314774072806994</v>
      </c>
      <c r="G751" s="2" t="n">
        <v>0.5600000000000001</v>
      </c>
    </row>
    <row r="752">
      <c r="A752" s="2" t="n">
        <v>734</v>
      </c>
      <c r="B752" s="2" t="n">
        <v>18789.73245004506</v>
      </c>
      <c r="C752" s="2" t="n">
        <v>87.89732450045055</v>
      </c>
      <c r="D752" s="2" t="n">
        <v>8789.732450045058</v>
      </c>
      <c r="E752" s="2" t="n">
        <v>-599.665130938447</v>
      </c>
      <c r="F752" s="2" t="n">
        <v>0.08200394987839676</v>
      </c>
      <c r="G752" s="2" t="n">
        <v>0.5600000000000001</v>
      </c>
    </row>
    <row r="753">
      <c r="A753" s="2" t="n">
        <v>735</v>
      </c>
      <c r="B753" s="2" t="n">
        <v>18689.73245004506</v>
      </c>
      <c r="C753" s="2" t="n">
        <v>86.89732450045055</v>
      </c>
      <c r="D753" s="2" t="n">
        <v>8689.732450045058</v>
      </c>
      <c r="E753" s="2" t="n">
        <v>-699.665130938447</v>
      </c>
      <c r="F753" s="2" t="n">
        <v>0.01237432024876712</v>
      </c>
      <c r="G753" s="2" t="n">
        <v>0.52</v>
      </c>
    </row>
    <row r="754">
      <c r="A754" s="2" t="n">
        <v>736</v>
      </c>
      <c r="B754" s="2" t="n">
        <v>18799.73245004506</v>
      </c>
      <c r="C754" s="2" t="n">
        <v>87.99732450045055</v>
      </c>
      <c r="D754" s="2" t="n">
        <v>8799.732450045058</v>
      </c>
      <c r="E754" s="2" t="n">
        <v>-589.665130938447</v>
      </c>
      <c r="F754" s="2" t="n">
        <v>0.005974320248767135</v>
      </c>
      <c r="G754" s="2" t="n">
        <v>0.52</v>
      </c>
    </row>
    <row r="755">
      <c r="A755" s="2" t="n">
        <v>737</v>
      </c>
      <c r="B755" s="2" t="n">
        <v>18886.68897178419</v>
      </c>
      <c r="C755" s="2" t="n">
        <v>88.86688971784184</v>
      </c>
      <c r="D755" s="2" t="n">
        <v>8886.688971784188</v>
      </c>
      <c r="E755" s="2" t="n">
        <v>-502.7086091993151</v>
      </c>
      <c r="F755" s="2" t="n">
        <v>0.0807569289444193</v>
      </c>
      <c r="G755" s="2" t="n">
        <v>0.5600000000000001</v>
      </c>
    </row>
    <row r="756">
      <c r="A756" s="2" t="n">
        <v>738</v>
      </c>
      <c r="B756" s="2" t="n">
        <v>19006.68897178419</v>
      </c>
      <c r="C756" s="2" t="n">
        <v>90.06688971784185</v>
      </c>
      <c r="D756" s="2" t="n">
        <v>9006.688971784188</v>
      </c>
      <c r="E756" s="2" t="n">
        <v>-382.7086091993151</v>
      </c>
      <c r="F756" s="2" t="n">
        <v>0.1687569289444193</v>
      </c>
      <c r="G756" s="2" t="n">
        <v>0.6</v>
      </c>
    </row>
    <row r="757">
      <c r="A757" s="2" t="n">
        <v>739</v>
      </c>
      <c r="B757" s="2" t="n">
        <v>19071.20510081645</v>
      </c>
      <c r="C757" s="2" t="n">
        <v>90.71205100816442</v>
      </c>
      <c r="D757" s="2" t="n">
        <v>9071.205100816445</v>
      </c>
      <c r="E757" s="2" t="n">
        <v>-318.1924801670575</v>
      </c>
      <c r="F757" s="2" t="n">
        <v>0.2345633805573225</v>
      </c>
      <c r="G757" s="2" t="n">
        <v>0.64</v>
      </c>
    </row>
    <row r="758">
      <c r="A758" s="2" t="n">
        <v>740</v>
      </c>
      <c r="B758" s="2" t="n">
        <v>18971.20510081645</v>
      </c>
      <c r="C758" s="2" t="n">
        <v>89.71205100816442</v>
      </c>
      <c r="D758" s="2" t="n">
        <v>8971.205100816445</v>
      </c>
      <c r="E758" s="2" t="n">
        <v>-418.1924801670575</v>
      </c>
      <c r="F758" s="2" t="n">
        <v>0.1385633805573225</v>
      </c>
      <c r="G758" s="2" t="n">
        <v>0.6</v>
      </c>
    </row>
    <row r="759">
      <c r="A759" s="2" t="n">
        <v>741</v>
      </c>
      <c r="B759" s="2" t="n">
        <v>18871.20510081645</v>
      </c>
      <c r="C759" s="2" t="n">
        <v>88.71205100816442</v>
      </c>
      <c r="D759" s="2" t="n">
        <v>8871.205100816445</v>
      </c>
      <c r="E759" s="2" t="n">
        <v>-518.1924801670575</v>
      </c>
      <c r="F759" s="2" t="n">
        <v>0.07059135258529457</v>
      </c>
      <c r="G759" s="2" t="n">
        <v>0.5600000000000001</v>
      </c>
    </row>
    <row r="760">
      <c r="A760" s="2" t="n">
        <v>742</v>
      </c>
      <c r="B760" s="2" t="n">
        <v>18986.20510081645</v>
      </c>
      <c r="C760" s="2" t="n">
        <v>89.86205100816443</v>
      </c>
      <c r="D760" s="2" t="n">
        <v>8986.205100816445</v>
      </c>
      <c r="E760" s="2" t="n">
        <v>-403.1924801670575</v>
      </c>
      <c r="F760" s="2" t="n">
        <v>0.1565913525852946</v>
      </c>
      <c r="G760" s="2" t="n">
        <v>0.6</v>
      </c>
    </row>
    <row r="761">
      <c r="A761" s="2" t="n">
        <v>743</v>
      </c>
      <c r="B761" s="2" t="n">
        <v>19077.11419172554</v>
      </c>
      <c r="C761" s="2" t="n">
        <v>90.77114191725533</v>
      </c>
      <c r="D761" s="2" t="n">
        <v>9077.114191725535</v>
      </c>
      <c r="E761" s="2" t="n">
        <v>-312.2833892579656</v>
      </c>
      <c r="F761" s="2" t="n">
        <v>0.1633253593193013</v>
      </c>
      <c r="G761" s="2" t="n">
        <v>0.6</v>
      </c>
    </row>
    <row r="762">
      <c r="A762" s="2" t="n">
        <v>744</v>
      </c>
      <c r="B762" s="2" t="n">
        <v>18977.11419172554</v>
      </c>
      <c r="C762" s="2" t="n">
        <v>89.77114191725533</v>
      </c>
      <c r="D762" s="2" t="n">
        <v>8977.114191725535</v>
      </c>
      <c r="E762" s="2" t="n">
        <v>-412.2833892579656</v>
      </c>
      <c r="F762" s="2" t="n">
        <v>0.1633253593193013</v>
      </c>
      <c r="G762" s="2" t="n">
        <v>0.6</v>
      </c>
    </row>
    <row r="763">
      <c r="A763" s="2" t="n">
        <v>745</v>
      </c>
      <c r="B763" s="2" t="n">
        <v>19117.11419172554</v>
      </c>
      <c r="C763" s="2" t="n">
        <v>91.17114191725534</v>
      </c>
      <c r="D763" s="2" t="n">
        <v>9117.114191725535</v>
      </c>
      <c r="E763" s="2" t="n">
        <v>-272.2833892579656</v>
      </c>
      <c r="F763" s="2" t="n">
        <v>0.1721253593193013</v>
      </c>
      <c r="G763" s="2" t="n">
        <v>0.6</v>
      </c>
    </row>
    <row r="764">
      <c r="A764" s="2" t="n">
        <v>746</v>
      </c>
      <c r="B764" s="2" t="n">
        <v>19185.14140260989</v>
      </c>
      <c r="C764" s="2" t="n">
        <v>91.85141402609888</v>
      </c>
      <c r="D764" s="2" t="n">
        <v>9185.14140260989</v>
      </c>
      <c r="E764" s="2" t="n">
        <v>-204.2561783736128</v>
      </c>
      <c r="F764" s="2" t="n">
        <v>0.1697066140434132</v>
      </c>
      <c r="G764" s="2" t="n">
        <v>0.6</v>
      </c>
    </row>
    <row r="765">
      <c r="A765" s="2" t="n">
        <v>747</v>
      </c>
      <c r="B765" s="2" t="n">
        <v>19085.14140260989</v>
      </c>
      <c r="C765" s="2" t="n">
        <v>90.85141402609888</v>
      </c>
      <c r="D765" s="2" t="n">
        <v>9085.14140260989</v>
      </c>
      <c r="E765" s="2" t="n">
        <v>-304.2561783736128</v>
      </c>
      <c r="F765" s="2" t="n">
        <v>0.1697066140434132</v>
      </c>
      <c r="G765" s="2" t="n">
        <v>0.6</v>
      </c>
    </row>
    <row r="766">
      <c r="A766" s="2" t="n">
        <v>748</v>
      </c>
      <c r="B766" s="2" t="n">
        <v>19195.14140260989</v>
      </c>
      <c r="C766" s="2" t="n">
        <v>91.95141402609887</v>
      </c>
      <c r="D766" s="2" t="n">
        <v>9195.14140260989</v>
      </c>
      <c r="E766" s="2" t="n">
        <v>-194.2561783736128</v>
      </c>
      <c r="F766" s="2" t="n">
        <v>0.2537066140434132</v>
      </c>
      <c r="G766" s="2" t="n">
        <v>0.64</v>
      </c>
    </row>
    <row r="767">
      <c r="A767" s="2" t="n">
        <v>749</v>
      </c>
      <c r="B767" s="2" t="n">
        <v>19095.14140260989</v>
      </c>
      <c r="C767" s="2" t="n">
        <v>90.95141402609887</v>
      </c>
      <c r="D767" s="2" t="n">
        <v>9095.14140260989</v>
      </c>
      <c r="E767" s="2" t="n">
        <v>-294.2561783736128</v>
      </c>
      <c r="F767" s="2" t="n">
        <v>0.2537066140434132</v>
      </c>
      <c r="G767" s="2" t="n">
        <v>0.64</v>
      </c>
    </row>
    <row r="768">
      <c r="A768" s="2" t="n">
        <v>750</v>
      </c>
      <c r="B768" s="2" t="n">
        <v>19220.14140260989</v>
      </c>
      <c r="C768" s="2" t="n">
        <v>92.20141402609887</v>
      </c>
      <c r="D768" s="2" t="n">
        <v>9220.14140260989</v>
      </c>
      <c r="E768" s="2" t="n">
        <v>-169.2561783736128</v>
      </c>
      <c r="F768" s="2" t="n">
        <v>0.2763093537694406</v>
      </c>
      <c r="G768" s="2" t="n">
        <v>0.64</v>
      </c>
    </row>
    <row r="769">
      <c r="A769" s="2" t="n">
        <v>751</v>
      </c>
      <c r="B769" s="2" t="n">
        <v>19283.0344843709</v>
      </c>
      <c r="C769" s="2" t="n">
        <v>92.83034484370894</v>
      </c>
      <c r="D769" s="2" t="n">
        <v>9283.034484370897</v>
      </c>
      <c r="E769" s="2" t="n">
        <v>-106.3630966126075</v>
      </c>
      <c r="F769" s="2" t="n">
        <v>0.2730977921476019</v>
      </c>
      <c r="G769" s="2" t="n">
        <v>0.64</v>
      </c>
    </row>
    <row r="770">
      <c r="A770" s="2" t="n">
        <v>752</v>
      </c>
      <c r="B770" s="2" t="n">
        <v>19183.0344843709</v>
      </c>
      <c r="C770" s="2" t="n">
        <v>91.83034484370894</v>
      </c>
      <c r="D770" s="2" t="n">
        <v>9183.034484370897</v>
      </c>
      <c r="E770" s="2" t="n">
        <v>-206.3630966126075</v>
      </c>
      <c r="F770" s="2" t="n">
        <v>0.2730977921476019</v>
      </c>
      <c r="G770" s="2" t="n">
        <v>0.64</v>
      </c>
    </row>
    <row r="771">
      <c r="A771" s="2" t="n">
        <v>753</v>
      </c>
      <c r="B771" s="2" t="n">
        <v>19284.0344843709</v>
      </c>
      <c r="C771" s="2" t="n">
        <v>92.84034484370895</v>
      </c>
      <c r="D771" s="2" t="n">
        <v>9284.034484370897</v>
      </c>
      <c r="E771" s="2" t="n">
        <v>-105.3630966126075</v>
      </c>
      <c r="F771" s="2" t="n">
        <v>0.3534977921476019</v>
      </c>
      <c r="G771" s="2" t="n">
        <v>0.68</v>
      </c>
    </row>
    <row r="772">
      <c r="A772" s="2" t="n">
        <v>754</v>
      </c>
      <c r="B772" s="2" t="n">
        <v>19184.0344843709</v>
      </c>
      <c r="C772" s="2" t="n">
        <v>91.84034484370895</v>
      </c>
      <c r="D772" s="2" t="n">
        <v>9184.034484370897</v>
      </c>
      <c r="E772" s="2" t="n">
        <v>-205.3630966126075</v>
      </c>
      <c r="F772" s="2" t="n">
        <v>0.3534977921476019</v>
      </c>
      <c r="G772" s="2" t="n">
        <v>0.68</v>
      </c>
    </row>
    <row r="773">
      <c r="A773" s="2" t="n">
        <v>755</v>
      </c>
      <c r="B773" s="2" t="n">
        <v>19084.0344843709</v>
      </c>
      <c r="C773" s="2" t="n">
        <v>90.84034484370895</v>
      </c>
      <c r="D773" s="2" t="n">
        <v>9084.034484370897</v>
      </c>
      <c r="E773" s="2" t="n">
        <v>-305.3630966126075</v>
      </c>
      <c r="F773" s="2" t="n">
        <v>0.2634977921476019</v>
      </c>
      <c r="G773" s="2" t="n">
        <v>0.64</v>
      </c>
    </row>
    <row r="774">
      <c r="A774" s="2" t="n">
        <v>756</v>
      </c>
      <c r="B774" s="2" t="n">
        <v>18984.0344843709</v>
      </c>
      <c r="C774" s="2" t="n">
        <v>89.84034484370895</v>
      </c>
      <c r="D774" s="2" t="n">
        <v>8984.034484370897</v>
      </c>
      <c r="E774" s="2" t="n">
        <v>-405.3630966126075</v>
      </c>
      <c r="F774" s="2" t="n">
        <v>0.1947208137303358</v>
      </c>
      <c r="G774" s="2" t="n">
        <v>0.6</v>
      </c>
    </row>
    <row r="775">
      <c r="A775" s="2" t="n">
        <v>757</v>
      </c>
      <c r="B775" s="2" t="n">
        <v>18884.0344843709</v>
      </c>
      <c r="C775" s="2" t="n">
        <v>88.84034484370895</v>
      </c>
      <c r="D775" s="2" t="n">
        <v>8884.034484370897</v>
      </c>
      <c r="E775" s="2" t="n">
        <v>-505.3630966126075</v>
      </c>
      <c r="F775" s="2" t="n">
        <v>0.1127208137303358</v>
      </c>
      <c r="G775" s="2" t="n">
        <v>0.5600000000000001</v>
      </c>
    </row>
    <row r="776">
      <c r="A776" s="2" t="n">
        <v>758</v>
      </c>
      <c r="B776" s="2" t="n">
        <v>18784.0344843709</v>
      </c>
      <c r="C776" s="2" t="n">
        <v>87.84034484370895</v>
      </c>
      <c r="D776" s="2" t="n">
        <v>8784.034484370897</v>
      </c>
      <c r="E776" s="2" t="n">
        <v>-605.3630966126075</v>
      </c>
      <c r="F776" s="2" t="n">
        <v>0.02272081373033576</v>
      </c>
      <c r="G776" s="2" t="n">
        <v>0.52</v>
      </c>
    </row>
    <row r="777">
      <c r="A777" s="2" t="n">
        <v>759</v>
      </c>
      <c r="B777" s="2" t="n">
        <v>18846.5344843709</v>
      </c>
      <c r="C777" s="2" t="n">
        <v>88.46534484370895</v>
      </c>
      <c r="D777" s="2" t="n">
        <v>8846.534484370897</v>
      </c>
      <c r="E777" s="2" t="n">
        <v>-542.8630966126075</v>
      </c>
      <c r="F777" s="2" t="n">
        <v>0.02272081373033576</v>
      </c>
      <c r="G777" s="2" t="n">
        <v>0.52</v>
      </c>
    </row>
    <row r="778">
      <c r="A778" s="2" t="n">
        <v>760</v>
      </c>
      <c r="B778" s="2" t="n">
        <v>18941.77257960899</v>
      </c>
      <c r="C778" s="2" t="n">
        <v>89.4177257960899</v>
      </c>
      <c r="D778" s="2" t="n">
        <v>8941.772579608993</v>
      </c>
      <c r="E778" s="2" t="n">
        <v>-447.6250013745084</v>
      </c>
      <c r="F778" s="2" t="n">
        <v>0.1008160518255739</v>
      </c>
      <c r="G778" s="2" t="n">
        <v>0.5600000000000001</v>
      </c>
    </row>
    <row r="779">
      <c r="A779" s="2" t="n">
        <v>761</v>
      </c>
      <c r="B779" s="2" t="n">
        <v>19037.92642576284</v>
      </c>
      <c r="C779" s="2" t="n">
        <v>90.37926425762836</v>
      </c>
      <c r="D779" s="2" t="n">
        <v>9037.926425762838</v>
      </c>
      <c r="E779" s="2" t="n">
        <v>-351.4711552206645</v>
      </c>
      <c r="F779" s="2" t="n">
        <v>0.0952775902871123</v>
      </c>
      <c r="G779" s="2" t="n">
        <v>0.5600000000000001</v>
      </c>
    </row>
    <row r="780">
      <c r="A780" s="2" t="n">
        <v>762</v>
      </c>
      <c r="B780" s="2" t="n">
        <v>18937.92642576284</v>
      </c>
      <c r="C780" s="2" t="n">
        <v>89.37926425762836</v>
      </c>
      <c r="D780" s="2" t="n">
        <v>8937.926425762838</v>
      </c>
      <c r="E780" s="2" t="n">
        <v>-451.4711552206645</v>
      </c>
      <c r="F780" s="2" t="n">
        <v>0.02049498159146014</v>
      </c>
      <c r="G780" s="2" t="n">
        <v>0.52</v>
      </c>
    </row>
    <row r="781">
      <c r="A781" s="2" t="n">
        <v>763</v>
      </c>
      <c r="B781" s="2" t="n">
        <v>18837.92642576284</v>
      </c>
      <c r="C781" s="2" t="n">
        <v>88.37926425762836</v>
      </c>
      <c r="D781" s="2" t="n">
        <v>8837.926425762838</v>
      </c>
      <c r="E781" s="2" t="n">
        <v>-551.4711552206645</v>
      </c>
      <c r="F781" s="2" t="n">
        <v>-0.06750501840853987</v>
      </c>
      <c r="G781" s="2" t="n">
        <v>0.48</v>
      </c>
    </row>
    <row r="782">
      <c r="A782" s="2" t="n">
        <v>764</v>
      </c>
      <c r="B782" s="2" t="n">
        <v>18895.06928290569</v>
      </c>
      <c r="C782" s="2" t="n">
        <v>88.95069282905693</v>
      </c>
      <c r="D782" s="2" t="n">
        <v>8895.069282905695</v>
      </c>
      <c r="E782" s="2" t="n">
        <v>-494.3282980778094</v>
      </c>
      <c r="F782" s="2" t="n">
        <v>-0.07045432716430024</v>
      </c>
      <c r="G782" s="2" t="n">
        <v>0.48</v>
      </c>
    </row>
    <row r="783">
      <c r="A783" s="2" t="n">
        <v>765</v>
      </c>
      <c r="B783" s="2" t="n">
        <v>18795.06928290569</v>
      </c>
      <c r="C783" s="2" t="n">
        <v>87.95069282905693</v>
      </c>
      <c r="D783" s="2" t="n">
        <v>8795.069282905695</v>
      </c>
      <c r="E783" s="2" t="n">
        <v>-594.3282980778094</v>
      </c>
      <c r="F783" s="2" t="n">
        <v>-0.07045432716430022</v>
      </c>
      <c r="G783" s="2" t="n">
        <v>0.48</v>
      </c>
    </row>
    <row r="784">
      <c r="A784" s="2" t="n">
        <v>766</v>
      </c>
      <c r="B784" s="2" t="n">
        <v>18695.06928290569</v>
      </c>
      <c r="C784" s="2" t="n">
        <v>86.95069282905693</v>
      </c>
      <c r="D784" s="2" t="n">
        <v>8695.069282905695</v>
      </c>
      <c r="E784" s="2" t="n">
        <v>-694.3282980778094</v>
      </c>
      <c r="F784" s="2" t="n">
        <v>-0.07045432716430022</v>
      </c>
      <c r="G784" s="2" t="n">
        <v>0.48</v>
      </c>
    </row>
    <row r="785">
      <c r="A785" s="2" t="n">
        <v>767</v>
      </c>
      <c r="B785" s="2" t="n">
        <v>18815.06928290569</v>
      </c>
      <c r="C785" s="2" t="n">
        <v>88.15069282905694</v>
      </c>
      <c r="D785" s="2" t="n">
        <v>8815.069282905695</v>
      </c>
      <c r="E785" s="2" t="n">
        <v>-574.3282980778094</v>
      </c>
      <c r="F785" s="2" t="n">
        <v>-0.06845432716430022</v>
      </c>
      <c r="G785" s="2" t="n">
        <v>0.48</v>
      </c>
    </row>
    <row r="786">
      <c r="A786" s="2" t="n">
        <v>768</v>
      </c>
      <c r="B786" s="2" t="n">
        <v>18715.06928290569</v>
      </c>
      <c r="C786" s="2" t="n">
        <v>87.15069282905694</v>
      </c>
      <c r="D786" s="2" t="n">
        <v>8715.069282905695</v>
      </c>
      <c r="E786" s="2" t="n">
        <v>-674.3282980778094</v>
      </c>
      <c r="F786" s="2" t="n">
        <v>-0.1448179635279366</v>
      </c>
      <c r="G786" s="2" t="n">
        <v>0.44</v>
      </c>
    </row>
    <row r="787">
      <c r="A787" s="2" t="n">
        <v>769</v>
      </c>
      <c r="B787" s="2" t="n">
        <v>18795.06928290569</v>
      </c>
      <c r="C787" s="2" t="n">
        <v>87.95069282905693</v>
      </c>
      <c r="D787" s="2" t="n">
        <v>8795.069282905695</v>
      </c>
      <c r="E787" s="2" t="n">
        <v>-594.3282980778094</v>
      </c>
      <c r="F787" s="2" t="n">
        <v>-0.07281796352793658</v>
      </c>
      <c r="G787" s="2" t="n">
        <v>0.48</v>
      </c>
    </row>
    <row r="788">
      <c r="A788" s="2" t="n">
        <v>770</v>
      </c>
      <c r="B788" s="2" t="n">
        <v>18695.06928290569</v>
      </c>
      <c r="C788" s="2" t="n">
        <v>86.95069282905693</v>
      </c>
      <c r="D788" s="2" t="n">
        <v>8695.069282905695</v>
      </c>
      <c r="E788" s="2" t="n">
        <v>-694.3282980778094</v>
      </c>
      <c r="F788" s="2" t="n">
        <v>-0.1688179635279366</v>
      </c>
      <c r="G788" s="2" t="n">
        <v>0.44</v>
      </c>
    </row>
    <row r="789">
      <c r="A789" s="2" t="n">
        <v>771</v>
      </c>
      <c r="B789" s="2" t="n">
        <v>18595.06928290569</v>
      </c>
      <c r="C789" s="2" t="n">
        <v>85.95069282905693</v>
      </c>
      <c r="D789" s="2" t="n">
        <v>8595.069282905695</v>
      </c>
      <c r="E789" s="2" t="n">
        <v>-794.3282980778094</v>
      </c>
      <c r="F789" s="2" t="n">
        <v>-0.236028847881678</v>
      </c>
      <c r="G789" s="2" t="n">
        <v>0.4</v>
      </c>
    </row>
    <row r="790">
      <c r="A790" s="2" t="n">
        <v>772</v>
      </c>
      <c r="B790" s="2" t="n">
        <v>18495.06928290569</v>
      </c>
      <c r="C790" s="2" t="n">
        <v>84.95069282905693</v>
      </c>
      <c r="D790" s="2" t="n">
        <v>8495.069282905695</v>
      </c>
      <c r="E790" s="2" t="n">
        <v>-894.3282980778094</v>
      </c>
      <c r="F790" s="2" t="n">
        <v>-0.236028847881678</v>
      </c>
      <c r="G790" s="2" t="n">
        <v>0.4</v>
      </c>
    </row>
    <row r="791">
      <c r="A791" s="2" t="n">
        <v>773</v>
      </c>
      <c r="B791" s="2" t="n">
        <v>18395.06928290569</v>
      </c>
      <c r="C791" s="2" t="n">
        <v>83.95069282905693</v>
      </c>
      <c r="D791" s="2" t="n">
        <v>8395.069282905695</v>
      </c>
      <c r="E791" s="2" t="n">
        <v>-994.3282980778094</v>
      </c>
      <c r="F791" s="2" t="n">
        <v>-0.3200288478816781</v>
      </c>
      <c r="G791" s="2" t="n">
        <v>0.36</v>
      </c>
    </row>
    <row r="792">
      <c r="A792" s="2" t="n">
        <v>774</v>
      </c>
      <c r="B792" s="2" t="n">
        <v>18475.06928290569</v>
      </c>
      <c r="C792" s="2" t="n">
        <v>84.75069282905693</v>
      </c>
      <c r="D792" s="2" t="n">
        <v>8475.069282905695</v>
      </c>
      <c r="E792" s="2" t="n">
        <v>-914.3282980778094</v>
      </c>
      <c r="F792" s="2" t="n">
        <v>-0.2480288478816781</v>
      </c>
      <c r="G792" s="2" t="n">
        <v>0.4</v>
      </c>
    </row>
    <row r="793">
      <c r="A793" s="2" t="n">
        <v>775</v>
      </c>
      <c r="B793" s="2" t="n">
        <v>18585.06928290569</v>
      </c>
      <c r="C793" s="2" t="n">
        <v>85.85069282905692</v>
      </c>
      <c r="D793" s="2" t="n">
        <v>8585.069282905695</v>
      </c>
      <c r="E793" s="2" t="n">
        <v>-804.3282980778094</v>
      </c>
      <c r="F793" s="2" t="n">
        <v>-0.2540288478816781</v>
      </c>
      <c r="G793" s="2" t="n">
        <v>0.4</v>
      </c>
    </row>
    <row r="794">
      <c r="A794" s="2" t="n">
        <v>776</v>
      </c>
      <c r="B794" s="2" t="n">
        <v>18700.06928290569</v>
      </c>
      <c r="C794" s="2" t="n">
        <v>87.00069282905693</v>
      </c>
      <c r="D794" s="2" t="n">
        <v>8700.069282905695</v>
      </c>
      <c r="E794" s="2" t="n">
        <v>-689.3282980778094</v>
      </c>
      <c r="F794" s="2" t="n">
        <v>-0.2331860805860806</v>
      </c>
      <c r="G794" s="2" t="n">
        <v>0.4</v>
      </c>
    </row>
    <row r="795">
      <c r="A795" s="2" t="n">
        <v>777</v>
      </c>
      <c r="B795" s="2" t="n">
        <v>18790.97837381479</v>
      </c>
      <c r="C795" s="2" t="n">
        <v>87.90978373814784</v>
      </c>
      <c r="D795" s="2" t="n">
        <v>8790.978373814785</v>
      </c>
      <c r="E795" s="2" t="n">
        <v>-598.4192071687175</v>
      </c>
      <c r="F795" s="2" t="n">
        <v>-0.1568224442224442</v>
      </c>
      <c r="G795" s="2" t="n">
        <v>0.44</v>
      </c>
    </row>
    <row r="796">
      <c r="A796" s="2" t="n">
        <v>778</v>
      </c>
      <c r="B796" s="2" t="n">
        <v>18690.97837381479</v>
      </c>
      <c r="C796" s="2" t="n">
        <v>86.90978373814784</v>
      </c>
      <c r="D796" s="2" t="n">
        <v>8690.978373814785</v>
      </c>
      <c r="E796" s="2" t="n">
        <v>-698.4192071687175</v>
      </c>
      <c r="F796" s="2" t="n">
        <v>-0.2372224442224442</v>
      </c>
      <c r="G796" s="2" t="n">
        <v>0.4</v>
      </c>
    </row>
    <row r="797">
      <c r="A797" s="2" t="n">
        <v>779</v>
      </c>
      <c r="B797" s="2" t="n">
        <v>18590.97837381479</v>
      </c>
      <c r="C797" s="2" t="n">
        <v>85.90978373814784</v>
      </c>
      <c r="D797" s="2" t="n">
        <v>8590.978373814785</v>
      </c>
      <c r="E797" s="2" t="n">
        <v>-798.4192071687175</v>
      </c>
      <c r="F797" s="2" t="n">
        <v>-0.2372224442224442</v>
      </c>
      <c r="G797" s="2" t="n">
        <v>0.4</v>
      </c>
    </row>
    <row r="798">
      <c r="A798" s="2" t="n">
        <v>780</v>
      </c>
      <c r="B798" s="2" t="n">
        <v>18490.97837381479</v>
      </c>
      <c r="C798" s="2" t="n">
        <v>84.90978373814784</v>
      </c>
      <c r="D798" s="2" t="n">
        <v>8490.978373814785</v>
      </c>
      <c r="E798" s="2" t="n">
        <v>-898.4192071687175</v>
      </c>
      <c r="F798" s="2" t="n">
        <v>-0.2372224442224442</v>
      </c>
      <c r="G798" s="2" t="n">
        <v>0.4</v>
      </c>
    </row>
    <row r="799">
      <c r="A799" s="2" t="n">
        <v>781</v>
      </c>
      <c r="B799" s="2" t="n">
        <v>18645.97837381479</v>
      </c>
      <c r="C799" s="2" t="n">
        <v>86.45978373814783</v>
      </c>
      <c r="D799" s="2" t="n">
        <v>8645.978373814785</v>
      </c>
      <c r="E799" s="2" t="n">
        <v>-743.4192071687175</v>
      </c>
      <c r="F799" s="2" t="n">
        <v>-0.1352224442224442</v>
      </c>
      <c r="G799" s="2" t="n">
        <v>0.44</v>
      </c>
    </row>
    <row r="800">
      <c r="A800" s="2" t="n">
        <v>782</v>
      </c>
      <c r="B800" s="2" t="n">
        <v>18715.90844374485</v>
      </c>
      <c r="C800" s="2" t="n">
        <v>87.15908443744853</v>
      </c>
      <c r="D800" s="2" t="n">
        <v>8715.908443744855</v>
      </c>
      <c r="E800" s="2" t="n">
        <v>-673.4891372386483</v>
      </c>
      <c r="F800" s="2" t="n">
        <v>-0.06725041625041625</v>
      </c>
      <c r="G800" s="2" t="n">
        <v>0.48</v>
      </c>
    </row>
    <row r="801">
      <c r="A801" s="2" t="n">
        <v>783</v>
      </c>
      <c r="B801" s="2" t="n">
        <v>18615.90844374485</v>
      </c>
      <c r="C801" s="2" t="n">
        <v>86.15908443744853</v>
      </c>
      <c r="D801" s="2" t="n">
        <v>8615.908443744855</v>
      </c>
      <c r="E801" s="2" t="n">
        <v>-773.4891372386483</v>
      </c>
      <c r="F801" s="2" t="n">
        <v>-0.06725041625041625</v>
      </c>
      <c r="G801" s="2" t="n">
        <v>0.48</v>
      </c>
    </row>
    <row r="802">
      <c r="A802" s="2" t="n">
        <v>784</v>
      </c>
      <c r="B802" s="2" t="n">
        <v>18680.42457277711</v>
      </c>
      <c r="C802" s="2" t="n">
        <v>86.8042457277711</v>
      </c>
      <c r="D802" s="2" t="n">
        <v>8680.424572777112</v>
      </c>
      <c r="E802" s="2" t="n">
        <v>-708.9730082063907</v>
      </c>
      <c r="F802" s="2" t="n">
        <v>-0.06644396463751302</v>
      </c>
      <c r="G802" s="2" t="n">
        <v>0.48</v>
      </c>
    </row>
    <row r="803">
      <c r="A803" s="2" t="n">
        <v>785</v>
      </c>
      <c r="B803" s="2" t="n">
        <v>18760.42457277711</v>
      </c>
      <c r="C803" s="2" t="n">
        <v>87.6042457277711</v>
      </c>
      <c r="D803" s="2" t="n">
        <v>8760.424572777112</v>
      </c>
      <c r="E803" s="2" t="n">
        <v>-628.9730082063907</v>
      </c>
      <c r="F803" s="2" t="n">
        <v>-0.07253920273275112</v>
      </c>
      <c r="G803" s="2" t="n">
        <v>0.48</v>
      </c>
    </row>
    <row r="804">
      <c r="A804" s="2" t="n">
        <v>786</v>
      </c>
      <c r="B804" s="2" t="n">
        <v>18892.42457277711</v>
      </c>
      <c r="C804" s="2" t="n">
        <v>88.92424572777111</v>
      </c>
      <c r="D804" s="2" t="n">
        <v>8892.424572777112</v>
      </c>
      <c r="E804" s="2" t="n">
        <v>-496.9730082063907</v>
      </c>
      <c r="F804" s="2" t="n">
        <v>-0.05820074119428957</v>
      </c>
      <c r="G804" s="2" t="n">
        <v>0.48</v>
      </c>
    </row>
    <row r="805">
      <c r="A805" s="2" t="n">
        <v>787</v>
      </c>
      <c r="B805" s="2" t="n">
        <v>18959.09123944378</v>
      </c>
      <c r="C805" s="2" t="n">
        <v>89.59091239443778</v>
      </c>
      <c r="D805" s="2" t="n">
        <v>8959.091239443778</v>
      </c>
      <c r="E805" s="2" t="n">
        <v>-430.3063415397264</v>
      </c>
      <c r="F805" s="2" t="n">
        <v>0.008465925472377088</v>
      </c>
      <c r="G805" s="2" t="n">
        <v>0.52</v>
      </c>
    </row>
    <row r="806">
      <c r="A806" s="2" t="n">
        <v>788</v>
      </c>
      <c r="B806" s="2" t="n">
        <v>18859.09123944378</v>
      </c>
      <c r="C806" s="2" t="n">
        <v>88.59091239443778</v>
      </c>
      <c r="D806" s="2" t="n">
        <v>8859.091239443778</v>
      </c>
      <c r="E806" s="2" t="n">
        <v>-530.3063415397264</v>
      </c>
      <c r="F806" s="2" t="n">
        <v>0.008465925472377088</v>
      </c>
      <c r="G806" s="2" t="n">
        <v>0.52</v>
      </c>
    </row>
    <row r="807">
      <c r="A807" s="2" t="n">
        <v>789</v>
      </c>
      <c r="B807" s="2" t="n">
        <v>18989.09123944378</v>
      </c>
      <c r="C807" s="2" t="n">
        <v>89.89091239443778</v>
      </c>
      <c r="D807" s="2" t="n">
        <v>8989.091239443778</v>
      </c>
      <c r="E807" s="2" t="n">
        <v>-400.3063415397264</v>
      </c>
      <c r="F807" s="2" t="n">
        <v>0.03760878261523422</v>
      </c>
      <c r="G807" s="2" t="n">
        <v>0.52</v>
      </c>
    </row>
    <row r="808">
      <c r="A808" s="2" t="n">
        <v>790</v>
      </c>
      <c r="B808" s="2" t="n">
        <v>19055.75790611044</v>
      </c>
      <c r="C808" s="2" t="n">
        <v>90.55757906110445</v>
      </c>
      <c r="D808" s="2" t="n">
        <v>9055.757906110444</v>
      </c>
      <c r="E808" s="2" t="n">
        <v>-333.6396748730585</v>
      </c>
      <c r="F808" s="2" t="n">
        <v>0.1042754492819009</v>
      </c>
      <c r="G808" s="2" t="n">
        <v>0.5600000000000001</v>
      </c>
    </row>
    <row r="809">
      <c r="A809" s="2" t="n">
        <v>791</v>
      </c>
      <c r="B809" s="2" t="n">
        <v>18955.75790611044</v>
      </c>
      <c r="C809" s="2" t="n">
        <v>89.55757906110445</v>
      </c>
      <c r="D809" s="2" t="n">
        <v>8955.757906110444</v>
      </c>
      <c r="E809" s="2" t="n">
        <v>-433.6396748730585</v>
      </c>
      <c r="F809" s="2" t="n">
        <v>0.1042754492819009</v>
      </c>
      <c r="G809" s="2" t="n">
        <v>0.5600000000000001</v>
      </c>
    </row>
    <row r="810">
      <c r="A810" s="2" t="n">
        <v>792</v>
      </c>
      <c r="B810" s="2" t="n">
        <v>18855.75790611044</v>
      </c>
      <c r="C810" s="2" t="n">
        <v>88.55757906110445</v>
      </c>
      <c r="D810" s="2" t="n">
        <v>8855.757906110444</v>
      </c>
      <c r="E810" s="2" t="n">
        <v>-533.6396748730585</v>
      </c>
      <c r="F810" s="2" t="n">
        <v>0.01627544928190088</v>
      </c>
      <c r="G810" s="2" t="n">
        <v>0.52</v>
      </c>
    </row>
    <row r="811">
      <c r="A811" s="2" t="n">
        <v>793</v>
      </c>
      <c r="B811" s="2" t="n">
        <v>18975.75790611044</v>
      </c>
      <c r="C811" s="2" t="n">
        <v>89.75757906110445</v>
      </c>
      <c r="D811" s="2" t="n">
        <v>8975.757906110444</v>
      </c>
      <c r="E811" s="2" t="n">
        <v>-413.6396748730585</v>
      </c>
      <c r="F811" s="2" t="n">
        <v>0.1042754492819009</v>
      </c>
      <c r="G811" s="2" t="n">
        <v>0.5600000000000001</v>
      </c>
    </row>
    <row r="812">
      <c r="A812" s="2" t="n">
        <v>794</v>
      </c>
      <c r="B812" s="2" t="n">
        <v>19113.75790611044</v>
      </c>
      <c r="C812" s="2" t="n">
        <v>91.13757906110445</v>
      </c>
      <c r="D812" s="2" t="n">
        <v>9113.757906110444</v>
      </c>
      <c r="E812" s="2" t="n">
        <v>-275.6396748730585</v>
      </c>
      <c r="F812" s="2" t="n">
        <v>0.1274754492819009</v>
      </c>
      <c r="G812" s="2" t="n">
        <v>0.5600000000000001</v>
      </c>
    </row>
    <row r="813">
      <c r="A813" s="2" t="n">
        <v>795</v>
      </c>
      <c r="B813" s="2" t="n">
        <v>19197.09123944378</v>
      </c>
      <c r="C813" s="2" t="n">
        <v>91.97091239443778</v>
      </c>
      <c r="D813" s="2" t="n">
        <v>9197.091239443778</v>
      </c>
      <c r="E813" s="2" t="n">
        <v>-192.3063415397264</v>
      </c>
      <c r="F813" s="2" t="n">
        <v>0.2008087826152342</v>
      </c>
      <c r="G813" s="2" t="n">
        <v>0.6</v>
      </c>
    </row>
    <row r="814">
      <c r="A814" s="2" t="n">
        <v>796</v>
      </c>
      <c r="B814" s="2" t="n">
        <v>19097.09123944378</v>
      </c>
      <c r="C814" s="2" t="n">
        <v>90.97091239443778</v>
      </c>
      <c r="D814" s="2" t="n">
        <v>9097.091239443778</v>
      </c>
      <c r="E814" s="2" t="n">
        <v>-292.3063415397264</v>
      </c>
      <c r="F814" s="2" t="n">
        <v>0.2008087826152342</v>
      </c>
      <c r="G814" s="2" t="n">
        <v>0.6</v>
      </c>
    </row>
    <row r="815">
      <c r="A815" s="2" t="n">
        <v>797</v>
      </c>
      <c r="B815" s="2" t="n">
        <v>19172.84881520135</v>
      </c>
      <c r="C815" s="2" t="n">
        <v>91.72848815201353</v>
      </c>
      <c r="D815" s="2" t="n">
        <v>9172.848815201354</v>
      </c>
      <c r="E815" s="2" t="n">
        <v>-216.5487657821504</v>
      </c>
      <c r="F815" s="2" t="n">
        <v>0.2711118129182645</v>
      </c>
      <c r="G815" s="2" t="n">
        <v>0.64</v>
      </c>
    </row>
    <row r="816">
      <c r="A816" s="2" t="n">
        <v>798</v>
      </c>
      <c r="B816" s="2" t="n">
        <v>19072.84881520135</v>
      </c>
      <c r="C816" s="2" t="n">
        <v>90.72848815201353</v>
      </c>
      <c r="D816" s="2" t="n">
        <v>9072.848815201354</v>
      </c>
      <c r="E816" s="2" t="n">
        <v>-316.5487657821504</v>
      </c>
      <c r="F816" s="2" t="n">
        <v>0.2711118129182645</v>
      </c>
      <c r="G816" s="2" t="n">
        <v>0.64</v>
      </c>
    </row>
    <row r="817">
      <c r="A817" s="2" t="n">
        <v>799</v>
      </c>
      <c r="B817" s="2" t="n">
        <v>19189.84881520135</v>
      </c>
      <c r="C817" s="2" t="n">
        <v>91.89848815201353</v>
      </c>
      <c r="D817" s="2" t="n">
        <v>9189.848815201354</v>
      </c>
      <c r="E817" s="2" t="n">
        <v>-199.5487657821504</v>
      </c>
      <c r="F817" s="2" t="n">
        <v>0.2859118129182645</v>
      </c>
      <c r="G817" s="2" t="n">
        <v>0.64</v>
      </c>
    </row>
    <row r="818">
      <c r="A818" s="2" t="n">
        <v>800</v>
      </c>
      <c r="B818" s="2" t="n">
        <v>19293.84881520135</v>
      </c>
      <c r="C818" s="2" t="n">
        <v>92.93848815201353</v>
      </c>
      <c r="D818" s="2" t="n">
        <v>9293.848815201354</v>
      </c>
      <c r="E818" s="2" t="n">
        <v>-95.54876578215044</v>
      </c>
      <c r="F818" s="2" t="n">
        <v>0.2835118129182645</v>
      </c>
      <c r="G818" s="2" t="n">
        <v>0.64</v>
      </c>
    </row>
    <row r="819">
      <c r="A819" s="2" t="n">
        <v>801</v>
      </c>
      <c r="B819" s="2" t="n">
        <v>19390.93619384213</v>
      </c>
      <c r="C819" s="2" t="n">
        <v>93.9093619384213</v>
      </c>
      <c r="D819" s="2" t="n">
        <v>9390.936193842132</v>
      </c>
      <c r="E819" s="2" t="n">
        <v>0</v>
      </c>
      <c r="F819" s="2" t="n">
        <v>0.2763467643745752</v>
      </c>
      <c r="G819" s="2" t="n">
        <v>0.64</v>
      </c>
    </row>
    <row r="820">
      <c r="A820" s="2" t="n">
        <v>802</v>
      </c>
      <c r="B820" s="2" t="n">
        <v>19290.93619384213</v>
      </c>
      <c r="C820" s="2" t="n">
        <v>92.9093619384213</v>
      </c>
      <c r="D820" s="2" t="n">
        <v>9290.936193842132</v>
      </c>
      <c r="E820" s="2" t="n">
        <v>-100</v>
      </c>
      <c r="F820" s="2" t="n">
        <v>0.1999831280109388</v>
      </c>
      <c r="G820" s="2" t="n">
        <v>0.6</v>
      </c>
    </row>
    <row r="821">
      <c r="A821" s="2" t="n">
        <v>803</v>
      </c>
      <c r="B821" s="2" t="n">
        <v>19190.93619384213</v>
      </c>
      <c r="C821" s="2" t="n">
        <v>91.9093619384213</v>
      </c>
      <c r="D821" s="2" t="n">
        <v>9190.936193842132</v>
      </c>
      <c r="E821" s="2" t="n">
        <v>-200</v>
      </c>
      <c r="F821" s="2" t="n">
        <v>0.1999831280109388</v>
      </c>
      <c r="G821" s="2" t="n">
        <v>0.6</v>
      </c>
    </row>
    <row r="822">
      <c r="A822" s="2" t="n">
        <v>804</v>
      </c>
      <c r="B822" s="2" t="n">
        <v>19278.65549208775</v>
      </c>
      <c r="C822" s="2" t="n">
        <v>92.78655492087744</v>
      </c>
      <c r="D822" s="2" t="n">
        <v>9278.655492087746</v>
      </c>
      <c r="E822" s="2" t="n">
        <v>-112.2807017543855</v>
      </c>
      <c r="F822" s="2" t="n">
        <v>0.2750708473091845</v>
      </c>
      <c r="G822" s="2" t="n">
        <v>0.64</v>
      </c>
    </row>
    <row r="823">
      <c r="A823" s="2" t="n">
        <v>805</v>
      </c>
      <c r="B823" s="2" t="n">
        <v>19402.65549208775</v>
      </c>
      <c r="C823" s="2" t="n">
        <v>94.02655492087743</v>
      </c>
      <c r="D823" s="2" t="n">
        <v>9402.655492087746</v>
      </c>
      <c r="E823" s="2" t="n">
        <v>0</v>
      </c>
      <c r="F823" s="2" t="n">
        <v>0.3646708473091844</v>
      </c>
      <c r="G823" s="2" t="n">
        <v>0.68</v>
      </c>
    </row>
    <row r="824">
      <c r="A824" s="2" t="n">
        <v>806</v>
      </c>
      <c r="B824" s="2" t="n">
        <v>19302.65549208775</v>
      </c>
      <c r="C824" s="2" t="n">
        <v>93.02655492087743</v>
      </c>
      <c r="D824" s="2" t="n">
        <v>9302.655492087746</v>
      </c>
      <c r="E824" s="2" t="n">
        <v>-100</v>
      </c>
      <c r="F824" s="2" t="n">
        <v>0.2626708473091845</v>
      </c>
      <c r="G824" s="2" t="n">
        <v>0.64</v>
      </c>
    </row>
    <row r="825">
      <c r="A825" s="2" t="n">
        <v>807</v>
      </c>
      <c r="B825" s="2" t="n">
        <v>19372.09993653219</v>
      </c>
      <c r="C825" s="2" t="n">
        <v>93.72099936532187</v>
      </c>
      <c r="D825" s="2" t="n">
        <v>9372.099936532191</v>
      </c>
      <c r="E825" s="2" t="n">
        <v>-30.55555555555475</v>
      </c>
      <c r="F825" s="2" t="n">
        <v>0.2624765971149343</v>
      </c>
      <c r="G825" s="2" t="n">
        <v>0.64</v>
      </c>
    </row>
    <row r="826">
      <c r="A826" s="2" t="n">
        <v>808</v>
      </c>
      <c r="B826" s="2" t="n">
        <v>19272.09993653219</v>
      </c>
      <c r="C826" s="2" t="n">
        <v>92.72099936532187</v>
      </c>
      <c r="D826" s="2" t="n">
        <v>9272.099936532191</v>
      </c>
      <c r="E826" s="2" t="n">
        <v>-130.5555555555547</v>
      </c>
      <c r="F826" s="2" t="n">
        <v>0.2624765971149343</v>
      </c>
      <c r="G826" s="2" t="n">
        <v>0.64</v>
      </c>
    </row>
    <row r="827">
      <c r="A827" s="2" t="n">
        <v>809</v>
      </c>
      <c r="B827" s="2" t="n">
        <v>19172.09993653219</v>
      </c>
      <c r="C827" s="2" t="n">
        <v>91.72099936532187</v>
      </c>
      <c r="D827" s="2" t="n">
        <v>9172.099936532191</v>
      </c>
      <c r="E827" s="2" t="n">
        <v>-230.5555555555547</v>
      </c>
      <c r="F827" s="2" t="n">
        <v>0.1966701455020311</v>
      </c>
      <c r="G827" s="2" t="n">
        <v>0.6</v>
      </c>
    </row>
    <row r="828">
      <c r="A828" s="2" t="n">
        <v>810</v>
      </c>
      <c r="B828" s="2" t="n">
        <v>19274.09993653219</v>
      </c>
      <c r="C828" s="2" t="n">
        <v>92.74099936532187</v>
      </c>
      <c r="D828" s="2" t="n">
        <v>9274.099936532191</v>
      </c>
      <c r="E828" s="2" t="n">
        <v>-128.5555555555547</v>
      </c>
      <c r="F828" s="2" t="n">
        <v>0.205470145502031</v>
      </c>
      <c r="G828" s="2" t="n">
        <v>0.6</v>
      </c>
    </row>
    <row r="829">
      <c r="A829" s="2" t="n">
        <v>811</v>
      </c>
      <c r="B829" s="2" t="n">
        <v>19174.09993653219</v>
      </c>
      <c r="C829" s="2" t="n">
        <v>91.74099936532187</v>
      </c>
      <c r="D829" s="2" t="n">
        <v>9174.099936532191</v>
      </c>
      <c r="E829" s="2" t="n">
        <v>-228.5555555555547</v>
      </c>
      <c r="F829" s="2" t="n">
        <v>0.112670145502031</v>
      </c>
      <c r="G829" s="2" t="n">
        <v>0.5600000000000001</v>
      </c>
    </row>
    <row r="830">
      <c r="A830" s="2" t="n">
        <v>812</v>
      </c>
      <c r="B830" s="2" t="n">
        <v>19074.09993653219</v>
      </c>
      <c r="C830" s="2" t="n">
        <v>90.74099936532187</v>
      </c>
      <c r="D830" s="2" t="n">
        <v>9074.099936532191</v>
      </c>
      <c r="E830" s="2" t="n">
        <v>-328.5555555555547</v>
      </c>
      <c r="F830" s="2" t="n">
        <v>0.04600347883536438</v>
      </c>
      <c r="G830" s="2" t="n">
        <v>0.52</v>
      </c>
    </row>
    <row r="831">
      <c r="A831" s="2" t="n">
        <v>813</v>
      </c>
      <c r="B831" s="2" t="n">
        <v>18974.09993653219</v>
      </c>
      <c r="C831" s="2" t="n">
        <v>89.74099936532187</v>
      </c>
      <c r="D831" s="2" t="n">
        <v>8974.099936532191</v>
      </c>
      <c r="E831" s="2" t="n">
        <v>-428.5555555555547</v>
      </c>
      <c r="F831" s="2" t="n">
        <v>0.04600347883536438</v>
      </c>
      <c r="G831" s="2" t="n">
        <v>0.52</v>
      </c>
    </row>
    <row r="832">
      <c r="A832" s="2" t="n">
        <v>814</v>
      </c>
      <c r="B832" s="2" t="n">
        <v>18874.09993653219</v>
      </c>
      <c r="C832" s="2" t="n">
        <v>88.74099936532187</v>
      </c>
      <c r="D832" s="2" t="n">
        <v>8874.099936532191</v>
      </c>
      <c r="E832" s="2" t="n">
        <v>-528.5555555555547</v>
      </c>
      <c r="F832" s="2" t="n">
        <v>-0.04599652116463562</v>
      </c>
      <c r="G832" s="2" t="n">
        <v>0.48</v>
      </c>
    </row>
    <row r="833">
      <c r="A833" s="2" t="n">
        <v>815</v>
      </c>
      <c r="B833" s="2" t="n">
        <v>18774.09993653219</v>
      </c>
      <c r="C833" s="2" t="n">
        <v>87.74099936532187</v>
      </c>
      <c r="D833" s="2" t="n">
        <v>8774.099936532191</v>
      </c>
      <c r="E833" s="2" t="n">
        <v>-628.5555555555547</v>
      </c>
      <c r="F833" s="2" t="n">
        <v>-0.1126631878313023</v>
      </c>
      <c r="G833" s="2" t="n">
        <v>0.44</v>
      </c>
    </row>
    <row r="834">
      <c r="A834" s="2" t="n">
        <v>816</v>
      </c>
      <c r="B834" s="2" t="n">
        <v>18861.05645827132</v>
      </c>
      <c r="C834" s="2" t="n">
        <v>88.61056458271317</v>
      </c>
      <c r="D834" s="2" t="n">
        <v>8861.056458271321</v>
      </c>
      <c r="E834" s="2" t="n">
        <v>-541.5990338164265</v>
      </c>
      <c r="F834" s="2" t="n">
        <v>-0.03788057913565011</v>
      </c>
      <c r="G834" s="2" t="n">
        <v>0.48</v>
      </c>
    </row>
    <row r="835">
      <c r="A835" s="2" t="n">
        <v>817</v>
      </c>
      <c r="B835" s="2" t="n">
        <v>18949.55203349256</v>
      </c>
      <c r="C835" s="2" t="n">
        <v>89.49552033492556</v>
      </c>
      <c r="D835" s="2" t="n">
        <v>8949.55203349256</v>
      </c>
      <c r="E835" s="2" t="n">
        <v>-453.1034585951857</v>
      </c>
      <c r="F835" s="2" t="n">
        <v>0.03751765095284547</v>
      </c>
      <c r="G835" s="2" t="n">
        <v>0.52</v>
      </c>
    </row>
    <row r="836">
      <c r="A836" s="2" t="n">
        <v>818</v>
      </c>
      <c r="B836" s="2" t="n">
        <v>19063.55203349256</v>
      </c>
      <c r="C836" s="2" t="n">
        <v>90.63552033492556</v>
      </c>
      <c r="D836" s="2" t="n">
        <v>9063.55203349256</v>
      </c>
      <c r="E836" s="2" t="n">
        <v>-339.1034585951857</v>
      </c>
      <c r="F836" s="2" t="n">
        <v>0.03511765095284545</v>
      </c>
      <c r="G836" s="2" t="n">
        <v>0.52</v>
      </c>
    </row>
    <row r="837">
      <c r="A837" s="2" t="n">
        <v>819</v>
      </c>
      <c r="B837" s="2" t="n">
        <v>19119.10758904812</v>
      </c>
      <c r="C837" s="2" t="n">
        <v>91.19107589048112</v>
      </c>
      <c r="D837" s="2" t="n">
        <v>9119.107589048115</v>
      </c>
      <c r="E837" s="2" t="n">
        <v>-283.5479030396309</v>
      </c>
      <c r="F837" s="2" t="n">
        <v>0.002139873175067679</v>
      </c>
      <c r="G837" s="2" t="n">
        <v>0.52</v>
      </c>
    </row>
    <row r="838">
      <c r="A838" s="2" t="n">
        <v>820</v>
      </c>
      <c r="B838" s="2" t="n">
        <v>19239.10758904812</v>
      </c>
      <c r="C838" s="2" t="n">
        <v>92.39107589048112</v>
      </c>
      <c r="D838" s="2" t="n">
        <v>9239.107589048115</v>
      </c>
      <c r="E838" s="2" t="n">
        <v>-163.5479030396309</v>
      </c>
      <c r="F838" s="2" t="n">
        <v>0.01680653984173435</v>
      </c>
      <c r="G838" s="2" t="n">
        <v>0.52</v>
      </c>
    </row>
    <row r="839">
      <c r="A839" s="2" t="n">
        <v>821</v>
      </c>
      <c r="B839" s="2" t="n">
        <v>19139.10758904812</v>
      </c>
      <c r="C839" s="2" t="n">
        <v>91.39107589048112</v>
      </c>
      <c r="D839" s="2" t="n">
        <v>9139.107589048115</v>
      </c>
      <c r="E839" s="2" t="n">
        <v>-263.5479030396309</v>
      </c>
      <c r="F839" s="2" t="n">
        <v>0.01680653984173435</v>
      </c>
      <c r="G839" s="2" t="n">
        <v>0.52</v>
      </c>
    </row>
    <row r="840">
      <c r="A840" s="2" t="n">
        <v>822</v>
      </c>
      <c r="B840" s="2" t="n">
        <v>19039.10758904812</v>
      </c>
      <c r="C840" s="2" t="n">
        <v>90.39107589048112</v>
      </c>
      <c r="D840" s="2" t="n">
        <v>9039.107589048115</v>
      </c>
      <c r="E840" s="2" t="n">
        <v>-363.5479030396309</v>
      </c>
      <c r="F840" s="2" t="n">
        <v>-0.05349649046129595</v>
      </c>
      <c r="G840" s="2" t="n">
        <v>0.48</v>
      </c>
    </row>
    <row r="841">
      <c r="A841" s="2" t="n">
        <v>823</v>
      </c>
      <c r="B841" s="2" t="n">
        <v>18939.10758904812</v>
      </c>
      <c r="C841" s="2" t="n">
        <v>89.39107589048112</v>
      </c>
      <c r="D841" s="2" t="n">
        <v>8939.107589048115</v>
      </c>
      <c r="E841" s="2" t="n">
        <v>-463.5479030396309</v>
      </c>
      <c r="F841" s="2" t="n">
        <v>-0.05349649046129595</v>
      </c>
      <c r="G841" s="2" t="n">
        <v>0.48</v>
      </c>
    </row>
    <row r="842">
      <c r="A842" s="2" t="n">
        <v>824</v>
      </c>
      <c r="B842" s="2" t="n">
        <v>18839.10758904812</v>
      </c>
      <c r="C842" s="2" t="n">
        <v>88.39107589048112</v>
      </c>
      <c r="D842" s="2" t="n">
        <v>8839.107589048115</v>
      </c>
      <c r="E842" s="2" t="n">
        <v>-563.5479030396309</v>
      </c>
      <c r="F842" s="2" t="n">
        <v>-0.1402964904612959</v>
      </c>
      <c r="G842" s="2" t="n">
        <v>0.44</v>
      </c>
    </row>
    <row r="843">
      <c r="A843" s="2" t="n">
        <v>825</v>
      </c>
      <c r="B843" s="2" t="n">
        <v>18904.89706273233</v>
      </c>
      <c r="C843" s="2" t="n">
        <v>89.04897062732323</v>
      </c>
      <c r="D843" s="2" t="n">
        <v>8904.897062732325</v>
      </c>
      <c r="E843" s="2" t="n">
        <v>-497.758429355421</v>
      </c>
      <c r="F843" s="2" t="n">
        <v>-0.1555807009876117</v>
      </c>
      <c r="G843" s="2" t="n">
        <v>0.44</v>
      </c>
    </row>
    <row r="844">
      <c r="A844" s="2" t="n">
        <v>826</v>
      </c>
      <c r="B844" s="2" t="n">
        <v>18804.89706273233</v>
      </c>
      <c r="C844" s="2" t="n">
        <v>88.04897062732323</v>
      </c>
      <c r="D844" s="2" t="n">
        <v>8804.897062732325</v>
      </c>
      <c r="E844" s="2" t="n">
        <v>-597.758429355421</v>
      </c>
      <c r="F844" s="2" t="n">
        <v>-0.2344156524439224</v>
      </c>
      <c r="G844" s="2" t="n">
        <v>0.4</v>
      </c>
    </row>
    <row r="845">
      <c r="A845" s="2" t="n">
        <v>827</v>
      </c>
      <c r="B845" s="2" t="n">
        <v>18917.89706273233</v>
      </c>
      <c r="C845" s="2" t="n">
        <v>89.17897062732322</v>
      </c>
      <c r="D845" s="2" t="n">
        <v>8917.897062732325</v>
      </c>
      <c r="E845" s="2" t="n">
        <v>-484.758429355421</v>
      </c>
      <c r="F845" s="2" t="n">
        <v>-0.1492156524439224</v>
      </c>
      <c r="G845" s="2" t="n">
        <v>0.44</v>
      </c>
    </row>
    <row r="846">
      <c r="A846" s="2" t="n">
        <v>828</v>
      </c>
      <c r="B846" s="2" t="n">
        <v>18817.89706273233</v>
      </c>
      <c r="C846" s="2" t="n">
        <v>88.17897062732322</v>
      </c>
      <c r="D846" s="2" t="n">
        <v>8817.897062732325</v>
      </c>
      <c r="E846" s="2" t="n">
        <v>-584.758429355421</v>
      </c>
      <c r="F846" s="2" t="n">
        <v>-0.1492156524439224</v>
      </c>
      <c r="G846" s="2" t="n">
        <v>0.44</v>
      </c>
    </row>
    <row r="847">
      <c r="A847" s="2" t="n">
        <v>829</v>
      </c>
      <c r="B847" s="2" t="n">
        <v>18897.89706273233</v>
      </c>
      <c r="C847" s="2" t="n">
        <v>88.97897062732322</v>
      </c>
      <c r="D847" s="2" t="n">
        <v>8897.897062732325</v>
      </c>
      <c r="E847" s="2" t="n">
        <v>-504.758429355421</v>
      </c>
      <c r="F847" s="2" t="n">
        <v>-0.152303371742168</v>
      </c>
      <c r="G847" s="2" t="n">
        <v>0.44</v>
      </c>
    </row>
    <row r="848">
      <c r="A848" s="2" t="n">
        <v>830</v>
      </c>
      <c r="B848" s="2" t="n">
        <v>18797.89706273233</v>
      </c>
      <c r="C848" s="2" t="n">
        <v>87.97897062732322</v>
      </c>
      <c r="D848" s="2" t="n">
        <v>8797.897062732325</v>
      </c>
      <c r="E848" s="2" t="n">
        <v>-604.758429355421</v>
      </c>
      <c r="F848" s="2" t="n">
        <v>-0.2419033717421681</v>
      </c>
      <c r="G848" s="2" t="n">
        <v>0.4</v>
      </c>
    </row>
    <row r="849">
      <c r="A849" s="2" t="n">
        <v>831</v>
      </c>
      <c r="B849" s="2" t="n">
        <v>18926.89706273233</v>
      </c>
      <c r="C849" s="2" t="n">
        <v>89.26897062732323</v>
      </c>
      <c r="D849" s="2" t="n">
        <v>8926.897062732325</v>
      </c>
      <c r="E849" s="2" t="n">
        <v>-475.758429355421</v>
      </c>
      <c r="F849" s="2" t="n">
        <v>-0.1503033717421681</v>
      </c>
      <c r="G849" s="2" t="n">
        <v>0.44</v>
      </c>
    </row>
    <row r="850">
      <c r="A850" s="2" t="n">
        <v>832</v>
      </c>
      <c r="B850" s="2" t="n">
        <v>18993.56372939899</v>
      </c>
      <c r="C850" s="2" t="n">
        <v>89.9356372939899</v>
      </c>
      <c r="D850" s="2" t="n">
        <v>8993.563729398991</v>
      </c>
      <c r="E850" s="2" t="n">
        <v>-409.0917626887531</v>
      </c>
      <c r="F850" s="2" t="n">
        <v>-0.1514144828532792</v>
      </c>
      <c r="G850" s="2" t="n">
        <v>0.44</v>
      </c>
    </row>
    <row r="851">
      <c r="A851" s="2" t="n">
        <v>833</v>
      </c>
      <c r="B851" s="2" t="n">
        <v>18893.56372939899</v>
      </c>
      <c r="C851" s="2" t="n">
        <v>88.9356372939899</v>
      </c>
      <c r="D851" s="2" t="n">
        <v>8893.563729398991</v>
      </c>
      <c r="E851" s="2" t="n">
        <v>-509.0917626887531</v>
      </c>
      <c r="F851" s="2" t="n">
        <v>-0.1514144828532792</v>
      </c>
      <c r="G851" s="2" t="n">
        <v>0.44</v>
      </c>
    </row>
    <row r="852">
      <c r="A852" s="2" t="n">
        <v>834</v>
      </c>
      <c r="B852" s="2" t="n">
        <v>18946.19530834636</v>
      </c>
      <c r="C852" s="2" t="n">
        <v>89.46195308346358</v>
      </c>
      <c r="D852" s="2" t="n">
        <v>8946.19530834636</v>
      </c>
      <c r="E852" s="2" t="n">
        <v>-456.4601837413866</v>
      </c>
      <c r="F852" s="2" t="n">
        <v>-0.09036185127433179</v>
      </c>
      <c r="G852" s="2" t="n">
        <v>0.48</v>
      </c>
    </row>
    <row r="853">
      <c r="A853" s="2" t="n">
        <v>835</v>
      </c>
      <c r="B853" s="2" t="n">
        <v>18846.19530834636</v>
      </c>
      <c r="C853" s="2" t="n">
        <v>88.46195308346358</v>
      </c>
      <c r="D853" s="2" t="n">
        <v>8846.19530834636</v>
      </c>
      <c r="E853" s="2" t="n">
        <v>-556.4601837413866</v>
      </c>
      <c r="F853" s="2" t="n">
        <v>-0.1711618512743318</v>
      </c>
      <c r="G853" s="2" t="n">
        <v>0.44</v>
      </c>
    </row>
    <row r="854">
      <c r="A854" s="2" t="n">
        <v>836</v>
      </c>
      <c r="B854" s="2" t="n">
        <v>18746.19530834636</v>
      </c>
      <c r="C854" s="2" t="n">
        <v>87.46195308346358</v>
      </c>
      <c r="D854" s="2" t="n">
        <v>8746.19530834636</v>
      </c>
      <c r="E854" s="2" t="n">
        <v>-656.4601837413866</v>
      </c>
      <c r="F854" s="2" t="n">
        <v>-0.1711618512743318</v>
      </c>
      <c r="G854" s="2" t="n">
        <v>0.44</v>
      </c>
    </row>
    <row r="855">
      <c r="A855" s="2" t="n">
        <v>837</v>
      </c>
      <c r="B855" s="2" t="n">
        <v>18871.19530834636</v>
      </c>
      <c r="C855" s="2" t="n">
        <v>88.71195308346358</v>
      </c>
      <c r="D855" s="2" t="n">
        <v>8871.19530834636</v>
      </c>
      <c r="E855" s="2" t="n">
        <v>-531.4601837413866</v>
      </c>
      <c r="F855" s="2" t="n">
        <v>-0.0811618512743318</v>
      </c>
      <c r="G855" s="2" t="n">
        <v>0.48</v>
      </c>
    </row>
    <row r="856">
      <c r="A856" s="2" t="n">
        <v>838</v>
      </c>
      <c r="B856" s="2" t="n">
        <v>18937.86197501302</v>
      </c>
      <c r="C856" s="2" t="n">
        <v>89.37861975013026</v>
      </c>
      <c r="D856" s="2" t="n">
        <v>8937.861975013026</v>
      </c>
      <c r="E856" s="2" t="n">
        <v>-464.7935170747223</v>
      </c>
      <c r="F856" s="2" t="n">
        <v>-0.01449518460766514</v>
      </c>
      <c r="G856" s="2" t="n">
        <v>0.52</v>
      </c>
    </row>
    <row r="857">
      <c r="A857" s="2" t="n">
        <v>839</v>
      </c>
      <c r="B857" s="2" t="n">
        <v>19034.9493536538</v>
      </c>
      <c r="C857" s="2" t="n">
        <v>90.34949353653802</v>
      </c>
      <c r="D857" s="2" t="n">
        <v>9034.949353653803</v>
      </c>
      <c r="E857" s="2" t="n">
        <v>-367.7061384339431</v>
      </c>
      <c r="F857" s="2" t="n">
        <v>0.06433976684864554</v>
      </c>
      <c r="G857" s="2" t="n">
        <v>0.5600000000000001</v>
      </c>
    </row>
    <row r="858">
      <c r="A858" s="2" t="n">
        <v>840</v>
      </c>
      <c r="B858" s="2" t="n">
        <v>19164.9493536538</v>
      </c>
      <c r="C858" s="2" t="n">
        <v>91.64949353653802</v>
      </c>
      <c r="D858" s="2" t="n">
        <v>9164.949353653803</v>
      </c>
      <c r="E858" s="2" t="n">
        <v>-237.7061384339431</v>
      </c>
      <c r="F858" s="2" t="n">
        <v>0.1563397668486455</v>
      </c>
      <c r="G858" s="2" t="n">
        <v>0.6</v>
      </c>
    </row>
    <row r="859">
      <c r="A859" s="2" t="n">
        <v>841</v>
      </c>
      <c r="B859" s="2" t="n">
        <v>19250.41943912389</v>
      </c>
      <c r="C859" s="2" t="n">
        <v>92.50419439123887</v>
      </c>
      <c r="D859" s="2" t="n">
        <v>9250.419439123889</v>
      </c>
      <c r="E859" s="2" t="n">
        <v>-152.2360529638572</v>
      </c>
      <c r="F859" s="2" t="n">
        <v>0.1557451923410275</v>
      </c>
      <c r="G859" s="2" t="n">
        <v>0.6</v>
      </c>
    </row>
    <row r="860">
      <c r="A860" s="2" t="n">
        <v>842</v>
      </c>
      <c r="B860" s="2" t="n">
        <v>19330.41943912389</v>
      </c>
      <c r="C860" s="2" t="n">
        <v>93.30419439123887</v>
      </c>
      <c r="D860" s="2" t="n">
        <v>9330.419439123889</v>
      </c>
      <c r="E860" s="2" t="n">
        <v>-72.23605296385722</v>
      </c>
      <c r="F860" s="2" t="n">
        <v>0.152346962252532</v>
      </c>
      <c r="G860" s="2" t="n">
        <v>0.6</v>
      </c>
    </row>
    <row r="861">
      <c r="A861" s="2" t="n">
        <v>843</v>
      </c>
      <c r="B861" s="2" t="n">
        <v>19430.41943912389</v>
      </c>
      <c r="C861" s="2" t="n">
        <v>94.30419439123887</v>
      </c>
      <c r="D861" s="2" t="n">
        <v>9430.419439123889</v>
      </c>
      <c r="E861" s="2" t="n">
        <v>0</v>
      </c>
      <c r="F861" s="2" t="n">
        <v>0.146746962252532</v>
      </c>
      <c r="G861" s="2" t="n">
        <v>0.6</v>
      </c>
    </row>
    <row r="862">
      <c r="A862" s="2" t="n">
        <v>844</v>
      </c>
      <c r="B862" s="2" t="n">
        <v>19330.41943912389</v>
      </c>
      <c r="C862" s="2" t="n">
        <v>93.30419439123887</v>
      </c>
      <c r="D862" s="2" t="n">
        <v>9330.419439123889</v>
      </c>
      <c r="E862" s="2" t="n">
        <v>-100</v>
      </c>
      <c r="F862" s="2" t="n">
        <v>0.08452474003030978</v>
      </c>
      <c r="G862" s="2" t="n">
        <v>0.5600000000000001</v>
      </c>
    </row>
    <row r="863">
      <c r="A863" s="2" t="n">
        <v>845</v>
      </c>
      <c r="B863" s="2" t="n">
        <v>19230.41943912389</v>
      </c>
      <c r="C863" s="2" t="n">
        <v>92.30419439123887</v>
      </c>
      <c r="D863" s="2" t="n">
        <v>9230.419439123889</v>
      </c>
      <c r="E863" s="2" t="n">
        <v>-200</v>
      </c>
      <c r="F863" s="2" t="n">
        <v>-0.003475259969690239</v>
      </c>
      <c r="G863" s="2" t="n">
        <v>0.52</v>
      </c>
    </row>
    <row r="864">
      <c r="A864" s="2" t="n">
        <v>846</v>
      </c>
      <c r="B864" s="2" t="n">
        <v>19365.41943912389</v>
      </c>
      <c r="C864" s="2" t="n">
        <v>93.65419439123886</v>
      </c>
      <c r="D864" s="2" t="n">
        <v>9365.419439123889</v>
      </c>
      <c r="E864" s="2" t="n">
        <v>-65</v>
      </c>
      <c r="F864" s="2" t="n">
        <v>0.09052474003030976</v>
      </c>
      <c r="G864" s="2" t="n">
        <v>0.5600000000000001</v>
      </c>
    </row>
    <row r="865">
      <c r="A865" s="2" t="n">
        <v>847</v>
      </c>
      <c r="B865" s="2" t="n">
        <v>19436.84801055246</v>
      </c>
      <c r="C865" s="2" t="n">
        <v>94.36848010552457</v>
      </c>
      <c r="D865" s="2" t="n">
        <v>9436.84801055246</v>
      </c>
      <c r="E865" s="2" t="n">
        <v>0</v>
      </c>
      <c r="F865" s="2" t="n">
        <v>0.1590961686017383</v>
      </c>
      <c r="G865" s="2" t="n">
        <v>0.6</v>
      </c>
    </row>
    <row r="866">
      <c r="A866" s="2" t="n">
        <v>848</v>
      </c>
      <c r="B866" s="2" t="n">
        <v>19336.84801055246</v>
      </c>
      <c r="C866" s="2" t="n">
        <v>93.36848010552457</v>
      </c>
      <c r="D866" s="2" t="n">
        <v>9336.84801055246</v>
      </c>
      <c r="E866" s="2" t="n">
        <v>-100</v>
      </c>
      <c r="F866" s="2" t="n">
        <v>0.1590961686017383</v>
      </c>
      <c r="G866" s="2" t="n">
        <v>0.6</v>
      </c>
    </row>
    <row r="867">
      <c r="A867" s="2" t="n">
        <v>849</v>
      </c>
      <c r="B867" s="2" t="n">
        <v>19405.81352779384</v>
      </c>
      <c r="C867" s="2" t="n">
        <v>94.05813527793836</v>
      </c>
      <c r="D867" s="2" t="n">
        <v>9405.813527793838</v>
      </c>
      <c r="E867" s="2" t="n">
        <v>-31.03448275861956</v>
      </c>
      <c r="F867" s="2" t="n">
        <v>0.2266823754982901</v>
      </c>
      <c r="G867" s="2" t="n">
        <v>0.64</v>
      </c>
    </row>
    <row r="868">
      <c r="A868" s="2" t="n">
        <v>850</v>
      </c>
      <c r="B868" s="2" t="n">
        <v>19515.81352779384</v>
      </c>
      <c r="C868" s="2" t="n">
        <v>95.15813527793836</v>
      </c>
      <c r="D868" s="2" t="n">
        <v>9515.813527793838</v>
      </c>
      <c r="E868" s="2" t="n">
        <v>0</v>
      </c>
      <c r="F868" s="2" t="n">
        <v>0.2443665860246059</v>
      </c>
      <c r="G868" s="2" t="n">
        <v>0.64</v>
      </c>
    </row>
    <row r="869">
      <c r="A869" s="2" t="n">
        <v>851</v>
      </c>
      <c r="B869" s="2" t="n">
        <v>19647.81352779384</v>
      </c>
      <c r="C869" s="2" t="n">
        <v>96.47813527793835</v>
      </c>
      <c r="D869" s="2" t="n">
        <v>9647.813527793838</v>
      </c>
      <c r="E869" s="2" t="n">
        <v>0</v>
      </c>
      <c r="F869" s="2" t="n">
        <v>0.3371665860246058</v>
      </c>
      <c r="G869" s="2" t="n">
        <v>0.68</v>
      </c>
    </row>
    <row r="870">
      <c r="A870" s="2" t="n">
        <v>852</v>
      </c>
      <c r="B870" s="2" t="n">
        <v>19712.3296568261</v>
      </c>
      <c r="C870" s="2" t="n">
        <v>97.12329656826093</v>
      </c>
      <c r="D870" s="2" t="n">
        <v>9712.329656826096</v>
      </c>
      <c r="E870" s="2" t="n">
        <v>0</v>
      </c>
      <c r="F870" s="2" t="n">
        <v>0.3177730376375091</v>
      </c>
      <c r="G870" s="2" t="n">
        <v>0.68</v>
      </c>
    </row>
    <row r="871">
      <c r="A871" s="2" t="n">
        <v>853</v>
      </c>
      <c r="B871" s="2" t="n">
        <v>19844.3296568261</v>
      </c>
      <c r="C871" s="2" t="n">
        <v>98.44329656826093</v>
      </c>
      <c r="D871" s="2" t="n">
        <v>9844.329656826096</v>
      </c>
      <c r="E871" s="2" t="n">
        <v>0</v>
      </c>
      <c r="F871" s="2" t="n">
        <v>0.4105730376375091</v>
      </c>
      <c r="G871" s="2" t="n">
        <v>0.72</v>
      </c>
    </row>
    <row r="872">
      <c r="A872" s="2" t="n">
        <v>854</v>
      </c>
      <c r="B872" s="2" t="n">
        <v>19915.75822825466</v>
      </c>
      <c r="C872" s="2" t="n">
        <v>99.15758228254664</v>
      </c>
      <c r="D872" s="2" t="n">
        <v>9915.758228254666</v>
      </c>
      <c r="E872" s="2" t="n">
        <v>0</v>
      </c>
      <c r="F872" s="2" t="n">
        <v>0.4071444662089377</v>
      </c>
      <c r="G872" s="2" t="n">
        <v>0.72</v>
      </c>
    </row>
    <row r="873">
      <c r="A873" s="2" t="n">
        <v>855</v>
      </c>
      <c r="B873" s="2" t="n">
        <v>20002.7147499938</v>
      </c>
      <c r="C873" s="2" t="n">
        <v>100.0271474999379</v>
      </c>
      <c r="D873" s="2" t="n">
        <v>10002.7147499938</v>
      </c>
      <c r="E873" s="2" t="n">
        <v>0</v>
      </c>
      <c r="F873" s="2" t="n">
        <v>0.4819270749045899</v>
      </c>
      <c r="G873" s="2" t="n">
        <v>0.76</v>
      </c>
    </row>
    <row r="874">
      <c r="A874" s="2" t="n">
        <v>856</v>
      </c>
      <c r="B874" s="2" t="n">
        <v>20092.00046427951</v>
      </c>
      <c r="C874" s="2" t="n">
        <v>100.9200046427951</v>
      </c>
      <c r="D874" s="2" t="n">
        <v>10092.00046427951</v>
      </c>
      <c r="E874" s="2" t="n">
        <v>0</v>
      </c>
      <c r="F874" s="2" t="n">
        <v>0.4660413606188756</v>
      </c>
      <c r="G874" s="2" t="n">
        <v>0.76</v>
      </c>
    </row>
    <row r="875">
      <c r="A875" s="2" t="n">
        <v>857</v>
      </c>
      <c r="B875" s="2" t="n">
        <v>19992.00046427951</v>
      </c>
      <c r="C875" s="2" t="n">
        <v>99.92000464279508</v>
      </c>
      <c r="D875" s="2" t="n">
        <v>9992.00046427951</v>
      </c>
      <c r="E875" s="2" t="n">
        <v>-100</v>
      </c>
      <c r="F875" s="2" t="n">
        <v>0.3993746939522089</v>
      </c>
      <c r="G875" s="2" t="n">
        <v>0.72</v>
      </c>
    </row>
    <row r="876">
      <c r="A876" s="2" t="n">
        <v>858</v>
      </c>
      <c r="B876" s="2" t="n">
        <v>20051.88070380047</v>
      </c>
      <c r="C876" s="2" t="n">
        <v>100.5188070380047</v>
      </c>
      <c r="D876" s="2" t="n">
        <v>10051.88070380047</v>
      </c>
      <c r="E876" s="2" t="n">
        <v>-40.11976047904318</v>
      </c>
      <c r="F876" s="2" t="n">
        <v>0.4633267897605922</v>
      </c>
      <c r="G876" s="2" t="n">
        <v>0.76</v>
      </c>
    </row>
    <row r="877">
      <c r="A877" s="2" t="n">
        <v>859</v>
      </c>
      <c r="B877" s="2" t="n">
        <v>19951.88070380047</v>
      </c>
      <c r="C877" s="2" t="n">
        <v>99.51880703800465</v>
      </c>
      <c r="D877" s="2" t="n">
        <v>9951.880703800469</v>
      </c>
      <c r="E877" s="2" t="n">
        <v>-140.1197604790432</v>
      </c>
      <c r="F877" s="2" t="n">
        <v>0.4022741581816447</v>
      </c>
      <c r="G877" s="2" t="n">
        <v>0.72</v>
      </c>
    </row>
    <row r="878">
      <c r="A878" s="2" t="n">
        <v>860</v>
      </c>
      <c r="B878" s="2" t="n">
        <v>20047.11879903857</v>
      </c>
      <c r="C878" s="2" t="n">
        <v>100.4711879903856</v>
      </c>
      <c r="D878" s="2" t="n">
        <v>10047.11879903856</v>
      </c>
      <c r="E878" s="2" t="n">
        <v>-44.88166524094413</v>
      </c>
      <c r="F878" s="2" t="n">
        <v>0.4803693962768829</v>
      </c>
      <c r="G878" s="2" t="n">
        <v>0.76</v>
      </c>
    </row>
    <row r="879">
      <c r="A879" s="2" t="n">
        <v>861</v>
      </c>
      <c r="B879" s="2" t="n">
        <v>19947.11879903857</v>
      </c>
      <c r="C879" s="2" t="n">
        <v>99.4711879903856</v>
      </c>
      <c r="D879" s="2" t="n">
        <v>9947.118799038564</v>
      </c>
      <c r="E879" s="2" t="n">
        <v>-144.8816652409441</v>
      </c>
      <c r="F879" s="2" t="n">
        <v>0.4803693962768829</v>
      </c>
      <c r="G879" s="2" t="n">
        <v>0.76</v>
      </c>
    </row>
    <row r="880">
      <c r="A880" s="2" t="n">
        <v>862</v>
      </c>
      <c r="B880" s="2" t="n">
        <v>20013.78546570523</v>
      </c>
      <c r="C880" s="2" t="n">
        <v>100.1378546570523</v>
      </c>
      <c r="D880" s="2" t="n">
        <v>10013.78546570523</v>
      </c>
      <c r="E880" s="2" t="n">
        <v>-78.21499857427989</v>
      </c>
      <c r="F880" s="2" t="n">
        <v>0.4570360629435495</v>
      </c>
      <c r="G880" s="2" t="n">
        <v>0.76</v>
      </c>
    </row>
    <row r="881">
      <c r="A881" s="2" t="n">
        <v>863</v>
      </c>
      <c r="B881" s="2" t="n">
        <v>20151.78546570523</v>
      </c>
      <c r="C881" s="2" t="n">
        <v>101.5178546570523</v>
      </c>
      <c r="D881" s="2" t="n">
        <v>10151.78546570523</v>
      </c>
      <c r="E881" s="2" t="n">
        <v>0</v>
      </c>
      <c r="F881" s="2" t="n">
        <v>0.4855693962768829</v>
      </c>
      <c r="G881" s="2" t="n">
        <v>0.76</v>
      </c>
    </row>
    <row r="882">
      <c r="A882" s="2" t="n">
        <v>864</v>
      </c>
      <c r="B882" s="2" t="n">
        <v>20051.78546570523</v>
      </c>
      <c r="C882" s="2" t="n">
        <v>100.5178546570523</v>
      </c>
      <c r="D882" s="2" t="n">
        <v>10051.78546570523</v>
      </c>
      <c r="E882" s="2" t="n">
        <v>-100</v>
      </c>
      <c r="F882" s="2" t="n">
        <v>0.4067344448205722</v>
      </c>
      <c r="G882" s="2" t="n">
        <v>0.72</v>
      </c>
    </row>
    <row r="883">
      <c r="A883" s="2" t="n">
        <v>865</v>
      </c>
      <c r="B883" s="2" t="n">
        <v>19951.78546570523</v>
      </c>
      <c r="C883" s="2" t="n">
        <v>99.51785465705227</v>
      </c>
      <c r="D883" s="2" t="n">
        <v>9951.78546570523</v>
      </c>
      <c r="E883" s="2" t="n">
        <v>-200</v>
      </c>
      <c r="F883" s="2" t="n">
        <v>0.3147344448205722</v>
      </c>
      <c r="G883" s="2" t="n">
        <v>0.68</v>
      </c>
    </row>
    <row r="884">
      <c r="A884" s="2" t="n">
        <v>866</v>
      </c>
      <c r="B884" s="2" t="n">
        <v>19851.78546570523</v>
      </c>
      <c r="C884" s="2" t="n">
        <v>98.51785465705227</v>
      </c>
      <c r="D884" s="2" t="n">
        <v>9851.78546570523</v>
      </c>
      <c r="E884" s="2" t="n">
        <v>-300</v>
      </c>
      <c r="F884" s="2" t="n">
        <v>0.240546410632538</v>
      </c>
      <c r="G884" s="2" t="n">
        <v>0.64</v>
      </c>
    </row>
    <row r="885">
      <c r="A885" s="2" t="n">
        <v>867</v>
      </c>
      <c r="B885" s="2" t="n">
        <v>19751.78546570523</v>
      </c>
      <c r="C885" s="2" t="n">
        <v>97.51785465705227</v>
      </c>
      <c r="D885" s="2" t="n">
        <v>9751.78546570523</v>
      </c>
      <c r="E885" s="2" t="n">
        <v>-400</v>
      </c>
      <c r="F885" s="2" t="n">
        <v>0.168546410632538</v>
      </c>
      <c r="G885" s="2" t="n">
        <v>0.6</v>
      </c>
    </row>
    <row r="886">
      <c r="A886" s="2" t="n">
        <v>868</v>
      </c>
      <c r="B886" s="2" t="n">
        <v>19826.41233137687</v>
      </c>
      <c r="C886" s="2" t="n">
        <v>98.26412331376869</v>
      </c>
      <c r="D886" s="2" t="n">
        <v>9826.412331376872</v>
      </c>
      <c r="E886" s="2" t="n">
        <v>-325.373134328358</v>
      </c>
      <c r="F886" s="2" t="n">
        <v>0.1583971569011947</v>
      </c>
      <c r="G886" s="2" t="n">
        <v>0.6</v>
      </c>
    </row>
    <row r="887">
      <c r="A887" s="2" t="n">
        <v>869</v>
      </c>
      <c r="B887" s="2" t="n">
        <v>19903.33540829995</v>
      </c>
      <c r="C887" s="2" t="n">
        <v>99.03335408299947</v>
      </c>
      <c r="D887" s="2" t="n">
        <v>9903.335408299949</v>
      </c>
      <c r="E887" s="2" t="n">
        <v>-248.4500574052799</v>
      </c>
      <c r="F887" s="2" t="n">
        <v>0.2291663876704255</v>
      </c>
      <c r="G887" s="2" t="n">
        <v>0.64</v>
      </c>
    </row>
    <row r="888">
      <c r="A888" s="2" t="n">
        <v>870</v>
      </c>
      <c r="B888" s="2" t="n">
        <v>19803.33540829995</v>
      </c>
      <c r="C888" s="2" t="n">
        <v>98.03335408299947</v>
      </c>
      <c r="D888" s="2" t="n">
        <v>9803.335408299949</v>
      </c>
      <c r="E888" s="2" t="n">
        <v>-348.4500574052799</v>
      </c>
      <c r="F888" s="2" t="n">
        <v>0.2291663876704255</v>
      </c>
      <c r="G888" s="2" t="n">
        <v>0.64</v>
      </c>
    </row>
    <row r="889">
      <c r="A889" s="2" t="n">
        <v>871</v>
      </c>
      <c r="B889" s="2" t="n">
        <v>19703.33540829995</v>
      </c>
      <c r="C889" s="2" t="n">
        <v>97.03335408299947</v>
      </c>
      <c r="D889" s="2" t="n">
        <v>9703.335408299949</v>
      </c>
      <c r="E889" s="2" t="n">
        <v>-448.4500574052799</v>
      </c>
      <c r="F889" s="2" t="n">
        <v>0.1351663876704254</v>
      </c>
      <c r="G889" s="2" t="n">
        <v>0.6</v>
      </c>
    </row>
    <row r="890">
      <c r="A890" s="2" t="n">
        <v>872</v>
      </c>
      <c r="B890" s="2" t="n">
        <v>19767.85153733221</v>
      </c>
      <c r="C890" s="2" t="n">
        <v>97.67851537332204</v>
      </c>
      <c r="D890" s="2" t="n">
        <v>9767.851537332206</v>
      </c>
      <c r="E890" s="2" t="n">
        <v>-383.9339283730224</v>
      </c>
      <c r="F890" s="2" t="n">
        <v>0.1324014107119001</v>
      </c>
      <c r="G890" s="2" t="n">
        <v>0.6</v>
      </c>
    </row>
    <row r="891">
      <c r="A891" s="2" t="n">
        <v>873</v>
      </c>
      <c r="B891" s="2" t="n">
        <v>19845.37091717717</v>
      </c>
      <c r="C891" s="2" t="n">
        <v>98.45370917177165</v>
      </c>
      <c r="D891" s="2" t="n">
        <v>9845.370917177168</v>
      </c>
      <c r="E891" s="2" t="n">
        <v>-306.4145485280605</v>
      </c>
      <c r="F891" s="2" t="n">
        <v>0.2034091626498846</v>
      </c>
      <c r="G891" s="2" t="n">
        <v>0.64</v>
      </c>
    </row>
    <row r="892">
      <c r="A892" s="2" t="n">
        <v>874</v>
      </c>
      <c r="B892" s="2" t="n">
        <v>19983.37091717717</v>
      </c>
      <c r="C892" s="2" t="n">
        <v>99.83370917177164</v>
      </c>
      <c r="D892" s="2" t="n">
        <v>9983.370917177168</v>
      </c>
      <c r="E892" s="2" t="n">
        <v>-168.4145485280605</v>
      </c>
      <c r="F892" s="2" t="n">
        <v>0.2310229557533329</v>
      </c>
      <c r="G892" s="2" t="n">
        <v>0.64</v>
      </c>
    </row>
    <row r="893">
      <c r="A893" s="2" t="n">
        <v>875</v>
      </c>
      <c r="B893" s="2" t="n">
        <v>20050.93848474474</v>
      </c>
      <c r="C893" s="2" t="n">
        <v>100.5093848474473</v>
      </c>
      <c r="D893" s="2" t="n">
        <v>10050.93848474474</v>
      </c>
      <c r="E893" s="2" t="n">
        <v>-100.846980960494</v>
      </c>
      <c r="F893" s="2" t="n">
        <v>0.2140499827803599</v>
      </c>
      <c r="G893" s="2" t="n">
        <v>0.64</v>
      </c>
    </row>
    <row r="894">
      <c r="A894" s="2" t="n">
        <v>876</v>
      </c>
      <c r="B894" s="2" t="n">
        <v>20120.86855467481</v>
      </c>
      <c r="C894" s="2" t="n">
        <v>101.208685546748</v>
      </c>
      <c r="D894" s="2" t="n">
        <v>10120.86855467481</v>
      </c>
      <c r="E894" s="2" t="n">
        <v>-30.91691103042467</v>
      </c>
      <c r="F894" s="2" t="n">
        <v>0.1892220107523878</v>
      </c>
      <c r="G894" s="2" t="n">
        <v>0.64</v>
      </c>
    </row>
    <row r="895">
      <c r="A895" s="2" t="n">
        <v>877</v>
      </c>
      <c r="B895" s="2" t="n">
        <v>20020.86855467481</v>
      </c>
      <c r="C895" s="2" t="n">
        <v>100.208685546748</v>
      </c>
      <c r="D895" s="2" t="n">
        <v>10020.86855467481</v>
      </c>
      <c r="E895" s="2" t="n">
        <v>-130.9169110304247</v>
      </c>
      <c r="F895" s="2" t="n">
        <v>0.1234155591394846</v>
      </c>
      <c r="G895" s="2" t="n">
        <v>0.6</v>
      </c>
    </row>
    <row r="896">
      <c r="A896" s="2" t="n">
        <v>878</v>
      </c>
      <c r="B896" s="2" t="n">
        <v>19920.86855467481</v>
      </c>
      <c r="C896" s="2" t="n">
        <v>99.20868554674801</v>
      </c>
      <c r="D896" s="2" t="n">
        <v>9920.868554674806</v>
      </c>
      <c r="E896" s="2" t="n">
        <v>-230.9169110304247</v>
      </c>
      <c r="F896" s="2" t="n">
        <v>0.03061555913948462</v>
      </c>
      <c r="G896" s="2" t="n">
        <v>0.5600000000000001</v>
      </c>
    </row>
    <row r="897">
      <c r="A897" s="2" t="n">
        <v>879</v>
      </c>
      <c r="B897" s="2" t="n">
        <v>19820.86855467481</v>
      </c>
      <c r="C897" s="2" t="n">
        <v>98.20868554674801</v>
      </c>
      <c r="D897" s="2" t="n">
        <v>9820.868554674806</v>
      </c>
      <c r="E897" s="2" t="n">
        <v>-330.9169110304247</v>
      </c>
      <c r="F897" s="2" t="n">
        <v>-0.03795586943194396</v>
      </c>
      <c r="G897" s="2" t="n">
        <v>0.52</v>
      </c>
    </row>
    <row r="898">
      <c r="A898" s="2" t="n">
        <v>880</v>
      </c>
      <c r="B898" s="2" t="n">
        <v>19720.86855467481</v>
      </c>
      <c r="C898" s="2" t="n">
        <v>97.20868554674801</v>
      </c>
      <c r="D898" s="2" t="n">
        <v>9720.868554674806</v>
      </c>
      <c r="E898" s="2" t="n">
        <v>-430.9169110304247</v>
      </c>
      <c r="F898" s="2" t="n">
        <v>-0.1127384781275961</v>
      </c>
      <c r="G898" s="2" t="n">
        <v>0.48</v>
      </c>
    </row>
    <row r="899">
      <c r="A899" s="2" t="n">
        <v>881</v>
      </c>
      <c r="B899" s="2" t="n">
        <v>19620.86855467481</v>
      </c>
      <c r="C899" s="2" t="n">
        <v>96.20868554674801</v>
      </c>
      <c r="D899" s="2" t="n">
        <v>9620.868554674806</v>
      </c>
      <c r="E899" s="2" t="n">
        <v>-530.9169110304247</v>
      </c>
      <c r="F899" s="2" t="n">
        <v>-0.1884527638418818</v>
      </c>
      <c r="G899" s="2" t="n">
        <v>0.44</v>
      </c>
    </row>
    <row r="900">
      <c r="A900" s="2" t="n">
        <v>882</v>
      </c>
      <c r="B900" s="2" t="n">
        <v>19748.86855467481</v>
      </c>
      <c r="C900" s="2" t="n">
        <v>97.48868554674802</v>
      </c>
      <c r="D900" s="2" t="n">
        <v>9748.868554674806</v>
      </c>
      <c r="E900" s="2" t="n">
        <v>-402.9169110304247</v>
      </c>
      <c r="F900" s="2" t="n">
        <v>-0.09725276384188182</v>
      </c>
      <c r="G900" s="2" t="n">
        <v>0.48</v>
      </c>
    </row>
    <row r="901">
      <c r="A901" s="2" t="n">
        <v>883</v>
      </c>
      <c r="B901" s="2" t="n">
        <v>19648.86855467481</v>
      </c>
      <c r="C901" s="2" t="n">
        <v>96.48868554674802</v>
      </c>
      <c r="D901" s="2" t="n">
        <v>9648.868554674806</v>
      </c>
      <c r="E901" s="2" t="n">
        <v>-502.9169110304247</v>
      </c>
      <c r="F901" s="2" t="n">
        <v>-0.161204859650265</v>
      </c>
      <c r="G901" s="2" t="n">
        <v>0.44</v>
      </c>
    </row>
    <row r="902">
      <c r="A902" s="2" t="n">
        <v>884</v>
      </c>
      <c r="B902" s="2" t="n">
        <v>19753.86855467481</v>
      </c>
      <c r="C902" s="2" t="n">
        <v>97.53868554674801</v>
      </c>
      <c r="D902" s="2" t="n">
        <v>9753.868554674806</v>
      </c>
      <c r="E902" s="2" t="n">
        <v>-397.9169110304247</v>
      </c>
      <c r="F902" s="2" t="n">
        <v>-0.07920485965026507</v>
      </c>
      <c r="G902" s="2" t="n">
        <v>0.48</v>
      </c>
    </row>
    <row r="903">
      <c r="A903" s="2" t="n">
        <v>885</v>
      </c>
      <c r="B903" s="2" t="n">
        <v>19888.86855467481</v>
      </c>
      <c r="C903" s="2" t="n">
        <v>98.88868554674801</v>
      </c>
      <c r="D903" s="2" t="n">
        <v>9888.868554674806</v>
      </c>
      <c r="E903" s="2" t="n">
        <v>-262.9169110304247</v>
      </c>
      <c r="F903" s="2" t="n">
        <v>-0.06330009774550314</v>
      </c>
      <c r="G903" s="2" t="n">
        <v>0.48</v>
      </c>
    </row>
    <row r="904">
      <c r="A904" s="2" t="n">
        <v>886</v>
      </c>
      <c r="B904" s="2" t="n">
        <v>19958.31299911925</v>
      </c>
      <c r="C904" s="2" t="n">
        <v>99.58312999119245</v>
      </c>
      <c r="D904" s="2" t="n">
        <v>9958.312999119251</v>
      </c>
      <c r="E904" s="2" t="n">
        <v>-193.4724665859794</v>
      </c>
      <c r="F904" s="2" t="n">
        <v>0.004477680032274627</v>
      </c>
      <c r="G904" s="2" t="n">
        <v>0.52</v>
      </c>
    </row>
    <row r="905">
      <c r="A905" s="2" t="n">
        <v>887</v>
      </c>
      <c r="B905" s="2" t="n">
        <v>19858.31299911925</v>
      </c>
      <c r="C905" s="2" t="n">
        <v>98.58312999119245</v>
      </c>
      <c r="D905" s="2" t="n">
        <v>9858.312999119251</v>
      </c>
      <c r="E905" s="2" t="n">
        <v>-293.4724665859794</v>
      </c>
      <c r="F905" s="2" t="n">
        <v>-0.06218898663439203</v>
      </c>
      <c r="G905" s="2" t="n">
        <v>0.48</v>
      </c>
    </row>
    <row r="906">
      <c r="A906" s="2" t="n">
        <v>888</v>
      </c>
      <c r="B906" s="2" t="n">
        <v>19758.31299911925</v>
      </c>
      <c r="C906" s="2" t="n">
        <v>97.58312999119245</v>
      </c>
      <c r="D906" s="2" t="n">
        <v>9758.312999119251</v>
      </c>
      <c r="E906" s="2" t="n">
        <v>-393.4724665859794</v>
      </c>
      <c r="F906" s="2" t="n">
        <v>-0.157388986634392</v>
      </c>
      <c r="G906" s="2" t="n">
        <v>0.44</v>
      </c>
    </row>
    <row r="907">
      <c r="A907" s="2" t="n">
        <v>889</v>
      </c>
      <c r="B907" s="2" t="n">
        <v>19883.31299911925</v>
      </c>
      <c r="C907" s="2" t="n">
        <v>98.83312999119245</v>
      </c>
      <c r="D907" s="2" t="n">
        <v>9883.312999119251</v>
      </c>
      <c r="E907" s="2" t="n">
        <v>-268.4724665859794</v>
      </c>
      <c r="F907" s="2" t="n">
        <v>-0.06738898663439202</v>
      </c>
      <c r="G907" s="2" t="n">
        <v>0.48</v>
      </c>
    </row>
    <row r="908">
      <c r="A908" s="2" t="n">
        <v>890</v>
      </c>
      <c r="B908" s="2" t="n">
        <v>19953.24306904932</v>
      </c>
      <c r="C908" s="2" t="n">
        <v>99.53243069049314</v>
      </c>
      <c r="D908" s="2" t="n">
        <v>9953.24306904932</v>
      </c>
      <c r="E908" s="2" t="n">
        <v>-198.5423966559101</v>
      </c>
      <c r="F908" s="2" t="n">
        <v>0.0005830413376359366</v>
      </c>
      <c r="G908" s="2" t="n">
        <v>0.52</v>
      </c>
    </row>
    <row r="909">
      <c r="A909" s="2" t="n">
        <v>891</v>
      </c>
      <c r="B909" s="2" t="n">
        <v>19853.24306904932</v>
      </c>
      <c r="C909" s="2" t="n">
        <v>98.53243069049314</v>
      </c>
      <c r="D909" s="2" t="n">
        <v>9853.24306904932</v>
      </c>
      <c r="E909" s="2" t="n">
        <v>-298.5423966559101</v>
      </c>
      <c r="F909" s="2" t="n">
        <v>0.0005830413376359366</v>
      </c>
      <c r="G909" s="2" t="n">
        <v>0.52</v>
      </c>
    </row>
    <row r="910">
      <c r="A910" s="2" t="n">
        <v>892</v>
      </c>
      <c r="B910" s="2" t="n">
        <v>19753.24306904932</v>
      </c>
      <c r="C910" s="2" t="n">
        <v>97.53243069049314</v>
      </c>
      <c r="D910" s="2" t="n">
        <v>9753.24306904932</v>
      </c>
      <c r="E910" s="2" t="n">
        <v>-398.5423966559101</v>
      </c>
      <c r="F910" s="2" t="n">
        <v>0.0005830413376359366</v>
      </c>
      <c r="G910" s="2" t="n">
        <v>0.52</v>
      </c>
    </row>
    <row r="911">
      <c r="A911" s="2" t="n">
        <v>893</v>
      </c>
      <c r="B911" s="2" t="n">
        <v>19653.24306904932</v>
      </c>
      <c r="C911" s="2" t="n">
        <v>96.53243069049314</v>
      </c>
      <c r="D911" s="2" t="n">
        <v>9653.24306904932</v>
      </c>
      <c r="E911" s="2" t="n">
        <v>-498.5423966559101</v>
      </c>
      <c r="F911" s="2" t="n">
        <v>-0.06926770493102077</v>
      </c>
      <c r="G911" s="2" t="n">
        <v>0.48</v>
      </c>
    </row>
    <row r="912">
      <c r="A912" s="2" t="n">
        <v>894</v>
      </c>
      <c r="B912" s="2" t="n">
        <v>19714.97146411105</v>
      </c>
      <c r="C912" s="2" t="n">
        <v>97.14971464111042</v>
      </c>
      <c r="D912" s="2" t="n">
        <v>9714.971464111048</v>
      </c>
      <c r="E912" s="2" t="n">
        <v>-436.8140015941826</v>
      </c>
      <c r="F912" s="2" t="n">
        <v>-0.07534557767556019</v>
      </c>
      <c r="G912" s="2" t="n">
        <v>0.48</v>
      </c>
    </row>
    <row r="913">
      <c r="A913" s="2" t="n">
        <v>895</v>
      </c>
      <c r="B913" s="2" t="n">
        <v>19614.97146411105</v>
      </c>
      <c r="C913" s="2" t="n">
        <v>96.14971464111042</v>
      </c>
      <c r="D913" s="2" t="n">
        <v>9614.971464111048</v>
      </c>
      <c r="E913" s="2" t="n">
        <v>-536.8140015941826</v>
      </c>
      <c r="F913" s="2" t="n">
        <v>-0.07534557767556019</v>
      </c>
      <c r="G913" s="2" t="n">
        <v>0.48</v>
      </c>
    </row>
    <row r="914">
      <c r="A914" s="2" t="n">
        <v>896</v>
      </c>
      <c r="B914" s="2" t="n">
        <v>19514.97146411105</v>
      </c>
      <c r="C914" s="2" t="n">
        <v>95.14971464111042</v>
      </c>
      <c r="D914" s="2" t="n">
        <v>9514.971464111048</v>
      </c>
      <c r="E914" s="2" t="n">
        <v>-636.8140015941826</v>
      </c>
      <c r="F914" s="2" t="n">
        <v>-0.07534557767556019</v>
      </c>
      <c r="G914" s="2" t="n">
        <v>0.48</v>
      </c>
    </row>
    <row r="915">
      <c r="A915" s="2" t="n">
        <v>897</v>
      </c>
      <c r="B915" s="2" t="n">
        <v>19414.97146411105</v>
      </c>
      <c r="C915" s="2" t="n">
        <v>94.14971464111042</v>
      </c>
      <c r="D915" s="2" t="n">
        <v>9414.971464111048</v>
      </c>
      <c r="E915" s="2" t="n">
        <v>-736.8140015941826</v>
      </c>
      <c r="F915" s="2" t="n">
        <v>-0.1411520292884634</v>
      </c>
      <c r="G915" s="2" t="n">
        <v>0.44</v>
      </c>
    </row>
    <row r="916">
      <c r="A916" s="2" t="n">
        <v>898</v>
      </c>
      <c r="B916" s="2" t="n">
        <v>19514.97146411105</v>
      </c>
      <c r="C916" s="2" t="n">
        <v>95.14971464111042</v>
      </c>
      <c r="D916" s="2" t="n">
        <v>9514.971464111048</v>
      </c>
      <c r="E916" s="2" t="n">
        <v>-636.8140015941826</v>
      </c>
      <c r="F916" s="2" t="n">
        <v>-0.1321597812264479</v>
      </c>
      <c r="G916" s="2" t="n">
        <v>0.44</v>
      </c>
    </row>
    <row r="917">
      <c r="A917" s="2" t="n">
        <v>899</v>
      </c>
      <c r="B917" s="2" t="n">
        <v>19414.97146411105</v>
      </c>
      <c r="C917" s="2" t="n">
        <v>94.14971464111042</v>
      </c>
      <c r="D917" s="2" t="n">
        <v>9414.971464111048</v>
      </c>
      <c r="E917" s="2" t="n">
        <v>-736.8140015941826</v>
      </c>
      <c r="F917" s="2" t="n">
        <v>-0.2273597812264479</v>
      </c>
      <c r="G917" s="2" t="n">
        <v>0.4</v>
      </c>
    </row>
    <row r="918">
      <c r="A918" s="2" t="n">
        <v>900</v>
      </c>
      <c r="B918" s="2" t="n">
        <v>19502.69076235666</v>
      </c>
      <c r="C918" s="2" t="n">
        <v>95.02690762356656</v>
      </c>
      <c r="D918" s="2" t="n">
        <v>9502.690762356662</v>
      </c>
      <c r="E918" s="2" t="n">
        <v>-649.0947033485681</v>
      </c>
      <c r="F918" s="2" t="n">
        <v>-0.2192990889552293</v>
      </c>
      <c r="G918" s="2" t="n">
        <v>0.4</v>
      </c>
    </row>
    <row r="919">
      <c r="A919" s="2" t="n">
        <v>901</v>
      </c>
      <c r="B919" s="2" t="n">
        <v>19402.69076235666</v>
      </c>
      <c r="C919" s="2" t="n">
        <v>94.02690762356656</v>
      </c>
      <c r="D919" s="2" t="n">
        <v>9402.690762356662</v>
      </c>
      <c r="E919" s="2" t="n">
        <v>-749.0947033485681</v>
      </c>
      <c r="F919" s="2" t="n">
        <v>-0.2872711169272573</v>
      </c>
      <c r="G919" s="2" t="n">
        <v>0.36</v>
      </c>
    </row>
    <row r="920">
      <c r="A920" s="2" t="n">
        <v>902</v>
      </c>
      <c r="B920" s="2" t="n">
        <v>19302.69076235666</v>
      </c>
      <c r="C920" s="2" t="n">
        <v>93.02690762356656</v>
      </c>
      <c r="D920" s="2" t="n">
        <v>9302.690762356662</v>
      </c>
      <c r="E920" s="2" t="n">
        <v>-849.0947033485681</v>
      </c>
      <c r="F920" s="2" t="n">
        <v>-0.2872711169272573</v>
      </c>
      <c r="G920" s="2" t="n">
        <v>0.36</v>
      </c>
    </row>
    <row r="921">
      <c r="A921" s="2" t="n">
        <v>903</v>
      </c>
      <c r="B921" s="2" t="n">
        <v>19202.69076235666</v>
      </c>
      <c r="C921" s="2" t="n">
        <v>92.02690762356656</v>
      </c>
      <c r="D921" s="2" t="n">
        <v>9202.690762356662</v>
      </c>
      <c r="E921" s="2" t="n">
        <v>-949.0947033485681</v>
      </c>
      <c r="F921" s="2" t="n">
        <v>-0.2872711169272573</v>
      </c>
      <c r="G921" s="2" t="n">
        <v>0.36</v>
      </c>
    </row>
    <row r="922">
      <c r="A922" s="2" t="n">
        <v>904</v>
      </c>
      <c r="B922" s="2" t="n">
        <v>19102.69076235666</v>
      </c>
      <c r="C922" s="2" t="n">
        <v>91.02690762356656</v>
      </c>
      <c r="D922" s="2" t="n">
        <v>9102.690762356662</v>
      </c>
      <c r="E922" s="2" t="n">
        <v>-1049.094703348568</v>
      </c>
      <c r="F922" s="2" t="n">
        <v>-0.2872711169272573</v>
      </c>
      <c r="G922" s="2" t="n">
        <v>0.36</v>
      </c>
    </row>
    <row r="923">
      <c r="A923" s="2" t="n">
        <v>905</v>
      </c>
      <c r="B923" s="2" t="n">
        <v>19002.69076235666</v>
      </c>
      <c r="C923" s="2" t="n">
        <v>90.02690762356656</v>
      </c>
      <c r="D923" s="2" t="n">
        <v>9002.690762356662</v>
      </c>
      <c r="E923" s="2" t="n">
        <v>-1149.094703348568</v>
      </c>
      <c r="F923" s="2" t="n">
        <v>-0.2872711169272573</v>
      </c>
      <c r="G923" s="2" t="n">
        <v>0.36</v>
      </c>
    </row>
    <row r="924">
      <c r="A924" s="2" t="n">
        <v>906</v>
      </c>
      <c r="B924" s="2" t="n">
        <v>18902.69076235666</v>
      </c>
      <c r="C924" s="2" t="n">
        <v>89.02690762356656</v>
      </c>
      <c r="D924" s="2" t="n">
        <v>8902.690762356662</v>
      </c>
      <c r="E924" s="2" t="n">
        <v>-1249.094703348568</v>
      </c>
      <c r="F924" s="2" t="n">
        <v>-0.2872711169272573</v>
      </c>
      <c r="G924" s="2" t="n">
        <v>0.36</v>
      </c>
    </row>
    <row r="925">
      <c r="A925" s="2" t="n">
        <v>907</v>
      </c>
      <c r="B925" s="2" t="n">
        <v>18965.58384411767</v>
      </c>
      <c r="C925" s="2" t="n">
        <v>89.65583844117663</v>
      </c>
      <c r="D925" s="2" t="n">
        <v>8965.583844117669</v>
      </c>
      <c r="E925" s="2" t="n">
        <v>-1186.201621587563</v>
      </c>
      <c r="F925" s="2" t="n">
        <v>-0.3133138842228547</v>
      </c>
      <c r="G925" s="2" t="n">
        <v>0.36</v>
      </c>
    </row>
    <row r="926">
      <c r="A926" s="2" t="n">
        <v>908</v>
      </c>
      <c r="B926" s="2" t="n">
        <v>19058.17643671026</v>
      </c>
      <c r="C926" s="2" t="n">
        <v>90.58176436710255</v>
      </c>
      <c r="D926" s="2" t="n">
        <v>9058.176436710262</v>
      </c>
      <c r="E926" s="2" t="n">
        <v>-1093.609028994968</v>
      </c>
      <c r="F926" s="2" t="n">
        <v>-0.2362768471858178</v>
      </c>
      <c r="G926" s="2" t="n">
        <v>0.4</v>
      </c>
    </row>
    <row r="927">
      <c r="A927" s="2" t="n">
        <v>909</v>
      </c>
      <c r="B927" s="2" t="n">
        <v>19153.41453194836</v>
      </c>
      <c r="C927" s="2" t="n">
        <v>91.5341453194835</v>
      </c>
      <c r="D927" s="2" t="n">
        <v>9153.414531948358</v>
      </c>
      <c r="E927" s="2" t="n">
        <v>-998.3709337568725</v>
      </c>
      <c r="F927" s="2" t="n">
        <v>-0.2401816090905796</v>
      </c>
      <c r="G927" s="2" t="n">
        <v>0.4</v>
      </c>
    </row>
    <row r="928">
      <c r="A928" s="2" t="n">
        <v>910</v>
      </c>
      <c r="B928" s="2" t="n">
        <v>19240.37105368749</v>
      </c>
      <c r="C928" s="2" t="n">
        <v>92.4037105368748</v>
      </c>
      <c r="D928" s="2" t="n">
        <v>9240.371053687488</v>
      </c>
      <c r="E928" s="2" t="n">
        <v>-911.4144120177443</v>
      </c>
      <c r="F928" s="2" t="n">
        <v>-0.2593990003949275</v>
      </c>
      <c r="G928" s="2" t="n">
        <v>0.4</v>
      </c>
    </row>
    <row r="929">
      <c r="A929" s="2" t="n">
        <v>911</v>
      </c>
      <c r="B929" s="2" t="n">
        <v>19320.37105368749</v>
      </c>
      <c r="C929" s="2" t="n">
        <v>93.20371053687479</v>
      </c>
      <c r="D929" s="2" t="n">
        <v>9320.371053687488</v>
      </c>
      <c r="E929" s="2" t="n">
        <v>-831.4144120177443</v>
      </c>
      <c r="F929" s="2" t="n">
        <v>-0.2551767781727052</v>
      </c>
      <c r="G929" s="2" t="n">
        <v>0.4</v>
      </c>
    </row>
    <row r="930">
      <c r="A930" s="2" t="n">
        <v>912</v>
      </c>
      <c r="B930" s="2" t="n">
        <v>19450.37105368749</v>
      </c>
      <c r="C930" s="2" t="n">
        <v>94.50371053687479</v>
      </c>
      <c r="D930" s="2" t="n">
        <v>9450.371053687488</v>
      </c>
      <c r="E930" s="2" t="n">
        <v>-701.4144120177443</v>
      </c>
      <c r="F930" s="2" t="n">
        <v>-0.1631767781727053</v>
      </c>
      <c r="G930" s="2" t="n">
        <v>0.44</v>
      </c>
    </row>
    <row r="931">
      <c r="A931" s="2" t="n">
        <v>913</v>
      </c>
      <c r="B931" s="2" t="n">
        <v>19514.06532120341</v>
      </c>
      <c r="C931" s="2" t="n">
        <v>95.14065321203402</v>
      </c>
      <c r="D931" s="2" t="n">
        <v>9514.065321203412</v>
      </c>
      <c r="E931" s="2" t="n">
        <v>-637.7201445018181</v>
      </c>
      <c r="F931" s="2" t="n">
        <v>-0.09769907116633583</v>
      </c>
      <c r="G931" s="2" t="n">
        <v>0.48</v>
      </c>
    </row>
    <row r="932">
      <c r="A932" s="2" t="n">
        <v>914</v>
      </c>
      <c r="B932" s="2" t="n">
        <v>19414.06532120341</v>
      </c>
      <c r="C932" s="2" t="n">
        <v>94.14065321203402</v>
      </c>
      <c r="D932" s="2" t="n">
        <v>9414.065321203412</v>
      </c>
      <c r="E932" s="2" t="n">
        <v>-737.7201445018181</v>
      </c>
      <c r="F932" s="2" t="n">
        <v>-0.1876990711663358</v>
      </c>
      <c r="G932" s="2" t="n">
        <v>0.44</v>
      </c>
    </row>
    <row r="933">
      <c r="A933" s="2" t="n">
        <v>915</v>
      </c>
      <c r="B933" s="2" t="n">
        <v>19483.99539113348</v>
      </c>
      <c r="C933" s="2" t="n">
        <v>94.83995391133472</v>
      </c>
      <c r="D933" s="2" t="n">
        <v>9483.995391133481</v>
      </c>
      <c r="E933" s="2" t="n">
        <v>-667.7900745717488</v>
      </c>
      <c r="F933" s="2" t="n">
        <v>-0.1876990711663358</v>
      </c>
      <c r="G933" s="2" t="n">
        <v>0.44</v>
      </c>
    </row>
    <row r="934">
      <c r="A934" s="2" t="n">
        <v>916</v>
      </c>
      <c r="B934" s="2" t="n">
        <v>19383.99539113348</v>
      </c>
      <c r="C934" s="2" t="n">
        <v>93.83995391133472</v>
      </c>
      <c r="D934" s="2" t="n">
        <v>9383.995391133481</v>
      </c>
      <c r="E934" s="2" t="n">
        <v>-767.7900745717488</v>
      </c>
      <c r="F934" s="2" t="n">
        <v>-0.1876990711663358</v>
      </c>
      <c r="G934" s="2" t="n">
        <v>0.44</v>
      </c>
    </row>
    <row r="935">
      <c r="A935" s="2" t="n">
        <v>917</v>
      </c>
      <c r="B935" s="2" t="n">
        <v>19483.99539113348</v>
      </c>
      <c r="C935" s="2" t="n">
        <v>94.83995391133472</v>
      </c>
      <c r="D935" s="2" t="n">
        <v>9483.995391133481</v>
      </c>
      <c r="E935" s="2" t="n">
        <v>-667.7900745717488</v>
      </c>
      <c r="F935" s="2" t="n">
        <v>-0.1076990711663358</v>
      </c>
      <c r="G935" s="2" t="n">
        <v>0.48</v>
      </c>
    </row>
    <row r="936">
      <c r="A936" s="2" t="n">
        <v>918</v>
      </c>
      <c r="B936" s="2" t="n">
        <v>19383.99539113348</v>
      </c>
      <c r="C936" s="2" t="n">
        <v>93.83995391133472</v>
      </c>
      <c r="D936" s="2" t="n">
        <v>9383.995391133481</v>
      </c>
      <c r="E936" s="2" t="n">
        <v>-767.7900745717488</v>
      </c>
      <c r="F936" s="2" t="n">
        <v>-0.1076990711663358</v>
      </c>
      <c r="G936" s="2" t="n">
        <v>0.48</v>
      </c>
    </row>
    <row r="937">
      <c r="A937" s="2" t="n">
        <v>919</v>
      </c>
      <c r="B937" s="2" t="n">
        <v>19463.99539113348</v>
      </c>
      <c r="C937" s="2" t="n">
        <v>94.63995391133471</v>
      </c>
      <c r="D937" s="2" t="n">
        <v>9463.995391133481</v>
      </c>
      <c r="E937" s="2" t="n">
        <v>-687.7900745717488</v>
      </c>
      <c r="F937" s="2" t="n">
        <v>-0.1003904291910272</v>
      </c>
      <c r="G937" s="2" t="n">
        <v>0.48</v>
      </c>
    </row>
    <row r="938">
      <c r="A938" s="2" t="n">
        <v>920</v>
      </c>
      <c r="B938" s="2" t="n">
        <v>19581.99539113348</v>
      </c>
      <c r="C938" s="2" t="n">
        <v>95.81995391133472</v>
      </c>
      <c r="D938" s="2" t="n">
        <v>9581.995391133481</v>
      </c>
      <c r="E938" s="2" t="n">
        <v>-569.7900745717488</v>
      </c>
      <c r="F938" s="2" t="n">
        <v>-0.0131904291910272</v>
      </c>
      <c r="G938" s="2" t="n">
        <v>0.52</v>
      </c>
    </row>
    <row r="939">
      <c r="A939" s="2" t="n">
        <v>921</v>
      </c>
      <c r="B939" s="2" t="n">
        <v>19650.48854181841</v>
      </c>
      <c r="C939" s="2" t="n">
        <v>96.50488541818403</v>
      </c>
      <c r="D939" s="2" t="n">
        <v>9650.488541818413</v>
      </c>
      <c r="E939" s="2" t="n">
        <v>-501.2969238868172</v>
      </c>
      <c r="F939" s="2" t="n">
        <v>0.05420683108294541</v>
      </c>
      <c r="G939" s="2" t="n">
        <v>0.5600000000000001</v>
      </c>
    </row>
    <row r="940">
      <c r="A940" s="2" t="n">
        <v>922</v>
      </c>
      <c r="B940" s="2" t="n">
        <v>19550.48854181841</v>
      </c>
      <c r="C940" s="2" t="n">
        <v>95.50488541818403</v>
      </c>
      <c r="D940" s="2" t="n">
        <v>9550.488541818413</v>
      </c>
      <c r="E940" s="2" t="n">
        <v>-601.2969238868172</v>
      </c>
      <c r="F940" s="2" t="n">
        <v>0.0542068310829454</v>
      </c>
      <c r="G940" s="2" t="n">
        <v>0.5600000000000001</v>
      </c>
    </row>
    <row r="941">
      <c r="A941" s="2" t="n">
        <v>923</v>
      </c>
      <c r="B941" s="2" t="n">
        <v>19614.18280933434</v>
      </c>
      <c r="C941" s="2" t="n">
        <v>96.14182809334326</v>
      </c>
      <c r="D941" s="2" t="n">
        <v>9614.182809334337</v>
      </c>
      <c r="E941" s="2" t="n">
        <v>-537.6026563708947</v>
      </c>
      <c r="F941" s="2" t="n">
        <v>0.03968453808931483</v>
      </c>
      <c r="G941" s="2" t="n">
        <v>0.5600000000000001</v>
      </c>
    </row>
    <row r="942">
      <c r="A942" s="2" t="n">
        <v>924</v>
      </c>
      <c r="B942" s="2" t="n">
        <v>19514.18280933434</v>
      </c>
      <c r="C942" s="2" t="n">
        <v>95.14182809334326</v>
      </c>
      <c r="D942" s="2" t="n">
        <v>9514.182809334337</v>
      </c>
      <c r="E942" s="2" t="n">
        <v>-637.6026563708947</v>
      </c>
      <c r="F942" s="2" t="n">
        <v>0.03968453808931483</v>
      </c>
      <c r="G942" s="2" t="n">
        <v>0.5600000000000001</v>
      </c>
    </row>
    <row r="943">
      <c r="A943" s="2" t="n">
        <v>925</v>
      </c>
      <c r="B943" s="2" t="n">
        <v>19590.51868719693</v>
      </c>
      <c r="C943" s="2" t="n">
        <v>95.90518687196922</v>
      </c>
      <c r="D943" s="2" t="n">
        <v>9590.518687196933</v>
      </c>
      <c r="E943" s="2" t="n">
        <v>-561.2667785082958</v>
      </c>
      <c r="F943" s="2" t="n">
        <v>0.03513116993610738</v>
      </c>
      <c r="G943" s="2" t="n">
        <v>0.5600000000000001</v>
      </c>
    </row>
    <row r="944">
      <c r="A944" s="2" t="n">
        <v>926</v>
      </c>
      <c r="B944" s="2" t="n">
        <v>19490.51868719693</v>
      </c>
      <c r="C944" s="2" t="n">
        <v>94.90518687196922</v>
      </c>
      <c r="D944" s="2" t="n">
        <v>9490.518687196933</v>
      </c>
      <c r="E944" s="2" t="n">
        <v>-661.2667785082958</v>
      </c>
      <c r="F944" s="2" t="n">
        <v>0.03513116993610738</v>
      </c>
      <c r="G944" s="2" t="n">
        <v>0.5600000000000001</v>
      </c>
    </row>
    <row r="945">
      <c r="A945" s="2" t="n">
        <v>927</v>
      </c>
      <c r="B945" s="2" t="n">
        <v>19571.16384848725</v>
      </c>
      <c r="C945" s="2" t="n">
        <v>95.71163848487245</v>
      </c>
      <c r="D945" s="2" t="n">
        <v>9571.163848487255</v>
      </c>
      <c r="E945" s="2" t="n">
        <v>-580.6216172179775</v>
      </c>
      <c r="F945" s="2" t="n">
        <v>0.1073892344522364</v>
      </c>
      <c r="G945" s="2" t="n">
        <v>0.6</v>
      </c>
    </row>
    <row r="946">
      <c r="A946" s="2" t="n">
        <v>928</v>
      </c>
      <c r="B946" s="2" t="n">
        <v>19694.16384848725</v>
      </c>
      <c r="C946" s="2" t="n">
        <v>96.94163848487246</v>
      </c>
      <c r="D946" s="2" t="n">
        <v>9694.163848487255</v>
      </c>
      <c r="E946" s="2" t="n">
        <v>-457.6216172179775</v>
      </c>
      <c r="F946" s="2" t="n">
        <v>0.1965892344522364</v>
      </c>
      <c r="G946" s="2" t="n">
        <v>0.64</v>
      </c>
    </row>
    <row r="947">
      <c r="A947" s="2" t="n">
        <v>929</v>
      </c>
      <c r="B947" s="2" t="n">
        <v>19816.16384848725</v>
      </c>
      <c r="C947" s="2" t="n">
        <v>98.16163848487246</v>
      </c>
      <c r="D947" s="2" t="n">
        <v>9816.163848487255</v>
      </c>
      <c r="E947" s="2" t="n">
        <v>-335.6216172179775</v>
      </c>
      <c r="F947" s="2" t="n">
        <v>0.2853892344522364</v>
      </c>
      <c r="G947" s="2" t="n">
        <v>0.68</v>
      </c>
    </row>
    <row r="948">
      <c r="A948" s="2" t="n">
        <v>930</v>
      </c>
      <c r="B948" s="2" t="n">
        <v>19879.85811600318</v>
      </c>
      <c r="C948" s="2" t="n">
        <v>98.79858116003169</v>
      </c>
      <c r="D948" s="2" t="n">
        <v>9879.858116003179</v>
      </c>
      <c r="E948" s="2" t="n">
        <v>-271.9273497020513</v>
      </c>
      <c r="F948" s="2" t="n">
        <v>0.3508669414586059</v>
      </c>
      <c r="G948" s="2" t="n">
        <v>0.72</v>
      </c>
    </row>
    <row r="949">
      <c r="A949" s="2" t="n">
        <v>931</v>
      </c>
      <c r="B949" s="2" t="n">
        <v>19779.85811600318</v>
      </c>
      <c r="C949" s="2" t="n">
        <v>97.79858116003169</v>
      </c>
      <c r="D949" s="2" t="n">
        <v>9779.858116003179</v>
      </c>
      <c r="E949" s="2" t="n">
        <v>-371.9273497020513</v>
      </c>
      <c r="F949" s="2" t="n">
        <v>0.3508669414586059</v>
      </c>
      <c r="G949" s="2" t="n">
        <v>0.72</v>
      </c>
    </row>
    <row r="950">
      <c r="A950" s="2" t="n">
        <v>932</v>
      </c>
      <c r="B950" s="2" t="n">
        <v>19679.85811600318</v>
      </c>
      <c r="C950" s="2" t="n">
        <v>96.79858116003169</v>
      </c>
      <c r="D950" s="2" t="n">
        <v>9679.858116003179</v>
      </c>
      <c r="E950" s="2" t="n">
        <v>-471.9273497020513</v>
      </c>
      <c r="F950" s="2" t="n">
        <v>0.2857097087542033</v>
      </c>
      <c r="G950" s="2" t="n">
        <v>0.68</v>
      </c>
    </row>
    <row r="951">
      <c r="A951" s="2" t="n">
        <v>933</v>
      </c>
      <c r="B951" s="2" t="n">
        <v>19751.28668743175</v>
      </c>
      <c r="C951" s="2" t="n">
        <v>97.5128668743174</v>
      </c>
      <c r="D951" s="2" t="n">
        <v>9751.28668743175</v>
      </c>
      <c r="E951" s="2" t="n">
        <v>-400.4987782734825</v>
      </c>
      <c r="F951" s="2" t="n">
        <v>0.2772441002885948</v>
      </c>
      <c r="G951" s="2" t="n">
        <v>0.68</v>
      </c>
    </row>
    <row r="952">
      <c r="A952" s="2" t="n">
        <v>934</v>
      </c>
      <c r="B952" s="2" t="n">
        <v>19651.28668743175</v>
      </c>
      <c r="C952" s="2" t="n">
        <v>96.5128668743174</v>
      </c>
      <c r="D952" s="2" t="n">
        <v>9651.28668743175</v>
      </c>
      <c r="E952" s="2" t="n">
        <v>-500.4987782734825</v>
      </c>
      <c r="F952" s="2" t="n">
        <v>0.1991488621933568</v>
      </c>
      <c r="G952" s="2" t="n">
        <v>0.64</v>
      </c>
    </row>
    <row r="953">
      <c r="A953" s="2" t="n">
        <v>935</v>
      </c>
      <c r="B953" s="2" t="n">
        <v>19724.81609919645</v>
      </c>
      <c r="C953" s="2" t="n">
        <v>97.24816099196445</v>
      </c>
      <c r="D953" s="2" t="n">
        <v>9724.816099196456</v>
      </c>
      <c r="E953" s="2" t="n">
        <v>-426.9693665087761</v>
      </c>
      <c r="F953" s="2" t="n">
        <v>0.1937780182035869</v>
      </c>
      <c r="G953" s="2" t="n">
        <v>0.64</v>
      </c>
    </row>
    <row r="954">
      <c r="A954" s="2" t="n">
        <v>936</v>
      </c>
      <c r="B954" s="2" t="n">
        <v>19624.81609919645</v>
      </c>
      <c r="C954" s="2" t="n">
        <v>96.24816099196445</v>
      </c>
      <c r="D954" s="2" t="n">
        <v>9624.816099196456</v>
      </c>
      <c r="E954" s="2" t="n">
        <v>-526.9693665087761</v>
      </c>
      <c r="F954" s="2" t="n">
        <v>0.1217780182035869</v>
      </c>
      <c r="G954" s="2" t="n">
        <v>0.6</v>
      </c>
    </row>
    <row r="955">
      <c r="A955" s="2" t="n">
        <v>937</v>
      </c>
      <c r="B955" s="2" t="n">
        <v>19524.81609919645</v>
      </c>
      <c r="C955" s="2" t="n">
        <v>95.24816099196445</v>
      </c>
      <c r="D955" s="2" t="n">
        <v>9524.816099196456</v>
      </c>
      <c r="E955" s="2" t="n">
        <v>-626.9693665087761</v>
      </c>
      <c r="F955" s="2" t="n">
        <v>0.02977801820358694</v>
      </c>
      <c r="G955" s="2" t="n">
        <v>0.5600000000000001</v>
      </c>
    </row>
    <row r="956">
      <c r="A956" s="2" t="n">
        <v>938</v>
      </c>
      <c r="B956" s="2" t="n">
        <v>19424.81609919645</v>
      </c>
      <c r="C956" s="2" t="n">
        <v>94.24816099196445</v>
      </c>
      <c r="D956" s="2" t="n">
        <v>9424.816099196456</v>
      </c>
      <c r="E956" s="2" t="n">
        <v>-726.9693665087761</v>
      </c>
      <c r="F956" s="2" t="n">
        <v>-0.03569968880278248</v>
      </c>
      <c r="G956" s="2" t="n">
        <v>0.52</v>
      </c>
    </row>
    <row r="957">
      <c r="A957" s="2" t="n">
        <v>939</v>
      </c>
      <c r="B957" s="2" t="n">
        <v>19542.81609919645</v>
      </c>
      <c r="C957" s="2" t="n">
        <v>95.42816099196446</v>
      </c>
      <c r="D957" s="2" t="n">
        <v>9542.816099196456</v>
      </c>
      <c r="E957" s="2" t="n">
        <v>-608.9693665087761</v>
      </c>
      <c r="F957" s="2" t="n">
        <v>0.05150031119721751</v>
      </c>
      <c r="G957" s="2" t="n">
        <v>0.5600000000000001</v>
      </c>
    </row>
    <row r="958">
      <c r="A958" s="2" t="n">
        <v>940</v>
      </c>
      <c r="B958" s="2" t="n">
        <v>19442.81609919645</v>
      </c>
      <c r="C958" s="2" t="n">
        <v>94.42816099196446</v>
      </c>
      <c r="D958" s="2" t="n">
        <v>9442.816099196456</v>
      </c>
      <c r="E958" s="2" t="n">
        <v>-708.9693665087761</v>
      </c>
      <c r="F958" s="2" t="n">
        <v>-0.01647171677481046</v>
      </c>
      <c r="G958" s="2" t="n">
        <v>0.52</v>
      </c>
    </row>
    <row r="959">
      <c r="A959" s="2" t="n">
        <v>941</v>
      </c>
      <c r="B959" s="2" t="n">
        <v>19558.81609919645</v>
      </c>
      <c r="C959" s="2" t="n">
        <v>95.58816099196446</v>
      </c>
      <c r="D959" s="2" t="n">
        <v>9558.816099196456</v>
      </c>
      <c r="E959" s="2" t="n">
        <v>-592.9693665087761</v>
      </c>
      <c r="F959" s="2" t="n">
        <v>0.06992828322518956</v>
      </c>
      <c r="G959" s="2" t="n">
        <v>0.5600000000000001</v>
      </c>
    </row>
    <row r="960">
      <c r="A960" s="2" t="n">
        <v>942</v>
      </c>
      <c r="B960" s="2" t="n">
        <v>19681.81609919645</v>
      </c>
      <c r="C960" s="2" t="n">
        <v>96.81816099196446</v>
      </c>
      <c r="D960" s="2" t="n">
        <v>9681.816099196456</v>
      </c>
      <c r="E960" s="2" t="n">
        <v>-469.9693665087761</v>
      </c>
      <c r="F960" s="2" t="n">
        <v>0.07912828322518956</v>
      </c>
      <c r="G960" s="2" t="n">
        <v>0.5600000000000001</v>
      </c>
    </row>
    <row r="961">
      <c r="A961" s="2" t="n">
        <v>943</v>
      </c>
      <c r="B961" s="2" t="n">
        <v>19759.33547904142</v>
      </c>
      <c r="C961" s="2" t="n">
        <v>97.59335479041407</v>
      </c>
      <c r="D961" s="2" t="n">
        <v>9759.335479041418</v>
      </c>
      <c r="E961" s="2" t="n">
        <v>-392.4499866638143</v>
      </c>
      <c r="F961" s="2" t="n">
        <v>0.1501360351631741</v>
      </c>
      <c r="G961" s="2" t="n">
        <v>0.6</v>
      </c>
    </row>
    <row r="962">
      <c r="A962" s="2" t="n">
        <v>944</v>
      </c>
      <c r="B962" s="2" t="n">
        <v>19659.33547904142</v>
      </c>
      <c r="C962" s="2" t="n">
        <v>96.59335479041407</v>
      </c>
      <c r="D962" s="2" t="n">
        <v>9659.335479041418</v>
      </c>
      <c r="E962" s="2" t="n">
        <v>-492.4499866638143</v>
      </c>
      <c r="F962" s="2" t="n">
        <v>0.07813603516317404</v>
      </c>
      <c r="G962" s="2" t="n">
        <v>0.5600000000000001</v>
      </c>
    </row>
    <row r="963">
      <c r="A963" s="2" t="n">
        <v>945</v>
      </c>
      <c r="B963" s="2" t="n">
        <v>19723.85160807367</v>
      </c>
      <c r="C963" s="2" t="n">
        <v>97.23851608073664</v>
      </c>
      <c r="D963" s="2" t="n">
        <v>9723.851608073675</v>
      </c>
      <c r="E963" s="2" t="n">
        <v>-427.9338576315567</v>
      </c>
      <c r="F963" s="2" t="n">
        <v>0.05674248677607727</v>
      </c>
      <c r="G963" s="2" t="n">
        <v>0.5600000000000001</v>
      </c>
    </row>
    <row r="964">
      <c r="A964" s="2" t="n">
        <v>946</v>
      </c>
      <c r="B964" s="2" t="n">
        <v>19819.08970331177</v>
      </c>
      <c r="C964" s="2" t="n">
        <v>98.19089703311759</v>
      </c>
      <c r="D964" s="2" t="n">
        <v>9819.089703311771</v>
      </c>
      <c r="E964" s="2" t="n">
        <v>-332.6957623934577</v>
      </c>
      <c r="F964" s="2" t="n">
        <v>0.06744046459734276</v>
      </c>
      <c r="G964" s="2" t="n">
        <v>0.5600000000000001</v>
      </c>
    </row>
    <row r="965">
      <c r="A965" s="2" t="n">
        <v>947</v>
      </c>
      <c r="B965" s="2" t="n">
        <v>19919.08970331177</v>
      </c>
      <c r="C965" s="2" t="n">
        <v>99.19089703311759</v>
      </c>
      <c r="D965" s="2" t="n">
        <v>9919.089703311771</v>
      </c>
      <c r="E965" s="2" t="n">
        <v>-232.6957623934577</v>
      </c>
      <c r="F965" s="2" t="n">
        <v>0.1474404645973428</v>
      </c>
      <c r="G965" s="2" t="n">
        <v>0.6</v>
      </c>
    </row>
    <row r="966">
      <c r="A966" s="2" t="n">
        <v>948</v>
      </c>
      <c r="B966" s="2" t="n">
        <v>20002.4230366451</v>
      </c>
      <c r="C966" s="2" t="n">
        <v>100.0242303664509</v>
      </c>
      <c r="D966" s="2" t="n">
        <v>10002.4230366451</v>
      </c>
      <c r="E966" s="2" t="n">
        <v>-149.3624290601256</v>
      </c>
      <c r="F966" s="2" t="n">
        <v>0.1552960909243067</v>
      </c>
      <c r="G966" s="2" t="n">
        <v>0.6</v>
      </c>
    </row>
    <row r="967">
      <c r="A967" s="2" t="n">
        <v>949</v>
      </c>
      <c r="B967" s="2" t="n">
        <v>19902.4230366451</v>
      </c>
      <c r="C967" s="2" t="n">
        <v>99.02423036645092</v>
      </c>
      <c r="D967" s="2" t="n">
        <v>9902.423036645105</v>
      </c>
      <c r="E967" s="2" t="n">
        <v>-249.3624290601256</v>
      </c>
      <c r="F967" s="2" t="n">
        <v>0.1552960909243067</v>
      </c>
      <c r="G967" s="2" t="n">
        <v>0.6</v>
      </c>
    </row>
    <row r="968">
      <c r="A968" s="2" t="n">
        <v>950</v>
      </c>
      <c r="B968" s="2" t="n">
        <v>19802.4230366451</v>
      </c>
      <c r="C968" s="2" t="n">
        <v>98.02423036645092</v>
      </c>
      <c r="D968" s="2" t="n">
        <v>9802.423036645105</v>
      </c>
      <c r="E968" s="2" t="n">
        <v>-349.3624290601256</v>
      </c>
      <c r="F968" s="2" t="n">
        <v>0.08476173977926851</v>
      </c>
      <c r="G968" s="2" t="n">
        <v>0.5600000000000001</v>
      </c>
    </row>
    <row r="969">
      <c r="A969" s="2" t="n">
        <v>951</v>
      </c>
      <c r="B969" s="2" t="n">
        <v>19868.21251032931</v>
      </c>
      <c r="C969" s="2" t="n">
        <v>98.68212510329303</v>
      </c>
      <c r="D969" s="2" t="n">
        <v>9868.212510329315</v>
      </c>
      <c r="E969" s="2" t="n">
        <v>-283.5729553759156</v>
      </c>
      <c r="F969" s="2" t="n">
        <v>0.1510775292529527</v>
      </c>
      <c r="G969" s="2" t="n">
        <v>0.6</v>
      </c>
    </row>
    <row r="970">
      <c r="A970" s="2" t="n">
        <v>952</v>
      </c>
      <c r="B970" s="2" t="n">
        <v>19768.21251032931</v>
      </c>
      <c r="C970" s="2" t="n">
        <v>97.68212510329303</v>
      </c>
      <c r="D970" s="2" t="n">
        <v>9768.212510329315</v>
      </c>
      <c r="E970" s="2" t="n">
        <v>-383.5729553759156</v>
      </c>
      <c r="F970" s="2" t="n">
        <v>0.07881946473682369</v>
      </c>
      <c r="G970" s="2" t="n">
        <v>0.5600000000000001</v>
      </c>
    </row>
    <row r="971">
      <c r="A971" s="2" t="n">
        <v>953</v>
      </c>
      <c r="B971" s="2" t="n">
        <v>19898.21251032931</v>
      </c>
      <c r="C971" s="2" t="n">
        <v>98.98212510329303</v>
      </c>
      <c r="D971" s="2" t="n">
        <v>9898.212510329315</v>
      </c>
      <c r="E971" s="2" t="n">
        <v>-253.5729553759156</v>
      </c>
      <c r="F971" s="2" t="n">
        <v>0.0816194647368237</v>
      </c>
      <c r="G971" s="2" t="n">
        <v>0.5600000000000001</v>
      </c>
    </row>
    <row r="972">
      <c r="A972" s="2" t="n">
        <v>954</v>
      </c>
      <c r="B972" s="2" t="n">
        <v>19966.23972121367</v>
      </c>
      <c r="C972" s="2" t="n">
        <v>99.66239721213657</v>
      </c>
      <c r="D972" s="2" t="n">
        <v>9966.239721213668</v>
      </c>
      <c r="E972" s="2" t="n">
        <v>-185.5457444915628</v>
      </c>
      <c r="F972" s="2" t="n">
        <v>0.06003034909056519</v>
      </c>
      <c r="G972" s="2" t="n">
        <v>0.5600000000000001</v>
      </c>
    </row>
    <row r="973">
      <c r="A973" s="2" t="n">
        <v>955</v>
      </c>
      <c r="B973" s="2" t="n">
        <v>20050.98548392553</v>
      </c>
      <c r="C973" s="2" t="n">
        <v>100.5098548392552</v>
      </c>
      <c r="D973" s="2" t="n">
        <v>10050.98548392553</v>
      </c>
      <c r="E973" s="2" t="n">
        <v>-100.799981779699</v>
      </c>
      <c r="F973" s="2" t="n">
        <v>0.06845094716894154</v>
      </c>
      <c r="G973" s="2" t="n">
        <v>0.5600000000000001</v>
      </c>
    </row>
    <row r="974">
      <c r="A974" s="2" t="n">
        <v>956</v>
      </c>
      <c r="B974" s="2" t="n">
        <v>20119.95100116691</v>
      </c>
      <c r="C974" s="2" t="n">
        <v>101.199510011669</v>
      </c>
      <c r="D974" s="2" t="n">
        <v>10119.95100116691</v>
      </c>
      <c r="E974" s="2" t="n">
        <v>-31.83446453831857</v>
      </c>
      <c r="F974" s="2" t="n">
        <v>0.1360371540654932</v>
      </c>
      <c r="G974" s="2" t="n">
        <v>0.6</v>
      </c>
    </row>
    <row r="975">
      <c r="A975" s="2" t="n">
        <v>957</v>
      </c>
      <c r="B975" s="2" t="n">
        <v>20214.29062380842</v>
      </c>
      <c r="C975" s="2" t="n">
        <v>102.1429062380841</v>
      </c>
      <c r="D975" s="2" t="n">
        <v>10214.29062380842</v>
      </c>
      <c r="E975" s="2" t="n">
        <v>0</v>
      </c>
      <c r="F975" s="2" t="n">
        <v>0.213773003122097</v>
      </c>
      <c r="G975" s="2" t="n">
        <v>0.64</v>
      </c>
    </row>
    <row r="976">
      <c r="A976" s="2" t="n">
        <v>958</v>
      </c>
      <c r="B976" s="2" t="n">
        <v>20285.71919523699</v>
      </c>
      <c r="C976" s="2" t="n">
        <v>102.8571919523698</v>
      </c>
      <c r="D976" s="2" t="n">
        <v>10285.71919523699</v>
      </c>
      <c r="E976" s="2" t="n">
        <v>0</v>
      </c>
      <c r="F976" s="2" t="n">
        <v>0.213773003122097</v>
      </c>
      <c r="G976" s="2" t="n">
        <v>0.64</v>
      </c>
    </row>
    <row r="977">
      <c r="A977" s="2" t="n">
        <v>959</v>
      </c>
      <c r="B977" s="2" t="n">
        <v>20185.71919523699</v>
      </c>
      <c r="C977" s="2" t="n">
        <v>101.8571919523698</v>
      </c>
      <c r="D977" s="2" t="n">
        <v>10185.71919523699</v>
      </c>
      <c r="E977" s="2" t="n">
        <v>-100</v>
      </c>
      <c r="F977" s="2" t="n">
        <v>0.213773003122097</v>
      </c>
      <c r="G977" s="2" t="n">
        <v>0.64</v>
      </c>
    </row>
    <row r="978">
      <c r="A978" s="2" t="n">
        <v>960</v>
      </c>
      <c r="B978" s="2" t="n">
        <v>20283.75841092326</v>
      </c>
      <c r="C978" s="2" t="n">
        <v>102.8375841092326</v>
      </c>
      <c r="D978" s="2" t="n">
        <v>10283.75841092326</v>
      </c>
      <c r="E978" s="2" t="n">
        <v>-1.960784313727345</v>
      </c>
      <c r="F978" s="2" t="n">
        <v>0.2235769246907245</v>
      </c>
      <c r="G978" s="2" t="n">
        <v>0.64</v>
      </c>
    </row>
    <row r="979">
      <c r="A979" s="2" t="n">
        <v>961</v>
      </c>
      <c r="B979" s="2" t="n">
        <v>20399.75841092326</v>
      </c>
      <c r="C979" s="2" t="n">
        <v>103.9975841092325</v>
      </c>
      <c r="D979" s="2" t="n">
        <v>10399.75841092326</v>
      </c>
      <c r="E979" s="2" t="n">
        <v>0</v>
      </c>
      <c r="F979" s="2" t="n">
        <v>0.3099769246907245</v>
      </c>
      <c r="G979" s="2" t="n">
        <v>0.68</v>
      </c>
    </row>
    <row r="980">
      <c r="A980" s="2" t="n">
        <v>962</v>
      </c>
      <c r="B980" s="2" t="n">
        <v>20299.75841092326</v>
      </c>
      <c r="C980" s="2" t="n">
        <v>102.9975841092325</v>
      </c>
      <c r="D980" s="2" t="n">
        <v>10299.75841092326</v>
      </c>
      <c r="E980" s="2" t="n">
        <v>-100</v>
      </c>
      <c r="F980" s="2" t="n">
        <v>0.3099769246907245</v>
      </c>
      <c r="G980" s="2" t="n">
        <v>0.68</v>
      </c>
    </row>
    <row r="981">
      <c r="A981" s="2" t="n">
        <v>963</v>
      </c>
      <c r="B981" s="2" t="n">
        <v>20421.75841092326</v>
      </c>
      <c r="C981" s="2" t="n">
        <v>104.2175841092325</v>
      </c>
      <c r="D981" s="2" t="n">
        <v>10421.75841092326</v>
      </c>
      <c r="E981" s="2" t="n">
        <v>0</v>
      </c>
      <c r="F981" s="2" t="n">
        <v>0.3987769246907245</v>
      </c>
      <c r="G981" s="2" t="n">
        <v>0.72</v>
      </c>
    </row>
    <row r="982">
      <c r="A982" s="2" t="n">
        <v>964</v>
      </c>
      <c r="B982" s="2" t="n">
        <v>20477.93818620416</v>
      </c>
      <c r="C982" s="2" t="n">
        <v>104.7793818620415</v>
      </c>
      <c r="D982" s="2" t="n">
        <v>10477.93818620416</v>
      </c>
      <c r="E982" s="2" t="n">
        <v>0</v>
      </c>
      <c r="F982" s="2" t="n">
        <v>0.374048834803084</v>
      </c>
      <c r="G982" s="2" t="n">
        <v>0.72</v>
      </c>
    </row>
    <row r="983">
      <c r="A983" s="2" t="n">
        <v>965</v>
      </c>
      <c r="B983" s="2" t="n">
        <v>20377.93818620416</v>
      </c>
      <c r="C983" s="2" t="n">
        <v>103.7793818620415</v>
      </c>
      <c r="D983" s="2" t="n">
        <v>10377.93818620416</v>
      </c>
      <c r="E983" s="2" t="n">
        <v>-100</v>
      </c>
      <c r="F983" s="2" t="n">
        <v>0.374048834803084</v>
      </c>
      <c r="G983" s="2" t="n">
        <v>0.72</v>
      </c>
    </row>
    <row r="984">
      <c r="A984" s="2" t="n">
        <v>966</v>
      </c>
      <c r="B984" s="2" t="n">
        <v>20277.93818620416</v>
      </c>
      <c r="C984" s="2" t="n">
        <v>102.7793818620415</v>
      </c>
      <c r="D984" s="2" t="n">
        <v>10277.93818620416</v>
      </c>
      <c r="E984" s="2" t="n">
        <v>-200</v>
      </c>
      <c r="F984" s="2" t="n">
        <v>0.287648834803084</v>
      </c>
      <c r="G984" s="2" t="n">
        <v>0.68</v>
      </c>
    </row>
    <row r="985">
      <c r="A985" s="2" t="n">
        <v>967</v>
      </c>
      <c r="B985" s="2" t="n">
        <v>20364.89470794329</v>
      </c>
      <c r="C985" s="2" t="n">
        <v>103.6489470794328</v>
      </c>
      <c r="D985" s="2" t="n">
        <v>10364.89470794329</v>
      </c>
      <c r="E985" s="2" t="n">
        <v>-113.0434782608681</v>
      </c>
      <c r="F985" s="2" t="n">
        <v>0.2732314434987362</v>
      </c>
      <c r="G985" s="2" t="n">
        <v>0.68</v>
      </c>
    </row>
    <row r="986">
      <c r="A986" s="2" t="n">
        <v>968</v>
      </c>
      <c r="B986" s="2" t="n">
        <v>20428.99727204586</v>
      </c>
      <c r="C986" s="2" t="n">
        <v>104.2899727204585</v>
      </c>
      <c r="D986" s="2" t="n">
        <v>10428.99727204586</v>
      </c>
      <c r="E986" s="2" t="n">
        <v>-48.94091415830189</v>
      </c>
      <c r="F986" s="2" t="n">
        <v>0.2678647172017773</v>
      </c>
      <c r="G986" s="2" t="n">
        <v>0.68</v>
      </c>
    </row>
    <row r="987">
      <c r="A987" s="2" t="n">
        <v>969</v>
      </c>
      <c r="B987" s="2" t="n">
        <v>20539.99727204586</v>
      </c>
      <c r="C987" s="2" t="n">
        <v>105.3999727204585</v>
      </c>
      <c r="D987" s="2" t="n">
        <v>10539.99727204586</v>
      </c>
      <c r="E987" s="2" t="n">
        <v>0</v>
      </c>
      <c r="F987" s="2" t="n">
        <v>0.3522647172017773</v>
      </c>
      <c r="G987" s="2" t="n">
        <v>0.72</v>
      </c>
    </row>
    <row r="988">
      <c r="A988" s="2" t="n">
        <v>970</v>
      </c>
      <c r="B988" s="2" t="n">
        <v>20609.92734197593</v>
      </c>
      <c r="C988" s="2" t="n">
        <v>106.0992734197592</v>
      </c>
      <c r="D988" s="2" t="n">
        <v>10609.92734197593</v>
      </c>
      <c r="E988" s="2" t="n">
        <v>0</v>
      </c>
      <c r="F988" s="2" t="n">
        <v>0.3544302935609022</v>
      </c>
      <c r="G988" s="2" t="n">
        <v>0.72</v>
      </c>
    </row>
    <row r="989">
      <c r="A989" s="2" t="n">
        <v>971</v>
      </c>
      <c r="B989" s="2" t="n">
        <v>20681.8697880191</v>
      </c>
      <c r="C989" s="2" t="n">
        <v>106.8186978801908</v>
      </c>
      <c r="D989" s="2" t="n">
        <v>10681.86978801909</v>
      </c>
      <c r="E989" s="2" t="n">
        <v>0</v>
      </c>
      <c r="F989" s="2" t="n">
        <v>0.3451120338829302</v>
      </c>
      <c r="G989" s="2" t="n">
        <v>0.72</v>
      </c>
    </row>
    <row r="990">
      <c r="A990" s="2" t="n">
        <v>972</v>
      </c>
      <c r="B990" s="2" t="n">
        <v>20809.8697880191</v>
      </c>
      <c r="C990" s="2" t="n">
        <v>108.0986978801908</v>
      </c>
      <c r="D990" s="2" t="n">
        <v>10809.86978801909</v>
      </c>
      <c r="E990" s="2" t="n">
        <v>0</v>
      </c>
      <c r="F990" s="2" t="n">
        <v>0.3563120338829303</v>
      </c>
      <c r="G990" s="2" t="n">
        <v>0.72</v>
      </c>
    </row>
    <row r="991">
      <c r="A991" s="2" t="n">
        <v>973</v>
      </c>
      <c r="B991" s="2" t="n">
        <v>20871.98158926133</v>
      </c>
      <c r="C991" s="2" t="n">
        <v>108.7198158926132</v>
      </c>
      <c r="D991" s="2" t="n">
        <v>10871.98158926133</v>
      </c>
      <c r="E991" s="2" t="n">
        <v>0</v>
      </c>
      <c r="F991" s="2" t="n">
        <v>0.3478234210464912</v>
      </c>
      <c r="G991" s="2" t="n">
        <v>0.72</v>
      </c>
    </row>
    <row r="992">
      <c r="A992" s="2" t="n">
        <v>974</v>
      </c>
      <c r="B992" s="2" t="n">
        <v>20771.98158926133</v>
      </c>
      <c r="C992" s="2" t="n">
        <v>107.7198158926132</v>
      </c>
      <c r="D992" s="2" t="n">
        <v>10771.98158926133</v>
      </c>
      <c r="E992" s="2" t="n">
        <v>-100</v>
      </c>
      <c r="F992" s="2" t="n">
        <v>0.3478234210464912</v>
      </c>
      <c r="G992" s="2" t="n">
        <v>0.72</v>
      </c>
    </row>
    <row r="993">
      <c r="A993" s="2" t="n">
        <v>975</v>
      </c>
      <c r="B993" s="2" t="n">
        <v>20671.98158926133</v>
      </c>
      <c r="C993" s="2" t="n">
        <v>106.7198158926132</v>
      </c>
      <c r="D993" s="2" t="n">
        <v>10671.98158926133</v>
      </c>
      <c r="E993" s="2" t="n">
        <v>-200</v>
      </c>
      <c r="F993" s="2" t="n">
        <v>0.3478234210464912</v>
      </c>
      <c r="G993" s="2" t="n">
        <v>0.72</v>
      </c>
    </row>
    <row r="994">
      <c r="A994" s="2" t="n">
        <v>976</v>
      </c>
      <c r="B994" s="2" t="n">
        <v>20571.98158926133</v>
      </c>
      <c r="C994" s="2" t="n">
        <v>105.7198158926132</v>
      </c>
      <c r="D994" s="2" t="n">
        <v>10571.98158926133</v>
      </c>
      <c r="E994" s="2" t="n">
        <v>-300</v>
      </c>
      <c r="F994" s="2" t="n">
        <v>0.2815076315728071</v>
      </c>
      <c r="G994" s="2" t="n">
        <v>0.68</v>
      </c>
    </row>
    <row r="995">
      <c r="A995" s="2" t="n">
        <v>977</v>
      </c>
      <c r="B995" s="2" t="n">
        <v>20471.98158926133</v>
      </c>
      <c r="C995" s="2" t="n">
        <v>104.7198158926132</v>
      </c>
      <c r="D995" s="2" t="n">
        <v>10471.98158926133</v>
      </c>
      <c r="E995" s="2" t="n">
        <v>-400</v>
      </c>
      <c r="F995" s="2" t="n">
        <v>0.2815076315728071</v>
      </c>
      <c r="G995" s="2" t="n">
        <v>0.68</v>
      </c>
    </row>
    <row r="996">
      <c r="A996" s="2" t="n">
        <v>978</v>
      </c>
      <c r="B996" s="2" t="n">
        <v>20371.98158926133</v>
      </c>
      <c r="C996" s="2" t="n">
        <v>103.7198158926132</v>
      </c>
      <c r="D996" s="2" t="n">
        <v>10371.98158926133</v>
      </c>
      <c r="E996" s="2" t="n">
        <v>-500</v>
      </c>
      <c r="F996" s="2" t="n">
        <v>0.1895076315728071</v>
      </c>
      <c r="G996" s="2" t="n">
        <v>0.64</v>
      </c>
    </row>
    <row r="997">
      <c r="A997" s="2" t="n">
        <v>979</v>
      </c>
      <c r="B997" s="2" t="n">
        <v>20271.98158926133</v>
      </c>
      <c r="C997" s="2" t="n">
        <v>102.7198158926132</v>
      </c>
      <c r="D997" s="2" t="n">
        <v>10271.98158926133</v>
      </c>
      <c r="E997" s="2" t="n">
        <v>-600</v>
      </c>
      <c r="F997" s="2" t="n">
        <v>0.1222967472190656</v>
      </c>
      <c r="G997" s="2" t="n">
        <v>0.6</v>
      </c>
    </row>
    <row r="998">
      <c r="A998" s="2" t="n">
        <v>980</v>
      </c>
      <c r="B998" s="2" t="n">
        <v>20171.98158926133</v>
      </c>
      <c r="C998" s="2" t="n">
        <v>101.7198158926132</v>
      </c>
      <c r="D998" s="2" t="n">
        <v>10171.98158926133</v>
      </c>
      <c r="E998" s="2" t="n">
        <v>-700</v>
      </c>
      <c r="F998" s="2" t="n">
        <v>0.04839844213431982</v>
      </c>
      <c r="G998" s="2" t="n">
        <v>0.5600000000000001</v>
      </c>
    </row>
    <row r="999">
      <c r="A999" s="2" t="n">
        <v>981</v>
      </c>
      <c r="B999" s="2" t="n">
        <v>20271.98158926133</v>
      </c>
      <c r="C999" s="2" t="n">
        <v>102.7198158926132</v>
      </c>
      <c r="D999" s="2" t="n">
        <v>10271.98158926133</v>
      </c>
      <c r="E999" s="2" t="n">
        <v>-600</v>
      </c>
      <c r="F999" s="2" t="n">
        <v>0.06081223523776809</v>
      </c>
      <c r="G999" s="2" t="n">
        <v>0.5600000000000001</v>
      </c>
    </row>
    <row r="1000">
      <c r="A1000" s="2" t="n">
        <v>982</v>
      </c>
      <c r="B1000" s="2" t="n">
        <v>20340.47473994626</v>
      </c>
      <c r="C1000" s="2" t="n">
        <v>103.4047473994625</v>
      </c>
      <c r="D1000" s="2" t="n">
        <v>10340.47473994626</v>
      </c>
      <c r="E1000" s="2" t="n">
        <v>-531.5068493150684</v>
      </c>
      <c r="F1000" s="2" t="n">
        <v>0.05047364645513693</v>
      </c>
      <c r="G1000" s="2" t="n">
        <v>0.5600000000000001</v>
      </c>
    </row>
    <row r="1001">
      <c r="A1001" s="2" t="n">
        <v>983</v>
      </c>
      <c r="B1001" s="2" t="n">
        <v>20240.47473994626</v>
      </c>
      <c r="C1001" s="2" t="n">
        <v>102.4047473994625</v>
      </c>
      <c r="D1001" s="2" t="n">
        <v>10240.47473994626</v>
      </c>
      <c r="E1001" s="2" t="n">
        <v>-631.5068493150684</v>
      </c>
      <c r="F1001" s="2" t="n">
        <v>-0.01809778211629165</v>
      </c>
      <c r="G1001" s="2" t="n">
        <v>0.52</v>
      </c>
    </row>
    <row r="1002">
      <c r="A1002" s="2" t="n">
        <v>984</v>
      </c>
      <c r="B1002" s="2" t="n">
        <v>20333.06733253886</v>
      </c>
      <c r="C1002" s="2" t="n">
        <v>103.3306733253884</v>
      </c>
      <c r="D1002" s="2" t="n">
        <v>10333.06733253885</v>
      </c>
      <c r="E1002" s="2" t="n">
        <v>-538.9142567224735</v>
      </c>
      <c r="F1002" s="2" t="n">
        <v>0.05893925492074539</v>
      </c>
      <c r="G1002" s="2" t="n">
        <v>0.5600000000000001</v>
      </c>
    </row>
    <row r="1003">
      <c r="A1003" s="2" t="n">
        <v>985</v>
      </c>
      <c r="B1003" s="2" t="n">
        <v>20455.06733253886</v>
      </c>
      <c r="C1003" s="2" t="n">
        <v>104.5506733253884</v>
      </c>
      <c r="D1003" s="2" t="n">
        <v>10455.06733253885</v>
      </c>
      <c r="E1003" s="2" t="n">
        <v>-416.9142567224735</v>
      </c>
      <c r="F1003" s="2" t="n">
        <v>0.06852356864623557</v>
      </c>
      <c r="G1003" s="2" t="n">
        <v>0.5600000000000001</v>
      </c>
    </row>
    <row r="1004">
      <c r="A1004" s="2" t="n">
        <v>986</v>
      </c>
      <c r="B1004" s="2" t="n">
        <v>20519.58346157111</v>
      </c>
      <c r="C1004" s="2" t="n">
        <v>105.195834615711</v>
      </c>
      <c r="D1004" s="2" t="n">
        <v>10519.58346157111</v>
      </c>
      <c r="E1004" s="2" t="n">
        <v>-352.3981276902159</v>
      </c>
      <c r="F1004" s="2" t="n">
        <v>0.04793002025913878</v>
      </c>
      <c r="G1004" s="2" t="n">
        <v>0.5600000000000001</v>
      </c>
    </row>
    <row r="1005">
      <c r="A1005" s="2" t="n">
        <v>987</v>
      </c>
      <c r="B1005" s="2" t="n">
        <v>20419.58346157111</v>
      </c>
      <c r="C1005" s="2" t="n">
        <v>104.195834615711</v>
      </c>
      <c r="D1005" s="2" t="n">
        <v>10419.58346157111</v>
      </c>
      <c r="E1005" s="2" t="n">
        <v>-452.3981276902159</v>
      </c>
      <c r="F1005" s="2" t="n">
        <v>0.04793002025913878</v>
      </c>
      <c r="G1005" s="2" t="n">
        <v>0.5600000000000001</v>
      </c>
    </row>
    <row r="1006">
      <c r="A1006" s="2" t="n">
        <v>988</v>
      </c>
      <c r="B1006" s="2" t="n">
        <v>20539.58346157111</v>
      </c>
      <c r="C1006" s="2" t="n">
        <v>105.395834615711</v>
      </c>
      <c r="D1006" s="2" t="n">
        <v>10539.58346157111</v>
      </c>
      <c r="E1006" s="2" t="n">
        <v>-332.3981276902159</v>
      </c>
      <c r="F1006" s="2" t="n">
        <v>0.0471300202591388</v>
      </c>
      <c r="G1006" s="2" t="n">
        <v>0.5600000000000001</v>
      </c>
    </row>
    <row r="1007">
      <c r="A1007" s="2" t="n">
        <v>989</v>
      </c>
      <c r="B1007" s="2" t="n">
        <v>20605.37293525532</v>
      </c>
      <c r="C1007" s="2" t="n">
        <v>106.0537293525531</v>
      </c>
      <c r="D1007" s="2" t="n">
        <v>10605.37293525532</v>
      </c>
      <c r="E1007" s="2" t="n">
        <v>-266.6086540060096</v>
      </c>
      <c r="F1007" s="2" t="n">
        <v>0.05097389962046346</v>
      </c>
      <c r="G1007" s="2" t="n">
        <v>0.5600000000000001</v>
      </c>
    </row>
    <row r="1008">
      <c r="A1008" s="2" t="n">
        <v>990</v>
      </c>
      <c r="B1008" s="2" t="n">
        <v>20505.37293525532</v>
      </c>
      <c r="C1008" s="2" t="n">
        <v>105.0537293525531</v>
      </c>
      <c r="D1008" s="2" t="n">
        <v>10505.37293525532</v>
      </c>
      <c r="E1008" s="2" t="n">
        <v>-366.6086540060096</v>
      </c>
      <c r="F1008" s="2" t="n">
        <v>0.05097389962046346</v>
      </c>
      <c r="G1008" s="2" t="n">
        <v>0.5600000000000001</v>
      </c>
    </row>
    <row r="1009">
      <c r="A1009" s="2" t="n">
        <v>991</v>
      </c>
      <c r="B1009" s="2" t="n">
        <v>20405.37293525532</v>
      </c>
      <c r="C1009" s="2" t="n">
        <v>104.0537293525531</v>
      </c>
      <c r="D1009" s="2" t="n">
        <v>10405.37293525532</v>
      </c>
      <c r="E1009" s="2" t="n">
        <v>-466.6086540060096</v>
      </c>
      <c r="F1009" s="2" t="n">
        <v>0.05097389962046346</v>
      </c>
      <c r="G1009" s="2" t="n">
        <v>0.5600000000000001</v>
      </c>
    </row>
    <row r="1010">
      <c r="A1010" s="2" t="n">
        <v>992</v>
      </c>
      <c r="B1010" s="2" t="n">
        <v>20305.37293525532</v>
      </c>
      <c r="C1010" s="2" t="n">
        <v>103.0537293525531</v>
      </c>
      <c r="D1010" s="2" t="n">
        <v>10305.37293525532</v>
      </c>
      <c r="E1010" s="2" t="n">
        <v>-566.6086540060096</v>
      </c>
      <c r="F1010" s="2" t="n">
        <v>-0.02380870907518871</v>
      </c>
      <c r="G1010" s="2" t="n">
        <v>0.52</v>
      </c>
    </row>
    <row r="1011">
      <c r="A1011" s="2" t="n">
        <v>993</v>
      </c>
      <c r="B1011" s="2" t="n">
        <v>20379.4470093294</v>
      </c>
      <c r="C1011" s="2" t="n">
        <v>103.7944700932938</v>
      </c>
      <c r="D1011" s="2" t="n">
        <v>10379.4470093294</v>
      </c>
      <c r="E1011" s="2" t="n">
        <v>-492.534579931933</v>
      </c>
      <c r="F1011" s="2" t="n">
        <v>-0.01982010508658472</v>
      </c>
      <c r="G1011" s="2" t="n">
        <v>0.52</v>
      </c>
    </row>
    <row r="1012">
      <c r="A1012" s="2" t="n">
        <v>994</v>
      </c>
      <c r="B1012" s="2" t="n">
        <v>20279.4470093294</v>
      </c>
      <c r="C1012" s="2" t="n">
        <v>102.7944700932938</v>
      </c>
      <c r="D1012" s="2" t="n">
        <v>10279.4470093294</v>
      </c>
      <c r="E1012" s="2" t="n">
        <v>-592.534579931933</v>
      </c>
      <c r="F1012" s="2" t="n">
        <v>-0.1042201050865847</v>
      </c>
      <c r="G1012" s="2" t="n">
        <v>0.48</v>
      </c>
    </row>
    <row r="1013">
      <c r="A1013" s="2" t="n">
        <v>995</v>
      </c>
      <c r="B1013" s="2" t="n">
        <v>20179.4470093294</v>
      </c>
      <c r="C1013" s="2" t="n">
        <v>101.7944700932938</v>
      </c>
      <c r="D1013" s="2" t="n">
        <v>10179.4470093294</v>
      </c>
      <c r="E1013" s="2" t="n">
        <v>-692.534579931933</v>
      </c>
      <c r="F1013" s="2" t="n">
        <v>-0.1721921330586127</v>
      </c>
      <c r="G1013" s="2" t="n">
        <v>0.44</v>
      </c>
    </row>
    <row r="1014">
      <c r="A1014" s="2" t="n">
        <v>996</v>
      </c>
      <c r="B1014" s="2" t="n">
        <v>20079.4470093294</v>
      </c>
      <c r="C1014" s="2" t="n">
        <v>100.7944700932938</v>
      </c>
      <c r="D1014" s="2" t="n">
        <v>10079.4470093294</v>
      </c>
      <c r="E1014" s="2" t="n">
        <v>-792.534579931933</v>
      </c>
      <c r="F1014" s="2" t="n">
        <v>-0.2409691114758789</v>
      </c>
      <c r="G1014" s="2" t="n">
        <v>0.4</v>
      </c>
    </row>
    <row r="1015">
      <c r="A1015" s="2" t="n">
        <v>997</v>
      </c>
      <c r="B1015" s="2" t="n">
        <v>19979.4470093294</v>
      </c>
      <c r="C1015" s="2" t="n">
        <v>99.79447009329384</v>
      </c>
      <c r="D1015" s="2" t="n">
        <v>9979.447009329397</v>
      </c>
      <c r="E1015" s="2" t="n">
        <v>-892.534579931933</v>
      </c>
      <c r="F1015" s="2" t="n">
        <v>-0.3321691114758789</v>
      </c>
      <c r="G1015" s="2" t="n">
        <v>0.36</v>
      </c>
    </row>
    <row r="1016">
      <c r="A1016" s="2" t="n">
        <v>998</v>
      </c>
      <c r="B1016" s="2" t="n">
        <v>19879.4470093294</v>
      </c>
      <c r="C1016" s="2" t="n">
        <v>98.79447009329384</v>
      </c>
      <c r="D1016" s="2" t="n">
        <v>9879.447009329397</v>
      </c>
      <c r="E1016" s="2" t="n">
        <v>-992.534579931933</v>
      </c>
      <c r="F1016" s="2" t="n">
        <v>-0.3970138319727732</v>
      </c>
      <c r="G1016" s="2" t="n">
        <v>0.32</v>
      </c>
    </row>
    <row r="1017">
      <c r="A1017" s="2" t="n">
        <v>999</v>
      </c>
      <c r="B1017" s="2" t="n">
        <v>19779.4470093294</v>
      </c>
      <c r="C1017" s="2" t="n">
        <v>97.79447009329384</v>
      </c>
      <c r="D1017" s="2" t="n">
        <v>9779.447009329397</v>
      </c>
      <c r="E1017" s="2" t="n">
        <v>-1092.534579931933</v>
      </c>
      <c r="F1017" s="2" t="n">
        <v>-0.3970138319727732</v>
      </c>
      <c r="G1017" s="2" t="n">
        <v>0.32</v>
      </c>
    </row>
    <row r="1018">
      <c r="A1018" s="2" t="n">
        <v>1000</v>
      </c>
      <c r="B1018" s="2" t="n">
        <v>19841.17540439112</v>
      </c>
      <c r="C1018" s="2" t="n">
        <v>98.41175404391112</v>
      </c>
      <c r="D1018" s="2" t="n">
        <v>9841.175404391124</v>
      </c>
      <c r="E1018" s="2" t="n">
        <v>-1030.806184870205</v>
      </c>
      <c r="F1018" s="2" t="n">
        <v>-0.3323224739480819</v>
      </c>
      <c r="G1018" s="2" t="n">
        <v>0.36</v>
      </c>
    </row>
    <row r="1019">
      <c r="A1019" s="2" t="n">
        <v>1001</v>
      </c>
      <c r="B1019" s="2" t="n">
        <v>19741.17540439112</v>
      </c>
      <c r="C1019" s="2" t="n">
        <v>97.41175404391112</v>
      </c>
      <c r="D1019" s="2" t="n">
        <v>9741.175404391124</v>
      </c>
      <c r="E1019" s="2" t="n">
        <v>-1130.806184870205</v>
      </c>
      <c r="F1019" s="2" t="n">
        <v>-0.3323224739480819</v>
      </c>
      <c r="G1019" s="2" t="n">
        <v>0.36</v>
      </c>
    </row>
    <row r="1020">
      <c r="A1020" s="2" t="n">
        <v>1002</v>
      </c>
      <c r="B1020" s="2" t="n">
        <v>19641.17540439112</v>
      </c>
      <c r="C1020" s="2" t="n">
        <v>96.41175404391112</v>
      </c>
      <c r="D1020" s="2" t="n">
        <v>9641.175404391124</v>
      </c>
      <c r="E1020" s="2" t="n">
        <v>-1230.806184870205</v>
      </c>
      <c r="F1020" s="2" t="n">
        <v>-0.3323224739480819</v>
      </c>
      <c r="G1020" s="2" t="n">
        <v>0.36</v>
      </c>
    </row>
    <row r="1021">
      <c r="A1021" s="2" t="n">
        <v>1003</v>
      </c>
      <c r="B1021" s="2" t="n">
        <v>19730.46111867684</v>
      </c>
      <c r="C1021" s="2" t="n">
        <v>97.30461118676826</v>
      </c>
      <c r="D1021" s="2" t="n">
        <v>9730.461118676838</v>
      </c>
      <c r="E1021" s="2" t="n">
        <v>-1141.520470584492</v>
      </c>
      <c r="F1021" s="2" t="n">
        <v>-0.2566081882337962</v>
      </c>
      <c r="G1021" s="2" t="n">
        <v>0.4</v>
      </c>
    </row>
    <row r="1022">
      <c r="A1022" s="2" t="n">
        <v>1004</v>
      </c>
      <c r="B1022" s="2" t="n">
        <v>19630.46111867684</v>
      </c>
      <c r="C1022" s="2" t="n">
        <v>96.30461118676826</v>
      </c>
      <c r="D1022" s="2" t="n">
        <v>9630.461118676838</v>
      </c>
      <c r="E1022" s="2" t="n">
        <v>-1241.520470584492</v>
      </c>
      <c r="F1022" s="2" t="n">
        <v>-0.2566081882337962</v>
      </c>
      <c r="G1022" s="2" t="n">
        <v>0.4</v>
      </c>
    </row>
    <row r="1023">
      <c r="A1023" s="2" t="n">
        <v>1005</v>
      </c>
      <c r="B1023" s="2" t="n">
        <v>19704.53519275091</v>
      </c>
      <c r="C1023" s="2" t="n">
        <v>97.045351927509</v>
      </c>
      <c r="D1023" s="2" t="n">
        <v>9704.535192750913</v>
      </c>
      <c r="E1023" s="2" t="n">
        <v>-1167.446396510419</v>
      </c>
      <c r="F1023" s="2" t="n">
        <v>-0.1869785586041666</v>
      </c>
      <c r="G1023" s="2" t="n">
        <v>0.44</v>
      </c>
    </row>
    <row r="1024">
      <c r="A1024" s="2" t="n">
        <v>1006</v>
      </c>
      <c r="B1024" s="2" t="n">
        <v>19824.53519275091</v>
      </c>
      <c r="C1024" s="2" t="n">
        <v>98.24535192750901</v>
      </c>
      <c r="D1024" s="2" t="n">
        <v>9824.535192750913</v>
      </c>
      <c r="E1024" s="2" t="n">
        <v>-1047.446396510419</v>
      </c>
      <c r="F1024" s="2" t="n">
        <v>-0.1789785586041666</v>
      </c>
      <c r="G1024" s="2" t="n">
        <v>0.44</v>
      </c>
    </row>
    <row r="1025">
      <c r="A1025" s="2" t="n">
        <v>1007</v>
      </c>
      <c r="B1025" s="2" t="n">
        <v>19899.72316267572</v>
      </c>
      <c r="C1025" s="2" t="n">
        <v>98.99723162675713</v>
      </c>
      <c r="D1025" s="2" t="n">
        <v>9899.723162675724</v>
      </c>
      <c r="E1025" s="2" t="n">
        <v>-972.2584265856058</v>
      </c>
      <c r="F1025" s="2" t="n">
        <v>-0.1763006309082144</v>
      </c>
      <c r="G1025" s="2" t="n">
        <v>0.44</v>
      </c>
    </row>
    <row r="1026">
      <c r="A1026" s="2" t="n">
        <v>1008</v>
      </c>
      <c r="B1026" s="2" t="n">
        <v>19799.72316267572</v>
      </c>
      <c r="C1026" s="2" t="n">
        <v>97.99723162675713</v>
      </c>
      <c r="D1026" s="2" t="n">
        <v>9799.723162675724</v>
      </c>
      <c r="E1026" s="2" t="n">
        <v>-1072.258426585606</v>
      </c>
      <c r="F1026" s="2" t="n">
        <v>-0.1763006309082144</v>
      </c>
      <c r="G1026" s="2" t="n">
        <v>0.44</v>
      </c>
    </row>
    <row r="1027">
      <c r="A1027" s="2" t="n">
        <v>1009</v>
      </c>
      <c r="B1027" s="2" t="n">
        <v>19699.72316267572</v>
      </c>
      <c r="C1027" s="2" t="n">
        <v>96.99723162675713</v>
      </c>
      <c r="D1027" s="2" t="n">
        <v>9699.723162675724</v>
      </c>
      <c r="E1027" s="2" t="n">
        <v>-1172.258426585606</v>
      </c>
      <c r="F1027" s="2" t="n">
        <v>-0.2533376679452514</v>
      </c>
      <c r="G1027" s="2" t="n">
        <v>0.4</v>
      </c>
    </row>
    <row r="1028">
      <c r="A1028" s="2" t="n">
        <v>1010</v>
      </c>
      <c r="B1028" s="2" t="n">
        <v>19794.96125791382</v>
      </c>
      <c r="C1028" s="2" t="n">
        <v>97.94961257913808</v>
      </c>
      <c r="D1028" s="2" t="n">
        <v>9794.961257913819</v>
      </c>
      <c r="E1028" s="2" t="n">
        <v>-1077.02033134751</v>
      </c>
      <c r="F1028" s="2" t="n">
        <v>-0.2640424298500133</v>
      </c>
      <c r="G1028" s="2" t="n">
        <v>0.4</v>
      </c>
    </row>
    <row r="1029">
      <c r="A1029" s="2" t="n">
        <v>1011</v>
      </c>
      <c r="B1029" s="2" t="n">
        <v>19694.96125791382</v>
      </c>
      <c r="C1029" s="2" t="n">
        <v>96.94961257913808</v>
      </c>
      <c r="D1029" s="2" t="n">
        <v>9694.961257913819</v>
      </c>
      <c r="E1029" s="2" t="n">
        <v>-1177.02033134751</v>
      </c>
      <c r="F1029" s="2" t="n">
        <v>-0.3298488814629165</v>
      </c>
      <c r="G1029" s="2" t="n">
        <v>0.36</v>
      </c>
    </row>
    <row r="1030">
      <c r="A1030" s="2" t="n">
        <v>1012</v>
      </c>
      <c r="B1030" s="2" t="n">
        <v>19594.96125791382</v>
      </c>
      <c r="C1030" s="2" t="n">
        <v>95.94961257913808</v>
      </c>
      <c r="D1030" s="2" t="n">
        <v>9594.961257913819</v>
      </c>
      <c r="E1030" s="2" t="n">
        <v>-1277.02033134751</v>
      </c>
      <c r="F1030" s="2" t="n">
        <v>-0.3298488814629165</v>
      </c>
      <c r="G1030" s="2" t="n">
        <v>0.36</v>
      </c>
    </row>
    <row r="1031">
      <c r="A1031" s="2" t="n">
        <v>1013</v>
      </c>
      <c r="B1031" s="2" t="n">
        <v>19494.96125791382</v>
      </c>
      <c r="C1031" s="2" t="n">
        <v>94.94961257913808</v>
      </c>
      <c r="D1031" s="2" t="n">
        <v>9494.961257913819</v>
      </c>
      <c r="E1031" s="2" t="n">
        <v>-1377.02033134751</v>
      </c>
      <c r="F1031" s="2" t="n">
        <v>-0.4178488814629165</v>
      </c>
      <c r="G1031" s="2" t="n">
        <v>0.32</v>
      </c>
    </row>
    <row r="1032">
      <c r="A1032" s="2" t="n">
        <v>1014</v>
      </c>
      <c r="B1032" s="2" t="n">
        <v>19394.96125791382</v>
      </c>
      <c r="C1032" s="2" t="n">
        <v>93.94961257913808</v>
      </c>
      <c r="D1032" s="2" t="n">
        <v>9394.961257913819</v>
      </c>
      <c r="E1032" s="2" t="n">
        <v>-1477.02033134751</v>
      </c>
      <c r="F1032" s="2" t="n">
        <v>-0.4841646709366008</v>
      </c>
      <c r="G1032" s="2" t="n">
        <v>0.28</v>
      </c>
    </row>
    <row r="1033">
      <c r="A1033" s="2" t="n">
        <v>1015</v>
      </c>
      <c r="B1033" s="2" t="n">
        <v>19462.07535187355</v>
      </c>
      <c r="C1033" s="2" t="n">
        <v>94.6207535187354</v>
      </c>
      <c r="D1033" s="2" t="n">
        <v>9462.075351873551</v>
      </c>
      <c r="E1033" s="2" t="n">
        <v>-1409.906237387779</v>
      </c>
      <c r="F1033" s="2" t="n">
        <v>-0.4173190333527081</v>
      </c>
      <c r="G1033" s="2" t="n">
        <v>0.32</v>
      </c>
    </row>
  </sheetData>
  <mergeCells count="28">
    <mergeCell ref="D10:E10"/>
    <mergeCell ref="J5:K5"/>
    <mergeCell ref="A11:B11"/>
    <mergeCell ref="G11:H11"/>
    <mergeCell ref="J10:K10"/>
    <mergeCell ref="G8:H8"/>
    <mergeCell ref="A7:B7"/>
    <mergeCell ref="G7:H7"/>
    <mergeCell ref="D11:E11"/>
    <mergeCell ref="G10:H10"/>
    <mergeCell ref="D13:E13"/>
    <mergeCell ref="J4:K4"/>
    <mergeCell ref="J11:K11"/>
    <mergeCell ref="D7:E7"/>
    <mergeCell ref="J7:K7"/>
    <mergeCell ref="A5:B5"/>
    <mergeCell ref="G5:H5"/>
    <mergeCell ref="A14:B14"/>
    <mergeCell ref="D4:E4"/>
    <mergeCell ref="A8:B8"/>
    <mergeCell ref="A4:B4"/>
    <mergeCell ref="G4:H4"/>
    <mergeCell ref="D8:E8"/>
    <mergeCell ref="D5:E5"/>
    <mergeCell ref="A10:B10"/>
    <mergeCell ref="A13:B13"/>
    <mergeCell ref="D14:E14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3" customWidth="1" min="7" max="7"/>
    <col width="21" customWidth="1" min="8" max="8"/>
    <col width="21" customWidth="1" min="9" max="9"/>
    <col width="10" customWidth="1" min="10" max="10"/>
    <col width="21" customWidth="1" min="11" max="11"/>
    <col width="21" customWidth="1" min="12" max="12"/>
    <col width="21" customWidth="1" min="13" max="13"/>
    <col width="15" customWidth="1" min="14" max="14"/>
    <col width="21" customWidth="1" min="15" max="15"/>
    <col width="20" customWidth="1" min="16" max="16"/>
  </cols>
  <sheetData>
    <row r="1">
      <c r="A1" s="1" t="inlineStr">
        <is>
          <t>Month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Rate</t>
        </is>
      </c>
      <c r="G1" s="1" t="inlineStr">
        <is>
          <t>ROI</t>
        </is>
      </c>
      <c r="H1" s="1" t="inlineStr">
        <is>
          <t>Units</t>
        </is>
      </c>
      <c r="I1" s="1" t="inlineStr">
        <is>
          <t>Profit</t>
        </is>
      </c>
      <c r="J1" s="1" t="inlineStr">
        <is>
          <t>CLV</t>
        </is>
      </c>
      <c r="K1" s="1" t="inlineStr">
        <is>
          <t>Average Odds</t>
        </is>
      </c>
      <c r="L1" s="1" t="inlineStr">
        <is>
          <t>Average Margin</t>
        </is>
      </c>
      <c r="M1" s="1" t="inlineStr">
        <is>
          <t>Average Devig Edge</t>
        </is>
      </c>
      <c r="N1" s="1" t="inlineStr">
        <is>
          <t>Average Stake</t>
        </is>
      </c>
      <c r="O1" s="1" t="inlineStr">
        <is>
          <t>Maximum Drawdown</t>
        </is>
      </c>
      <c r="P1" s="1" t="inlineStr">
        <is>
          <t>Ending Bankroll</t>
        </is>
      </c>
    </row>
    <row r="2">
      <c r="A2" s="2" t="inlineStr">
        <is>
          <t>2025-07</t>
        </is>
      </c>
      <c r="B2" s="2" t="n">
        <v>117</v>
      </c>
      <c r="C2" s="2" t="n">
        <v>61</v>
      </c>
      <c r="D2" s="2" t="n">
        <v>56</v>
      </c>
      <c r="E2" s="2" t="n">
        <v>0</v>
      </c>
      <c r="F2" s="6" t="n">
        <v>0.5213675213675214</v>
      </c>
      <c r="G2" s="6" t="n">
        <v>0.03909682482601738</v>
      </c>
      <c r="H2" s="2" t="n">
        <v>4.574328504644032</v>
      </c>
      <c r="I2" s="7" t="n">
        <v>457.4328504644034</v>
      </c>
      <c r="J2" s="6" t="n"/>
      <c r="K2" s="4" t="n">
        <v>23.16239316239316</v>
      </c>
      <c r="L2" s="2" t="n">
        <v>0.2740840200603377</v>
      </c>
      <c r="M2" s="6" t="n">
        <v>0.1572017367176358</v>
      </c>
      <c r="N2" s="7" t="n">
        <v>100</v>
      </c>
      <c r="O2" s="7" t="n">
        <v>-1100.96590909091</v>
      </c>
      <c r="P2" s="7" t="n">
        <v>10457.4328504644</v>
      </c>
    </row>
    <row r="3">
      <c r="A3" s="2" t="inlineStr">
        <is>
          <t>2025-08</t>
        </is>
      </c>
      <c r="B3" s="2" t="n">
        <v>177</v>
      </c>
      <c r="C3" s="2" t="n">
        <v>91</v>
      </c>
      <c r="D3" s="2" t="n">
        <v>86</v>
      </c>
      <c r="E3" s="2" t="n">
        <v>0</v>
      </c>
      <c r="F3" s="6" t="n">
        <v>0.5141242937853108</v>
      </c>
      <c r="G3" s="6" t="n">
        <v>-0.009490164539247134</v>
      </c>
      <c r="H3" s="2" t="n">
        <v>-1.679759123446743</v>
      </c>
      <c r="I3" s="7" t="n">
        <v>-167.9759123446743</v>
      </c>
      <c r="J3" s="6" t="n"/>
      <c r="K3" s="4" t="n">
        <v>-7.638418079096045</v>
      </c>
      <c r="L3" s="2" t="n">
        <v>0.4681965764529903</v>
      </c>
      <c r="M3" s="6" t="n">
        <v>0.1797951526343555</v>
      </c>
      <c r="N3" s="7" t="n">
        <v>100</v>
      </c>
      <c r="O3" s="7" t="n">
        <v>-2351.865825164179</v>
      </c>
      <c r="P3" s="7" t="n">
        <v>10289.45693811973</v>
      </c>
    </row>
    <row r="4">
      <c r="A4" s="2" t="inlineStr">
        <is>
          <t>2025-09</t>
        </is>
      </c>
      <c r="B4" s="2" t="n">
        <v>108</v>
      </c>
      <c r="C4" s="2" t="n">
        <v>70</v>
      </c>
      <c r="D4" s="2" t="n">
        <v>38</v>
      </c>
      <c r="E4" s="2" t="n">
        <v>0</v>
      </c>
      <c r="F4" s="6" t="n">
        <v>0.6481481481481481</v>
      </c>
      <c r="G4" s="6" t="n">
        <v>0.2492562802967738</v>
      </c>
      <c r="H4" s="2" t="n">
        <v>26.91967827205157</v>
      </c>
      <c r="I4" s="7" t="n">
        <v>2691.967827205157</v>
      </c>
      <c r="J4" s="6" t="n"/>
      <c r="K4" s="4" t="n">
        <v>-16.23148148148148</v>
      </c>
      <c r="L4" s="2" t="n">
        <v>0.4222974080221067</v>
      </c>
      <c r="M4" s="6" t="n">
        <v>0.1628886415020201</v>
      </c>
      <c r="N4" s="7" t="n">
        <v>100</v>
      </c>
      <c r="O4" s="7" t="n">
        <v>-1061.070827489482</v>
      </c>
      <c r="P4" s="7" t="n">
        <v>12981.42476532489</v>
      </c>
    </row>
    <row r="5">
      <c r="A5" s="2" t="inlineStr">
        <is>
          <t>2026-03</t>
        </is>
      </c>
      <c r="B5" s="2" t="n">
        <v>31</v>
      </c>
      <c r="C5" s="2" t="n">
        <v>19</v>
      </c>
      <c r="D5" s="2" t="n">
        <v>12</v>
      </c>
      <c r="E5" s="2" t="n">
        <v>0</v>
      </c>
      <c r="F5" s="6" t="n">
        <v>0.6129032258064516</v>
      </c>
      <c r="G5" s="6" t="n">
        <v>0.221366053222939</v>
      </c>
      <c r="H5" s="2" t="n">
        <v>6.862347649911108</v>
      </c>
      <c r="I5" s="7" t="n">
        <v>686.2347649911109</v>
      </c>
      <c r="J5" s="6" t="n"/>
      <c r="K5" s="4" t="n">
        <v>6.064516129032258</v>
      </c>
      <c r="L5" s="2" t="n">
        <v>0.4099391304703648</v>
      </c>
      <c r="M5" s="6" t="n">
        <v>0.1677109547591573</v>
      </c>
      <c r="N5" s="7" t="n">
        <v>100</v>
      </c>
      <c r="O5" s="7" t="n">
        <v>-297.3684210526317</v>
      </c>
      <c r="P5" s="7" t="n">
        <v>13667.659530316</v>
      </c>
    </row>
    <row r="6">
      <c r="A6" s="2" t="inlineStr">
        <is>
          <t>2026-04</t>
        </is>
      </c>
      <c r="B6" s="2" t="n">
        <v>274</v>
      </c>
      <c r="C6" s="2" t="n">
        <v>164</v>
      </c>
      <c r="D6" s="2" t="n">
        <v>110</v>
      </c>
      <c r="E6" s="2" t="n">
        <v>0</v>
      </c>
      <c r="F6" s="6" t="n">
        <v>0.5985401459854015</v>
      </c>
      <c r="G6" s="6" t="n">
        <v>0.1807191083178425</v>
      </c>
      <c r="H6" s="2" t="n">
        <v>49.51703567908883</v>
      </c>
      <c r="I6" s="7" t="n">
        <v>4951.703567908884</v>
      </c>
      <c r="J6" s="6" t="n"/>
      <c r="K6" s="4" t="n">
        <v>2.218978102189781</v>
      </c>
      <c r="L6" s="2" t="n">
        <v>0.484065348790766</v>
      </c>
      <c r="M6" s="6" t="n">
        <v>0.1925727956537132</v>
      </c>
      <c r="N6" s="7" t="n">
        <v>100</v>
      </c>
      <c r="O6" s="7" t="n">
        <v>-905.3333333333339</v>
      </c>
      <c r="P6" s="7" t="n">
        <v>18619.36309822488</v>
      </c>
    </row>
    <row r="7">
      <c r="A7" s="2" t="inlineStr">
        <is>
          <t>2026-05</t>
        </is>
      </c>
      <c r="B7" s="2" t="n">
        <v>185</v>
      </c>
      <c r="C7" s="2" t="n">
        <v>101</v>
      </c>
      <c r="D7" s="2" t="n">
        <v>84</v>
      </c>
      <c r="E7" s="2" t="n">
        <v>0</v>
      </c>
      <c r="F7" s="6" t="n">
        <v>0.5459459459459459</v>
      </c>
      <c r="G7" s="6" t="n">
        <v>0.06129080923375371</v>
      </c>
      <c r="H7" s="2" t="n">
        <v>11.33879970824443</v>
      </c>
      <c r="I7" s="7" t="n">
        <v>1133.879970824443</v>
      </c>
      <c r="J7" s="6" t="n"/>
      <c r="K7" s="4" t="n">
        <v>-14.52972972972973</v>
      </c>
      <c r="L7" s="2" t="n">
        <v>0.3877157755370361</v>
      </c>
      <c r="M7" s="6" t="n">
        <v>0.1567557559424423</v>
      </c>
      <c r="N7" s="7" t="n">
        <v>100</v>
      </c>
      <c r="O7" s="7" t="n">
        <v>-888.965201465202</v>
      </c>
      <c r="P7" s="7" t="n">
        <v>19753.24306904932</v>
      </c>
    </row>
    <row r="8">
      <c r="A8" s="2" t="inlineStr">
        <is>
          <t>2026-06</t>
        </is>
      </c>
      <c r="B8" s="2" t="n">
        <v>123</v>
      </c>
      <c r="C8" s="2" t="n">
        <v>64</v>
      </c>
      <c r="D8" s="2" t="n">
        <v>59</v>
      </c>
      <c r="E8" s="2" t="n">
        <v>0</v>
      </c>
      <c r="F8" s="6" t="n">
        <v>0.5203252032520326</v>
      </c>
      <c r="G8" s="6" t="n">
        <v>-0.02367217212811116</v>
      </c>
      <c r="H8" s="2" t="n">
        <v>-2.911677171757673</v>
      </c>
      <c r="I8" s="7" t="n">
        <v>-291.1677171757672</v>
      </c>
      <c r="J8" s="6" t="n"/>
      <c r="K8" s="4" t="n">
        <v>-37.52032520325204</v>
      </c>
      <c r="L8" s="2" t="n">
        <v>0.6610667717569417</v>
      </c>
      <c r="M8" s="6" t="n">
        <v>0.2066187522681784</v>
      </c>
      <c r="N8" s="7" t="n">
        <v>100</v>
      </c>
      <c r="O8" s="7" t="n">
        <v>-1477.02033134751</v>
      </c>
      <c r="P8" s="7" t="n">
        <v>19462.07535187355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4" customWidth="1" min="4" max="4"/>
    <col width="21" customWidth="1" min="5" max="5"/>
    <col width="10" customWidth="1" min="6" max="6"/>
    <col width="16" customWidth="1" min="7" max="7"/>
  </cols>
  <sheetData>
    <row r="1">
      <c r="A1" s="1" t="inlineStr">
        <is>
          <t>Peak Date</t>
        </is>
      </c>
      <c r="B1" s="1" t="inlineStr">
        <is>
          <t>Trough Date</t>
        </is>
      </c>
      <c r="C1" s="1" t="inlineStr">
        <is>
          <t>Recovery Date</t>
        </is>
      </c>
      <c r="D1" s="1" t="inlineStr">
        <is>
          <t>Drawdown %</t>
        </is>
      </c>
      <c r="E1" s="1" t="inlineStr">
        <is>
          <t>Drawdown $</t>
        </is>
      </c>
      <c r="F1" s="1" t="inlineStr">
        <is>
          <t>Duration</t>
        </is>
      </c>
      <c r="G1" s="1" t="inlineStr">
        <is>
          <t>Number of Bets</t>
        </is>
      </c>
    </row>
    <row r="2">
      <c r="A2" s="3" t="n">
        <v>45884</v>
      </c>
      <c r="B2" s="3" t="n">
        <v>45894</v>
      </c>
      <c r="C2" s="3" t="n">
        <v>45922</v>
      </c>
      <c r="D2" s="6" t="n">
        <v>-0.1917092472541708</v>
      </c>
      <c r="E2" s="7" t="n">
        <v>-2351.865825164179</v>
      </c>
      <c r="F2" s="2" t="n">
        <v>38</v>
      </c>
      <c r="G2" s="2" t="n">
        <v>182</v>
      </c>
    </row>
    <row r="3">
      <c r="A3" s="3" t="n">
        <v>45848</v>
      </c>
      <c r="B3" s="3" t="n">
        <v>45856</v>
      </c>
      <c r="C3" s="3" t="n">
        <v>45864</v>
      </c>
      <c r="D3" s="6" t="n">
        <v>-0.1058368123704186</v>
      </c>
      <c r="E3" s="7" t="n">
        <v>-1100.96590909091</v>
      </c>
      <c r="F3" s="2" t="n">
        <v>16</v>
      </c>
      <c r="G3" s="2" t="n">
        <v>50</v>
      </c>
    </row>
    <row r="4">
      <c r="A4" s="3" t="n">
        <v>45840</v>
      </c>
      <c r="B4" s="3" t="n">
        <v>45845</v>
      </c>
      <c r="C4" s="3" t="n">
        <v>45848</v>
      </c>
      <c r="D4" s="6" t="n">
        <v>-0.08999523862217551</v>
      </c>
      <c r="E4" s="7" t="n">
        <v>-923.9099099099112</v>
      </c>
      <c r="F4" s="2" t="n">
        <v>8</v>
      </c>
      <c r="G4" s="2" t="n">
        <v>35</v>
      </c>
    </row>
    <row r="5">
      <c r="A5" s="3" t="n">
        <v>46186</v>
      </c>
      <c r="B5" s="3" t="n">
        <v>46191</v>
      </c>
      <c r="C5" s="3" t="inlineStr"/>
      <c r="D5" s="6" t="n">
        <v>-0.07076569730721878</v>
      </c>
      <c r="E5" s="7" t="n">
        <v>-1477.02033134751</v>
      </c>
      <c r="F5" s="2" t="n">
        <v>5</v>
      </c>
      <c r="G5" s="2" t="n">
        <v>43</v>
      </c>
    </row>
    <row r="6">
      <c r="A6" s="3" t="n">
        <v>45879</v>
      </c>
      <c r="B6" s="3" t="n">
        <v>45881</v>
      </c>
      <c r="C6" s="3" t="n">
        <v>45881</v>
      </c>
      <c r="D6" s="6" t="n">
        <v>-0.0654320829058966</v>
      </c>
      <c r="E6" s="7" t="n">
        <v>-757.9644911227806</v>
      </c>
      <c r="F6" s="2" t="n">
        <v>2</v>
      </c>
      <c r="G6" s="2" t="n">
        <v>20</v>
      </c>
    </row>
    <row r="7">
      <c r="A7" s="3" t="n">
        <v>46116</v>
      </c>
      <c r="B7" s="3" t="n">
        <v>46117</v>
      </c>
      <c r="C7" s="3" t="n">
        <v>46119</v>
      </c>
      <c r="D7" s="6" t="n">
        <v>-0.06400968431027412</v>
      </c>
      <c r="E7" s="7" t="n">
        <v>-905.3333333333339</v>
      </c>
      <c r="F7" s="2" t="n">
        <v>3</v>
      </c>
      <c r="G7" s="2" t="n">
        <v>34</v>
      </c>
    </row>
    <row r="8">
      <c r="A8" s="3" t="n">
        <v>46170</v>
      </c>
      <c r="B8" s="3" t="n">
        <v>46176</v>
      </c>
      <c r="C8" s="3" t="n">
        <v>46183</v>
      </c>
      <c r="D8" s="6" t="n">
        <v>-0.06198431922939563</v>
      </c>
      <c r="E8" s="7" t="n">
        <v>-1249.094703348568</v>
      </c>
      <c r="F8" s="2" t="n">
        <v>13</v>
      </c>
      <c r="G8" s="2" t="n">
        <v>95</v>
      </c>
    </row>
    <row r="9">
      <c r="A9" s="3" t="n">
        <v>45868</v>
      </c>
      <c r="B9" s="3" t="n">
        <v>45870</v>
      </c>
      <c r="C9" s="3" t="n">
        <v>45873</v>
      </c>
      <c r="D9" s="6" t="n">
        <v>-0.05867783030348524</v>
      </c>
      <c r="E9" s="7" t="n">
        <v>-632.576923076922</v>
      </c>
      <c r="F9" s="2" t="n">
        <v>5</v>
      </c>
      <c r="G9" s="2" t="n">
        <v>25</v>
      </c>
    </row>
    <row r="10">
      <c r="A10" s="3" t="n">
        <v>46140</v>
      </c>
      <c r="B10" s="3" t="n">
        <v>46148</v>
      </c>
      <c r="C10" s="3" t="n">
        <v>46159</v>
      </c>
      <c r="D10" s="6" t="n">
        <v>-0.05617026379663134</v>
      </c>
      <c r="E10" s="7" t="n">
        <v>-1089.107576981609</v>
      </c>
      <c r="F10" s="2" t="n">
        <v>19</v>
      </c>
      <c r="G10" s="2" t="n">
        <v>115</v>
      </c>
    </row>
    <row r="11">
      <c r="A11" s="3" t="n">
        <v>45865</v>
      </c>
      <c r="B11" s="3" t="n">
        <v>45866</v>
      </c>
      <c r="C11" s="3" t="n">
        <v>45868</v>
      </c>
      <c r="D11" s="6" t="n">
        <v>-0.04857607588755131</v>
      </c>
      <c r="E11" s="7" t="n">
        <v>-523.076923076922</v>
      </c>
      <c r="F11" s="2" t="n">
        <v>3</v>
      </c>
      <c r="G11" s="2" t="n">
        <v>21</v>
      </c>
    </row>
    <row r="12">
      <c r="A12" s="3" t="n">
        <v>46120</v>
      </c>
      <c r="B12" s="3" t="n">
        <v>46120</v>
      </c>
      <c r="C12" s="3" t="n">
        <v>46121</v>
      </c>
      <c r="D12" s="6" t="n">
        <v>-0.04851737979276995</v>
      </c>
      <c r="E12" s="7" t="n">
        <v>-700</v>
      </c>
      <c r="F12" s="2" t="n">
        <v>1</v>
      </c>
      <c r="G12" s="2" t="n">
        <v>17</v>
      </c>
    </row>
    <row r="13">
      <c r="A13" s="3" t="n">
        <v>45878</v>
      </c>
      <c r="B13" s="3" t="n">
        <v>45878</v>
      </c>
      <c r="C13" s="3" t="n">
        <v>45879</v>
      </c>
      <c r="D13" s="6" t="n">
        <v>-0.03785144950288932</v>
      </c>
      <c r="E13" s="7" t="n">
        <v>-436.7088607594942</v>
      </c>
      <c r="F13" s="2" t="n">
        <v>1</v>
      </c>
      <c r="G13" s="2" t="n">
        <v>12</v>
      </c>
    </row>
    <row r="14">
      <c r="A14" s="3" t="n">
        <v>46130</v>
      </c>
      <c r="B14" s="3" t="n">
        <v>46131</v>
      </c>
      <c r="C14" s="3" t="n">
        <v>46133</v>
      </c>
      <c r="D14" s="6" t="n">
        <v>-0.03558569683925092</v>
      </c>
      <c r="E14" s="7" t="n">
        <v>-627.7117327117303</v>
      </c>
      <c r="F14" s="2" t="n">
        <v>3</v>
      </c>
      <c r="G14" s="2" t="n">
        <v>22</v>
      </c>
    </row>
    <row r="15">
      <c r="A15" s="3" t="n">
        <v>46160</v>
      </c>
      <c r="B15" s="3" t="n">
        <v>46166</v>
      </c>
      <c r="C15" s="3" t="n">
        <v>46167</v>
      </c>
      <c r="D15" s="6" t="n">
        <v>-0.03383352263349138</v>
      </c>
      <c r="E15" s="7" t="n">
        <v>-656.4601837413866</v>
      </c>
      <c r="F15" s="2" t="n">
        <v>7</v>
      </c>
      <c r="G15" s="2" t="n">
        <v>39</v>
      </c>
    </row>
    <row r="16">
      <c r="A16" s="3" t="n">
        <v>46113</v>
      </c>
      <c r="B16" s="3" t="n">
        <v>46113</v>
      </c>
      <c r="C16" s="3" t="n">
        <v>46113</v>
      </c>
      <c r="D16" s="6" t="n">
        <v>-0.02782760271855102</v>
      </c>
      <c r="E16" s="7" t="n">
        <v>-389.2542372881362</v>
      </c>
      <c r="F16" s="2" t="n">
        <v>0</v>
      </c>
      <c r="G16" s="2" t="n">
        <v>13</v>
      </c>
    </row>
    <row r="17">
      <c r="A17" s="3" t="n">
        <v>46126</v>
      </c>
      <c r="B17" s="3" t="n">
        <v>46128</v>
      </c>
      <c r="C17" s="3" t="n">
        <v>46129</v>
      </c>
      <c r="D17" s="6" t="n">
        <v>-0.0237208683428422</v>
      </c>
      <c r="E17" s="7" t="n">
        <v>-402.761904761901</v>
      </c>
      <c r="F17" s="2" t="n">
        <v>3</v>
      </c>
      <c r="G17" s="2" t="n">
        <v>13</v>
      </c>
    </row>
    <row r="18">
      <c r="A18" s="3" t="n">
        <v>46119</v>
      </c>
      <c r="B18" s="3" t="n">
        <v>46119</v>
      </c>
      <c r="C18" s="3" t="n">
        <v>46120</v>
      </c>
      <c r="D18" s="6" t="n">
        <v>-0.02323158359864749</v>
      </c>
      <c r="E18" s="7" t="n">
        <v>-334.2063492063498</v>
      </c>
      <c r="F18" s="2" t="n">
        <v>1</v>
      </c>
      <c r="G18" s="2" t="n">
        <v>14</v>
      </c>
    </row>
    <row r="19">
      <c r="A19" s="3" t="n">
        <v>46113</v>
      </c>
      <c r="B19" s="3" t="n">
        <v>46115</v>
      </c>
      <c r="C19" s="3" t="n">
        <v>46115</v>
      </c>
      <c r="D19" s="6" t="n">
        <v>-0.02280843296310706</v>
      </c>
      <c r="E19" s="7" t="n">
        <v>-319.7088607594942</v>
      </c>
      <c r="F19" s="2" t="n">
        <v>2</v>
      </c>
      <c r="G19" s="2" t="n">
        <v>13</v>
      </c>
    </row>
    <row r="20">
      <c r="A20" s="3" t="n">
        <v>46109</v>
      </c>
      <c r="B20" s="3" t="n">
        <v>46110</v>
      </c>
      <c r="C20" s="3" t="n">
        <v>46111</v>
      </c>
      <c r="D20" s="6" t="n">
        <v>-0.02181404816464616</v>
      </c>
      <c r="E20" s="7" t="n">
        <v>-297.3684210526317</v>
      </c>
      <c r="F20" s="2" t="n">
        <v>2</v>
      </c>
      <c r="G20" s="2" t="n">
        <v>14</v>
      </c>
    </row>
    <row r="21">
      <c r="A21" s="3" t="n">
        <v>46122</v>
      </c>
      <c r="B21" s="3" t="n">
        <v>46122</v>
      </c>
      <c r="C21" s="3" t="n">
        <v>46123</v>
      </c>
      <c r="D21" s="6" t="n">
        <v>-0.02045231718749237</v>
      </c>
      <c r="E21" s="7" t="n">
        <v>-300</v>
      </c>
      <c r="F21" s="2" t="n">
        <v>1</v>
      </c>
      <c r="G21" s="2" t="n">
        <v>14</v>
      </c>
    </row>
    <row r="22">
      <c r="A22" s="3" t="n">
        <v>46124</v>
      </c>
      <c r="B22" s="3" t="n">
        <v>46124</v>
      </c>
      <c r="C22" s="3" t="n">
        <v>46124</v>
      </c>
      <c r="D22" s="6" t="n">
        <v>-0.01920003723667805</v>
      </c>
      <c r="E22" s="7" t="n">
        <v>-300</v>
      </c>
      <c r="F22" s="2" t="n">
        <v>0</v>
      </c>
      <c r="G22" s="2" t="n">
        <v>7</v>
      </c>
    </row>
    <row r="23">
      <c r="A23" s="3" t="n">
        <v>45876</v>
      </c>
      <c r="B23" s="3" t="n">
        <v>45876</v>
      </c>
      <c r="C23" s="3" t="n">
        <v>45877</v>
      </c>
      <c r="D23" s="6" t="n">
        <v>-0.01747740619796485</v>
      </c>
      <c r="E23" s="7" t="n">
        <v>-200</v>
      </c>
      <c r="F23" s="2" t="n">
        <v>1</v>
      </c>
      <c r="G23" s="2" t="n">
        <v>7</v>
      </c>
    </row>
    <row r="24">
      <c r="A24" s="3" t="n">
        <v>45883</v>
      </c>
      <c r="B24" s="3" t="n">
        <v>45883</v>
      </c>
      <c r="C24" s="3" t="n">
        <v>45884</v>
      </c>
      <c r="D24" s="6" t="n">
        <v>-0.0164191537886129</v>
      </c>
      <c r="E24" s="7" t="n">
        <v>-200</v>
      </c>
      <c r="F24" s="2" t="n">
        <v>1</v>
      </c>
      <c r="G24" s="2" t="n">
        <v>6</v>
      </c>
    </row>
    <row r="25">
      <c r="A25" s="3" t="n">
        <v>46135</v>
      </c>
      <c r="B25" s="3" t="n">
        <v>46136</v>
      </c>
      <c r="C25" s="3" t="n">
        <v>46137</v>
      </c>
      <c r="D25" s="6" t="n">
        <v>-0.01616129310669783</v>
      </c>
      <c r="E25" s="7" t="n">
        <v>-300</v>
      </c>
      <c r="F25" s="2" t="n">
        <v>2</v>
      </c>
      <c r="G25" s="2" t="n">
        <v>9</v>
      </c>
    </row>
    <row r="26">
      <c r="A26" s="3" t="n">
        <v>45924</v>
      </c>
      <c r="B26" s="3" t="n">
        <v>45925</v>
      </c>
      <c r="C26" s="3" t="n">
        <v>45925</v>
      </c>
      <c r="D26" s="6" t="n">
        <v>-0.015814885441638</v>
      </c>
      <c r="E26" s="7" t="n">
        <v>-200</v>
      </c>
      <c r="F26" s="2" t="n">
        <v>1</v>
      </c>
      <c r="G26" s="2" t="n">
        <v>6</v>
      </c>
    </row>
    <row r="27">
      <c r="A27" s="3" t="n">
        <v>45925</v>
      </c>
      <c r="B27" s="3" t="n">
        <v>45926</v>
      </c>
      <c r="C27" s="3" t="n">
        <v>45926</v>
      </c>
      <c r="D27" s="6" t="n">
        <v>-0.01561362297398598</v>
      </c>
      <c r="E27" s="7" t="n">
        <v>-200</v>
      </c>
      <c r="F27" s="2" t="n">
        <v>1</v>
      </c>
      <c r="G27" s="2" t="n">
        <v>5</v>
      </c>
    </row>
    <row r="28">
      <c r="A28" s="3" t="n">
        <v>46107</v>
      </c>
      <c r="B28" s="3" t="n">
        <v>46107</v>
      </c>
      <c r="C28" s="3" t="n">
        <v>46108</v>
      </c>
      <c r="D28" s="6" t="n">
        <v>-0.01525387237311766</v>
      </c>
      <c r="E28" s="7" t="n">
        <v>-200</v>
      </c>
      <c r="F28" s="2" t="n">
        <v>1</v>
      </c>
      <c r="G28" s="2" t="n">
        <v>6</v>
      </c>
    </row>
    <row r="29">
      <c r="A29" s="3" t="n">
        <v>46111</v>
      </c>
      <c r="B29" s="3" t="n">
        <v>46111</v>
      </c>
      <c r="C29" s="3" t="n">
        <v>46111</v>
      </c>
      <c r="D29" s="6" t="n">
        <v>-0.01460059549458851</v>
      </c>
      <c r="E29" s="7" t="n">
        <v>-200</v>
      </c>
      <c r="F29" s="2" t="n">
        <v>0</v>
      </c>
      <c r="G29" s="2" t="n">
        <v>5</v>
      </c>
    </row>
    <row r="30">
      <c r="A30" s="3" t="n">
        <v>46111</v>
      </c>
      <c r="B30" s="3" t="n">
        <v>46112</v>
      </c>
      <c r="C30" s="3" t="n">
        <v>46113</v>
      </c>
      <c r="D30" s="6" t="n">
        <v>-0.01452679735140208</v>
      </c>
      <c r="E30" s="7" t="n">
        <v>-200</v>
      </c>
      <c r="F30" s="2" t="n">
        <v>2</v>
      </c>
      <c r="G30" s="2" t="n">
        <v>6</v>
      </c>
    </row>
    <row r="31">
      <c r="A31" s="3" t="n">
        <v>46115</v>
      </c>
      <c r="B31" s="3" t="n">
        <v>46115</v>
      </c>
      <c r="C31" s="3" t="n">
        <v>46116</v>
      </c>
      <c r="D31" s="6" t="n">
        <v>-0.01425646212919004</v>
      </c>
      <c r="E31" s="7" t="n">
        <v>-200</v>
      </c>
      <c r="F31" s="2" t="n">
        <v>1</v>
      </c>
      <c r="G31" s="2" t="n">
        <v>7</v>
      </c>
    </row>
    <row r="32">
      <c r="A32" s="3" t="n">
        <v>46123</v>
      </c>
      <c r="B32" s="3" t="n">
        <v>46124</v>
      </c>
      <c r="C32" s="3" t="n">
        <v>46124</v>
      </c>
      <c r="D32" s="6" t="n">
        <v>-0.01305289109511771</v>
      </c>
      <c r="E32" s="7" t="n">
        <v>-200</v>
      </c>
      <c r="F32" s="2" t="n">
        <v>1</v>
      </c>
      <c r="G32" s="2" t="n">
        <v>6</v>
      </c>
    </row>
    <row r="33">
      <c r="A33" s="3" t="n">
        <v>46134</v>
      </c>
      <c r="B33" s="3" t="n">
        <v>46134</v>
      </c>
      <c r="C33" s="3" t="n">
        <v>46135</v>
      </c>
      <c r="D33" s="6" t="n">
        <v>-0.01279427850077474</v>
      </c>
      <c r="E33" s="7" t="n">
        <v>-233.3333333333358</v>
      </c>
      <c r="F33" s="2" t="n">
        <v>1</v>
      </c>
      <c r="G33" s="2" t="n">
        <v>8</v>
      </c>
    </row>
    <row r="34">
      <c r="A34" s="3" t="n">
        <v>46130</v>
      </c>
      <c r="B34" s="3" t="n">
        <v>46130</v>
      </c>
      <c r="C34" s="3" t="n">
        <v>46130</v>
      </c>
      <c r="D34" s="6" t="n">
        <v>-0.01151096794972659</v>
      </c>
      <c r="E34" s="7" t="n">
        <v>-200</v>
      </c>
      <c r="F34" s="2" t="n">
        <v>0</v>
      </c>
      <c r="G34" s="2" t="n">
        <v>5</v>
      </c>
    </row>
    <row r="35">
      <c r="A35" s="3" t="n">
        <v>45923</v>
      </c>
      <c r="B35" s="3" t="n">
        <v>45923</v>
      </c>
      <c r="C35" s="3" t="n">
        <v>45924</v>
      </c>
      <c r="D35" s="6" t="n">
        <v>-0.01070557259656464</v>
      </c>
      <c r="E35" s="7" t="n">
        <v>-133.3333333333321</v>
      </c>
      <c r="F35" s="2" t="n">
        <v>1</v>
      </c>
      <c r="G35" s="2" t="n">
        <v>6</v>
      </c>
    </row>
    <row r="36">
      <c r="A36" s="3" t="n">
        <v>46137</v>
      </c>
      <c r="B36" s="3" t="n">
        <v>46137</v>
      </c>
      <c r="C36" s="3" t="n">
        <v>46137</v>
      </c>
      <c r="D36" s="6" t="n">
        <v>-0.01041038640252989</v>
      </c>
      <c r="E36" s="7" t="n">
        <v>-200</v>
      </c>
      <c r="F36" s="2" t="n">
        <v>0</v>
      </c>
      <c r="G36" s="2" t="n">
        <v>6</v>
      </c>
    </row>
    <row r="37">
      <c r="A37" s="3" t="n">
        <v>46138</v>
      </c>
      <c r="B37" s="3" t="n">
        <v>46138</v>
      </c>
      <c r="C37" s="3" t="n">
        <v>46138</v>
      </c>
      <c r="D37" s="6" t="n">
        <v>-0.01037606042881612</v>
      </c>
      <c r="E37" s="7" t="n">
        <v>-200</v>
      </c>
      <c r="F37" s="2" t="n">
        <v>0</v>
      </c>
      <c r="G37" s="2" t="n">
        <v>5</v>
      </c>
    </row>
    <row r="38">
      <c r="A38" s="3" t="n">
        <v>46159</v>
      </c>
      <c r="B38" s="3" t="n">
        <v>46160</v>
      </c>
      <c r="C38" s="3" t="n">
        <v>46160</v>
      </c>
      <c r="D38" s="6" t="n">
        <v>-0.01031409716378278</v>
      </c>
      <c r="E38" s="7" t="n">
        <v>-200</v>
      </c>
      <c r="F38" s="2" t="n">
        <v>1</v>
      </c>
      <c r="G38" s="2" t="n">
        <v>5</v>
      </c>
    </row>
    <row r="39">
      <c r="A39" s="3" t="n">
        <v>46167</v>
      </c>
      <c r="B39" s="3" t="n">
        <v>46167</v>
      </c>
      <c r="C39" s="3" t="n">
        <v>46167</v>
      </c>
      <c r="D39" s="6" t="n">
        <v>-0.01029313858234539</v>
      </c>
      <c r="E39" s="7" t="n">
        <v>-200</v>
      </c>
      <c r="F39" s="2" t="n">
        <v>0</v>
      </c>
      <c r="G39" s="2" t="n">
        <v>5</v>
      </c>
    </row>
    <row r="40">
      <c r="A40" s="3" t="n">
        <v>45874</v>
      </c>
      <c r="B40" s="3" t="n">
        <v>45875</v>
      </c>
      <c r="C40" s="3" t="n">
        <v>45875</v>
      </c>
      <c r="D40" s="6" t="n">
        <v>-0.009832788278562333</v>
      </c>
      <c r="E40" s="7" t="n">
        <v>-109.0909090909099</v>
      </c>
      <c r="F40" s="2" t="n">
        <v>1</v>
      </c>
      <c r="G40" s="2" t="n">
        <v>6</v>
      </c>
    </row>
    <row r="41">
      <c r="A41" s="3" t="n">
        <v>46185</v>
      </c>
      <c r="B41" s="3" t="n">
        <v>46185</v>
      </c>
      <c r="C41" s="3" t="n">
        <v>46185</v>
      </c>
      <c r="D41" s="6" t="n">
        <v>-0.009766608248419196</v>
      </c>
      <c r="E41" s="7" t="n">
        <v>-200</v>
      </c>
      <c r="F41" s="2" t="n">
        <v>0</v>
      </c>
      <c r="G41" s="2" t="n">
        <v>6</v>
      </c>
    </row>
    <row r="42">
      <c r="A42" s="3" t="n">
        <v>45865</v>
      </c>
      <c r="B42" s="3" t="n">
        <v>45865</v>
      </c>
      <c r="C42" s="3" t="n">
        <v>45865</v>
      </c>
      <c r="D42" s="6" t="n">
        <v>-0.009290053664722254</v>
      </c>
      <c r="E42" s="7" t="n">
        <v>-100</v>
      </c>
      <c r="F42" s="2" t="n">
        <v>0</v>
      </c>
      <c r="G42" s="2" t="n">
        <v>3</v>
      </c>
    </row>
    <row r="43">
      <c r="A43" s="3" t="n">
        <v>45874</v>
      </c>
      <c r="B43" s="3" t="n">
        <v>45874</v>
      </c>
      <c r="C43" s="3" t="n">
        <v>45874</v>
      </c>
      <c r="D43" s="6" t="n">
        <v>-0.00907770543580442</v>
      </c>
      <c r="E43" s="7" t="n">
        <v>-100</v>
      </c>
      <c r="F43" s="2" t="n">
        <v>0</v>
      </c>
      <c r="G43" s="2" t="n">
        <v>3</v>
      </c>
    </row>
    <row r="44">
      <c r="A44" s="3" t="n">
        <v>45875</v>
      </c>
      <c r="B44" s="3" t="n">
        <v>45875</v>
      </c>
      <c r="C44" s="3" t="n">
        <v>45875</v>
      </c>
      <c r="D44" s="6" t="n">
        <v>-0.008891890172881289</v>
      </c>
      <c r="E44" s="7" t="n">
        <v>-100</v>
      </c>
      <c r="F44" s="2" t="n">
        <v>0</v>
      </c>
      <c r="G44" s="2" t="n">
        <v>3</v>
      </c>
    </row>
    <row r="45">
      <c r="A45" s="3" t="n">
        <v>45882</v>
      </c>
      <c r="B45" s="3" t="n">
        <v>45882</v>
      </c>
      <c r="C45" s="3" t="n">
        <v>45882</v>
      </c>
      <c r="D45" s="6" t="n">
        <v>-0.008471566638847622</v>
      </c>
      <c r="E45" s="7" t="n">
        <v>-100</v>
      </c>
      <c r="F45" s="2" t="n">
        <v>0</v>
      </c>
      <c r="G45" s="2" t="n">
        <v>4</v>
      </c>
    </row>
    <row r="46">
      <c r="A46" s="3" t="n">
        <v>46113</v>
      </c>
      <c r="B46" s="3" t="n">
        <v>46113</v>
      </c>
      <c r="C46" s="3" t="n">
        <v>46113</v>
      </c>
      <c r="D46" s="6" t="n">
        <v>-0.007222182000063591</v>
      </c>
      <c r="E46" s="7" t="n">
        <v>-100</v>
      </c>
      <c r="F46" s="2" t="n">
        <v>0</v>
      </c>
      <c r="G46" s="2" t="n">
        <v>4</v>
      </c>
    </row>
    <row r="47">
      <c r="A47" s="3" t="n">
        <v>46168</v>
      </c>
      <c r="B47" s="3" t="n">
        <v>46169</v>
      </c>
      <c r="C47" s="3" t="n">
        <v>46170</v>
      </c>
      <c r="D47" s="6" t="n">
        <v>-0.007210912895334712</v>
      </c>
      <c r="E47" s="7" t="n">
        <v>-144.8816652409441</v>
      </c>
      <c r="F47" s="2" t="n">
        <v>2</v>
      </c>
      <c r="G47" s="2" t="n">
        <v>8</v>
      </c>
    </row>
    <row r="48">
      <c r="A48" s="3" t="n">
        <v>46113</v>
      </c>
      <c r="B48" s="3" t="n">
        <v>46113</v>
      </c>
      <c r="C48" s="3" t="n">
        <v>46113</v>
      </c>
      <c r="D48" s="6" t="n">
        <v>-0.007140238724579661</v>
      </c>
      <c r="E48" s="7" t="n">
        <v>-100</v>
      </c>
      <c r="F48" s="2" t="n">
        <v>0</v>
      </c>
      <c r="G48" s="2" t="n">
        <v>3</v>
      </c>
    </row>
    <row r="49">
      <c r="A49" s="3" t="n">
        <v>46121</v>
      </c>
      <c r="B49" s="3" t="n">
        <v>46121</v>
      </c>
      <c r="C49" s="3" t="n">
        <v>46121</v>
      </c>
      <c r="D49" s="6" t="n">
        <v>-0.006884556172815587</v>
      </c>
      <c r="E49" s="7" t="n">
        <v>-100</v>
      </c>
      <c r="F49" s="2" t="n">
        <v>0</v>
      </c>
      <c r="G49" s="2" t="n">
        <v>3</v>
      </c>
    </row>
    <row r="50">
      <c r="A50" s="3" t="n">
        <v>46124</v>
      </c>
      <c r="B50" s="3" t="n">
        <v>46125</v>
      </c>
      <c r="C50" s="3" t="n">
        <v>46125</v>
      </c>
      <c r="D50" s="6" t="n">
        <v>-0.006272750601216154</v>
      </c>
      <c r="E50" s="7" t="n">
        <v>-100</v>
      </c>
      <c r="F50" s="2" t="n">
        <v>1</v>
      </c>
      <c r="G50" s="2" t="n">
        <v>4</v>
      </c>
    </row>
    <row r="51">
      <c r="A51" s="3" t="n">
        <v>46125</v>
      </c>
      <c r="B51" s="3" t="n">
        <v>46125</v>
      </c>
      <c r="C51" s="3" t="n">
        <v>46126</v>
      </c>
      <c r="D51" s="6" t="n">
        <v>-0.006151268731512338</v>
      </c>
      <c r="E51" s="7" t="n">
        <v>-100</v>
      </c>
      <c r="F51" s="2" t="n">
        <v>1</v>
      </c>
      <c r="G51" s="2" t="n">
        <v>4</v>
      </c>
    </row>
    <row r="52">
      <c r="A52" s="3" t="n">
        <v>46126</v>
      </c>
      <c r="B52" s="3" t="n">
        <v>46126</v>
      </c>
      <c r="C52" s="3" t="n">
        <v>46126</v>
      </c>
      <c r="D52" s="6" t="n">
        <v>-0.005913849688131483</v>
      </c>
      <c r="E52" s="7" t="n">
        <v>-100</v>
      </c>
      <c r="F52" s="2" t="n">
        <v>0</v>
      </c>
      <c r="G52" s="2" t="n">
        <v>3</v>
      </c>
    </row>
    <row r="53">
      <c r="A53" s="3" t="n">
        <v>46133</v>
      </c>
      <c r="B53" s="3" t="n">
        <v>46134</v>
      </c>
      <c r="C53" s="3" t="n">
        <v>46134</v>
      </c>
      <c r="D53" s="6" t="n">
        <v>-0.005546185732754509</v>
      </c>
      <c r="E53" s="7" t="n">
        <v>-100</v>
      </c>
      <c r="F53" s="2" t="n">
        <v>1</v>
      </c>
      <c r="G53" s="2" t="n">
        <v>4</v>
      </c>
    </row>
    <row r="54">
      <c r="A54" s="3" t="n">
        <v>46135</v>
      </c>
      <c r="B54" s="3" t="n">
        <v>46135</v>
      </c>
      <c r="C54" s="3" t="n">
        <v>46135</v>
      </c>
      <c r="D54" s="6" t="n">
        <v>-0.005422441146518241</v>
      </c>
      <c r="E54" s="7" t="n">
        <v>-100</v>
      </c>
      <c r="F54" s="2" t="n">
        <v>0</v>
      </c>
      <c r="G54" s="2" t="n">
        <v>3</v>
      </c>
    </row>
    <row r="55">
      <c r="A55" s="3" t="n">
        <v>46137</v>
      </c>
      <c r="B55" s="3" t="n">
        <v>46138</v>
      </c>
      <c r="C55" s="3" t="n">
        <v>46138</v>
      </c>
      <c r="D55" s="6" t="n">
        <v>-0.005190184361070744</v>
      </c>
      <c r="E55" s="7" t="n">
        <v>-100</v>
      </c>
      <c r="F55" s="2" t="n">
        <v>1</v>
      </c>
      <c r="G55" s="2" t="n">
        <v>3</v>
      </c>
    </row>
    <row r="56">
      <c r="A56" s="3" t="n">
        <v>46138</v>
      </c>
      <c r="B56" s="3" t="n">
        <v>46138</v>
      </c>
      <c r="C56" s="3" t="n">
        <v>46139</v>
      </c>
      <c r="D56" s="6" t="n">
        <v>-0.005187332494911722</v>
      </c>
      <c r="E56" s="7" t="n">
        <v>-100</v>
      </c>
      <c r="F56" s="2" t="n">
        <v>1</v>
      </c>
      <c r="G56" s="2" t="n">
        <v>3</v>
      </c>
    </row>
    <row r="57">
      <c r="A57" s="3" t="n">
        <v>46139</v>
      </c>
      <c r="B57" s="3" t="n">
        <v>46140</v>
      </c>
      <c r="C57" s="3" t="n">
        <v>46140</v>
      </c>
      <c r="D57" s="6" t="n">
        <v>-0.005157457810761319</v>
      </c>
      <c r="E57" s="7" t="n">
        <v>-100</v>
      </c>
      <c r="F57" s="2" t="n">
        <v>1</v>
      </c>
      <c r="G57" s="2" t="n">
        <v>3</v>
      </c>
    </row>
    <row r="58">
      <c r="A58" s="3" t="n">
        <v>46167</v>
      </c>
      <c r="B58" s="3" t="n">
        <v>46167</v>
      </c>
      <c r="C58" s="3" t="n">
        <v>46168</v>
      </c>
      <c r="D58" s="6" t="n">
        <v>-0.005144867107347293</v>
      </c>
      <c r="E58" s="7" t="n">
        <v>-100</v>
      </c>
      <c r="F58" s="2" t="n">
        <v>1</v>
      </c>
      <c r="G58" s="2" t="n">
        <v>4</v>
      </c>
    </row>
    <row r="59">
      <c r="A59" s="3" t="n">
        <v>46184</v>
      </c>
      <c r="B59" s="3" t="n">
        <v>46184</v>
      </c>
      <c r="C59" s="3" t="n">
        <v>46185</v>
      </c>
      <c r="D59" s="6" t="n">
        <v>-0.004929576271738969</v>
      </c>
      <c r="E59" s="7" t="n">
        <v>-100</v>
      </c>
      <c r="F59" s="2" t="n">
        <v>1</v>
      </c>
      <c r="G59" s="2" t="n">
        <v>4</v>
      </c>
    </row>
    <row r="60">
      <c r="A60" s="3" t="n">
        <v>46185</v>
      </c>
      <c r="B60" s="3" t="n">
        <v>46185</v>
      </c>
      <c r="C60" s="3" t="n">
        <v>46185</v>
      </c>
      <c r="D60" s="6" t="n">
        <v>-0.004902018836970832</v>
      </c>
      <c r="E60" s="7" t="n">
        <v>-100</v>
      </c>
      <c r="F60" s="2" t="n">
        <v>0</v>
      </c>
      <c r="G60" s="2" t="n">
        <v>3</v>
      </c>
    </row>
  </sheetData>
  <conditionalFormatting sqref="D2:D60">
    <cfRule type="colorScale" priority="1">
      <colorScale>
        <cfvo type="min"/>
        <cfvo type="percentile" val="50"/>
        <cfvo type="max"/>
        <color rgb="00C00000"/>
        <color rgb="00F4B183"/>
        <color rgb="00FFFFFF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0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20" customWidth="1" min="4" max="4"/>
    <col width="20" customWidth="1" min="5" max="5"/>
    <col width="21" customWidth="1" min="6" max="6"/>
    <col width="22" customWidth="1" min="7" max="7"/>
    <col width="18" customWidth="1" min="8" max="8"/>
    <col width="20" customWidth="1" min="9" max="9"/>
    <col width="21" customWidth="1" min="10" max="10"/>
    <col width="20" customWidth="1" min="11" max="11"/>
    <col width="23" customWidth="1" min="12" max="12"/>
    <col width="24" customWidth="1" min="13" max="13"/>
    <col width="20" customWidth="1" min="14" max="14"/>
    <col width="21" customWidth="1" min="15" max="15"/>
    <col width="21" customWidth="1" min="16" max="16"/>
    <col width="20" customWidth="1" min="17" max="17"/>
    <col width="23" customWidth="1" min="18" max="18"/>
    <col width="24" customWidth="1" min="19" max="19"/>
    <col width="20" customWidth="1" min="20" max="20"/>
    <col width="21" customWidth="1" min="21" max="21"/>
    <col width="21" customWidth="1" min="22" max="22"/>
    <col width="20" customWidth="1" min="23" max="23"/>
    <col width="23" customWidth="1" min="24" max="24"/>
    <col width="24" customWidth="1" min="25" max="25"/>
    <col width="20" customWidth="1" min="26" max="26"/>
    <col width="21" customWidth="1" min="27" max="27"/>
    <col width="21" customWidth="1" min="28" max="28"/>
    <col width="20" customWidth="1" min="29" max="29"/>
    <col width="23" customWidth="1" min="30" max="30"/>
    <col width="24" customWidth="1" min="31" max="31"/>
  </cols>
  <sheetData>
    <row r="1">
      <c r="A1" s="1" t="inlineStr">
        <is>
          <t>Strategy</t>
        </is>
      </c>
      <c r="B1" s="1" t="inlineStr">
        <is>
          <t>Description</t>
        </is>
      </c>
      <c r="C1" s="1" t="inlineStr">
        <is>
          <t>Final Bankroll</t>
        </is>
      </c>
      <c r="D1" s="1" t="inlineStr">
        <is>
          <t>Total Return</t>
        </is>
      </c>
      <c r="E1" s="1" t="inlineStr">
        <is>
          <t>CAGR</t>
        </is>
      </c>
      <c r="F1" s="1" t="inlineStr">
        <is>
          <t>Maximum Drawdown</t>
        </is>
      </c>
      <c r="G1" s="1" t="inlineStr">
        <is>
          <t>Maximum Drawdown %</t>
        </is>
      </c>
    </row>
    <row r="2">
      <c r="A2" s="2" t="inlineStr">
        <is>
          <t>Strategy A</t>
        </is>
      </c>
      <c r="B2" s="2" t="inlineStr">
        <is>
          <t>Flat $100 per bet</t>
        </is>
      </c>
      <c r="C2" s="7" t="n">
        <v>19462.07535187354</v>
      </c>
      <c r="D2" s="6" t="n">
        <v>0.9462075351873545</v>
      </c>
      <c r="E2" s="6" t="n">
        <v>0.9956060909398463</v>
      </c>
      <c r="F2" s="7" t="n">
        <v>-2351.865825164185</v>
      </c>
      <c r="G2" s="2" t="n">
        <v>-0.1917092472541714</v>
      </c>
    </row>
    <row r="3">
      <c r="A3" s="2" t="inlineStr">
        <is>
          <t>Strategy B</t>
        </is>
      </c>
      <c r="B3" s="2" t="inlineStr">
        <is>
          <t>Flat 1% of current bankroll</t>
        </is>
      </c>
      <c r="C3" s="7" t="n">
        <v>24513.53434782724</v>
      </c>
      <c r="D3" s="6" t="n">
        <v>1.451353434782724</v>
      </c>
      <c r="E3" s="6" t="n">
        <v>1.535502060988754</v>
      </c>
      <c r="F3" s="7" t="n">
        <v>-3929.991575363802</v>
      </c>
      <c r="G3" s="2" t="n">
        <v>-0.2119638805216797</v>
      </c>
    </row>
    <row r="4">
      <c r="A4" s="2" t="inlineStr">
        <is>
          <t>Strategy C</t>
        </is>
      </c>
      <c r="B4" s="2" t="inlineStr">
        <is>
          <t>Quarter Kelly from model probability</t>
        </is>
      </c>
      <c r="C4" s="7" t="n">
        <v>374006.8851689365</v>
      </c>
      <c r="D4" s="6" t="n">
        <v>36.40068851689364</v>
      </c>
      <c r="E4" s="6" t="n">
        <v>41.86333935233411</v>
      </c>
      <c r="F4" s="7" t="n">
        <v>-517550.5975110529</v>
      </c>
      <c r="G4" s="2" t="n">
        <v>-0.7358958747453954</v>
      </c>
    </row>
    <row r="5">
      <c r="A5" s="2" t="inlineStr">
        <is>
          <t>Strategy D</t>
        </is>
      </c>
      <c r="B5" s="2" t="inlineStr">
        <is>
          <t>Half Kelly from model probability</t>
        </is>
      </c>
      <c r="C5" s="7" t="n">
        <v>1054509.492531011</v>
      </c>
      <c r="D5" s="6" t="n">
        <v>104.4509492531011</v>
      </c>
      <c r="E5" s="6" t="n">
        <v>124.6615036657793</v>
      </c>
      <c r="F5" s="7" t="n">
        <v>-5993664.365138663</v>
      </c>
      <c r="G5" s="2" t="n">
        <v>-0.94197505902735</v>
      </c>
    </row>
    <row r="6"/>
    <row r="7"/>
    <row r="8"/>
    <row r="9">
      <c r="A9" s="1" t="inlineStr">
        <is>
          <t>Bet #</t>
        </is>
      </c>
      <c r="B9" s="1" t="inlineStr">
        <is>
          <t>Bet ID</t>
        </is>
      </c>
      <c r="C9" s="1" t="inlineStr">
        <is>
          <t>Game Date</t>
        </is>
      </c>
      <c r="D9" s="1" t="inlineStr">
        <is>
          <t>Pitcher</t>
        </is>
      </c>
      <c r="E9" s="1" t="inlineStr">
        <is>
          <t>Result</t>
        </is>
      </c>
      <c r="F9" s="1" t="inlineStr">
        <is>
          <t>Profit Unit</t>
        </is>
      </c>
      <c r="G9" s="1" t="inlineStr">
        <is>
          <t>Kelly Fraction</t>
        </is>
      </c>
      <c r="H9" s="1" t="inlineStr">
        <is>
          <t>Strategy A Stake</t>
        </is>
      </c>
      <c r="I9" s="1" t="inlineStr">
        <is>
          <t>Strategy A P/L</t>
        </is>
      </c>
      <c r="J9" s="1" t="inlineStr">
        <is>
          <t>Strategy A Bankroll</t>
        </is>
      </c>
      <c r="K9" s="1" t="inlineStr">
        <is>
          <t>Strategy A Peak</t>
        </is>
      </c>
      <c r="L9" s="1" t="inlineStr">
        <is>
          <t>Strategy A Drawdown $</t>
        </is>
      </c>
      <c r="M9" s="1" t="inlineStr">
        <is>
          <t>Strategy A Drawdown %</t>
        </is>
      </c>
      <c r="N9" s="1" t="inlineStr">
        <is>
          <t>Strategy B Stake</t>
        </is>
      </c>
      <c r="O9" s="1" t="inlineStr">
        <is>
          <t>Strategy B P/L</t>
        </is>
      </c>
      <c r="P9" s="1" t="inlineStr">
        <is>
          <t>Strategy B Bankroll</t>
        </is>
      </c>
      <c r="Q9" s="1" t="inlineStr">
        <is>
          <t>Strategy B Peak</t>
        </is>
      </c>
      <c r="R9" s="1" t="inlineStr">
        <is>
          <t>Strategy B Drawdown $</t>
        </is>
      </c>
      <c r="S9" s="1" t="inlineStr">
        <is>
          <t>Strategy B Drawdown %</t>
        </is>
      </c>
      <c r="T9" s="1" t="inlineStr">
        <is>
          <t>Strategy C Stake</t>
        </is>
      </c>
      <c r="U9" s="1" t="inlineStr">
        <is>
          <t>Strategy C P/L</t>
        </is>
      </c>
      <c r="V9" s="1" t="inlineStr">
        <is>
          <t>Strategy C Bankroll</t>
        </is>
      </c>
      <c r="W9" s="1" t="inlineStr">
        <is>
          <t>Strategy C Peak</t>
        </is>
      </c>
      <c r="X9" s="1" t="inlineStr">
        <is>
          <t>Strategy C Drawdown $</t>
        </is>
      </c>
      <c r="Y9" s="1" t="inlineStr">
        <is>
          <t>Strategy C Drawdown %</t>
        </is>
      </c>
      <c r="Z9" s="1" t="inlineStr">
        <is>
          <t>Strategy D Stake</t>
        </is>
      </c>
      <c r="AA9" s="1" t="inlineStr">
        <is>
          <t>Strategy D P/L</t>
        </is>
      </c>
      <c r="AB9" s="1" t="inlineStr">
        <is>
          <t>Strategy D Bankroll</t>
        </is>
      </c>
      <c r="AC9" s="1" t="inlineStr">
        <is>
          <t>Strategy D Peak</t>
        </is>
      </c>
      <c r="AD9" s="1" t="inlineStr">
        <is>
          <t>Strategy D Drawdown $</t>
        </is>
      </c>
      <c r="AE9" s="1" t="inlineStr">
        <is>
          <t>Strategy D Drawdown %</t>
        </is>
      </c>
    </row>
    <row r="10">
      <c r="A10" s="2" t="n">
        <v>1</v>
      </c>
      <c r="B10" s="2" t="inlineStr">
        <is>
          <t>KPROP-00001</t>
        </is>
      </c>
      <c r="C10" s="3" t="n">
        <v>45839</v>
      </c>
      <c r="D10" s="2" t="inlineStr">
        <is>
          <t>Joe Ryan</t>
        </is>
      </c>
      <c r="E10" s="2" t="inlineStr">
        <is>
          <t>Win</t>
        </is>
      </c>
      <c r="F10" s="2" t="n">
        <v>1</v>
      </c>
      <c r="G10" s="6" t="n">
        <v>0.2453964805424103</v>
      </c>
      <c r="H10" s="7" t="n">
        <v>100</v>
      </c>
      <c r="I10" s="7" t="n">
        <v>100</v>
      </c>
      <c r="J10" s="7" t="n">
        <v>10100</v>
      </c>
      <c r="K10" s="7" t="n">
        <v>10100</v>
      </c>
      <c r="L10" s="7" t="n">
        <v>0</v>
      </c>
      <c r="M10" s="6" t="n">
        <v>0</v>
      </c>
      <c r="N10" s="7" t="n">
        <v>100</v>
      </c>
      <c r="O10" s="7" t="n">
        <v>100</v>
      </c>
      <c r="P10" s="7" t="n">
        <v>10100</v>
      </c>
      <c r="Q10" s="7" t="n">
        <v>10100</v>
      </c>
      <c r="R10" s="7" t="n">
        <v>0</v>
      </c>
      <c r="S10" s="6" t="n">
        <v>0</v>
      </c>
      <c r="T10" s="7" t="n">
        <v>613.4912013560256</v>
      </c>
      <c r="U10" s="7" t="n">
        <v>613.4912013560256</v>
      </c>
      <c r="V10" s="7" t="n">
        <v>10613.49120135603</v>
      </c>
      <c r="W10" s="7" t="n">
        <v>10613.49120135603</v>
      </c>
      <c r="X10" s="7" t="n">
        <v>0</v>
      </c>
      <c r="Y10" s="6" t="n">
        <v>0</v>
      </c>
      <c r="Z10" s="7" t="n">
        <v>1226.982402712051</v>
      </c>
      <c r="AA10" s="7" t="n">
        <v>1226.982402712051</v>
      </c>
      <c r="AB10" s="7" t="n">
        <v>11226.98240271205</v>
      </c>
      <c r="AC10" s="7" t="n">
        <v>11226.98240271205</v>
      </c>
      <c r="AD10" s="7" t="n">
        <v>0</v>
      </c>
      <c r="AE10" s="6" t="n">
        <v>0</v>
      </c>
    </row>
    <row r="11">
      <c r="A11" s="2" t="n">
        <v>2</v>
      </c>
      <c r="B11" s="2" t="inlineStr">
        <is>
          <t>KPROP-00002</t>
        </is>
      </c>
      <c r="C11" s="3" t="n">
        <v>45839</v>
      </c>
      <c r="D11" s="2" t="inlineStr">
        <is>
          <t>Kevin Gausman</t>
        </is>
      </c>
      <c r="E11" s="2" t="inlineStr">
        <is>
          <t>Win</t>
        </is>
      </c>
      <c r="F11" s="2" t="n">
        <v>0.7692307692307692</v>
      </c>
      <c r="G11" s="6" t="n">
        <v>0.1522593333421454</v>
      </c>
      <c r="H11" s="7" t="n">
        <v>100</v>
      </c>
      <c r="I11" s="7" t="n">
        <v>76.92307692307692</v>
      </c>
      <c r="J11" s="7" t="n">
        <v>10176.92307692308</v>
      </c>
      <c r="K11" s="7" t="n">
        <v>10176.92307692308</v>
      </c>
      <c r="L11" s="7" t="n">
        <v>0</v>
      </c>
      <c r="M11" s="6" t="n">
        <v>0</v>
      </c>
      <c r="N11" s="7" t="n">
        <v>101</v>
      </c>
      <c r="O11" s="7" t="n">
        <v>77.69230769230768</v>
      </c>
      <c r="P11" s="7" t="n">
        <v>10177.69230769231</v>
      </c>
      <c r="Q11" s="7" t="n">
        <v>10177.69230769231</v>
      </c>
      <c r="R11" s="7" t="n">
        <v>0</v>
      </c>
      <c r="S11" s="6" t="n">
        <v>0</v>
      </c>
      <c r="T11" s="7" t="n">
        <v>404.0007736877985</v>
      </c>
      <c r="U11" s="7" t="n">
        <v>310.7698259136911</v>
      </c>
      <c r="V11" s="7" t="n">
        <v>10924.26102726972</v>
      </c>
      <c r="W11" s="7" t="n">
        <v>10924.26102726972</v>
      </c>
      <c r="X11" s="7" t="n">
        <v>0</v>
      </c>
      <c r="Y11" s="6" t="n">
        <v>0</v>
      </c>
      <c r="Z11" s="7" t="n">
        <v>854.7064280404672</v>
      </c>
      <c r="AA11" s="7" t="n">
        <v>657.4664831080516</v>
      </c>
      <c r="AB11" s="7" t="n">
        <v>11884.4488858201</v>
      </c>
      <c r="AC11" s="7" t="n">
        <v>11884.4488858201</v>
      </c>
      <c r="AD11" s="7" t="n">
        <v>0</v>
      </c>
      <c r="AE11" s="6" t="n">
        <v>0</v>
      </c>
    </row>
    <row r="12">
      <c r="A12" s="2" t="n">
        <v>3</v>
      </c>
      <c r="B12" s="2" t="inlineStr">
        <is>
          <t>KPROP-00003</t>
        </is>
      </c>
      <c r="C12" s="3" t="n">
        <v>45840</v>
      </c>
      <c r="D12" s="2" t="inlineStr">
        <is>
          <t>Clay Holmes</t>
        </is>
      </c>
      <c r="E12" s="2" t="inlineStr">
        <is>
          <t>Win</t>
        </is>
      </c>
      <c r="F12" s="2" t="n">
        <v>0.8928571428571428</v>
      </c>
      <c r="G12" s="6" t="n">
        <v>0.1539581544564392</v>
      </c>
      <c r="H12" s="7" t="n">
        <v>100</v>
      </c>
      <c r="I12" s="7" t="n">
        <v>89.28571428571428</v>
      </c>
      <c r="J12" s="7" t="n">
        <v>10266.20879120879</v>
      </c>
      <c r="K12" s="7" t="n">
        <v>10266.20879120879</v>
      </c>
      <c r="L12" s="7" t="n">
        <v>0</v>
      </c>
      <c r="M12" s="6" t="n">
        <v>0</v>
      </c>
      <c r="N12" s="7" t="n">
        <v>101.7769230769231</v>
      </c>
      <c r="O12" s="7" t="n">
        <v>90.87225274725274</v>
      </c>
      <c r="P12" s="7" t="n">
        <v>10268.56456043956</v>
      </c>
      <c r="Q12" s="7" t="n">
        <v>10268.56456043956</v>
      </c>
      <c r="R12" s="7" t="n">
        <v>0</v>
      </c>
      <c r="S12" s="6" t="n">
        <v>0</v>
      </c>
      <c r="T12" s="7" t="n">
        <v>420.4697666397126</v>
      </c>
      <c r="U12" s="7" t="n">
        <v>375.4194344997434</v>
      </c>
      <c r="V12" s="7" t="n">
        <v>11299.68046176946</v>
      </c>
      <c r="W12" s="7" t="n">
        <v>11299.68046176946</v>
      </c>
      <c r="X12" s="7" t="n">
        <v>0</v>
      </c>
      <c r="Y12" s="6" t="n">
        <v>0</v>
      </c>
      <c r="Z12" s="7" t="n">
        <v>914.8539085963741</v>
      </c>
      <c r="AA12" s="7" t="n">
        <v>816.8338469610483</v>
      </c>
      <c r="AB12" s="7" t="n">
        <v>12701.28273278115</v>
      </c>
      <c r="AC12" s="7" t="n">
        <v>12701.28273278115</v>
      </c>
      <c r="AD12" s="7" t="n">
        <v>0</v>
      </c>
      <c r="AE12" s="6" t="n">
        <v>0</v>
      </c>
    </row>
    <row r="13">
      <c r="A13" s="2" t="n">
        <v>4</v>
      </c>
      <c r="B13" s="2" t="inlineStr">
        <is>
          <t>KPROP-00004</t>
        </is>
      </c>
      <c r="C13" s="3" t="n">
        <v>45840</v>
      </c>
      <c r="D13" s="2" t="inlineStr">
        <is>
          <t>Jack Flaherty</t>
        </is>
      </c>
      <c r="E13" s="2" t="inlineStr">
        <is>
          <t>Loss</t>
        </is>
      </c>
      <c r="F13" s="2" t="n">
        <v>-1</v>
      </c>
      <c r="G13" s="6" t="n">
        <v>0.1131229737566603</v>
      </c>
      <c r="H13" s="7" t="n">
        <v>100</v>
      </c>
      <c r="I13" s="7" t="n">
        <v>-100</v>
      </c>
      <c r="J13" s="7" t="n">
        <v>10166.20879120879</v>
      </c>
      <c r="K13" s="7" t="n">
        <v>10266.20879120879</v>
      </c>
      <c r="L13" s="7" t="n">
        <v>-100</v>
      </c>
      <c r="M13" s="6" t="n">
        <v>-0.009740694158259521</v>
      </c>
      <c r="N13" s="7" t="n">
        <v>102.6856456043956</v>
      </c>
      <c r="O13" s="7" t="n">
        <v>-102.6856456043956</v>
      </c>
      <c r="P13" s="7" t="n">
        <v>10165.87891483517</v>
      </c>
      <c r="Q13" s="7" t="n">
        <v>10268.56456043956</v>
      </c>
      <c r="R13" s="7" t="n">
        <v>-102.6856456043952</v>
      </c>
      <c r="S13" s="6" t="n">
        <v>-0.009999999999999957</v>
      </c>
      <c r="T13" s="7" t="n">
        <v>319.5633640838484</v>
      </c>
      <c r="U13" s="7" t="n">
        <v>-319.5633640838484</v>
      </c>
      <c r="V13" s="7" t="n">
        <v>10980.11709768561</v>
      </c>
      <c r="W13" s="7" t="n">
        <v>11299.68046176946</v>
      </c>
      <c r="X13" s="7" t="n">
        <v>-319.5633640838478</v>
      </c>
      <c r="Y13" s="6" t="n">
        <v>-0.02828074343916502</v>
      </c>
      <c r="Z13" s="7" t="n">
        <v>718.4034366281624</v>
      </c>
      <c r="AA13" s="7" t="n">
        <v>-718.4034366281624</v>
      </c>
      <c r="AB13" s="7" t="n">
        <v>11982.87929615299</v>
      </c>
      <c r="AC13" s="7" t="n">
        <v>12701.28273278115</v>
      </c>
      <c r="AD13" s="7" t="n">
        <v>-718.403436628163</v>
      </c>
      <c r="AE13" s="6" t="n">
        <v>-0.05656148687833019</v>
      </c>
    </row>
    <row r="14">
      <c r="A14" s="2" t="n">
        <v>5</v>
      </c>
      <c r="B14" s="2" t="inlineStr">
        <is>
          <t>KPROP-00005</t>
        </is>
      </c>
      <c r="C14" s="3" t="n">
        <v>45840</v>
      </c>
      <c r="D14" s="2" t="inlineStr">
        <is>
          <t>Nick Martinez</t>
        </is>
      </c>
      <c r="E14" s="2" t="inlineStr">
        <is>
          <t>Win</t>
        </is>
      </c>
      <c r="F14" s="2" t="n">
        <v>0.900900900900901</v>
      </c>
      <c r="G14" s="6" t="n">
        <v>0.09174469572768623</v>
      </c>
      <c r="H14" s="7" t="n">
        <v>100</v>
      </c>
      <c r="I14" s="7" t="n">
        <v>90.0900900900901</v>
      </c>
      <c r="J14" s="7" t="n">
        <v>10256.29888129888</v>
      </c>
      <c r="K14" s="7" t="n">
        <v>10266.20879120879</v>
      </c>
      <c r="L14" s="7" t="n">
        <v>-9.909909909909402</v>
      </c>
      <c r="M14" s="6" t="n">
        <v>-0.0009652940156833265</v>
      </c>
      <c r="N14" s="7" t="n">
        <v>101.6587891483517</v>
      </c>
      <c r="O14" s="7" t="n">
        <v>91.58449472824475</v>
      </c>
      <c r="P14" s="7" t="n">
        <v>10257.46340956341</v>
      </c>
      <c r="Q14" s="7" t="n">
        <v>10268.56456043956</v>
      </c>
      <c r="R14" s="7" t="n">
        <v>-11.10115087615122</v>
      </c>
      <c r="S14" s="6" t="n">
        <v>-0.001081081081081115</v>
      </c>
      <c r="T14" s="7" t="n">
        <v>251.8418755453829</v>
      </c>
      <c r="U14" s="7" t="n">
        <v>226.8845725634081</v>
      </c>
      <c r="V14" s="7" t="n">
        <v>11207.00167024902</v>
      </c>
      <c r="W14" s="7" t="n">
        <v>11299.68046176946</v>
      </c>
      <c r="X14" s="7" t="n">
        <v>-92.67879152044043</v>
      </c>
      <c r="Y14" s="6" t="n">
        <v>-0.00820189489729407</v>
      </c>
      <c r="Z14" s="7" t="n">
        <v>549.6828074835735</v>
      </c>
      <c r="AA14" s="7" t="n">
        <v>495.2097364716879</v>
      </c>
      <c r="AB14" s="7" t="n">
        <v>12478.08903262468</v>
      </c>
      <c r="AC14" s="7" t="n">
        <v>12701.28273278115</v>
      </c>
      <c r="AD14" s="7" t="n">
        <v>-223.1937001564747</v>
      </c>
      <c r="AE14" s="6" t="n">
        <v>-0.01757253222782191</v>
      </c>
    </row>
    <row r="15">
      <c r="A15" s="2" t="n">
        <v>6</v>
      </c>
      <c r="B15" s="2" t="inlineStr">
        <is>
          <t>KPROP-00006</t>
        </is>
      </c>
      <c r="C15" s="3" t="n">
        <v>45840</v>
      </c>
      <c r="D15" s="2" t="inlineStr">
        <is>
          <t>Sonny Gray</t>
        </is>
      </c>
      <c r="E15" s="2" t="inlineStr">
        <is>
          <t>Loss</t>
        </is>
      </c>
      <c r="F15" s="2" t="n">
        <v>-1</v>
      </c>
      <c r="G15" s="6" t="n">
        <v>0.1129970189499248</v>
      </c>
      <c r="H15" s="7" t="n">
        <v>100</v>
      </c>
      <c r="I15" s="7" t="n">
        <v>-100</v>
      </c>
      <c r="J15" s="7" t="n">
        <v>10156.29888129888</v>
      </c>
      <c r="K15" s="7" t="n">
        <v>10266.20879120879</v>
      </c>
      <c r="L15" s="7" t="n">
        <v>-109.9099099099094</v>
      </c>
      <c r="M15" s="6" t="n">
        <v>-0.01070598817394285</v>
      </c>
      <c r="N15" s="7" t="n">
        <v>102.5746340956341</v>
      </c>
      <c r="O15" s="7" t="n">
        <v>-102.5746340956341</v>
      </c>
      <c r="P15" s="7" t="n">
        <v>10154.88877546778</v>
      </c>
      <c r="Q15" s="7" t="n">
        <v>10268.56456043956</v>
      </c>
      <c r="R15" s="7" t="n">
        <v>-113.6757849717851</v>
      </c>
      <c r="S15" s="6" t="n">
        <v>-0.01107027027027028</v>
      </c>
      <c r="T15" s="7" t="n">
        <v>316.5894450262418</v>
      </c>
      <c r="U15" s="7" t="n">
        <v>-316.5894450262418</v>
      </c>
      <c r="V15" s="7" t="n">
        <v>10890.41222522278</v>
      </c>
      <c r="W15" s="7" t="n">
        <v>11299.68046176946</v>
      </c>
      <c r="X15" s="7" t="n">
        <v>-409.2682365466826</v>
      </c>
      <c r="Y15" s="6" t="n">
        <v>-0.03621945221649159</v>
      </c>
      <c r="Z15" s="7" t="n">
        <v>704.9934314391696</v>
      </c>
      <c r="AA15" s="7" t="n">
        <v>-704.9934314391696</v>
      </c>
      <c r="AB15" s="7" t="n">
        <v>11773.09560118551</v>
      </c>
      <c r="AC15" s="7" t="n">
        <v>12701.28273278115</v>
      </c>
      <c r="AD15" s="7" t="n">
        <v>-928.187131595645</v>
      </c>
      <c r="AE15" s="6" t="n">
        <v>-0.07307821982421167</v>
      </c>
    </row>
    <row r="16">
      <c r="A16" s="2" t="n">
        <v>7</v>
      </c>
      <c r="B16" s="2" t="inlineStr">
        <is>
          <t>KPROP-00007</t>
        </is>
      </c>
      <c r="C16" s="3" t="n">
        <v>45841</v>
      </c>
      <c r="D16" s="2" t="inlineStr">
        <is>
          <t>Chris Bassitt</t>
        </is>
      </c>
      <c r="E16" s="2" t="inlineStr">
        <is>
          <t>Loss</t>
        </is>
      </c>
      <c r="F16" s="2" t="n">
        <v>-1</v>
      </c>
      <c r="G16" s="6" t="n">
        <v>0.167093470227022</v>
      </c>
      <c r="H16" s="7" t="n">
        <v>100</v>
      </c>
      <c r="I16" s="7" t="n">
        <v>-100</v>
      </c>
      <c r="J16" s="7" t="n">
        <v>10056.29888129888</v>
      </c>
      <c r="K16" s="7" t="n">
        <v>10266.20879120879</v>
      </c>
      <c r="L16" s="7" t="n">
        <v>-209.9099099099094</v>
      </c>
      <c r="M16" s="6" t="n">
        <v>-0.02044668233220237</v>
      </c>
      <c r="N16" s="7" t="n">
        <v>101.5488877546778</v>
      </c>
      <c r="O16" s="7" t="n">
        <v>-101.5488877546778</v>
      </c>
      <c r="P16" s="7" t="n">
        <v>10053.3398877131</v>
      </c>
      <c r="Q16" s="7" t="n">
        <v>10268.56456043956</v>
      </c>
      <c r="R16" s="7" t="n">
        <v>-215.2246727264628</v>
      </c>
      <c r="S16" s="6" t="n">
        <v>-0.02095956756756757</v>
      </c>
      <c r="T16" s="7" t="n">
        <v>454.9291927288147</v>
      </c>
      <c r="U16" s="7" t="n">
        <v>-454.9291927288147</v>
      </c>
      <c r="V16" s="7" t="n">
        <v>10435.48303249396</v>
      </c>
      <c r="W16" s="7" t="n">
        <v>11299.68046176946</v>
      </c>
      <c r="X16" s="7" t="n">
        <v>-864.1974292754967</v>
      </c>
      <c r="Y16" s="6" t="n">
        <v>-0.0764798112831032</v>
      </c>
      <c r="Z16" s="7" t="n">
        <v>983.6036996582872</v>
      </c>
      <c r="AA16" s="7" t="n">
        <v>-983.6036996582872</v>
      </c>
      <c r="AB16" s="7" t="n">
        <v>10789.49190152722</v>
      </c>
      <c r="AC16" s="7" t="n">
        <v>12701.28273278115</v>
      </c>
      <c r="AD16" s="7" t="n">
        <v>-1911.790831253933</v>
      </c>
      <c r="AE16" s="6" t="n">
        <v>-0.1505195082635024</v>
      </c>
    </row>
    <row r="17">
      <c r="A17" s="2" t="n">
        <v>8</v>
      </c>
      <c r="B17" s="2" t="inlineStr">
        <is>
          <t>KPROP-00008</t>
        </is>
      </c>
      <c r="C17" s="3" t="n">
        <v>45841</v>
      </c>
      <c r="D17" s="2" t="inlineStr">
        <is>
          <t>David Peterson</t>
        </is>
      </c>
      <c r="E17" s="2" t="inlineStr">
        <is>
          <t>Win</t>
        </is>
      </c>
      <c r="F17" s="2" t="n">
        <v>1.16</v>
      </c>
      <c r="G17" s="6" t="n">
        <v>0.09242159781992745</v>
      </c>
      <c r="H17" s="7" t="n">
        <v>100</v>
      </c>
      <c r="I17" s="7" t="n">
        <v>116</v>
      </c>
      <c r="J17" s="7" t="n">
        <v>10172.29888129888</v>
      </c>
      <c r="K17" s="7" t="n">
        <v>10266.20879120879</v>
      </c>
      <c r="L17" s="7" t="n">
        <v>-93.9099099099094</v>
      </c>
      <c r="M17" s="6" t="n">
        <v>-0.009147477108621325</v>
      </c>
      <c r="N17" s="7" t="n">
        <v>100.533398877131</v>
      </c>
      <c r="O17" s="7" t="n">
        <v>116.618742697472</v>
      </c>
      <c r="P17" s="7" t="n">
        <v>10169.95863041057</v>
      </c>
      <c r="Q17" s="7" t="n">
        <v>10268.56456043956</v>
      </c>
      <c r="R17" s="7" t="n">
        <v>-98.60593002899077</v>
      </c>
      <c r="S17" s="6" t="n">
        <v>-0.009602698551351348</v>
      </c>
      <c r="T17" s="7" t="n">
        <v>241.1160039714585</v>
      </c>
      <c r="U17" s="7" t="n">
        <v>279.6945646068919</v>
      </c>
      <c r="V17" s="7" t="n">
        <v>10715.17759710086</v>
      </c>
      <c r="W17" s="7" t="n">
        <v>11299.68046176946</v>
      </c>
      <c r="X17" s="7" t="n">
        <v>-584.5028646686042</v>
      </c>
      <c r="Y17" s="6" t="n">
        <v>-0.05172737995965195</v>
      </c>
      <c r="Z17" s="7" t="n">
        <v>498.5910406021565</v>
      </c>
      <c r="AA17" s="7" t="n">
        <v>578.3656070985015</v>
      </c>
      <c r="AB17" s="7" t="n">
        <v>11367.85750862572</v>
      </c>
      <c r="AC17" s="7" t="n">
        <v>12701.28273278115</v>
      </c>
      <c r="AD17" s="7" t="n">
        <v>-1333.425224155431</v>
      </c>
      <c r="AE17" s="6" t="n">
        <v>-0.1049835085328784</v>
      </c>
    </row>
    <row r="18">
      <c r="A18" s="2" t="n">
        <v>9</v>
      </c>
      <c r="B18" s="2" t="inlineStr">
        <is>
          <t>KPROP-00009</t>
        </is>
      </c>
      <c r="C18" s="3" t="n">
        <v>45842</v>
      </c>
      <c r="D18" s="2" t="inlineStr">
        <is>
          <t>Chris Paddack</t>
        </is>
      </c>
      <c r="E18" s="2" t="inlineStr">
        <is>
          <t>Loss</t>
        </is>
      </c>
      <c r="F18" s="2" t="n">
        <v>-1</v>
      </c>
      <c r="G18" s="6" t="n">
        <v>0.09788058627567395</v>
      </c>
      <c r="H18" s="7" t="n">
        <v>100</v>
      </c>
      <c r="I18" s="7" t="n">
        <v>-100</v>
      </c>
      <c r="J18" s="7" t="n">
        <v>10072.29888129888</v>
      </c>
      <c r="K18" s="7" t="n">
        <v>10266.20879120879</v>
      </c>
      <c r="L18" s="7" t="n">
        <v>-193.9099099099094</v>
      </c>
      <c r="M18" s="6" t="n">
        <v>-0.01888817126688085</v>
      </c>
      <c r="N18" s="7" t="n">
        <v>101.6995863041057</v>
      </c>
      <c r="O18" s="7" t="n">
        <v>-101.6995863041057</v>
      </c>
      <c r="P18" s="7" t="n">
        <v>10068.25904410646</v>
      </c>
      <c r="Q18" s="7" t="n">
        <v>10268.56456043956</v>
      </c>
      <c r="R18" s="7" t="n">
        <v>-200.3055163330973</v>
      </c>
      <c r="S18" s="6" t="n">
        <v>-0.01950667156583792</v>
      </c>
      <c r="T18" s="7" t="n">
        <v>262.2019663130498</v>
      </c>
      <c r="U18" s="7" t="n">
        <v>-262.2019663130498</v>
      </c>
      <c r="V18" s="7" t="n">
        <v>10452.97563078781</v>
      </c>
      <c r="W18" s="7" t="n">
        <v>11299.68046176946</v>
      </c>
      <c r="X18" s="7" t="n">
        <v>-846.7048309816546</v>
      </c>
      <c r="Y18" s="6" t="n">
        <v>-0.07493174995933168</v>
      </c>
      <c r="Z18" s="7" t="n">
        <v>556.3462788213038</v>
      </c>
      <c r="AA18" s="7" t="n">
        <v>-556.3462788213038</v>
      </c>
      <c r="AB18" s="7" t="n">
        <v>10811.51122980442</v>
      </c>
      <c r="AC18" s="7" t="n">
        <v>12701.28273278115</v>
      </c>
      <c r="AD18" s="7" t="n">
        <v>-1889.771502976735</v>
      </c>
      <c r="AE18" s="6" t="n">
        <v>-0.1487858779884777</v>
      </c>
    </row>
    <row r="19">
      <c r="A19" s="2" t="n">
        <v>10</v>
      </c>
      <c r="B19" s="2" t="inlineStr">
        <is>
          <t>KPROP-00010</t>
        </is>
      </c>
      <c r="C19" s="3" t="n">
        <v>45842</v>
      </c>
      <c r="D19" s="2" t="inlineStr">
        <is>
          <t>Lucas Giolito</t>
        </is>
      </c>
      <c r="E19" s="2" t="inlineStr">
        <is>
          <t>Loss</t>
        </is>
      </c>
      <c r="F19" s="2" t="n">
        <v>-1</v>
      </c>
      <c r="G19" s="6" t="n">
        <v>0.2693020744776567</v>
      </c>
      <c r="H19" s="7" t="n">
        <v>100</v>
      </c>
      <c r="I19" s="7" t="n">
        <v>-100</v>
      </c>
      <c r="J19" s="7" t="n">
        <v>9972.298881298881</v>
      </c>
      <c r="K19" s="7" t="n">
        <v>10266.20879120879</v>
      </c>
      <c r="L19" s="7" t="n">
        <v>-293.9099099099094</v>
      </c>
      <c r="M19" s="6" t="n">
        <v>-0.02862886542514037</v>
      </c>
      <c r="N19" s="7" t="n">
        <v>100.6825904410646</v>
      </c>
      <c r="O19" s="7" t="n">
        <v>-100.6825904410646</v>
      </c>
      <c r="P19" s="7" t="n">
        <v>9967.576453665399</v>
      </c>
      <c r="Q19" s="7" t="n">
        <v>10268.56456043956</v>
      </c>
      <c r="R19" s="7" t="n">
        <v>-300.9881067741626</v>
      </c>
      <c r="S19" s="6" t="n">
        <v>-0.0293116048501796</v>
      </c>
      <c r="T19" s="7" t="n">
        <v>703.752005458887</v>
      </c>
      <c r="U19" s="7" t="n">
        <v>-703.752005458887</v>
      </c>
      <c r="V19" s="7" t="n">
        <v>9749.223625328917</v>
      </c>
      <c r="W19" s="7" t="n">
        <v>11299.68046176946</v>
      </c>
      <c r="X19" s="7" t="n">
        <v>-1550.456836440542</v>
      </c>
      <c r="Y19" s="6" t="n">
        <v>-0.1372124496516736</v>
      </c>
      <c r="Z19" s="7" t="n">
        <v>1455.781201212405</v>
      </c>
      <c r="AA19" s="7" t="n">
        <v>-1455.781201212405</v>
      </c>
      <c r="AB19" s="7" t="n">
        <v>9355.730028592012</v>
      </c>
      <c r="AC19" s="7" t="n">
        <v>12701.28273278115</v>
      </c>
      <c r="AD19" s="7" t="n">
        <v>-3345.55270418914</v>
      </c>
      <c r="AE19" s="6" t="n">
        <v>-0.2634027424296677</v>
      </c>
    </row>
    <row r="20">
      <c r="A20" s="2" t="n">
        <v>11</v>
      </c>
      <c r="B20" s="2" t="inlineStr">
        <is>
          <t>KPROP-00011</t>
        </is>
      </c>
      <c r="C20" s="3" t="n">
        <v>45843</v>
      </c>
      <c r="D20" s="2" t="inlineStr">
        <is>
          <t>Ranger Suarez</t>
        </is>
      </c>
      <c r="E20" s="2" t="inlineStr">
        <is>
          <t>Loss</t>
        </is>
      </c>
      <c r="F20" s="2" t="n">
        <v>-1</v>
      </c>
      <c r="G20" s="6" t="n">
        <v>0.1310601944133873</v>
      </c>
      <c r="H20" s="7" t="n">
        <v>100</v>
      </c>
      <c r="I20" s="7" t="n">
        <v>-100</v>
      </c>
      <c r="J20" s="7" t="n">
        <v>9872.298881298881</v>
      </c>
      <c r="K20" s="7" t="n">
        <v>10266.20879120879</v>
      </c>
      <c r="L20" s="7" t="n">
        <v>-393.9099099099094</v>
      </c>
      <c r="M20" s="6" t="n">
        <v>-0.03836955958339989</v>
      </c>
      <c r="N20" s="7" t="n">
        <v>99.67576453665399</v>
      </c>
      <c r="O20" s="7" t="n">
        <v>-99.67576453665399</v>
      </c>
      <c r="P20" s="7" t="n">
        <v>9867.900689128744</v>
      </c>
      <c r="Q20" s="7" t="n">
        <v>10268.56456043956</v>
      </c>
      <c r="R20" s="7" t="n">
        <v>-400.6638713108168</v>
      </c>
      <c r="S20" s="6" t="n">
        <v>-0.03901848880167783</v>
      </c>
      <c r="T20" s="7" t="n">
        <v>319.4337859287991</v>
      </c>
      <c r="U20" s="7" t="n">
        <v>-319.4337859287991</v>
      </c>
      <c r="V20" s="7" t="n">
        <v>9429.789839400119</v>
      </c>
      <c r="W20" s="7" t="n">
        <v>11299.68046176946</v>
      </c>
      <c r="X20" s="7" t="n">
        <v>-1869.890622369341</v>
      </c>
      <c r="Y20" s="6" t="n">
        <v>-0.1654817256731991</v>
      </c>
      <c r="Z20" s="7" t="n">
        <v>613.0818982132172</v>
      </c>
      <c r="AA20" s="7" t="n">
        <v>-613.0818982132172</v>
      </c>
      <c r="AB20" s="7" t="n">
        <v>8742.648130378795</v>
      </c>
      <c r="AC20" s="7" t="n">
        <v>12701.28273278115</v>
      </c>
      <c r="AD20" s="7" t="n">
        <v>-3958.634602402357</v>
      </c>
      <c r="AE20" s="6" t="n">
        <v>-0.3116720323204356</v>
      </c>
    </row>
    <row r="21">
      <c r="A21" s="2" t="n">
        <v>12</v>
      </c>
      <c r="B21" s="2" t="inlineStr">
        <is>
          <t>KPROP-00012</t>
        </is>
      </c>
      <c r="C21" s="3" t="n">
        <v>45844</v>
      </c>
      <c r="D21" s="2" t="inlineStr">
        <is>
          <t>Chase Burns</t>
        </is>
      </c>
      <c r="E21" s="2" t="inlineStr">
        <is>
          <t>Loss</t>
        </is>
      </c>
      <c r="F21" s="2" t="n">
        <v>-1</v>
      </c>
      <c r="G21" s="6" t="n">
        <v>0.273266501722275</v>
      </c>
      <c r="H21" s="7" t="n">
        <v>100</v>
      </c>
      <c r="I21" s="7" t="n">
        <v>-100</v>
      </c>
      <c r="J21" s="7" t="n">
        <v>9772.298881298881</v>
      </c>
      <c r="K21" s="7" t="n">
        <v>10266.20879120879</v>
      </c>
      <c r="L21" s="7" t="n">
        <v>-493.9099099099094</v>
      </c>
      <c r="M21" s="6" t="n">
        <v>-0.04811025374165941</v>
      </c>
      <c r="N21" s="7" t="n">
        <v>98.67900689128744</v>
      </c>
      <c r="O21" s="7" t="n">
        <v>-98.67900689128744</v>
      </c>
      <c r="P21" s="7" t="n">
        <v>9769.221682237458</v>
      </c>
      <c r="Q21" s="7" t="n">
        <v>10268.56456043956</v>
      </c>
      <c r="R21" s="7" t="n">
        <v>-499.3428782021037</v>
      </c>
      <c r="S21" s="6" t="n">
        <v>-0.048628303913661</v>
      </c>
      <c r="T21" s="7" t="n">
        <v>644.211420347281</v>
      </c>
      <c r="U21" s="7" t="n">
        <v>-644.211420347281</v>
      </c>
      <c r="V21" s="7" t="n">
        <v>8785.578419052837</v>
      </c>
      <c r="W21" s="7" t="n">
        <v>11299.68046176946</v>
      </c>
      <c r="X21" s="7" t="n">
        <v>-2514.102042716622</v>
      </c>
      <c r="Y21" s="6" t="n">
        <v>-0.2224931980353478</v>
      </c>
      <c r="Z21" s="7" t="n">
        <v>1194.536435188701</v>
      </c>
      <c r="AA21" s="7" t="n">
        <v>-1194.536435188701</v>
      </c>
      <c r="AB21" s="7" t="n">
        <v>7548.111695190094</v>
      </c>
      <c r="AC21" s="7" t="n">
        <v>12701.28273278115</v>
      </c>
      <c r="AD21" s="7" t="n">
        <v>-5153.171037591058</v>
      </c>
      <c r="AE21" s="6" t="n">
        <v>-0.4057205202031344</v>
      </c>
    </row>
    <row r="22">
      <c r="A22" s="2" t="n">
        <v>13</v>
      </c>
      <c r="B22" s="2" t="inlineStr">
        <is>
          <t>KPROP-00013</t>
        </is>
      </c>
      <c r="C22" s="3" t="n">
        <v>45844</v>
      </c>
      <c r="D22" s="2" t="inlineStr">
        <is>
          <t>Erick Fedde</t>
        </is>
      </c>
      <c r="E22" s="2" t="inlineStr">
        <is>
          <t>Win</t>
        </is>
      </c>
      <c r="F22" s="2" t="n">
        <v>1.3</v>
      </c>
      <c r="G22" s="6" t="n">
        <v>0.0702709332747625</v>
      </c>
      <c r="H22" s="7" t="n">
        <v>100</v>
      </c>
      <c r="I22" s="7" t="n">
        <v>130</v>
      </c>
      <c r="J22" s="7" t="n">
        <v>9902.298881298881</v>
      </c>
      <c r="K22" s="7" t="n">
        <v>10266.20879120879</v>
      </c>
      <c r="L22" s="7" t="n">
        <v>-363.9099099099094</v>
      </c>
      <c r="M22" s="6" t="n">
        <v>-0.03544735133592203</v>
      </c>
      <c r="N22" s="7" t="n">
        <v>97.69221682237458</v>
      </c>
      <c r="O22" s="7" t="n">
        <v>126.9998818690869</v>
      </c>
      <c r="P22" s="7" t="n">
        <v>9896.221564106545</v>
      </c>
      <c r="Q22" s="7" t="n">
        <v>10268.56456043956</v>
      </c>
      <c r="R22" s="7" t="n">
        <v>-372.3429963330163</v>
      </c>
      <c r="S22" s="6" t="n">
        <v>-0.03626047186453855</v>
      </c>
      <c r="T22" s="7" t="n">
        <v>154.3426987163638</v>
      </c>
      <c r="U22" s="7" t="n">
        <v>200.6455083312729</v>
      </c>
      <c r="V22" s="7" t="n">
        <v>8986.22392738411</v>
      </c>
      <c r="W22" s="7" t="n">
        <v>11299.68046176946</v>
      </c>
      <c r="X22" s="7" t="n">
        <v>-2313.45653438535</v>
      </c>
      <c r="Y22" s="6" t="n">
        <v>-0.2047364562398499</v>
      </c>
      <c r="Z22" s="7" t="n">
        <v>265.2064266415788</v>
      </c>
      <c r="AA22" s="7" t="n">
        <v>344.7683546340524</v>
      </c>
      <c r="AB22" s="7" t="n">
        <v>7892.880049824146</v>
      </c>
      <c r="AC22" s="7" t="n">
        <v>12701.28273278115</v>
      </c>
      <c r="AD22" s="7" t="n">
        <v>-4808.402682957006</v>
      </c>
      <c r="AE22" s="6" t="n">
        <v>-0.3785761473167465</v>
      </c>
    </row>
    <row r="23">
      <c r="A23" s="2" t="n">
        <v>14</v>
      </c>
      <c r="B23" s="2" t="inlineStr">
        <is>
          <t>KPROP-00014</t>
        </is>
      </c>
      <c r="C23" s="3" t="n">
        <v>45844</v>
      </c>
      <c r="D23" s="2" t="inlineStr">
        <is>
          <t>Garrett Crochet</t>
        </is>
      </c>
      <c r="E23" s="2" t="inlineStr">
        <is>
          <t>Win</t>
        </is>
      </c>
      <c r="F23" s="2" t="n">
        <v>1.2</v>
      </c>
      <c r="G23" s="6" t="n">
        <v>0.06409978766352954</v>
      </c>
      <c r="H23" s="7" t="n">
        <v>100</v>
      </c>
      <c r="I23" s="7" t="n">
        <v>120</v>
      </c>
      <c r="J23" s="7" t="n">
        <v>10022.29888129888</v>
      </c>
      <c r="K23" s="7" t="n">
        <v>10266.20879120879</v>
      </c>
      <c r="L23" s="7" t="n">
        <v>-243.9099099099094</v>
      </c>
      <c r="M23" s="6" t="n">
        <v>-0.0237585183460106</v>
      </c>
      <c r="N23" s="7" t="n">
        <v>98.96221564106546</v>
      </c>
      <c r="O23" s="7" t="n">
        <v>118.7546587692786</v>
      </c>
      <c r="P23" s="7" t="n">
        <v>10014.97622287582</v>
      </c>
      <c r="Q23" s="7" t="n">
        <v>10268.56456043956</v>
      </c>
      <c r="R23" s="7" t="n">
        <v>-253.5883375637386</v>
      </c>
      <c r="S23" s="6" t="n">
        <v>-0.02469559752691309</v>
      </c>
      <c r="T23" s="7" t="n">
        <v>144.0037614105625</v>
      </c>
      <c r="U23" s="7" t="n">
        <v>172.804513692675</v>
      </c>
      <c r="V23" s="7" t="n">
        <v>9159.028441076785</v>
      </c>
      <c r="W23" s="7" t="n">
        <v>11299.68046176946</v>
      </c>
      <c r="X23" s="7" t="n">
        <v>-2140.652020692674</v>
      </c>
      <c r="Y23" s="6" t="n">
        <v>-0.1894435889523783</v>
      </c>
      <c r="Z23" s="7" t="n">
        <v>252.9659676237181</v>
      </c>
      <c r="AA23" s="7" t="n">
        <v>303.5591611484618</v>
      </c>
      <c r="AB23" s="7" t="n">
        <v>8196.439210972609</v>
      </c>
      <c r="AC23" s="7" t="n">
        <v>12701.28273278115</v>
      </c>
      <c r="AD23" s="7" t="n">
        <v>-4504.843521808543</v>
      </c>
      <c r="AE23" s="6" t="n">
        <v>-0.354676265113117</v>
      </c>
    </row>
    <row r="24">
      <c r="A24" s="2" t="n">
        <v>15</v>
      </c>
      <c r="B24" s="2" t="inlineStr">
        <is>
          <t>KPROP-00015</t>
        </is>
      </c>
      <c r="C24" s="3" t="n">
        <v>45844</v>
      </c>
      <c r="D24" s="2" t="inlineStr">
        <is>
          <t>George Kirby</t>
        </is>
      </c>
      <c r="E24" s="2" t="inlineStr">
        <is>
          <t>Loss</t>
        </is>
      </c>
      <c r="F24" s="2" t="n">
        <v>-1</v>
      </c>
      <c r="G24" s="6" t="n">
        <v>0.1662873500351425</v>
      </c>
      <c r="H24" s="7" t="n">
        <v>100</v>
      </c>
      <c r="I24" s="7" t="n">
        <v>-100</v>
      </c>
      <c r="J24" s="7" t="n">
        <v>9922.298881298881</v>
      </c>
      <c r="K24" s="7" t="n">
        <v>10266.20879120879</v>
      </c>
      <c r="L24" s="7" t="n">
        <v>-343.9099099099094</v>
      </c>
      <c r="M24" s="6" t="n">
        <v>-0.03349921250427013</v>
      </c>
      <c r="N24" s="7" t="n">
        <v>100.1497622287582</v>
      </c>
      <c r="O24" s="7" t="n">
        <v>-100.1497622287582</v>
      </c>
      <c r="P24" s="7" t="n">
        <v>9914.826460647064</v>
      </c>
      <c r="Q24" s="7" t="n">
        <v>10268.56456043956</v>
      </c>
      <c r="R24" s="7" t="n">
        <v>-353.7380997924975</v>
      </c>
      <c r="S24" s="6" t="n">
        <v>-0.03444864155164402</v>
      </c>
      <c r="T24" s="7" t="n">
        <v>380.7576420907902</v>
      </c>
      <c r="U24" s="7" t="n">
        <v>-380.7576420907902</v>
      </c>
      <c r="V24" s="7" t="n">
        <v>8778.270798985995</v>
      </c>
      <c r="W24" s="7" t="n">
        <v>11299.68046176946</v>
      </c>
      <c r="X24" s="7" t="n">
        <v>-2521.409662783464</v>
      </c>
      <c r="Y24" s="6" t="n">
        <v>-0.2231399083641545</v>
      </c>
      <c r="Z24" s="7" t="n">
        <v>681.4820780583846</v>
      </c>
      <c r="AA24" s="7" t="n">
        <v>-681.4820780583846</v>
      </c>
      <c r="AB24" s="7" t="n">
        <v>7514.957132914224</v>
      </c>
      <c r="AC24" s="7" t="n">
        <v>12701.28273278115</v>
      </c>
      <c r="AD24" s="7" t="n">
        <v>-5186.325599866928</v>
      </c>
      <c r="AE24" s="6" t="n">
        <v>-0.4083308520076773</v>
      </c>
    </row>
    <row r="25">
      <c r="A25" s="2" t="n">
        <v>16</v>
      </c>
      <c r="B25" s="2" t="inlineStr">
        <is>
          <t>KPROP-00016</t>
        </is>
      </c>
      <c r="C25" s="3" t="n">
        <v>45844</v>
      </c>
      <c r="D25" s="2" t="inlineStr">
        <is>
          <t>Joe Ryan</t>
        </is>
      </c>
      <c r="E25" s="2" t="inlineStr">
        <is>
          <t>Loss</t>
        </is>
      </c>
      <c r="F25" s="2" t="n">
        <v>-1</v>
      </c>
      <c r="G25" s="6" t="n">
        <v>0.1297522185570695</v>
      </c>
      <c r="H25" s="7" t="n">
        <v>100</v>
      </c>
      <c r="I25" s="7" t="n">
        <v>-100</v>
      </c>
      <c r="J25" s="7" t="n">
        <v>9822.298881298881</v>
      </c>
      <c r="K25" s="7" t="n">
        <v>10266.20879120879</v>
      </c>
      <c r="L25" s="7" t="n">
        <v>-443.9099099099094</v>
      </c>
      <c r="M25" s="6" t="n">
        <v>-0.04323990666252965</v>
      </c>
      <c r="N25" s="7" t="n">
        <v>99.14826460647065</v>
      </c>
      <c r="O25" s="7" t="n">
        <v>-99.14826460647065</v>
      </c>
      <c r="P25" s="7" t="n">
        <v>9815.678196040593</v>
      </c>
      <c r="Q25" s="7" t="n">
        <v>10268.56456043956</v>
      </c>
      <c r="R25" s="7" t="n">
        <v>-452.886364398968</v>
      </c>
      <c r="S25" s="6" t="n">
        <v>-0.04410415513612757</v>
      </c>
      <c r="T25" s="7" t="n">
        <v>284.7500278157929</v>
      </c>
      <c r="U25" s="7" t="n">
        <v>-284.7500278157929</v>
      </c>
      <c r="V25" s="7" t="n">
        <v>8493.520771170202</v>
      </c>
      <c r="W25" s="7" t="n">
        <v>11299.68046176946</v>
      </c>
      <c r="X25" s="7" t="n">
        <v>-2806.159690599257</v>
      </c>
      <c r="Y25" s="6" t="n">
        <v>-0.2483397384637043</v>
      </c>
      <c r="Z25" s="7" t="n">
        <v>487.5411801784473</v>
      </c>
      <c r="AA25" s="7" t="n">
        <v>-487.5411801784473</v>
      </c>
      <c r="AB25" s="7" t="n">
        <v>7027.415952735776</v>
      </c>
      <c r="AC25" s="7" t="n">
        <v>12701.28273278115</v>
      </c>
      <c r="AD25" s="7" t="n">
        <v>-5673.866780045376</v>
      </c>
      <c r="AE25" s="6" t="n">
        <v>-0.4467160443095649</v>
      </c>
    </row>
    <row r="26">
      <c r="A26" s="2" t="n">
        <v>17</v>
      </c>
      <c r="B26" s="2" t="inlineStr">
        <is>
          <t>KPROP-00017</t>
        </is>
      </c>
      <c r="C26" s="3" t="n">
        <v>45844</v>
      </c>
      <c r="D26" s="2" t="inlineStr">
        <is>
          <t>Kevin Gausman</t>
        </is>
      </c>
      <c r="E26" s="2" t="inlineStr">
        <is>
          <t>Loss</t>
        </is>
      </c>
      <c r="F26" s="2" t="n">
        <v>-1</v>
      </c>
      <c r="G26" s="6" t="n">
        <v>0.2216156445767571</v>
      </c>
      <c r="H26" s="7" t="n">
        <v>100</v>
      </c>
      <c r="I26" s="7" t="n">
        <v>-100</v>
      </c>
      <c r="J26" s="7" t="n">
        <v>9722.298881298881</v>
      </c>
      <c r="K26" s="7" t="n">
        <v>10266.20879120879</v>
      </c>
      <c r="L26" s="7" t="n">
        <v>-543.9099099099094</v>
      </c>
      <c r="M26" s="6" t="n">
        <v>-0.05298060082078917</v>
      </c>
      <c r="N26" s="7" t="n">
        <v>98.15678196040594</v>
      </c>
      <c r="O26" s="7" t="n">
        <v>-98.15678196040594</v>
      </c>
      <c r="P26" s="7" t="n">
        <v>9717.521414080187</v>
      </c>
      <c r="Q26" s="7" t="n">
        <v>10268.56456043956</v>
      </c>
      <c r="R26" s="7" t="n">
        <v>-551.0431463593741</v>
      </c>
      <c r="S26" s="6" t="n">
        <v>-0.0536631135847663</v>
      </c>
      <c r="T26" s="7" t="n">
        <v>470.5742701072399</v>
      </c>
      <c r="U26" s="7" t="n">
        <v>-470.5742701072399</v>
      </c>
      <c r="V26" s="7" t="n">
        <v>8022.946501062963</v>
      </c>
      <c r="W26" s="7" t="n">
        <v>11299.68046176946</v>
      </c>
      <c r="X26" s="7" t="n">
        <v>-3276.733960706497</v>
      </c>
      <c r="Y26" s="6" t="n">
        <v>-0.2899846568044793</v>
      </c>
      <c r="Z26" s="7" t="n">
        <v>778.6926580372624</v>
      </c>
      <c r="AA26" s="7" t="n">
        <v>-778.6926580372624</v>
      </c>
      <c r="AB26" s="7" t="n">
        <v>6248.723294698513</v>
      </c>
      <c r="AC26" s="7" t="n">
        <v>12701.28273278115</v>
      </c>
      <c r="AD26" s="7" t="n">
        <v>-6452.559438082639</v>
      </c>
      <c r="AE26" s="6" t="n">
        <v>-0.5080242345467217</v>
      </c>
    </row>
    <row r="27">
      <c r="A27" s="2" t="n">
        <v>18</v>
      </c>
      <c r="B27" s="2" t="inlineStr">
        <is>
          <t>KPROP-00018</t>
        </is>
      </c>
      <c r="C27" s="3" t="n">
        <v>45844</v>
      </c>
      <c r="D27" s="2" t="inlineStr">
        <is>
          <t>Matthew Boyd</t>
        </is>
      </c>
      <c r="E27" s="2" t="inlineStr">
        <is>
          <t>Loss</t>
        </is>
      </c>
      <c r="F27" s="2" t="n">
        <v>-1</v>
      </c>
      <c r="G27" s="6" t="n">
        <v>0.2558915009800486</v>
      </c>
      <c r="H27" s="7" t="n">
        <v>100</v>
      </c>
      <c r="I27" s="7" t="n">
        <v>-100</v>
      </c>
      <c r="J27" s="7" t="n">
        <v>9622.298881298881</v>
      </c>
      <c r="K27" s="7" t="n">
        <v>10266.20879120879</v>
      </c>
      <c r="L27" s="7" t="n">
        <v>-643.9099099099094</v>
      </c>
      <c r="M27" s="6" t="n">
        <v>-0.06272129497904869</v>
      </c>
      <c r="N27" s="7" t="n">
        <v>97.17521414080187</v>
      </c>
      <c r="O27" s="7" t="n">
        <v>-97.17521414080187</v>
      </c>
      <c r="P27" s="7" t="n">
        <v>9620.346199939386</v>
      </c>
      <c r="Q27" s="7" t="n">
        <v>10268.56456043956</v>
      </c>
      <c r="R27" s="7" t="n">
        <v>-648.2183605001755</v>
      </c>
      <c r="S27" s="6" t="n">
        <v>-0.06312648244891861</v>
      </c>
      <c r="T27" s="7" t="n">
        <v>513.2509556099078</v>
      </c>
      <c r="U27" s="7" t="n">
        <v>-513.2509556099078</v>
      </c>
      <c r="V27" s="7" t="n">
        <v>7509.695545453055</v>
      </c>
      <c r="W27" s="7" t="n">
        <v>11299.68046176946</v>
      </c>
      <c r="X27" s="7" t="n">
        <v>-3789.984916316404</v>
      </c>
      <c r="Y27" s="6" t="n">
        <v>-0.3354063797767708</v>
      </c>
      <c r="Z27" s="7" t="n">
        <v>799.4975915446987</v>
      </c>
      <c r="AA27" s="7" t="n">
        <v>-799.4975915446987</v>
      </c>
      <c r="AB27" s="7" t="n">
        <v>5449.225703153815</v>
      </c>
      <c r="AC27" s="7" t="n">
        <v>12701.28273278115</v>
      </c>
      <c r="AD27" s="7" t="n">
        <v>-7252.057029627337</v>
      </c>
      <c r="AE27" s="6" t="n">
        <v>-0.5709704430805456</v>
      </c>
    </row>
    <row r="28">
      <c r="A28" s="2" t="n">
        <v>19</v>
      </c>
      <c r="B28" s="2" t="inlineStr">
        <is>
          <t>KPROP-00019</t>
        </is>
      </c>
      <c r="C28" s="3" t="n">
        <v>45844</v>
      </c>
      <c r="D28" s="2" t="inlineStr">
        <is>
          <t>Matthew Boyd</t>
        </is>
      </c>
      <c r="E28" s="2" t="inlineStr">
        <is>
          <t>Loss</t>
        </is>
      </c>
      <c r="F28" s="2" t="n">
        <v>-1</v>
      </c>
      <c r="G28" s="6" t="n">
        <v>0.380718244361865</v>
      </c>
      <c r="H28" s="7" t="n">
        <v>100</v>
      </c>
      <c r="I28" s="7" t="n">
        <v>-100</v>
      </c>
      <c r="J28" s="7" t="n">
        <v>9522.298881298881</v>
      </c>
      <c r="K28" s="7" t="n">
        <v>10266.20879120879</v>
      </c>
      <c r="L28" s="7" t="n">
        <v>-743.9099099099094</v>
      </c>
      <c r="M28" s="6" t="n">
        <v>-0.07246198913730821</v>
      </c>
      <c r="N28" s="7" t="n">
        <v>96.20346199939387</v>
      </c>
      <c r="O28" s="7" t="n">
        <v>-96.20346199939387</v>
      </c>
      <c r="P28" s="7" t="n">
        <v>9524.142737939992</v>
      </c>
      <c r="Q28" s="7" t="n">
        <v>10268.56456043956</v>
      </c>
      <c r="R28" s="7" t="n">
        <v>-744.4218224995693</v>
      </c>
      <c r="S28" s="6" t="n">
        <v>-0.07249521762442941</v>
      </c>
      <c r="T28" s="7" t="n">
        <v>714.7695259392513</v>
      </c>
      <c r="U28" s="7" t="n">
        <v>-714.7695259392513</v>
      </c>
      <c r="V28" s="7" t="n">
        <v>6794.926019513804</v>
      </c>
      <c r="W28" s="7" t="n">
        <v>11299.68046176946</v>
      </c>
      <c r="X28" s="7" t="n">
        <v>-4504.754442255656</v>
      </c>
      <c r="Y28" s="6" t="n">
        <v>-0.3986621088531418</v>
      </c>
      <c r="Z28" s="7" t="n">
        <v>1037.309821418135</v>
      </c>
      <c r="AA28" s="7" t="n">
        <v>-1037.309821418135</v>
      </c>
      <c r="AB28" s="7" t="n">
        <v>4411.91588173568</v>
      </c>
      <c r="AC28" s="7" t="n">
        <v>12701.28273278115</v>
      </c>
      <c r="AD28" s="7" t="n">
        <v>-8289.366851045472</v>
      </c>
      <c r="AE28" s="6" t="n">
        <v>-0.6526401329254073</v>
      </c>
    </row>
    <row r="29">
      <c r="A29" s="2" t="n">
        <v>20</v>
      </c>
      <c r="B29" s="2" t="inlineStr">
        <is>
          <t>KPROP-00020</t>
        </is>
      </c>
      <c r="C29" s="3" t="n">
        <v>45845</v>
      </c>
      <c r="D29" s="2" t="inlineStr">
        <is>
          <t>Brady Singer</t>
        </is>
      </c>
      <c r="E29" s="2" t="inlineStr">
        <is>
          <t>Win</t>
        </is>
      </c>
      <c r="F29" s="2" t="n">
        <v>1.2</v>
      </c>
      <c r="G29" s="6" t="n">
        <v>0.1834891007041087</v>
      </c>
      <c r="H29" s="7" t="n">
        <v>100</v>
      </c>
      <c r="I29" s="7" t="n">
        <v>120</v>
      </c>
      <c r="J29" s="7" t="n">
        <v>9642.298881298881</v>
      </c>
      <c r="K29" s="7" t="n">
        <v>10266.20879120879</v>
      </c>
      <c r="L29" s="7" t="n">
        <v>-623.9099099099094</v>
      </c>
      <c r="M29" s="6" t="n">
        <v>-0.06077315614739678</v>
      </c>
      <c r="N29" s="7" t="n">
        <v>95.24142737939992</v>
      </c>
      <c r="O29" s="7" t="n">
        <v>114.2897128552799</v>
      </c>
      <c r="P29" s="7" t="n">
        <v>9638.432450795272</v>
      </c>
      <c r="Q29" s="7" t="n">
        <v>10268.56456043956</v>
      </c>
      <c r="R29" s="7" t="n">
        <v>-630.1321096442898</v>
      </c>
      <c r="S29" s="6" t="n">
        <v>-0.0613651602359226</v>
      </c>
      <c r="T29" s="7" t="n">
        <v>311.6987161678842</v>
      </c>
      <c r="U29" s="7" t="n">
        <v>374.0384594014611</v>
      </c>
      <c r="V29" s="7" t="n">
        <v>7168.964478915265</v>
      </c>
      <c r="W29" s="7" t="n">
        <v>11299.68046176946</v>
      </c>
      <c r="X29" s="7" t="n">
        <v>-4130.715982854194</v>
      </c>
      <c r="Y29" s="6" t="n">
        <v>-0.3655604241933891</v>
      </c>
      <c r="Z29" s="7" t="n">
        <v>404.7692387609275</v>
      </c>
      <c r="AA29" s="7" t="n">
        <v>485.723086513113</v>
      </c>
      <c r="AB29" s="7" t="n">
        <v>4897.638968248793</v>
      </c>
      <c r="AC29" s="7" t="n">
        <v>12701.28273278115</v>
      </c>
      <c r="AD29" s="7" t="n">
        <v>-7803.643764532359</v>
      </c>
      <c r="AE29" s="6" t="n">
        <v>-0.6143980831472778</v>
      </c>
    </row>
    <row r="30">
      <c r="A30" s="2" t="n">
        <v>21</v>
      </c>
      <c r="B30" s="2" t="inlineStr">
        <is>
          <t>KPROP-00021</t>
        </is>
      </c>
      <c r="C30" s="3" t="n">
        <v>45845</v>
      </c>
      <c r="D30" s="2" t="inlineStr">
        <is>
          <t>Freddy Peralta</t>
        </is>
      </c>
      <c r="E30" s="2" t="inlineStr">
        <is>
          <t>Loss</t>
        </is>
      </c>
      <c r="F30" s="2" t="n">
        <v>-1</v>
      </c>
      <c r="G30" s="6" t="n">
        <v>0.1352550215574657</v>
      </c>
      <c r="H30" s="7" t="n">
        <v>100</v>
      </c>
      <c r="I30" s="7" t="n">
        <v>-100</v>
      </c>
      <c r="J30" s="7" t="n">
        <v>9542.298881298881</v>
      </c>
      <c r="K30" s="7" t="n">
        <v>10266.20879120879</v>
      </c>
      <c r="L30" s="7" t="n">
        <v>-723.9099099099094</v>
      </c>
      <c r="M30" s="6" t="n">
        <v>-0.07051385030565631</v>
      </c>
      <c r="N30" s="7" t="n">
        <v>96.38432450795271</v>
      </c>
      <c r="O30" s="7" t="n">
        <v>-96.38432450795271</v>
      </c>
      <c r="P30" s="7" t="n">
        <v>9542.048126287318</v>
      </c>
      <c r="Q30" s="7" t="n">
        <v>10268.56456043956</v>
      </c>
      <c r="R30" s="7" t="n">
        <v>-726.5164341522432</v>
      </c>
      <c r="S30" s="6" t="n">
        <v>-0.07075150863356344</v>
      </c>
      <c r="T30" s="7" t="n">
        <v>242.4096112850976</v>
      </c>
      <c r="U30" s="7" t="n">
        <v>-242.4096112850976</v>
      </c>
      <c r="V30" s="7" t="n">
        <v>6926.554867630168</v>
      </c>
      <c r="W30" s="7" t="n">
        <v>11299.68046176946</v>
      </c>
      <c r="X30" s="7" t="n">
        <v>-4373.125594139292</v>
      </c>
      <c r="Y30" s="6" t="n">
        <v>-0.3870132088190472</v>
      </c>
      <c r="Z30" s="7" t="n">
        <v>331.2151321155874</v>
      </c>
      <c r="AA30" s="7" t="n">
        <v>-331.2151321155874</v>
      </c>
      <c r="AB30" s="7" t="n">
        <v>4566.423836133206</v>
      </c>
      <c r="AC30" s="7" t="n">
        <v>12701.28273278115</v>
      </c>
      <c r="AD30" s="7" t="n">
        <v>-8134.858896647946</v>
      </c>
      <c r="AE30" s="6" t="n">
        <v>-0.6404753809355354</v>
      </c>
    </row>
    <row r="31">
      <c r="A31" s="2" t="n">
        <v>22</v>
      </c>
      <c r="B31" s="2" t="inlineStr">
        <is>
          <t>KPROP-00022</t>
        </is>
      </c>
      <c r="C31" s="3" t="n">
        <v>45845</v>
      </c>
      <c r="D31" s="2" t="inlineStr">
        <is>
          <t>Noah Cameron</t>
        </is>
      </c>
      <c r="E31" s="2" t="inlineStr">
        <is>
          <t>Loss</t>
        </is>
      </c>
      <c r="F31" s="2" t="n">
        <v>-1</v>
      </c>
      <c r="G31" s="6" t="n">
        <v>0.1326640052218588</v>
      </c>
      <c r="H31" s="7" t="n">
        <v>100</v>
      </c>
      <c r="I31" s="7" t="n">
        <v>-100</v>
      </c>
      <c r="J31" s="7" t="n">
        <v>9442.298881298881</v>
      </c>
      <c r="K31" s="7" t="n">
        <v>10266.20879120879</v>
      </c>
      <c r="L31" s="7" t="n">
        <v>-823.9099099099094</v>
      </c>
      <c r="M31" s="6" t="n">
        <v>-0.08025454446391583</v>
      </c>
      <c r="N31" s="7" t="n">
        <v>95.42048126287318</v>
      </c>
      <c r="O31" s="7" t="n">
        <v>-95.42048126287318</v>
      </c>
      <c r="P31" s="7" t="n">
        <v>9446.627645024444</v>
      </c>
      <c r="Q31" s="7" t="n">
        <v>10268.56456043956</v>
      </c>
      <c r="R31" s="7" t="n">
        <v>-821.9369154151173</v>
      </c>
      <c r="S31" s="6" t="n">
        <v>-0.0800439935472279</v>
      </c>
      <c r="T31" s="7" t="n">
        <v>229.726127782195</v>
      </c>
      <c r="U31" s="7" t="n">
        <v>-229.726127782195</v>
      </c>
      <c r="V31" s="7" t="n">
        <v>6696.828739847972</v>
      </c>
      <c r="W31" s="7" t="n">
        <v>11299.68046176946</v>
      </c>
      <c r="X31" s="7" t="n">
        <v>-4602.851721921487</v>
      </c>
      <c r="Y31" s="6" t="n">
        <v>-0.4073435295355873</v>
      </c>
      <c r="Z31" s="7" t="n">
        <v>302.9000378209981</v>
      </c>
      <c r="AA31" s="7" t="n">
        <v>-302.9000378209981</v>
      </c>
      <c r="AB31" s="7" t="n">
        <v>4263.523798312208</v>
      </c>
      <c r="AC31" s="7" t="n">
        <v>12701.28273278115</v>
      </c>
      <c r="AD31" s="7" t="n">
        <v>-8437.758934468944</v>
      </c>
      <c r="AE31" s="6" t="n">
        <v>-0.6643233689060128</v>
      </c>
    </row>
    <row r="32">
      <c r="A32" s="2" t="n">
        <v>23</v>
      </c>
      <c r="B32" s="2" t="inlineStr">
        <is>
          <t>KPROP-00023</t>
        </is>
      </c>
      <c r="C32" s="3" t="n">
        <v>45845</v>
      </c>
      <c r="D32" s="2" t="inlineStr">
        <is>
          <t>Richard Fitts</t>
        </is>
      </c>
      <c r="E32" s="2" t="inlineStr">
        <is>
          <t>Loss</t>
        </is>
      </c>
      <c r="F32" s="2" t="n">
        <v>-1</v>
      </c>
      <c r="G32" s="6" t="n">
        <v>0.16820018888462</v>
      </c>
      <c r="H32" s="7" t="n">
        <v>100</v>
      </c>
      <c r="I32" s="7" t="n">
        <v>-100</v>
      </c>
      <c r="J32" s="7" t="n">
        <v>9342.298881298881</v>
      </c>
      <c r="K32" s="7" t="n">
        <v>10266.20879120879</v>
      </c>
      <c r="L32" s="7" t="n">
        <v>-923.9099099099094</v>
      </c>
      <c r="M32" s="6" t="n">
        <v>-0.08999523862217534</v>
      </c>
      <c r="N32" s="7" t="n">
        <v>94.46627645024444</v>
      </c>
      <c r="O32" s="7" t="n">
        <v>-94.46627645024444</v>
      </c>
      <c r="P32" s="7" t="n">
        <v>9352.1613685742</v>
      </c>
      <c r="Q32" s="7" t="n">
        <v>10268.56456043956</v>
      </c>
      <c r="R32" s="7" t="n">
        <v>-916.4031918653618</v>
      </c>
      <c r="S32" s="6" t="n">
        <v>-0.08924355361175562</v>
      </c>
      <c r="T32" s="7" t="n">
        <v>281.6019647425951</v>
      </c>
      <c r="U32" s="7" t="n">
        <v>-281.6019647425951</v>
      </c>
      <c r="V32" s="7" t="n">
        <v>6415.226775105377</v>
      </c>
      <c r="W32" s="7" t="n">
        <v>11299.68046176946</v>
      </c>
      <c r="X32" s="7" t="n">
        <v>-4884.453686664083</v>
      </c>
      <c r="Y32" s="6" t="n">
        <v>-0.432264762104539</v>
      </c>
      <c r="Z32" s="7" t="n">
        <v>358.5627540950928</v>
      </c>
      <c r="AA32" s="7" t="n">
        <v>-358.5627540950928</v>
      </c>
      <c r="AB32" s="7" t="n">
        <v>3904.961044217115</v>
      </c>
      <c r="AC32" s="7" t="n">
        <v>12701.28273278115</v>
      </c>
      <c r="AD32" s="7" t="n">
        <v>-8796.321688564036</v>
      </c>
      <c r="AE32" s="6" t="n">
        <v>-0.6925538052830935</v>
      </c>
    </row>
    <row r="33">
      <c r="A33" s="2" t="n">
        <v>24</v>
      </c>
      <c r="B33" s="2" t="inlineStr">
        <is>
          <t>KPROP-00024</t>
        </is>
      </c>
      <c r="C33" s="3" t="n">
        <v>45845</v>
      </c>
      <c r="D33" s="2" t="inlineStr">
        <is>
          <t>Yoshinobu Yamamoto</t>
        </is>
      </c>
      <c r="E33" s="2" t="inlineStr">
        <is>
          <t>Win</t>
        </is>
      </c>
      <c r="F33" s="2" t="n">
        <v>1.23</v>
      </c>
      <c r="G33" s="6" t="n">
        <v>0.2022403182286891</v>
      </c>
      <c r="H33" s="7" t="n">
        <v>100</v>
      </c>
      <c r="I33" s="7" t="n">
        <v>123</v>
      </c>
      <c r="J33" s="7" t="n">
        <v>9465.298881298881</v>
      </c>
      <c r="K33" s="7" t="n">
        <v>10266.20879120879</v>
      </c>
      <c r="L33" s="7" t="n">
        <v>-800.9099099099094</v>
      </c>
      <c r="M33" s="6" t="n">
        <v>-0.07801418480751614</v>
      </c>
      <c r="N33" s="7" t="n">
        <v>93.521613685742</v>
      </c>
      <c r="O33" s="7" t="n">
        <v>115.0315848334627</v>
      </c>
      <c r="P33" s="7" t="n">
        <v>9467.192953407663</v>
      </c>
      <c r="Q33" s="7" t="n">
        <v>10268.56456043956</v>
      </c>
      <c r="R33" s="7" t="n">
        <v>-801.3716070318987</v>
      </c>
      <c r="S33" s="6" t="n">
        <v>-0.07804124932118017</v>
      </c>
      <c r="T33" s="7" t="n">
        <v>324.3543761266295</v>
      </c>
      <c r="U33" s="7" t="n">
        <v>398.9558826357543</v>
      </c>
      <c r="V33" s="7" t="n">
        <v>6814.182657741131</v>
      </c>
      <c r="W33" s="7" t="n">
        <v>11299.68046176946</v>
      </c>
      <c r="X33" s="7" t="n">
        <v>-4485.497804028329</v>
      </c>
      <c r="Y33" s="6" t="n">
        <v>-0.3969579333861913</v>
      </c>
      <c r="Z33" s="7" t="n">
        <v>394.8702821265517</v>
      </c>
      <c r="AA33" s="7" t="n">
        <v>485.6904470156585</v>
      </c>
      <c r="AB33" s="7" t="n">
        <v>4390.651491232774</v>
      </c>
      <c r="AC33" s="7" t="n">
        <v>12701.28273278115</v>
      </c>
      <c r="AD33" s="7" t="n">
        <v>-8310.631241548377</v>
      </c>
      <c r="AE33" s="6" t="n">
        <v>-0.6543143252845793</v>
      </c>
    </row>
    <row r="34">
      <c r="A34" s="2" t="n">
        <v>25</v>
      </c>
      <c r="B34" s="2" t="inlineStr">
        <is>
          <t>KPROP-00025</t>
        </is>
      </c>
      <c r="C34" s="3" t="n">
        <v>45845</v>
      </c>
      <c r="D34" s="2" t="inlineStr">
        <is>
          <t>Yoshinobu Yamamoto</t>
        </is>
      </c>
      <c r="E34" s="2" t="inlineStr">
        <is>
          <t>Win</t>
        </is>
      </c>
      <c r="F34" s="2" t="n">
        <v>0.6329113924050633</v>
      </c>
      <c r="G34" s="6" t="n">
        <v>0.2622288573887268</v>
      </c>
      <c r="H34" s="7" t="n">
        <v>100</v>
      </c>
      <c r="I34" s="7" t="n">
        <v>63.29113924050633</v>
      </c>
      <c r="J34" s="7" t="n">
        <v>9528.590020539386</v>
      </c>
      <c r="K34" s="7" t="n">
        <v>10266.20879120879</v>
      </c>
      <c r="L34" s="7" t="n">
        <v>-737.6187706694036</v>
      </c>
      <c r="M34" s="6" t="n">
        <v>-0.07184918850482029</v>
      </c>
      <c r="N34" s="7" t="n">
        <v>94.67192953407663</v>
      </c>
      <c r="O34" s="7" t="n">
        <v>59.91894274308648</v>
      </c>
      <c r="P34" s="7" t="n">
        <v>9527.111896150749</v>
      </c>
      <c r="Q34" s="7" t="n">
        <v>10268.56456043956</v>
      </c>
      <c r="R34" s="7" t="n">
        <v>-741.4526642888122</v>
      </c>
      <c r="S34" s="6" t="n">
        <v>-0.07220606735485853</v>
      </c>
      <c r="T34" s="7" t="n">
        <v>446.7188330943836</v>
      </c>
      <c r="U34" s="7" t="n">
        <v>282.7334386673314</v>
      </c>
      <c r="V34" s="7" t="n">
        <v>7096.916096408462</v>
      </c>
      <c r="W34" s="7" t="n">
        <v>11299.68046176946</v>
      </c>
      <c r="X34" s="7" t="n">
        <v>-4202.764365360998</v>
      </c>
      <c r="Y34" s="6" t="n">
        <v>-0.3719365675498819</v>
      </c>
      <c r="Z34" s="7" t="n">
        <v>575.6777618690398</v>
      </c>
      <c r="AA34" s="7" t="n">
        <v>364.3530138411645</v>
      </c>
      <c r="AB34" s="7" t="n">
        <v>4755.004505073938</v>
      </c>
      <c r="AC34" s="7" t="n">
        <v>12701.28273278115</v>
      </c>
      <c r="AD34" s="7" t="n">
        <v>-7946.278227707214</v>
      </c>
      <c r="AE34" s="6" t="n">
        <v>-0.6256280089882896</v>
      </c>
    </row>
    <row r="35">
      <c r="A35" s="2" t="n">
        <v>26</v>
      </c>
      <c r="B35" s="2" t="inlineStr">
        <is>
          <t>KPROP-00026</t>
        </is>
      </c>
      <c r="C35" s="3" t="n">
        <v>45846</v>
      </c>
      <c r="D35" s="2" t="inlineStr">
        <is>
          <t>Clayton Kershaw</t>
        </is>
      </c>
      <c r="E35" s="2" t="inlineStr">
        <is>
          <t>Win</t>
        </is>
      </c>
      <c r="F35" s="2" t="n">
        <v>1.22</v>
      </c>
      <c r="G35" s="6" t="n">
        <v>0.1095748707845365</v>
      </c>
      <c r="H35" s="7" t="n">
        <v>100</v>
      </c>
      <c r="I35" s="7" t="n">
        <v>122</v>
      </c>
      <c r="J35" s="7" t="n">
        <v>9650.590020539386</v>
      </c>
      <c r="K35" s="7" t="n">
        <v>10266.20879120879</v>
      </c>
      <c r="L35" s="7" t="n">
        <v>-615.6187706694036</v>
      </c>
      <c r="M35" s="6" t="n">
        <v>-0.05996554163174368</v>
      </c>
      <c r="N35" s="7" t="n">
        <v>95.2711189615075</v>
      </c>
      <c r="O35" s="7" t="n">
        <v>116.2307651330391</v>
      </c>
      <c r="P35" s="7" t="n">
        <v>9643.342661283788</v>
      </c>
      <c r="Q35" s="7" t="n">
        <v>10268.56456043956</v>
      </c>
      <c r="R35" s="7" t="n">
        <v>-625.2218991557729</v>
      </c>
      <c r="S35" s="6" t="n">
        <v>-0.06088698137658779</v>
      </c>
      <c r="T35" s="7" t="n">
        <v>194.4109160581635</v>
      </c>
      <c r="U35" s="7" t="n">
        <v>237.1813175909595</v>
      </c>
      <c r="V35" s="7" t="n">
        <v>7334.097413999421</v>
      </c>
      <c r="W35" s="7" t="n">
        <v>11299.68046176946</v>
      </c>
      <c r="X35" s="7" t="n">
        <v>-3965.583047770038</v>
      </c>
      <c r="Y35" s="6" t="n">
        <v>-0.3509464768660416</v>
      </c>
      <c r="Z35" s="7" t="n">
        <v>260.5145021116828</v>
      </c>
      <c r="AA35" s="7" t="n">
        <v>317.8276925762529</v>
      </c>
      <c r="AB35" s="7" t="n">
        <v>5072.832197650191</v>
      </c>
      <c r="AC35" s="7" t="n">
        <v>12701.28273278115</v>
      </c>
      <c r="AD35" s="7" t="n">
        <v>-7628.450535130961</v>
      </c>
      <c r="AE35" s="6" t="n">
        <v>-0.6006047338386103</v>
      </c>
    </row>
    <row r="36">
      <c r="A36" s="2" t="n">
        <v>27</v>
      </c>
      <c r="B36" s="2" t="inlineStr">
        <is>
          <t>KPROP-00027</t>
        </is>
      </c>
      <c r="C36" s="3" t="n">
        <v>45846</v>
      </c>
      <c r="D36" s="2" t="inlineStr">
        <is>
          <t>Clayton Kershaw</t>
        </is>
      </c>
      <c r="E36" s="2" t="inlineStr">
        <is>
          <t>Win</t>
        </is>
      </c>
      <c r="F36" s="2" t="n">
        <v>0.5405405405405406</v>
      </c>
      <c r="G36" s="6" t="n">
        <v>0.1516470730088608</v>
      </c>
      <c r="H36" s="7" t="n">
        <v>100</v>
      </c>
      <c r="I36" s="7" t="n">
        <v>54.05405405405406</v>
      </c>
      <c r="J36" s="7" t="n">
        <v>9704.64407459344</v>
      </c>
      <c r="K36" s="7" t="n">
        <v>10266.20879120879</v>
      </c>
      <c r="L36" s="7" t="n">
        <v>-561.5647166153503</v>
      </c>
      <c r="M36" s="6" t="n">
        <v>-0.05470030154619807</v>
      </c>
      <c r="N36" s="7" t="n">
        <v>96.43342661283789</v>
      </c>
      <c r="O36" s="7" t="n">
        <v>52.12617654747994</v>
      </c>
      <c r="P36" s="7" t="n">
        <v>9695.468837831268</v>
      </c>
      <c r="Q36" s="7" t="n">
        <v>10268.56456043956</v>
      </c>
      <c r="R36" s="7" t="n">
        <v>-573.0957226082937</v>
      </c>
      <c r="S36" s="6" t="n">
        <v>-0.05581069478943428</v>
      </c>
      <c r="T36" s="7" t="n">
        <v>278.0486014987169</v>
      </c>
      <c r="U36" s="7" t="n">
        <v>150.2965413506578</v>
      </c>
      <c r="V36" s="7" t="n">
        <v>7484.39395535008</v>
      </c>
      <c r="W36" s="7" t="n">
        <v>11299.68046176946</v>
      </c>
      <c r="X36" s="7" t="n">
        <v>-3815.28650641938</v>
      </c>
      <c r="Y36" s="6" t="n">
        <v>-0.3376455218647776</v>
      </c>
      <c r="Z36" s="7" t="n">
        <v>384.6400773193792</v>
      </c>
      <c r="AA36" s="7" t="n">
        <v>207.9135553077726</v>
      </c>
      <c r="AB36" s="7" t="n">
        <v>5280.745752957963</v>
      </c>
      <c r="AC36" s="7" t="n">
        <v>12701.28273278115</v>
      </c>
      <c r="AD36" s="7" t="n">
        <v>-7420.536979823189</v>
      </c>
      <c r="AE36" s="6" t="n">
        <v>-0.5842352411124023</v>
      </c>
    </row>
    <row r="37">
      <c r="A37" s="2" t="n">
        <v>28</v>
      </c>
      <c r="B37" s="2" t="inlineStr">
        <is>
          <t>KPROP-00028</t>
        </is>
      </c>
      <c r="C37" s="3" t="n">
        <v>45846</v>
      </c>
      <c r="D37" s="2" t="inlineStr">
        <is>
          <t>Jack Flaherty</t>
        </is>
      </c>
      <c r="E37" s="2" t="inlineStr">
        <is>
          <t>Loss</t>
        </is>
      </c>
      <c r="F37" s="2" t="n">
        <v>-1</v>
      </c>
      <c r="G37" s="6" t="n">
        <v>0.2664568739793187</v>
      </c>
      <c r="H37" s="7" t="n">
        <v>100</v>
      </c>
      <c r="I37" s="7" t="n">
        <v>-100</v>
      </c>
      <c r="J37" s="7" t="n">
        <v>9604.64407459344</v>
      </c>
      <c r="K37" s="7" t="n">
        <v>10266.20879120879</v>
      </c>
      <c r="L37" s="7" t="n">
        <v>-661.5647166153503</v>
      </c>
      <c r="M37" s="6" t="n">
        <v>-0.06444099570445759</v>
      </c>
      <c r="N37" s="7" t="n">
        <v>96.95468837831268</v>
      </c>
      <c r="O37" s="7" t="n">
        <v>-96.95468837831268</v>
      </c>
      <c r="P37" s="7" t="n">
        <v>9598.514149452954</v>
      </c>
      <c r="Q37" s="7" t="n">
        <v>10268.56456043956</v>
      </c>
      <c r="R37" s="7" t="n">
        <v>-670.0504109866069</v>
      </c>
      <c r="S37" s="6" t="n">
        <v>-0.06525258784153999</v>
      </c>
      <c r="T37" s="7" t="n">
        <v>498.5670542430726</v>
      </c>
      <c r="U37" s="7" t="n">
        <v>-498.5670542430726</v>
      </c>
      <c r="V37" s="7" t="n">
        <v>6985.826901107007</v>
      </c>
      <c r="W37" s="7" t="n">
        <v>11299.68046176946</v>
      </c>
      <c r="X37" s="7" t="n">
        <v>-4313.853560662453</v>
      </c>
      <c r="Y37" s="6" t="n">
        <v>-0.3817677477923062</v>
      </c>
      <c r="Z37" s="7" t="n">
        <v>703.5455028063711</v>
      </c>
      <c r="AA37" s="7" t="n">
        <v>-703.5455028063711</v>
      </c>
      <c r="AB37" s="7" t="n">
        <v>4577.200250151593</v>
      </c>
      <c r="AC37" s="7" t="n">
        <v>12701.28273278115</v>
      </c>
      <c r="AD37" s="7" t="n">
        <v>-8124.082482629559</v>
      </c>
      <c r="AE37" s="6" t="n">
        <v>-0.6396269300943795</v>
      </c>
    </row>
    <row r="38">
      <c r="A38" s="2" t="n">
        <v>29</v>
      </c>
      <c r="B38" s="2" t="inlineStr">
        <is>
          <t>KPROP-00029</t>
        </is>
      </c>
      <c r="C38" s="3" t="n">
        <v>45846</v>
      </c>
      <c r="D38" s="2" t="inlineStr">
        <is>
          <t>Logan Gilbert</t>
        </is>
      </c>
      <c r="E38" s="2" t="inlineStr">
        <is>
          <t>Win</t>
        </is>
      </c>
      <c r="F38" s="2" t="n">
        <v>1.15</v>
      </c>
      <c r="G38" s="6" t="n">
        <v>0.1011378537126439</v>
      </c>
      <c r="H38" s="7" t="n">
        <v>100</v>
      </c>
      <c r="I38" s="7" t="n">
        <v>115</v>
      </c>
      <c r="J38" s="7" t="n">
        <v>9719.64407459344</v>
      </c>
      <c r="K38" s="7" t="n">
        <v>10266.20879120879</v>
      </c>
      <c r="L38" s="7" t="n">
        <v>-546.5647166153503</v>
      </c>
      <c r="M38" s="6" t="n">
        <v>-0.05323919742245914</v>
      </c>
      <c r="N38" s="7" t="n">
        <v>95.98514149452954</v>
      </c>
      <c r="O38" s="7" t="n">
        <v>110.382912718709</v>
      </c>
      <c r="P38" s="7" t="n">
        <v>9708.897062171663</v>
      </c>
      <c r="Q38" s="7" t="n">
        <v>10268.56456043956</v>
      </c>
      <c r="R38" s="7" t="n">
        <v>-559.6674982678978</v>
      </c>
      <c r="S38" s="6" t="n">
        <v>-0.05450299260171768</v>
      </c>
      <c r="T38" s="7" t="n">
        <v>176.6328847965032</v>
      </c>
      <c r="U38" s="7" t="n">
        <v>203.1278175159787</v>
      </c>
      <c r="V38" s="7" t="n">
        <v>7188.954718622986</v>
      </c>
      <c r="W38" s="7" t="n">
        <v>11299.68046176946</v>
      </c>
      <c r="X38" s="7" t="n">
        <v>-4110.725743146474</v>
      </c>
      <c r="Y38" s="6" t="n">
        <v>-0.3637913264055929</v>
      </c>
      <c r="Z38" s="7" t="n">
        <v>231.4641046566544</v>
      </c>
      <c r="AA38" s="7" t="n">
        <v>266.1837203551526</v>
      </c>
      <c r="AB38" s="7" t="n">
        <v>4843.383970506745</v>
      </c>
      <c r="AC38" s="7" t="n">
        <v>12701.28273278115</v>
      </c>
      <c r="AD38" s="7" t="n">
        <v>-7857.898762274407</v>
      </c>
      <c r="AE38" s="6" t="n">
        <v>-0.6186696987693772</v>
      </c>
    </row>
    <row r="39">
      <c r="A39" s="2" t="n">
        <v>30</v>
      </c>
      <c r="B39" s="2" t="inlineStr">
        <is>
          <t>KPROP-00030</t>
        </is>
      </c>
      <c r="C39" s="3" t="n">
        <v>45846</v>
      </c>
      <c r="D39" s="2" t="inlineStr">
        <is>
          <t>Seth Lugo</t>
        </is>
      </c>
      <c r="E39" s="2" t="inlineStr">
        <is>
          <t>Win</t>
        </is>
      </c>
      <c r="F39" s="2" t="n">
        <v>1.15</v>
      </c>
      <c r="G39" s="6" t="n">
        <v>0.2630372011114446</v>
      </c>
      <c r="H39" s="7" t="n">
        <v>100</v>
      </c>
      <c r="I39" s="7" t="n">
        <v>115</v>
      </c>
      <c r="J39" s="7" t="n">
        <v>9834.64407459344</v>
      </c>
      <c r="K39" s="7" t="n">
        <v>10266.20879120879</v>
      </c>
      <c r="L39" s="7" t="n">
        <v>-431.5647166153503</v>
      </c>
      <c r="M39" s="6" t="n">
        <v>-0.04203739914046069</v>
      </c>
      <c r="N39" s="7" t="n">
        <v>97.08897062171664</v>
      </c>
      <c r="O39" s="7" t="n">
        <v>111.6523162149741</v>
      </c>
      <c r="P39" s="7" t="n">
        <v>9820.549378386637</v>
      </c>
      <c r="Q39" s="7" t="n">
        <v>10268.56456043956</v>
      </c>
      <c r="R39" s="7" t="n">
        <v>-448.0151820529245</v>
      </c>
      <c r="S39" s="6" t="n">
        <v>-0.04362977701663752</v>
      </c>
      <c r="T39" s="7" t="n">
        <v>472.7406320258757</v>
      </c>
      <c r="U39" s="7" t="n">
        <v>543.651726829757</v>
      </c>
      <c r="V39" s="7" t="n">
        <v>7732.606445452742</v>
      </c>
      <c r="W39" s="7" t="n">
        <v>11299.68046176946</v>
      </c>
      <c r="X39" s="7" t="n">
        <v>-3567.074016316717</v>
      </c>
      <c r="Y39" s="6" t="n">
        <v>-0.3156791936183774</v>
      </c>
      <c r="Z39" s="7" t="n">
        <v>636.9950817550648</v>
      </c>
      <c r="AA39" s="7" t="n">
        <v>732.5443440183245</v>
      </c>
      <c r="AB39" s="7" t="n">
        <v>5575.928314525069</v>
      </c>
      <c r="AC39" s="7" t="n">
        <v>12701.28273278115</v>
      </c>
      <c r="AD39" s="7" t="n">
        <v>-7125.354418256083</v>
      </c>
      <c r="AE39" s="6" t="n">
        <v>-0.5609948670669321</v>
      </c>
    </row>
    <row r="40">
      <c r="A40" s="2" t="n">
        <v>31</v>
      </c>
      <c r="B40" s="2" t="inlineStr">
        <is>
          <t>KPROP-00031</t>
        </is>
      </c>
      <c r="C40" s="3" t="n">
        <v>45846</v>
      </c>
      <c r="D40" s="2" t="inlineStr">
        <is>
          <t>Shota Imanaga</t>
        </is>
      </c>
      <c r="E40" s="2" t="inlineStr">
        <is>
          <t>Win</t>
        </is>
      </c>
      <c r="F40" s="2" t="n">
        <v>0.9433962264150944</v>
      </c>
      <c r="G40" s="6" t="n">
        <v>0.09888354991724072</v>
      </c>
      <c r="H40" s="7" t="n">
        <v>100</v>
      </c>
      <c r="I40" s="7" t="n">
        <v>94.33962264150944</v>
      </c>
      <c r="J40" s="7" t="n">
        <v>9928.983697234949</v>
      </c>
      <c r="K40" s="7" t="n">
        <v>10266.20879120879</v>
      </c>
      <c r="L40" s="7" t="n">
        <v>-337.2250939738406</v>
      </c>
      <c r="M40" s="6" t="n">
        <v>-0.03284806502889507</v>
      </c>
      <c r="N40" s="7" t="n">
        <v>98.20549378386637</v>
      </c>
      <c r="O40" s="7" t="n">
        <v>92.64669224893055</v>
      </c>
      <c r="P40" s="7" t="n">
        <v>9913.196070635568</v>
      </c>
      <c r="Q40" s="7" t="n">
        <v>10268.56456043956</v>
      </c>
      <c r="R40" s="7" t="n">
        <v>-355.3684898039937</v>
      </c>
      <c r="S40" s="6" t="n">
        <v>-0.03460741642245483</v>
      </c>
      <c r="T40" s="7" t="n">
        <v>191.1568938598259</v>
      </c>
      <c r="U40" s="7" t="n">
        <v>180.3366923205905</v>
      </c>
      <c r="V40" s="7" t="n">
        <v>7912.943137773333</v>
      </c>
      <c r="W40" s="7" t="n">
        <v>11299.68046176946</v>
      </c>
      <c r="X40" s="7" t="n">
        <v>-3386.737323996127</v>
      </c>
      <c r="Y40" s="6" t="n">
        <v>-0.299719743001103</v>
      </c>
      <c r="Z40" s="7" t="n">
        <v>275.6837929121478</v>
      </c>
      <c r="AA40" s="7" t="n">
        <v>260.0790499171206</v>
      </c>
      <c r="AB40" s="7" t="n">
        <v>5836.00736444219</v>
      </c>
      <c r="AC40" s="7" t="n">
        <v>12701.28273278115</v>
      </c>
      <c r="AD40" s="7" t="n">
        <v>-6865.275368338962</v>
      </c>
      <c r="AE40" s="6" t="n">
        <v>-0.5405182699082944</v>
      </c>
    </row>
    <row r="41">
      <c r="A41" s="2" t="n">
        <v>32</v>
      </c>
      <c r="B41" s="2" t="inlineStr">
        <is>
          <t>KPROP-00032</t>
        </is>
      </c>
      <c r="C41" s="3" t="n">
        <v>45846</v>
      </c>
      <c r="D41" s="2" t="inlineStr">
        <is>
          <t>Sonny Gray</t>
        </is>
      </c>
      <c r="E41" s="2" t="inlineStr">
        <is>
          <t>Loss</t>
        </is>
      </c>
      <c r="F41" s="2" t="n">
        <v>-1</v>
      </c>
      <c r="G41" s="6" t="n">
        <v>0.1114370022303193</v>
      </c>
      <c r="H41" s="7" t="n">
        <v>100</v>
      </c>
      <c r="I41" s="7" t="n">
        <v>-100</v>
      </c>
      <c r="J41" s="7" t="n">
        <v>9828.983697234949</v>
      </c>
      <c r="K41" s="7" t="n">
        <v>10266.20879120879</v>
      </c>
      <c r="L41" s="7" t="n">
        <v>-437.2250939738406</v>
      </c>
      <c r="M41" s="6" t="n">
        <v>-0.04258875918715459</v>
      </c>
      <c r="N41" s="7" t="n">
        <v>99.13196070635568</v>
      </c>
      <c r="O41" s="7" t="n">
        <v>-99.13196070635568</v>
      </c>
      <c r="P41" s="7" t="n">
        <v>9814.064109929212</v>
      </c>
      <c r="Q41" s="7" t="n">
        <v>10268.56456043956</v>
      </c>
      <c r="R41" s="7" t="n">
        <v>-454.5004505103498</v>
      </c>
      <c r="S41" s="6" t="n">
        <v>-0.04426134225823031</v>
      </c>
      <c r="T41" s="7" t="n">
        <v>220.4486655231091</v>
      </c>
      <c r="U41" s="7" t="n">
        <v>-220.4486655231091</v>
      </c>
      <c r="V41" s="7" t="n">
        <v>7692.494472250223</v>
      </c>
      <c r="W41" s="7" t="n">
        <v>11299.68046176946</v>
      </c>
      <c r="X41" s="7" t="n">
        <v>-3607.185989519237</v>
      </c>
      <c r="Y41" s="6" t="n">
        <v>-0.3192290261413617</v>
      </c>
      <c r="Z41" s="7" t="n">
        <v>325.1735828437521</v>
      </c>
      <c r="AA41" s="7" t="n">
        <v>-325.1735828437521</v>
      </c>
      <c r="AB41" s="7" t="n">
        <v>5510.833781598438</v>
      </c>
      <c r="AC41" s="7" t="n">
        <v>12701.28273278115</v>
      </c>
      <c r="AD41" s="7" t="n">
        <v>-7190.448951182714</v>
      </c>
      <c r="AE41" s="6" t="n">
        <v>-0.5661199031988046</v>
      </c>
    </row>
    <row r="42">
      <c r="A42" s="2" t="n">
        <v>33</v>
      </c>
      <c r="B42" s="2" t="inlineStr">
        <is>
          <t>KPROP-00033</t>
        </is>
      </c>
      <c r="C42" s="3" t="n">
        <v>45847</v>
      </c>
      <c r="D42" s="2" t="inlineStr">
        <is>
          <t>Lucas Giolito</t>
        </is>
      </c>
      <c r="E42" s="2" t="inlineStr">
        <is>
          <t>Win</t>
        </is>
      </c>
      <c r="F42" s="2" t="n">
        <v>0.7692307692307692</v>
      </c>
      <c r="G42" s="6" t="n">
        <v>0.127347974032233</v>
      </c>
      <c r="H42" s="7" t="n">
        <v>100</v>
      </c>
      <c r="I42" s="7" t="n">
        <v>76.92307692307692</v>
      </c>
      <c r="J42" s="7" t="n">
        <v>9905.906774158026</v>
      </c>
      <c r="K42" s="7" t="n">
        <v>10266.20879120879</v>
      </c>
      <c r="L42" s="7" t="n">
        <v>-360.3020170507643</v>
      </c>
      <c r="M42" s="6" t="n">
        <v>-0.03509591752695503</v>
      </c>
      <c r="N42" s="7" t="n">
        <v>98.14064109929211</v>
      </c>
      <c r="O42" s="7" t="n">
        <v>75.49280084560931</v>
      </c>
      <c r="P42" s="7" t="n">
        <v>9889.556910774822</v>
      </c>
      <c r="Q42" s="7" t="n">
        <v>10268.56456043956</v>
      </c>
      <c r="R42" s="7" t="n">
        <v>-379.0076496647398</v>
      </c>
      <c r="S42" s="6" t="n">
        <v>-0.03690950642944741</v>
      </c>
      <c r="T42" s="7" t="n">
        <v>244.9058965738043</v>
      </c>
      <c r="U42" s="7" t="n">
        <v>188.3891512106187</v>
      </c>
      <c r="V42" s="7" t="n">
        <v>7880.883623460842</v>
      </c>
      <c r="W42" s="7" t="n">
        <v>11299.68046176946</v>
      </c>
      <c r="X42" s="7" t="n">
        <v>-3418.796838308618</v>
      </c>
      <c r="Y42" s="6" t="n">
        <v>-0.3025569483911986</v>
      </c>
      <c r="Z42" s="7" t="n">
        <v>350.8967586574751</v>
      </c>
      <c r="AA42" s="7" t="n">
        <v>269.9205835826731</v>
      </c>
      <c r="AB42" s="7" t="n">
        <v>5780.754365181111</v>
      </c>
      <c r="AC42" s="7" t="n">
        <v>12701.28273278115</v>
      </c>
      <c r="AD42" s="7" t="n">
        <v>-6920.528367600041</v>
      </c>
      <c r="AE42" s="6" t="n">
        <v>-0.5448684603909041</v>
      </c>
    </row>
    <row r="43">
      <c r="A43" s="2" t="n">
        <v>34</v>
      </c>
      <c r="B43" s="2" t="inlineStr">
        <is>
          <t>KPROP-00034</t>
        </is>
      </c>
      <c r="C43" s="3" t="n">
        <v>45847</v>
      </c>
      <c r="D43" s="2" t="inlineStr">
        <is>
          <t>Reese Olson</t>
        </is>
      </c>
      <c r="E43" s="2" t="inlineStr">
        <is>
          <t>Win</t>
        </is>
      </c>
      <c r="F43" s="2" t="n">
        <v>1.1</v>
      </c>
      <c r="G43" s="6" t="n">
        <v>0.1138537596183641</v>
      </c>
      <c r="H43" s="7" t="n">
        <v>100</v>
      </c>
      <c r="I43" s="7" t="n">
        <v>110</v>
      </c>
      <c r="J43" s="7" t="n">
        <v>10015.90677415803</v>
      </c>
      <c r="K43" s="7" t="n">
        <v>10266.20879120879</v>
      </c>
      <c r="L43" s="7" t="n">
        <v>-250.3020170507643</v>
      </c>
      <c r="M43" s="6" t="n">
        <v>-0.02438115395286955</v>
      </c>
      <c r="N43" s="7" t="n">
        <v>98.89556910774822</v>
      </c>
      <c r="O43" s="7" t="n">
        <v>108.785126018523</v>
      </c>
      <c r="P43" s="7" t="n">
        <v>9998.342036793345</v>
      </c>
      <c r="Q43" s="7" t="n">
        <v>10268.56456043956</v>
      </c>
      <c r="R43" s="7" t="n">
        <v>-270.2225236462164</v>
      </c>
      <c r="S43" s="6" t="n">
        <v>-0.02631551100017129</v>
      </c>
      <c r="T43" s="7" t="n">
        <v>224.3170574114532</v>
      </c>
      <c r="U43" s="7" t="n">
        <v>246.7487631525985</v>
      </c>
      <c r="V43" s="7" t="n">
        <v>8127.63238661344</v>
      </c>
      <c r="W43" s="7" t="n">
        <v>11299.68046176946</v>
      </c>
      <c r="X43" s="7" t="n">
        <v>-3172.04807515602</v>
      </c>
      <c r="Y43" s="6" t="n">
        <v>-0.2807201571662228</v>
      </c>
      <c r="Z43" s="7" t="n">
        <v>329.0803089530696</v>
      </c>
      <c r="AA43" s="7" t="n">
        <v>361.9883398483765</v>
      </c>
      <c r="AB43" s="7" t="n">
        <v>6142.742705029487</v>
      </c>
      <c r="AC43" s="7" t="n">
        <v>12701.28273278115</v>
      </c>
      <c r="AD43" s="7" t="n">
        <v>-6558.540027751665</v>
      </c>
      <c r="AE43" s="6" t="n">
        <v>-0.5163683200929396</v>
      </c>
    </row>
    <row r="44">
      <c r="A44" s="2" t="n">
        <v>35</v>
      </c>
      <c r="B44" s="2" t="inlineStr">
        <is>
          <t>KPROP-00035</t>
        </is>
      </c>
      <c r="C44" s="3" t="n">
        <v>45847</v>
      </c>
      <c r="D44" s="2" t="inlineStr">
        <is>
          <t>Tyler Glasnow</t>
        </is>
      </c>
      <c r="E44" s="2" t="inlineStr">
        <is>
          <t>Win</t>
        </is>
      </c>
      <c r="F44" s="2" t="n">
        <v>0.9523809523809523</v>
      </c>
      <c r="G44" s="6" t="n">
        <v>0.2171611230825618</v>
      </c>
      <c r="H44" s="7" t="n">
        <v>100</v>
      </c>
      <c r="I44" s="7" t="n">
        <v>95.23809523809523</v>
      </c>
      <c r="J44" s="7" t="n">
        <v>10111.14486939612</v>
      </c>
      <c r="K44" s="7" t="n">
        <v>10266.20879120879</v>
      </c>
      <c r="L44" s="7" t="n">
        <v>-155.0639218126689</v>
      </c>
      <c r="M44" s="6" t="n">
        <v>-0.01510430237357475</v>
      </c>
      <c r="N44" s="7" t="n">
        <v>99.98342036793345</v>
      </c>
      <c r="O44" s="7" t="n">
        <v>95.22230511231757</v>
      </c>
      <c r="P44" s="7" t="n">
        <v>10093.56434190566</v>
      </c>
      <c r="Q44" s="7" t="n">
        <v>10268.56456043956</v>
      </c>
      <c r="R44" s="7" t="n">
        <v>-175.0002185338981</v>
      </c>
      <c r="S44" s="6" t="n">
        <v>-0.01704232539064904</v>
      </c>
      <c r="T44" s="7" t="n">
        <v>441.2514442697942</v>
      </c>
      <c r="U44" s="7" t="n">
        <v>420.2394707331373</v>
      </c>
      <c r="V44" s="7" t="n">
        <v>8547.871857346578</v>
      </c>
      <c r="W44" s="7" t="n">
        <v>11299.68046176946</v>
      </c>
      <c r="X44" s="7" t="n">
        <v>-2751.808604422882</v>
      </c>
      <c r="Y44" s="6" t="n">
        <v>-0.2435297718137391</v>
      </c>
      <c r="Z44" s="7" t="n">
        <v>666.9824523157085</v>
      </c>
      <c r="AA44" s="7" t="n">
        <v>635.2213831578176</v>
      </c>
      <c r="AB44" s="7" t="n">
        <v>6777.964088187305</v>
      </c>
      <c r="AC44" s="7" t="n">
        <v>12701.28273278115</v>
      </c>
      <c r="AD44" s="7" t="n">
        <v>-5923.318644593847</v>
      </c>
      <c r="AE44" s="6" t="n">
        <v>-0.4663559397277381</v>
      </c>
    </row>
    <row r="45">
      <c r="A45" s="2" t="n">
        <v>36</v>
      </c>
      <c r="B45" s="2" t="inlineStr">
        <is>
          <t>KPROP-00036</t>
        </is>
      </c>
      <c r="C45" s="3" t="n">
        <v>45848</v>
      </c>
      <c r="D45" s="2" t="inlineStr">
        <is>
          <t>Chris Paddack</t>
        </is>
      </c>
      <c r="E45" s="2" t="inlineStr">
        <is>
          <t>Win</t>
        </is>
      </c>
      <c r="F45" s="2" t="n">
        <v>1.32</v>
      </c>
      <c r="G45" s="6" t="n">
        <v>0.1019269669694811</v>
      </c>
      <c r="H45" s="7" t="n">
        <v>100</v>
      </c>
      <c r="I45" s="7" t="n">
        <v>132</v>
      </c>
      <c r="J45" s="7" t="n">
        <v>10243.14486939612</v>
      </c>
      <c r="K45" s="7" t="n">
        <v>10266.20879120879</v>
      </c>
      <c r="L45" s="7" t="n">
        <v>-23.06392181266892</v>
      </c>
      <c r="M45" s="6" t="n">
        <v>-0.002246586084672185</v>
      </c>
      <c r="N45" s="7" t="n">
        <v>100.9356434190566</v>
      </c>
      <c r="O45" s="7" t="n">
        <v>133.2350493131548</v>
      </c>
      <c r="P45" s="7" t="n">
        <v>10226.79939121882</v>
      </c>
      <c r="Q45" s="7" t="n">
        <v>10268.56456043956</v>
      </c>
      <c r="R45" s="7" t="n">
        <v>-41.7651692207437</v>
      </c>
      <c r="S45" s="6" t="n">
        <v>-0.004067284085805648</v>
      </c>
      <c r="T45" s="7" t="n">
        <v>217.8146631157805</v>
      </c>
      <c r="U45" s="7" t="n">
        <v>287.5153553128304</v>
      </c>
      <c r="V45" s="7" t="n">
        <v>8835.387212659409</v>
      </c>
      <c r="W45" s="7" t="n">
        <v>11299.68046176946</v>
      </c>
      <c r="X45" s="7" t="n">
        <v>-2464.293249110051</v>
      </c>
      <c r="Y45" s="6" t="n">
        <v>-0.2180852155463658</v>
      </c>
      <c r="Z45" s="7" t="n">
        <v>345.4286608684984</v>
      </c>
      <c r="AA45" s="7" t="n">
        <v>455.965832346418</v>
      </c>
      <c r="AB45" s="7" t="n">
        <v>7233.929920533723</v>
      </c>
      <c r="AC45" s="7" t="n">
        <v>12701.28273278115</v>
      </c>
      <c r="AD45" s="7" t="n">
        <v>-5467.352812247429</v>
      </c>
      <c r="AE45" s="6" t="n">
        <v>-0.4304567441945498</v>
      </c>
    </row>
    <row r="46">
      <c r="A46" s="2" t="n">
        <v>37</v>
      </c>
      <c r="B46" s="2" t="inlineStr">
        <is>
          <t>KPROP-00037</t>
        </is>
      </c>
      <c r="C46" s="3" t="n">
        <v>45848</v>
      </c>
      <c r="D46" s="2" t="inlineStr">
        <is>
          <t>Chris Paddack</t>
        </is>
      </c>
      <c r="E46" s="2" t="inlineStr">
        <is>
          <t>Win</t>
        </is>
      </c>
      <c r="F46" s="2" t="n">
        <v>0.641025641025641</v>
      </c>
      <c r="G46" s="6" t="n">
        <v>0.1871032601050131</v>
      </c>
      <c r="H46" s="7" t="n">
        <v>100</v>
      </c>
      <c r="I46" s="7" t="n">
        <v>64.1025641025641</v>
      </c>
      <c r="J46" s="7" t="n">
        <v>10307.24743349869</v>
      </c>
      <c r="K46" s="7" t="n">
        <v>10307.24743349869</v>
      </c>
      <c r="L46" s="7" t="n">
        <v>0</v>
      </c>
      <c r="M46" s="6" t="n">
        <v>0</v>
      </c>
      <c r="N46" s="7" t="n">
        <v>102.2679939121882</v>
      </c>
      <c r="O46" s="7" t="n">
        <v>65.55640635396678</v>
      </c>
      <c r="P46" s="7" t="n">
        <v>10292.35579757278</v>
      </c>
      <c r="Q46" s="7" t="n">
        <v>10292.35579757278</v>
      </c>
      <c r="R46" s="7" t="n">
        <v>0</v>
      </c>
      <c r="S46" s="6" t="n">
        <v>0</v>
      </c>
      <c r="T46" s="7" t="n">
        <v>413.28243794468</v>
      </c>
      <c r="U46" s="7" t="n">
        <v>264.9246397081282</v>
      </c>
      <c r="V46" s="7" t="n">
        <v>9100.311852367537</v>
      </c>
      <c r="W46" s="7" t="n">
        <v>11299.68046176946</v>
      </c>
      <c r="X46" s="7" t="n">
        <v>-2199.368609401923</v>
      </c>
      <c r="Y46" s="6" t="n">
        <v>-0.1946398941848941</v>
      </c>
      <c r="Z46" s="7" t="n">
        <v>676.7459357515289</v>
      </c>
      <c r="AA46" s="7" t="n">
        <v>433.8114972766211</v>
      </c>
      <c r="AB46" s="7" t="n">
        <v>7667.741417810344</v>
      </c>
      <c r="AC46" s="7" t="n">
        <v>12701.28273278115</v>
      </c>
      <c r="AD46" s="7" t="n">
        <v>-5033.541314970808</v>
      </c>
      <c r="AE46" s="6" t="n">
        <v>-0.3963018083189014</v>
      </c>
    </row>
    <row r="47">
      <c r="A47" s="2" t="n">
        <v>38</v>
      </c>
      <c r="B47" s="2" t="inlineStr">
        <is>
          <t>KPROP-00038</t>
        </is>
      </c>
      <c r="C47" s="3" t="n">
        <v>45848</v>
      </c>
      <c r="D47" s="2" t="inlineStr">
        <is>
          <t>Nick Lodolo</t>
        </is>
      </c>
      <c r="E47" s="2" t="inlineStr">
        <is>
          <t>Win</t>
        </is>
      </c>
      <c r="F47" s="2" t="n">
        <v>0.9523809523809523</v>
      </c>
      <c r="G47" s="6" t="n">
        <v>0.1282803291342365</v>
      </c>
      <c r="H47" s="7" t="n">
        <v>100</v>
      </c>
      <c r="I47" s="7" t="n">
        <v>95.23809523809523</v>
      </c>
      <c r="J47" s="7" t="n">
        <v>10402.48552873678</v>
      </c>
      <c r="K47" s="7" t="n">
        <v>10402.48552873678</v>
      </c>
      <c r="L47" s="7" t="n">
        <v>0</v>
      </c>
      <c r="M47" s="6" t="n">
        <v>0</v>
      </c>
      <c r="N47" s="7" t="n">
        <v>102.9235579757278</v>
      </c>
      <c r="O47" s="7" t="n">
        <v>98.02243616735983</v>
      </c>
      <c r="P47" s="7" t="n">
        <v>10390.37823374014</v>
      </c>
      <c r="Q47" s="7" t="n">
        <v>10390.37823374014</v>
      </c>
      <c r="R47" s="7" t="n">
        <v>0</v>
      </c>
      <c r="S47" s="6" t="n">
        <v>0</v>
      </c>
      <c r="T47" s="7" t="n">
        <v>291.8477499114752</v>
      </c>
      <c r="U47" s="7" t="n">
        <v>277.9502380109287</v>
      </c>
      <c r="V47" s="7" t="n">
        <v>9378.262090378465</v>
      </c>
      <c r="W47" s="7" t="n">
        <v>11299.68046176946</v>
      </c>
      <c r="X47" s="7" t="n">
        <v>-1921.418371390995</v>
      </c>
      <c r="Y47" s="6" t="n">
        <v>-0.1700418324121453</v>
      </c>
      <c r="Z47" s="7" t="n">
        <v>491.810196396464</v>
      </c>
      <c r="AA47" s="7" t="n">
        <v>468.3906632347276</v>
      </c>
      <c r="AB47" s="7" t="n">
        <v>8136.132081045072</v>
      </c>
      <c r="AC47" s="7" t="n">
        <v>12701.28273278115</v>
      </c>
      <c r="AD47" s="7" t="n">
        <v>-4565.15065173608</v>
      </c>
      <c r="AE47" s="6" t="n">
        <v>-0.3594243784490944</v>
      </c>
    </row>
    <row r="48">
      <c r="A48" s="2" t="n">
        <v>39</v>
      </c>
      <c r="B48" s="2" t="inlineStr">
        <is>
          <t>KPROP-00039</t>
        </is>
      </c>
      <c r="C48" s="3" t="n">
        <v>45849</v>
      </c>
      <c r="D48" s="2" t="inlineStr">
        <is>
          <t>Dean Kremer</t>
        </is>
      </c>
      <c r="E48" s="2" t="inlineStr">
        <is>
          <t>Loss</t>
        </is>
      </c>
      <c r="F48" s="2" t="n">
        <v>-1</v>
      </c>
      <c r="G48" s="6" t="n">
        <v>0.1781227254807013</v>
      </c>
      <c r="H48" s="7" t="n">
        <v>100</v>
      </c>
      <c r="I48" s="7" t="n">
        <v>-100</v>
      </c>
      <c r="J48" s="7" t="n">
        <v>10302.48552873678</v>
      </c>
      <c r="K48" s="7" t="n">
        <v>10402.48552873678</v>
      </c>
      <c r="L48" s="7" t="n">
        <v>-100</v>
      </c>
      <c r="M48" s="6" t="n">
        <v>-0.009613087153426056</v>
      </c>
      <c r="N48" s="7" t="n">
        <v>103.9037823374014</v>
      </c>
      <c r="O48" s="7" t="n">
        <v>-103.9037823374014</v>
      </c>
      <c r="P48" s="7" t="n">
        <v>10286.47445140274</v>
      </c>
      <c r="Q48" s="7" t="n">
        <v>10390.37823374014</v>
      </c>
      <c r="R48" s="7" t="n">
        <v>-103.9037823374019</v>
      </c>
      <c r="S48" s="6" t="n">
        <v>-0.01000000000000005</v>
      </c>
      <c r="T48" s="7" t="n">
        <v>417.6204009526378</v>
      </c>
      <c r="U48" s="7" t="n">
        <v>-417.6204009526378</v>
      </c>
      <c r="V48" s="7" t="n">
        <v>8960.641689425827</v>
      </c>
      <c r="W48" s="7" t="n">
        <v>11299.68046176946</v>
      </c>
      <c r="X48" s="7" t="n">
        <v>-2339.038772343632</v>
      </c>
      <c r="Y48" s="6" t="n">
        <v>-0.2070004351235746</v>
      </c>
      <c r="Z48" s="7" t="n">
        <v>724.6150105733591</v>
      </c>
      <c r="AA48" s="7" t="n">
        <v>-724.6150105733591</v>
      </c>
      <c r="AB48" s="7" t="n">
        <v>7411.517070471713</v>
      </c>
      <c r="AC48" s="7" t="n">
        <v>12701.28273278115</v>
      </c>
      <c r="AD48" s="7" t="n">
        <v>-5289.765662309439</v>
      </c>
      <c r="AE48" s="6" t="n">
        <v>-0.4164749162426651</v>
      </c>
    </row>
    <row r="49">
      <c r="A49" s="2" t="n">
        <v>40</v>
      </c>
      <c r="B49" s="2" t="inlineStr">
        <is>
          <t>KPROP-00040</t>
        </is>
      </c>
      <c r="C49" s="3" t="n">
        <v>45850</v>
      </c>
      <c r="D49" s="2" t="inlineStr">
        <is>
          <t>Brady Singer</t>
        </is>
      </c>
      <c r="E49" s="2" t="inlineStr">
        <is>
          <t>Loss</t>
        </is>
      </c>
      <c r="F49" s="2" t="n">
        <v>-1</v>
      </c>
      <c r="G49" s="6" t="n">
        <v>0.2095219656401215</v>
      </c>
      <c r="H49" s="7" t="n">
        <v>100</v>
      </c>
      <c r="I49" s="7" t="n">
        <v>-100</v>
      </c>
      <c r="J49" s="7" t="n">
        <v>10202.48552873678</v>
      </c>
      <c r="K49" s="7" t="n">
        <v>10402.48552873678</v>
      </c>
      <c r="L49" s="7" t="n">
        <v>-200</v>
      </c>
      <c r="M49" s="6" t="n">
        <v>-0.01922617430685211</v>
      </c>
      <c r="N49" s="7" t="n">
        <v>102.8647445140274</v>
      </c>
      <c r="O49" s="7" t="n">
        <v>-102.8647445140274</v>
      </c>
      <c r="P49" s="7" t="n">
        <v>10183.60970688871</v>
      </c>
      <c r="Q49" s="7" t="n">
        <v>10390.37823374014</v>
      </c>
      <c r="R49" s="7" t="n">
        <v>-206.7685268514288</v>
      </c>
      <c r="S49" s="6" t="n">
        <v>-0.01989999999999999</v>
      </c>
      <c r="T49" s="7" t="n">
        <v>469.3628150413297</v>
      </c>
      <c r="U49" s="7" t="n">
        <v>-469.3628150413297</v>
      </c>
      <c r="V49" s="7" t="n">
        <v>8491.278874384498</v>
      </c>
      <c r="W49" s="7" t="n">
        <v>11299.68046176946</v>
      </c>
      <c r="X49" s="7" t="n">
        <v>-2808.401587384962</v>
      </c>
      <c r="Y49" s="6" t="n">
        <v>-0.248538142019742</v>
      </c>
      <c r="Z49" s="7" t="n">
        <v>776.4378124902743</v>
      </c>
      <c r="AA49" s="7" t="n">
        <v>-776.4378124902743</v>
      </c>
      <c r="AB49" s="7" t="n">
        <v>6635.079257981439</v>
      </c>
      <c r="AC49" s="7" t="n">
        <v>12701.28273278115</v>
      </c>
      <c r="AD49" s="7" t="n">
        <v>-6066.203474799713</v>
      </c>
      <c r="AE49" s="6" t="n">
        <v>-0.4776055775172418</v>
      </c>
    </row>
    <row r="50">
      <c r="A50" s="2" t="n">
        <v>41</v>
      </c>
      <c r="B50" s="2" t="inlineStr">
        <is>
          <t>KPROP-00041</t>
        </is>
      </c>
      <c r="C50" s="3" t="n">
        <v>45850</v>
      </c>
      <c r="D50" s="2" t="inlineStr">
        <is>
          <t>Brady Singer</t>
        </is>
      </c>
      <c r="E50" s="2" t="inlineStr">
        <is>
          <t>Loss</t>
        </is>
      </c>
      <c r="F50" s="2" t="n">
        <v>-1</v>
      </c>
      <c r="G50" s="6" t="n">
        <v>0.2585039545070888</v>
      </c>
      <c r="H50" s="7" t="n">
        <v>100</v>
      </c>
      <c r="I50" s="7" t="n">
        <v>-100</v>
      </c>
      <c r="J50" s="7" t="n">
        <v>10102.48552873678</v>
      </c>
      <c r="K50" s="7" t="n">
        <v>10402.48552873678</v>
      </c>
      <c r="L50" s="7" t="n">
        <v>-300</v>
      </c>
      <c r="M50" s="6" t="n">
        <v>-0.02883926146027817</v>
      </c>
      <c r="N50" s="7" t="n">
        <v>101.8360970688871</v>
      </c>
      <c r="O50" s="7" t="n">
        <v>-101.8360970688871</v>
      </c>
      <c r="P50" s="7" t="n">
        <v>10081.77360981983</v>
      </c>
      <c r="Q50" s="7" t="n">
        <v>10390.37823374014</v>
      </c>
      <c r="R50" s="7" t="n">
        <v>-308.6046239203151</v>
      </c>
      <c r="S50" s="6" t="n">
        <v>-0.02970099999999992</v>
      </c>
      <c r="T50" s="7" t="n">
        <v>548.7572919627236</v>
      </c>
      <c r="U50" s="7" t="n">
        <v>-548.7572919627236</v>
      </c>
      <c r="V50" s="7" t="n">
        <v>7942.521582421774</v>
      </c>
      <c r="W50" s="7" t="n">
        <v>11299.68046176946</v>
      </c>
      <c r="X50" s="7" t="n">
        <v>-3357.158879347686</v>
      </c>
      <c r="Y50" s="6" t="n">
        <v>-0.2971021075070273</v>
      </c>
      <c r="Z50" s="7" t="n">
        <v>857.5971133280812</v>
      </c>
      <c r="AA50" s="7" t="n">
        <v>-857.5971133280812</v>
      </c>
      <c r="AB50" s="7" t="n">
        <v>5777.482144653358</v>
      </c>
      <c r="AC50" s="7" t="n">
        <v>12701.28273278115</v>
      </c>
      <c r="AD50" s="7" t="n">
        <v>-6923.800588127794</v>
      </c>
      <c r="AE50" s="6" t="n">
        <v>-0.5451260895293617</v>
      </c>
    </row>
    <row r="51">
      <c r="A51" s="2" t="n">
        <v>42</v>
      </c>
      <c r="B51" s="2" t="inlineStr">
        <is>
          <t>KPROP-00042</t>
        </is>
      </c>
      <c r="C51" s="3" t="n">
        <v>45850</v>
      </c>
      <c r="D51" s="2" t="inlineStr">
        <is>
          <t>Framber Valdez</t>
        </is>
      </c>
      <c r="E51" s="2" t="inlineStr">
        <is>
          <t>Loss</t>
        </is>
      </c>
      <c r="F51" s="2" t="n">
        <v>-1</v>
      </c>
      <c r="G51" s="6" t="n">
        <v>0.2555125619292714</v>
      </c>
      <c r="H51" s="7" t="n">
        <v>100</v>
      </c>
      <c r="I51" s="7" t="n">
        <v>-100</v>
      </c>
      <c r="J51" s="7" t="n">
        <v>10002.48552873678</v>
      </c>
      <c r="K51" s="7" t="n">
        <v>10402.48552873678</v>
      </c>
      <c r="L51" s="7" t="n">
        <v>-400</v>
      </c>
      <c r="M51" s="6" t="n">
        <v>-0.03845234861370422</v>
      </c>
      <c r="N51" s="7" t="n">
        <v>100.8177360981983</v>
      </c>
      <c r="O51" s="7" t="n">
        <v>-100.8177360981983</v>
      </c>
      <c r="P51" s="7" t="n">
        <v>9980.955873721628</v>
      </c>
      <c r="Q51" s="7" t="n">
        <v>10390.37823374014</v>
      </c>
      <c r="R51" s="7" t="n">
        <v>-409.4223600185142</v>
      </c>
      <c r="S51" s="6" t="n">
        <v>-0.03940398999999999</v>
      </c>
      <c r="T51" s="7" t="n">
        <v>507.3535094257796</v>
      </c>
      <c r="U51" s="7" t="n">
        <v>-507.3535094257796</v>
      </c>
      <c r="V51" s="7" t="n">
        <v>7435.168072995994</v>
      </c>
      <c r="W51" s="7" t="n">
        <v>11299.68046176946</v>
      </c>
      <c r="X51" s="7" t="n">
        <v>-3864.512388773465</v>
      </c>
      <c r="Y51" s="6" t="n">
        <v>-0.3420019178284185</v>
      </c>
      <c r="Z51" s="7" t="n">
        <v>738.1096321405005</v>
      </c>
      <c r="AA51" s="7" t="n">
        <v>-738.1096321405005</v>
      </c>
      <c r="AB51" s="7" t="n">
        <v>5039.372512512858</v>
      </c>
      <c r="AC51" s="7" t="n">
        <v>12701.28273278115</v>
      </c>
      <c r="AD51" s="7" t="n">
        <v>-7661.910220268294</v>
      </c>
      <c r="AE51" s="6" t="n">
        <v>-0.6032390886389311</v>
      </c>
    </row>
    <row r="52">
      <c r="A52" s="2" t="n">
        <v>43</v>
      </c>
      <c r="B52" s="2" t="inlineStr">
        <is>
          <t>KPROP-00043</t>
        </is>
      </c>
      <c r="C52" s="3" t="n">
        <v>45850</v>
      </c>
      <c r="D52" s="2" t="inlineStr">
        <is>
          <t>Garrett Crochet</t>
        </is>
      </c>
      <c r="E52" s="2" t="inlineStr">
        <is>
          <t>Loss</t>
        </is>
      </c>
      <c r="F52" s="2" t="n">
        <v>-1</v>
      </c>
      <c r="G52" s="6" t="n">
        <v>0.109232610895988</v>
      </c>
      <c r="H52" s="7" t="n">
        <v>100</v>
      </c>
      <c r="I52" s="7" t="n">
        <v>-100</v>
      </c>
      <c r="J52" s="7" t="n">
        <v>9902.485528736781</v>
      </c>
      <c r="K52" s="7" t="n">
        <v>10402.48552873678</v>
      </c>
      <c r="L52" s="7" t="n">
        <v>-500</v>
      </c>
      <c r="M52" s="6" t="n">
        <v>-0.04806543576713028</v>
      </c>
      <c r="N52" s="7" t="n">
        <v>99.80955873721629</v>
      </c>
      <c r="O52" s="7" t="n">
        <v>-99.80955873721629</v>
      </c>
      <c r="P52" s="7" t="n">
        <v>9881.146314984413</v>
      </c>
      <c r="Q52" s="7" t="n">
        <v>10390.37823374014</v>
      </c>
      <c r="R52" s="7" t="n">
        <v>-509.2319187557296</v>
      </c>
      <c r="S52" s="6" t="n">
        <v>-0.04900995009999991</v>
      </c>
      <c r="T52" s="7" t="n">
        <v>203.0407052659611</v>
      </c>
      <c r="U52" s="7" t="n">
        <v>-203.0407052659611</v>
      </c>
      <c r="V52" s="7" t="n">
        <v>7232.127367730033</v>
      </c>
      <c r="W52" s="7" t="n">
        <v>11299.68046176946</v>
      </c>
      <c r="X52" s="7" t="n">
        <v>-4067.553094039426</v>
      </c>
      <c r="Y52" s="6" t="n">
        <v>-0.3599706299484572</v>
      </c>
      <c r="Z52" s="7" t="n">
        <v>275.2319084096272</v>
      </c>
      <c r="AA52" s="7" t="n">
        <v>-275.2319084096272</v>
      </c>
      <c r="AB52" s="7" t="n">
        <v>4764.140604103231</v>
      </c>
      <c r="AC52" s="7" t="n">
        <v>12701.28273278115</v>
      </c>
      <c r="AD52" s="7" t="n">
        <v>-7937.142128677921</v>
      </c>
      <c r="AE52" s="6" t="n">
        <v>-0.6249087037636517</v>
      </c>
    </row>
    <row r="53">
      <c r="A53" s="2" t="n">
        <v>44</v>
      </c>
      <c r="B53" s="2" t="inlineStr">
        <is>
          <t>KPROP-00044</t>
        </is>
      </c>
      <c r="C53" s="3" t="n">
        <v>45850</v>
      </c>
      <c r="D53" s="2" t="inlineStr">
        <is>
          <t>Garrett Crochet</t>
        </is>
      </c>
      <c r="E53" s="2" t="inlineStr">
        <is>
          <t>Loss</t>
        </is>
      </c>
      <c r="F53" s="2" t="n">
        <v>-1</v>
      </c>
      <c r="G53" s="6" t="n">
        <v>0.1534501780181265</v>
      </c>
      <c r="H53" s="7" t="n">
        <v>100</v>
      </c>
      <c r="I53" s="7" t="n">
        <v>-100</v>
      </c>
      <c r="J53" s="7" t="n">
        <v>9802.485528736781</v>
      </c>
      <c r="K53" s="7" t="n">
        <v>10402.48552873678</v>
      </c>
      <c r="L53" s="7" t="n">
        <v>-600</v>
      </c>
      <c r="M53" s="6" t="n">
        <v>-0.05767852292055634</v>
      </c>
      <c r="N53" s="7" t="n">
        <v>98.81146314984413</v>
      </c>
      <c r="O53" s="7" t="n">
        <v>-98.81146314984413</v>
      </c>
      <c r="P53" s="7" t="n">
        <v>9782.334851834568</v>
      </c>
      <c r="Q53" s="7" t="n">
        <v>10390.37823374014</v>
      </c>
      <c r="R53" s="7" t="n">
        <v>-608.0433819055743</v>
      </c>
      <c r="S53" s="6" t="n">
        <v>-0.05851985059899997</v>
      </c>
      <c r="T53" s="7" t="n">
        <v>277.4428080069845</v>
      </c>
      <c r="U53" s="7" t="n">
        <v>-277.4428080069845</v>
      </c>
      <c r="V53" s="7" t="n">
        <v>6954.684559723049</v>
      </c>
      <c r="W53" s="7" t="n">
        <v>11299.68046176946</v>
      </c>
      <c r="X53" s="7" t="n">
        <v>-4344.995902046411</v>
      </c>
      <c r="Y53" s="6" t="n">
        <v>-0.3845237851412669</v>
      </c>
      <c r="Z53" s="7" t="n">
        <v>365.5291119015127</v>
      </c>
      <c r="AA53" s="7" t="n">
        <v>-365.5291119015127</v>
      </c>
      <c r="AB53" s="7" t="n">
        <v>4398.611492201718</v>
      </c>
      <c r="AC53" s="7" t="n">
        <v>12701.28273278115</v>
      </c>
      <c r="AD53" s="7" t="n">
        <v>-8302.671240579435</v>
      </c>
      <c r="AE53" s="6" t="n">
        <v>-0.6536876168539105</v>
      </c>
    </row>
    <row r="54">
      <c r="A54" s="2" t="n">
        <v>45</v>
      </c>
      <c r="B54" s="2" t="inlineStr">
        <is>
          <t>KPROP-00045</t>
        </is>
      </c>
      <c r="C54" s="3" t="n">
        <v>45850</v>
      </c>
      <c r="D54" s="2" t="inlineStr">
        <is>
          <t>Mike Burrows</t>
        </is>
      </c>
      <c r="E54" s="2" t="inlineStr">
        <is>
          <t>Win</t>
        </is>
      </c>
      <c r="F54" s="2" t="n">
        <v>1.3</v>
      </c>
      <c r="G54" s="6" t="n">
        <v>0.07225259759748236</v>
      </c>
      <c r="H54" s="7" t="n">
        <v>100</v>
      </c>
      <c r="I54" s="7" t="n">
        <v>130</v>
      </c>
      <c r="J54" s="7" t="n">
        <v>9932.485528736781</v>
      </c>
      <c r="K54" s="7" t="n">
        <v>10402.48552873678</v>
      </c>
      <c r="L54" s="7" t="n">
        <v>-470</v>
      </c>
      <c r="M54" s="6" t="n">
        <v>-0.04518150962110246</v>
      </c>
      <c r="N54" s="7" t="n">
        <v>97.82334851834568</v>
      </c>
      <c r="O54" s="7" t="n">
        <v>127.1703530738494</v>
      </c>
      <c r="P54" s="7" t="n">
        <v>9909.505204908417</v>
      </c>
      <c r="Q54" s="7" t="n">
        <v>10390.37823374014</v>
      </c>
      <c r="R54" s="7" t="n">
        <v>-480.8730288317256</v>
      </c>
      <c r="S54" s="6" t="n">
        <v>-0.04628060865678704</v>
      </c>
      <c r="T54" s="7" t="n">
        <v>125.6235062277733</v>
      </c>
      <c r="U54" s="7" t="n">
        <v>163.3105580961053</v>
      </c>
      <c r="V54" s="7" t="n">
        <v>7117.995117819154</v>
      </c>
      <c r="W54" s="7" t="n">
        <v>11299.68046176946</v>
      </c>
      <c r="X54" s="7" t="n">
        <v>-4181.685343950306</v>
      </c>
      <c r="Y54" s="6" t="n">
        <v>-0.3700711146742887</v>
      </c>
      <c r="Z54" s="7" t="n">
        <v>158.9055530668561</v>
      </c>
      <c r="AA54" s="7" t="n">
        <v>206.5772189869129</v>
      </c>
      <c r="AB54" s="7" t="n">
        <v>4605.188711188631</v>
      </c>
      <c r="AC54" s="7" t="n">
        <v>12701.28273278115</v>
      </c>
      <c r="AD54" s="7" t="n">
        <v>-8096.094021592521</v>
      </c>
      <c r="AE54" s="6" t="n">
        <v>-0.6374233368332988</v>
      </c>
    </row>
    <row r="55">
      <c r="A55" s="2" t="n">
        <v>46</v>
      </c>
      <c r="B55" s="2" t="inlineStr">
        <is>
          <t>KPROP-00046</t>
        </is>
      </c>
      <c r="C55" s="3" t="n">
        <v>45851</v>
      </c>
      <c r="D55" s="2" t="inlineStr">
        <is>
          <t>Austin Gomber</t>
        </is>
      </c>
      <c r="E55" s="2" t="inlineStr">
        <is>
          <t>Win</t>
        </is>
      </c>
      <c r="F55" s="2" t="n">
        <v>0.9090909090909092</v>
      </c>
      <c r="G55" s="6" t="n">
        <v>0.08090567933717739</v>
      </c>
      <c r="H55" s="7" t="n">
        <v>100</v>
      </c>
      <c r="I55" s="7" t="n">
        <v>90.90909090909092</v>
      </c>
      <c r="J55" s="7" t="n">
        <v>10023.39461964587</v>
      </c>
      <c r="K55" s="7" t="n">
        <v>10402.48552873678</v>
      </c>
      <c r="L55" s="7" t="n">
        <v>-379.0909090909099</v>
      </c>
      <c r="M55" s="6" t="n">
        <v>-0.03644233948162431</v>
      </c>
      <c r="N55" s="7" t="n">
        <v>99.09505204908417</v>
      </c>
      <c r="O55" s="7" t="n">
        <v>90.0864109537129</v>
      </c>
      <c r="P55" s="7" t="n">
        <v>9999.591615862129</v>
      </c>
      <c r="Q55" s="7" t="n">
        <v>10390.37823374014</v>
      </c>
      <c r="R55" s="7" t="n">
        <v>-390.7866178780132</v>
      </c>
      <c r="S55" s="6" t="n">
        <v>-0.03761043237184878</v>
      </c>
      <c r="T55" s="7" t="n">
        <v>143.9715576314677</v>
      </c>
      <c r="U55" s="7" t="n">
        <v>130.8832342104252</v>
      </c>
      <c r="V55" s="7" t="n">
        <v>7248.878352029579</v>
      </c>
      <c r="W55" s="7" t="n">
        <v>11299.68046176946</v>
      </c>
      <c r="X55" s="7" t="n">
        <v>-4050.802109739881</v>
      </c>
      <c r="Y55" s="6" t="n">
        <v>-0.3584882000376097</v>
      </c>
      <c r="Z55" s="7" t="n">
        <v>186.2929605773083</v>
      </c>
      <c r="AA55" s="7" t="n">
        <v>169.3572368884621</v>
      </c>
      <c r="AB55" s="7" t="n">
        <v>4774.545948077093</v>
      </c>
      <c r="AC55" s="7" t="n">
        <v>12701.28273278115</v>
      </c>
      <c r="AD55" s="7" t="n">
        <v>-7926.736784704059</v>
      </c>
      <c r="AE55" s="6" t="n">
        <v>-0.624089468085431</v>
      </c>
    </row>
    <row r="56">
      <c r="A56" s="2" t="n">
        <v>47</v>
      </c>
      <c r="B56" s="2" t="inlineStr">
        <is>
          <t>KPROP-00047</t>
        </is>
      </c>
      <c r="C56" s="3" t="n">
        <v>45851</v>
      </c>
      <c r="D56" s="2" t="inlineStr">
        <is>
          <t>Freddy Peralta</t>
        </is>
      </c>
      <c r="E56" s="2" t="inlineStr">
        <is>
          <t>Loss</t>
        </is>
      </c>
      <c r="F56" s="2" t="n">
        <v>-1</v>
      </c>
      <c r="G56" s="6" t="n">
        <v>0.1983731086232546</v>
      </c>
      <c r="H56" s="7" t="n">
        <v>100</v>
      </c>
      <c r="I56" s="7" t="n">
        <v>-100</v>
      </c>
      <c r="J56" s="7" t="n">
        <v>9923.394619645871</v>
      </c>
      <c r="K56" s="7" t="n">
        <v>10402.48552873678</v>
      </c>
      <c r="L56" s="7" t="n">
        <v>-479.0909090909099</v>
      </c>
      <c r="M56" s="6" t="n">
        <v>-0.04605542663505036</v>
      </c>
      <c r="N56" s="7" t="n">
        <v>99.9959161586213</v>
      </c>
      <c r="O56" s="7" t="n">
        <v>-99.9959161586213</v>
      </c>
      <c r="P56" s="7" t="n">
        <v>9899.595699703508</v>
      </c>
      <c r="Q56" s="7" t="n">
        <v>10390.37823374014</v>
      </c>
      <c r="R56" s="7" t="n">
        <v>-490.7825340366344</v>
      </c>
      <c r="S56" s="6" t="n">
        <v>-0.04723432804813028</v>
      </c>
      <c r="T56" s="7" t="n">
        <v>359.4956331809807</v>
      </c>
      <c r="U56" s="7" t="n">
        <v>-359.4956331809807</v>
      </c>
      <c r="V56" s="7" t="n">
        <v>6889.382718848598</v>
      </c>
      <c r="W56" s="7" t="n">
        <v>11299.68046176946</v>
      </c>
      <c r="X56" s="7" t="n">
        <v>-4410.297742920861</v>
      </c>
      <c r="Y56" s="6" t="n">
        <v>-0.3903028725318695</v>
      </c>
      <c r="Z56" s="7" t="n">
        <v>473.5707609923087</v>
      </c>
      <c r="AA56" s="7" t="n">
        <v>-473.5707609923087</v>
      </c>
      <c r="AB56" s="7" t="n">
        <v>4300.975187084785</v>
      </c>
      <c r="AC56" s="7" t="n">
        <v>12701.28273278115</v>
      </c>
      <c r="AD56" s="7" t="n">
        <v>-8400.307545696367</v>
      </c>
      <c r="AE56" s="6" t="n">
        <v>-0.6613747384754881</v>
      </c>
    </row>
    <row r="57">
      <c r="A57" s="2" t="n">
        <v>48</v>
      </c>
      <c r="B57" s="2" t="inlineStr">
        <is>
          <t>KPROP-00048</t>
        </is>
      </c>
      <c r="C57" s="3" t="n">
        <v>45851</v>
      </c>
      <c r="D57" s="2" t="inlineStr">
        <is>
          <t>Jeffrey Springs</t>
        </is>
      </c>
      <c r="E57" s="2" t="inlineStr">
        <is>
          <t>Loss</t>
        </is>
      </c>
      <c r="F57" s="2" t="n">
        <v>-1</v>
      </c>
      <c r="G57" s="6" t="n">
        <v>0.06236454997038689</v>
      </c>
      <c r="H57" s="7" t="n">
        <v>100</v>
      </c>
      <c r="I57" s="7" t="n">
        <v>-100</v>
      </c>
      <c r="J57" s="7" t="n">
        <v>9823.394619645871</v>
      </c>
      <c r="K57" s="7" t="n">
        <v>10402.48552873678</v>
      </c>
      <c r="L57" s="7" t="n">
        <v>-579.0909090909099</v>
      </c>
      <c r="M57" s="6" t="n">
        <v>-0.05566851378847642</v>
      </c>
      <c r="N57" s="7" t="n">
        <v>98.99595699703508</v>
      </c>
      <c r="O57" s="7" t="n">
        <v>-98.99595699703508</v>
      </c>
      <c r="P57" s="7" t="n">
        <v>9800.599742706474</v>
      </c>
      <c r="Q57" s="7" t="n">
        <v>10390.37823374014</v>
      </c>
      <c r="R57" s="7" t="n">
        <v>-589.7784910336686</v>
      </c>
      <c r="S57" s="6" t="n">
        <v>-0.0567619847676489</v>
      </c>
      <c r="T57" s="7" t="n">
        <v>107.4133132086883</v>
      </c>
      <c r="U57" s="7" t="n">
        <v>-107.4133132086883</v>
      </c>
      <c r="V57" s="7" t="n">
        <v>6781.96940563991</v>
      </c>
      <c r="W57" s="7" t="n">
        <v>11299.68046176946</v>
      </c>
      <c r="X57" s="7" t="n">
        <v>-4517.711056129549</v>
      </c>
      <c r="Y57" s="6" t="n">
        <v>-0.3998087442750664</v>
      </c>
      <c r="Z57" s="7" t="n">
        <v>134.1141909881716</v>
      </c>
      <c r="AA57" s="7" t="n">
        <v>-134.1141909881716</v>
      </c>
      <c r="AB57" s="7" t="n">
        <v>4166.860996096613</v>
      </c>
      <c r="AC57" s="7" t="n">
        <v>12701.28273278115</v>
      </c>
      <c r="AD57" s="7" t="n">
        <v>-8534.421736684539</v>
      </c>
      <c r="AE57" s="6" t="n">
        <v>-0.6719338444972784</v>
      </c>
    </row>
    <row r="58">
      <c r="A58" s="2" t="n">
        <v>49</v>
      </c>
      <c r="B58" s="2" t="inlineStr">
        <is>
          <t>KPROP-00049</t>
        </is>
      </c>
      <c r="C58" s="3" t="n">
        <v>45851</v>
      </c>
      <c r="D58" s="2" t="inlineStr">
        <is>
          <t>Nathan Eovaldi</t>
        </is>
      </c>
      <c r="E58" s="2" t="inlineStr">
        <is>
          <t>Loss</t>
        </is>
      </c>
      <c r="F58" s="2" t="n">
        <v>-1</v>
      </c>
      <c r="G58" s="6" t="n">
        <v>0.1524599863868228</v>
      </c>
      <c r="H58" s="7" t="n">
        <v>100</v>
      </c>
      <c r="I58" s="7" t="n">
        <v>-100</v>
      </c>
      <c r="J58" s="7" t="n">
        <v>9723.394619645871</v>
      </c>
      <c r="K58" s="7" t="n">
        <v>10402.48552873678</v>
      </c>
      <c r="L58" s="7" t="n">
        <v>-679.0909090909099</v>
      </c>
      <c r="M58" s="6" t="n">
        <v>-0.06528160094190248</v>
      </c>
      <c r="N58" s="7" t="n">
        <v>98.00599742706474</v>
      </c>
      <c r="O58" s="7" t="n">
        <v>-98.00599742706474</v>
      </c>
      <c r="P58" s="7" t="n">
        <v>9702.59374527941</v>
      </c>
      <c r="Q58" s="7" t="n">
        <v>10390.37823374014</v>
      </c>
      <c r="R58" s="7" t="n">
        <v>-687.784488460733</v>
      </c>
      <c r="S58" s="6" t="n">
        <v>-0.06619436491997237</v>
      </c>
      <c r="T58" s="7" t="n">
        <v>258.4947408149274</v>
      </c>
      <c r="U58" s="7" t="n">
        <v>-258.4947408149274</v>
      </c>
      <c r="V58" s="7" t="n">
        <v>6523.474664824983</v>
      </c>
      <c r="W58" s="7" t="n">
        <v>11299.68046176946</v>
      </c>
      <c r="X58" s="7" t="n">
        <v>-4776.205796944477</v>
      </c>
      <c r="Y58" s="6" t="n">
        <v>-0.4226850319443947</v>
      </c>
      <c r="Z58" s="7" t="n">
        <v>317.6397853703364</v>
      </c>
      <c r="AA58" s="7" t="n">
        <v>-317.6397853703364</v>
      </c>
      <c r="AB58" s="7" t="n">
        <v>3849.221210726277</v>
      </c>
      <c r="AC58" s="7" t="n">
        <v>12701.28273278115</v>
      </c>
      <c r="AD58" s="7" t="n">
        <v>-8852.061522054875</v>
      </c>
      <c r="AE58" s="6" t="n">
        <v>-0.6969423252982396</v>
      </c>
    </row>
    <row r="59">
      <c r="A59" s="2" t="n">
        <v>50</v>
      </c>
      <c r="B59" s="2" t="inlineStr">
        <is>
          <t>KPROP-00050</t>
        </is>
      </c>
      <c r="C59" s="3" t="n">
        <v>45851</v>
      </c>
      <c r="D59" s="2" t="inlineStr">
        <is>
          <t>Nathan Eovaldi</t>
        </is>
      </c>
      <c r="E59" s="2" t="inlineStr">
        <is>
          <t>Loss</t>
        </is>
      </c>
      <c r="F59" s="2" t="n">
        <v>-1</v>
      </c>
      <c r="G59" s="6" t="n">
        <v>0.2013623539853558</v>
      </c>
      <c r="H59" s="7" t="n">
        <v>100</v>
      </c>
      <c r="I59" s="7" t="n">
        <v>-100</v>
      </c>
      <c r="J59" s="7" t="n">
        <v>9623.394619645871</v>
      </c>
      <c r="K59" s="7" t="n">
        <v>10402.48552873678</v>
      </c>
      <c r="L59" s="7" t="n">
        <v>-779.0909090909099</v>
      </c>
      <c r="M59" s="6" t="n">
        <v>-0.07489468809532854</v>
      </c>
      <c r="N59" s="7" t="n">
        <v>97.0259374527941</v>
      </c>
      <c r="O59" s="7" t="n">
        <v>-97.0259374527941</v>
      </c>
      <c r="P59" s="7" t="n">
        <v>9605.567807826616</v>
      </c>
      <c r="Q59" s="7" t="n">
        <v>10390.37823374014</v>
      </c>
      <c r="R59" s="7" t="n">
        <v>-784.8104259135271</v>
      </c>
      <c r="S59" s="6" t="n">
        <v>-0.07553242127077264</v>
      </c>
      <c r="T59" s="7" t="n">
        <v>328.3955536682471</v>
      </c>
      <c r="U59" s="7" t="n">
        <v>-328.3955536682471</v>
      </c>
      <c r="V59" s="7" t="n">
        <v>6195.079111156736</v>
      </c>
      <c r="W59" s="7" t="n">
        <v>11299.68046176946</v>
      </c>
      <c r="X59" s="7" t="n">
        <v>-5104.601350612724</v>
      </c>
      <c r="Y59" s="6" t="n">
        <v>-0.451747407184059</v>
      </c>
      <c r="Z59" s="7" t="n">
        <v>387.5441220011022</v>
      </c>
      <c r="AA59" s="7" t="n">
        <v>-387.5441220011022</v>
      </c>
      <c r="AB59" s="7" t="n">
        <v>3461.677088725175</v>
      </c>
      <c r="AC59" s="7" t="n">
        <v>12701.28273278115</v>
      </c>
      <c r="AD59" s="7" t="n">
        <v>-9239.605644055977</v>
      </c>
      <c r="AE59" s="6" t="n">
        <v>-0.7274545286838769</v>
      </c>
    </row>
    <row r="60">
      <c r="A60" s="2" t="n">
        <v>51</v>
      </c>
      <c r="B60" s="2" t="inlineStr">
        <is>
          <t>KPROP-00051</t>
        </is>
      </c>
      <c r="C60" s="3" t="n">
        <v>45851</v>
      </c>
      <c r="D60" s="2" t="inlineStr">
        <is>
          <t>Shota Imanaga</t>
        </is>
      </c>
      <c r="E60" s="2" t="inlineStr">
        <is>
          <t>Loss</t>
        </is>
      </c>
      <c r="F60" s="2" t="n">
        <v>-1</v>
      </c>
      <c r="G60" s="6" t="n">
        <v>0.06076911400741639</v>
      </c>
      <c r="H60" s="7" t="n">
        <v>100</v>
      </c>
      <c r="I60" s="7" t="n">
        <v>-100</v>
      </c>
      <c r="J60" s="7" t="n">
        <v>9523.394619645871</v>
      </c>
      <c r="K60" s="7" t="n">
        <v>10402.48552873678</v>
      </c>
      <c r="L60" s="7" t="n">
        <v>-879.0909090909099</v>
      </c>
      <c r="M60" s="6" t="n">
        <v>-0.08450777524875459</v>
      </c>
      <c r="N60" s="7" t="n">
        <v>96.05567807826615</v>
      </c>
      <c r="O60" s="7" t="n">
        <v>-96.05567807826615</v>
      </c>
      <c r="P60" s="7" t="n">
        <v>9509.512129748349</v>
      </c>
      <c r="Q60" s="7" t="n">
        <v>10390.37823374014</v>
      </c>
      <c r="R60" s="7" t="n">
        <v>-880.8661039917934</v>
      </c>
      <c r="S60" s="6" t="n">
        <v>-0.08477709705806494</v>
      </c>
      <c r="T60" s="7" t="n">
        <v>94.11736719771187</v>
      </c>
      <c r="U60" s="7" t="n">
        <v>-94.11736719771187</v>
      </c>
      <c r="V60" s="7" t="n">
        <v>6100.961743959024</v>
      </c>
      <c r="W60" s="7" t="n">
        <v>11299.68046176946</v>
      </c>
      <c r="X60" s="7" t="n">
        <v>-5198.718717810436</v>
      </c>
      <c r="Y60" s="6" t="n">
        <v>-0.4600766132634824</v>
      </c>
      <c r="Z60" s="7" t="n">
        <v>105.1815248308007</v>
      </c>
      <c r="AA60" s="7" t="n">
        <v>-105.1815248308007</v>
      </c>
      <c r="AB60" s="7" t="n">
        <v>3356.495563894374</v>
      </c>
      <c r="AC60" s="7" t="n">
        <v>12701.28273278115</v>
      </c>
      <c r="AD60" s="7" t="n">
        <v>-9344.787168886778</v>
      </c>
      <c r="AE60" s="6" t="n">
        <v>-0.7357357020931842</v>
      </c>
    </row>
    <row r="61">
      <c r="A61" s="2" t="n">
        <v>52</v>
      </c>
      <c r="B61" s="2" t="inlineStr">
        <is>
          <t>KPROP-00052</t>
        </is>
      </c>
      <c r="C61" s="3" t="n">
        <v>45851</v>
      </c>
      <c r="D61" s="2" t="inlineStr">
        <is>
          <t>Yoshinobu Yamamoto</t>
        </is>
      </c>
      <c r="E61" s="2" t="inlineStr">
        <is>
          <t>Loss</t>
        </is>
      </c>
      <c r="F61" s="2" t="n">
        <v>-1</v>
      </c>
      <c r="G61" s="6" t="n">
        <v>0.2000539466828687</v>
      </c>
      <c r="H61" s="7" t="n">
        <v>100</v>
      </c>
      <c r="I61" s="7" t="n">
        <v>-100</v>
      </c>
      <c r="J61" s="7" t="n">
        <v>9423.394619645871</v>
      </c>
      <c r="K61" s="7" t="n">
        <v>10402.48552873678</v>
      </c>
      <c r="L61" s="7" t="n">
        <v>-979.0909090909099</v>
      </c>
      <c r="M61" s="6" t="n">
        <v>-0.09412086240218065</v>
      </c>
      <c r="N61" s="7" t="n">
        <v>95.09512129748349</v>
      </c>
      <c r="O61" s="7" t="n">
        <v>-95.09512129748349</v>
      </c>
      <c r="P61" s="7" t="n">
        <v>9414.417008450866</v>
      </c>
      <c r="Q61" s="7" t="n">
        <v>10390.37823374014</v>
      </c>
      <c r="R61" s="7" t="n">
        <v>-975.9612252892766</v>
      </c>
      <c r="S61" s="6" t="n">
        <v>-0.09392932608748426</v>
      </c>
      <c r="T61" s="7" t="n">
        <v>305.1303688600501</v>
      </c>
      <c r="U61" s="7" t="n">
        <v>-305.1303688600501</v>
      </c>
      <c r="V61" s="7" t="n">
        <v>5795.831375098974</v>
      </c>
      <c r="W61" s="7" t="n">
        <v>11299.68046176946</v>
      </c>
      <c r="X61" s="7" t="n">
        <v>-5503.849086670486</v>
      </c>
      <c r="Y61" s="6" t="n">
        <v>-0.4870800643692377</v>
      </c>
      <c r="Z61" s="7" t="n">
        <v>335.7400922903051</v>
      </c>
      <c r="AA61" s="7" t="n">
        <v>-335.7400922903051</v>
      </c>
      <c r="AB61" s="7" t="n">
        <v>3020.755471604069</v>
      </c>
      <c r="AC61" s="7" t="n">
        <v>12701.28273278115</v>
      </c>
      <c r="AD61" s="7" t="n">
        <v>-9680.527261177083</v>
      </c>
      <c r="AE61" s="6" t="n">
        <v>-0.7621692599750022</v>
      </c>
    </row>
    <row r="62">
      <c r="A62" s="2" t="n">
        <v>53</v>
      </c>
      <c r="B62" s="2" t="inlineStr">
        <is>
          <t>KPROP-00053</t>
        </is>
      </c>
      <c r="C62" s="3" t="n">
        <v>45856</v>
      </c>
      <c r="D62" s="2" t="inlineStr">
        <is>
          <t>Chris Bassitt</t>
        </is>
      </c>
      <c r="E62" s="2" t="inlineStr">
        <is>
          <t>Loss</t>
        </is>
      </c>
      <c r="F62" s="2" t="n">
        <v>-1</v>
      </c>
      <c r="G62" s="6" t="n">
        <v>0.09134562910332544</v>
      </c>
      <c r="H62" s="7" t="n">
        <v>100</v>
      </c>
      <c r="I62" s="7" t="n">
        <v>-100</v>
      </c>
      <c r="J62" s="7" t="n">
        <v>9323.394619645871</v>
      </c>
      <c r="K62" s="7" t="n">
        <v>10402.48552873678</v>
      </c>
      <c r="L62" s="7" t="n">
        <v>-1079.09090909091</v>
      </c>
      <c r="M62" s="6" t="n">
        <v>-0.1037339495556067</v>
      </c>
      <c r="N62" s="7" t="n">
        <v>94.14417008450866</v>
      </c>
      <c r="O62" s="7" t="n">
        <v>-94.14417008450866</v>
      </c>
      <c r="P62" s="7" t="n">
        <v>9320.272838366358</v>
      </c>
      <c r="Q62" s="7" t="n">
        <v>10390.37823374014</v>
      </c>
      <c r="R62" s="7" t="n">
        <v>-1070.105395373785</v>
      </c>
      <c r="S62" s="6" t="n">
        <v>-0.1029900328266094</v>
      </c>
      <c r="T62" s="7" t="n">
        <v>132.3559657838019</v>
      </c>
      <c r="U62" s="7" t="n">
        <v>-132.3559657838019</v>
      </c>
      <c r="V62" s="7" t="n">
        <v>5663.475409315171</v>
      </c>
      <c r="W62" s="7" t="n">
        <v>11299.68046176946</v>
      </c>
      <c r="X62" s="7" t="n">
        <v>-5636.205052454288</v>
      </c>
      <c r="Y62" s="6" t="n">
        <v>-0.498793312919195</v>
      </c>
      <c r="Z62" s="7" t="n">
        <v>137.9664044604931</v>
      </c>
      <c r="AA62" s="7" t="n">
        <v>-137.9664044604931</v>
      </c>
      <c r="AB62" s="7" t="n">
        <v>2882.789067143575</v>
      </c>
      <c r="AC62" s="7" t="n">
        <v>12701.28273278115</v>
      </c>
      <c r="AD62" s="7" t="n">
        <v>-9818.493665637576</v>
      </c>
      <c r="AE62" s="6" t="n">
        <v>-0.7730316592588485</v>
      </c>
    </row>
    <row r="63">
      <c r="A63" s="2" t="n">
        <v>54</v>
      </c>
      <c r="B63" s="2" t="inlineStr">
        <is>
          <t>KPROP-00054</t>
        </is>
      </c>
      <c r="C63" s="3" t="n">
        <v>45856</v>
      </c>
      <c r="D63" s="2" t="inlineStr">
        <is>
          <t>Chris Bassitt</t>
        </is>
      </c>
      <c r="E63" s="2" t="inlineStr">
        <is>
          <t>Win</t>
        </is>
      </c>
      <c r="F63" s="2" t="n">
        <v>0.78125</v>
      </c>
      <c r="G63" s="6" t="n">
        <v>0.1904396928599063</v>
      </c>
      <c r="H63" s="7" t="n">
        <v>100</v>
      </c>
      <c r="I63" s="7" t="n">
        <v>78.125</v>
      </c>
      <c r="J63" s="7" t="n">
        <v>9401.519619645871</v>
      </c>
      <c r="K63" s="7" t="n">
        <v>10402.48552873678</v>
      </c>
      <c r="L63" s="7" t="n">
        <v>-1000.96590909091</v>
      </c>
      <c r="M63" s="6" t="n">
        <v>-0.09622372521699259</v>
      </c>
      <c r="N63" s="7" t="n">
        <v>93.20272838366358</v>
      </c>
      <c r="O63" s="7" t="n">
        <v>72.81463154973717</v>
      </c>
      <c r="P63" s="7" t="n">
        <v>9393.087469916096</v>
      </c>
      <c r="Q63" s="7" t="n">
        <v>10390.37823374014</v>
      </c>
      <c r="R63" s="7" t="n">
        <v>-997.2907638240467</v>
      </c>
      <c r="S63" s="6" t="n">
        <v>-0.09598214245806717</v>
      </c>
      <c r="T63" s="7" t="n">
        <v>269.6376293674033</v>
      </c>
      <c r="U63" s="7" t="n">
        <v>210.6543979432838</v>
      </c>
      <c r="V63" s="7" t="n">
        <v>5874.129807258455</v>
      </c>
      <c r="W63" s="7" t="n">
        <v>11299.68046176946</v>
      </c>
      <c r="X63" s="7" t="n">
        <v>-5425.550654511005</v>
      </c>
      <c r="Y63" s="6" t="n">
        <v>-0.4801508036326717</v>
      </c>
      <c r="Z63" s="7" t="n">
        <v>274.4987322633591</v>
      </c>
      <c r="AA63" s="7" t="n">
        <v>214.4521345807493</v>
      </c>
      <c r="AB63" s="7" t="n">
        <v>3097.241201724325</v>
      </c>
      <c r="AC63" s="7" t="n">
        <v>12701.28273278115</v>
      </c>
      <c r="AD63" s="7" t="n">
        <v>-9604.041531056828</v>
      </c>
      <c r="AE63" s="6" t="n">
        <v>-0.7561473697667911</v>
      </c>
    </row>
    <row r="64">
      <c r="A64" s="2" t="n">
        <v>55</v>
      </c>
      <c r="B64" s="2" t="inlineStr">
        <is>
          <t>KPROP-00055</t>
        </is>
      </c>
      <c r="C64" s="3" t="n">
        <v>45856</v>
      </c>
      <c r="D64" s="2" t="inlineStr">
        <is>
          <t>Seth Lugo</t>
        </is>
      </c>
      <c r="E64" s="2" t="inlineStr">
        <is>
          <t>Loss</t>
        </is>
      </c>
      <c r="F64" s="2" t="n">
        <v>-1</v>
      </c>
      <c r="G64" s="6" t="n">
        <v>0.1437241647519136</v>
      </c>
      <c r="H64" s="7" t="n">
        <v>100</v>
      </c>
      <c r="I64" s="7" t="n">
        <v>-100</v>
      </c>
      <c r="J64" s="7" t="n">
        <v>9301.519619645871</v>
      </c>
      <c r="K64" s="7" t="n">
        <v>10402.48552873678</v>
      </c>
      <c r="L64" s="7" t="n">
        <v>-1100.96590909091</v>
      </c>
      <c r="M64" s="6" t="n">
        <v>-0.1058368123704186</v>
      </c>
      <c r="N64" s="7" t="n">
        <v>93.93087469916097</v>
      </c>
      <c r="O64" s="7" t="n">
        <v>-93.93087469916097</v>
      </c>
      <c r="P64" s="7" t="n">
        <v>9299.156595216935</v>
      </c>
      <c r="Q64" s="7" t="n">
        <v>10390.37823374014</v>
      </c>
      <c r="R64" s="7" t="n">
        <v>-1091.221638523208</v>
      </c>
      <c r="S64" s="6" t="n">
        <v>-0.1050223210334865</v>
      </c>
      <c r="T64" s="7" t="n">
        <v>211.0636000481352</v>
      </c>
      <c r="U64" s="7" t="n">
        <v>-211.0636000481352</v>
      </c>
      <c r="V64" s="7" t="n">
        <v>5663.06620721032</v>
      </c>
      <c r="W64" s="7" t="n">
        <v>11299.68046176946</v>
      </c>
      <c r="X64" s="7" t="n">
        <v>-5636.61425455914</v>
      </c>
      <c r="Y64" s="6" t="n">
        <v>-0.4988295265188836</v>
      </c>
      <c r="Z64" s="7" t="n">
        <v>222.5742023765208</v>
      </c>
      <c r="AA64" s="7" t="n">
        <v>-222.5742023765208</v>
      </c>
      <c r="AB64" s="7" t="n">
        <v>2874.666999347804</v>
      </c>
      <c r="AC64" s="7" t="n">
        <v>12701.28273278115</v>
      </c>
      <c r="AD64" s="7" t="n">
        <v>-9826.615733433347</v>
      </c>
      <c r="AE64" s="6" t="n">
        <v>-0.7736711275682036</v>
      </c>
    </row>
    <row r="65">
      <c r="A65" s="2" t="n">
        <v>56</v>
      </c>
      <c r="B65" s="2" t="inlineStr">
        <is>
          <t>KPROP-00056</t>
        </is>
      </c>
      <c r="C65" s="3" t="n">
        <v>45857</v>
      </c>
      <c r="D65" s="2" t="inlineStr">
        <is>
          <t>Clay Holmes</t>
        </is>
      </c>
      <c r="E65" s="2" t="inlineStr">
        <is>
          <t>Win</t>
        </is>
      </c>
      <c r="F65" s="2" t="n">
        <v>1.15</v>
      </c>
      <c r="G65" s="6" t="n">
        <v>0.1540427037741161</v>
      </c>
      <c r="H65" s="7" t="n">
        <v>100</v>
      </c>
      <c r="I65" s="7" t="n">
        <v>115</v>
      </c>
      <c r="J65" s="7" t="n">
        <v>9416.519619645871</v>
      </c>
      <c r="K65" s="7" t="n">
        <v>10402.48552873678</v>
      </c>
      <c r="L65" s="7" t="n">
        <v>-985.9659090909099</v>
      </c>
      <c r="M65" s="6" t="n">
        <v>-0.09478176214397868</v>
      </c>
      <c r="N65" s="7" t="n">
        <v>92.99156595216935</v>
      </c>
      <c r="O65" s="7" t="n">
        <v>106.9403008449948</v>
      </c>
      <c r="P65" s="7" t="n">
        <v>9406.09689606193</v>
      </c>
      <c r="Q65" s="7" t="n">
        <v>10390.37823374014</v>
      </c>
      <c r="R65" s="7" t="n">
        <v>-984.2813376782124</v>
      </c>
      <c r="S65" s="6" t="n">
        <v>-0.09473007772537154</v>
      </c>
      <c r="T65" s="7" t="n">
        <v>218.0885075526267</v>
      </c>
      <c r="U65" s="7" t="n">
        <v>250.8017836855206</v>
      </c>
      <c r="V65" s="7" t="n">
        <v>5913.86799089584</v>
      </c>
      <c r="W65" s="7" t="n">
        <v>11299.68046176946</v>
      </c>
      <c r="X65" s="7" t="n">
        <v>-5385.81247087362</v>
      </c>
      <c r="Y65" s="6" t="n">
        <v>-0.4766340507676829</v>
      </c>
      <c r="Z65" s="7" t="n">
        <v>221.4107385148805</v>
      </c>
      <c r="AA65" s="7" t="n">
        <v>254.6223492921126</v>
      </c>
      <c r="AB65" s="7" t="n">
        <v>3129.289348639916</v>
      </c>
      <c r="AC65" s="7" t="n">
        <v>12701.28273278115</v>
      </c>
      <c r="AD65" s="7" t="n">
        <v>-9571.993384141235</v>
      </c>
      <c r="AE65" s="6" t="n">
        <v>-0.7536241484835675</v>
      </c>
    </row>
    <row r="66">
      <c r="A66" s="2" t="n">
        <v>57</v>
      </c>
      <c r="B66" s="2" t="inlineStr">
        <is>
          <t>KPROP-00057</t>
        </is>
      </c>
      <c r="C66" s="3" t="n">
        <v>45857</v>
      </c>
      <c r="D66" s="2" t="inlineStr">
        <is>
          <t>Keider Montero</t>
        </is>
      </c>
      <c r="E66" s="2" t="inlineStr">
        <is>
          <t>Loss</t>
        </is>
      </c>
      <c r="F66" s="2" t="n">
        <v>-1</v>
      </c>
      <c r="G66" s="6" t="n">
        <v>0.1056483578241811</v>
      </c>
      <c r="H66" s="7" t="n">
        <v>100</v>
      </c>
      <c r="I66" s="7" t="n">
        <v>-100</v>
      </c>
      <c r="J66" s="7" t="n">
        <v>9316.519619645871</v>
      </c>
      <c r="K66" s="7" t="n">
        <v>10402.48552873678</v>
      </c>
      <c r="L66" s="7" t="n">
        <v>-1085.96590909091</v>
      </c>
      <c r="M66" s="6" t="n">
        <v>-0.1043948492974047</v>
      </c>
      <c r="N66" s="7" t="n">
        <v>94.06096896061931</v>
      </c>
      <c r="O66" s="7" t="n">
        <v>-94.06096896061931</v>
      </c>
      <c r="P66" s="7" t="n">
        <v>9312.035927101311</v>
      </c>
      <c r="Q66" s="7" t="n">
        <v>10390.37823374014</v>
      </c>
      <c r="R66" s="7" t="n">
        <v>-1078.342306638831</v>
      </c>
      <c r="S66" s="6" t="n">
        <v>-0.1037827769481178</v>
      </c>
      <c r="T66" s="7" t="n">
        <v>156.1976104067837</v>
      </c>
      <c r="U66" s="7" t="n">
        <v>-156.1976104067837</v>
      </c>
      <c r="V66" s="7" t="n">
        <v>5757.670380489057</v>
      </c>
      <c r="W66" s="7" t="n">
        <v>11299.68046176946</v>
      </c>
      <c r="X66" s="7" t="n">
        <v>-5542.010081280403</v>
      </c>
      <c r="Y66" s="6" t="n">
        <v>-0.4904572390370549</v>
      </c>
      <c r="Z66" s="7" t="n">
        <v>165.3021404202543</v>
      </c>
      <c r="AA66" s="7" t="n">
        <v>-165.3021404202543</v>
      </c>
      <c r="AB66" s="7" t="n">
        <v>2963.987208219662</v>
      </c>
      <c r="AC66" s="7" t="n">
        <v>12701.28273278115</v>
      </c>
      <c r="AD66" s="7" t="n">
        <v>-9737.29552456149</v>
      </c>
      <c r="AE66" s="6" t="n">
        <v>-0.7666387505436902</v>
      </c>
    </row>
    <row r="67">
      <c r="A67" s="2" t="n">
        <v>58</v>
      </c>
      <c r="B67" s="2" t="inlineStr">
        <is>
          <t>KPROP-00058</t>
        </is>
      </c>
      <c r="C67" s="3" t="n">
        <v>45857</v>
      </c>
      <c r="D67" s="2" t="inlineStr">
        <is>
          <t>Shota Imanaga</t>
        </is>
      </c>
      <c r="E67" s="2" t="inlineStr">
        <is>
          <t>Win</t>
        </is>
      </c>
      <c r="F67" s="2" t="n">
        <v>0.7407407407407407</v>
      </c>
      <c r="G67" s="6" t="n">
        <v>0.3404942462043387</v>
      </c>
      <c r="H67" s="7" t="n">
        <v>100</v>
      </c>
      <c r="I67" s="7" t="n">
        <v>74.07407407407408</v>
      </c>
      <c r="J67" s="7" t="n">
        <v>9390.593693719946</v>
      </c>
      <c r="K67" s="7" t="n">
        <v>10402.48552873678</v>
      </c>
      <c r="L67" s="7" t="n">
        <v>-1011.891835016835</v>
      </c>
      <c r="M67" s="6" t="n">
        <v>-0.09727404399857055</v>
      </c>
      <c r="N67" s="7" t="n">
        <v>93.12035927101311</v>
      </c>
      <c r="O67" s="7" t="n">
        <v>68.97804390445415</v>
      </c>
      <c r="P67" s="7" t="n">
        <v>9381.013971005765</v>
      </c>
      <c r="Q67" s="7" t="n">
        <v>10390.37823374014</v>
      </c>
      <c r="R67" s="7" t="n">
        <v>-1009.364262734378</v>
      </c>
      <c r="S67" s="6" t="n">
        <v>-0.09714413085143725</v>
      </c>
      <c r="T67" s="7" t="n">
        <v>490.1134090244174</v>
      </c>
      <c r="U67" s="7" t="n">
        <v>363.0469696477165</v>
      </c>
      <c r="V67" s="7" t="n">
        <v>6120.717350136773</v>
      </c>
      <c r="W67" s="7" t="n">
        <v>11299.68046176946</v>
      </c>
      <c r="X67" s="7" t="n">
        <v>-5178.963111632686</v>
      </c>
      <c r="Y67" s="6" t="n">
        <v>-0.4583282800920632</v>
      </c>
      <c r="Z67" s="7" t="n">
        <v>504.6102951110281</v>
      </c>
      <c r="AA67" s="7" t="n">
        <v>373.7854037859467</v>
      </c>
      <c r="AB67" s="7" t="n">
        <v>3337.772612005609</v>
      </c>
      <c r="AC67" s="7" t="n">
        <v>12701.28273278115</v>
      </c>
      <c r="AD67" s="7" t="n">
        <v>-9363.510120775543</v>
      </c>
      <c r="AE67" s="6" t="n">
        <v>-0.7372098013855685</v>
      </c>
    </row>
    <row r="68">
      <c r="A68" s="2" t="n">
        <v>59</v>
      </c>
      <c r="B68" s="2" t="inlineStr">
        <is>
          <t>KPROP-00059</t>
        </is>
      </c>
      <c r="C68" s="3" t="n">
        <v>45857</v>
      </c>
      <c r="D68" s="2" t="inlineStr">
        <is>
          <t>Sonny Gray</t>
        </is>
      </c>
      <c r="E68" s="2" t="inlineStr">
        <is>
          <t>Win</t>
        </is>
      </c>
      <c r="F68" s="2" t="n">
        <v>1.1</v>
      </c>
      <c r="G68" s="6" t="n">
        <v>0.2055684976543808</v>
      </c>
      <c r="H68" s="7" t="n">
        <v>100</v>
      </c>
      <c r="I68" s="7" t="n">
        <v>110</v>
      </c>
      <c r="J68" s="7" t="n">
        <v>9500.593693719946</v>
      </c>
      <c r="K68" s="7" t="n">
        <v>10402.48552873678</v>
      </c>
      <c r="L68" s="7" t="n">
        <v>-901.8918350168351</v>
      </c>
      <c r="M68" s="6" t="n">
        <v>-0.0866996481298019</v>
      </c>
      <c r="N68" s="7" t="n">
        <v>93.81013971005765</v>
      </c>
      <c r="O68" s="7" t="n">
        <v>103.1911536810634</v>
      </c>
      <c r="P68" s="7" t="n">
        <v>9484.205124686829</v>
      </c>
      <c r="Q68" s="7" t="n">
        <v>10390.37823374014</v>
      </c>
      <c r="R68" s="7" t="n">
        <v>-906.173109053314</v>
      </c>
      <c r="S68" s="6" t="n">
        <v>-0.08721271629080302</v>
      </c>
      <c r="T68" s="7" t="n">
        <v>314.5566675586799</v>
      </c>
      <c r="U68" s="7" t="n">
        <v>346.0123343145479</v>
      </c>
      <c r="V68" s="7" t="n">
        <v>6466.729684451321</v>
      </c>
      <c r="W68" s="7" t="n">
        <v>11299.68046176946</v>
      </c>
      <c r="X68" s="7" t="n">
        <v>-4832.950777318139</v>
      </c>
      <c r="Y68" s="6" t="n">
        <v>-0.4277068536291449</v>
      </c>
      <c r="Z68" s="7" t="n">
        <v>343.0704506809658</v>
      </c>
      <c r="AA68" s="7" t="n">
        <v>377.3774957490624</v>
      </c>
      <c r="AB68" s="7" t="n">
        <v>3715.150107754671</v>
      </c>
      <c r="AC68" s="7" t="n">
        <v>12701.28273278115</v>
      </c>
      <c r="AD68" s="7" t="n">
        <v>-8986.132625026481</v>
      </c>
      <c r="AE68" s="6" t="n">
        <v>-0.7074980389054627</v>
      </c>
    </row>
    <row r="69">
      <c r="A69" s="2" t="n">
        <v>60</v>
      </c>
      <c r="B69" s="2" t="inlineStr">
        <is>
          <t>KPROP-00060</t>
        </is>
      </c>
      <c r="C69" s="3" t="n">
        <v>45857</v>
      </c>
      <c r="D69" s="2" t="inlineStr">
        <is>
          <t>Will Warren</t>
        </is>
      </c>
      <c r="E69" s="2" t="inlineStr">
        <is>
          <t>Loss</t>
        </is>
      </c>
      <c r="F69" s="2" t="n">
        <v>-1</v>
      </c>
      <c r="G69" s="6" t="n">
        <v>0.06082381706570646</v>
      </c>
      <c r="H69" s="7" t="n">
        <v>100</v>
      </c>
      <c r="I69" s="7" t="n">
        <v>-100</v>
      </c>
      <c r="J69" s="7" t="n">
        <v>9400.593693719946</v>
      </c>
      <c r="K69" s="7" t="n">
        <v>10402.48552873678</v>
      </c>
      <c r="L69" s="7" t="n">
        <v>-1001.891835016835</v>
      </c>
      <c r="M69" s="6" t="n">
        <v>-0.09631273528322795</v>
      </c>
      <c r="N69" s="7" t="n">
        <v>94.84205124686829</v>
      </c>
      <c r="O69" s="7" t="n">
        <v>-94.84205124686829</v>
      </c>
      <c r="P69" s="7" t="n">
        <v>9389.363073439961</v>
      </c>
      <c r="Q69" s="7" t="n">
        <v>10390.37823374014</v>
      </c>
      <c r="R69" s="7" t="n">
        <v>-1001.015160300181</v>
      </c>
      <c r="S69" s="6" t="n">
        <v>-0.09634058912789489</v>
      </c>
      <c r="T69" s="7" t="n">
        <v>98.3327958351102</v>
      </c>
      <c r="U69" s="7" t="n">
        <v>-98.3327958351102</v>
      </c>
      <c r="V69" s="7" t="n">
        <v>6368.396888616211</v>
      </c>
      <c r="W69" s="7" t="n">
        <v>11299.68046176946</v>
      </c>
      <c r="X69" s="7" t="n">
        <v>-4931.283573153249</v>
      </c>
      <c r="Y69" s="6" t="n">
        <v>-0.4364091170398495</v>
      </c>
      <c r="Z69" s="7" t="n">
        <v>112.9848052628549</v>
      </c>
      <c r="AA69" s="7" t="n">
        <v>-112.9848052628549</v>
      </c>
      <c r="AB69" s="7" t="n">
        <v>3602.165302491816</v>
      </c>
      <c r="AC69" s="7" t="n">
        <v>12701.28273278115</v>
      </c>
      <c r="AD69" s="7" t="n">
        <v>-9099.117430289336</v>
      </c>
      <c r="AE69" s="6" t="n">
        <v>-0.71639358179195</v>
      </c>
    </row>
    <row r="70">
      <c r="A70" s="2" t="n">
        <v>61</v>
      </c>
      <c r="B70" s="2" t="inlineStr">
        <is>
          <t>KPROP-00061</t>
        </is>
      </c>
      <c r="C70" s="3" t="n">
        <v>45857</v>
      </c>
      <c r="D70" s="2" t="inlineStr">
        <is>
          <t>Yu Darvish</t>
        </is>
      </c>
      <c r="E70" s="2" t="inlineStr">
        <is>
          <t>Win</t>
        </is>
      </c>
      <c r="F70" s="2" t="n">
        <v>1.05</v>
      </c>
      <c r="G70" s="6" t="n">
        <v>0.1302106133271247</v>
      </c>
      <c r="H70" s="7" t="n">
        <v>100</v>
      </c>
      <c r="I70" s="7" t="n">
        <v>105</v>
      </c>
      <c r="J70" s="7" t="n">
        <v>9505.593693719946</v>
      </c>
      <c r="K70" s="7" t="n">
        <v>10402.48552873678</v>
      </c>
      <c r="L70" s="7" t="n">
        <v>-896.8918350168351</v>
      </c>
      <c r="M70" s="6" t="n">
        <v>-0.08621899377213059</v>
      </c>
      <c r="N70" s="7" t="n">
        <v>93.89363073439961</v>
      </c>
      <c r="O70" s="7" t="n">
        <v>98.58831227111958</v>
      </c>
      <c r="P70" s="7" t="n">
        <v>9487.951385711081</v>
      </c>
      <c r="Q70" s="7" t="n">
        <v>10390.37823374014</v>
      </c>
      <c r="R70" s="7" t="n">
        <v>-902.4268480290611</v>
      </c>
      <c r="S70" s="6" t="n">
        <v>-0.08685216531373774</v>
      </c>
      <c r="T70" s="7" t="n">
        <v>207.3082161943174</v>
      </c>
      <c r="U70" s="7" t="n">
        <v>217.6736270040332</v>
      </c>
      <c r="V70" s="7" t="n">
        <v>6586.070515620244</v>
      </c>
      <c r="W70" s="7" t="n">
        <v>11299.68046176946</v>
      </c>
      <c r="X70" s="7" t="n">
        <v>-4713.609946149216</v>
      </c>
      <c r="Y70" s="6" t="n">
        <v>-0.4171454194741976</v>
      </c>
      <c r="Z70" s="7" t="n">
        <v>234.5200766715735</v>
      </c>
      <c r="AA70" s="7" t="n">
        <v>246.2460805051521</v>
      </c>
      <c r="AB70" s="7" t="n">
        <v>3848.411382996968</v>
      </c>
      <c r="AC70" s="7" t="n">
        <v>12701.28273278115</v>
      </c>
      <c r="AD70" s="7" t="n">
        <v>-8852.871349784184</v>
      </c>
      <c r="AE70" s="6" t="n">
        <v>-0.6970060848213009</v>
      </c>
    </row>
    <row r="71">
      <c r="A71" s="2" t="n">
        <v>62</v>
      </c>
      <c r="B71" s="2" t="inlineStr">
        <is>
          <t>KPROP-00062</t>
        </is>
      </c>
      <c r="C71" s="3" t="n">
        <v>45858</v>
      </c>
      <c r="D71" s="2" t="inlineStr">
        <is>
          <t>Garrett Crochet</t>
        </is>
      </c>
      <c r="E71" s="2" t="inlineStr">
        <is>
          <t>Win</t>
        </is>
      </c>
      <c r="F71" s="2" t="n">
        <v>1.2</v>
      </c>
      <c r="G71" s="6" t="n">
        <v>0.09607948859830127</v>
      </c>
      <c r="H71" s="7" t="n">
        <v>100</v>
      </c>
      <c r="I71" s="7" t="n">
        <v>120</v>
      </c>
      <c r="J71" s="7" t="n">
        <v>9625.593693719946</v>
      </c>
      <c r="K71" s="7" t="n">
        <v>10402.48552873678</v>
      </c>
      <c r="L71" s="7" t="n">
        <v>-776.8918350168351</v>
      </c>
      <c r="M71" s="6" t="n">
        <v>-0.07468328918801932</v>
      </c>
      <c r="N71" s="7" t="n">
        <v>94.87951385711082</v>
      </c>
      <c r="O71" s="7" t="n">
        <v>113.855416628533</v>
      </c>
      <c r="P71" s="7" t="n">
        <v>9601.806802339614</v>
      </c>
      <c r="Q71" s="7" t="n">
        <v>10390.37823374014</v>
      </c>
      <c r="R71" s="7" t="n">
        <v>-788.571431400529</v>
      </c>
      <c r="S71" s="6" t="n">
        <v>-0.07589439129750267</v>
      </c>
      <c r="T71" s="7" t="n">
        <v>158.1965717532859</v>
      </c>
      <c r="U71" s="7" t="n">
        <v>189.8358861039431</v>
      </c>
      <c r="V71" s="7" t="n">
        <v>6775.906401724187</v>
      </c>
      <c r="W71" s="7" t="n">
        <v>11299.68046176946</v>
      </c>
      <c r="X71" s="7" t="n">
        <v>-4523.774060045273</v>
      </c>
      <c r="Y71" s="6" t="n">
        <v>-0.4003453084669686</v>
      </c>
      <c r="Z71" s="7" t="n">
        <v>184.876698797115</v>
      </c>
      <c r="AA71" s="7" t="n">
        <v>221.8520385565381</v>
      </c>
      <c r="AB71" s="7" t="n">
        <v>4070.263421553506</v>
      </c>
      <c r="AC71" s="7" t="n">
        <v>12701.28273278115</v>
      </c>
      <c r="AD71" s="7" t="n">
        <v>-8631.019311227647</v>
      </c>
      <c r="AE71" s="6" t="n">
        <v>-0.679539184570041</v>
      </c>
    </row>
    <row r="72">
      <c r="A72" s="2" t="n">
        <v>63</v>
      </c>
      <c r="B72" s="2" t="inlineStr">
        <is>
          <t>KPROP-00063</t>
        </is>
      </c>
      <c r="C72" s="3" t="n">
        <v>45858</v>
      </c>
      <c r="D72" s="2" t="inlineStr">
        <is>
          <t>Merrill Kelly</t>
        </is>
      </c>
      <c r="E72" s="2" t="inlineStr">
        <is>
          <t>Win</t>
        </is>
      </c>
      <c r="F72" s="2" t="n">
        <v>0.78125</v>
      </c>
      <c r="G72" s="6" t="n">
        <v>0.2130959125954219</v>
      </c>
      <c r="H72" s="7" t="n">
        <v>100</v>
      </c>
      <c r="I72" s="7" t="n">
        <v>78.125</v>
      </c>
      <c r="J72" s="7" t="n">
        <v>9703.718693719946</v>
      </c>
      <c r="K72" s="7" t="n">
        <v>10402.48552873678</v>
      </c>
      <c r="L72" s="7" t="n">
        <v>-698.7668350168351</v>
      </c>
      <c r="M72" s="6" t="n">
        <v>-0.06717306484940522</v>
      </c>
      <c r="N72" s="7" t="n">
        <v>96.01806802339614</v>
      </c>
      <c r="O72" s="7" t="n">
        <v>75.01411564327823</v>
      </c>
      <c r="P72" s="7" t="n">
        <v>9676.820917982892</v>
      </c>
      <c r="Q72" s="7" t="n">
        <v>10390.37823374014</v>
      </c>
      <c r="R72" s="7" t="n">
        <v>-713.5573157572508</v>
      </c>
      <c r="S72" s="6" t="n">
        <v>-0.06867481622951441</v>
      </c>
      <c r="T72" s="7" t="n">
        <v>360.9794895841442</v>
      </c>
      <c r="U72" s="7" t="n">
        <v>282.0152262376127</v>
      </c>
      <c r="V72" s="7" t="n">
        <v>7057.921627961799</v>
      </c>
      <c r="W72" s="7" t="n">
        <v>11299.68046176946</v>
      </c>
      <c r="X72" s="7" t="n">
        <v>-4241.75883380766</v>
      </c>
      <c r="Y72" s="6" t="n">
        <v>-0.3753875030501019</v>
      </c>
      <c r="Z72" s="7" t="n">
        <v>433.6782491598544</v>
      </c>
      <c r="AA72" s="7" t="n">
        <v>338.8111321561362</v>
      </c>
      <c r="AB72" s="7" t="n">
        <v>4409.074553709643</v>
      </c>
      <c r="AC72" s="7" t="n">
        <v>12701.28273278115</v>
      </c>
      <c r="AD72" s="7" t="n">
        <v>-8292.208179071509</v>
      </c>
      <c r="AE72" s="6" t="n">
        <v>-0.6528638369469472</v>
      </c>
    </row>
    <row r="73">
      <c r="A73" s="2" t="n">
        <v>64</v>
      </c>
      <c r="B73" s="2" t="inlineStr">
        <is>
          <t>KPROP-00064</t>
        </is>
      </c>
      <c r="C73" s="3" t="n">
        <v>45858</v>
      </c>
      <c r="D73" s="2" t="inlineStr">
        <is>
          <t>Robbie Ray</t>
        </is>
      </c>
      <c r="E73" s="2" t="inlineStr">
        <is>
          <t>Win</t>
        </is>
      </c>
      <c r="F73" s="2" t="n">
        <v>1.05</v>
      </c>
      <c r="G73" s="6" t="n">
        <v>0.08592305597218745</v>
      </c>
      <c r="H73" s="7" t="n">
        <v>100</v>
      </c>
      <c r="I73" s="7" t="n">
        <v>105</v>
      </c>
      <c r="J73" s="7" t="n">
        <v>9808.718693719946</v>
      </c>
      <c r="K73" s="7" t="n">
        <v>10402.48552873678</v>
      </c>
      <c r="L73" s="7" t="n">
        <v>-593.7668350168351</v>
      </c>
      <c r="M73" s="6" t="n">
        <v>-0.05707932333830786</v>
      </c>
      <c r="N73" s="7" t="n">
        <v>96.76820917982892</v>
      </c>
      <c r="O73" s="7" t="n">
        <v>101.6066196388203</v>
      </c>
      <c r="P73" s="7" t="n">
        <v>9778.427537621712</v>
      </c>
      <c r="Q73" s="7" t="n">
        <v>10390.37823374014</v>
      </c>
      <c r="R73" s="7" t="n">
        <v>-611.9506961184306</v>
      </c>
      <c r="S73" s="6" t="n">
        <v>-0.05889590179992433</v>
      </c>
      <c r="T73" s="7" t="n">
        <v>151.6095487716685</v>
      </c>
      <c r="U73" s="7" t="n">
        <v>159.1900262102519</v>
      </c>
      <c r="V73" s="7" t="n">
        <v>7217.111654172051</v>
      </c>
      <c r="W73" s="7" t="n">
        <v>11299.68046176946</v>
      </c>
      <c r="X73" s="7" t="n">
        <v>-4082.568807597409</v>
      </c>
      <c r="Y73" s="6" t="n">
        <v>-0.3612994917343091</v>
      </c>
      <c r="Z73" s="7" t="n">
        <v>189.4205798319705</v>
      </c>
      <c r="AA73" s="7" t="n">
        <v>198.891608823569</v>
      </c>
      <c r="AB73" s="7" t="n">
        <v>4607.966162533212</v>
      </c>
      <c r="AC73" s="7" t="n">
        <v>12701.28273278115</v>
      </c>
      <c r="AD73" s="7" t="n">
        <v>-8093.31657024794</v>
      </c>
      <c r="AE73" s="6" t="n">
        <v>-0.6372046619637588</v>
      </c>
    </row>
    <row r="74">
      <c r="A74" s="2" t="n">
        <v>65</v>
      </c>
      <c r="B74" s="2" t="inlineStr">
        <is>
          <t>KPROP-00065</t>
        </is>
      </c>
      <c r="C74" s="3" t="n">
        <v>45859</v>
      </c>
      <c r="D74" s="2" t="inlineStr">
        <is>
          <t>Brady Singer</t>
        </is>
      </c>
      <c r="E74" s="2" t="inlineStr">
        <is>
          <t>Win</t>
        </is>
      </c>
      <c r="F74" s="2" t="n">
        <v>1.25</v>
      </c>
      <c r="G74" s="6" t="n">
        <v>0.1307350876847257</v>
      </c>
      <c r="H74" s="7" t="n">
        <v>100</v>
      </c>
      <c r="I74" s="7" t="n">
        <v>125</v>
      </c>
      <c r="J74" s="7" t="n">
        <v>9933.718693719946</v>
      </c>
      <c r="K74" s="7" t="n">
        <v>10402.48552873678</v>
      </c>
      <c r="L74" s="7" t="n">
        <v>-468.7668350168351</v>
      </c>
      <c r="M74" s="6" t="n">
        <v>-0.04506296439652529</v>
      </c>
      <c r="N74" s="7" t="n">
        <v>97.78427537621712</v>
      </c>
      <c r="O74" s="7" t="n">
        <v>122.2303442202714</v>
      </c>
      <c r="P74" s="7" t="n">
        <v>9900.657881841984</v>
      </c>
      <c r="Q74" s="7" t="n">
        <v>10390.37823374014</v>
      </c>
      <c r="R74" s="7" t="n">
        <v>-489.7203518981587</v>
      </c>
      <c r="S74" s="6" t="n">
        <v>-0.04713210057242333</v>
      </c>
      <c r="T74" s="7" t="n">
        <v>235.8824312346598</v>
      </c>
      <c r="U74" s="7" t="n">
        <v>294.8530390433248</v>
      </c>
      <c r="V74" s="7" t="n">
        <v>7511.964693215376</v>
      </c>
      <c r="W74" s="7" t="n">
        <v>11299.68046176946</v>
      </c>
      <c r="X74" s="7" t="n">
        <v>-3787.715768554084</v>
      </c>
      <c r="Y74" s="6" t="n">
        <v>-0.335205564561686</v>
      </c>
      <c r="Z74" s="7" t="n">
        <v>301.2114301535144</v>
      </c>
      <c r="AA74" s="7" t="n">
        <v>376.5142876918929</v>
      </c>
      <c r="AB74" s="7" t="n">
        <v>4984.480450225105</v>
      </c>
      <c r="AC74" s="7" t="n">
        <v>12701.28273278115</v>
      </c>
      <c r="AD74" s="7" t="n">
        <v>-7716.802282556047</v>
      </c>
      <c r="AE74" s="6" t="n">
        <v>-0.6075608617576477</v>
      </c>
    </row>
    <row r="75">
      <c r="A75" s="2" t="n">
        <v>66</v>
      </c>
      <c r="B75" s="2" t="inlineStr">
        <is>
          <t>KPROP-00066</t>
        </is>
      </c>
      <c r="C75" s="3" t="n">
        <v>45859</v>
      </c>
      <c r="D75" s="2" t="inlineStr">
        <is>
          <t>Jack Flaherty</t>
        </is>
      </c>
      <c r="E75" s="2" t="inlineStr">
        <is>
          <t>Win</t>
        </is>
      </c>
      <c r="F75" s="2" t="n">
        <v>0.8</v>
      </c>
      <c r="G75" s="6" t="n">
        <v>0.137433452238986</v>
      </c>
      <c r="H75" s="7" t="n">
        <v>100</v>
      </c>
      <c r="I75" s="7" t="n">
        <v>80</v>
      </c>
      <c r="J75" s="7" t="n">
        <v>10013.71869371995</v>
      </c>
      <c r="K75" s="7" t="n">
        <v>10402.48552873678</v>
      </c>
      <c r="L75" s="7" t="n">
        <v>-388.7668350168351</v>
      </c>
      <c r="M75" s="6" t="n">
        <v>-0.03737249467378444</v>
      </c>
      <c r="N75" s="7" t="n">
        <v>99.00657881841984</v>
      </c>
      <c r="O75" s="7" t="n">
        <v>79.20526305473588</v>
      </c>
      <c r="P75" s="7" t="n">
        <v>9979.863144896719</v>
      </c>
      <c r="Q75" s="7" t="n">
        <v>10390.37823374014</v>
      </c>
      <c r="R75" s="7" t="n">
        <v>-410.5150888434237</v>
      </c>
      <c r="S75" s="6" t="n">
        <v>-0.0395091573770028</v>
      </c>
      <c r="T75" s="7" t="n">
        <v>258.0988102214912</v>
      </c>
      <c r="U75" s="7" t="n">
        <v>206.479048177193</v>
      </c>
      <c r="V75" s="7" t="n">
        <v>7718.443741392569</v>
      </c>
      <c r="W75" s="7" t="n">
        <v>11299.68046176946</v>
      </c>
      <c r="X75" s="7" t="n">
        <v>-3581.236720376891</v>
      </c>
      <c r="Y75" s="6" t="n">
        <v>-0.3169325657033749</v>
      </c>
      <c r="Z75" s="7" t="n">
        <v>342.5171779460858</v>
      </c>
      <c r="AA75" s="7" t="n">
        <v>274.0137423568686</v>
      </c>
      <c r="AB75" s="7" t="n">
        <v>5258.494192581973</v>
      </c>
      <c r="AC75" s="7" t="n">
        <v>12701.28273278115</v>
      </c>
      <c r="AD75" s="7" t="n">
        <v>-7442.788540199179</v>
      </c>
      <c r="AE75" s="6" t="n">
        <v>-0.5859871555327121</v>
      </c>
    </row>
    <row r="76">
      <c r="A76" s="2" t="n">
        <v>67</v>
      </c>
      <c r="B76" s="2" t="inlineStr">
        <is>
          <t>KPROP-00067</t>
        </is>
      </c>
      <c r="C76" s="3" t="n">
        <v>45859</v>
      </c>
      <c r="D76" s="2" t="inlineStr">
        <is>
          <t>Jake Irvin</t>
        </is>
      </c>
      <c r="E76" s="2" t="inlineStr">
        <is>
          <t>Win</t>
        </is>
      </c>
      <c r="F76" s="2" t="n">
        <v>0.9615384615384617</v>
      </c>
      <c r="G76" s="6" t="n">
        <v>0.1228932276175823</v>
      </c>
      <c r="H76" s="7" t="n">
        <v>100</v>
      </c>
      <c r="I76" s="7" t="n">
        <v>96.15384615384616</v>
      </c>
      <c r="J76" s="7" t="n">
        <v>10109.87253987379</v>
      </c>
      <c r="K76" s="7" t="n">
        <v>10402.48552873678</v>
      </c>
      <c r="L76" s="7" t="n">
        <v>-292.6129888629894</v>
      </c>
      <c r="M76" s="6" t="n">
        <v>-0.02812914164164405</v>
      </c>
      <c r="N76" s="7" t="n">
        <v>99.79863144896719</v>
      </c>
      <c r="O76" s="7" t="n">
        <v>95.96022254708384</v>
      </c>
      <c r="P76" s="7" t="n">
        <v>10075.8233674438</v>
      </c>
      <c r="Q76" s="7" t="n">
        <v>10390.37823374014</v>
      </c>
      <c r="R76" s="7" t="n">
        <v>-314.5548662963392</v>
      </c>
      <c r="S76" s="6" t="n">
        <v>-0.03027366850562777</v>
      </c>
      <c r="T76" s="7" t="n">
        <v>237.1361158911151</v>
      </c>
      <c r="U76" s="7" t="n">
        <v>228.0154960491491</v>
      </c>
      <c r="V76" s="7" t="n">
        <v>7946.459237441718</v>
      </c>
      <c r="W76" s="7" t="n">
        <v>11299.68046176946</v>
      </c>
      <c r="X76" s="7" t="n">
        <v>-3353.221224327742</v>
      </c>
      <c r="Y76" s="6" t="n">
        <v>-0.296753632606939</v>
      </c>
      <c r="Z76" s="7" t="n">
        <v>323.1166618673554</v>
      </c>
      <c r="AA76" s="7" t="n">
        <v>310.6890979493803</v>
      </c>
      <c r="AB76" s="7" t="n">
        <v>5569.183290531353</v>
      </c>
      <c r="AC76" s="7" t="n">
        <v>12701.28273278115</v>
      </c>
      <c r="AD76" s="7" t="n">
        <v>-7132.099442249799</v>
      </c>
      <c r="AE76" s="6" t="n">
        <v>-0.5615259176809231</v>
      </c>
    </row>
    <row r="77">
      <c r="A77" s="2" t="n">
        <v>68</v>
      </c>
      <c r="B77" s="2" t="inlineStr">
        <is>
          <t>KPROP-00068</t>
        </is>
      </c>
      <c r="C77" s="3" t="n">
        <v>45860</v>
      </c>
      <c r="D77" s="2" t="inlineStr">
        <is>
          <t>Chase Burns</t>
        </is>
      </c>
      <c r="E77" s="2" t="inlineStr">
        <is>
          <t>Loss</t>
        </is>
      </c>
      <c r="F77" s="2" t="n">
        <v>-1</v>
      </c>
      <c r="G77" s="6" t="n">
        <v>0.0599819987033948</v>
      </c>
      <c r="H77" s="7" t="n">
        <v>100</v>
      </c>
      <c r="I77" s="7" t="n">
        <v>-100</v>
      </c>
      <c r="J77" s="7" t="n">
        <v>10009.87253987379</v>
      </c>
      <c r="K77" s="7" t="n">
        <v>10402.48552873678</v>
      </c>
      <c r="L77" s="7" t="n">
        <v>-392.6129888629894</v>
      </c>
      <c r="M77" s="6" t="n">
        <v>-0.0377422287950701</v>
      </c>
      <c r="N77" s="7" t="n">
        <v>100.758233674438</v>
      </c>
      <c r="O77" s="7" t="n">
        <v>-100.758233674438</v>
      </c>
      <c r="P77" s="7" t="n">
        <v>9975.065133769365</v>
      </c>
      <c r="Q77" s="7" t="n">
        <v>10390.37823374014</v>
      </c>
      <c r="R77" s="7" t="n">
        <v>-415.3130999707773</v>
      </c>
      <c r="S77" s="6" t="n">
        <v>-0.03997093182057149</v>
      </c>
      <c r="T77" s="7" t="n">
        <v>119.1611269192022</v>
      </c>
      <c r="U77" s="7" t="n">
        <v>-119.1611269192022</v>
      </c>
      <c r="V77" s="7" t="n">
        <v>7827.298110522515</v>
      </c>
      <c r="W77" s="7" t="n">
        <v>11299.68046176946</v>
      </c>
      <c r="X77" s="7" t="n">
        <v>-3472.382351246944</v>
      </c>
      <c r="Y77" s="6" t="n">
        <v>-0.3072991632812235</v>
      </c>
      <c r="Z77" s="7" t="n">
        <v>167.0253724558098</v>
      </c>
      <c r="AA77" s="7" t="n">
        <v>-167.0253724558098</v>
      </c>
      <c r="AB77" s="7" t="n">
        <v>5402.157918075543</v>
      </c>
      <c r="AC77" s="7" t="n">
        <v>12701.28273278115</v>
      </c>
      <c r="AD77" s="7" t="n">
        <v>-7299.124814705609</v>
      </c>
      <c r="AE77" s="6" t="n">
        <v>-0.5746761935994906</v>
      </c>
    </row>
    <row r="78">
      <c r="A78" s="2" t="n">
        <v>69</v>
      </c>
      <c r="B78" s="2" t="inlineStr">
        <is>
          <t>KPROP-00069</t>
        </is>
      </c>
      <c r="C78" s="3" t="n">
        <v>45860</v>
      </c>
      <c r="D78" s="2" t="inlineStr">
        <is>
          <t>Max Scherzer</t>
        </is>
      </c>
      <c r="E78" s="2" t="inlineStr">
        <is>
          <t>Win</t>
        </is>
      </c>
      <c r="F78" s="2" t="n">
        <v>1.1</v>
      </c>
      <c r="G78" s="6" t="n">
        <v>0.1892266285243487</v>
      </c>
      <c r="H78" s="7" t="n">
        <v>100</v>
      </c>
      <c r="I78" s="7" t="n">
        <v>110</v>
      </c>
      <c r="J78" s="7" t="n">
        <v>10119.87253987379</v>
      </c>
      <c r="K78" s="7" t="n">
        <v>10402.48552873678</v>
      </c>
      <c r="L78" s="7" t="n">
        <v>-282.6129888629894</v>
      </c>
      <c r="M78" s="6" t="n">
        <v>-0.02716783292630144</v>
      </c>
      <c r="N78" s="7" t="n">
        <v>99.75065133769365</v>
      </c>
      <c r="O78" s="7" t="n">
        <v>109.725716471463</v>
      </c>
      <c r="P78" s="7" t="n">
        <v>10084.79085024083</v>
      </c>
      <c r="Q78" s="7" t="n">
        <v>10390.37823374014</v>
      </c>
      <c r="R78" s="7" t="n">
        <v>-305.5873834993145</v>
      </c>
      <c r="S78" s="6" t="n">
        <v>-0.0294106120705978</v>
      </c>
      <c r="T78" s="7" t="n">
        <v>370.2833079772952</v>
      </c>
      <c r="U78" s="7" t="n">
        <v>407.3116387750247</v>
      </c>
      <c r="V78" s="7" t="n">
        <v>8234.60974929754</v>
      </c>
      <c r="W78" s="7" t="n">
        <v>11299.68046176946</v>
      </c>
      <c r="X78" s="7" t="n">
        <v>-3065.070712471919</v>
      </c>
      <c r="Y78" s="6" t="n">
        <v>-0.2712528662064439</v>
      </c>
      <c r="Z78" s="7" t="n">
        <v>511.116064796775</v>
      </c>
      <c r="AA78" s="7" t="n">
        <v>562.2276712764525</v>
      </c>
      <c r="AB78" s="7" t="n">
        <v>5964.385589351996</v>
      </c>
      <c r="AC78" s="7" t="n">
        <v>12701.28273278115</v>
      </c>
      <c r="AD78" s="7" t="n">
        <v>-6736.897143429156</v>
      </c>
      <c r="AE78" s="6" t="n">
        <v>-0.5304107691455194</v>
      </c>
    </row>
    <row r="79">
      <c r="A79" s="2" t="n">
        <v>70</v>
      </c>
      <c r="B79" s="2" t="inlineStr">
        <is>
          <t>KPROP-00070</t>
        </is>
      </c>
      <c r="C79" s="3" t="n">
        <v>45860</v>
      </c>
      <c r="D79" s="2" t="inlineStr">
        <is>
          <t>Max Scherzer</t>
        </is>
      </c>
      <c r="E79" s="2" t="inlineStr">
        <is>
          <t>Win</t>
        </is>
      </c>
      <c r="F79" s="2" t="n">
        <v>0.5376344086021505</v>
      </c>
      <c r="G79" s="6" t="n">
        <v>0.2207121178678224</v>
      </c>
      <c r="H79" s="7" t="n">
        <v>100</v>
      </c>
      <c r="I79" s="7" t="n">
        <v>53.76344086021505</v>
      </c>
      <c r="J79" s="7" t="n">
        <v>10173.63598073401</v>
      </c>
      <c r="K79" s="7" t="n">
        <v>10402.48552873678</v>
      </c>
      <c r="L79" s="7" t="n">
        <v>-228.8495480027741</v>
      </c>
      <c r="M79" s="6" t="n">
        <v>-0.02199950649972827</v>
      </c>
      <c r="N79" s="7" t="n">
        <v>100.8479085024083</v>
      </c>
      <c r="O79" s="7" t="n">
        <v>54.21930564645606</v>
      </c>
      <c r="P79" s="7" t="n">
        <v>10139.01015588728</v>
      </c>
      <c r="Q79" s="7" t="n">
        <v>10390.37823374014</v>
      </c>
      <c r="R79" s="7" t="n">
        <v>-251.3680778528578</v>
      </c>
      <c r="S79" s="6" t="n">
        <v>-0.02419238955484827</v>
      </c>
      <c r="T79" s="7" t="n">
        <v>454.3695393956196</v>
      </c>
      <c r="U79" s="7" t="n">
        <v>244.2846985997955</v>
      </c>
      <c r="V79" s="7" t="n">
        <v>8478.894447897335</v>
      </c>
      <c r="W79" s="7" t="n">
        <v>11299.68046176946</v>
      </c>
      <c r="X79" s="7" t="n">
        <v>-2820.786013872124</v>
      </c>
      <c r="Y79" s="6" t="n">
        <v>-0.2496341399578309</v>
      </c>
      <c r="Z79" s="7" t="n">
        <v>658.2060876030996</v>
      </c>
      <c r="AA79" s="7" t="n">
        <v>353.8742406468277</v>
      </c>
      <c r="AB79" s="7" t="n">
        <v>6318.259829998824</v>
      </c>
      <c r="AC79" s="7" t="n">
        <v>12701.28273278115</v>
      </c>
      <c r="AD79" s="7" t="n">
        <v>-6383.022902782328</v>
      </c>
      <c r="AE79" s="6" t="n">
        <v>-0.5025494697719135</v>
      </c>
    </row>
    <row r="80">
      <c r="A80" s="2" t="n">
        <v>71</v>
      </c>
      <c r="B80" s="2" t="inlineStr">
        <is>
          <t>KPROP-00071</t>
        </is>
      </c>
      <c r="C80" s="3" t="n">
        <v>45860</v>
      </c>
      <c r="D80" s="2" t="inlineStr">
        <is>
          <t>Mitch Keller</t>
        </is>
      </c>
      <c r="E80" s="2" t="inlineStr">
        <is>
          <t>Loss</t>
        </is>
      </c>
      <c r="F80" s="2" t="n">
        <v>-1</v>
      </c>
      <c r="G80" s="6" t="n">
        <v>0.07132736816690519</v>
      </c>
      <c r="H80" s="7" t="n">
        <v>100</v>
      </c>
      <c r="I80" s="7" t="n">
        <v>-100</v>
      </c>
      <c r="J80" s="7" t="n">
        <v>10073.63598073401</v>
      </c>
      <c r="K80" s="7" t="n">
        <v>10402.48552873678</v>
      </c>
      <c r="L80" s="7" t="n">
        <v>-328.8495480027741</v>
      </c>
      <c r="M80" s="6" t="n">
        <v>-0.03161259365315433</v>
      </c>
      <c r="N80" s="7" t="n">
        <v>101.3901015588729</v>
      </c>
      <c r="O80" s="7" t="n">
        <v>-101.3901015588729</v>
      </c>
      <c r="P80" s="7" t="n">
        <v>10037.62005432841</v>
      </c>
      <c r="Q80" s="7" t="n">
        <v>10390.37823374014</v>
      </c>
      <c r="R80" s="7" t="n">
        <v>-352.7581794117305</v>
      </c>
      <c r="S80" s="6" t="n">
        <v>-0.03395046565929977</v>
      </c>
      <c r="T80" s="7" t="n">
        <v>151.1943064833754</v>
      </c>
      <c r="U80" s="7" t="n">
        <v>-151.1943064833754</v>
      </c>
      <c r="V80" s="7" t="n">
        <v>8327.700141413959</v>
      </c>
      <c r="W80" s="7" t="n">
        <v>11299.68046176946</v>
      </c>
      <c r="X80" s="7" t="n">
        <v>-2971.9803203555</v>
      </c>
      <c r="Y80" s="6" t="n">
        <v>-0.263014545447607</v>
      </c>
      <c r="Z80" s="7" t="n">
        <v>225.3324225342469</v>
      </c>
      <c r="AA80" s="7" t="n">
        <v>-225.3324225342469</v>
      </c>
      <c r="AB80" s="7" t="n">
        <v>6092.927407464577</v>
      </c>
      <c r="AC80" s="7" t="n">
        <v>12701.28273278115</v>
      </c>
      <c r="AD80" s="7" t="n">
        <v>-6608.355325316575</v>
      </c>
      <c r="AE80" s="6" t="n">
        <v>-0.5202903883291139</v>
      </c>
    </row>
    <row r="81">
      <c r="A81" s="2" t="n">
        <v>72</v>
      </c>
      <c r="B81" s="2" t="inlineStr">
        <is>
          <t>KPROP-00072</t>
        </is>
      </c>
      <c r="C81" s="3" t="n">
        <v>45861</v>
      </c>
      <c r="D81" s="2" t="inlineStr">
        <is>
          <t>Dylan Cease</t>
        </is>
      </c>
      <c r="E81" s="2" t="inlineStr">
        <is>
          <t>Win</t>
        </is>
      </c>
      <c r="F81" s="2" t="n">
        <v>1.16</v>
      </c>
      <c r="G81" s="6" t="n">
        <v>0.1808686384724335</v>
      </c>
      <c r="H81" s="7" t="n">
        <v>100</v>
      </c>
      <c r="I81" s="7" t="n">
        <v>116</v>
      </c>
      <c r="J81" s="7" t="n">
        <v>10189.63598073401</v>
      </c>
      <c r="K81" s="7" t="n">
        <v>10402.48552873678</v>
      </c>
      <c r="L81" s="7" t="n">
        <v>-212.8495480027741</v>
      </c>
      <c r="M81" s="6" t="n">
        <v>-0.0204614125551801</v>
      </c>
      <c r="N81" s="7" t="n">
        <v>100.3762005432841</v>
      </c>
      <c r="O81" s="7" t="n">
        <v>116.4363926302096</v>
      </c>
      <c r="P81" s="7" t="n">
        <v>10154.05644695862</v>
      </c>
      <c r="Q81" s="7" t="n">
        <v>10390.37823374014</v>
      </c>
      <c r="R81" s="7" t="n">
        <v>-236.3217867815201</v>
      </c>
      <c r="S81" s="6" t="n">
        <v>-0.02274429106094757</v>
      </c>
      <c r="T81" s="7" t="n">
        <v>376.5549465460588</v>
      </c>
      <c r="U81" s="7" t="n">
        <v>436.8037379934282</v>
      </c>
      <c r="V81" s="7" t="n">
        <v>8764.503879407388</v>
      </c>
      <c r="W81" s="7" t="n">
        <v>11299.68046176946</v>
      </c>
      <c r="X81" s="7" t="n">
        <v>-2535.176582362072</v>
      </c>
      <c r="Y81" s="6" t="n">
        <v>-0.2243582542833321</v>
      </c>
      <c r="Z81" s="7" t="n">
        <v>551.0097422497462</v>
      </c>
      <c r="AA81" s="7" t="n">
        <v>639.1713010097056</v>
      </c>
      <c r="AB81" s="7" t="n">
        <v>6732.098708474283</v>
      </c>
      <c r="AC81" s="7" t="n">
        <v>12701.28273278115</v>
      </c>
      <c r="AD81" s="7" t="n">
        <v>-5969.184024306869</v>
      </c>
      <c r="AE81" s="6" t="n">
        <v>-0.4699670222205832</v>
      </c>
    </row>
    <row r="82">
      <c r="A82" s="2" t="n">
        <v>73</v>
      </c>
      <c r="B82" s="2" t="inlineStr">
        <is>
          <t>KPROP-00073</t>
        </is>
      </c>
      <c r="C82" s="3" t="n">
        <v>45861</v>
      </c>
      <c r="D82" s="2" t="inlineStr">
        <is>
          <t>Dylan Cease</t>
        </is>
      </c>
      <c r="E82" s="2" t="inlineStr">
        <is>
          <t>Win</t>
        </is>
      </c>
      <c r="F82" s="2" t="n">
        <v>0.5555555555555556</v>
      </c>
      <c r="G82" s="6" t="n">
        <v>0.169585867578756</v>
      </c>
      <c r="H82" s="7" t="n">
        <v>100</v>
      </c>
      <c r="I82" s="7" t="n">
        <v>55.55555555555556</v>
      </c>
      <c r="J82" s="7" t="n">
        <v>10245.19153628956</v>
      </c>
      <c r="K82" s="7" t="n">
        <v>10402.48552873678</v>
      </c>
      <c r="L82" s="7" t="n">
        <v>-157.2939924472194</v>
      </c>
      <c r="M82" s="6" t="n">
        <v>-0.01512080858105459</v>
      </c>
      <c r="N82" s="7" t="n">
        <v>101.5405644695862</v>
      </c>
      <c r="O82" s="7" t="n">
        <v>56.41142470532569</v>
      </c>
      <c r="P82" s="7" t="n">
        <v>10210.46787166395</v>
      </c>
      <c r="Q82" s="7" t="n">
        <v>10390.37823374014</v>
      </c>
      <c r="R82" s="7" t="n">
        <v>-179.9103620761944</v>
      </c>
      <c r="S82" s="6" t="n">
        <v>-0.01731509267795283</v>
      </c>
      <c r="T82" s="7" t="n">
        <v>371.5839985716687</v>
      </c>
      <c r="U82" s="7" t="n">
        <v>206.4355547620382</v>
      </c>
      <c r="V82" s="7" t="n">
        <v>8970.939434169426</v>
      </c>
      <c r="W82" s="7" t="n">
        <v>11299.68046176946</v>
      </c>
      <c r="X82" s="7" t="n">
        <v>-2328.741027600034</v>
      </c>
      <c r="Y82" s="6" t="n">
        <v>-0.2060891045086568</v>
      </c>
      <c r="Z82" s="7" t="n">
        <v>570.834400051217</v>
      </c>
      <c r="AA82" s="7" t="n">
        <v>317.1302222506761</v>
      </c>
      <c r="AB82" s="7" t="n">
        <v>7049.228930724959</v>
      </c>
      <c r="AC82" s="7" t="n">
        <v>12701.28273278115</v>
      </c>
      <c r="AD82" s="7" t="n">
        <v>-5652.053802056193</v>
      </c>
      <c r="AE82" s="6" t="n">
        <v>-0.4449986604477849</v>
      </c>
    </row>
    <row r="83">
      <c r="A83" s="2" t="n">
        <v>74</v>
      </c>
      <c r="B83" s="2" t="inlineStr">
        <is>
          <t>KPROP-00074</t>
        </is>
      </c>
      <c r="C83" s="3" t="n">
        <v>45861</v>
      </c>
      <c r="D83" s="2" t="inlineStr">
        <is>
          <t>Luis Castillo</t>
        </is>
      </c>
      <c r="E83" s="2" t="inlineStr">
        <is>
          <t>Loss</t>
        </is>
      </c>
      <c r="F83" s="2" t="n">
        <v>-1</v>
      </c>
      <c r="G83" s="6" t="n">
        <v>0.2061771594635822</v>
      </c>
      <c r="H83" s="7" t="n">
        <v>100</v>
      </c>
      <c r="I83" s="7" t="n">
        <v>-100</v>
      </c>
      <c r="J83" s="7" t="n">
        <v>10145.19153628956</v>
      </c>
      <c r="K83" s="7" t="n">
        <v>10402.48552873678</v>
      </c>
      <c r="L83" s="7" t="n">
        <v>-257.2939924472194</v>
      </c>
      <c r="M83" s="6" t="n">
        <v>-0.02473389573448065</v>
      </c>
      <c r="N83" s="7" t="n">
        <v>102.1046787166395</v>
      </c>
      <c r="O83" s="7" t="n">
        <v>-102.1046787166395</v>
      </c>
      <c r="P83" s="7" t="n">
        <v>10108.36319294731</v>
      </c>
      <c r="Q83" s="7" t="n">
        <v>10390.37823374014</v>
      </c>
      <c r="R83" s="7" t="n">
        <v>-282.015040792834</v>
      </c>
      <c r="S83" s="6" t="n">
        <v>-0.02714194175117332</v>
      </c>
      <c r="T83" s="7" t="n">
        <v>462.4007025642218</v>
      </c>
      <c r="U83" s="7" t="n">
        <v>-462.4007025642218</v>
      </c>
      <c r="V83" s="7" t="n">
        <v>8508.538731605204</v>
      </c>
      <c r="W83" s="7" t="n">
        <v>11299.68046176946</v>
      </c>
      <c r="X83" s="7" t="n">
        <v>-2791.141730164256</v>
      </c>
      <c r="Y83" s="6" t="n">
        <v>-0.2470106778335553</v>
      </c>
      <c r="Z83" s="7" t="n">
        <v>726.6949986726884</v>
      </c>
      <c r="AA83" s="7" t="n">
        <v>-726.6949986726884</v>
      </c>
      <c r="AB83" s="7" t="n">
        <v>6322.533932052271</v>
      </c>
      <c r="AC83" s="7" t="n">
        <v>12701.28273278115</v>
      </c>
      <c r="AD83" s="7" t="n">
        <v>-6378.748800728881</v>
      </c>
      <c r="AE83" s="6" t="n">
        <v>-0.5022129602914642</v>
      </c>
    </row>
    <row r="84">
      <c r="A84" s="2" t="n">
        <v>75</v>
      </c>
      <c r="B84" s="2" t="inlineStr">
        <is>
          <t>KPROP-00075</t>
        </is>
      </c>
      <c r="C84" s="3" t="n">
        <v>45861</v>
      </c>
      <c r="D84" s="2" t="inlineStr">
        <is>
          <t>Michael Soroka</t>
        </is>
      </c>
      <c r="E84" s="2" t="inlineStr">
        <is>
          <t>Loss</t>
        </is>
      </c>
      <c r="F84" s="2" t="n">
        <v>-1</v>
      </c>
      <c r="G84" s="6" t="n">
        <v>0.1287187456967256</v>
      </c>
      <c r="H84" s="7" t="n">
        <v>100</v>
      </c>
      <c r="I84" s="7" t="n">
        <v>-100</v>
      </c>
      <c r="J84" s="7" t="n">
        <v>10045.19153628956</v>
      </c>
      <c r="K84" s="7" t="n">
        <v>10402.48552873678</v>
      </c>
      <c r="L84" s="7" t="n">
        <v>-357.2939924472194</v>
      </c>
      <c r="M84" s="6" t="n">
        <v>-0.0343469828879067</v>
      </c>
      <c r="N84" s="7" t="n">
        <v>101.0836319294731</v>
      </c>
      <c r="O84" s="7" t="n">
        <v>-101.0836319294731</v>
      </c>
      <c r="P84" s="7" t="n">
        <v>10007.27956101784</v>
      </c>
      <c r="Q84" s="7" t="n">
        <v>10390.37823374014</v>
      </c>
      <c r="R84" s="7" t="n">
        <v>-383.0986727223062</v>
      </c>
      <c r="S84" s="6" t="n">
        <v>-0.0368705223336615</v>
      </c>
      <c r="T84" s="7" t="n">
        <v>273.8021083110576</v>
      </c>
      <c r="U84" s="7" t="n">
        <v>-273.8021083110576</v>
      </c>
      <c r="V84" s="7" t="n">
        <v>8234.736623294146</v>
      </c>
      <c r="W84" s="7" t="n">
        <v>11299.68046176946</v>
      </c>
      <c r="X84" s="7" t="n">
        <v>-3064.943838475314</v>
      </c>
      <c r="Y84" s="6" t="n">
        <v>-0.2712416381016285</v>
      </c>
      <c r="Z84" s="7" t="n">
        <v>406.9143186793773</v>
      </c>
      <c r="AA84" s="7" t="n">
        <v>-406.9143186793773</v>
      </c>
      <c r="AB84" s="7" t="n">
        <v>5915.619613372894</v>
      </c>
      <c r="AC84" s="7" t="n">
        <v>12701.28273278115</v>
      </c>
      <c r="AD84" s="7" t="n">
        <v>-6785.663119408258</v>
      </c>
      <c r="AE84" s="6" t="n">
        <v>-0.5342502219791486</v>
      </c>
    </row>
    <row r="85">
      <c r="A85" s="2" t="n">
        <v>76</v>
      </c>
      <c r="B85" s="2" t="inlineStr">
        <is>
          <t>KPROP-00076</t>
        </is>
      </c>
      <c r="C85" s="3" t="n">
        <v>45861</v>
      </c>
      <c r="D85" s="2" t="inlineStr">
        <is>
          <t>Nick Lodolo</t>
        </is>
      </c>
      <c r="E85" s="2" t="inlineStr">
        <is>
          <t>Loss</t>
        </is>
      </c>
      <c r="F85" s="2" t="n">
        <v>-1</v>
      </c>
      <c r="G85" s="6" t="n">
        <v>0.1373133126364283</v>
      </c>
      <c r="H85" s="7" t="n">
        <v>100</v>
      </c>
      <c r="I85" s="7" t="n">
        <v>-100</v>
      </c>
      <c r="J85" s="7" t="n">
        <v>9945.191536289562</v>
      </c>
      <c r="K85" s="7" t="n">
        <v>10402.48552873678</v>
      </c>
      <c r="L85" s="7" t="n">
        <v>-457.2939924472194</v>
      </c>
      <c r="M85" s="6" t="n">
        <v>-0.04396007004133276</v>
      </c>
      <c r="N85" s="7" t="n">
        <v>100.0727956101784</v>
      </c>
      <c r="O85" s="7" t="n">
        <v>-100.0727956101784</v>
      </c>
      <c r="P85" s="7" t="n">
        <v>9907.206765407658</v>
      </c>
      <c r="Q85" s="7" t="n">
        <v>10390.37823374014</v>
      </c>
      <c r="R85" s="7" t="n">
        <v>-483.1714683324844</v>
      </c>
      <c r="S85" s="6" t="n">
        <v>-0.04650181711032487</v>
      </c>
      <c r="T85" s="7" t="n">
        <v>282.6847411082588</v>
      </c>
      <c r="U85" s="7" t="n">
        <v>-282.6847411082588</v>
      </c>
      <c r="V85" s="7" t="n">
        <v>7952.051882185887</v>
      </c>
      <c r="W85" s="7" t="n">
        <v>11299.68046176946</v>
      </c>
      <c r="X85" s="7" t="n">
        <v>-3347.628579583573</v>
      </c>
      <c r="Y85" s="6" t="n">
        <v>-0.2962586942975691</v>
      </c>
      <c r="Z85" s="7" t="n">
        <v>406.1466627046298</v>
      </c>
      <c r="AA85" s="7" t="n">
        <v>-406.1466627046298</v>
      </c>
      <c r="AB85" s="7" t="n">
        <v>5509.472950668263</v>
      </c>
      <c r="AC85" s="7" t="n">
        <v>12701.28273278115</v>
      </c>
      <c r="AD85" s="7" t="n">
        <v>-7191.809782112889</v>
      </c>
      <c r="AE85" s="6" t="n">
        <v>-0.5662270444190108</v>
      </c>
    </row>
    <row r="86">
      <c r="A86" s="2" t="n">
        <v>77</v>
      </c>
      <c r="B86" s="2" t="inlineStr">
        <is>
          <t>KPROP-00077</t>
        </is>
      </c>
      <c r="C86" s="3" t="n">
        <v>45861</v>
      </c>
      <c r="D86" s="2" t="inlineStr">
        <is>
          <t>Seth Lugo</t>
        </is>
      </c>
      <c r="E86" s="2" t="inlineStr">
        <is>
          <t>Loss</t>
        </is>
      </c>
      <c r="F86" s="2" t="n">
        <v>-1</v>
      </c>
      <c r="G86" s="6" t="n">
        <v>0.1323001638470963</v>
      </c>
      <c r="H86" s="7" t="n">
        <v>100</v>
      </c>
      <c r="I86" s="7" t="n">
        <v>-100</v>
      </c>
      <c r="J86" s="7" t="n">
        <v>9845.191536289562</v>
      </c>
      <c r="K86" s="7" t="n">
        <v>10402.48552873678</v>
      </c>
      <c r="L86" s="7" t="n">
        <v>-557.2939924472194</v>
      </c>
      <c r="M86" s="6" t="n">
        <v>-0.05357315719475882</v>
      </c>
      <c r="N86" s="7" t="n">
        <v>99.07206765407659</v>
      </c>
      <c r="O86" s="7" t="n">
        <v>-99.07206765407659</v>
      </c>
      <c r="P86" s="7" t="n">
        <v>9808.134697753581</v>
      </c>
      <c r="Q86" s="7" t="n">
        <v>10390.37823374014</v>
      </c>
      <c r="R86" s="7" t="n">
        <v>-582.2435359865613</v>
      </c>
      <c r="S86" s="6" t="n">
        <v>-0.05603679893922164</v>
      </c>
      <c r="T86" s="7" t="n">
        <v>263.0144417334509</v>
      </c>
      <c r="U86" s="7" t="n">
        <v>-263.0144417334509</v>
      </c>
      <c r="V86" s="7" t="n">
        <v>7689.037440452435</v>
      </c>
      <c r="W86" s="7" t="n">
        <v>11299.68046176946</v>
      </c>
      <c r="X86" s="7" t="n">
        <v>-3610.643021317024</v>
      </c>
      <c r="Y86" s="6" t="n">
        <v>-0.3195349668101694</v>
      </c>
      <c r="Z86" s="7" t="n">
        <v>364.4520870422783</v>
      </c>
      <c r="AA86" s="7" t="n">
        <v>-364.4520870422783</v>
      </c>
      <c r="AB86" s="7" t="n">
        <v>5145.020863625985</v>
      </c>
      <c r="AC86" s="7" t="n">
        <v>12701.28273278115</v>
      </c>
      <c r="AD86" s="7" t="n">
        <v>-7556.261869155167</v>
      </c>
      <c r="AE86" s="6" t="n">
        <v>-0.5949211609669129</v>
      </c>
    </row>
    <row r="87">
      <c r="A87" s="2" t="n">
        <v>78</v>
      </c>
      <c r="B87" s="2" t="inlineStr">
        <is>
          <t>KPROP-00078</t>
        </is>
      </c>
      <c r="C87" s="3" t="n">
        <v>45861</v>
      </c>
      <c r="D87" s="2" t="inlineStr">
        <is>
          <t>Spencer Strider</t>
        </is>
      </c>
      <c r="E87" s="2" t="inlineStr">
        <is>
          <t>Win</t>
        </is>
      </c>
      <c r="F87" s="2" t="n">
        <v>1.08</v>
      </c>
      <c r="G87" s="6" t="n">
        <v>0.1164032624608835</v>
      </c>
      <c r="H87" s="7" t="n">
        <v>100</v>
      </c>
      <c r="I87" s="7" t="n">
        <v>108</v>
      </c>
      <c r="J87" s="7" t="n">
        <v>9953.191536289562</v>
      </c>
      <c r="K87" s="7" t="n">
        <v>10402.48552873678</v>
      </c>
      <c r="L87" s="7" t="n">
        <v>-449.2939924472194</v>
      </c>
      <c r="M87" s="6" t="n">
        <v>-0.04319102306905868</v>
      </c>
      <c r="N87" s="7" t="n">
        <v>98.08134697753582</v>
      </c>
      <c r="O87" s="7" t="n">
        <v>105.9278547357387</v>
      </c>
      <c r="P87" s="7" t="n">
        <v>9914.06255248932</v>
      </c>
      <c r="Q87" s="7" t="n">
        <v>10390.37823374014</v>
      </c>
      <c r="R87" s="7" t="n">
        <v>-476.3156812508223</v>
      </c>
      <c r="S87" s="6" t="n">
        <v>-0.04584199636776521</v>
      </c>
      <c r="T87" s="7" t="n">
        <v>223.7572608131361</v>
      </c>
      <c r="U87" s="7" t="n">
        <v>241.657841678187</v>
      </c>
      <c r="V87" s="7" t="n">
        <v>7930.695282130622</v>
      </c>
      <c r="W87" s="7" t="n">
        <v>11299.68046176946</v>
      </c>
      <c r="X87" s="7" t="n">
        <v>-3368.985179638838</v>
      </c>
      <c r="Y87" s="6" t="n">
        <v>-0.29814871234963</v>
      </c>
      <c r="Z87" s="7" t="n">
        <v>299.4486069776884</v>
      </c>
      <c r="AA87" s="7" t="n">
        <v>323.4044955359035</v>
      </c>
      <c r="AB87" s="7" t="n">
        <v>5468.425359161888</v>
      </c>
      <c r="AC87" s="7" t="n">
        <v>12701.28273278115</v>
      </c>
      <c r="AD87" s="7" t="n">
        <v>-7232.857373619264</v>
      </c>
      <c r="AE87" s="6" t="n">
        <v>-0.569458811821561</v>
      </c>
    </row>
    <row r="88">
      <c r="A88" s="2" t="n">
        <v>79</v>
      </c>
      <c r="B88" s="2" t="inlineStr">
        <is>
          <t>KPROP-00079</t>
        </is>
      </c>
      <c r="C88" s="3" t="n">
        <v>45861</v>
      </c>
      <c r="D88" s="2" t="inlineStr">
        <is>
          <t>Tyler Glasnow</t>
        </is>
      </c>
      <c r="E88" s="2" t="inlineStr">
        <is>
          <t>Loss</t>
        </is>
      </c>
      <c r="F88" s="2" t="n">
        <v>-1</v>
      </c>
      <c r="G88" s="6" t="n">
        <v>0.3712229233100874</v>
      </c>
      <c r="H88" s="7" t="n">
        <v>100</v>
      </c>
      <c r="I88" s="7" t="n">
        <v>-100</v>
      </c>
      <c r="J88" s="7" t="n">
        <v>9853.191536289562</v>
      </c>
      <c r="K88" s="7" t="n">
        <v>10402.48552873678</v>
      </c>
      <c r="L88" s="7" t="n">
        <v>-549.2939924472194</v>
      </c>
      <c r="M88" s="6" t="n">
        <v>-0.05280411022248473</v>
      </c>
      <c r="N88" s="7" t="n">
        <v>99.14062552489321</v>
      </c>
      <c r="O88" s="7" t="n">
        <v>-99.14062552489321</v>
      </c>
      <c r="P88" s="7" t="n">
        <v>9814.921926964427</v>
      </c>
      <c r="Q88" s="7" t="n">
        <v>10390.37823374014</v>
      </c>
      <c r="R88" s="7" t="n">
        <v>-575.4563067757153</v>
      </c>
      <c r="S88" s="6" t="n">
        <v>-0.05538357640408754</v>
      </c>
      <c r="T88" s="7" t="n">
        <v>736.0139716285121</v>
      </c>
      <c r="U88" s="7" t="n">
        <v>-736.0139716285121</v>
      </c>
      <c r="V88" s="7" t="n">
        <v>7194.68131050211</v>
      </c>
      <c r="W88" s="7" t="n">
        <v>11299.68046176946</v>
      </c>
      <c r="X88" s="7" t="n">
        <v>-4104.99915126735</v>
      </c>
      <c r="Y88" s="6" t="n">
        <v>-0.3632845340322599</v>
      </c>
      <c r="Z88" s="7" t="n">
        <v>1015.002423865545</v>
      </c>
      <c r="AA88" s="7" t="n">
        <v>-1015.002423865545</v>
      </c>
      <c r="AB88" s="7" t="n">
        <v>4453.422935296343</v>
      </c>
      <c r="AC88" s="7" t="n">
        <v>12701.28273278115</v>
      </c>
      <c r="AD88" s="7" t="n">
        <v>-8247.859797484809</v>
      </c>
      <c r="AE88" s="6" t="n">
        <v>-0.6493721910620602</v>
      </c>
    </row>
    <row r="89">
      <c r="A89" s="2" t="n">
        <v>80</v>
      </c>
      <c r="B89" s="2" t="inlineStr">
        <is>
          <t>KPROP-00080</t>
        </is>
      </c>
      <c r="C89" s="3" t="n">
        <v>45862</v>
      </c>
      <c r="D89" s="2" t="inlineStr">
        <is>
          <t>Sonny Gray</t>
        </is>
      </c>
      <c r="E89" s="2" t="inlineStr">
        <is>
          <t>Loss</t>
        </is>
      </c>
      <c r="F89" s="2" t="n">
        <v>-1</v>
      </c>
      <c r="G89" s="6" t="n">
        <v>0.1457232912167154</v>
      </c>
      <c r="H89" s="7" t="n">
        <v>100</v>
      </c>
      <c r="I89" s="7" t="n">
        <v>-100</v>
      </c>
      <c r="J89" s="7" t="n">
        <v>9753.191536289562</v>
      </c>
      <c r="K89" s="7" t="n">
        <v>10402.48552873678</v>
      </c>
      <c r="L89" s="7" t="n">
        <v>-649.2939924472194</v>
      </c>
      <c r="M89" s="6" t="n">
        <v>-0.06241719737591079</v>
      </c>
      <c r="N89" s="7" t="n">
        <v>98.14921926964428</v>
      </c>
      <c r="O89" s="7" t="n">
        <v>-98.14921926964428</v>
      </c>
      <c r="P89" s="7" t="n">
        <v>9716.772707694783</v>
      </c>
      <c r="Q89" s="7" t="n">
        <v>10390.37823374014</v>
      </c>
      <c r="R89" s="7" t="n">
        <v>-673.6055260453595</v>
      </c>
      <c r="S89" s="6" t="n">
        <v>-0.06482974064004665</v>
      </c>
      <c r="T89" s="7" t="n">
        <v>262.1081599554396</v>
      </c>
      <c r="U89" s="7" t="n">
        <v>-262.1081599554396</v>
      </c>
      <c r="V89" s="7" t="n">
        <v>6932.57315054667</v>
      </c>
      <c r="W89" s="7" t="n">
        <v>11299.68046176946</v>
      </c>
      <c r="X89" s="7" t="n">
        <v>-4367.10731122279</v>
      </c>
      <c r="Y89" s="6" t="n">
        <v>-0.3864806023496108</v>
      </c>
      <c r="Z89" s="7" t="n">
        <v>324.4837236556942</v>
      </c>
      <c r="AA89" s="7" t="n">
        <v>-324.4837236556942</v>
      </c>
      <c r="AB89" s="7" t="n">
        <v>4128.939211640649</v>
      </c>
      <c r="AC89" s="7" t="n">
        <v>12701.28273278115</v>
      </c>
      <c r="AD89" s="7" t="n">
        <v>-8572.343521140503</v>
      </c>
      <c r="AE89" s="6" t="n">
        <v>-0.6749195102173313</v>
      </c>
    </row>
    <row r="90">
      <c r="A90" s="2" t="n">
        <v>81</v>
      </c>
      <c r="B90" s="2" t="inlineStr">
        <is>
          <t>KPROP-00081</t>
        </is>
      </c>
      <c r="C90" s="3" t="n">
        <v>45862</v>
      </c>
      <c r="D90" s="2" t="inlineStr">
        <is>
          <t>Sonny Gray</t>
        </is>
      </c>
      <c r="E90" s="2" t="inlineStr">
        <is>
          <t>Win</t>
        </is>
      </c>
      <c r="F90" s="2" t="n">
        <v>0.625</v>
      </c>
      <c r="G90" s="6" t="n">
        <v>0.2118754358556457</v>
      </c>
      <c r="H90" s="7" t="n">
        <v>100</v>
      </c>
      <c r="I90" s="7" t="n">
        <v>62.5</v>
      </c>
      <c r="J90" s="7" t="n">
        <v>9815.691536289562</v>
      </c>
      <c r="K90" s="7" t="n">
        <v>10402.48552873678</v>
      </c>
      <c r="L90" s="7" t="n">
        <v>-586.7939924472194</v>
      </c>
      <c r="M90" s="6" t="n">
        <v>-0.0564090179050195</v>
      </c>
      <c r="N90" s="7" t="n">
        <v>97.16772707694783</v>
      </c>
      <c r="O90" s="7" t="n">
        <v>60.72982942309239</v>
      </c>
      <c r="P90" s="7" t="n">
        <v>9777.502537117876</v>
      </c>
      <c r="Q90" s="7" t="n">
        <v>10390.37823374014</v>
      </c>
      <c r="R90" s="7" t="n">
        <v>-612.8756966222663</v>
      </c>
      <c r="S90" s="6" t="n">
        <v>-0.05898492651904687</v>
      </c>
      <c r="T90" s="7" t="n">
        <v>367.2104894683056</v>
      </c>
      <c r="U90" s="7" t="n">
        <v>229.506555917691</v>
      </c>
      <c r="V90" s="7" t="n">
        <v>7162.079706464361</v>
      </c>
      <c r="W90" s="7" t="n">
        <v>11299.68046176946</v>
      </c>
      <c r="X90" s="7" t="n">
        <v>-4137.600755305099</v>
      </c>
      <c r="Y90" s="6" t="n">
        <v>-0.3661697133210062</v>
      </c>
      <c r="Z90" s="7" t="n">
        <v>437.4103975439143</v>
      </c>
      <c r="AA90" s="7" t="n">
        <v>273.3814984649464</v>
      </c>
      <c r="AB90" s="7" t="n">
        <v>4402.320710105595</v>
      </c>
      <c r="AC90" s="7" t="n">
        <v>12701.28273278115</v>
      </c>
      <c r="AD90" s="7" t="n">
        <v>-8298.962022675558</v>
      </c>
      <c r="AE90" s="6" t="n">
        <v>-0.6533955819483097</v>
      </c>
    </row>
    <row r="91">
      <c r="A91" s="2" t="n">
        <v>82</v>
      </c>
      <c r="B91" s="2" t="inlineStr">
        <is>
          <t>KPROP-00082</t>
        </is>
      </c>
      <c r="C91" s="3" t="n">
        <v>45863</v>
      </c>
      <c r="D91" s="2" t="inlineStr">
        <is>
          <t>Dean Kremer</t>
        </is>
      </c>
      <c r="E91" s="2" t="inlineStr">
        <is>
          <t>Win</t>
        </is>
      </c>
      <c r="F91" s="2" t="n">
        <v>1.18</v>
      </c>
      <c r="G91" s="6" t="n">
        <v>0.1473050387806128</v>
      </c>
      <c r="H91" s="7" t="n">
        <v>100</v>
      </c>
      <c r="I91" s="7" t="n">
        <v>118</v>
      </c>
      <c r="J91" s="7" t="n">
        <v>9933.691536289562</v>
      </c>
      <c r="K91" s="7" t="n">
        <v>10402.48552873678</v>
      </c>
      <c r="L91" s="7" t="n">
        <v>-468.7939924472194</v>
      </c>
      <c r="M91" s="6" t="n">
        <v>-0.04506557506397676</v>
      </c>
      <c r="N91" s="7" t="n">
        <v>97.77502537117877</v>
      </c>
      <c r="O91" s="7" t="n">
        <v>115.3745299379909</v>
      </c>
      <c r="P91" s="7" t="n">
        <v>9892.877067055868</v>
      </c>
      <c r="Q91" s="7" t="n">
        <v>10390.37823374014</v>
      </c>
      <c r="R91" s="7" t="n">
        <v>-497.5011666842747</v>
      </c>
      <c r="S91" s="6" t="n">
        <v>-0.04788094865197156</v>
      </c>
      <c r="T91" s="7" t="n">
        <v>263.7526072276431</v>
      </c>
      <c r="U91" s="7" t="n">
        <v>311.2280765286188</v>
      </c>
      <c r="V91" s="7" t="n">
        <v>7473.30778299298</v>
      </c>
      <c r="W91" s="7" t="n">
        <v>11299.68046176946</v>
      </c>
      <c r="X91" s="7" t="n">
        <v>-3826.37267877648</v>
      </c>
      <c r="Y91" s="6" t="n">
        <v>-0.3386266268079313</v>
      </c>
      <c r="Z91" s="7" t="n">
        <v>324.2420114633997</v>
      </c>
      <c r="AA91" s="7" t="n">
        <v>382.6055735268116</v>
      </c>
      <c r="AB91" s="7" t="n">
        <v>4784.926283632407</v>
      </c>
      <c r="AC91" s="7" t="n">
        <v>12701.28273278115</v>
      </c>
      <c r="AD91" s="7" t="n">
        <v>-7916.356449148745</v>
      </c>
      <c r="AE91" s="6" t="n">
        <v>-0.6232722013751544</v>
      </c>
    </row>
    <row r="92">
      <c r="A92" s="2" t="n">
        <v>83</v>
      </c>
      <c r="B92" s="2" t="inlineStr">
        <is>
          <t>KPROP-00083</t>
        </is>
      </c>
      <c r="C92" s="3" t="n">
        <v>45863</v>
      </c>
      <c r="D92" s="2" t="inlineStr">
        <is>
          <t>Shota Imanaga</t>
        </is>
      </c>
      <c r="E92" s="2" t="inlineStr">
        <is>
          <t>Win</t>
        </is>
      </c>
      <c r="F92" s="2" t="n">
        <v>1.35</v>
      </c>
      <c r="G92" s="6" t="n">
        <v>0.1468912337209027</v>
      </c>
      <c r="H92" s="7" t="n">
        <v>100</v>
      </c>
      <c r="I92" s="7" t="n">
        <v>135</v>
      </c>
      <c r="J92" s="7" t="n">
        <v>10068.69153628956</v>
      </c>
      <c r="K92" s="7" t="n">
        <v>10402.48552873678</v>
      </c>
      <c r="L92" s="7" t="n">
        <v>-333.7939924472194</v>
      </c>
      <c r="M92" s="6" t="n">
        <v>-0.03208790740685158</v>
      </c>
      <c r="N92" s="7" t="n">
        <v>98.92877067055868</v>
      </c>
      <c r="O92" s="7" t="n">
        <v>133.5538404052542</v>
      </c>
      <c r="P92" s="7" t="n">
        <v>10026.43090746112</v>
      </c>
      <c r="Q92" s="7" t="n">
        <v>10390.37823374014</v>
      </c>
      <c r="R92" s="7" t="n">
        <v>-363.9473262790198</v>
      </c>
      <c r="S92" s="6" t="n">
        <v>-0.03502734145877311</v>
      </c>
      <c r="T92" s="7" t="n">
        <v>274.4408500549657</v>
      </c>
      <c r="U92" s="7" t="n">
        <v>370.4951475742037</v>
      </c>
      <c r="V92" s="7" t="n">
        <v>7843.802930567183</v>
      </c>
      <c r="W92" s="7" t="n">
        <v>11299.68046176946</v>
      </c>
      <c r="X92" s="7" t="n">
        <v>-3455.877531202276</v>
      </c>
      <c r="Y92" s="6" t="n">
        <v>-0.3058385184337423</v>
      </c>
      <c r="Z92" s="7" t="n">
        <v>351.431862533169</v>
      </c>
      <c r="AA92" s="7" t="n">
        <v>474.4330144197782</v>
      </c>
      <c r="AB92" s="7" t="n">
        <v>5259.359298052185</v>
      </c>
      <c r="AC92" s="7" t="n">
        <v>12701.28273278115</v>
      </c>
      <c r="AD92" s="7" t="n">
        <v>-7441.923434728967</v>
      </c>
      <c r="AE92" s="6" t="n">
        <v>-0.5859190438712041</v>
      </c>
    </row>
    <row r="93">
      <c r="A93" s="2" t="n">
        <v>84</v>
      </c>
      <c r="B93" s="2" t="inlineStr">
        <is>
          <t>KPROP-00084</t>
        </is>
      </c>
      <c r="C93" s="3" t="n">
        <v>45863</v>
      </c>
      <c r="D93" s="2" t="inlineStr">
        <is>
          <t>Shota Imanaga</t>
        </is>
      </c>
      <c r="E93" s="2" t="inlineStr">
        <is>
          <t>Win</t>
        </is>
      </c>
      <c r="F93" s="2" t="n">
        <v>0.6369426751592355</v>
      </c>
      <c r="G93" s="6" t="n">
        <v>0.1845423087379795</v>
      </c>
      <c r="H93" s="7" t="n">
        <v>100</v>
      </c>
      <c r="I93" s="7" t="n">
        <v>63.69426751592356</v>
      </c>
      <c r="J93" s="7" t="n">
        <v>10132.38580380549</v>
      </c>
      <c r="K93" s="7" t="n">
        <v>10402.48552873678</v>
      </c>
      <c r="L93" s="7" t="n">
        <v>-270.099724931295</v>
      </c>
      <c r="M93" s="6" t="n">
        <v>-0.02596492195880943</v>
      </c>
      <c r="N93" s="7" t="n">
        <v>100.2643090746112</v>
      </c>
      <c r="O93" s="7" t="n">
        <v>63.8626172449753</v>
      </c>
      <c r="P93" s="7" t="n">
        <v>10090.2935247061</v>
      </c>
      <c r="Q93" s="7" t="n">
        <v>10390.37823374014</v>
      </c>
      <c r="R93" s="7" t="n">
        <v>-300.0847090340449</v>
      </c>
      <c r="S93" s="6" t="n">
        <v>-0.02888101879290546</v>
      </c>
      <c r="T93" s="7" t="n">
        <v>361.8783755231494</v>
      </c>
      <c r="U93" s="7" t="n">
        <v>230.4957805879932</v>
      </c>
      <c r="V93" s="7" t="n">
        <v>8074.298711155177</v>
      </c>
      <c r="W93" s="7" t="n">
        <v>11299.68046176946</v>
      </c>
      <c r="X93" s="7" t="n">
        <v>-3225.381750614283</v>
      </c>
      <c r="Y93" s="6" t="n">
        <v>-0.2854400849233579</v>
      </c>
      <c r="Z93" s="7" t="n">
        <v>485.2871536725548</v>
      </c>
      <c r="AA93" s="7" t="n">
        <v>309.1000978806081</v>
      </c>
      <c r="AB93" s="7" t="n">
        <v>5568.459395932793</v>
      </c>
      <c r="AC93" s="7" t="n">
        <v>12701.28273278115</v>
      </c>
      <c r="AD93" s="7" t="n">
        <v>-7132.823336848359</v>
      </c>
      <c r="AE93" s="6" t="n">
        <v>-0.5615829114990901</v>
      </c>
    </row>
    <row r="94">
      <c r="A94" s="2" t="n">
        <v>85</v>
      </c>
      <c r="B94" s="2" t="inlineStr">
        <is>
          <t>KPROP-00085</t>
        </is>
      </c>
      <c r="C94" s="3" t="n">
        <v>45864</v>
      </c>
      <c r="D94" s="2" t="inlineStr">
        <is>
          <t>Grant Holmes</t>
        </is>
      </c>
      <c r="E94" s="2" t="inlineStr">
        <is>
          <t>Win</t>
        </is>
      </c>
      <c r="F94" s="2" t="n">
        <v>1.32</v>
      </c>
      <c r="G94" s="6" t="n">
        <v>0.1421550027633811</v>
      </c>
      <c r="H94" s="7" t="n">
        <v>100</v>
      </c>
      <c r="I94" s="7" t="n">
        <v>132</v>
      </c>
      <c r="J94" s="7" t="n">
        <v>10264.38580380549</v>
      </c>
      <c r="K94" s="7" t="n">
        <v>10402.48552873678</v>
      </c>
      <c r="L94" s="7" t="n">
        <v>-138.099724931295</v>
      </c>
      <c r="M94" s="6" t="n">
        <v>-0.01327564691628704</v>
      </c>
      <c r="N94" s="7" t="n">
        <v>100.902935247061</v>
      </c>
      <c r="O94" s="7" t="n">
        <v>133.1918745261205</v>
      </c>
      <c r="P94" s="7" t="n">
        <v>10223.48539923222</v>
      </c>
      <c r="Q94" s="7" t="n">
        <v>10390.37823374014</v>
      </c>
      <c r="R94" s="7" t="n">
        <v>-166.8928345079239</v>
      </c>
      <c r="S94" s="6" t="n">
        <v>-0.01606224824097176</v>
      </c>
      <c r="T94" s="7" t="n">
        <v>286.9504888991572</v>
      </c>
      <c r="U94" s="7" t="n">
        <v>378.7746453468876</v>
      </c>
      <c r="V94" s="7" t="n">
        <v>8453.073356502064</v>
      </c>
      <c r="W94" s="7" t="n">
        <v>11299.68046176946</v>
      </c>
      <c r="X94" s="7" t="n">
        <v>-2846.607105267396</v>
      </c>
      <c r="Y94" s="6" t="n">
        <v>-0.2519192569115919</v>
      </c>
      <c r="Z94" s="7" t="n">
        <v>395.7921804083009</v>
      </c>
      <c r="AA94" s="7" t="n">
        <v>522.4456781389572</v>
      </c>
      <c r="AB94" s="7" t="n">
        <v>6090.90507407175</v>
      </c>
      <c r="AC94" s="7" t="n">
        <v>12701.28273278115</v>
      </c>
      <c r="AD94" s="7" t="n">
        <v>-6610.377658709402</v>
      </c>
      <c r="AE94" s="6" t="n">
        <v>-0.5204496110970322</v>
      </c>
    </row>
    <row r="95">
      <c r="A95" s="2" t="n">
        <v>86</v>
      </c>
      <c r="B95" s="2" t="inlineStr">
        <is>
          <t>KPROP-00086</t>
        </is>
      </c>
      <c r="C95" s="3" t="n">
        <v>45864</v>
      </c>
      <c r="D95" s="2" t="inlineStr">
        <is>
          <t>Jacob Lopez</t>
        </is>
      </c>
      <c r="E95" s="2" t="inlineStr">
        <is>
          <t>Win</t>
        </is>
      </c>
      <c r="F95" s="2" t="n">
        <v>0.7692307692307692</v>
      </c>
      <c r="G95" s="6" t="n">
        <v>0.1158472454985278</v>
      </c>
      <c r="H95" s="7" t="n">
        <v>100</v>
      </c>
      <c r="I95" s="7" t="n">
        <v>76.92307692307692</v>
      </c>
      <c r="J95" s="7" t="n">
        <v>10341.30888072856</v>
      </c>
      <c r="K95" s="7" t="n">
        <v>10402.48552873678</v>
      </c>
      <c r="L95" s="7" t="n">
        <v>-61.17664800821876</v>
      </c>
      <c r="M95" s="6" t="n">
        <v>-0.005880964490574755</v>
      </c>
      <c r="N95" s="7" t="n">
        <v>102.2348539923222</v>
      </c>
      <c r="O95" s="7" t="n">
        <v>78.64219537870937</v>
      </c>
      <c r="P95" s="7" t="n">
        <v>10302.12759461093</v>
      </c>
      <c r="Q95" s="7" t="n">
        <v>10390.37823374014</v>
      </c>
      <c r="R95" s="7" t="n">
        <v>-88.25063912921541</v>
      </c>
      <c r="S95" s="6" t="n">
        <v>-0.00849349630436394</v>
      </c>
      <c r="T95" s="7" t="n">
        <v>244.8163160869398</v>
      </c>
      <c r="U95" s="7" t="n">
        <v>188.3202431437998</v>
      </c>
      <c r="V95" s="7" t="n">
        <v>8641.393599645864</v>
      </c>
      <c r="W95" s="7" t="n">
        <v>11299.68046176946</v>
      </c>
      <c r="X95" s="7" t="n">
        <v>-2658.286862123596</v>
      </c>
      <c r="Y95" s="6" t="n">
        <v>-0.2352532773928834</v>
      </c>
      <c r="Z95" s="7" t="n">
        <v>352.8072877121094</v>
      </c>
      <c r="AA95" s="7" t="n">
        <v>271.3902213170072</v>
      </c>
      <c r="AB95" s="7" t="n">
        <v>6362.295295388757</v>
      </c>
      <c r="AC95" s="7" t="n">
        <v>12701.28273278115</v>
      </c>
      <c r="AD95" s="7" t="n">
        <v>-6338.987437392395</v>
      </c>
      <c r="AE95" s="6" t="n">
        <v>-0.4990824604692798</v>
      </c>
    </row>
    <row r="96">
      <c r="A96" s="2" t="n">
        <v>87</v>
      </c>
      <c r="B96" s="2" t="inlineStr">
        <is>
          <t>KPROP-00087</t>
        </is>
      </c>
      <c r="C96" s="3" t="n">
        <v>45864</v>
      </c>
      <c r="D96" s="2" t="inlineStr">
        <is>
          <t>Joe Ryan</t>
        </is>
      </c>
      <c r="E96" s="2" t="inlineStr">
        <is>
          <t>Win</t>
        </is>
      </c>
      <c r="F96" s="2" t="n">
        <v>1.38</v>
      </c>
      <c r="G96" s="6" t="n">
        <v>0.09387266087776017</v>
      </c>
      <c r="H96" s="7" t="n">
        <v>100</v>
      </c>
      <c r="I96" s="7" t="n">
        <v>138</v>
      </c>
      <c r="J96" s="7" t="n">
        <v>10479.30888072856</v>
      </c>
      <c r="K96" s="7" t="n">
        <v>10479.30888072856</v>
      </c>
      <c r="L96" s="7" t="n">
        <v>0</v>
      </c>
      <c r="M96" s="6" t="n">
        <v>0</v>
      </c>
      <c r="N96" s="7" t="n">
        <v>103.0212759461093</v>
      </c>
      <c r="O96" s="7" t="n">
        <v>142.1693608056308</v>
      </c>
      <c r="P96" s="7" t="n">
        <v>10444.29695541656</v>
      </c>
      <c r="Q96" s="7" t="n">
        <v>10444.29695541656</v>
      </c>
      <c r="R96" s="7" t="n">
        <v>0</v>
      </c>
      <c r="S96" s="6" t="n">
        <v>0</v>
      </c>
      <c r="T96" s="7" t="n">
        <v>202.7976527227009</v>
      </c>
      <c r="U96" s="7" t="n">
        <v>279.8607607573272</v>
      </c>
      <c r="V96" s="7" t="n">
        <v>8921.254360403191</v>
      </c>
      <c r="W96" s="7" t="n">
        <v>11299.68046176946</v>
      </c>
      <c r="X96" s="7" t="n">
        <v>-2378.426101366269</v>
      </c>
      <c r="Y96" s="6" t="n">
        <v>-0.2104861380295901</v>
      </c>
      <c r="Z96" s="7" t="n">
        <v>298.6227943340988</v>
      </c>
      <c r="AA96" s="7" t="n">
        <v>412.0994561810564</v>
      </c>
      <c r="AB96" s="7" t="n">
        <v>6774.394751569814</v>
      </c>
      <c r="AC96" s="7" t="n">
        <v>12701.28273278115</v>
      </c>
      <c r="AD96" s="7" t="n">
        <v>-5926.887981211338</v>
      </c>
      <c r="AE96" s="6" t="n">
        <v>-0.4666369614711781</v>
      </c>
    </row>
    <row r="97">
      <c r="A97" s="2" t="n">
        <v>88</v>
      </c>
      <c r="B97" s="2" t="inlineStr">
        <is>
          <t>KPROP-00088</t>
        </is>
      </c>
      <c r="C97" s="3" t="n">
        <v>45864</v>
      </c>
      <c r="D97" s="2" t="inlineStr">
        <is>
          <t>Joe Ryan</t>
        </is>
      </c>
      <c r="E97" s="2" t="inlineStr">
        <is>
          <t>Win</t>
        </is>
      </c>
      <c r="F97" s="2" t="n">
        <v>0.8695652173913042</v>
      </c>
      <c r="G97" s="6" t="n">
        <v>0.2148023936496703</v>
      </c>
      <c r="H97" s="7" t="n">
        <v>100</v>
      </c>
      <c r="I97" s="7" t="n">
        <v>86.95652173913042</v>
      </c>
      <c r="J97" s="7" t="n">
        <v>10566.26540246769</v>
      </c>
      <c r="K97" s="7" t="n">
        <v>10566.26540246769</v>
      </c>
      <c r="L97" s="7" t="n">
        <v>0</v>
      </c>
      <c r="M97" s="6" t="n">
        <v>0</v>
      </c>
      <c r="N97" s="7" t="n">
        <v>104.4429695541656</v>
      </c>
      <c r="O97" s="7" t="n">
        <v>90.81997352536135</v>
      </c>
      <c r="P97" s="7" t="n">
        <v>10535.11692894192</v>
      </c>
      <c r="Q97" s="7" t="n">
        <v>10535.11692894192</v>
      </c>
      <c r="R97" s="7" t="n">
        <v>0</v>
      </c>
      <c r="S97" s="6" t="n">
        <v>0</v>
      </c>
      <c r="T97" s="7" t="n">
        <v>479.076697743041</v>
      </c>
      <c r="U97" s="7" t="n">
        <v>416.5884328200356</v>
      </c>
      <c r="V97" s="7" t="n">
        <v>9337.842793223226</v>
      </c>
      <c r="W97" s="7" t="n">
        <v>11299.68046176946</v>
      </c>
      <c r="X97" s="7" t="n">
        <v>-1961.837668546234</v>
      </c>
      <c r="Y97" s="6" t="n">
        <v>-0.1736188625141902</v>
      </c>
      <c r="Z97" s="7" t="n">
        <v>727.5781040824799</v>
      </c>
      <c r="AA97" s="7" t="n">
        <v>632.6766122456346</v>
      </c>
      <c r="AB97" s="7" t="n">
        <v>7407.071363815448</v>
      </c>
      <c r="AC97" s="7" t="n">
        <v>12701.28273278115</v>
      </c>
      <c r="AD97" s="7" t="n">
        <v>-5294.211368965704</v>
      </c>
      <c r="AE97" s="6" t="n">
        <v>-0.416824936531938</v>
      </c>
    </row>
    <row r="98">
      <c r="A98" s="2" t="n">
        <v>89</v>
      </c>
      <c r="B98" s="2" t="inlineStr">
        <is>
          <t>KPROP-00089</t>
        </is>
      </c>
      <c r="C98" s="3" t="n">
        <v>45865</v>
      </c>
      <c r="D98" s="2" t="inlineStr">
        <is>
          <t>Austin Gomber</t>
        </is>
      </c>
      <c r="E98" s="2" t="inlineStr">
        <is>
          <t>Win</t>
        </is>
      </c>
      <c r="F98" s="2" t="n">
        <v>1.33</v>
      </c>
      <c r="G98" s="6" t="n">
        <v>0.08455587593138425</v>
      </c>
      <c r="H98" s="7" t="n">
        <v>100</v>
      </c>
      <c r="I98" s="7" t="n">
        <v>133</v>
      </c>
      <c r="J98" s="7" t="n">
        <v>10699.26540246769</v>
      </c>
      <c r="K98" s="7" t="n">
        <v>10699.26540246769</v>
      </c>
      <c r="L98" s="7" t="n">
        <v>0</v>
      </c>
      <c r="M98" s="6" t="n">
        <v>0</v>
      </c>
      <c r="N98" s="7" t="n">
        <v>105.3511692894192</v>
      </c>
      <c r="O98" s="7" t="n">
        <v>140.1170551549276</v>
      </c>
      <c r="P98" s="7" t="n">
        <v>10675.23398409685</v>
      </c>
      <c r="Q98" s="7" t="n">
        <v>10675.23398409685</v>
      </c>
      <c r="R98" s="7" t="n">
        <v>0</v>
      </c>
      <c r="S98" s="6" t="n">
        <v>0</v>
      </c>
      <c r="T98" s="7" t="n">
        <v>197.3923691726384</v>
      </c>
      <c r="U98" s="7" t="n">
        <v>262.5318509996091</v>
      </c>
      <c r="V98" s="7" t="n">
        <v>9600.374644222835</v>
      </c>
      <c r="W98" s="7" t="n">
        <v>11299.68046176946</v>
      </c>
      <c r="X98" s="7" t="n">
        <v>-1699.305817546625</v>
      </c>
      <c r="Y98" s="6" t="n">
        <v>-0.1503852983538726</v>
      </c>
      <c r="Z98" s="7" t="n">
        <v>313.1557036268441</v>
      </c>
      <c r="AA98" s="7" t="n">
        <v>416.4970858237027</v>
      </c>
      <c r="AB98" s="7" t="n">
        <v>7823.568449639151</v>
      </c>
      <c r="AC98" s="7" t="n">
        <v>12701.28273278115</v>
      </c>
      <c r="AD98" s="7" t="n">
        <v>-4877.714283142001</v>
      </c>
      <c r="AE98" s="6" t="n">
        <v>-0.384033202453871</v>
      </c>
    </row>
    <row r="99">
      <c r="A99" s="2" t="n">
        <v>90</v>
      </c>
      <c r="B99" s="2" t="inlineStr">
        <is>
          <t>KPROP-00090</t>
        </is>
      </c>
      <c r="C99" s="3" t="n">
        <v>45865</v>
      </c>
      <c r="D99" s="2" t="inlineStr">
        <is>
          <t>Austin Gomber</t>
        </is>
      </c>
      <c r="E99" s="2" t="inlineStr">
        <is>
          <t>Win</t>
        </is>
      </c>
      <c r="F99" s="2" t="n">
        <v>0.6493506493506493</v>
      </c>
      <c r="G99" s="6" t="n">
        <v>0.1658671415776042</v>
      </c>
      <c r="H99" s="7" t="n">
        <v>100</v>
      </c>
      <c r="I99" s="7" t="n">
        <v>64.93506493506493</v>
      </c>
      <c r="J99" s="7" t="n">
        <v>10764.20046740276</v>
      </c>
      <c r="K99" s="7" t="n">
        <v>10764.20046740276</v>
      </c>
      <c r="L99" s="7" t="n">
        <v>0</v>
      </c>
      <c r="M99" s="6" t="n">
        <v>0</v>
      </c>
      <c r="N99" s="7" t="n">
        <v>106.7523398409685</v>
      </c>
      <c r="O99" s="7" t="n">
        <v>69.31970119543408</v>
      </c>
      <c r="P99" s="7" t="n">
        <v>10744.55368529228</v>
      </c>
      <c r="Q99" s="7" t="n">
        <v>10744.55368529228</v>
      </c>
      <c r="R99" s="7" t="n">
        <v>0</v>
      </c>
      <c r="S99" s="6" t="n">
        <v>0</v>
      </c>
      <c r="T99" s="7" t="n">
        <v>398.0966750778376</v>
      </c>
      <c r="U99" s="7" t="n">
        <v>258.5043344661283</v>
      </c>
      <c r="V99" s="7" t="n">
        <v>9858.878978688963</v>
      </c>
      <c r="W99" s="7" t="n">
        <v>11299.68046176946</v>
      </c>
      <c r="X99" s="7" t="n">
        <v>-1440.801483080497</v>
      </c>
      <c r="Y99" s="6" t="n">
        <v>-0.1275081616648544</v>
      </c>
      <c r="Z99" s="7" t="n">
        <v>648.8364678391872</v>
      </c>
      <c r="AA99" s="7" t="n">
        <v>421.3223817137579</v>
      </c>
      <c r="AB99" s="7" t="n">
        <v>8244.89083135291</v>
      </c>
      <c r="AC99" s="7" t="n">
        <v>12701.28273278115</v>
      </c>
      <c r="AD99" s="7" t="n">
        <v>-4456.391901428242</v>
      </c>
      <c r="AE99" s="6" t="n">
        <v>-0.3508615621890375</v>
      </c>
    </row>
    <row r="100">
      <c r="A100" s="2" t="n">
        <v>91</v>
      </c>
      <c r="B100" s="2" t="inlineStr">
        <is>
          <t>KPROP-00091</t>
        </is>
      </c>
      <c r="C100" s="3" t="n">
        <v>45865</v>
      </c>
      <c r="D100" s="2" t="inlineStr">
        <is>
          <t>Brandon Woodruff</t>
        </is>
      </c>
      <c r="E100" s="2" t="inlineStr">
        <is>
          <t>Loss</t>
        </is>
      </c>
      <c r="F100" s="2" t="n">
        <v>-1</v>
      </c>
      <c r="G100" s="6" t="n">
        <v>0.09047695058792232</v>
      </c>
      <c r="H100" s="7" t="n">
        <v>100</v>
      </c>
      <c r="I100" s="7" t="n">
        <v>-100</v>
      </c>
      <c r="J100" s="7" t="n">
        <v>10664.20046740276</v>
      </c>
      <c r="K100" s="7" t="n">
        <v>10764.20046740276</v>
      </c>
      <c r="L100" s="7" t="n">
        <v>-100</v>
      </c>
      <c r="M100" s="6" t="n">
        <v>-0.009290053664722256</v>
      </c>
      <c r="N100" s="7" t="n">
        <v>107.4455368529228</v>
      </c>
      <c r="O100" s="7" t="n">
        <v>-107.4455368529228</v>
      </c>
      <c r="P100" s="7" t="n">
        <v>10637.10814843936</v>
      </c>
      <c r="Q100" s="7" t="n">
        <v>10744.55368529228</v>
      </c>
      <c r="R100" s="7" t="n">
        <v>-107.4455368529234</v>
      </c>
      <c r="S100" s="6" t="n">
        <v>-0.01000000000000005</v>
      </c>
      <c r="T100" s="7" t="n">
        <v>223.0003265517869</v>
      </c>
      <c r="U100" s="7" t="n">
        <v>-223.0003265517869</v>
      </c>
      <c r="V100" s="7" t="n">
        <v>9635.878652137177</v>
      </c>
      <c r="W100" s="7" t="n">
        <v>11299.68046176946</v>
      </c>
      <c r="X100" s="7" t="n">
        <v>-1663.801809632283</v>
      </c>
      <c r="Y100" s="6" t="n">
        <v>-0.147243261901208</v>
      </c>
      <c r="Z100" s="7" t="n">
        <v>372.9862901755655</v>
      </c>
      <c r="AA100" s="7" t="n">
        <v>-372.9862901755655</v>
      </c>
      <c r="AB100" s="7" t="n">
        <v>7871.904541177344</v>
      </c>
      <c r="AC100" s="7" t="n">
        <v>12701.28273278115</v>
      </c>
      <c r="AD100" s="7" t="n">
        <v>-4829.378191603808</v>
      </c>
      <c r="AE100" s="6" t="n">
        <v>-0.3802275953703093</v>
      </c>
    </row>
    <row r="101">
      <c r="A101" s="2" t="n">
        <v>92</v>
      </c>
      <c r="B101" s="2" t="inlineStr">
        <is>
          <t>KPROP-00092</t>
        </is>
      </c>
      <c r="C101" s="3" t="n">
        <v>45865</v>
      </c>
      <c r="D101" s="2" t="inlineStr">
        <is>
          <t>J.T. Ginn</t>
        </is>
      </c>
      <c r="E101" s="2" t="inlineStr">
        <is>
          <t>Win</t>
        </is>
      </c>
      <c r="F101" s="2" t="n">
        <v>1.04</v>
      </c>
      <c r="G101" s="6" t="n">
        <v>0.07274418230219536</v>
      </c>
      <c r="H101" s="7" t="n">
        <v>100</v>
      </c>
      <c r="I101" s="7" t="n">
        <v>104</v>
      </c>
      <c r="J101" s="7" t="n">
        <v>10768.20046740276</v>
      </c>
      <c r="K101" s="7" t="n">
        <v>10768.20046740276</v>
      </c>
      <c r="L101" s="7" t="n">
        <v>0</v>
      </c>
      <c r="M101" s="6" t="n">
        <v>0</v>
      </c>
      <c r="N101" s="7" t="n">
        <v>106.3710814843936</v>
      </c>
      <c r="O101" s="7" t="n">
        <v>110.6259247437693</v>
      </c>
      <c r="P101" s="7" t="n">
        <v>10747.73407318313</v>
      </c>
      <c r="Q101" s="7" t="n">
        <v>10747.73407318313</v>
      </c>
      <c r="R101" s="7" t="n">
        <v>0</v>
      </c>
      <c r="S101" s="6" t="n">
        <v>0</v>
      </c>
      <c r="T101" s="7" t="n">
        <v>175.2385283282248</v>
      </c>
      <c r="U101" s="7" t="n">
        <v>182.2480694613538</v>
      </c>
      <c r="V101" s="7" t="n">
        <v>9818.12672159853</v>
      </c>
      <c r="W101" s="7" t="n">
        <v>11299.68046176946</v>
      </c>
      <c r="X101" s="7" t="n">
        <v>-1481.55374017093</v>
      </c>
      <c r="Y101" s="6" t="n">
        <v>-0.1311146580811302</v>
      </c>
      <c r="Z101" s="7" t="n">
        <v>286.3176295044421</v>
      </c>
      <c r="AA101" s="7" t="n">
        <v>297.7703346846198</v>
      </c>
      <c r="AB101" s="7" t="n">
        <v>8169.674875861964</v>
      </c>
      <c r="AC101" s="7" t="n">
        <v>12701.28273278115</v>
      </c>
      <c r="AD101" s="7" t="n">
        <v>-4531.607856919188</v>
      </c>
      <c r="AE101" s="6" t="n">
        <v>-0.3567834802404181</v>
      </c>
    </row>
    <row r="102">
      <c r="A102" s="2" t="n">
        <v>93</v>
      </c>
      <c r="B102" s="2" t="inlineStr">
        <is>
          <t>KPROP-00093</t>
        </is>
      </c>
      <c r="C102" s="3" t="n">
        <v>45865</v>
      </c>
      <c r="D102" s="2" t="inlineStr">
        <is>
          <t>Jack Flaherty</t>
        </is>
      </c>
      <c r="E102" s="2" t="inlineStr">
        <is>
          <t>Loss</t>
        </is>
      </c>
      <c r="F102" s="2" t="n">
        <v>-1</v>
      </c>
      <c r="G102" s="6" t="n">
        <v>0.05996622061926973</v>
      </c>
      <c r="H102" s="7" t="n">
        <v>100</v>
      </c>
      <c r="I102" s="7" t="n">
        <v>-100</v>
      </c>
      <c r="J102" s="7" t="n">
        <v>10668.20046740276</v>
      </c>
      <c r="K102" s="7" t="n">
        <v>10768.20046740276</v>
      </c>
      <c r="L102" s="7" t="n">
        <v>-100</v>
      </c>
      <c r="M102" s="6" t="n">
        <v>-0.009286602743208361</v>
      </c>
      <c r="N102" s="7" t="n">
        <v>107.4773407318313</v>
      </c>
      <c r="O102" s="7" t="n">
        <v>-107.4773407318313</v>
      </c>
      <c r="P102" s="7" t="n">
        <v>10640.2567324513</v>
      </c>
      <c r="Q102" s="7" t="n">
        <v>10747.73407318313</v>
      </c>
      <c r="R102" s="7" t="n">
        <v>-107.4773407318316</v>
      </c>
      <c r="S102" s="6" t="n">
        <v>-0.01000000000000003</v>
      </c>
      <c r="T102" s="7" t="n">
        <v>147.1889882638312</v>
      </c>
      <c r="U102" s="7" t="n">
        <v>-147.1889882638312</v>
      </c>
      <c r="V102" s="7" t="n">
        <v>9670.937733334698</v>
      </c>
      <c r="W102" s="7" t="n">
        <v>11299.68046176946</v>
      </c>
      <c r="X102" s="7" t="n">
        <v>-1628.742728434761</v>
      </c>
      <c r="Y102" s="6" t="n">
        <v>-0.1441406006077194</v>
      </c>
      <c r="Z102" s="7" t="n">
        <v>244.9522629968218</v>
      </c>
      <c r="AA102" s="7" t="n">
        <v>-244.9522629968218</v>
      </c>
      <c r="AB102" s="7" t="n">
        <v>7924.722612865143</v>
      </c>
      <c r="AC102" s="7" t="n">
        <v>12701.28273278115</v>
      </c>
      <c r="AD102" s="7" t="n">
        <v>-4776.560119916009</v>
      </c>
      <c r="AE102" s="6" t="n">
        <v>-0.376069112105349</v>
      </c>
    </row>
    <row r="103">
      <c r="A103" s="2" t="n">
        <v>94</v>
      </c>
      <c r="B103" s="2" t="inlineStr">
        <is>
          <t>KPROP-00094</t>
        </is>
      </c>
      <c r="C103" s="3" t="n">
        <v>45865</v>
      </c>
      <c r="D103" s="2" t="inlineStr">
        <is>
          <t>Jack Leiter</t>
        </is>
      </c>
      <c r="E103" s="2" t="inlineStr">
        <is>
          <t>Loss</t>
        </is>
      </c>
      <c r="F103" s="2" t="n">
        <v>-1</v>
      </c>
      <c r="G103" s="6" t="n">
        <v>0.1041378797636977</v>
      </c>
      <c r="H103" s="7" t="n">
        <v>100</v>
      </c>
      <c r="I103" s="7" t="n">
        <v>-100</v>
      </c>
      <c r="J103" s="7" t="n">
        <v>10568.20046740276</v>
      </c>
      <c r="K103" s="7" t="n">
        <v>10768.20046740276</v>
      </c>
      <c r="L103" s="7" t="n">
        <v>-200</v>
      </c>
      <c r="M103" s="6" t="n">
        <v>-0.01857320548641672</v>
      </c>
      <c r="N103" s="7" t="n">
        <v>106.402567324513</v>
      </c>
      <c r="O103" s="7" t="n">
        <v>-106.402567324513</v>
      </c>
      <c r="P103" s="7" t="n">
        <v>10533.85416512678</v>
      </c>
      <c r="Q103" s="7" t="n">
        <v>10747.73407318313</v>
      </c>
      <c r="R103" s="7" t="n">
        <v>-213.879908056344</v>
      </c>
      <c r="S103" s="6" t="n">
        <v>-0.01989999999999998</v>
      </c>
      <c r="T103" s="7" t="n">
        <v>251.7777377190541</v>
      </c>
      <c r="U103" s="7" t="n">
        <v>-251.7777377190541</v>
      </c>
      <c r="V103" s="7" t="n">
        <v>9419.159995615644</v>
      </c>
      <c r="W103" s="7" t="n">
        <v>11299.68046176946</v>
      </c>
      <c r="X103" s="7" t="n">
        <v>-1880.520466153816</v>
      </c>
      <c r="Y103" s="6" t="n">
        <v>-0.1664224464148553</v>
      </c>
      <c r="Z103" s="7" t="n">
        <v>412.6319053096034</v>
      </c>
      <c r="AA103" s="7" t="n">
        <v>-412.6319053096034</v>
      </c>
      <c r="AB103" s="7" t="n">
        <v>7512.09070755554</v>
      </c>
      <c r="AC103" s="7" t="n">
        <v>12701.28273278115</v>
      </c>
      <c r="AD103" s="7" t="n">
        <v>-5189.192025225612</v>
      </c>
      <c r="AE103" s="6" t="n">
        <v>-0.4085565319975642</v>
      </c>
    </row>
    <row r="104">
      <c r="A104" s="2" t="n">
        <v>95</v>
      </c>
      <c r="B104" s="2" t="inlineStr">
        <is>
          <t>KPROP-00095</t>
        </is>
      </c>
      <c r="C104" s="3" t="n">
        <v>45865</v>
      </c>
      <c r="D104" s="2" t="inlineStr">
        <is>
          <t>Logan Gilbert</t>
        </is>
      </c>
      <c r="E104" s="2" t="inlineStr">
        <is>
          <t>Loss</t>
        </is>
      </c>
      <c r="F104" s="2" t="n">
        <v>-1</v>
      </c>
      <c r="G104" s="6" t="n">
        <v>0.1483954109122919</v>
      </c>
      <c r="H104" s="7" t="n">
        <v>100</v>
      </c>
      <c r="I104" s="7" t="n">
        <v>-100</v>
      </c>
      <c r="J104" s="7" t="n">
        <v>10468.20046740276</v>
      </c>
      <c r="K104" s="7" t="n">
        <v>10768.20046740276</v>
      </c>
      <c r="L104" s="7" t="n">
        <v>-300</v>
      </c>
      <c r="M104" s="6" t="n">
        <v>-0.02785980822962508</v>
      </c>
      <c r="N104" s="7" t="n">
        <v>105.3385416512678</v>
      </c>
      <c r="O104" s="7" t="n">
        <v>-105.3385416512678</v>
      </c>
      <c r="P104" s="7" t="n">
        <v>10428.51562347552</v>
      </c>
      <c r="Q104" s="7" t="n">
        <v>10747.73407318313</v>
      </c>
      <c r="R104" s="7" t="n">
        <v>-319.2184497076123</v>
      </c>
      <c r="S104" s="6" t="n">
        <v>-0.02970100000000002</v>
      </c>
      <c r="T104" s="7" t="n">
        <v>349.4400294995013</v>
      </c>
      <c r="U104" s="7" t="n">
        <v>-349.4400294995013</v>
      </c>
      <c r="V104" s="7" t="n">
        <v>9069.719966116143</v>
      </c>
      <c r="W104" s="7" t="n">
        <v>11299.68046176946</v>
      </c>
      <c r="X104" s="7" t="n">
        <v>-2229.960495653317</v>
      </c>
      <c r="Y104" s="6" t="n">
        <v>-0.1973472173127379</v>
      </c>
      <c r="Z104" s="7" t="n">
        <v>557.379893679057</v>
      </c>
      <c r="AA104" s="7" t="n">
        <v>-557.379893679057</v>
      </c>
      <c r="AB104" s="7" t="n">
        <v>6954.710813876482</v>
      </c>
      <c r="AC104" s="7" t="n">
        <v>12701.28273278115</v>
      </c>
      <c r="AD104" s="7" t="n">
        <v>-5746.571918904669</v>
      </c>
      <c r="AE104" s="6" t="n">
        <v>-0.4524402802303704</v>
      </c>
    </row>
    <row r="105">
      <c r="A105" s="2" t="n">
        <v>96</v>
      </c>
      <c r="B105" s="2" t="inlineStr">
        <is>
          <t>KPROP-00096</t>
        </is>
      </c>
      <c r="C105" s="3" t="n">
        <v>45865</v>
      </c>
      <c r="D105" s="2" t="inlineStr">
        <is>
          <t>Logan Gilbert</t>
        </is>
      </c>
      <c r="E105" s="2" t="inlineStr">
        <is>
          <t>Win</t>
        </is>
      </c>
      <c r="F105" s="2" t="n">
        <v>0.7692307692307692</v>
      </c>
      <c r="G105" s="6" t="n">
        <v>0.2553525982293405</v>
      </c>
      <c r="H105" s="7" t="n">
        <v>100</v>
      </c>
      <c r="I105" s="7" t="n">
        <v>76.92307692307692</v>
      </c>
      <c r="J105" s="7" t="n">
        <v>10545.12354432583</v>
      </c>
      <c r="K105" s="7" t="n">
        <v>10768.20046740276</v>
      </c>
      <c r="L105" s="7" t="n">
        <v>-223.0769230769238</v>
      </c>
      <c r="M105" s="6" t="n">
        <v>-0.02071626765792641</v>
      </c>
      <c r="N105" s="7" t="n">
        <v>104.2851562347552</v>
      </c>
      <c r="O105" s="7" t="n">
        <v>80.21935094981166</v>
      </c>
      <c r="P105" s="7" t="n">
        <v>10508.73497442533</v>
      </c>
      <c r="Q105" s="7" t="n">
        <v>10747.73407318313</v>
      </c>
      <c r="R105" s="7" t="n">
        <v>-238.9990987578003</v>
      </c>
      <c r="S105" s="6" t="n">
        <v>-0.02223716153846153</v>
      </c>
      <c r="T105" s="7" t="n">
        <v>578.9941396400709</v>
      </c>
      <c r="U105" s="7" t="n">
        <v>445.3801074154391</v>
      </c>
      <c r="V105" s="7" t="n">
        <v>9515.100073531583</v>
      </c>
      <c r="W105" s="7" t="n">
        <v>11299.68046176946</v>
      </c>
      <c r="X105" s="7" t="n">
        <v>-1784.580388237877</v>
      </c>
      <c r="Y105" s="6" t="n">
        <v>-0.1579319339405836</v>
      </c>
      <c r="Z105" s="7" t="n">
        <v>887.9517381285257</v>
      </c>
      <c r="AA105" s="7" t="n">
        <v>683.0397985604043</v>
      </c>
      <c r="AB105" s="7" t="n">
        <v>7637.750612436887</v>
      </c>
      <c r="AC105" s="7" t="n">
        <v>12701.28273278115</v>
      </c>
      <c r="AD105" s="7" t="n">
        <v>-5063.532120344265</v>
      </c>
      <c r="AE105" s="6" t="n">
        <v>-0.3986630505654072</v>
      </c>
    </row>
    <row r="106">
      <c r="A106" s="2" t="n">
        <v>97</v>
      </c>
      <c r="B106" s="2" t="inlineStr">
        <is>
          <t>KPROP-00097</t>
        </is>
      </c>
      <c r="C106" s="3" t="n">
        <v>45865</v>
      </c>
      <c r="D106" s="2" t="inlineStr">
        <is>
          <t>Max Scherzer</t>
        </is>
      </c>
      <c r="E106" s="2" t="inlineStr">
        <is>
          <t>Loss</t>
        </is>
      </c>
      <c r="F106" s="2" t="n">
        <v>-1</v>
      </c>
      <c r="G106" s="6" t="n">
        <v>0.217914700867315</v>
      </c>
      <c r="H106" s="7" t="n">
        <v>100</v>
      </c>
      <c r="I106" s="7" t="n">
        <v>-100</v>
      </c>
      <c r="J106" s="7" t="n">
        <v>10445.12354432583</v>
      </c>
      <c r="K106" s="7" t="n">
        <v>10768.20046740276</v>
      </c>
      <c r="L106" s="7" t="n">
        <v>-323.0769230769238</v>
      </c>
      <c r="M106" s="6" t="n">
        <v>-0.03000287040113477</v>
      </c>
      <c r="N106" s="7" t="n">
        <v>105.0873497442533</v>
      </c>
      <c r="O106" s="7" t="n">
        <v>-105.0873497442533</v>
      </c>
      <c r="P106" s="7" t="n">
        <v>10403.64762468107</v>
      </c>
      <c r="Q106" s="7" t="n">
        <v>10747.73407318313</v>
      </c>
      <c r="R106" s="7" t="n">
        <v>-344.0864485020538</v>
      </c>
      <c r="S106" s="6" t="n">
        <v>-0.03201478992307694</v>
      </c>
      <c r="T106" s="7" t="n">
        <v>518.3700465615506</v>
      </c>
      <c r="U106" s="7" t="n">
        <v>-518.3700465615506</v>
      </c>
      <c r="V106" s="7" t="n">
        <v>8996.730026970032</v>
      </c>
      <c r="W106" s="7" t="n">
        <v>11299.68046176946</v>
      </c>
      <c r="X106" s="7" t="n">
        <v>-2302.950434799428</v>
      </c>
      <c r="Y106" s="6" t="n">
        <v>-0.2038066866218977</v>
      </c>
      <c r="Z106" s="7" t="n">
        <v>832.1890700041682</v>
      </c>
      <c r="AA106" s="7" t="n">
        <v>-832.1890700041682</v>
      </c>
      <c r="AB106" s="7" t="n">
        <v>6805.561542432718</v>
      </c>
      <c r="AC106" s="7" t="n">
        <v>12701.28273278115</v>
      </c>
      <c r="AD106" s="7" t="n">
        <v>-5895.721190348434</v>
      </c>
      <c r="AE106" s="6" t="n">
        <v>-0.4641831312936587</v>
      </c>
    </row>
    <row r="107">
      <c r="A107" s="2" t="n">
        <v>98</v>
      </c>
      <c r="B107" s="2" t="inlineStr">
        <is>
          <t>KPROP-00098</t>
        </is>
      </c>
      <c r="C107" s="3" t="n">
        <v>45865</v>
      </c>
      <c r="D107" s="2" t="inlineStr">
        <is>
          <t>Tomoyuki Sugano</t>
        </is>
      </c>
      <c r="E107" s="2" t="inlineStr">
        <is>
          <t>Loss</t>
        </is>
      </c>
      <c r="F107" s="2" t="n">
        <v>-1</v>
      </c>
      <c r="G107" s="6" t="n">
        <v>0.1520337304160458</v>
      </c>
      <c r="H107" s="7" t="n">
        <v>100</v>
      </c>
      <c r="I107" s="7" t="n">
        <v>-100</v>
      </c>
      <c r="J107" s="7" t="n">
        <v>10345.12354432583</v>
      </c>
      <c r="K107" s="7" t="n">
        <v>10768.20046740276</v>
      </c>
      <c r="L107" s="7" t="n">
        <v>-423.0769230769238</v>
      </c>
      <c r="M107" s="6" t="n">
        <v>-0.03928947314434313</v>
      </c>
      <c r="N107" s="7" t="n">
        <v>104.0364762468108</v>
      </c>
      <c r="O107" s="7" t="n">
        <v>-104.0364762468108</v>
      </c>
      <c r="P107" s="7" t="n">
        <v>10299.61114843426</v>
      </c>
      <c r="Q107" s="7" t="n">
        <v>10747.73407318313</v>
      </c>
      <c r="R107" s="7" t="n">
        <v>-448.1229247488645</v>
      </c>
      <c r="S107" s="6" t="n">
        <v>-0.04169464202384616</v>
      </c>
      <c r="T107" s="7" t="n">
        <v>341.9516068865765</v>
      </c>
      <c r="U107" s="7" t="n">
        <v>-341.9516068865765</v>
      </c>
      <c r="V107" s="7" t="n">
        <v>8654.778420083456</v>
      </c>
      <c r="W107" s="7" t="n">
        <v>11299.68046176946</v>
      </c>
      <c r="X107" s="7" t="n">
        <v>-2644.902041686004</v>
      </c>
      <c r="Y107" s="6" t="n">
        <v>-0.2340687465131938</v>
      </c>
      <c r="Z107" s="7" t="n">
        <v>517.3374544360122</v>
      </c>
      <c r="AA107" s="7" t="n">
        <v>-517.3374544360122</v>
      </c>
      <c r="AB107" s="7" t="n">
        <v>6288.224087996706</v>
      </c>
      <c r="AC107" s="7" t="n">
        <v>12701.28273278115</v>
      </c>
      <c r="AD107" s="7" t="n">
        <v>-6413.058644784446</v>
      </c>
      <c r="AE107" s="6" t="n">
        <v>-0.5049142499782936</v>
      </c>
    </row>
    <row r="108">
      <c r="A108" s="2" t="n">
        <v>99</v>
      </c>
      <c r="B108" s="2" t="inlineStr">
        <is>
          <t>KPROP-00099</t>
        </is>
      </c>
      <c r="C108" s="3" t="n">
        <v>45866</v>
      </c>
      <c r="D108" s="2" t="inlineStr">
        <is>
          <t>Drew Rasmussen</t>
        </is>
      </c>
      <c r="E108" s="2" t="inlineStr">
        <is>
          <t>Loss</t>
        </is>
      </c>
      <c r="F108" s="2" t="n">
        <v>-1</v>
      </c>
      <c r="G108" s="6" t="n">
        <v>0.07988994361476155</v>
      </c>
      <c r="H108" s="7" t="n">
        <v>100</v>
      </c>
      <c r="I108" s="7" t="n">
        <v>-100</v>
      </c>
      <c r="J108" s="7" t="n">
        <v>10245.12354432583</v>
      </c>
      <c r="K108" s="7" t="n">
        <v>10768.20046740276</v>
      </c>
      <c r="L108" s="7" t="n">
        <v>-523.0769230769238</v>
      </c>
      <c r="M108" s="6" t="n">
        <v>-0.04857607588755149</v>
      </c>
      <c r="N108" s="7" t="n">
        <v>102.9961114843426</v>
      </c>
      <c r="O108" s="7" t="n">
        <v>-102.9961114843426</v>
      </c>
      <c r="P108" s="7" t="n">
        <v>10196.61503694992</v>
      </c>
      <c r="Q108" s="7" t="n">
        <v>10747.73407318313</v>
      </c>
      <c r="R108" s="7" t="n">
        <v>-551.1190362332072</v>
      </c>
      <c r="S108" s="6" t="n">
        <v>-0.0512776956036077</v>
      </c>
      <c r="T108" s="7" t="n">
        <v>172.8574399946806</v>
      </c>
      <c r="U108" s="7" t="n">
        <v>-172.8574399946806</v>
      </c>
      <c r="V108" s="7" t="n">
        <v>8481.920980088775</v>
      </c>
      <c r="W108" s="7" t="n">
        <v>11299.68046176946</v>
      </c>
      <c r="X108" s="7" t="n">
        <v>-2817.759481680685</v>
      </c>
      <c r="Y108" s="6" t="n">
        <v>-0.2493662976766549</v>
      </c>
      <c r="Z108" s="7" t="n">
        <v>251.1829339135211</v>
      </c>
      <c r="AA108" s="7" t="n">
        <v>-251.1829339135211</v>
      </c>
      <c r="AB108" s="7" t="n">
        <v>6037.041154083185</v>
      </c>
      <c r="AC108" s="7" t="n">
        <v>12701.28273278115</v>
      </c>
      <c r="AD108" s="7" t="n">
        <v>-6664.241578697967</v>
      </c>
      <c r="AE108" s="6" t="n">
        <v>-0.5246904363051466</v>
      </c>
    </row>
    <row r="109">
      <c r="A109" s="2" t="n">
        <v>100</v>
      </c>
      <c r="B109" s="2" t="inlineStr">
        <is>
          <t>KPROP-00100</t>
        </is>
      </c>
      <c r="C109" s="3" t="n">
        <v>45866</v>
      </c>
      <c r="D109" s="2" t="inlineStr">
        <is>
          <t>Matthew Boyd</t>
        </is>
      </c>
      <c r="E109" s="2" t="inlineStr">
        <is>
          <t>Win</t>
        </is>
      </c>
      <c r="F109" s="2" t="n">
        <v>1.06</v>
      </c>
      <c r="G109" s="6" t="n">
        <v>0.0859373864720403</v>
      </c>
      <c r="H109" s="7" t="n">
        <v>100</v>
      </c>
      <c r="I109" s="7" t="n">
        <v>106</v>
      </c>
      <c r="J109" s="7" t="n">
        <v>10351.12354432583</v>
      </c>
      <c r="K109" s="7" t="n">
        <v>10768.20046740276</v>
      </c>
      <c r="L109" s="7" t="n">
        <v>-417.0769230769238</v>
      </c>
      <c r="M109" s="6" t="n">
        <v>-0.03873227697975063</v>
      </c>
      <c r="N109" s="7" t="n">
        <v>101.9661503694992</v>
      </c>
      <c r="O109" s="7" t="n">
        <v>108.0841193916692</v>
      </c>
      <c r="P109" s="7" t="n">
        <v>10304.69915634159</v>
      </c>
      <c r="Q109" s="7" t="n">
        <v>10747.73407318313</v>
      </c>
      <c r="R109" s="7" t="n">
        <v>-443.0349168415378</v>
      </c>
      <c r="S109" s="6" t="n">
        <v>-0.04122123917700592</v>
      </c>
      <c r="T109" s="7" t="n">
        <v>182.228530322799</v>
      </c>
      <c r="U109" s="7" t="n">
        <v>193.1622421421669</v>
      </c>
      <c r="V109" s="7" t="n">
        <v>8675.083222230942</v>
      </c>
      <c r="W109" s="7" t="n">
        <v>11299.68046176946</v>
      </c>
      <c r="X109" s="7" t="n">
        <v>-2624.597239538518</v>
      </c>
      <c r="Y109" s="6" t="n">
        <v>-0.2322718105541475</v>
      </c>
      <c r="Z109" s="7" t="n">
        <v>259.4037694030294</v>
      </c>
      <c r="AA109" s="7" t="n">
        <v>274.9679955672112</v>
      </c>
      <c r="AB109" s="7" t="n">
        <v>6312.009149650396</v>
      </c>
      <c r="AC109" s="7" t="n">
        <v>12701.28273278115</v>
      </c>
      <c r="AD109" s="7" t="n">
        <v>-6389.273583130756</v>
      </c>
      <c r="AE109" s="6" t="n">
        <v>-0.5030415996205229</v>
      </c>
    </row>
    <row r="110">
      <c r="A110" s="2" t="n">
        <v>101</v>
      </c>
      <c r="B110" s="2" t="inlineStr">
        <is>
          <t>KPROP-00101</t>
        </is>
      </c>
      <c r="C110" s="3" t="n">
        <v>45866</v>
      </c>
      <c r="D110" s="2" t="inlineStr">
        <is>
          <t>Slade Cecconi</t>
        </is>
      </c>
      <c r="E110" s="2" t="inlineStr">
        <is>
          <t>Win</t>
        </is>
      </c>
      <c r="F110" s="2" t="n">
        <v>1</v>
      </c>
      <c r="G110" s="6" t="n">
        <v>0.1239999048260079</v>
      </c>
      <c r="H110" s="7" t="n">
        <v>100</v>
      </c>
      <c r="I110" s="7" t="n">
        <v>100</v>
      </c>
      <c r="J110" s="7" t="n">
        <v>10451.12354432583</v>
      </c>
      <c r="K110" s="7" t="n">
        <v>10768.20046740276</v>
      </c>
      <c r="L110" s="7" t="n">
        <v>-317.0769230769238</v>
      </c>
      <c r="M110" s="6" t="n">
        <v>-0.02944567423654227</v>
      </c>
      <c r="N110" s="7" t="n">
        <v>103.0469915634159</v>
      </c>
      <c r="O110" s="7" t="n">
        <v>103.0469915634159</v>
      </c>
      <c r="P110" s="7" t="n">
        <v>10407.74614790501</v>
      </c>
      <c r="Q110" s="7" t="n">
        <v>10747.73407318313</v>
      </c>
      <c r="R110" s="7" t="n">
        <v>-339.9879252781211</v>
      </c>
      <c r="S110" s="6" t="n">
        <v>-0.03163345156877591</v>
      </c>
      <c r="T110" s="7" t="n">
        <v>268.9273734785836</v>
      </c>
      <c r="U110" s="7" t="n">
        <v>268.9273734785836</v>
      </c>
      <c r="V110" s="7" t="n">
        <v>8944.010595709526</v>
      </c>
      <c r="W110" s="7" t="n">
        <v>11299.68046176946</v>
      </c>
      <c r="X110" s="7" t="n">
        <v>-2355.669866059934</v>
      </c>
      <c r="Y110" s="6" t="n">
        <v>-0.2084722549482652</v>
      </c>
      <c r="Z110" s="7" t="n">
        <v>391.34426690877</v>
      </c>
      <c r="AA110" s="7" t="n">
        <v>391.34426690877</v>
      </c>
      <c r="AB110" s="7" t="n">
        <v>6703.353416559165</v>
      </c>
      <c r="AC110" s="7" t="n">
        <v>12701.28273278115</v>
      </c>
      <c r="AD110" s="7" t="n">
        <v>-5997.929316221986</v>
      </c>
      <c r="AE110" s="6" t="n">
        <v>-0.4722302024457527</v>
      </c>
    </row>
    <row r="111">
      <c r="A111" s="2" t="n">
        <v>102</v>
      </c>
      <c r="B111" s="2" t="inlineStr">
        <is>
          <t>KPROP-00102</t>
        </is>
      </c>
      <c r="C111" s="3" t="n">
        <v>45866</v>
      </c>
      <c r="D111" s="2" t="inlineStr">
        <is>
          <t>Yoshinobu Yamamoto</t>
        </is>
      </c>
      <c r="E111" s="2" t="inlineStr">
        <is>
          <t>Loss</t>
        </is>
      </c>
      <c r="F111" s="2" t="n">
        <v>-1</v>
      </c>
      <c r="G111" s="6" t="n">
        <v>0.06690282303815817</v>
      </c>
      <c r="H111" s="7" t="n">
        <v>100</v>
      </c>
      <c r="I111" s="7" t="n">
        <v>-100</v>
      </c>
      <c r="J111" s="7" t="n">
        <v>10351.12354432583</v>
      </c>
      <c r="K111" s="7" t="n">
        <v>10768.20046740276</v>
      </c>
      <c r="L111" s="7" t="n">
        <v>-417.0769230769238</v>
      </c>
      <c r="M111" s="6" t="n">
        <v>-0.03873227697975063</v>
      </c>
      <c r="N111" s="7" t="n">
        <v>104.0774614790501</v>
      </c>
      <c r="O111" s="7" t="n">
        <v>-104.0774614790501</v>
      </c>
      <c r="P111" s="7" t="n">
        <v>10303.66868642596</v>
      </c>
      <c r="Q111" s="7" t="n">
        <v>10747.73407318313</v>
      </c>
      <c r="R111" s="7" t="n">
        <v>-444.0653867571709</v>
      </c>
      <c r="S111" s="6" t="n">
        <v>-0.04131711705308812</v>
      </c>
      <c r="T111" s="7" t="n">
        <v>149.5948895340415</v>
      </c>
      <c r="U111" s="7" t="n">
        <v>-149.5948895340415</v>
      </c>
      <c r="V111" s="7" t="n">
        <v>8794.415706175485</v>
      </c>
      <c r="W111" s="7" t="n">
        <v>11299.68046176946</v>
      </c>
      <c r="X111" s="7" t="n">
        <v>-2505.264755593975</v>
      </c>
      <c r="Y111" s="6" t="n">
        <v>-0.2217111151125123</v>
      </c>
      <c r="Z111" s="7" t="n">
        <v>224.2366336951454</v>
      </c>
      <c r="AA111" s="7" t="n">
        <v>-224.2366336951454</v>
      </c>
      <c r="AB111" s="7" t="n">
        <v>6479.11678286402</v>
      </c>
      <c r="AC111" s="7" t="n">
        <v>12701.28273278115</v>
      </c>
      <c r="AD111" s="7" t="n">
        <v>-6222.165949917132</v>
      </c>
      <c r="AE111" s="6" t="n">
        <v>-0.4898848471310809</v>
      </c>
    </row>
    <row r="112">
      <c r="A112" s="2" t="n">
        <v>103</v>
      </c>
      <c r="B112" s="2" t="inlineStr">
        <is>
          <t>KPROP-00103</t>
        </is>
      </c>
      <c r="C112" s="3" t="n">
        <v>45866</v>
      </c>
      <c r="D112" s="2" t="inlineStr">
        <is>
          <t>Yoshinobu Yamamoto</t>
        </is>
      </c>
      <c r="E112" s="2" t="inlineStr">
        <is>
          <t>Loss</t>
        </is>
      </c>
      <c r="F112" s="2" t="n">
        <v>-1</v>
      </c>
      <c r="G112" s="6" t="n">
        <v>0.08279913202040254</v>
      </c>
      <c r="H112" s="7" t="n">
        <v>100</v>
      </c>
      <c r="I112" s="7" t="n">
        <v>-100</v>
      </c>
      <c r="J112" s="7" t="n">
        <v>10251.12354432583</v>
      </c>
      <c r="K112" s="7" t="n">
        <v>10768.20046740276</v>
      </c>
      <c r="L112" s="7" t="n">
        <v>-517.0769230769238</v>
      </c>
      <c r="M112" s="6" t="n">
        <v>-0.04801887972295899</v>
      </c>
      <c r="N112" s="7" t="n">
        <v>103.0366868642596</v>
      </c>
      <c r="O112" s="7" t="n">
        <v>-103.0366868642596</v>
      </c>
      <c r="P112" s="7" t="n">
        <v>10200.6319995617</v>
      </c>
      <c r="Q112" s="7" t="n">
        <v>10747.73407318313</v>
      </c>
      <c r="R112" s="7" t="n">
        <v>-547.1020736214305</v>
      </c>
      <c r="S112" s="6" t="n">
        <v>-0.05090394588255724</v>
      </c>
      <c r="T112" s="7" t="n">
        <v>182.0424967744814</v>
      </c>
      <c r="U112" s="7" t="n">
        <v>-182.0424967744814</v>
      </c>
      <c r="V112" s="7" t="n">
        <v>8612.373209401003</v>
      </c>
      <c r="W112" s="7" t="n">
        <v>11299.68046176946</v>
      </c>
      <c r="X112" s="7" t="n">
        <v>-2687.307252368457</v>
      </c>
      <c r="Y112" s="6" t="n">
        <v>-0.2378215261449651</v>
      </c>
      <c r="Z112" s="7" t="n">
        <v>268.2326229399819</v>
      </c>
      <c r="AA112" s="7" t="n">
        <v>-268.2326229399819</v>
      </c>
      <c r="AB112" s="7" t="n">
        <v>6210.884159924039</v>
      </c>
      <c r="AC112" s="7" t="n">
        <v>12701.28273278115</v>
      </c>
      <c r="AD112" s="7" t="n">
        <v>-6490.398572857113</v>
      </c>
      <c r="AE112" s="6" t="n">
        <v>-0.5110033930750816</v>
      </c>
    </row>
    <row r="113">
      <c r="A113" s="2" t="n">
        <v>104</v>
      </c>
      <c r="B113" s="2" t="inlineStr">
        <is>
          <t>KPROP-00104</t>
        </is>
      </c>
      <c r="C113" s="3" t="n">
        <v>45866</v>
      </c>
      <c r="D113" s="2" t="inlineStr">
        <is>
          <t>Zach Eflin</t>
        </is>
      </c>
      <c r="E113" s="2" t="inlineStr">
        <is>
          <t>Win</t>
        </is>
      </c>
      <c r="F113" s="2" t="n">
        <v>1</v>
      </c>
      <c r="G113" s="6" t="n">
        <v>0.0750187086038856</v>
      </c>
      <c r="H113" s="7" t="n">
        <v>100</v>
      </c>
      <c r="I113" s="7" t="n">
        <v>100</v>
      </c>
      <c r="J113" s="7" t="n">
        <v>10351.12354432583</v>
      </c>
      <c r="K113" s="7" t="n">
        <v>10768.20046740276</v>
      </c>
      <c r="L113" s="7" t="n">
        <v>-417.0769230769238</v>
      </c>
      <c r="M113" s="6" t="n">
        <v>-0.03873227697975063</v>
      </c>
      <c r="N113" s="7" t="n">
        <v>102.006319995617</v>
      </c>
      <c r="O113" s="7" t="n">
        <v>102.006319995617</v>
      </c>
      <c r="P113" s="7" t="n">
        <v>10302.63831955731</v>
      </c>
      <c r="Q113" s="7" t="n">
        <v>10747.73407318313</v>
      </c>
      <c r="R113" s="7" t="n">
        <v>-445.0957536258138</v>
      </c>
      <c r="S113" s="6" t="n">
        <v>-0.04141298534138284</v>
      </c>
      <c r="T113" s="7" t="n">
        <v>161.5222790459912</v>
      </c>
      <c r="U113" s="7" t="n">
        <v>161.5222790459912</v>
      </c>
      <c r="V113" s="7" t="n">
        <v>8773.895488446995</v>
      </c>
      <c r="W113" s="7" t="n">
        <v>11299.68046176946</v>
      </c>
      <c r="X113" s="7" t="n">
        <v>-2525.784973322465</v>
      </c>
      <c r="Y113" s="6" t="n">
        <v>-0.2235271149363937</v>
      </c>
      <c r="Z113" s="7" t="n">
        <v>232.9662544829151</v>
      </c>
      <c r="AA113" s="7" t="n">
        <v>232.9662544829151</v>
      </c>
      <c r="AB113" s="7" t="n">
        <v>6443.850414406954</v>
      </c>
      <c r="AC113" s="7" t="n">
        <v>12701.28273278115</v>
      </c>
      <c r="AD113" s="7" t="n">
        <v>-6257.432318374198</v>
      </c>
      <c r="AE113" s="6" t="n">
        <v>-0.4926614460934869</v>
      </c>
    </row>
    <row r="114">
      <c r="A114" s="2" t="n">
        <v>105</v>
      </c>
      <c r="B114" s="2" t="inlineStr">
        <is>
          <t>KPROP-00105</t>
        </is>
      </c>
      <c r="C114" s="3" t="n">
        <v>45867</v>
      </c>
      <c r="D114" s="2" t="inlineStr">
        <is>
          <t>Brandon Pfaadt</t>
        </is>
      </c>
      <c r="E114" s="2" t="inlineStr">
        <is>
          <t>Win</t>
        </is>
      </c>
      <c r="F114" s="2" t="n">
        <v>1.3</v>
      </c>
      <c r="G114" s="6" t="n">
        <v>0.07325867498372549</v>
      </c>
      <c r="H114" s="7" t="n">
        <v>100</v>
      </c>
      <c r="I114" s="7" t="n">
        <v>130</v>
      </c>
      <c r="J114" s="7" t="n">
        <v>10481.12354432583</v>
      </c>
      <c r="K114" s="7" t="n">
        <v>10768.20046740276</v>
      </c>
      <c r="L114" s="7" t="n">
        <v>-287.0769230769238</v>
      </c>
      <c r="M114" s="6" t="n">
        <v>-0.02665969341357976</v>
      </c>
      <c r="N114" s="7" t="n">
        <v>103.0263831955731</v>
      </c>
      <c r="O114" s="7" t="n">
        <v>133.9342981542451</v>
      </c>
      <c r="P114" s="7" t="n">
        <v>10436.57261771156</v>
      </c>
      <c r="Q114" s="7" t="n">
        <v>10747.73407318313</v>
      </c>
      <c r="R114" s="7" t="n">
        <v>-311.1614554715688</v>
      </c>
      <c r="S114" s="6" t="n">
        <v>-0.02895135415082083</v>
      </c>
      <c r="T114" s="7" t="n">
        <v>160.6909894823284</v>
      </c>
      <c r="U114" s="7" t="n">
        <v>208.8982863270269</v>
      </c>
      <c r="V114" s="7" t="n">
        <v>8982.793774774022</v>
      </c>
      <c r="W114" s="7" t="n">
        <v>11299.68046176946</v>
      </c>
      <c r="X114" s="7" t="n">
        <v>-2316.886686995438</v>
      </c>
      <c r="Y114" s="6" t="n">
        <v>-0.2050400181522149</v>
      </c>
      <c r="Z114" s="7" t="n">
        <v>236.0339715763919</v>
      </c>
      <c r="AA114" s="7" t="n">
        <v>306.8441630493094</v>
      </c>
      <c r="AB114" s="7" t="n">
        <v>6750.694577456264</v>
      </c>
      <c r="AC114" s="7" t="n">
        <v>12701.28273278115</v>
      </c>
      <c r="AD114" s="7" t="n">
        <v>-5950.588155324888</v>
      </c>
      <c r="AE114" s="6" t="n">
        <v>-0.4685029284457091</v>
      </c>
    </row>
    <row r="115">
      <c r="A115" s="2" t="n">
        <v>106</v>
      </c>
      <c r="B115" s="2" t="inlineStr">
        <is>
          <t>KPROP-00106</t>
        </is>
      </c>
      <c r="C115" s="3" t="n">
        <v>45867</v>
      </c>
      <c r="D115" s="2" t="inlineStr">
        <is>
          <t>Max Fried</t>
        </is>
      </c>
      <c r="E115" s="2" t="inlineStr">
        <is>
          <t>Loss</t>
        </is>
      </c>
      <c r="F115" s="2" t="n">
        <v>-1</v>
      </c>
      <c r="G115" s="6" t="n">
        <v>0.1752266328443125</v>
      </c>
      <c r="H115" s="7" t="n">
        <v>100</v>
      </c>
      <c r="I115" s="7" t="n">
        <v>-100</v>
      </c>
      <c r="J115" s="7" t="n">
        <v>10381.12354432583</v>
      </c>
      <c r="K115" s="7" t="n">
        <v>10768.20046740276</v>
      </c>
      <c r="L115" s="7" t="n">
        <v>-387.0769230769238</v>
      </c>
      <c r="M115" s="6" t="n">
        <v>-0.03594629615678812</v>
      </c>
      <c r="N115" s="7" t="n">
        <v>104.3657261771156</v>
      </c>
      <c r="O115" s="7" t="n">
        <v>-104.3657261771156</v>
      </c>
      <c r="P115" s="7" t="n">
        <v>10332.20689153444</v>
      </c>
      <c r="Q115" s="7" t="n">
        <v>10747.73407318313</v>
      </c>
      <c r="R115" s="7" t="n">
        <v>-415.5271816486838</v>
      </c>
      <c r="S115" s="6" t="n">
        <v>-0.03866184060931257</v>
      </c>
      <c r="T115" s="7" t="n">
        <v>393.5061766721259</v>
      </c>
      <c r="U115" s="7" t="n">
        <v>-393.5061766721259</v>
      </c>
      <c r="V115" s="7" t="n">
        <v>8589.287598101895</v>
      </c>
      <c r="W115" s="7" t="n">
        <v>11299.68046176946</v>
      </c>
      <c r="X115" s="7" t="n">
        <v>-2710.392863667565</v>
      </c>
      <c r="Y115" s="6" t="n">
        <v>-0.2398645583685058</v>
      </c>
      <c r="Z115" s="7" t="n">
        <v>591.45074008401</v>
      </c>
      <c r="AA115" s="7" t="n">
        <v>-591.45074008401</v>
      </c>
      <c r="AB115" s="7" t="n">
        <v>6159.243837372253</v>
      </c>
      <c r="AC115" s="7" t="n">
        <v>12701.28273278115</v>
      </c>
      <c r="AD115" s="7" t="n">
        <v>-6542.038895408898</v>
      </c>
      <c r="AE115" s="6" t="n">
        <v>-0.5150691495532446</v>
      </c>
    </row>
    <row r="116">
      <c r="A116" s="2" t="n">
        <v>107</v>
      </c>
      <c r="B116" s="2" t="inlineStr">
        <is>
          <t>KPROP-00107</t>
        </is>
      </c>
      <c r="C116" s="3" t="n">
        <v>45867</v>
      </c>
      <c r="D116" s="2" t="inlineStr">
        <is>
          <t>Quinn Priester</t>
        </is>
      </c>
      <c r="E116" s="2" t="inlineStr">
        <is>
          <t>Win</t>
        </is>
      </c>
      <c r="F116" s="2" t="n">
        <v>1.1</v>
      </c>
      <c r="G116" s="6" t="n">
        <v>0.07305505131981804</v>
      </c>
      <c r="H116" s="7" t="n">
        <v>100</v>
      </c>
      <c r="I116" s="7" t="n">
        <v>110</v>
      </c>
      <c r="J116" s="7" t="n">
        <v>10491.12354432583</v>
      </c>
      <c r="K116" s="7" t="n">
        <v>10768.20046740276</v>
      </c>
      <c r="L116" s="7" t="n">
        <v>-277.0769230769238</v>
      </c>
      <c r="M116" s="6" t="n">
        <v>-0.02573103313925892</v>
      </c>
      <c r="N116" s="7" t="n">
        <v>103.3220689153444</v>
      </c>
      <c r="O116" s="7" t="n">
        <v>113.6542758068789</v>
      </c>
      <c r="P116" s="7" t="n">
        <v>10445.86116734132</v>
      </c>
      <c r="Q116" s="7" t="n">
        <v>10747.73407318313</v>
      </c>
      <c r="R116" s="7" t="n">
        <v>-301.8729058418048</v>
      </c>
      <c r="S116" s="6" t="n">
        <v>-0.028087120856015</v>
      </c>
      <c r="T116" s="7" t="n">
        <v>156.8727115700027</v>
      </c>
      <c r="U116" s="7" t="n">
        <v>172.5599827270029</v>
      </c>
      <c r="V116" s="7" t="n">
        <v>8761.847580828899</v>
      </c>
      <c r="W116" s="7" t="n">
        <v>11299.68046176946</v>
      </c>
      <c r="X116" s="7" t="n">
        <v>-2537.832880940561</v>
      </c>
      <c r="Y116" s="6" t="n">
        <v>-0.2245933316014453</v>
      </c>
      <c r="Z116" s="7" t="n">
        <v>224.9819373152515</v>
      </c>
      <c r="AA116" s="7" t="n">
        <v>247.4801310467766</v>
      </c>
      <c r="AB116" s="7" t="n">
        <v>6406.72396841903</v>
      </c>
      <c r="AC116" s="7" t="n">
        <v>12701.28273278115</v>
      </c>
      <c r="AD116" s="7" t="n">
        <v>-6294.558764362122</v>
      </c>
      <c r="AE116" s="6" t="n">
        <v>-0.4955844930619717</v>
      </c>
    </row>
    <row r="117">
      <c r="A117" s="2" t="n">
        <v>108</v>
      </c>
      <c r="B117" s="2" t="inlineStr">
        <is>
          <t>KPROP-00108</t>
        </is>
      </c>
      <c r="C117" s="3" t="n">
        <v>45867</v>
      </c>
      <c r="D117" s="2" t="inlineStr">
        <is>
          <t>Seth Lugo</t>
        </is>
      </c>
      <c r="E117" s="2" t="inlineStr">
        <is>
          <t>Loss</t>
        </is>
      </c>
      <c r="F117" s="2" t="n">
        <v>-1</v>
      </c>
      <c r="G117" s="6" t="n">
        <v>0.1971034818704032</v>
      </c>
      <c r="H117" s="7" t="n">
        <v>100</v>
      </c>
      <c r="I117" s="7" t="n">
        <v>-100</v>
      </c>
      <c r="J117" s="7" t="n">
        <v>10391.12354432583</v>
      </c>
      <c r="K117" s="7" t="n">
        <v>10768.20046740276</v>
      </c>
      <c r="L117" s="7" t="n">
        <v>-377.0769230769238</v>
      </c>
      <c r="M117" s="6" t="n">
        <v>-0.03501763588246729</v>
      </c>
      <c r="N117" s="7" t="n">
        <v>104.4586116734132</v>
      </c>
      <c r="O117" s="7" t="n">
        <v>-104.4586116734132</v>
      </c>
      <c r="P117" s="7" t="n">
        <v>10341.40255566791</v>
      </c>
      <c r="Q117" s="7" t="n">
        <v>10747.73407318313</v>
      </c>
      <c r="R117" s="7" t="n">
        <v>-406.3315175152184</v>
      </c>
      <c r="S117" s="6" t="n">
        <v>-0.03780624964745487</v>
      </c>
      <c r="T117" s="7" t="n">
        <v>431.7476664497863</v>
      </c>
      <c r="U117" s="7" t="n">
        <v>-431.7476664497863</v>
      </c>
      <c r="V117" s="7" t="n">
        <v>8330.099914379112</v>
      </c>
      <c r="W117" s="7" t="n">
        <v>11299.68046176946</v>
      </c>
      <c r="X117" s="7" t="n">
        <v>-2969.580547390347</v>
      </c>
      <c r="Y117" s="6" t="n">
        <v>-0.2628021701531664</v>
      </c>
      <c r="Z117" s="7" t="n">
        <v>631.393800778979</v>
      </c>
      <c r="AA117" s="7" t="n">
        <v>-631.393800778979</v>
      </c>
      <c r="AB117" s="7" t="n">
        <v>5775.330167640051</v>
      </c>
      <c r="AC117" s="7" t="n">
        <v>12701.28273278115</v>
      </c>
      <c r="AD117" s="7" t="n">
        <v>-6925.952565141101</v>
      </c>
      <c r="AE117" s="6" t="n">
        <v>-0.5452955194254266</v>
      </c>
    </row>
    <row r="118">
      <c r="A118" s="2" t="n">
        <v>109</v>
      </c>
      <c r="B118" s="2" t="inlineStr">
        <is>
          <t>KPROP-00109</t>
        </is>
      </c>
      <c r="C118" s="3" t="n">
        <v>45867</v>
      </c>
      <c r="D118" s="2" t="inlineStr">
        <is>
          <t>Sonny Gray</t>
        </is>
      </c>
      <c r="E118" s="2" t="inlineStr">
        <is>
          <t>Win</t>
        </is>
      </c>
      <c r="F118" s="2" t="n">
        <v>0.970873786407767</v>
      </c>
      <c r="G118" s="6" t="n">
        <v>0.4020326767938599</v>
      </c>
      <c r="H118" s="7" t="n">
        <v>100</v>
      </c>
      <c r="I118" s="7" t="n">
        <v>97.08737864077671</v>
      </c>
      <c r="J118" s="7" t="n">
        <v>10488.21092296661</v>
      </c>
      <c r="K118" s="7" t="n">
        <v>10768.20046740276</v>
      </c>
      <c r="L118" s="7" t="n">
        <v>-279.9895444361464</v>
      </c>
      <c r="M118" s="6" t="n">
        <v>-0.02600151671430376</v>
      </c>
      <c r="N118" s="7" t="n">
        <v>103.4140255566791</v>
      </c>
      <c r="O118" s="7" t="n">
        <v>100.4019665598826</v>
      </c>
      <c r="P118" s="7" t="n">
        <v>10441.80452222779</v>
      </c>
      <c r="Q118" s="7" t="n">
        <v>10747.73407318313</v>
      </c>
      <c r="R118" s="7" t="n">
        <v>-305.9295509553358</v>
      </c>
      <c r="S118" s="6" t="n">
        <v>-0.02846456275082822</v>
      </c>
      <c r="T118" s="7" t="n">
        <v>837.2430916345344</v>
      </c>
      <c r="U118" s="7" t="n">
        <v>812.8573705189655</v>
      </c>
      <c r="V118" s="7" t="n">
        <v>9142.957284898077</v>
      </c>
      <c r="W118" s="7" t="n">
        <v>11299.68046176946</v>
      </c>
      <c r="X118" s="7" t="n">
        <v>-2156.723176871383</v>
      </c>
      <c r="Y118" s="6" t="n">
        <v>-0.1908658553813347</v>
      </c>
      <c r="Z118" s="7" t="n">
        <v>1160.935723332331</v>
      </c>
      <c r="AA118" s="7" t="n">
        <v>1127.1220614877</v>
      </c>
      <c r="AB118" s="7" t="n">
        <v>6902.45222912775</v>
      </c>
      <c r="AC118" s="7" t="n">
        <v>12701.28273278115</v>
      </c>
      <c r="AD118" s="7" t="n">
        <v>-5798.830503653402</v>
      </c>
      <c r="AE118" s="6" t="n">
        <v>-0.4565547138547678</v>
      </c>
    </row>
    <row r="119">
      <c r="A119" s="2" t="n">
        <v>110</v>
      </c>
      <c r="B119" s="2" t="inlineStr">
        <is>
          <t>KPROP-00110</t>
        </is>
      </c>
      <c r="C119" s="3" t="n">
        <v>45867</v>
      </c>
      <c r="D119" s="2" t="inlineStr">
        <is>
          <t>Tyler Glasnow</t>
        </is>
      </c>
      <c r="E119" s="2" t="inlineStr">
        <is>
          <t>Win</t>
        </is>
      </c>
      <c r="F119" s="2" t="n">
        <v>1.4</v>
      </c>
      <c r="G119" s="6" t="n">
        <v>0.2212840461224343</v>
      </c>
      <c r="H119" s="7" t="n">
        <v>100</v>
      </c>
      <c r="I119" s="7" t="n">
        <v>140</v>
      </c>
      <c r="J119" s="7" t="n">
        <v>10628.21092296661</v>
      </c>
      <c r="K119" s="7" t="n">
        <v>10768.20046740276</v>
      </c>
      <c r="L119" s="7" t="n">
        <v>-139.9895444361464</v>
      </c>
      <c r="M119" s="6" t="n">
        <v>-0.01300027287381206</v>
      </c>
      <c r="N119" s="7" t="n">
        <v>104.4180452222779</v>
      </c>
      <c r="O119" s="7" t="n">
        <v>146.1852633111891</v>
      </c>
      <c r="P119" s="7" t="n">
        <v>10587.98978553898</v>
      </c>
      <c r="Q119" s="7" t="n">
        <v>10747.73407318313</v>
      </c>
      <c r="R119" s="7" t="n">
        <v>-159.7442876441473</v>
      </c>
      <c r="S119" s="6" t="n">
        <v>-0.01486306662933988</v>
      </c>
      <c r="T119" s="7" t="n">
        <v>505.7976453817082</v>
      </c>
      <c r="U119" s="7" t="n">
        <v>708.1167035343915</v>
      </c>
      <c r="V119" s="7" t="n">
        <v>9851.073988432468</v>
      </c>
      <c r="W119" s="7" t="n">
        <v>11299.68046176946</v>
      </c>
      <c r="X119" s="7" t="n">
        <v>-1448.606473336991</v>
      </c>
      <c r="Y119" s="6" t="n">
        <v>-0.1281988882993731</v>
      </c>
      <c r="Z119" s="7" t="n">
        <v>763.7012787141023</v>
      </c>
      <c r="AA119" s="7" t="n">
        <v>1069.181790199743</v>
      </c>
      <c r="AB119" s="7" t="n">
        <v>7971.634019327493</v>
      </c>
      <c r="AC119" s="7" t="n">
        <v>12701.28273278115</v>
      </c>
      <c r="AD119" s="7" t="n">
        <v>-4729.648713453659</v>
      </c>
      <c r="AE119" s="6" t="n">
        <v>-0.3723756736197011</v>
      </c>
    </row>
    <row r="120">
      <c r="A120" s="2" t="n">
        <v>111</v>
      </c>
      <c r="B120" s="2" t="inlineStr">
        <is>
          <t>KPROP-00111</t>
        </is>
      </c>
      <c r="C120" s="3" t="n">
        <v>45867</v>
      </c>
      <c r="D120" s="2" t="inlineStr">
        <is>
          <t>Tyler Glasnow</t>
        </is>
      </c>
      <c r="E120" s="2" t="inlineStr">
        <is>
          <t>Win</t>
        </is>
      </c>
      <c r="F120" s="2" t="n">
        <v>0.6896551724137931</v>
      </c>
      <c r="G120" s="6" t="n">
        <v>0.2415848347736758</v>
      </c>
      <c r="H120" s="7" t="n">
        <v>100</v>
      </c>
      <c r="I120" s="7" t="n">
        <v>68.96551724137932</v>
      </c>
      <c r="J120" s="7" t="n">
        <v>10697.17644020799</v>
      </c>
      <c r="K120" s="7" t="n">
        <v>10768.20046740276</v>
      </c>
      <c r="L120" s="7" t="n">
        <v>-71.02402719476777</v>
      </c>
      <c r="M120" s="6" t="n">
        <v>-0.006595719257806356</v>
      </c>
      <c r="N120" s="7" t="n">
        <v>105.8798978553898</v>
      </c>
      <c r="O120" s="7" t="n">
        <v>73.02061921061367</v>
      </c>
      <c r="P120" s="7" t="n">
        <v>10661.0104047496</v>
      </c>
      <c r="Q120" s="7" t="n">
        <v>10747.73407318313</v>
      </c>
      <c r="R120" s="7" t="n">
        <v>-86.72366843353302</v>
      </c>
      <c r="S120" s="6" t="n">
        <v>-0.00806901881299044</v>
      </c>
      <c r="T120" s="7" t="n">
        <v>594.9675204596783</v>
      </c>
      <c r="U120" s="7" t="n">
        <v>410.3224279032265</v>
      </c>
      <c r="V120" s="7" t="n">
        <v>10261.39641633569</v>
      </c>
      <c r="W120" s="7" t="n">
        <v>11299.68046176946</v>
      </c>
      <c r="X120" s="7" t="n">
        <v>-1038.284045433766</v>
      </c>
      <c r="Y120" s="6" t="n">
        <v>-0.09188614217425196</v>
      </c>
      <c r="Z120" s="7" t="n">
        <v>962.9129437177227</v>
      </c>
      <c r="AA120" s="7" t="n">
        <v>664.0778922191191</v>
      </c>
      <c r="AB120" s="7" t="n">
        <v>8635.711911546612</v>
      </c>
      <c r="AC120" s="7" t="n">
        <v>12701.28273278115</v>
      </c>
      <c r="AD120" s="7" t="n">
        <v>-4065.57082123454</v>
      </c>
      <c r="AE120" s="6" t="n">
        <v>-0.320091356658141</v>
      </c>
    </row>
    <row r="121">
      <c r="A121" s="2" t="n">
        <v>112</v>
      </c>
      <c r="B121" s="2" t="inlineStr">
        <is>
          <t>KPROP-00112</t>
        </is>
      </c>
      <c r="C121" s="3" t="n">
        <v>45868</v>
      </c>
      <c r="D121" s="2" t="inlineStr">
        <is>
          <t>Freddy Peralta</t>
        </is>
      </c>
      <c r="E121" s="2" t="inlineStr">
        <is>
          <t>Win</t>
        </is>
      </c>
      <c r="F121" s="2" t="n">
        <v>0.8333333333333335</v>
      </c>
      <c r="G121" s="6" t="n">
        <v>0.2823285668811794</v>
      </c>
      <c r="H121" s="7" t="n">
        <v>100</v>
      </c>
      <c r="I121" s="7" t="n">
        <v>83.33333333333334</v>
      </c>
      <c r="J121" s="7" t="n">
        <v>10780.50977354132</v>
      </c>
      <c r="K121" s="7" t="n">
        <v>10780.50977354132</v>
      </c>
      <c r="L121" s="7" t="n">
        <v>0</v>
      </c>
      <c r="M121" s="6" t="n">
        <v>0</v>
      </c>
      <c r="N121" s="7" t="n">
        <v>106.610104047496</v>
      </c>
      <c r="O121" s="7" t="n">
        <v>88.8417533729133</v>
      </c>
      <c r="P121" s="7" t="n">
        <v>10749.85215812251</v>
      </c>
      <c r="Q121" s="7" t="n">
        <v>10749.85215812251</v>
      </c>
      <c r="R121" s="7" t="n">
        <v>0</v>
      </c>
      <c r="S121" s="6" t="n">
        <v>0</v>
      </c>
      <c r="T121" s="7" t="n">
        <v>724.2713361059317</v>
      </c>
      <c r="U121" s="7" t="n">
        <v>603.5594467549432</v>
      </c>
      <c r="V121" s="7" t="n">
        <v>10864.95586309064</v>
      </c>
      <c r="W121" s="7" t="n">
        <v>11299.68046176946</v>
      </c>
      <c r="X121" s="7" t="n">
        <v>-434.7245986788221</v>
      </c>
      <c r="Y121" s="6" t="n">
        <v>-0.03847229133156805</v>
      </c>
      <c r="Z121" s="7" t="n">
        <v>1219.054083992843</v>
      </c>
      <c r="AA121" s="7" t="n">
        <v>1015.878403327369</v>
      </c>
      <c r="AB121" s="7" t="n">
        <v>9651.590314873982</v>
      </c>
      <c r="AC121" s="7" t="n">
        <v>12701.28273278115</v>
      </c>
      <c r="AD121" s="7" t="n">
        <v>-3049.69241790717</v>
      </c>
      <c r="AE121" s="6" t="n">
        <v>-0.2401090096227935</v>
      </c>
    </row>
    <row r="122">
      <c r="A122" s="2" t="n">
        <v>113</v>
      </c>
      <c r="B122" s="2" t="inlineStr">
        <is>
          <t>KPROP-00113</t>
        </is>
      </c>
      <c r="C122" s="3" t="n">
        <v>45868</v>
      </c>
      <c r="D122" s="2" t="inlineStr">
        <is>
          <t>Logan Webb</t>
        </is>
      </c>
      <c r="E122" s="2" t="inlineStr">
        <is>
          <t>Loss</t>
        </is>
      </c>
      <c r="F122" s="2" t="n">
        <v>-1</v>
      </c>
      <c r="G122" s="6" t="n">
        <v>0.1663585074154551</v>
      </c>
      <c r="H122" s="7" t="n">
        <v>100</v>
      </c>
      <c r="I122" s="7" t="n">
        <v>-100</v>
      </c>
      <c r="J122" s="7" t="n">
        <v>10680.50977354132</v>
      </c>
      <c r="K122" s="7" t="n">
        <v>10780.50977354132</v>
      </c>
      <c r="L122" s="7" t="n">
        <v>-100</v>
      </c>
      <c r="M122" s="6" t="n">
        <v>-0.009275999196756972</v>
      </c>
      <c r="N122" s="7" t="n">
        <v>107.4985215812251</v>
      </c>
      <c r="O122" s="7" t="n">
        <v>-107.4985215812251</v>
      </c>
      <c r="P122" s="7" t="n">
        <v>10642.35363654128</v>
      </c>
      <c r="Q122" s="7" t="n">
        <v>10749.85215812251</v>
      </c>
      <c r="R122" s="7" t="n">
        <v>-107.4985215812248</v>
      </c>
      <c r="S122" s="6" t="n">
        <v>-0.009999999999999978</v>
      </c>
      <c r="T122" s="7" t="n">
        <v>451.869460129639</v>
      </c>
      <c r="U122" s="7" t="n">
        <v>-451.869460129639</v>
      </c>
      <c r="V122" s="7" t="n">
        <v>10413.086402961</v>
      </c>
      <c r="W122" s="7" t="n">
        <v>11299.68046176946</v>
      </c>
      <c r="X122" s="7" t="n">
        <v>-886.5940588084613</v>
      </c>
      <c r="Y122" s="6" t="n">
        <v>-0.07846186994473879</v>
      </c>
      <c r="Z122" s="7" t="n">
        <v>802.812079483949</v>
      </c>
      <c r="AA122" s="7" t="n">
        <v>-802.812079483949</v>
      </c>
      <c r="AB122" s="7" t="n">
        <v>8848.778235390033</v>
      </c>
      <c r="AC122" s="7" t="n">
        <v>12701.28273278115</v>
      </c>
      <c r="AD122" s="7" t="n">
        <v>-3852.504497391119</v>
      </c>
      <c r="AE122" s="6" t="n">
        <v>-0.3033161751015955</v>
      </c>
    </row>
    <row r="123">
      <c r="A123" s="2" t="n">
        <v>114</v>
      </c>
      <c r="B123" s="2" t="inlineStr">
        <is>
          <t>KPROP-00114</t>
        </is>
      </c>
      <c r="C123" s="3" t="n">
        <v>45868</v>
      </c>
      <c r="D123" s="2" t="inlineStr">
        <is>
          <t>Logan Webb</t>
        </is>
      </c>
      <c r="E123" s="2" t="inlineStr">
        <is>
          <t>Loss</t>
        </is>
      </c>
      <c r="F123" s="2" t="n">
        <v>-1</v>
      </c>
      <c r="G123" s="6" t="n">
        <v>0.2710570404010762</v>
      </c>
      <c r="H123" s="7" t="n">
        <v>100</v>
      </c>
      <c r="I123" s="7" t="n">
        <v>-100</v>
      </c>
      <c r="J123" s="7" t="n">
        <v>10580.50977354132</v>
      </c>
      <c r="K123" s="7" t="n">
        <v>10780.50977354132</v>
      </c>
      <c r="L123" s="7" t="n">
        <v>-200</v>
      </c>
      <c r="M123" s="6" t="n">
        <v>-0.01855199839351394</v>
      </c>
      <c r="N123" s="7" t="n">
        <v>106.4235363654128</v>
      </c>
      <c r="O123" s="7" t="n">
        <v>-106.4235363654128</v>
      </c>
      <c r="P123" s="7" t="n">
        <v>10535.93010017587</v>
      </c>
      <c r="Q123" s="7" t="n">
        <v>10749.85215812251</v>
      </c>
      <c r="R123" s="7" t="n">
        <v>-213.9220579466382</v>
      </c>
      <c r="S123" s="6" t="n">
        <v>-0.01990000000000003</v>
      </c>
      <c r="T123" s="7" t="n">
        <v>705.6350954568242</v>
      </c>
      <c r="U123" s="7" t="n">
        <v>-705.6350954568242</v>
      </c>
      <c r="V123" s="7" t="n">
        <v>9707.451307504174</v>
      </c>
      <c r="W123" s="7" t="n">
        <v>11299.68046176946</v>
      </c>
      <c r="X123" s="7" t="n">
        <v>-1592.229154265286</v>
      </c>
      <c r="Y123" s="6" t="n">
        <v>-0.1409092194821191</v>
      </c>
      <c r="Z123" s="7" t="n">
        <v>1199.26181982514</v>
      </c>
      <c r="AA123" s="7" t="n">
        <v>-1199.26181982514</v>
      </c>
      <c r="AB123" s="7" t="n">
        <v>7649.516415564893</v>
      </c>
      <c r="AC123" s="7" t="n">
        <v>12701.28273278115</v>
      </c>
      <c r="AD123" s="7" t="n">
        <v>-5051.766317216259</v>
      </c>
      <c r="AE123" s="6" t="n">
        <v>-0.3977367029377271</v>
      </c>
    </row>
    <row r="124">
      <c r="A124" s="2" t="n">
        <v>115</v>
      </c>
      <c r="B124" s="2" t="inlineStr">
        <is>
          <t>KPROP-00115</t>
        </is>
      </c>
      <c r="C124" s="3" t="n">
        <v>45868</v>
      </c>
      <c r="D124" s="2" t="inlineStr">
        <is>
          <t>MacKenzie Gore</t>
        </is>
      </c>
      <c r="E124" s="2" t="inlineStr">
        <is>
          <t>Win</t>
        </is>
      </c>
      <c r="F124" s="2" t="n">
        <v>0.7692307692307692</v>
      </c>
      <c r="G124" s="6" t="n">
        <v>0.1871715274413181</v>
      </c>
      <c r="H124" s="7" t="n">
        <v>100</v>
      </c>
      <c r="I124" s="7" t="n">
        <v>76.92307692307692</v>
      </c>
      <c r="J124" s="7" t="n">
        <v>10657.4328504644</v>
      </c>
      <c r="K124" s="7" t="n">
        <v>10780.50977354132</v>
      </c>
      <c r="L124" s="7" t="n">
        <v>-123.0769230769238</v>
      </c>
      <c r="M124" s="6" t="n">
        <v>-0.01141661439600864</v>
      </c>
      <c r="N124" s="7" t="n">
        <v>105.3593010017587</v>
      </c>
      <c r="O124" s="7" t="n">
        <v>81.045616155199</v>
      </c>
      <c r="P124" s="7" t="n">
        <v>10616.97571633107</v>
      </c>
      <c r="Q124" s="7" t="n">
        <v>10749.85215812251</v>
      </c>
      <c r="R124" s="7" t="n">
        <v>-132.876441791439</v>
      </c>
      <c r="S124" s="6" t="n">
        <v>-0.01236076923076924</v>
      </c>
      <c r="T124" s="7" t="n">
        <v>454.2396221969442</v>
      </c>
      <c r="U124" s="7" t="n">
        <v>349.4150939976494</v>
      </c>
      <c r="V124" s="7" t="n">
        <v>10056.86640150182</v>
      </c>
      <c r="W124" s="7" t="n">
        <v>11299.68046176946</v>
      </c>
      <c r="X124" s="7" t="n">
        <v>-1242.814060267636</v>
      </c>
      <c r="Y124" s="6" t="n">
        <v>-0.1099866553282179</v>
      </c>
      <c r="Z124" s="7" t="n">
        <v>715.8858358443588</v>
      </c>
      <c r="AA124" s="7" t="n">
        <v>550.6814121879682</v>
      </c>
      <c r="AB124" s="7" t="n">
        <v>8200.197827752861</v>
      </c>
      <c r="AC124" s="7" t="n">
        <v>12701.28273278115</v>
      </c>
      <c r="AD124" s="7" t="n">
        <v>-4501.08490502829</v>
      </c>
      <c r="AE124" s="6" t="n">
        <v>-0.3543803409250386</v>
      </c>
    </row>
    <row r="125">
      <c r="A125" s="2" t="n">
        <v>116</v>
      </c>
      <c r="B125" s="2" t="inlineStr">
        <is>
          <t>KPROP-00116</t>
        </is>
      </c>
      <c r="C125" s="3" t="n">
        <v>45868</v>
      </c>
      <c r="D125" s="2" t="inlineStr">
        <is>
          <t>Shota Imanaga</t>
        </is>
      </c>
      <c r="E125" s="2" t="inlineStr">
        <is>
          <t>Loss</t>
        </is>
      </c>
      <c r="F125" s="2" t="n">
        <v>-1</v>
      </c>
      <c r="G125" s="6" t="n">
        <v>0.148559726650346</v>
      </c>
      <c r="H125" s="7" t="n">
        <v>100</v>
      </c>
      <c r="I125" s="7" t="n">
        <v>-100</v>
      </c>
      <c r="J125" s="7" t="n">
        <v>10557.4328504644</v>
      </c>
      <c r="K125" s="7" t="n">
        <v>10780.50977354132</v>
      </c>
      <c r="L125" s="7" t="n">
        <v>-223.0769230769238</v>
      </c>
      <c r="M125" s="6" t="n">
        <v>-0.02069261359276562</v>
      </c>
      <c r="N125" s="7" t="n">
        <v>106.1697571633107</v>
      </c>
      <c r="O125" s="7" t="n">
        <v>-106.1697571633107</v>
      </c>
      <c r="P125" s="7" t="n">
        <v>10510.80595916776</v>
      </c>
      <c r="Q125" s="7" t="n">
        <v>10749.85215812251</v>
      </c>
      <c r="R125" s="7" t="n">
        <v>-239.0461989547493</v>
      </c>
      <c r="S125" s="6" t="n">
        <v>-0.02223716153846151</v>
      </c>
      <c r="T125" s="7" t="n">
        <v>373.51133089154</v>
      </c>
      <c r="U125" s="7" t="n">
        <v>-373.51133089154</v>
      </c>
      <c r="V125" s="7" t="n">
        <v>9683.355070610283</v>
      </c>
      <c r="W125" s="7" t="n">
        <v>11299.68046176946</v>
      </c>
      <c r="X125" s="7" t="n">
        <v>-1616.325391159176</v>
      </c>
      <c r="Y125" s="6" t="n">
        <v>-0.143041690128118</v>
      </c>
      <c r="Z125" s="7" t="n">
        <v>609.1095738848632</v>
      </c>
      <c r="AA125" s="7" t="n">
        <v>-609.1095738848632</v>
      </c>
      <c r="AB125" s="7" t="n">
        <v>7591.088253867998</v>
      </c>
      <c r="AC125" s="7" t="n">
        <v>12701.28273278115</v>
      </c>
      <c r="AD125" s="7" t="n">
        <v>-5110.194478913154</v>
      </c>
      <c r="AE125" s="6" t="n">
        <v>-0.4023368809611715</v>
      </c>
    </row>
    <row r="126">
      <c r="A126" s="2" t="n">
        <v>117</v>
      </c>
      <c r="B126" s="2" t="inlineStr">
        <is>
          <t>KPROP-00117</t>
        </is>
      </c>
      <c r="C126" s="3" t="n">
        <v>45868</v>
      </c>
      <c r="D126" s="2" t="inlineStr">
        <is>
          <t>Yu Darvish</t>
        </is>
      </c>
      <c r="E126" s="2" t="inlineStr">
        <is>
          <t>Loss</t>
        </is>
      </c>
      <c r="F126" s="2" t="n">
        <v>-1</v>
      </c>
      <c r="G126" s="6" t="n">
        <v>0.1764382172722631</v>
      </c>
      <c r="H126" s="7" t="n">
        <v>100</v>
      </c>
      <c r="I126" s="7" t="n">
        <v>-100</v>
      </c>
      <c r="J126" s="7" t="n">
        <v>10457.4328504644</v>
      </c>
      <c r="K126" s="7" t="n">
        <v>10780.50977354132</v>
      </c>
      <c r="L126" s="7" t="n">
        <v>-323.0769230769238</v>
      </c>
      <c r="M126" s="6" t="n">
        <v>-0.02996861278952259</v>
      </c>
      <c r="N126" s="7" t="n">
        <v>105.1080595916776</v>
      </c>
      <c r="O126" s="7" t="n">
        <v>-105.1080595916776</v>
      </c>
      <c r="P126" s="7" t="n">
        <v>10405.69789957608</v>
      </c>
      <c r="Q126" s="7" t="n">
        <v>10749.85215812251</v>
      </c>
      <c r="R126" s="7" t="n">
        <v>-344.1542585464267</v>
      </c>
      <c r="S126" s="6" t="n">
        <v>-0.03201478992307688</v>
      </c>
      <c r="T126" s="7" t="n">
        <v>427.1284764682019</v>
      </c>
      <c r="U126" s="7" t="n">
        <v>-427.1284764682019</v>
      </c>
      <c r="V126" s="7" t="n">
        <v>9256.226594142081</v>
      </c>
      <c r="W126" s="7" t="n">
        <v>11299.68046176946</v>
      </c>
      <c r="X126" s="7" t="n">
        <v>-2043.453867627379</v>
      </c>
      <c r="Y126" s="6" t="n">
        <v>-0.1808417392457297</v>
      </c>
      <c r="Z126" s="7" t="n">
        <v>669.6790393344431</v>
      </c>
      <c r="AA126" s="7" t="n">
        <v>-669.6790393344431</v>
      </c>
      <c r="AB126" s="7" t="n">
        <v>6921.409214533554</v>
      </c>
      <c r="AC126" s="7" t="n">
        <v>12701.28273278115</v>
      </c>
      <c r="AD126" s="7" t="n">
        <v>-5779.873518247598</v>
      </c>
      <c r="AE126" s="6" t="n">
        <v>-0.4550621885874672</v>
      </c>
    </row>
    <row r="127">
      <c r="A127" s="2" t="n">
        <v>118</v>
      </c>
      <c r="B127" s="2" t="inlineStr">
        <is>
          <t>KPROP-00118</t>
        </is>
      </c>
      <c r="C127" s="3" t="n">
        <v>45870</v>
      </c>
      <c r="D127" s="2" t="inlineStr">
        <is>
          <t>Brady Singer</t>
        </is>
      </c>
      <c r="E127" s="2" t="inlineStr">
        <is>
          <t>Loss</t>
        </is>
      </c>
      <c r="F127" s="2" t="n">
        <v>-1</v>
      </c>
      <c r="G127" s="6" t="n">
        <v>0.1825841914299245</v>
      </c>
      <c r="H127" s="7" t="n">
        <v>100</v>
      </c>
      <c r="I127" s="7" t="n">
        <v>-100</v>
      </c>
      <c r="J127" s="7" t="n">
        <v>10357.4328504644</v>
      </c>
      <c r="K127" s="7" t="n">
        <v>10780.50977354132</v>
      </c>
      <c r="L127" s="7" t="n">
        <v>-423.0769230769238</v>
      </c>
      <c r="M127" s="6" t="n">
        <v>-0.03924461198627956</v>
      </c>
      <c r="N127" s="7" t="n">
        <v>104.0569789957608</v>
      </c>
      <c r="O127" s="7" t="n">
        <v>-104.0569789957608</v>
      </c>
      <c r="P127" s="7" t="n">
        <v>10301.64092058032</v>
      </c>
      <c r="Q127" s="7" t="n">
        <v>10749.85215812251</v>
      </c>
      <c r="R127" s="7" t="n">
        <v>-448.2112375421875</v>
      </c>
      <c r="S127" s="6" t="n">
        <v>-0.04169464202384611</v>
      </c>
      <c r="T127" s="7" t="n">
        <v>422.5101620958989</v>
      </c>
      <c r="U127" s="7" t="n">
        <v>-422.5101620958989</v>
      </c>
      <c r="V127" s="7" t="n">
        <v>8833.716432046182</v>
      </c>
      <c r="W127" s="7" t="n">
        <v>11299.68046176946</v>
      </c>
      <c r="X127" s="7" t="n">
        <v>-2465.964029723278</v>
      </c>
      <c r="Y127" s="6" t="n">
        <v>-0.2182330764189701</v>
      </c>
      <c r="Z127" s="7" t="n">
        <v>631.8699524956188</v>
      </c>
      <c r="AA127" s="7" t="n">
        <v>-631.8699524956188</v>
      </c>
      <c r="AB127" s="7" t="n">
        <v>6289.539262037935</v>
      </c>
      <c r="AC127" s="7" t="n">
        <v>12701.28273278115</v>
      </c>
      <c r="AD127" s="7" t="n">
        <v>-6411.743470743217</v>
      </c>
      <c r="AE127" s="6" t="n">
        <v>-0.5048107034256423</v>
      </c>
    </row>
    <row r="128">
      <c r="A128" s="2" t="n">
        <v>119</v>
      </c>
      <c r="B128" s="2" t="inlineStr">
        <is>
          <t>KPROP-00119</t>
        </is>
      </c>
      <c r="C128" s="3" t="n">
        <v>45870</v>
      </c>
      <c r="D128" s="2" t="inlineStr">
        <is>
          <t>Brady Singer</t>
        </is>
      </c>
      <c r="E128" s="2" t="inlineStr">
        <is>
          <t>Loss</t>
        </is>
      </c>
      <c r="F128" s="2" t="n">
        <v>-1</v>
      </c>
      <c r="G128" s="6" t="n">
        <v>0.258753452052271</v>
      </c>
      <c r="H128" s="7" t="n">
        <v>100</v>
      </c>
      <c r="I128" s="7" t="n">
        <v>-100</v>
      </c>
      <c r="J128" s="7" t="n">
        <v>10257.4328504644</v>
      </c>
      <c r="K128" s="7" t="n">
        <v>10780.50977354132</v>
      </c>
      <c r="L128" s="7" t="n">
        <v>-523.0769230769238</v>
      </c>
      <c r="M128" s="6" t="n">
        <v>-0.04852061118303653</v>
      </c>
      <c r="N128" s="7" t="n">
        <v>103.0164092058032</v>
      </c>
      <c r="O128" s="7" t="n">
        <v>-103.0164092058032</v>
      </c>
      <c r="P128" s="7" t="n">
        <v>10198.62451137452</v>
      </c>
      <c r="Q128" s="7" t="n">
        <v>10749.85215812251</v>
      </c>
      <c r="R128" s="7" t="n">
        <v>-551.2276467479915</v>
      </c>
      <c r="S128" s="6" t="n">
        <v>-0.05127769560360771</v>
      </c>
      <c r="T128" s="7" t="n">
        <v>571.4386553107049</v>
      </c>
      <c r="U128" s="7" t="n">
        <v>-571.4386553107049</v>
      </c>
      <c r="V128" s="7" t="n">
        <v>8262.277776735476</v>
      </c>
      <c r="W128" s="7" t="n">
        <v>11299.68046176946</v>
      </c>
      <c r="X128" s="7" t="n">
        <v>-3037.402685033983</v>
      </c>
      <c r="Y128" s="6" t="n">
        <v>-0.268804298963189</v>
      </c>
      <c r="Z128" s="7" t="n">
        <v>813.7199979353043</v>
      </c>
      <c r="AA128" s="7" t="n">
        <v>-813.7199979353043</v>
      </c>
      <c r="AB128" s="7" t="n">
        <v>5475.819264102631</v>
      </c>
      <c r="AC128" s="7" t="n">
        <v>12701.28273278115</v>
      </c>
      <c r="AD128" s="7" t="n">
        <v>-7225.463468678521</v>
      </c>
      <c r="AE128" s="6" t="n">
        <v>-0.5688766733796177</v>
      </c>
    </row>
    <row r="129">
      <c r="A129" s="2" t="n">
        <v>120</v>
      </c>
      <c r="B129" s="2" t="inlineStr">
        <is>
          <t>KPROP-00120</t>
        </is>
      </c>
      <c r="C129" s="3" t="n">
        <v>45870</v>
      </c>
      <c r="D129" s="2" t="inlineStr">
        <is>
          <t>Clayton Kershaw</t>
        </is>
      </c>
      <c r="E129" s="2" t="inlineStr">
        <is>
          <t>Win</t>
        </is>
      </c>
      <c r="F129" s="2" t="n">
        <v>1.28</v>
      </c>
      <c r="G129" s="6" t="n">
        <v>0.1496785541775499</v>
      </c>
      <c r="H129" s="7" t="n">
        <v>100</v>
      </c>
      <c r="I129" s="7" t="n">
        <v>128</v>
      </c>
      <c r="J129" s="7" t="n">
        <v>10385.4328504644</v>
      </c>
      <c r="K129" s="7" t="n">
        <v>10780.50977354132</v>
      </c>
      <c r="L129" s="7" t="n">
        <v>-395.0769230769238</v>
      </c>
      <c r="M129" s="6" t="n">
        <v>-0.03664733221118761</v>
      </c>
      <c r="N129" s="7" t="n">
        <v>101.9862451137452</v>
      </c>
      <c r="O129" s="7" t="n">
        <v>130.5423937455938</v>
      </c>
      <c r="P129" s="7" t="n">
        <v>10329.16690512011</v>
      </c>
      <c r="Q129" s="7" t="n">
        <v>10749.85215812251</v>
      </c>
      <c r="R129" s="7" t="n">
        <v>-420.6852530023971</v>
      </c>
      <c r="S129" s="6" t="n">
        <v>-0.03913405010733384</v>
      </c>
      <c r="T129" s="7" t="n">
        <v>309.1714479587669</v>
      </c>
      <c r="U129" s="7" t="n">
        <v>395.7394533872217</v>
      </c>
      <c r="V129" s="7" t="n">
        <v>8658.017230122698</v>
      </c>
      <c r="W129" s="7" t="n">
        <v>11299.68046176946</v>
      </c>
      <c r="X129" s="7" t="n">
        <v>-2641.663231646762</v>
      </c>
      <c r="Y129" s="6" t="n">
        <v>-0.2337821180505395</v>
      </c>
      <c r="Z129" s="7" t="n">
        <v>409.8063551942285</v>
      </c>
      <c r="AA129" s="7" t="n">
        <v>524.5521346486125</v>
      </c>
      <c r="AB129" s="7" t="n">
        <v>6000.371398751244</v>
      </c>
      <c r="AC129" s="7" t="n">
        <v>12701.28273278115</v>
      </c>
      <c r="AD129" s="7" t="n">
        <v>-6700.911334029908</v>
      </c>
      <c r="AE129" s="6" t="n">
        <v>-0.5275775270111348</v>
      </c>
    </row>
    <row r="130">
      <c r="A130" s="2" t="n">
        <v>121</v>
      </c>
      <c r="B130" s="2" t="inlineStr">
        <is>
          <t>KPROP-00121</t>
        </is>
      </c>
      <c r="C130" s="3" t="n">
        <v>45870</v>
      </c>
      <c r="D130" s="2" t="inlineStr">
        <is>
          <t>Clayton Kershaw</t>
        </is>
      </c>
      <c r="E130" s="2" t="inlineStr">
        <is>
          <t>Win</t>
        </is>
      </c>
      <c r="F130" s="2" t="n">
        <v>0.625</v>
      </c>
      <c r="G130" s="6" t="n">
        <v>0.2539965742965027</v>
      </c>
      <c r="H130" s="7" t="n">
        <v>100</v>
      </c>
      <c r="I130" s="7" t="n">
        <v>62.5</v>
      </c>
      <c r="J130" s="7" t="n">
        <v>10447.9328504644</v>
      </c>
      <c r="K130" s="7" t="n">
        <v>10780.50977354132</v>
      </c>
      <c r="L130" s="7" t="n">
        <v>-332.5769230769238</v>
      </c>
      <c r="M130" s="6" t="n">
        <v>-0.0308498327132145</v>
      </c>
      <c r="N130" s="7" t="n">
        <v>103.2916690512011</v>
      </c>
      <c r="O130" s="7" t="n">
        <v>64.5572931570007</v>
      </c>
      <c r="P130" s="7" t="n">
        <v>10393.72419827711</v>
      </c>
      <c r="Q130" s="7" t="n">
        <v>10749.85215812251</v>
      </c>
      <c r="R130" s="7" t="n">
        <v>-356.1279598453966</v>
      </c>
      <c r="S130" s="6" t="n">
        <v>-0.0331286379205047</v>
      </c>
      <c r="T130" s="7" t="n">
        <v>549.7766791628151</v>
      </c>
      <c r="U130" s="7" t="n">
        <v>343.6104244767594</v>
      </c>
      <c r="V130" s="7" t="n">
        <v>9001.627654599457</v>
      </c>
      <c r="W130" s="7" t="n">
        <v>11299.68046176946</v>
      </c>
      <c r="X130" s="7" t="n">
        <v>-2298.052807170003</v>
      </c>
      <c r="Y130" s="6" t="n">
        <v>-0.2033732559911824</v>
      </c>
      <c r="Z130" s="7" t="n">
        <v>762.0368898947651</v>
      </c>
      <c r="AA130" s="7" t="n">
        <v>476.2730561842282</v>
      </c>
      <c r="AB130" s="7" t="n">
        <v>6476.644454935472</v>
      </c>
      <c r="AC130" s="7" t="n">
        <v>12701.28273278115</v>
      </c>
      <c r="AD130" s="7" t="n">
        <v>-6224.63827784568</v>
      </c>
      <c r="AE130" s="6" t="n">
        <v>-0.4900794989611805</v>
      </c>
    </row>
    <row r="131">
      <c r="A131" s="2" t="n">
        <v>122</v>
      </c>
      <c r="B131" s="2" t="inlineStr">
        <is>
          <t>KPROP-00122</t>
        </is>
      </c>
      <c r="C131" s="3" t="n">
        <v>45870</v>
      </c>
      <c r="D131" s="2" t="inlineStr">
        <is>
          <t>Gavin Williams</t>
        </is>
      </c>
      <c r="E131" s="2" t="inlineStr">
        <is>
          <t>Loss</t>
        </is>
      </c>
      <c r="F131" s="2" t="n">
        <v>-1</v>
      </c>
      <c r="G131" s="6" t="n">
        <v>0.1926632409377839</v>
      </c>
      <c r="H131" s="7" t="n">
        <v>100</v>
      </c>
      <c r="I131" s="7" t="n">
        <v>-100</v>
      </c>
      <c r="J131" s="7" t="n">
        <v>10347.9328504644</v>
      </c>
      <c r="K131" s="7" t="n">
        <v>10780.50977354132</v>
      </c>
      <c r="L131" s="7" t="n">
        <v>-432.5769230769238</v>
      </c>
      <c r="M131" s="6" t="n">
        <v>-0.04012583190997147</v>
      </c>
      <c r="N131" s="7" t="n">
        <v>103.9372419827711</v>
      </c>
      <c r="O131" s="7" t="n">
        <v>-103.9372419827711</v>
      </c>
      <c r="P131" s="7" t="n">
        <v>10289.78695629434</v>
      </c>
      <c r="Q131" s="7" t="n">
        <v>10749.85215812251</v>
      </c>
      <c r="R131" s="7" t="n">
        <v>-460.0652018281671</v>
      </c>
      <c r="S131" s="6" t="n">
        <v>-0.04279735154129959</v>
      </c>
      <c r="T131" s="7" t="n">
        <v>433.5706894125785</v>
      </c>
      <c r="U131" s="7" t="n">
        <v>-433.5706894125785</v>
      </c>
      <c r="V131" s="7" t="n">
        <v>8568.056965186879</v>
      </c>
      <c r="W131" s="7" t="n">
        <v>11299.68046176946</v>
      </c>
      <c r="X131" s="7" t="n">
        <v>-2731.623496582581</v>
      </c>
      <c r="Y131" s="6" t="n">
        <v>-0.2417434285707956</v>
      </c>
      <c r="Z131" s="7" t="n">
        <v>623.9056555447975</v>
      </c>
      <c r="AA131" s="7" t="n">
        <v>-623.9056555447975</v>
      </c>
      <c r="AB131" s="7" t="n">
        <v>5852.738799390674</v>
      </c>
      <c r="AC131" s="7" t="n">
        <v>12701.28273278115</v>
      </c>
      <c r="AD131" s="7" t="n">
        <v>-6848.543933390478</v>
      </c>
      <c r="AE131" s="6" t="n">
        <v>-0.5392009671365593</v>
      </c>
    </row>
    <row r="132">
      <c r="A132" s="2" t="n">
        <v>123</v>
      </c>
      <c r="B132" s="2" t="inlineStr">
        <is>
          <t>KPROP-00123</t>
        </is>
      </c>
      <c r="C132" s="3" t="n">
        <v>45870</v>
      </c>
      <c r="D132" s="2" t="inlineStr">
        <is>
          <t>Gavin Williams</t>
        </is>
      </c>
      <c r="E132" s="2" t="inlineStr">
        <is>
          <t>Loss</t>
        </is>
      </c>
      <c r="F132" s="2" t="n">
        <v>-1</v>
      </c>
      <c r="G132" s="6" t="n">
        <v>0.1975606229977557</v>
      </c>
      <c r="H132" s="7" t="n">
        <v>100</v>
      </c>
      <c r="I132" s="7" t="n">
        <v>-100</v>
      </c>
      <c r="J132" s="7" t="n">
        <v>10247.9328504644</v>
      </c>
      <c r="K132" s="7" t="n">
        <v>10780.50977354132</v>
      </c>
      <c r="L132" s="7" t="n">
        <v>-532.5769230769238</v>
      </c>
      <c r="M132" s="6" t="n">
        <v>-0.04940183110672845</v>
      </c>
      <c r="N132" s="7" t="n">
        <v>102.8978695629434</v>
      </c>
      <c r="O132" s="7" t="n">
        <v>-102.8978695629434</v>
      </c>
      <c r="P132" s="7" t="n">
        <v>10186.8890867314</v>
      </c>
      <c r="Q132" s="7" t="n">
        <v>10749.85215812251</v>
      </c>
      <c r="R132" s="7" t="n">
        <v>-562.9630713911101</v>
      </c>
      <c r="S132" s="6" t="n">
        <v>-0.05236937802588656</v>
      </c>
      <c r="T132" s="7" t="n">
        <v>423.177667980645</v>
      </c>
      <c r="U132" s="7" t="n">
        <v>-423.177667980645</v>
      </c>
      <c r="V132" s="7" t="n">
        <v>8144.879297206234</v>
      </c>
      <c r="W132" s="7" t="n">
        <v>11299.68046176946</v>
      </c>
      <c r="X132" s="7" t="n">
        <v>-3154.801164563226</v>
      </c>
      <c r="Y132" s="6" t="n">
        <v>-0.2791938387317197</v>
      </c>
      <c r="Z132" s="7" t="n">
        <v>578.1353617253792</v>
      </c>
      <c r="AA132" s="7" t="n">
        <v>-578.1353617253792</v>
      </c>
      <c r="AB132" s="7" t="n">
        <v>5274.603437665295</v>
      </c>
      <c r="AC132" s="7" t="n">
        <v>12701.28273278115</v>
      </c>
      <c r="AD132" s="7" t="n">
        <v>-7426.679295115857</v>
      </c>
      <c r="AE132" s="6" t="n">
        <v>-0.5847188391411916</v>
      </c>
    </row>
    <row r="133">
      <c r="A133" s="2" t="n">
        <v>124</v>
      </c>
      <c r="B133" s="2" t="inlineStr">
        <is>
          <t>KPROP-00124</t>
        </is>
      </c>
      <c r="C133" s="3" t="n">
        <v>45870</v>
      </c>
      <c r="D133" s="2" t="inlineStr">
        <is>
          <t>Jack Flaherty</t>
        </is>
      </c>
      <c r="E133" s="2" t="inlineStr">
        <is>
          <t>Loss</t>
        </is>
      </c>
      <c r="F133" s="2" t="n">
        <v>-1</v>
      </c>
      <c r="G133" s="6" t="n">
        <v>0.1190499903811377</v>
      </c>
      <c r="H133" s="7" t="n">
        <v>100</v>
      </c>
      <c r="I133" s="7" t="n">
        <v>-100</v>
      </c>
      <c r="J133" s="7" t="n">
        <v>10147.9328504644</v>
      </c>
      <c r="K133" s="7" t="n">
        <v>10780.50977354132</v>
      </c>
      <c r="L133" s="7" t="n">
        <v>-632.5769230769238</v>
      </c>
      <c r="M133" s="6" t="n">
        <v>-0.05867783030348542</v>
      </c>
      <c r="N133" s="7" t="n">
        <v>101.868890867314</v>
      </c>
      <c r="O133" s="7" t="n">
        <v>-101.868890867314</v>
      </c>
      <c r="P133" s="7" t="n">
        <v>10085.02019586408</v>
      </c>
      <c r="Q133" s="7" t="n">
        <v>10749.85215812251</v>
      </c>
      <c r="R133" s="7" t="n">
        <v>-664.831962258424</v>
      </c>
      <c r="S133" s="6" t="n">
        <v>-0.06184568424562769</v>
      </c>
      <c r="T133" s="7" t="n">
        <v>242.4119504969825</v>
      </c>
      <c r="U133" s="7" t="n">
        <v>-242.4119504969825</v>
      </c>
      <c r="V133" s="7" t="n">
        <v>7902.467346709252</v>
      </c>
      <c r="W133" s="7" t="n">
        <v>11299.68046176946</v>
      </c>
      <c r="X133" s="7" t="n">
        <v>-3397.213115060208</v>
      </c>
      <c r="Y133" s="6" t="n">
        <v>-0.300646830373133</v>
      </c>
      <c r="Z133" s="7" t="n">
        <v>313.9707442591847</v>
      </c>
      <c r="AA133" s="7" t="n">
        <v>-313.9707442591847</v>
      </c>
      <c r="AB133" s="7" t="n">
        <v>4960.632693406111</v>
      </c>
      <c r="AC133" s="7" t="n">
        <v>12701.28273278115</v>
      </c>
      <c r="AD133" s="7" t="n">
        <v>-7740.650039375041</v>
      </c>
      <c r="AE133" s="6" t="n">
        <v>-0.609438448244046</v>
      </c>
    </row>
    <row r="134">
      <c r="A134" s="2" t="n">
        <v>125</v>
      </c>
      <c r="B134" s="2" t="inlineStr">
        <is>
          <t>KPROP-00125</t>
        </is>
      </c>
      <c r="C134" s="3" t="n">
        <v>45870</v>
      </c>
      <c r="D134" s="2" t="inlineStr">
        <is>
          <t>Ranger Suarez</t>
        </is>
      </c>
      <c r="E134" s="2" t="inlineStr">
        <is>
          <t>Win</t>
        </is>
      </c>
      <c r="F134" s="2" t="n">
        <v>1.28</v>
      </c>
      <c r="G134" s="6" t="n">
        <v>0.331556604434466</v>
      </c>
      <c r="H134" s="7" t="n">
        <v>100</v>
      </c>
      <c r="I134" s="7" t="n">
        <v>128</v>
      </c>
      <c r="J134" s="7" t="n">
        <v>10275.9328504644</v>
      </c>
      <c r="K134" s="7" t="n">
        <v>10780.50977354132</v>
      </c>
      <c r="L134" s="7" t="n">
        <v>-504.5769230769238</v>
      </c>
      <c r="M134" s="6" t="n">
        <v>-0.04680455133163649</v>
      </c>
      <c r="N134" s="7" t="n">
        <v>100.8502019586409</v>
      </c>
      <c r="O134" s="7" t="n">
        <v>129.0882585070603</v>
      </c>
      <c r="P134" s="7" t="n">
        <v>10214.10845437114</v>
      </c>
      <c r="Q134" s="7" t="n">
        <v>10749.85215812251</v>
      </c>
      <c r="R134" s="7" t="n">
        <v>-535.7437037513646</v>
      </c>
      <c r="S134" s="6" t="n">
        <v>-0.0498373090039718</v>
      </c>
      <c r="T134" s="7" t="n">
        <v>655.0288100322908</v>
      </c>
      <c r="U134" s="7" t="n">
        <v>838.4368768413324</v>
      </c>
      <c r="V134" s="7" t="n">
        <v>8740.904223550584</v>
      </c>
      <c r="W134" s="7" t="n">
        <v>11299.68046176946</v>
      </c>
      <c r="X134" s="7" t="n">
        <v>-2558.776238218876</v>
      </c>
      <c r="Y134" s="6" t="n">
        <v>-0.2264467784621042</v>
      </c>
      <c r="Z134" s="7" t="n">
        <v>822.3652658361648</v>
      </c>
      <c r="AA134" s="7" t="n">
        <v>1052.627540270291</v>
      </c>
      <c r="AB134" s="7" t="n">
        <v>6013.260233676402</v>
      </c>
      <c r="AC134" s="7" t="n">
        <v>12701.28273278115</v>
      </c>
      <c r="AD134" s="7" t="n">
        <v>-6688.02249910475</v>
      </c>
      <c r="AE134" s="6" t="n">
        <v>-0.5265627606134156</v>
      </c>
    </row>
    <row r="135">
      <c r="A135" s="2" t="n">
        <v>126</v>
      </c>
      <c r="B135" s="2" t="inlineStr">
        <is>
          <t>KPROP-00126</t>
        </is>
      </c>
      <c r="C135" s="3" t="n">
        <v>45870</v>
      </c>
      <c r="D135" s="2" t="inlineStr">
        <is>
          <t>Ranger Suarez</t>
        </is>
      </c>
      <c r="E135" s="2" t="inlineStr">
        <is>
          <t>Win</t>
        </is>
      </c>
      <c r="F135" s="2" t="n">
        <v>0.6666666666666665</v>
      </c>
      <c r="G135" s="6" t="n">
        <v>0.4236441026689712</v>
      </c>
      <c r="H135" s="7" t="n">
        <v>100</v>
      </c>
      <c r="I135" s="7" t="n">
        <v>66.66666666666666</v>
      </c>
      <c r="J135" s="7" t="n">
        <v>10342.59951713107</v>
      </c>
      <c r="K135" s="7" t="n">
        <v>10780.50977354132</v>
      </c>
      <c r="L135" s="7" t="n">
        <v>-437.9102564102577</v>
      </c>
      <c r="M135" s="6" t="n">
        <v>-0.0406205518671319</v>
      </c>
      <c r="N135" s="7" t="n">
        <v>102.1410845437114</v>
      </c>
      <c r="O135" s="7" t="n">
        <v>68.09405636247428</v>
      </c>
      <c r="P135" s="7" t="n">
        <v>10282.20251073362</v>
      </c>
      <c r="Q135" s="7" t="n">
        <v>10749.85215812251</v>
      </c>
      <c r="R135" s="7" t="n">
        <v>-467.649647388891</v>
      </c>
      <c r="S135" s="6" t="n">
        <v>-0.04350289106399835</v>
      </c>
      <c r="T135" s="7" t="n">
        <v>925.758131575377</v>
      </c>
      <c r="U135" s="7" t="n">
        <v>617.1720877169179</v>
      </c>
      <c r="V135" s="7" t="n">
        <v>9358.076311267501</v>
      </c>
      <c r="W135" s="7" t="n">
        <v>11299.68046176946</v>
      </c>
      <c r="X135" s="7" t="n">
        <v>-1941.604150501958</v>
      </c>
      <c r="Y135" s="6" t="n">
        <v>-0.1718282350612519</v>
      </c>
      <c r="Z135" s="7" t="n">
        <v>1273.741117905424</v>
      </c>
      <c r="AA135" s="7" t="n">
        <v>849.1607452702824</v>
      </c>
      <c r="AB135" s="7" t="n">
        <v>6862.420978946684</v>
      </c>
      <c r="AC135" s="7" t="n">
        <v>12701.28273278115</v>
      </c>
      <c r="AD135" s="7" t="n">
        <v>-5838.861753834468</v>
      </c>
      <c r="AE135" s="6" t="n">
        <v>-0.4597064624634141</v>
      </c>
    </row>
    <row r="136">
      <c r="A136" s="2" t="n">
        <v>127</v>
      </c>
      <c r="B136" s="2" t="inlineStr">
        <is>
          <t>KPROP-00127</t>
        </is>
      </c>
      <c r="C136" s="3" t="n">
        <v>45870</v>
      </c>
      <c r="D136" s="2" t="inlineStr">
        <is>
          <t>Robbie Ray</t>
        </is>
      </c>
      <c r="E136" s="2" t="inlineStr">
        <is>
          <t>Loss</t>
        </is>
      </c>
      <c r="F136" s="2" t="n">
        <v>-1</v>
      </c>
      <c r="G136" s="6" t="n">
        <v>0.1624102782982668</v>
      </c>
      <c r="H136" s="7" t="n">
        <v>100</v>
      </c>
      <c r="I136" s="7" t="n">
        <v>-100</v>
      </c>
      <c r="J136" s="7" t="n">
        <v>10242.59951713107</v>
      </c>
      <c r="K136" s="7" t="n">
        <v>10780.50977354132</v>
      </c>
      <c r="L136" s="7" t="n">
        <v>-537.9102564102577</v>
      </c>
      <c r="M136" s="6" t="n">
        <v>-0.04989655106388887</v>
      </c>
      <c r="N136" s="7" t="n">
        <v>102.8220251073362</v>
      </c>
      <c r="O136" s="7" t="n">
        <v>-102.8220251073362</v>
      </c>
      <c r="P136" s="7" t="n">
        <v>10179.38048562628</v>
      </c>
      <c r="Q136" s="7" t="n">
        <v>10749.85215812251</v>
      </c>
      <c r="R136" s="7" t="n">
        <v>-570.4716724962273</v>
      </c>
      <c r="S136" s="6" t="n">
        <v>-0.05306786215335837</v>
      </c>
      <c r="T136" s="7" t="n">
        <v>379.9619445123433</v>
      </c>
      <c r="U136" s="7" t="n">
        <v>-379.9619445123433</v>
      </c>
      <c r="V136" s="7" t="n">
        <v>8978.114366755159</v>
      </c>
      <c r="W136" s="7" t="n">
        <v>11299.68046176946</v>
      </c>
      <c r="X136" s="7" t="n">
        <v>-2321.566095014301</v>
      </c>
      <c r="Y136" s="6" t="n">
        <v>-0.2054541367668691</v>
      </c>
      <c r="Z136" s="7" t="n">
        <v>557.2638504952978</v>
      </c>
      <c r="AA136" s="7" t="n">
        <v>-557.2638504952978</v>
      </c>
      <c r="AB136" s="7" t="n">
        <v>6305.157128451387</v>
      </c>
      <c r="AC136" s="7" t="n">
        <v>12701.28273278115</v>
      </c>
      <c r="AD136" s="7" t="n">
        <v>-6396.125604329765</v>
      </c>
      <c r="AE136" s="6" t="n">
        <v>-0.5035810743604501</v>
      </c>
    </row>
    <row r="137">
      <c r="A137" s="2" t="n">
        <v>128</v>
      </c>
      <c r="B137" s="2" t="inlineStr">
        <is>
          <t>KPROP-00128</t>
        </is>
      </c>
      <c r="C137" s="3" t="n">
        <v>45870</v>
      </c>
      <c r="D137" s="2" t="inlineStr">
        <is>
          <t>Robbie Ray</t>
        </is>
      </c>
      <c r="E137" s="2" t="inlineStr">
        <is>
          <t>Win</t>
        </is>
      </c>
      <c r="F137" s="2" t="n">
        <v>0.625</v>
      </c>
      <c r="G137" s="6" t="n">
        <v>0.2052593420297862</v>
      </c>
      <c r="H137" s="7" t="n">
        <v>100</v>
      </c>
      <c r="I137" s="7" t="n">
        <v>62.5</v>
      </c>
      <c r="J137" s="7" t="n">
        <v>10305.09951713107</v>
      </c>
      <c r="K137" s="7" t="n">
        <v>10780.50977354132</v>
      </c>
      <c r="L137" s="7" t="n">
        <v>-475.4102564102577</v>
      </c>
      <c r="M137" s="6" t="n">
        <v>-0.04409905156591577</v>
      </c>
      <c r="N137" s="7" t="n">
        <v>101.7938048562628</v>
      </c>
      <c r="O137" s="7" t="n">
        <v>63.62112803516425</v>
      </c>
      <c r="P137" s="7" t="n">
        <v>10243.00161366144</v>
      </c>
      <c r="Q137" s="7" t="n">
        <v>10749.85215812251</v>
      </c>
      <c r="R137" s="7" t="n">
        <v>-506.8505444610637</v>
      </c>
      <c r="S137" s="6" t="n">
        <v>-0.04714953629181692</v>
      </c>
      <c r="T137" s="7" t="n">
        <v>460.7104618970836</v>
      </c>
      <c r="U137" s="7" t="n">
        <v>287.9440386856772</v>
      </c>
      <c r="V137" s="7" t="n">
        <v>9266.058405440835</v>
      </c>
      <c r="W137" s="7" t="n">
        <v>11299.68046176946</v>
      </c>
      <c r="X137" s="7" t="n">
        <v>-2033.622056328624</v>
      </c>
      <c r="Y137" s="6" t="n">
        <v>-0.1799716428450377</v>
      </c>
      <c r="Z137" s="7" t="n">
        <v>647.096201790174</v>
      </c>
      <c r="AA137" s="7" t="n">
        <v>404.4351261188587</v>
      </c>
      <c r="AB137" s="7" t="n">
        <v>6709.592254570245</v>
      </c>
      <c r="AC137" s="7" t="n">
        <v>12701.28273278115</v>
      </c>
      <c r="AD137" s="7" t="n">
        <v>-5991.690478210907</v>
      </c>
      <c r="AE137" s="6" t="n">
        <v>-0.471739004970479</v>
      </c>
    </row>
    <row r="138">
      <c r="A138" s="2" t="n">
        <v>129</v>
      </c>
      <c r="B138" s="2" t="inlineStr">
        <is>
          <t>KPROP-00129</t>
        </is>
      </c>
      <c r="C138" s="3" t="n">
        <v>45871</v>
      </c>
      <c r="D138" s="2" t="inlineStr">
        <is>
          <t>Kodai Senga</t>
        </is>
      </c>
      <c r="E138" s="2" t="inlineStr">
        <is>
          <t>Win</t>
        </is>
      </c>
      <c r="F138" s="2" t="n">
        <v>1.23</v>
      </c>
      <c r="G138" s="6" t="n">
        <v>0.1933641080205038</v>
      </c>
      <c r="H138" s="7" t="n">
        <v>100</v>
      </c>
      <c r="I138" s="7" t="n">
        <v>123</v>
      </c>
      <c r="J138" s="7" t="n">
        <v>10428.09951713107</v>
      </c>
      <c r="K138" s="7" t="n">
        <v>10780.50977354132</v>
      </c>
      <c r="L138" s="7" t="n">
        <v>-352.4102564102577</v>
      </c>
      <c r="M138" s="6" t="n">
        <v>-0.03268957255390469</v>
      </c>
      <c r="N138" s="7" t="n">
        <v>102.4300161366145</v>
      </c>
      <c r="O138" s="7" t="n">
        <v>125.9889198480358</v>
      </c>
      <c r="P138" s="7" t="n">
        <v>10368.99053350948</v>
      </c>
      <c r="Q138" s="7" t="n">
        <v>10749.85215812251</v>
      </c>
      <c r="R138" s="7" t="n">
        <v>-380.8616246130277</v>
      </c>
      <c r="S138" s="6" t="n">
        <v>-0.03542947558820626</v>
      </c>
      <c r="T138" s="7" t="n">
        <v>447.9307796084897</v>
      </c>
      <c r="U138" s="7" t="n">
        <v>550.9548589184423</v>
      </c>
      <c r="V138" s="7" t="n">
        <v>9817.013264359277</v>
      </c>
      <c r="W138" s="7" t="n">
        <v>11299.68046176946</v>
      </c>
      <c r="X138" s="7" t="n">
        <v>-1482.667197410183</v>
      </c>
      <c r="Y138" s="6" t="n">
        <v>-0.1312131969064554</v>
      </c>
      <c r="Z138" s="7" t="n">
        <v>648.6971607431282</v>
      </c>
      <c r="AA138" s="7" t="n">
        <v>797.8975077140476</v>
      </c>
      <c r="AB138" s="7" t="n">
        <v>7507.489762284293</v>
      </c>
      <c r="AC138" s="7" t="n">
        <v>12701.28273278115</v>
      </c>
      <c r="AD138" s="7" t="n">
        <v>-5193.792970496859</v>
      </c>
      <c r="AE138" s="6" t="n">
        <v>-0.4089187745653461</v>
      </c>
    </row>
    <row r="139">
      <c r="A139" s="2" t="n">
        <v>130</v>
      </c>
      <c r="B139" s="2" t="inlineStr">
        <is>
          <t>KPROP-00130</t>
        </is>
      </c>
      <c r="C139" s="3" t="n">
        <v>45871</v>
      </c>
      <c r="D139" s="2" t="inlineStr">
        <is>
          <t>Kodai Senga</t>
        </is>
      </c>
      <c r="E139" s="2" t="inlineStr">
        <is>
          <t>Win</t>
        </is>
      </c>
      <c r="F139" s="2" t="n">
        <v>0.7407407407407407</v>
      </c>
      <c r="G139" s="6" t="n">
        <v>0.3177706299765414</v>
      </c>
      <c r="H139" s="7" t="n">
        <v>100</v>
      </c>
      <c r="I139" s="7" t="n">
        <v>74.07407407407408</v>
      </c>
      <c r="J139" s="7" t="n">
        <v>10502.17359120514</v>
      </c>
      <c r="K139" s="7" t="n">
        <v>10780.50977354132</v>
      </c>
      <c r="L139" s="7" t="n">
        <v>-278.3361823361829</v>
      </c>
      <c r="M139" s="6" t="n">
        <v>-0.02581846203778835</v>
      </c>
      <c r="N139" s="7" t="n">
        <v>103.6899053350948</v>
      </c>
      <c r="O139" s="7" t="n">
        <v>76.80733728525541</v>
      </c>
      <c r="P139" s="7" t="n">
        <v>10445.79787079474</v>
      </c>
      <c r="Q139" s="7" t="n">
        <v>10749.85215812251</v>
      </c>
      <c r="R139" s="7" t="n">
        <v>-304.0542873277718</v>
      </c>
      <c r="S139" s="6" t="n">
        <v>-0.02828450874071144</v>
      </c>
      <c r="T139" s="7" t="n">
        <v>779.8896223758777</v>
      </c>
      <c r="U139" s="7" t="n">
        <v>577.6960165747242</v>
      </c>
      <c r="V139" s="7" t="n">
        <v>10394.709280934</v>
      </c>
      <c r="W139" s="7" t="n">
        <v>11299.68046176946</v>
      </c>
      <c r="X139" s="7" t="n">
        <v>-904.9711808354587</v>
      </c>
      <c r="Y139" s="6" t="n">
        <v>-0.08008820991861444</v>
      </c>
      <c r="Z139" s="7" t="n">
        <v>1192.829875651757</v>
      </c>
      <c r="AA139" s="7" t="n">
        <v>883.5776856679685</v>
      </c>
      <c r="AB139" s="7" t="n">
        <v>8391.06744795226</v>
      </c>
      <c r="AC139" s="7" t="n">
        <v>12701.28273278115</v>
      </c>
      <c r="AD139" s="7" t="n">
        <v>-4310.215284828892</v>
      </c>
      <c r="AE139" s="6" t="n">
        <v>-0.339352754797318</v>
      </c>
    </row>
    <row r="140">
      <c r="A140" s="2" t="n">
        <v>131</v>
      </c>
      <c r="B140" s="2" t="inlineStr">
        <is>
          <t>KPROP-00131</t>
        </is>
      </c>
      <c r="C140" s="3" t="n">
        <v>45871</v>
      </c>
      <c r="D140" s="2" t="inlineStr">
        <is>
          <t>Luis Castillo</t>
        </is>
      </c>
      <c r="E140" s="2" t="inlineStr">
        <is>
          <t>Win</t>
        </is>
      </c>
      <c r="F140" s="2" t="n">
        <v>0.8928571428571428</v>
      </c>
      <c r="G140" s="6" t="n">
        <v>0.1177200440069899</v>
      </c>
      <c r="H140" s="7" t="n">
        <v>100</v>
      </c>
      <c r="I140" s="7" t="n">
        <v>89.28571428571428</v>
      </c>
      <c r="J140" s="7" t="n">
        <v>10591.45930549085</v>
      </c>
      <c r="K140" s="7" t="n">
        <v>10780.50977354132</v>
      </c>
      <c r="L140" s="7" t="n">
        <v>-189.0504680504691</v>
      </c>
      <c r="M140" s="6" t="n">
        <v>-0.01753631989782681</v>
      </c>
      <c r="N140" s="7" t="n">
        <v>104.4579787079474</v>
      </c>
      <c r="O140" s="7" t="n">
        <v>93.26605241781014</v>
      </c>
      <c r="P140" s="7" t="n">
        <v>10539.06392321255</v>
      </c>
      <c r="Q140" s="7" t="n">
        <v>10749.85215812251</v>
      </c>
      <c r="R140" s="7" t="n">
        <v>-210.7882349099618</v>
      </c>
      <c r="S140" s="6" t="n">
        <v>-0.01960847756875352</v>
      </c>
      <c r="T140" s="7" t="n">
        <v>305.9164084978541</v>
      </c>
      <c r="U140" s="7" t="n">
        <v>273.1396504445126</v>
      </c>
      <c r="V140" s="7" t="n">
        <v>10667.84893137851</v>
      </c>
      <c r="W140" s="7" t="n">
        <v>11299.68046176946</v>
      </c>
      <c r="X140" s="7" t="n">
        <v>-631.8315303909458</v>
      </c>
      <c r="Y140" s="6" t="n">
        <v>-0.05591587589831765</v>
      </c>
      <c r="Z140" s="7" t="n">
        <v>493.8984146192801</v>
      </c>
      <c r="AA140" s="7" t="n">
        <v>440.9807273386429</v>
      </c>
      <c r="AB140" s="7" t="n">
        <v>8832.048175290904</v>
      </c>
      <c r="AC140" s="7" t="n">
        <v>12701.28273278115</v>
      </c>
      <c r="AD140" s="7" t="n">
        <v>-3869.234557490248</v>
      </c>
      <c r="AE140" s="6" t="n">
        <v>-0.3046333696284089</v>
      </c>
    </row>
    <row r="141">
      <c r="A141" s="2" t="n">
        <v>132</v>
      </c>
      <c r="B141" s="2" t="inlineStr">
        <is>
          <t>KPROP-00132</t>
        </is>
      </c>
      <c r="C141" s="3" t="n">
        <v>45871</v>
      </c>
      <c r="D141" s="2" t="inlineStr">
        <is>
          <t>Max Scherzer</t>
        </is>
      </c>
      <c r="E141" s="2" t="inlineStr">
        <is>
          <t>Win</t>
        </is>
      </c>
      <c r="F141" s="2" t="n">
        <v>0.9090909090909092</v>
      </c>
      <c r="G141" s="6" t="n">
        <v>0.3178282856739699</v>
      </c>
      <c r="H141" s="7" t="n">
        <v>100</v>
      </c>
      <c r="I141" s="7" t="n">
        <v>90.90909090909092</v>
      </c>
      <c r="J141" s="7" t="n">
        <v>10682.36839639994</v>
      </c>
      <c r="K141" s="7" t="n">
        <v>10780.50977354132</v>
      </c>
      <c r="L141" s="7" t="n">
        <v>-98.14137714137905</v>
      </c>
      <c r="M141" s="6" t="n">
        <v>-0.009103593355320551</v>
      </c>
      <c r="N141" s="7" t="n">
        <v>105.3906392321255</v>
      </c>
      <c r="O141" s="7" t="n">
        <v>95.80967202920498</v>
      </c>
      <c r="P141" s="7" t="n">
        <v>10634.87359524175</v>
      </c>
      <c r="Q141" s="7" t="n">
        <v>10749.85215812251</v>
      </c>
      <c r="R141" s="7" t="n">
        <v>-114.9785628807567</v>
      </c>
      <c r="S141" s="6" t="n">
        <v>-0.01069582736483309</v>
      </c>
      <c r="T141" s="7" t="n">
        <v>847.6360344222313</v>
      </c>
      <c r="U141" s="7" t="n">
        <v>770.5782131111195</v>
      </c>
      <c r="V141" s="7" t="n">
        <v>11438.42714448963</v>
      </c>
      <c r="W141" s="7" t="n">
        <v>11438.42714448963</v>
      </c>
      <c r="X141" s="7" t="n">
        <v>0</v>
      </c>
      <c r="Y141" s="6" t="n">
        <v>0</v>
      </c>
      <c r="Z141" s="7" t="n">
        <v>1403.537365271311</v>
      </c>
      <c r="AA141" s="7" t="n">
        <v>1275.943059337555</v>
      </c>
      <c r="AB141" s="7" t="n">
        <v>10107.99123462846</v>
      </c>
      <c r="AC141" s="7" t="n">
        <v>12701.28273278115</v>
      </c>
      <c r="AD141" s="7" t="n">
        <v>-2593.291498152694</v>
      </c>
      <c r="AE141" s="6" t="n">
        <v>-0.2041755586984599</v>
      </c>
    </row>
    <row r="142">
      <c r="A142" s="2" t="n">
        <v>133</v>
      </c>
      <c r="B142" s="2" t="inlineStr">
        <is>
          <t>KPROP-00133</t>
        </is>
      </c>
      <c r="C142" s="3" t="n">
        <v>45871</v>
      </c>
      <c r="D142" s="2" t="inlineStr">
        <is>
          <t>Zack Wheeler</t>
        </is>
      </c>
      <c r="E142" s="2" t="inlineStr">
        <is>
          <t>Loss</t>
        </is>
      </c>
      <c r="F142" s="2" t="n">
        <v>-1</v>
      </c>
      <c r="G142" s="6" t="n">
        <v>0.05981064382225725</v>
      </c>
      <c r="H142" s="7" t="n">
        <v>100</v>
      </c>
      <c r="I142" s="7" t="n">
        <v>-100</v>
      </c>
      <c r="J142" s="7" t="n">
        <v>10582.36839639994</v>
      </c>
      <c r="K142" s="7" t="n">
        <v>10780.50977354132</v>
      </c>
      <c r="L142" s="7" t="n">
        <v>-198.1413771413791</v>
      </c>
      <c r="M142" s="6" t="n">
        <v>-0.01837959255207752</v>
      </c>
      <c r="N142" s="7" t="n">
        <v>106.3487359524175</v>
      </c>
      <c r="O142" s="7" t="n">
        <v>-106.3487359524175</v>
      </c>
      <c r="P142" s="7" t="n">
        <v>10528.52485928933</v>
      </c>
      <c r="Q142" s="7" t="n">
        <v>10749.85215812251</v>
      </c>
      <c r="R142" s="7" t="n">
        <v>-221.3272988331737</v>
      </c>
      <c r="S142" s="6" t="n">
        <v>-0.0205888690911847</v>
      </c>
      <c r="T142" s="7" t="n">
        <v>171.0349229564771</v>
      </c>
      <c r="U142" s="7" t="n">
        <v>-171.0349229564771</v>
      </c>
      <c r="V142" s="7" t="n">
        <v>11267.39222153316</v>
      </c>
      <c r="W142" s="7" t="n">
        <v>11438.42714448963</v>
      </c>
      <c r="X142" s="7" t="n">
        <v>-171.0349229564763</v>
      </c>
      <c r="Y142" s="6" t="n">
        <v>-0.01495266095556424</v>
      </c>
      <c r="Z142" s="7" t="n">
        <v>302.2827317464305</v>
      </c>
      <c r="AA142" s="7" t="n">
        <v>-302.2827317464305</v>
      </c>
      <c r="AB142" s="7" t="n">
        <v>9805.708502882027</v>
      </c>
      <c r="AC142" s="7" t="n">
        <v>12701.28273278115</v>
      </c>
      <c r="AD142" s="7" t="n">
        <v>-2895.574229899124</v>
      </c>
      <c r="AE142" s="6" t="n">
        <v>-0.2279749448003266</v>
      </c>
    </row>
    <row r="143">
      <c r="A143" s="2" t="n">
        <v>134</v>
      </c>
      <c r="B143" s="2" t="inlineStr">
        <is>
          <t>KPROP-00134</t>
        </is>
      </c>
      <c r="C143" s="3" t="n">
        <v>45872</v>
      </c>
      <c r="D143" s="2" t="inlineStr">
        <is>
          <t>Jacob deGrom</t>
        </is>
      </c>
      <c r="E143" s="2" t="inlineStr">
        <is>
          <t>Win</t>
        </is>
      </c>
      <c r="F143" s="2" t="n">
        <v>1.2</v>
      </c>
      <c r="G143" s="6" t="n">
        <v>0.1522200406566294</v>
      </c>
      <c r="H143" s="7" t="n">
        <v>100</v>
      </c>
      <c r="I143" s="7" t="n">
        <v>120</v>
      </c>
      <c r="J143" s="7" t="n">
        <v>10702.36839639994</v>
      </c>
      <c r="K143" s="7" t="n">
        <v>10780.50977354132</v>
      </c>
      <c r="L143" s="7" t="n">
        <v>-78.14137714137905</v>
      </c>
      <c r="M143" s="6" t="n">
        <v>-0.007248393515969157</v>
      </c>
      <c r="N143" s="7" t="n">
        <v>105.2852485928934</v>
      </c>
      <c r="O143" s="7" t="n">
        <v>126.342298311472</v>
      </c>
      <c r="P143" s="7" t="n">
        <v>10654.86715760081</v>
      </c>
      <c r="Q143" s="7" t="n">
        <v>10749.85215812251</v>
      </c>
      <c r="R143" s="7" t="n">
        <v>-94.98500052170129</v>
      </c>
      <c r="S143" s="6" t="n">
        <v>-0.008835935520278884</v>
      </c>
      <c r="T143" s="7" t="n">
        <v>428.7807255139917</v>
      </c>
      <c r="U143" s="7" t="n">
        <v>514.5368706167901</v>
      </c>
      <c r="V143" s="7" t="n">
        <v>11781.92909214995</v>
      </c>
      <c r="W143" s="7" t="n">
        <v>11781.92909214995</v>
      </c>
      <c r="X143" s="7" t="n">
        <v>0</v>
      </c>
      <c r="Y143" s="6" t="n">
        <v>0</v>
      </c>
      <c r="Z143" s="7" t="n">
        <v>746.3126734878794</v>
      </c>
      <c r="AA143" s="7" t="n">
        <v>895.5752081854554</v>
      </c>
      <c r="AB143" s="7" t="n">
        <v>10701.28371106748</v>
      </c>
      <c r="AC143" s="7" t="n">
        <v>12701.28273278115</v>
      </c>
      <c r="AD143" s="7" t="n">
        <v>-1999.999021713669</v>
      </c>
      <c r="AE143" s="6" t="n">
        <v>-0.1574643336260681</v>
      </c>
    </row>
    <row r="144">
      <c r="A144" s="2" t="n">
        <v>135</v>
      </c>
      <c r="B144" s="2" t="inlineStr">
        <is>
          <t>KPROP-00135</t>
        </is>
      </c>
      <c r="C144" s="3" t="n">
        <v>45872</v>
      </c>
      <c r="D144" s="2" t="inlineStr">
        <is>
          <t>Seth Lugo</t>
        </is>
      </c>
      <c r="E144" s="2" t="inlineStr">
        <is>
          <t>Win</t>
        </is>
      </c>
      <c r="F144" s="2" t="n">
        <v>0.78125</v>
      </c>
      <c r="G144" s="6" t="n">
        <v>0.1454216471753392</v>
      </c>
      <c r="H144" s="7" t="n">
        <v>100</v>
      </c>
      <c r="I144" s="7" t="n">
        <v>78.125</v>
      </c>
      <c r="J144" s="7" t="n">
        <v>10780.49339639994</v>
      </c>
      <c r="K144" s="7" t="n">
        <v>10780.50977354132</v>
      </c>
      <c r="L144" s="7" t="n">
        <v>-0.01637714137905277</v>
      </c>
      <c r="M144" s="6" t="n">
        <v>-1.519143502772689e-06</v>
      </c>
      <c r="N144" s="7" t="n">
        <v>106.5486715760081</v>
      </c>
      <c r="O144" s="7" t="n">
        <v>83.24114966875631</v>
      </c>
      <c r="P144" s="7" t="n">
        <v>10738.10830726956</v>
      </c>
      <c r="Q144" s="7" t="n">
        <v>10749.85215812251</v>
      </c>
      <c r="R144" s="7" t="n">
        <v>-11.74385085294489</v>
      </c>
      <c r="S144" s="6" t="n">
        <v>-0.001092466266531054</v>
      </c>
      <c r="T144" s="7" t="n">
        <v>428.3368838708736</v>
      </c>
      <c r="U144" s="7" t="n">
        <v>334.63819052412</v>
      </c>
      <c r="V144" s="7" t="n">
        <v>12116.56728267407</v>
      </c>
      <c r="W144" s="7" t="n">
        <v>12116.56728267407</v>
      </c>
      <c r="X144" s="7" t="n">
        <v>0</v>
      </c>
      <c r="Y144" s="6" t="n">
        <v>0</v>
      </c>
      <c r="Z144" s="7" t="n">
        <v>778.0991520770301</v>
      </c>
      <c r="AA144" s="7" t="n">
        <v>607.8899625601798</v>
      </c>
      <c r="AB144" s="7" t="n">
        <v>11309.17367362766</v>
      </c>
      <c r="AC144" s="7" t="n">
        <v>12701.28273278115</v>
      </c>
      <c r="AD144" s="7" t="n">
        <v>-1392.10905915349</v>
      </c>
      <c r="AE144" s="6" t="n">
        <v>-0.1096038162791661</v>
      </c>
    </row>
    <row r="145">
      <c r="A145" s="2" t="n">
        <v>136</v>
      </c>
      <c r="B145" s="2" t="inlineStr">
        <is>
          <t>KPROP-00136</t>
        </is>
      </c>
      <c r="C145" s="3" t="n">
        <v>45873</v>
      </c>
      <c r="D145" s="2" t="inlineStr">
        <is>
          <t>Sean Manaea</t>
        </is>
      </c>
      <c r="E145" s="2" t="inlineStr">
        <is>
          <t>Win</t>
        </is>
      </c>
      <c r="F145" s="2" t="n">
        <v>0.8403361344537816</v>
      </c>
      <c r="G145" s="6" t="n">
        <v>0.191300872021834</v>
      </c>
      <c r="H145" s="7" t="n">
        <v>100</v>
      </c>
      <c r="I145" s="7" t="n">
        <v>84.03361344537817</v>
      </c>
      <c r="J145" s="7" t="n">
        <v>10864.52700984532</v>
      </c>
      <c r="K145" s="7" t="n">
        <v>10864.52700984532</v>
      </c>
      <c r="L145" s="7" t="n">
        <v>0</v>
      </c>
      <c r="M145" s="6" t="n">
        <v>0</v>
      </c>
      <c r="N145" s="7" t="n">
        <v>107.3810830726956</v>
      </c>
      <c r="O145" s="7" t="n">
        <v>90.23620426276946</v>
      </c>
      <c r="P145" s="7" t="n">
        <v>10828.34451153233</v>
      </c>
      <c r="Q145" s="7" t="n">
        <v>10828.34451153233</v>
      </c>
      <c r="R145" s="7" t="n">
        <v>0</v>
      </c>
      <c r="S145" s="6" t="n">
        <v>0</v>
      </c>
      <c r="T145" s="7" t="n">
        <v>579.477471771693</v>
      </c>
      <c r="U145" s="7" t="n">
        <v>486.9558586316749</v>
      </c>
      <c r="V145" s="7" t="n">
        <v>12603.52314130574</v>
      </c>
      <c r="W145" s="7" t="n">
        <v>12603.52314130574</v>
      </c>
      <c r="X145" s="7" t="n">
        <v>0</v>
      </c>
      <c r="Y145" s="6" t="n">
        <v>0</v>
      </c>
      <c r="Z145" s="7" t="n">
        <v>1081.72739280567</v>
      </c>
      <c r="AA145" s="7" t="n">
        <v>909.0146158030838</v>
      </c>
      <c r="AB145" s="7" t="n">
        <v>12218.18828943075</v>
      </c>
      <c r="AC145" s="7" t="n">
        <v>12701.28273278115</v>
      </c>
      <c r="AD145" s="7" t="n">
        <v>-483.0944433504064</v>
      </c>
      <c r="AE145" s="6" t="n">
        <v>-0.03803509090491879</v>
      </c>
    </row>
    <row r="146">
      <c r="A146" s="2" t="n">
        <v>137</v>
      </c>
      <c r="B146" s="2" t="inlineStr">
        <is>
          <t>KPROP-00137</t>
        </is>
      </c>
      <c r="C146" s="3" t="n">
        <v>45874</v>
      </c>
      <c r="D146" s="2" t="inlineStr">
        <is>
          <t>Chris Paddack</t>
        </is>
      </c>
      <c r="E146" s="2" t="inlineStr">
        <is>
          <t>Win</t>
        </is>
      </c>
      <c r="F146" s="2" t="n">
        <v>0.8695652173913042</v>
      </c>
      <c r="G146" s="6" t="n">
        <v>0.1346802701268961</v>
      </c>
      <c r="H146" s="7" t="n">
        <v>100</v>
      </c>
      <c r="I146" s="7" t="n">
        <v>86.95652173913042</v>
      </c>
      <c r="J146" s="7" t="n">
        <v>10951.48353158445</v>
      </c>
      <c r="K146" s="7" t="n">
        <v>10951.48353158445</v>
      </c>
      <c r="L146" s="7" t="n">
        <v>0</v>
      </c>
      <c r="M146" s="6" t="n">
        <v>0</v>
      </c>
      <c r="N146" s="7" t="n">
        <v>108.2834451153233</v>
      </c>
      <c r="O146" s="7" t="n">
        <v>94.1595174915855</v>
      </c>
      <c r="P146" s="7" t="n">
        <v>10922.50402902392</v>
      </c>
      <c r="Q146" s="7" t="n">
        <v>10922.50402902392</v>
      </c>
      <c r="R146" s="7" t="n">
        <v>0</v>
      </c>
      <c r="S146" s="6" t="n">
        <v>0</v>
      </c>
      <c r="T146" s="7" t="n">
        <v>424.3614753054109</v>
      </c>
      <c r="U146" s="7" t="n">
        <v>369.0099785264442</v>
      </c>
      <c r="V146" s="7" t="n">
        <v>12972.53311983219</v>
      </c>
      <c r="W146" s="7" t="n">
        <v>12972.53311983219</v>
      </c>
      <c r="X146" s="7" t="n">
        <v>0</v>
      </c>
      <c r="Y146" s="6" t="n">
        <v>0</v>
      </c>
      <c r="Z146" s="7" t="n">
        <v>822.7744496409058</v>
      </c>
      <c r="AA146" s="7" t="n">
        <v>715.456043166005</v>
      </c>
      <c r="AB146" s="7" t="n">
        <v>12933.64433259675</v>
      </c>
      <c r="AC146" s="7" t="n">
        <v>12933.64433259675</v>
      </c>
      <c r="AD146" s="7" t="n">
        <v>0</v>
      </c>
      <c r="AE146" s="6" t="n">
        <v>0</v>
      </c>
    </row>
    <row r="147">
      <c r="A147" s="2" t="n">
        <v>138</v>
      </c>
      <c r="B147" s="2" t="inlineStr">
        <is>
          <t>KPROP-00138</t>
        </is>
      </c>
      <c r="C147" s="3" t="n">
        <v>45874</v>
      </c>
      <c r="D147" s="2" t="inlineStr">
        <is>
          <t>Joey Wentz</t>
        </is>
      </c>
      <c r="E147" s="2" t="inlineStr">
        <is>
          <t>Win</t>
        </is>
      </c>
      <c r="F147" s="2" t="n">
        <v>0.6451612903225805</v>
      </c>
      <c r="G147" s="6" t="n">
        <v>0.1091695245374395</v>
      </c>
      <c r="H147" s="7" t="n">
        <v>100</v>
      </c>
      <c r="I147" s="7" t="n">
        <v>64.51612903225805</v>
      </c>
      <c r="J147" s="7" t="n">
        <v>11015.99966061671</v>
      </c>
      <c r="K147" s="7" t="n">
        <v>11015.99966061671</v>
      </c>
      <c r="L147" s="7" t="n">
        <v>0</v>
      </c>
      <c r="M147" s="6" t="n">
        <v>0</v>
      </c>
      <c r="N147" s="7" t="n">
        <v>109.2250402902392</v>
      </c>
      <c r="O147" s="7" t="n">
        <v>70.46776792918656</v>
      </c>
      <c r="P147" s="7" t="n">
        <v>10992.97179695311</v>
      </c>
      <c r="Q147" s="7" t="n">
        <v>10992.97179695311</v>
      </c>
      <c r="R147" s="7" t="n">
        <v>0</v>
      </c>
      <c r="S147" s="6" t="n">
        <v>0</v>
      </c>
      <c r="T147" s="7" t="n">
        <v>354.0513181845667</v>
      </c>
      <c r="U147" s="7" t="n">
        <v>228.4202052803656</v>
      </c>
      <c r="V147" s="7" t="n">
        <v>13200.95332511255</v>
      </c>
      <c r="W147" s="7" t="n">
        <v>13200.95332511255</v>
      </c>
      <c r="X147" s="7" t="n">
        <v>0</v>
      </c>
      <c r="Y147" s="6" t="n">
        <v>0</v>
      </c>
      <c r="Z147" s="7" t="n">
        <v>705.9799011629683</v>
      </c>
      <c r="AA147" s="7" t="n">
        <v>455.4709039761085</v>
      </c>
      <c r="AB147" s="7" t="n">
        <v>13389.11523657286</v>
      </c>
      <c r="AC147" s="7" t="n">
        <v>13389.11523657286</v>
      </c>
      <c r="AD147" s="7" t="n">
        <v>0</v>
      </c>
      <c r="AE147" s="6" t="n">
        <v>0</v>
      </c>
    </row>
    <row r="148">
      <c r="A148" s="2" t="n">
        <v>139</v>
      </c>
      <c r="B148" s="2" t="inlineStr">
        <is>
          <t>KPROP-00139</t>
        </is>
      </c>
      <c r="C148" s="3" t="n">
        <v>45874</v>
      </c>
      <c r="D148" s="2" t="inlineStr">
        <is>
          <t>Logan Webb</t>
        </is>
      </c>
      <c r="E148" s="2" t="inlineStr">
        <is>
          <t>Loss</t>
        </is>
      </c>
      <c r="F148" s="2" t="n">
        <v>-1</v>
      </c>
      <c r="G148" s="6" t="n">
        <v>0.1979447324156923</v>
      </c>
      <c r="H148" s="7" t="n">
        <v>100</v>
      </c>
      <c r="I148" s="7" t="n">
        <v>-100</v>
      </c>
      <c r="J148" s="7" t="n">
        <v>10915.99966061671</v>
      </c>
      <c r="K148" s="7" t="n">
        <v>11015.99966061671</v>
      </c>
      <c r="L148" s="7" t="n">
        <v>-100</v>
      </c>
      <c r="M148" s="6" t="n">
        <v>-0.009077705435804424</v>
      </c>
      <c r="N148" s="7" t="n">
        <v>109.9297179695311</v>
      </c>
      <c r="O148" s="7" t="n">
        <v>-109.9297179695311</v>
      </c>
      <c r="P148" s="7" t="n">
        <v>10883.04207898358</v>
      </c>
      <c r="Q148" s="7" t="n">
        <v>10992.97179695311</v>
      </c>
      <c r="R148" s="7" t="n">
        <v>-109.9297179695313</v>
      </c>
      <c r="S148" s="6" t="n">
        <v>-0.01000000000000002</v>
      </c>
      <c r="T148" s="7" t="n">
        <v>653.2647933928619</v>
      </c>
      <c r="U148" s="7" t="n">
        <v>-653.2647933928619</v>
      </c>
      <c r="V148" s="7" t="n">
        <v>12547.68853171969</v>
      </c>
      <c r="W148" s="7" t="n">
        <v>13200.95332511255</v>
      </c>
      <c r="X148" s="7" t="n">
        <v>-653.264793392862</v>
      </c>
      <c r="Y148" s="6" t="n">
        <v>-0.04948618310392309</v>
      </c>
      <c r="Z148" s="7" t="n">
        <v>1325.152416393142</v>
      </c>
      <c r="AA148" s="7" t="n">
        <v>-1325.152416393142</v>
      </c>
      <c r="AB148" s="7" t="n">
        <v>12063.96282017972</v>
      </c>
      <c r="AC148" s="7" t="n">
        <v>13389.11523657286</v>
      </c>
      <c r="AD148" s="7" t="n">
        <v>-1325.152416393143</v>
      </c>
      <c r="AE148" s="6" t="n">
        <v>-0.09897236620784622</v>
      </c>
    </row>
    <row r="149">
      <c r="A149" s="2" t="n">
        <v>140</v>
      </c>
      <c r="B149" s="2" t="inlineStr">
        <is>
          <t>KPROP-00140</t>
        </is>
      </c>
      <c r="C149" s="3" t="n">
        <v>45874</v>
      </c>
      <c r="D149" s="2" t="inlineStr">
        <is>
          <t>MacKenzie Gore</t>
        </is>
      </c>
      <c r="E149" s="2" t="inlineStr">
        <is>
          <t>Win</t>
        </is>
      </c>
      <c r="F149" s="2" t="n">
        <v>1.18</v>
      </c>
      <c r="G149" s="6" t="n">
        <v>0.1360993513291337</v>
      </c>
      <c r="H149" s="7" t="n">
        <v>100</v>
      </c>
      <c r="I149" s="7" t="n">
        <v>118</v>
      </c>
      <c r="J149" s="7" t="n">
        <v>11033.99966061671</v>
      </c>
      <c r="K149" s="7" t="n">
        <v>11033.99966061671</v>
      </c>
      <c r="L149" s="7" t="n">
        <v>0</v>
      </c>
      <c r="M149" s="6" t="n">
        <v>0</v>
      </c>
      <c r="N149" s="7" t="n">
        <v>108.8304207898358</v>
      </c>
      <c r="O149" s="7" t="n">
        <v>128.4198965320062</v>
      </c>
      <c r="P149" s="7" t="n">
        <v>11011.46197551558</v>
      </c>
      <c r="Q149" s="7" t="n">
        <v>11011.46197551558</v>
      </c>
      <c r="R149" s="7" t="n">
        <v>0</v>
      </c>
      <c r="S149" s="6" t="n">
        <v>0</v>
      </c>
      <c r="T149" s="7" t="n">
        <v>426.9330674617649</v>
      </c>
      <c r="U149" s="7" t="n">
        <v>503.7810196048824</v>
      </c>
      <c r="V149" s="7" t="n">
        <v>13051.46955132457</v>
      </c>
      <c r="W149" s="7" t="n">
        <v>13200.95332511255</v>
      </c>
      <c r="X149" s="7" t="n">
        <v>-149.4837737879789</v>
      </c>
      <c r="Y149" s="6" t="n">
        <v>-0.01132371050078721</v>
      </c>
      <c r="Z149" s="7" t="n">
        <v>820.948757142623</v>
      </c>
      <c r="AA149" s="7" t="n">
        <v>968.7195334282949</v>
      </c>
      <c r="AB149" s="7" t="n">
        <v>13032.68235360801</v>
      </c>
      <c r="AC149" s="7" t="n">
        <v>13389.11523657286</v>
      </c>
      <c r="AD149" s="7" t="n">
        <v>-356.4328829648475</v>
      </c>
      <c r="AE149" s="6" t="n">
        <v>-0.02662109307949177</v>
      </c>
    </row>
    <row r="150">
      <c r="A150" s="2" t="n">
        <v>141</v>
      </c>
      <c r="B150" s="2" t="inlineStr">
        <is>
          <t>KPROP-00141</t>
        </is>
      </c>
      <c r="C150" s="3" t="n">
        <v>45874</v>
      </c>
      <c r="D150" s="2" t="inlineStr">
        <is>
          <t>MacKenzie Gore</t>
        </is>
      </c>
      <c r="E150" s="2" t="inlineStr">
        <is>
          <t>Win</t>
        </is>
      </c>
      <c r="F150" s="2" t="n">
        <v>0.606060606060606</v>
      </c>
      <c r="G150" s="6" t="n">
        <v>0.1471877195709563</v>
      </c>
      <c r="H150" s="7" t="n">
        <v>100</v>
      </c>
      <c r="I150" s="7" t="n">
        <v>60.60606060606059</v>
      </c>
      <c r="J150" s="7" t="n">
        <v>11094.60572122277</v>
      </c>
      <c r="K150" s="7" t="n">
        <v>11094.60572122277</v>
      </c>
      <c r="L150" s="7" t="n">
        <v>0</v>
      </c>
      <c r="M150" s="6" t="n">
        <v>0</v>
      </c>
      <c r="N150" s="7" t="n">
        <v>110.1146197551558</v>
      </c>
      <c r="O150" s="7" t="n">
        <v>66.7361331849429</v>
      </c>
      <c r="P150" s="7" t="n">
        <v>11078.19810870052</v>
      </c>
      <c r="Q150" s="7" t="n">
        <v>11078.19810870052</v>
      </c>
      <c r="R150" s="7" t="n">
        <v>0</v>
      </c>
      <c r="S150" s="6" t="n">
        <v>0</v>
      </c>
      <c r="T150" s="7" t="n">
        <v>480.254010077309</v>
      </c>
      <c r="U150" s="7" t="n">
        <v>291.0630364104903</v>
      </c>
      <c r="V150" s="7" t="n">
        <v>13342.53258773506</v>
      </c>
      <c r="W150" s="7" t="n">
        <v>13342.53258773506</v>
      </c>
      <c r="X150" s="7" t="n">
        <v>0</v>
      </c>
      <c r="Y150" s="6" t="n">
        <v>0</v>
      </c>
      <c r="Z150" s="7" t="n">
        <v>959.1253977601034</v>
      </c>
      <c r="AA150" s="7" t="n">
        <v>581.288119854608</v>
      </c>
      <c r="AB150" s="7" t="n">
        <v>13613.97047346262</v>
      </c>
      <c r="AC150" s="7" t="n">
        <v>13613.97047346262</v>
      </c>
      <c r="AD150" s="7" t="n">
        <v>0</v>
      </c>
      <c r="AE150" s="6" t="n">
        <v>0</v>
      </c>
    </row>
    <row r="151">
      <c r="A151" s="2" t="n">
        <v>142</v>
      </c>
      <c r="B151" s="2" t="inlineStr">
        <is>
          <t>KPROP-00142</t>
        </is>
      </c>
      <c r="C151" s="3" t="n">
        <v>45875</v>
      </c>
      <c r="D151" s="2" t="inlineStr">
        <is>
          <t>David Peterson</t>
        </is>
      </c>
      <c r="E151" s="2" t="inlineStr">
        <is>
          <t>Loss</t>
        </is>
      </c>
      <c r="F151" s="2" t="n">
        <v>-1</v>
      </c>
      <c r="G151" s="6" t="n">
        <v>0.06112089132166407</v>
      </c>
      <c r="H151" s="7" t="n">
        <v>100</v>
      </c>
      <c r="I151" s="7" t="n">
        <v>-100</v>
      </c>
      <c r="J151" s="7" t="n">
        <v>10994.60572122277</v>
      </c>
      <c r="K151" s="7" t="n">
        <v>11094.60572122277</v>
      </c>
      <c r="L151" s="7" t="n">
        <v>-100</v>
      </c>
      <c r="M151" s="6" t="n">
        <v>-0.009013389255348742</v>
      </c>
      <c r="N151" s="7" t="n">
        <v>110.7819810870052</v>
      </c>
      <c r="O151" s="7" t="n">
        <v>-110.7819810870052</v>
      </c>
      <c r="P151" s="7" t="n">
        <v>10967.41612761352</v>
      </c>
      <c r="Q151" s="7" t="n">
        <v>11078.19810870052</v>
      </c>
      <c r="R151" s="7" t="n">
        <v>-110.781981087006</v>
      </c>
      <c r="S151" s="6" t="n">
        <v>-0.01000000000000007</v>
      </c>
      <c r="T151" s="7" t="n">
        <v>203.876871062679</v>
      </c>
      <c r="U151" s="7" t="n">
        <v>-203.876871062679</v>
      </c>
      <c r="V151" s="7" t="n">
        <v>13138.65571667238</v>
      </c>
      <c r="W151" s="7" t="n">
        <v>13342.53258773506</v>
      </c>
      <c r="X151" s="7" t="n">
        <v>-203.8768710626791</v>
      </c>
      <c r="Y151" s="6" t="n">
        <v>-0.01528022283041603</v>
      </c>
      <c r="Z151" s="7" t="n">
        <v>416.0490048824261</v>
      </c>
      <c r="AA151" s="7" t="n">
        <v>-416.0490048824261</v>
      </c>
      <c r="AB151" s="7" t="n">
        <v>13197.92146858019</v>
      </c>
      <c r="AC151" s="7" t="n">
        <v>13613.97047346262</v>
      </c>
      <c r="AD151" s="7" t="n">
        <v>-416.0490048824267</v>
      </c>
      <c r="AE151" s="6" t="n">
        <v>-0.03056044566083208</v>
      </c>
    </row>
    <row r="152">
      <c r="A152" s="2" t="n">
        <v>143</v>
      </c>
      <c r="B152" s="2" t="inlineStr">
        <is>
          <t>KPROP-00143</t>
        </is>
      </c>
      <c r="C152" s="3" t="n">
        <v>45875</v>
      </c>
      <c r="D152" s="2" t="inlineStr">
        <is>
          <t>Jack Flaherty</t>
        </is>
      </c>
      <c r="E152" s="2" t="inlineStr">
        <is>
          <t>Win</t>
        </is>
      </c>
      <c r="F152" s="2" t="n">
        <v>0.9090909090909092</v>
      </c>
      <c r="G152" s="6" t="n">
        <v>0.1883305032322875</v>
      </c>
      <c r="H152" s="7" t="n">
        <v>100</v>
      </c>
      <c r="I152" s="7" t="n">
        <v>90.90909090909092</v>
      </c>
      <c r="J152" s="7" t="n">
        <v>11085.51481213186</v>
      </c>
      <c r="K152" s="7" t="n">
        <v>11094.60572122277</v>
      </c>
      <c r="L152" s="7" t="n">
        <v>-9.090909090909918</v>
      </c>
      <c r="M152" s="6" t="n">
        <v>-0.0008193990232135966</v>
      </c>
      <c r="N152" s="7" t="n">
        <v>109.6741612761352</v>
      </c>
      <c r="O152" s="7" t="n">
        <v>99.70378297830472</v>
      </c>
      <c r="P152" s="7" t="n">
        <v>11067.11991059182</v>
      </c>
      <c r="Q152" s="7" t="n">
        <v>11078.19810870052</v>
      </c>
      <c r="R152" s="7" t="n">
        <v>-11.07819810870205</v>
      </c>
      <c r="S152" s="6" t="n">
        <v>-0.001000000000000138</v>
      </c>
      <c r="T152" s="7" t="n">
        <v>618.6024107291702</v>
      </c>
      <c r="U152" s="7" t="n">
        <v>562.3658279356093</v>
      </c>
      <c r="V152" s="7" t="n">
        <v>13701.02154460799</v>
      </c>
      <c r="W152" s="7" t="n">
        <v>13701.02154460799</v>
      </c>
      <c r="X152" s="7" t="n">
        <v>0</v>
      </c>
      <c r="Y152" s="6" t="n">
        <v>0</v>
      </c>
      <c r="Z152" s="7" t="n">
        <v>1242.785595898959</v>
      </c>
      <c r="AA152" s="7" t="n">
        <v>1129.805087180872</v>
      </c>
      <c r="AB152" s="7" t="n">
        <v>14327.72655576106</v>
      </c>
      <c r="AC152" s="7" t="n">
        <v>14327.72655576106</v>
      </c>
      <c r="AD152" s="7" t="n">
        <v>0</v>
      </c>
      <c r="AE152" s="6" t="n">
        <v>0</v>
      </c>
    </row>
    <row r="153">
      <c r="A153" s="2" t="n">
        <v>144</v>
      </c>
      <c r="B153" s="2" t="inlineStr">
        <is>
          <t>KPROP-00144</t>
        </is>
      </c>
      <c r="C153" s="3" t="n">
        <v>45875</v>
      </c>
      <c r="D153" s="2" t="inlineStr">
        <is>
          <t>Jeffrey Springs</t>
        </is>
      </c>
      <c r="E153" s="2" t="inlineStr">
        <is>
          <t>Loss</t>
        </is>
      </c>
      <c r="F153" s="2" t="n">
        <v>-1</v>
      </c>
      <c r="G153" s="6" t="n">
        <v>0.08280738568661417</v>
      </c>
      <c r="H153" s="7" t="n">
        <v>100</v>
      </c>
      <c r="I153" s="7" t="n">
        <v>-100</v>
      </c>
      <c r="J153" s="7" t="n">
        <v>10985.51481213186</v>
      </c>
      <c r="K153" s="7" t="n">
        <v>11094.60572122277</v>
      </c>
      <c r="L153" s="7" t="n">
        <v>-109.0909090909099</v>
      </c>
      <c r="M153" s="6" t="n">
        <v>-0.009832788278562338</v>
      </c>
      <c r="N153" s="7" t="n">
        <v>110.6711991059182</v>
      </c>
      <c r="O153" s="7" t="n">
        <v>-110.6711991059182</v>
      </c>
      <c r="P153" s="7" t="n">
        <v>10956.4487114859</v>
      </c>
      <c r="Q153" s="7" t="n">
        <v>11078.19810870052</v>
      </c>
      <c r="R153" s="7" t="n">
        <v>-121.7493972146203</v>
      </c>
      <c r="S153" s="6" t="n">
        <v>-0.01099000000000014</v>
      </c>
      <c r="T153" s="7" t="n">
        <v>283.636443836241</v>
      </c>
      <c r="U153" s="7" t="n">
        <v>-283.636443836241</v>
      </c>
      <c r="V153" s="7" t="n">
        <v>13417.38510077175</v>
      </c>
      <c r="W153" s="7" t="n">
        <v>13701.02154460799</v>
      </c>
      <c r="X153" s="7" t="n">
        <v>-283.6364438362416</v>
      </c>
      <c r="Y153" s="6" t="n">
        <v>-0.02070184642165358</v>
      </c>
      <c r="Z153" s="7" t="n">
        <v>593.2207894576252</v>
      </c>
      <c r="AA153" s="7" t="n">
        <v>-593.2207894576252</v>
      </c>
      <c r="AB153" s="7" t="n">
        <v>13734.50576630344</v>
      </c>
      <c r="AC153" s="7" t="n">
        <v>14327.72655576106</v>
      </c>
      <c r="AD153" s="7" t="n">
        <v>-593.2207894576259</v>
      </c>
      <c r="AE153" s="6" t="n">
        <v>-0.04140369284330713</v>
      </c>
    </row>
    <row r="154">
      <c r="A154" s="2" t="n">
        <v>145</v>
      </c>
      <c r="B154" s="2" t="inlineStr">
        <is>
          <t>KPROP-00145</t>
        </is>
      </c>
      <c r="C154" s="3" t="n">
        <v>45875</v>
      </c>
      <c r="D154" s="2" t="inlineStr">
        <is>
          <t>Jeffrey Springs</t>
        </is>
      </c>
      <c r="E154" s="2" t="inlineStr">
        <is>
          <t>Win</t>
        </is>
      </c>
      <c r="F154" s="2" t="n">
        <v>0.625</v>
      </c>
      <c r="G154" s="6" t="n">
        <v>0.1145356954809436</v>
      </c>
      <c r="H154" s="7" t="n">
        <v>100</v>
      </c>
      <c r="I154" s="7" t="n">
        <v>62.5</v>
      </c>
      <c r="J154" s="7" t="n">
        <v>11048.01481213186</v>
      </c>
      <c r="K154" s="7" t="n">
        <v>11094.60572122277</v>
      </c>
      <c r="L154" s="7" t="n">
        <v>-46.59090909090992</v>
      </c>
      <c r="M154" s="6" t="n">
        <v>-0.004199419993969375</v>
      </c>
      <c r="N154" s="7" t="n">
        <v>109.564487114859</v>
      </c>
      <c r="O154" s="7" t="n">
        <v>68.47780444678691</v>
      </c>
      <c r="P154" s="7" t="n">
        <v>11024.92651593269</v>
      </c>
      <c r="Q154" s="7" t="n">
        <v>11078.19810870052</v>
      </c>
      <c r="R154" s="7" t="n">
        <v>-53.27159276783277</v>
      </c>
      <c r="S154" s="6" t="n">
        <v>-0.004808687500000083</v>
      </c>
      <c r="T154" s="7" t="n">
        <v>384.1923835131356</v>
      </c>
      <c r="U154" s="7" t="n">
        <v>240.1202396957098</v>
      </c>
      <c r="V154" s="7" t="n">
        <v>13657.50534046746</v>
      </c>
      <c r="W154" s="7" t="n">
        <v>13701.02154460799</v>
      </c>
      <c r="X154" s="7" t="n">
        <v>-43.51620414053104</v>
      </c>
      <c r="Y154" s="6" t="n">
        <v>-0.003176128436762933</v>
      </c>
      <c r="Z154" s="7" t="n">
        <v>786.545585015297</v>
      </c>
      <c r="AA154" s="7" t="n">
        <v>491.5909906345606</v>
      </c>
      <c r="AB154" s="7" t="n">
        <v>14226.096756938</v>
      </c>
      <c r="AC154" s="7" t="n">
        <v>14327.72655576106</v>
      </c>
      <c r="AD154" s="7" t="n">
        <v>-101.6297988230654</v>
      </c>
      <c r="AE154" s="6" t="n">
        <v>-0.007093225741539633</v>
      </c>
    </row>
    <row r="155">
      <c r="A155" s="2" t="n">
        <v>146</v>
      </c>
      <c r="B155" s="2" t="inlineStr">
        <is>
          <t>KPROP-00146</t>
        </is>
      </c>
      <c r="C155" s="3" t="n">
        <v>45875</v>
      </c>
      <c r="D155" s="2" t="inlineStr">
        <is>
          <t>Ranger Suarez</t>
        </is>
      </c>
      <c r="E155" s="2" t="inlineStr">
        <is>
          <t>Win</t>
        </is>
      </c>
      <c r="F155" s="2" t="n">
        <v>1.23</v>
      </c>
      <c r="G155" s="6" t="n">
        <v>0.1568830791992953</v>
      </c>
      <c r="H155" s="7" t="n">
        <v>100</v>
      </c>
      <c r="I155" s="7" t="n">
        <v>123</v>
      </c>
      <c r="J155" s="7" t="n">
        <v>11171.01481213186</v>
      </c>
      <c r="K155" s="7" t="n">
        <v>11171.01481213186</v>
      </c>
      <c r="L155" s="7" t="n">
        <v>0</v>
      </c>
      <c r="M155" s="6" t="n">
        <v>0</v>
      </c>
      <c r="N155" s="7" t="n">
        <v>110.2492651593269</v>
      </c>
      <c r="O155" s="7" t="n">
        <v>135.6065961459721</v>
      </c>
      <c r="P155" s="7" t="n">
        <v>11160.53311207866</v>
      </c>
      <c r="Q155" s="7" t="n">
        <v>11160.53311207866</v>
      </c>
      <c r="R155" s="7" t="n">
        <v>0</v>
      </c>
      <c r="S155" s="6" t="n">
        <v>0</v>
      </c>
      <c r="T155" s="7" t="n">
        <v>535.6578729983387</v>
      </c>
      <c r="U155" s="7" t="n">
        <v>658.8591837879566</v>
      </c>
      <c r="V155" s="7" t="n">
        <v>14316.36452425542</v>
      </c>
      <c r="W155" s="7" t="n">
        <v>14316.36452425542</v>
      </c>
      <c r="X155" s="7" t="n">
        <v>0</v>
      </c>
      <c r="Y155" s="6" t="n">
        <v>0</v>
      </c>
      <c r="Z155" s="7" t="n">
        <v>1115.916932107771</v>
      </c>
      <c r="AA155" s="7" t="n">
        <v>1372.577826492558</v>
      </c>
      <c r="AB155" s="7" t="n">
        <v>15598.67458343056</v>
      </c>
      <c r="AC155" s="7" t="n">
        <v>15598.67458343056</v>
      </c>
      <c r="AD155" s="7" t="n">
        <v>0</v>
      </c>
      <c r="AE155" s="6" t="n">
        <v>0</v>
      </c>
    </row>
    <row r="156">
      <c r="A156" s="2" t="n">
        <v>147</v>
      </c>
      <c r="B156" s="2" t="inlineStr">
        <is>
          <t>KPROP-00147</t>
        </is>
      </c>
      <c r="C156" s="3" t="n">
        <v>45875</v>
      </c>
      <c r="D156" s="2" t="inlineStr">
        <is>
          <t>Ranger Suarez</t>
        </is>
      </c>
      <c r="E156" s="2" t="inlineStr">
        <is>
          <t>Win</t>
        </is>
      </c>
      <c r="F156" s="2" t="n">
        <v>0.7518796992481203</v>
      </c>
      <c r="G156" s="6" t="n">
        <v>0.2813308978556611</v>
      </c>
      <c r="H156" s="7" t="n">
        <v>100</v>
      </c>
      <c r="I156" s="7" t="n">
        <v>75.18796992481202</v>
      </c>
      <c r="J156" s="7" t="n">
        <v>11246.20278205667</v>
      </c>
      <c r="K156" s="7" t="n">
        <v>11246.20278205667</v>
      </c>
      <c r="L156" s="7" t="n">
        <v>0</v>
      </c>
      <c r="M156" s="6" t="n">
        <v>0</v>
      </c>
      <c r="N156" s="7" t="n">
        <v>111.6053311207866</v>
      </c>
      <c r="O156" s="7" t="n">
        <v>83.91378279758393</v>
      </c>
      <c r="P156" s="7" t="n">
        <v>11244.44689487625</v>
      </c>
      <c r="Q156" s="7" t="n">
        <v>11244.44689487625</v>
      </c>
      <c r="R156" s="7" t="n">
        <v>0</v>
      </c>
      <c r="S156" s="6" t="n">
        <v>0</v>
      </c>
      <c r="T156" s="7" t="n">
        <v>1006.908921409428</v>
      </c>
      <c r="U156" s="7" t="n">
        <v>757.0743769995698</v>
      </c>
      <c r="V156" s="7" t="n">
        <v>15073.43890125499</v>
      </c>
      <c r="W156" s="7" t="n">
        <v>15073.43890125499</v>
      </c>
      <c r="X156" s="7" t="n">
        <v>0</v>
      </c>
      <c r="Y156" s="6" t="n">
        <v>0</v>
      </c>
      <c r="Z156" s="7" t="n">
        <v>2194.1945629574</v>
      </c>
      <c r="AA156" s="7" t="n">
        <v>1649.77034808827</v>
      </c>
      <c r="AB156" s="7" t="n">
        <v>17248.44493151883</v>
      </c>
      <c r="AC156" s="7" t="n">
        <v>17248.44493151883</v>
      </c>
      <c r="AD156" s="7" t="n">
        <v>0</v>
      </c>
      <c r="AE156" s="6" t="n">
        <v>0</v>
      </c>
    </row>
    <row r="157">
      <c r="A157" s="2" t="n">
        <v>148</v>
      </c>
      <c r="B157" s="2" t="inlineStr">
        <is>
          <t>KPROP-00148</t>
        </is>
      </c>
      <c r="C157" s="3" t="n">
        <v>45875</v>
      </c>
      <c r="D157" s="2" t="inlineStr">
        <is>
          <t>Robbie Ray</t>
        </is>
      </c>
      <c r="E157" s="2" t="inlineStr">
        <is>
          <t>Loss</t>
        </is>
      </c>
      <c r="F157" s="2" t="n">
        <v>-1</v>
      </c>
      <c r="G157" s="6" t="n">
        <v>0.1882064056973153</v>
      </c>
      <c r="H157" s="7" t="n">
        <v>100</v>
      </c>
      <c r="I157" s="7" t="n">
        <v>-100</v>
      </c>
      <c r="J157" s="7" t="n">
        <v>11146.20278205667</v>
      </c>
      <c r="K157" s="7" t="n">
        <v>11246.20278205667</v>
      </c>
      <c r="L157" s="7" t="n">
        <v>-100</v>
      </c>
      <c r="M157" s="6" t="n">
        <v>-0.008891890172881294</v>
      </c>
      <c r="N157" s="7" t="n">
        <v>112.4444689487625</v>
      </c>
      <c r="O157" s="7" t="n">
        <v>-112.4444689487625</v>
      </c>
      <c r="P157" s="7" t="n">
        <v>11132.00242592749</v>
      </c>
      <c r="Q157" s="7" t="n">
        <v>11244.44689487625</v>
      </c>
      <c r="R157" s="7" t="n">
        <v>-112.4444689487627</v>
      </c>
      <c r="S157" s="6" t="n">
        <v>-0.01000000000000002</v>
      </c>
      <c r="T157" s="7" t="n">
        <v>709.2294392758225</v>
      </c>
      <c r="U157" s="7" t="n">
        <v>-709.2294392758225</v>
      </c>
      <c r="V157" s="7" t="n">
        <v>14364.20946197916</v>
      </c>
      <c r="W157" s="7" t="n">
        <v>15073.43890125499</v>
      </c>
      <c r="X157" s="7" t="n">
        <v>-709.2294392758231</v>
      </c>
      <c r="Y157" s="6" t="n">
        <v>-0.04705160142432886</v>
      </c>
      <c r="Z157" s="7" t="n">
        <v>1623.133912214617</v>
      </c>
      <c r="AA157" s="7" t="n">
        <v>-1623.133912214617</v>
      </c>
      <c r="AB157" s="7" t="n">
        <v>15625.31101930421</v>
      </c>
      <c r="AC157" s="7" t="n">
        <v>17248.44493151883</v>
      </c>
      <c r="AD157" s="7" t="n">
        <v>-1623.133912214616</v>
      </c>
      <c r="AE157" s="6" t="n">
        <v>-0.0941032028486576</v>
      </c>
    </row>
    <row r="158">
      <c r="A158" s="2" t="n">
        <v>149</v>
      </c>
      <c r="B158" s="2" t="inlineStr">
        <is>
          <t>KPROP-00149</t>
        </is>
      </c>
      <c r="C158" s="3" t="n">
        <v>45875</v>
      </c>
      <c r="D158" s="2" t="inlineStr">
        <is>
          <t>Spencer Strider</t>
        </is>
      </c>
      <c r="E158" s="2" t="inlineStr">
        <is>
          <t>Win</t>
        </is>
      </c>
      <c r="F158" s="2" t="n">
        <v>1.2</v>
      </c>
      <c r="G158" s="6" t="n">
        <v>0.3059353085314284</v>
      </c>
      <c r="H158" s="7" t="n">
        <v>100</v>
      </c>
      <c r="I158" s="7" t="n">
        <v>120</v>
      </c>
      <c r="J158" s="7" t="n">
        <v>11266.20278205667</v>
      </c>
      <c r="K158" s="7" t="n">
        <v>11266.20278205667</v>
      </c>
      <c r="L158" s="7" t="n">
        <v>0</v>
      </c>
      <c r="M158" s="6" t="n">
        <v>0</v>
      </c>
      <c r="N158" s="7" t="n">
        <v>111.3200242592749</v>
      </c>
      <c r="O158" s="7" t="n">
        <v>133.5840291111298</v>
      </c>
      <c r="P158" s="7" t="n">
        <v>11265.58645503861</v>
      </c>
      <c r="Q158" s="7" t="n">
        <v>11265.58645503861</v>
      </c>
      <c r="R158" s="7" t="n">
        <v>0</v>
      </c>
      <c r="S158" s="6" t="n">
        <v>0</v>
      </c>
      <c r="T158" s="7" t="n">
        <v>1098.629713390165</v>
      </c>
      <c r="U158" s="7" t="n">
        <v>1318.355656068198</v>
      </c>
      <c r="V158" s="7" t="n">
        <v>15682.56511804736</v>
      </c>
      <c r="W158" s="7" t="n">
        <v>15682.56511804736</v>
      </c>
      <c r="X158" s="7" t="n">
        <v>0</v>
      </c>
      <c r="Y158" s="6" t="n">
        <v>0</v>
      </c>
      <c r="Z158" s="7" t="n">
        <v>2390.167173795181</v>
      </c>
      <c r="AA158" s="7" t="n">
        <v>2868.200608554217</v>
      </c>
      <c r="AB158" s="7" t="n">
        <v>18493.51162785843</v>
      </c>
      <c r="AC158" s="7" t="n">
        <v>18493.51162785843</v>
      </c>
      <c r="AD158" s="7" t="n">
        <v>0</v>
      </c>
      <c r="AE158" s="6" t="n">
        <v>0</v>
      </c>
    </row>
    <row r="159">
      <c r="A159" s="2" t="n">
        <v>150</v>
      </c>
      <c r="B159" s="2" t="inlineStr">
        <is>
          <t>KPROP-00150</t>
        </is>
      </c>
      <c r="C159" s="3" t="n">
        <v>45875</v>
      </c>
      <c r="D159" s="2" t="inlineStr">
        <is>
          <t>Spencer Strider</t>
        </is>
      </c>
      <c r="E159" s="2" t="inlineStr">
        <is>
          <t>Win</t>
        </is>
      </c>
      <c r="F159" s="2" t="n">
        <v>0.5714285714285714</v>
      </c>
      <c r="G159" s="6" t="n">
        <v>0.3312965560476662</v>
      </c>
      <c r="H159" s="7" t="n">
        <v>100</v>
      </c>
      <c r="I159" s="7" t="n">
        <v>57.14285714285714</v>
      </c>
      <c r="J159" s="7" t="n">
        <v>11323.34563919953</v>
      </c>
      <c r="K159" s="7" t="n">
        <v>11323.34563919953</v>
      </c>
      <c r="L159" s="7" t="n">
        <v>0</v>
      </c>
      <c r="M159" s="6" t="n">
        <v>0</v>
      </c>
      <c r="N159" s="7" t="n">
        <v>112.6558645503861</v>
      </c>
      <c r="O159" s="7" t="n">
        <v>64.3747797430778</v>
      </c>
      <c r="P159" s="7" t="n">
        <v>11329.96123478169</v>
      </c>
      <c r="Q159" s="7" t="n">
        <v>11329.96123478169</v>
      </c>
      <c r="R159" s="7" t="n">
        <v>0</v>
      </c>
      <c r="S159" s="6" t="n">
        <v>0</v>
      </c>
      <c r="T159" s="7" t="n">
        <v>1298.894953400588</v>
      </c>
      <c r="U159" s="7" t="n">
        <v>742.2256876574788</v>
      </c>
      <c r="V159" s="7" t="n">
        <v>16424.79080570484</v>
      </c>
      <c r="W159" s="7" t="n">
        <v>16424.79080570484</v>
      </c>
      <c r="X159" s="7" t="n">
        <v>0</v>
      </c>
      <c r="Y159" s="6" t="n">
        <v>0</v>
      </c>
      <c r="Z159" s="7" t="n">
        <v>3063.418355768483</v>
      </c>
      <c r="AA159" s="7" t="n">
        <v>1750.524774724847</v>
      </c>
      <c r="AB159" s="7" t="n">
        <v>20244.03640258328</v>
      </c>
      <c r="AC159" s="7" t="n">
        <v>20244.03640258328</v>
      </c>
      <c r="AD159" s="7" t="n">
        <v>0</v>
      </c>
      <c r="AE159" s="6" t="n">
        <v>0</v>
      </c>
    </row>
    <row r="160">
      <c r="A160" s="2" t="n">
        <v>151</v>
      </c>
      <c r="B160" s="2" t="inlineStr">
        <is>
          <t>KPROP-00151</t>
        </is>
      </c>
      <c r="C160" s="3" t="n">
        <v>45876</v>
      </c>
      <c r="D160" s="2" t="inlineStr">
        <is>
          <t>Carlos Carrasco</t>
        </is>
      </c>
      <c r="E160" s="2" t="inlineStr">
        <is>
          <t>Win</t>
        </is>
      </c>
      <c r="F160" s="2" t="n">
        <v>1.2</v>
      </c>
      <c r="G160" s="6" t="n">
        <v>0.07224200646844184</v>
      </c>
      <c r="H160" s="7" t="n">
        <v>100</v>
      </c>
      <c r="I160" s="7" t="n">
        <v>120</v>
      </c>
      <c r="J160" s="7" t="n">
        <v>11443.34563919953</v>
      </c>
      <c r="K160" s="7" t="n">
        <v>11443.34563919953</v>
      </c>
      <c r="L160" s="7" t="n">
        <v>0</v>
      </c>
      <c r="M160" s="6" t="n">
        <v>0</v>
      </c>
      <c r="N160" s="7" t="n">
        <v>113.2996123478169</v>
      </c>
      <c r="O160" s="7" t="n">
        <v>135.9595348173803</v>
      </c>
      <c r="P160" s="7" t="n">
        <v>11465.92076959907</v>
      </c>
      <c r="Q160" s="7" t="n">
        <v>11465.92076959907</v>
      </c>
      <c r="R160" s="7" t="n">
        <v>0</v>
      </c>
      <c r="S160" s="6" t="n">
        <v>0</v>
      </c>
      <c r="T160" s="7" t="n">
        <v>296.6399609071333</v>
      </c>
      <c r="U160" s="7" t="n">
        <v>355.96795308856</v>
      </c>
      <c r="V160" s="7" t="n">
        <v>16780.7587587934</v>
      </c>
      <c r="W160" s="7" t="n">
        <v>16780.7587587934</v>
      </c>
      <c r="X160" s="7" t="n">
        <v>0</v>
      </c>
      <c r="Y160" s="6" t="n">
        <v>0</v>
      </c>
      <c r="Z160" s="7" t="n">
        <v>731.2349043713965</v>
      </c>
      <c r="AA160" s="7" t="n">
        <v>877.4818852456759</v>
      </c>
      <c r="AB160" s="7" t="n">
        <v>21121.51828782895</v>
      </c>
      <c r="AC160" s="7" t="n">
        <v>21121.51828782895</v>
      </c>
      <c r="AD160" s="7" t="n">
        <v>0</v>
      </c>
      <c r="AE160" s="6" t="n">
        <v>0</v>
      </c>
    </row>
    <row r="161">
      <c r="A161" s="2" t="n">
        <v>152</v>
      </c>
      <c r="B161" s="2" t="inlineStr">
        <is>
          <t>KPROP-00152</t>
        </is>
      </c>
      <c r="C161" s="3" t="n">
        <v>45876</v>
      </c>
      <c r="D161" s="2" t="inlineStr">
        <is>
          <t>Jacob Lopez</t>
        </is>
      </c>
      <c r="E161" s="2" t="inlineStr">
        <is>
          <t>Loss</t>
        </is>
      </c>
      <c r="F161" s="2" t="n">
        <v>-1</v>
      </c>
      <c r="G161" s="6" t="n">
        <v>0.3395122603288098</v>
      </c>
      <c r="H161" s="7" t="n">
        <v>100</v>
      </c>
      <c r="I161" s="7" t="n">
        <v>-100</v>
      </c>
      <c r="J161" s="7" t="n">
        <v>11343.34563919953</v>
      </c>
      <c r="K161" s="7" t="n">
        <v>11443.34563919953</v>
      </c>
      <c r="L161" s="7" t="n">
        <v>-100</v>
      </c>
      <c r="M161" s="6" t="n">
        <v>-0.00873870309898243</v>
      </c>
      <c r="N161" s="7" t="n">
        <v>114.6592076959907</v>
      </c>
      <c r="O161" s="7" t="n">
        <v>-114.6592076959907</v>
      </c>
      <c r="P161" s="7" t="n">
        <v>11351.26156190308</v>
      </c>
      <c r="Q161" s="7" t="n">
        <v>11465.92076959907</v>
      </c>
      <c r="R161" s="7" t="n">
        <v>-114.6592076959914</v>
      </c>
      <c r="S161" s="6" t="n">
        <v>-0.01000000000000006</v>
      </c>
      <c r="T161" s="7" t="n">
        <v>1424.318334057605</v>
      </c>
      <c r="U161" s="7" t="n">
        <v>-1424.318334057605</v>
      </c>
      <c r="V161" s="7" t="n">
        <v>15356.44042473579</v>
      </c>
      <c r="W161" s="7" t="n">
        <v>16780.7587587934</v>
      </c>
      <c r="X161" s="7" t="n">
        <v>-1424.318334057605</v>
      </c>
      <c r="Y161" s="6" t="n">
        <v>-0.08487806508220246</v>
      </c>
      <c r="Z161" s="7" t="n">
        <v>3585.50720773855</v>
      </c>
      <c r="AA161" s="7" t="n">
        <v>-3585.50720773855</v>
      </c>
      <c r="AB161" s="7" t="n">
        <v>17536.0110800904</v>
      </c>
      <c r="AC161" s="7" t="n">
        <v>21121.51828782895</v>
      </c>
      <c r="AD161" s="7" t="n">
        <v>-3585.507207738552</v>
      </c>
      <c r="AE161" s="6" t="n">
        <v>-0.169756130164405</v>
      </c>
    </row>
    <row r="162">
      <c r="A162" s="2" t="n">
        <v>153</v>
      </c>
      <c r="B162" s="2" t="inlineStr">
        <is>
          <t>KPROP-00153</t>
        </is>
      </c>
      <c r="C162" s="3" t="n">
        <v>45876</v>
      </c>
      <c r="D162" s="2" t="inlineStr">
        <is>
          <t>Jacob Lopez</t>
        </is>
      </c>
      <c r="E162" s="2" t="inlineStr">
        <is>
          <t>Loss</t>
        </is>
      </c>
      <c r="F162" s="2" t="n">
        <v>-1</v>
      </c>
      <c r="G162" s="6" t="n">
        <v>0.3307420188857552</v>
      </c>
      <c r="H162" s="7" t="n">
        <v>100</v>
      </c>
      <c r="I162" s="7" t="n">
        <v>-100</v>
      </c>
      <c r="J162" s="7" t="n">
        <v>11243.34563919953</v>
      </c>
      <c r="K162" s="7" t="n">
        <v>11443.34563919953</v>
      </c>
      <c r="L162" s="7" t="n">
        <v>-200</v>
      </c>
      <c r="M162" s="6" t="n">
        <v>-0.01747740619796486</v>
      </c>
      <c r="N162" s="7" t="n">
        <v>113.5126156190308</v>
      </c>
      <c r="O162" s="7" t="n">
        <v>-113.5126156190308</v>
      </c>
      <c r="P162" s="7" t="n">
        <v>11237.74894628405</v>
      </c>
      <c r="Q162" s="7" t="n">
        <v>11465.92076959907</v>
      </c>
      <c r="R162" s="7" t="n">
        <v>-228.1718233150223</v>
      </c>
      <c r="S162" s="6" t="n">
        <v>-0.01990000000000006</v>
      </c>
      <c r="T162" s="7" t="n">
        <v>1269.755027243985</v>
      </c>
      <c r="U162" s="7" t="n">
        <v>-1269.755027243985</v>
      </c>
      <c r="V162" s="7" t="n">
        <v>14086.68539749181</v>
      </c>
      <c r="W162" s="7" t="n">
        <v>16780.7587587934</v>
      </c>
      <c r="X162" s="7" t="n">
        <v>-2694.073361301591</v>
      </c>
      <c r="Y162" s="6" t="n">
        <v>-0.1605453841525402</v>
      </c>
      <c r="Z162" s="7" t="n">
        <v>2899.947853916035</v>
      </c>
      <c r="AA162" s="7" t="n">
        <v>-2899.947853916035</v>
      </c>
      <c r="AB162" s="7" t="n">
        <v>14636.06322617436</v>
      </c>
      <c r="AC162" s="7" t="n">
        <v>21121.51828782895</v>
      </c>
      <c r="AD162" s="7" t="n">
        <v>-6485.455061654588</v>
      </c>
      <c r="AE162" s="6" t="n">
        <v>-0.3070543970028784</v>
      </c>
    </row>
    <row r="163">
      <c r="A163" s="2" t="n">
        <v>154</v>
      </c>
      <c r="B163" s="2" t="inlineStr">
        <is>
          <t>KPROP-00154</t>
        </is>
      </c>
      <c r="C163" s="3" t="n">
        <v>45876</v>
      </c>
      <c r="D163" s="2" t="inlineStr">
        <is>
          <t>Logan Gilbert</t>
        </is>
      </c>
      <c r="E163" s="2" t="inlineStr">
        <is>
          <t>Win</t>
        </is>
      </c>
      <c r="F163" s="2" t="n">
        <v>1.28</v>
      </c>
      <c r="G163" s="6" t="n">
        <v>0.3555995377061937</v>
      </c>
      <c r="H163" s="7" t="n">
        <v>100</v>
      </c>
      <c r="I163" s="7" t="n">
        <v>128</v>
      </c>
      <c r="J163" s="7" t="n">
        <v>11371.34563919953</v>
      </c>
      <c r="K163" s="7" t="n">
        <v>11443.34563919953</v>
      </c>
      <c r="L163" s="7" t="n">
        <v>-72</v>
      </c>
      <c r="M163" s="6" t="n">
        <v>-0.006291866231267349</v>
      </c>
      <c r="N163" s="7" t="n">
        <v>112.3774894628405</v>
      </c>
      <c r="O163" s="7" t="n">
        <v>143.8431865124359</v>
      </c>
      <c r="P163" s="7" t="n">
        <v>11381.59213279649</v>
      </c>
      <c r="Q163" s="7" t="n">
        <v>11465.92076959907</v>
      </c>
      <c r="R163" s="7" t="n">
        <v>-84.32863680258561</v>
      </c>
      <c r="S163" s="6" t="n">
        <v>-0.007354719999999993</v>
      </c>
      <c r="T163" s="7" t="n">
        <v>1252.304703790169</v>
      </c>
      <c r="U163" s="7" t="n">
        <v>1602.950020851417</v>
      </c>
      <c r="V163" s="7" t="n">
        <v>15689.63541834322</v>
      </c>
      <c r="W163" s="7" t="n">
        <v>16780.7587587934</v>
      </c>
      <c r="X163" s="7" t="n">
        <v>-1091.123340450175</v>
      </c>
      <c r="Y163" s="6" t="n">
        <v>-0.06502228868992038</v>
      </c>
      <c r="Z163" s="7" t="n">
        <v>2602.288658533113</v>
      </c>
      <c r="AA163" s="7" t="n">
        <v>3330.929482922386</v>
      </c>
      <c r="AB163" s="7" t="n">
        <v>17966.99270909675</v>
      </c>
      <c r="AC163" s="7" t="n">
        <v>21121.51828782895</v>
      </c>
      <c r="AD163" s="7" t="n">
        <v>-3154.525578732202</v>
      </c>
      <c r="AE163" s="6" t="n">
        <v>-0.1493512699108361</v>
      </c>
    </row>
    <row r="164">
      <c r="A164" s="2" t="n">
        <v>155</v>
      </c>
      <c r="B164" s="2" t="inlineStr">
        <is>
          <t>KPROP-00155</t>
        </is>
      </c>
      <c r="C164" s="3" t="n">
        <v>45876</v>
      </c>
      <c r="D164" s="2" t="inlineStr">
        <is>
          <t>Logan Gilbert</t>
        </is>
      </c>
      <c r="E164" s="2" t="inlineStr">
        <is>
          <t>Win</t>
        </is>
      </c>
      <c r="F164" s="2" t="n">
        <v>0.6666666666666665</v>
      </c>
      <c r="G164" s="6" t="n">
        <v>0.4075336831642317</v>
      </c>
      <c r="H164" s="7" t="n">
        <v>100</v>
      </c>
      <c r="I164" s="7" t="n">
        <v>66.66666666666666</v>
      </c>
      <c r="J164" s="7" t="n">
        <v>11438.0123058662</v>
      </c>
      <c r="K164" s="7" t="n">
        <v>11443.34563919953</v>
      </c>
      <c r="L164" s="7" t="n">
        <v>-5.33333333333394</v>
      </c>
      <c r="M164" s="6" t="n">
        <v>-0.0004660641652791159</v>
      </c>
      <c r="N164" s="7" t="n">
        <v>113.8159213279649</v>
      </c>
      <c r="O164" s="7" t="n">
        <v>75.87728088530989</v>
      </c>
      <c r="P164" s="7" t="n">
        <v>11457.4694136818</v>
      </c>
      <c r="Q164" s="7" t="n">
        <v>11465.92076959907</v>
      </c>
      <c r="R164" s="7" t="n">
        <v>-8.451355917275578</v>
      </c>
      <c r="S164" s="6" t="n">
        <v>-0.0007370847999999825</v>
      </c>
      <c r="T164" s="7" t="n">
        <v>1598.513727385349</v>
      </c>
      <c r="U164" s="7" t="n">
        <v>1065.675818256899</v>
      </c>
      <c r="V164" s="7" t="n">
        <v>16755.31123660012</v>
      </c>
      <c r="W164" s="7" t="n">
        <v>16780.7587587934</v>
      </c>
      <c r="X164" s="7" t="n">
        <v>-25.44752219327711</v>
      </c>
      <c r="Y164" s="6" t="n">
        <v>-0.001516470295477085</v>
      </c>
      <c r="Z164" s="7" t="n">
        <v>3661.077357061548</v>
      </c>
      <c r="AA164" s="7" t="n">
        <v>2440.718238041031</v>
      </c>
      <c r="AB164" s="7" t="n">
        <v>20407.71094713778</v>
      </c>
      <c r="AC164" s="7" t="n">
        <v>21121.51828782895</v>
      </c>
      <c r="AD164" s="7" t="n">
        <v>-713.8073406911717</v>
      </c>
      <c r="AE164" s="6" t="n">
        <v>-0.03379526656009835</v>
      </c>
    </row>
    <row r="165">
      <c r="A165" s="2" t="n">
        <v>156</v>
      </c>
      <c r="B165" s="2" t="inlineStr">
        <is>
          <t>KPROP-00156</t>
        </is>
      </c>
      <c r="C165" s="3" t="n">
        <v>45876</v>
      </c>
      <c r="D165" s="2" t="inlineStr">
        <is>
          <t>Paul Skenes</t>
        </is>
      </c>
      <c r="E165" s="2" t="inlineStr">
        <is>
          <t>Loss</t>
        </is>
      </c>
      <c r="F165" s="2" t="n">
        <v>-1</v>
      </c>
      <c r="G165" s="6" t="n">
        <v>0.1631350477816376</v>
      </c>
      <c r="H165" s="7" t="n">
        <v>100</v>
      </c>
      <c r="I165" s="7" t="n">
        <v>-100</v>
      </c>
      <c r="J165" s="7" t="n">
        <v>11338.0123058662</v>
      </c>
      <c r="K165" s="7" t="n">
        <v>11443.34563919953</v>
      </c>
      <c r="L165" s="7" t="n">
        <v>-105.3333333333339</v>
      </c>
      <c r="M165" s="6" t="n">
        <v>-0.009204767264261546</v>
      </c>
      <c r="N165" s="7" t="n">
        <v>114.574694136818</v>
      </c>
      <c r="O165" s="7" t="n">
        <v>-114.574694136818</v>
      </c>
      <c r="P165" s="7" t="n">
        <v>11342.89471954498</v>
      </c>
      <c r="Q165" s="7" t="n">
        <v>11465.92076959907</v>
      </c>
      <c r="R165" s="7" t="n">
        <v>-123.0260500540935</v>
      </c>
      <c r="S165" s="6" t="n">
        <v>-0.01072971395199998</v>
      </c>
      <c r="T165" s="7" t="n">
        <v>683.3446247947425</v>
      </c>
      <c r="U165" s="7" t="n">
        <v>-683.3446247947425</v>
      </c>
      <c r="V165" s="7" t="n">
        <v>16071.96661180538</v>
      </c>
      <c r="W165" s="7" t="n">
        <v>16780.7587587934</v>
      </c>
      <c r="X165" s="7" t="n">
        <v>-708.7921469880202</v>
      </c>
      <c r="Y165" s="6" t="n">
        <v>-0.0422383848773585</v>
      </c>
      <c r="Z165" s="7" t="n">
        <v>1664.606450237585</v>
      </c>
      <c r="AA165" s="7" t="n">
        <v>-1664.606450237585</v>
      </c>
      <c r="AB165" s="7" t="n">
        <v>18743.1044969002</v>
      </c>
      <c r="AC165" s="7" t="n">
        <v>21121.51828782895</v>
      </c>
      <c r="AD165" s="7" t="n">
        <v>-2378.413790928756</v>
      </c>
      <c r="AE165" s="6" t="n">
        <v>-0.1126061942383797</v>
      </c>
    </row>
    <row r="166">
      <c r="A166" s="2" t="n">
        <v>157</v>
      </c>
      <c r="B166" s="2" t="inlineStr">
        <is>
          <t>KPROP-00157</t>
        </is>
      </c>
      <c r="C166" s="3" t="n">
        <v>45877</v>
      </c>
      <c r="D166" s="2" t="inlineStr">
        <is>
          <t>Mitch Keller</t>
        </is>
      </c>
      <c r="E166" s="2" t="inlineStr">
        <is>
          <t>Win</t>
        </is>
      </c>
      <c r="F166" s="2" t="n">
        <v>1.28</v>
      </c>
      <c r="G166" s="6" t="n">
        <v>0.1206603151009499</v>
      </c>
      <c r="H166" s="7" t="n">
        <v>100</v>
      </c>
      <c r="I166" s="7" t="n">
        <v>128</v>
      </c>
      <c r="J166" s="7" t="n">
        <v>11466.0123058662</v>
      </c>
      <c r="K166" s="7" t="n">
        <v>11466.0123058662</v>
      </c>
      <c r="L166" s="7" t="n">
        <v>0</v>
      </c>
      <c r="M166" s="6" t="n">
        <v>0</v>
      </c>
      <c r="N166" s="7" t="n">
        <v>113.4289471954498</v>
      </c>
      <c r="O166" s="7" t="n">
        <v>145.1890524101757</v>
      </c>
      <c r="P166" s="7" t="n">
        <v>11488.08377195515</v>
      </c>
      <c r="Q166" s="7" t="n">
        <v>11488.08377195515</v>
      </c>
      <c r="R166" s="7" t="n">
        <v>0</v>
      </c>
      <c r="S166" s="6" t="n">
        <v>0</v>
      </c>
      <c r="T166" s="7" t="n">
        <v>484.8121389180956</v>
      </c>
      <c r="U166" s="7" t="n">
        <v>620.5595378151626</v>
      </c>
      <c r="V166" s="7" t="n">
        <v>16692.52614962054</v>
      </c>
      <c r="W166" s="7" t="n">
        <v>16780.7587587934</v>
      </c>
      <c r="X166" s="7" t="n">
        <v>-88.23260917285734</v>
      </c>
      <c r="Y166" s="6" t="n">
        <v>-0.005257963030224838</v>
      </c>
      <c r="Z166" s="7" t="n">
        <v>1130.774447283004</v>
      </c>
      <c r="AA166" s="7" t="n">
        <v>1447.391292522246</v>
      </c>
      <c r="AB166" s="7" t="n">
        <v>20190.49578942244</v>
      </c>
      <c r="AC166" s="7" t="n">
        <v>21121.51828782895</v>
      </c>
      <c r="AD166" s="7" t="n">
        <v>-931.0224984065098</v>
      </c>
      <c r="AE166" s="6" t="n">
        <v>-0.0440793358564096</v>
      </c>
    </row>
    <row r="167">
      <c r="A167" s="2" t="n">
        <v>158</v>
      </c>
      <c r="B167" s="2" t="inlineStr">
        <is>
          <t>KPROP-00158</t>
        </is>
      </c>
      <c r="C167" s="3" t="n">
        <v>45878</v>
      </c>
      <c r="D167" s="2" t="inlineStr">
        <is>
          <t>Bailey Ober</t>
        </is>
      </c>
      <c r="E167" s="2" t="inlineStr">
        <is>
          <t>Win</t>
        </is>
      </c>
      <c r="F167" s="2" t="n">
        <v>0.7142857142857144</v>
      </c>
      <c r="G167" s="6" t="n">
        <v>0.1023825261001991</v>
      </c>
      <c r="H167" s="7" t="n">
        <v>100</v>
      </c>
      <c r="I167" s="7" t="n">
        <v>71.42857142857144</v>
      </c>
      <c r="J167" s="7" t="n">
        <v>11537.44087729477</v>
      </c>
      <c r="K167" s="7" t="n">
        <v>11537.44087729477</v>
      </c>
      <c r="L167" s="7" t="n">
        <v>0</v>
      </c>
      <c r="M167" s="6" t="n">
        <v>0</v>
      </c>
      <c r="N167" s="7" t="n">
        <v>114.8808377195516</v>
      </c>
      <c r="O167" s="7" t="n">
        <v>82.05774122825112</v>
      </c>
      <c r="P167" s="7" t="n">
        <v>11570.14151318341</v>
      </c>
      <c r="Q167" s="7" t="n">
        <v>11570.14151318341</v>
      </c>
      <c r="R167" s="7" t="n">
        <v>0</v>
      </c>
      <c r="S167" s="6" t="n">
        <v>0</v>
      </c>
      <c r="T167" s="7" t="n">
        <v>427.2557485479453</v>
      </c>
      <c r="U167" s="7" t="n">
        <v>305.1826775342467</v>
      </c>
      <c r="V167" s="7" t="n">
        <v>16997.70882715479</v>
      </c>
      <c r="W167" s="7" t="n">
        <v>16997.70882715479</v>
      </c>
      <c r="X167" s="7" t="n">
        <v>0</v>
      </c>
      <c r="Y167" s="6" t="n">
        <v>0</v>
      </c>
      <c r="Z167" s="7" t="n">
        <v>1033.576981068252</v>
      </c>
      <c r="AA167" s="7" t="n">
        <v>738.2692721916084</v>
      </c>
      <c r="AB167" s="7" t="n">
        <v>20928.76506161405</v>
      </c>
      <c r="AC167" s="7" t="n">
        <v>21121.51828782895</v>
      </c>
      <c r="AD167" s="7" t="n">
        <v>-192.7532262148998</v>
      </c>
      <c r="AE167" s="6" t="n">
        <v>-0.009125917161266373</v>
      </c>
    </row>
    <row r="168">
      <c r="A168" s="2" t="n">
        <v>159</v>
      </c>
      <c r="B168" s="2" t="inlineStr">
        <is>
          <t>KPROP-00159</t>
        </is>
      </c>
      <c r="C168" s="3" t="n">
        <v>45878</v>
      </c>
      <c r="D168" s="2" t="inlineStr">
        <is>
          <t>Braxton Ashcraft</t>
        </is>
      </c>
      <c r="E168" s="2" t="inlineStr">
        <is>
          <t>Loss</t>
        </is>
      </c>
      <c r="F168" s="2" t="n">
        <v>-1</v>
      </c>
      <c r="G168" s="6" t="n">
        <v>0.1936396319120876</v>
      </c>
      <c r="H168" s="7" t="n">
        <v>100</v>
      </c>
      <c r="I168" s="7" t="n">
        <v>-100</v>
      </c>
      <c r="J168" s="7" t="n">
        <v>11437.44087729477</v>
      </c>
      <c r="K168" s="7" t="n">
        <v>11537.44087729477</v>
      </c>
      <c r="L168" s="7" t="n">
        <v>-100</v>
      </c>
      <c r="M168" s="6" t="n">
        <v>-0.008667433364429723</v>
      </c>
      <c r="N168" s="7" t="n">
        <v>115.7014151318341</v>
      </c>
      <c r="O168" s="7" t="n">
        <v>-115.7014151318341</v>
      </c>
      <c r="P168" s="7" t="n">
        <v>11454.44009805157</v>
      </c>
      <c r="Q168" s="7" t="n">
        <v>11570.14151318341</v>
      </c>
      <c r="R168" s="7" t="n">
        <v>-115.7014151318344</v>
      </c>
      <c r="S168" s="6" t="n">
        <v>-0.01000000000000003</v>
      </c>
      <c r="T168" s="7" t="n">
        <v>822.8575201597738</v>
      </c>
      <c r="U168" s="7" t="n">
        <v>-822.8575201597738</v>
      </c>
      <c r="V168" s="7" t="n">
        <v>16174.85130699501</v>
      </c>
      <c r="W168" s="7" t="n">
        <v>16997.70882715479</v>
      </c>
      <c r="X168" s="7" t="n">
        <v>-822.8575201597741</v>
      </c>
      <c r="Y168" s="6" t="n">
        <v>-0.04840990797802192</v>
      </c>
      <c r="Z168" s="7" t="n">
        <v>2026.319181452752</v>
      </c>
      <c r="AA168" s="7" t="n">
        <v>-2026.319181452752</v>
      </c>
      <c r="AB168" s="7" t="n">
        <v>18902.4458801613</v>
      </c>
      <c r="AC168" s="7" t="n">
        <v>21121.51828782895</v>
      </c>
      <c r="AD168" s="7" t="n">
        <v>-2219.072407667652</v>
      </c>
      <c r="AE168" s="6" t="n">
        <v>-0.1050621634973263</v>
      </c>
    </row>
    <row r="169">
      <c r="A169" s="2" t="n">
        <v>160</v>
      </c>
      <c r="B169" s="2" t="inlineStr">
        <is>
          <t>KPROP-00160</t>
        </is>
      </c>
      <c r="C169" s="3" t="n">
        <v>45878</v>
      </c>
      <c r="D169" s="2" t="inlineStr">
        <is>
          <t>Carson Whisenhunt</t>
        </is>
      </c>
      <c r="E169" s="2" t="inlineStr">
        <is>
          <t>Loss</t>
        </is>
      </c>
      <c r="F169" s="2" t="n">
        <v>-1</v>
      </c>
      <c r="G169" s="6" t="n">
        <v>0.1876337194562915</v>
      </c>
      <c r="H169" s="7" t="n">
        <v>100</v>
      </c>
      <c r="I169" s="7" t="n">
        <v>-100</v>
      </c>
      <c r="J169" s="7" t="n">
        <v>11337.44087729477</v>
      </c>
      <c r="K169" s="7" t="n">
        <v>11537.44087729477</v>
      </c>
      <c r="L169" s="7" t="n">
        <v>-200</v>
      </c>
      <c r="M169" s="6" t="n">
        <v>-0.01733486672885945</v>
      </c>
      <c r="N169" s="7" t="n">
        <v>114.5444009805157</v>
      </c>
      <c r="O169" s="7" t="n">
        <v>-114.5444009805157</v>
      </c>
      <c r="P169" s="7" t="n">
        <v>11339.89569707106</v>
      </c>
      <c r="Q169" s="7" t="n">
        <v>11570.14151318341</v>
      </c>
      <c r="R169" s="7" t="n">
        <v>-230.2458161123504</v>
      </c>
      <c r="S169" s="6" t="n">
        <v>-0.01990000000000006</v>
      </c>
      <c r="T169" s="7" t="n">
        <v>758.7368780959832</v>
      </c>
      <c r="U169" s="7" t="n">
        <v>-758.7368780959832</v>
      </c>
      <c r="V169" s="7" t="n">
        <v>15416.11442889903</v>
      </c>
      <c r="W169" s="7" t="n">
        <v>16997.70882715479</v>
      </c>
      <c r="X169" s="7" t="n">
        <v>-1581.594398255758</v>
      </c>
      <c r="Y169" s="6" t="n">
        <v>-0.0930475050689816</v>
      </c>
      <c r="Z169" s="7" t="n">
        <v>1773.36811365796</v>
      </c>
      <c r="AA169" s="7" t="n">
        <v>-1773.36811365796</v>
      </c>
      <c r="AB169" s="7" t="n">
        <v>17129.07776650334</v>
      </c>
      <c r="AC169" s="7" t="n">
        <v>21121.51828782895</v>
      </c>
      <c r="AD169" s="7" t="n">
        <v>-3992.44052132561</v>
      </c>
      <c r="AE169" s="6" t="n">
        <v>-0.1890224209699078</v>
      </c>
    </row>
    <row r="170">
      <c r="A170" s="2" t="n">
        <v>161</v>
      </c>
      <c r="B170" s="2" t="inlineStr">
        <is>
          <t>KPROP-00161</t>
        </is>
      </c>
      <c r="C170" s="3" t="n">
        <v>45878</v>
      </c>
      <c r="D170" s="2" t="inlineStr">
        <is>
          <t>Erick Fedde</t>
        </is>
      </c>
      <c r="E170" s="2" t="inlineStr">
        <is>
          <t>Win</t>
        </is>
      </c>
      <c r="F170" s="2" t="n">
        <v>0.6329113924050633</v>
      </c>
      <c r="G170" s="6" t="n">
        <v>0.2068804396355343</v>
      </c>
      <c r="H170" s="7" t="n">
        <v>100</v>
      </c>
      <c r="I170" s="7" t="n">
        <v>63.29113924050633</v>
      </c>
      <c r="J170" s="7" t="n">
        <v>11400.73201653527</v>
      </c>
      <c r="K170" s="7" t="n">
        <v>11537.44087729477</v>
      </c>
      <c r="L170" s="7" t="n">
        <v>-136.7088607594942</v>
      </c>
      <c r="M170" s="6" t="n">
        <v>-0.01184914940960017</v>
      </c>
      <c r="N170" s="7" t="n">
        <v>113.3989569707106</v>
      </c>
      <c r="O170" s="7" t="n">
        <v>71.77149175361428</v>
      </c>
      <c r="P170" s="7" t="n">
        <v>11411.66718882467</v>
      </c>
      <c r="Q170" s="7" t="n">
        <v>11570.14151318341</v>
      </c>
      <c r="R170" s="7" t="n">
        <v>-158.4743243587363</v>
      </c>
      <c r="S170" s="6" t="n">
        <v>-0.01369683544303805</v>
      </c>
      <c r="T170" s="7" t="n">
        <v>797.3231326305836</v>
      </c>
      <c r="U170" s="7" t="n">
        <v>504.6348940699896</v>
      </c>
      <c r="V170" s="7" t="n">
        <v>15920.74932296902</v>
      </c>
      <c r="W170" s="7" t="n">
        <v>16997.70882715479</v>
      </c>
      <c r="X170" s="7" t="n">
        <v>-1076.959504185768</v>
      </c>
      <c r="Y170" s="6" t="n">
        <v>-0.06335909828419142</v>
      </c>
      <c r="Z170" s="7" t="n">
        <v>1771.835569442733</v>
      </c>
      <c r="AA170" s="7" t="n">
        <v>1121.414917368819</v>
      </c>
      <c r="AB170" s="7" t="n">
        <v>18250.49268387216</v>
      </c>
      <c r="AC170" s="7" t="n">
        <v>21121.51828782895</v>
      </c>
      <c r="AD170" s="7" t="n">
        <v>-2871.02560395679</v>
      </c>
      <c r="AE170" s="6" t="n">
        <v>-0.1359289405634815</v>
      </c>
    </row>
    <row r="171">
      <c r="A171" s="2" t="n">
        <v>162</v>
      </c>
      <c r="B171" s="2" t="inlineStr">
        <is>
          <t>KPROP-00162</t>
        </is>
      </c>
      <c r="C171" s="3" t="n">
        <v>45878</v>
      </c>
      <c r="D171" s="2" t="inlineStr">
        <is>
          <t>Hurston Waldrep</t>
        </is>
      </c>
      <c r="E171" s="2" t="inlineStr">
        <is>
          <t>Loss</t>
        </is>
      </c>
      <c r="F171" s="2" t="n">
        <v>-1</v>
      </c>
      <c r="G171" s="6" t="n">
        <v>0.1103549953520929</v>
      </c>
      <c r="H171" s="7" t="n">
        <v>100</v>
      </c>
      <c r="I171" s="7" t="n">
        <v>-100</v>
      </c>
      <c r="J171" s="7" t="n">
        <v>11300.73201653527</v>
      </c>
      <c r="K171" s="7" t="n">
        <v>11537.44087729477</v>
      </c>
      <c r="L171" s="7" t="n">
        <v>-236.7088607594942</v>
      </c>
      <c r="M171" s="6" t="n">
        <v>-0.0205165827740299</v>
      </c>
      <c r="N171" s="7" t="n">
        <v>114.1166718882467</v>
      </c>
      <c r="O171" s="7" t="n">
        <v>-114.1166718882467</v>
      </c>
      <c r="P171" s="7" t="n">
        <v>11297.55051693642</v>
      </c>
      <c r="Q171" s="7" t="n">
        <v>11570.14151318341</v>
      </c>
      <c r="R171" s="7" t="n">
        <v>-272.5909962469832</v>
      </c>
      <c r="S171" s="6" t="n">
        <v>-0.02355986708860768</v>
      </c>
      <c r="T171" s="7" t="n">
        <v>439.2335543845207</v>
      </c>
      <c r="U171" s="7" t="n">
        <v>-439.2335543845207</v>
      </c>
      <c r="V171" s="7" t="n">
        <v>15481.5157685845</v>
      </c>
      <c r="W171" s="7" t="n">
        <v>16997.70882715479</v>
      </c>
      <c r="X171" s="7" t="n">
        <v>-1516.193058570288</v>
      </c>
      <c r="Y171" s="6" t="n">
        <v>-0.08919984887304844</v>
      </c>
      <c r="Z171" s="7" t="n">
        <v>1007.016517651059</v>
      </c>
      <c r="AA171" s="7" t="n">
        <v>-1007.016517651059</v>
      </c>
      <c r="AB171" s="7" t="n">
        <v>17243.4761662211</v>
      </c>
      <c r="AC171" s="7" t="n">
        <v>21121.51828782895</v>
      </c>
      <c r="AD171" s="7" t="n">
        <v>-3878.04212160785</v>
      </c>
      <c r="AE171" s="6" t="n">
        <v>-0.1836062194374791</v>
      </c>
    </row>
    <row r="172">
      <c r="A172" s="2" t="n">
        <v>163</v>
      </c>
      <c r="B172" s="2" t="inlineStr">
        <is>
          <t>KPROP-00163</t>
        </is>
      </c>
      <c r="C172" s="3" t="n">
        <v>45878</v>
      </c>
      <c r="D172" s="2" t="inlineStr">
        <is>
          <t>Hurston Waldrep</t>
        </is>
      </c>
      <c r="E172" s="2" t="inlineStr">
        <is>
          <t>Loss</t>
        </is>
      </c>
      <c r="F172" s="2" t="n">
        <v>-1</v>
      </c>
      <c r="G172" s="6" t="n">
        <v>0.2485924446802432</v>
      </c>
      <c r="H172" s="7" t="n">
        <v>100</v>
      </c>
      <c r="I172" s="7" t="n">
        <v>-100</v>
      </c>
      <c r="J172" s="7" t="n">
        <v>11200.73201653527</v>
      </c>
      <c r="K172" s="7" t="n">
        <v>11537.44087729477</v>
      </c>
      <c r="L172" s="7" t="n">
        <v>-336.7088607594942</v>
      </c>
      <c r="M172" s="6" t="n">
        <v>-0.02918401613845962</v>
      </c>
      <c r="N172" s="7" t="n">
        <v>112.9755051693642</v>
      </c>
      <c r="O172" s="7" t="n">
        <v>-112.9755051693642</v>
      </c>
      <c r="P172" s="7" t="n">
        <v>11184.57501176706</v>
      </c>
      <c r="Q172" s="7" t="n">
        <v>11570.14151318341</v>
      </c>
      <c r="R172" s="7" t="n">
        <v>-385.5665014163478</v>
      </c>
      <c r="S172" s="6" t="n">
        <v>-0.03332426841772164</v>
      </c>
      <c r="T172" s="7" t="n">
        <v>962.1469630670388</v>
      </c>
      <c r="U172" s="7" t="n">
        <v>-962.1469630670388</v>
      </c>
      <c r="V172" s="7" t="n">
        <v>14519.36880551746</v>
      </c>
      <c r="W172" s="7" t="n">
        <v>16997.70882715479</v>
      </c>
      <c r="X172" s="7" t="n">
        <v>-2478.340021637327</v>
      </c>
      <c r="Y172" s="6" t="n">
        <v>-0.1458043579189944</v>
      </c>
      <c r="Z172" s="7" t="n">
        <v>2143.298947473206</v>
      </c>
      <c r="AA172" s="7" t="n">
        <v>-2143.298947473206</v>
      </c>
      <c r="AB172" s="7" t="n">
        <v>15100.1772187479</v>
      </c>
      <c r="AC172" s="7" t="n">
        <v>21121.51828782895</v>
      </c>
      <c r="AD172" s="7" t="n">
        <v>-6021.341069081056</v>
      </c>
      <c r="AE172" s="6" t="n">
        <v>-0.2850808823033706</v>
      </c>
    </row>
    <row r="173">
      <c r="A173" s="2" t="n">
        <v>164</v>
      </c>
      <c r="B173" s="2" t="inlineStr">
        <is>
          <t>KPROP-00164</t>
        </is>
      </c>
      <c r="C173" s="3" t="n">
        <v>45878</v>
      </c>
      <c r="D173" s="2" t="inlineStr">
        <is>
          <t>Jacob deGrom</t>
        </is>
      </c>
      <c r="E173" s="2" t="inlineStr">
        <is>
          <t>Loss</t>
        </is>
      </c>
      <c r="F173" s="2" t="n">
        <v>-1</v>
      </c>
      <c r="G173" s="6" t="n">
        <v>0.1069627802027378</v>
      </c>
      <c r="H173" s="7" t="n">
        <v>100</v>
      </c>
      <c r="I173" s="7" t="n">
        <v>-100</v>
      </c>
      <c r="J173" s="7" t="n">
        <v>11100.73201653527</v>
      </c>
      <c r="K173" s="7" t="n">
        <v>11537.44087729477</v>
      </c>
      <c r="L173" s="7" t="n">
        <v>-436.7088607594942</v>
      </c>
      <c r="M173" s="6" t="n">
        <v>-0.03785144950288934</v>
      </c>
      <c r="N173" s="7" t="n">
        <v>111.8457501176706</v>
      </c>
      <c r="O173" s="7" t="n">
        <v>-111.8457501176706</v>
      </c>
      <c r="P173" s="7" t="n">
        <v>11072.72926164939</v>
      </c>
      <c r="Q173" s="7" t="n">
        <v>11570.14151318341</v>
      </c>
      <c r="R173" s="7" t="n">
        <v>-497.4122515340187</v>
      </c>
      <c r="S173" s="6" t="n">
        <v>-0.04299102573354444</v>
      </c>
      <c r="T173" s="7" t="n">
        <v>388.2580135567628</v>
      </c>
      <c r="U173" s="7" t="n">
        <v>-388.2580135567628</v>
      </c>
      <c r="V173" s="7" t="n">
        <v>14131.1107919607</v>
      </c>
      <c r="W173" s="7" t="n">
        <v>16997.70882715479</v>
      </c>
      <c r="X173" s="7" t="n">
        <v>-2866.598035194089</v>
      </c>
      <c r="Y173" s="6" t="n">
        <v>-0.1686461430975061</v>
      </c>
      <c r="Z173" s="7" t="n">
        <v>807.5784684356595</v>
      </c>
      <c r="AA173" s="7" t="n">
        <v>-807.5784684356595</v>
      </c>
      <c r="AB173" s="7" t="n">
        <v>14292.59875031224</v>
      </c>
      <c r="AC173" s="7" t="n">
        <v>21121.51828782895</v>
      </c>
      <c r="AD173" s="7" t="n">
        <v>-6828.919537516715</v>
      </c>
      <c r="AE173" s="6" t="n">
        <v>-0.3233157505278305</v>
      </c>
    </row>
    <row r="174">
      <c r="A174" s="2" t="n">
        <v>165</v>
      </c>
      <c r="B174" s="2" t="inlineStr">
        <is>
          <t>KPROP-00165</t>
        </is>
      </c>
      <c r="C174" s="3" t="n">
        <v>45879</v>
      </c>
      <c r="D174" s="2" t="inlineStr">
        <is>
          <t>Brandon Pfaadt</t>
        </is>
      </c>
      <c r="E174" s="2" t="inlineStr">
        <is>
          <t>Win</t>
        </is>
      </c>
      <c r="F174" s="2" t="n">
        <v>1.03</v>
      </c>
      <c r="G174" s="6" t="n">
        <v>0.07126502179559052</v>
      </c>
      <c r="H174" s="7" t="n">
        <v>100</v>
      </c>
      <c r="I174" s="7" t="n">
        <v>103</v>
      </c>
      <c r="J174" s="7" t="n">
        <v>11203.73201653527</v>
      </c>
      <c r="K174" s="7" t="n">
        <v>11537.44087729477</v>
      </c>
      <c r="L174" s="7" t="n">
        <v>-333.7088607594942</v>
      </c>
      <c r="M174" s="6" t="n">
        <v>-0.02892399313752673</v>
      </c>
      <c r="N174" s="7" t="n">
        <v>110.7272926164939</v>
      </c>
      <c r="O174" s="7" t="n">
        <v>114.0491113949887</v>
      </c>
      <c r="P174" s="7" t="n">
        <v>11186.77837304438</v>
      </c>
      <c r="Q174" s="7" t="n">
        <v>11570.14151318341</v>
      </c>
      <c r="R174" s="7" t="n">
        <v>-383.3631401390303</v>
      </c>
      <c r="S174" s="6" t="n">
        <v>-0.03313383329859998</v>
      </c>
      <c r="T174" s="7" t="n">
        <v>251.7634796462459</v>
      </c>
      <c r="U174" s="7" t="n">
        <v>259.3163840356333</v>
      </c>
      <c r="V174" s="7" t="n">
        <v>14390.42717599633</v>
      </c>
      <c r="W174" s="7" t="n">
        <v>16997.70882715479</v>
      </c>
      <c r="X174" s="7" t="n">
        <v>-2607.281651158455</v>
      </c>
      <c r="Y174" s="6" t="n">
        <v>-0.1533901820340149</v>
      </c>
      <c r="Z174" s="7" t="n">
        <v>509.2811807283157</v>
      </c>
      <c r="AA174" s="7" t="n">
        <v>524.5596161501653</v>
      </c>
      <c r="AB174" s="7" t="n">
        <v>14817.1583664624</v>
      </c>
      <c r="AC174" s="7" t="n">
        <v>21121.51828782895</v>
      </c>
      <c r="AD174" s="7" t="n">
        <v>-6304.359921366549</v>
      </c>
      <c r="AE174" s="6" t="n">
        <v>-0.2984804328673365</v>
      </c>
    </row>
    <row r="175">
      <c r="A175" s="2" t="n">
        <v>166</v>
      </c>
      <c r="B175" s="2" t="inlineStr">
        <is>
          <t>KPROP-00166</t>
        </is>
      </c>
      <c r="C175" s="3" t="n">
        <v>45879</v>
      </c>
      <c r="D175" s="2" t="inlineStr">
        <is>
          <t>Dylan Cease</t>
        </is>
      </c>
      <c r="E175" s="2" t="inlineStr">
        <is>
          <t>Win</t>
        </is>
      </c>
      <c r="F175" s="2" t="n">
        <v>0.8</v>
      </c>
      <c r="G175" s="6" t="n">
        <v>0.09534011645377378</v>
      </c>
      <c r="H175" s="7" t="n">
        <v>100</v>
      </c>
      <c r="I175" s="7" t="n">
        <v>80</v>
      </c>
      <c r="J175" s="7" t="n">
        <v>11283.73201653527</v>
      </c>
      <c r="K175" s="7" t="n">
        <v>11537.44087729477</v>
      </c>
      <c r="L175" s="7" t="n">
        <v>-253.7088607594942</v>
      </c>
      <c r="M175" s="6" t="n">
        <v>-0.02199004644598295</v>
      </c>
      <c r="N175" s="7" t="n">
        <v>111.8677837304438</v>
      </c>
      <c r="O175" s="7" t="n">
        <v>89.49422698435501</v>
      </c>
      <c r="P175" s="7" t="n">
        <v>11276.27260002873</v>
      </c>
      <c r="Q175" s="7" t="n">
        <v>11570.14151318341</v>
      </c>
      <c r="R175" s="7" t="n">
        <v>-293.8689131546762</v>
      </c>
      <c r="S175" s="6" t="n">
        <v>-0.02539890396498886</v>
      </c>
      <c r="T175" s="7" t="n">
        <v>342.9962506947603</v>
      </c>
      <c r="U175" s="7" t="n">
        <v>274.3970005558082</v>
      </c>
      <c r="V175" s="7" t="n">
        <v>14664.82417655214</v>
      </c>
      <c r="W175" s="7" t="n">
        <v>16997.70882715479</v>
      </c>
      <c r="X175" s="7" t="n">
        <v>-2332.884650602648</v>
      </c>
      <c r="Y175" s="6" t="n">
        <v>-0.1372470063068579</v>
      </c>
      <c r="Z175" s="7" t="n">
        <v>706.334802086267</v>
      </c>
      <c r="AA175" s="7" t="n">
        <v>565.0678416690137</v>
      </c>
      <c r="AB175" s="7" t="n">
        <v>15382.22620813142</v>
      </c>
      <c r="AC175" s="7" t="n">
        <v>21121.51828782895</v>
      </c>
      <c r="AD175" s="7" t="n">
        <v>-5739.292079697536</v>
      </c>
      <c r="AE175" s="6" t="n">
        <v>-0.2717272499773248</v>
      </c>
    </row>
    <row r="176">
      <c r="A176" s="2" t="n">
        <v>167</v>
      </c>
      <c r="B176" s="2" t="inlineStr">
        <is>
          <t>KPROP-00167</t>
        </is>
      </c>
      <c r="C176" s="3" t="n">
        <v>45879</v>
      </c>
      <c r="D176" s="2" t="inlineStr">
        <is>
          <t>Max Fried</t>
        </is>
      </c>
      <c r="E176" s="2" t="inlineStr">
        <is>
          <t>Win</t>
        </is>
      </c>
      <c r="F176" s="2" t="n">
        <v>0.8333333333333335</v>
      </c>
      <c r="G176" s="6" t="n">
        <v>0.1205690803950163</v>
      </c>
      <c r="H176" s="7" t="n">
        <v>100</v>
      </c>
      <c r="I176" s="7" t="n">
        <v>83.33333333333334</v>
      </c>
      <c r="J176" s="7" t="n">
        <v>11367.06534986861</v>
      </c>
      <c r="K176" s="7" t="n">
        <v>11537.44087729477</v>
      </c>
      <c r="L176" s="7" t="n">
        <v>-170.3755274261603</v>
      </c>
      <c r="M176" s="6" t="n">
        <v>-0.01476718530895813</v>
      </c>
      <c r="N176" s="7" t="n">
        <v>112.7627260002873</v>
      </c>
      <c r="O176" s="7" t="n">
        <v>93.96893833357277</v>
      </c>
      <c r="P176" s="7" t="n">
        <v>11370.2415383623</v>
      </c>
      <c r="Q176" s="7" t="n">
        <v>11570.14151318341</v>
      </c>
      <c r="R176" s="7" t="n">
        <v>-199.8999748211027</v>
      </c>
      <c r="S176" s="6" t="n">
        <v>-0.01727722816469703</v>
      </c>
      <c r="T176" s="7" t="n">
        <v>442.0310912803735</v>
      </c>
      <c r="U176" s="7" t="n">
        <v>368.3592427336446</v>
      </c>
      <c r="V176" s="7" t="n">
        <v>15033.18341928578</v>
      </c>
      <c r="W176" s="7" t="n">
        <v>16997.70882715479</v>
      </c>
      <c r="X176" s="7" t="n">
        <v>-1964.525407869003</v>
      </c>
      <c r="Y176" s="6" t="n">
        <v>-0.1155758948365185</v>
      </c>
      <c r="Z176" s="7" t="n">
        <v>927.3104341712619</v>
      </c>
      <c r="AA176" s="7" t="n">
        <v>772.7586951427185</v>
      </c>
      <c r="AB176" s="7" t="n">
        <v>16154.98490327413</v>
      </c>
      <c r="AC176" s="7" t="n">
        <v>21121.51828782895</v>
      </c>
      <c r="AD176" s="7" t="n">
        <v>-4966.533384554818</v>
      </c>
      <c r="AE176" s="6" t="n">
        <v>-0.235140926749415</v>
      </c>
    </row>
    <row r="177">
      <c r="A177" s="2" t="n">
        <v>168</v>
      </c>
      <c r="B177" s="2" t="inlineStr">
        <is>
          <t>KPROP-00168</t>
        </is>
      </c>
      <c r="C177" s="3" t="n">
        <v>45879</v>
      </c>
      <c r="D177" s="2" t="inlineStr">
        <is>
          <t>Patrick Corbin</t>
        </is>
      </c>
      <c r="E177" s="2" t="inlineStr">
        <is>
          <t>Win</t>
        </is>
      </c>
      <c r="F177" s="2" t="n">
        <v>1.4</v>
      </c>
      <c r="G177" s="6" t="n">
        <v>0.1277614565240119</v>
      </c>
      <c r="H177" s="7" t="n">
        <v>100</v>
      </c>
      <c r="I177" s="7" t="n">
        <v>140</v>
      </c>
      <c r="J177" s="7" t="n">
        <v>11507.06534986861</v>
      </c>
      <c r="K177" s="7" t="n">
        <v>11537.44087729477</v>
      </c>
      <c r="L177" s="7" t="n">
        <v>-30.37552742616026</v>
      </c>
      <c r="M177" s="6" t="n">
        <v>-0.002632778598756516</v>
      </c>
      <c r="N177" s="7" t="n">
        <v>113.702415383623</v>
      </c>
      <c r="O177" s="7" t="n">
        <v>159.1833815370723</v>
      </c>
      <c r="P177" s="7" t="n">
        <v>11529.42491989937</v>
      </c>
      <c r="Q177" s="7" t="n">
        <v>11570.14151318341</v>
      </c>
      <c r="R177" s="7" t="n">
        <v>-40.71659328403075</v>
      </c>
      <c r="S177" s="6" t="n">
        <v>-0.003519109359002818</v>
      </c>
      <c r="T177" s="7" t="n">
        <v>480.1653524601444</v>
      </c>
      <c r="U177" s="7" t="n">
        <v>672.2314934442021</v>
      </c>
      <c r="V177" s="7" t="n">
        <v>15705.41491272999</v>
      </c>
      <c r="W177" s="7" t="n">
        <v>16997.70882715479</v>
      </c>
      <c r="X177" s="7" t="n">
        <v>-1292.293914424801</v>
      </c>
      <c r="Y177" s="6" t="n">
        <v>-0.07602753568529716</v>
      </c>
      <c r="Z177" s="7" t="n">
        <v>1031.992200682864</v>
      </c>
      <c r="AA177" s="7" t="n">
        <v>1444.789080956009</v>
      </c>
      <c r="AB177" s="7" t="n">
        <v>17599.77398423015</v>
      </c>
      <c r="AC177" s="7" t="n">
        <v>21121.51828782895</v>
      </c>
      <c r="AD177" s="7" t="n">
        <v>-3521.744303598807</v>
      </c>
      <c r="AE177" s="6" t="n">
        <v>-0.1667372702855445</v>
      </c>
    </row>
    <row r="178">
      <c r="A178" s="2" t="n">
        <v>169</v>
      </c>
      <c r="B178" s="2" t="inlineStr">
        <is>
          <t>KPROP-00169</t>
        </is>
      </c>
      <c r="C178" s="3" t="n">
        <v>45879</v>
      </c>
      <c r="D178" s="2" t="inlineStr">
        <is>
          <t>Patrick Corbin</t>
        </is>
      </c>
      <c r="E178" s="2" t="inlineStr">
        <is>
          <t>Win</t>
        </is>
      </c>
      <c r="F178" s="2" t="n">
        <v>0.7692307692307692</v>
      </c>
      <c r="G178" s="6" t="n">
        <v>0.2300116293943366</v>
      </c>
      <c r="H178" s="7" t="n">
        <v>100</v>
      </c>
      <c r="I178" s="7" t="n">
        <v>76.92307692307692</v>
      </c>
      <c r="J178" s="7" t="n">
        <v>11583.98842679168</v>
      </c>
      <c r="K178" s="7" t="n">
        <v>11583.98842679168</v>
      </c>
      <c r="L178" s="7" t="n">
        <v>0</v>
      </c>
      <c r="M178" s="6" t="n">
        <v>0</v>
      </c>
      <c r="N178" s="7" t="n">
        <v>115.2942491989938</v>
      </c>
      <c r="O178" s="7" t="n">
        <v>88.68788399922596</v>
      </c>
      <c r="P178" s="7" t="n">
        <v>11618.1128038986</v>
      </c>
      <c r="Q178" s="7" t="n">
        <v>11618.1128038986</v>
      </c>
      <c r="R178" s="7" t="n">
        <v>0</v>
      </c>
      <c r="S178" s="6" t="n">
        <v>0</v>
      </c>
      <c r="T178" s="7" t="n">
        <v>903.1070185977843</v>
      </c>
      <c r="U178" s="7" t="n">
        <v>694.6977066136802</v>
      </c>
      <c r="V178" s="7" t="n">
        <v>16400.11261934366</v>
      </c>
      <c r="W178" s="7" t="n">
        <v>16997.70882715479</v>
      </c>
      <c r="X178" s="7" t="n">
        <v>-597.5962078111224</v>
      </c>
      <c r="Y178" s="6" t="n">
        <v>-0.03515745644827314</v>
      </c>
      <c r="Z178" s="7" t="n">
        <v>2024.076345542416</v>
      </c>
      <c r="AA178" s="7" t="n">
        <v>1556.981804263396</v>
      </c>
      <c r="AB178" s="7" t="n">
        <v>19156.75578849354</v>
      </c>
      <c r="AC178" s="7" t="n">
        <v>21121.51828782895</v>
      </c>
      <c r="AD178" s="7" t="n">
        <v>-1964.762499335411</v>
      </c>
      <c r="AE178" s="6" t="n">
        <v>-0.09302184021816198</v>
      </c>
    </row>
    <row r="179">
      <c r="A179" s="2" t="n">
        <v>170</v>
      </c>
      <c r="B179" s="2" t="inlineStr">
        <is>
          <t>KPROP-00170</t>
        </is>
      </c>
      <c r="C179" s="3" t="n">
        <v>45879</v>
      </c>
      <c r="D179" s="2" t="inlineStr">
        <is>
          <t>Ryan Bergert</t>
        </is>
      </c>
      <c r="E179" s="2" t="inlineStr">
        <is>
          <t>Loss</t>
        </is>
      </c>
      <c r="F179" s="2" t="n">
        <v>-1</v>
      </c>
      <c r="G179" s="6" t="n">
        <v>0.09157477563536193</v>
      </c>
      <c r="H179" s="7" t="n">
        <v>100</v>
      </c>
      <c r="I179" s="7" t="n">
        <v>-100</v>
      </c>
      <c r="J179" s="7" t="n">
        <v>11483.98842679168</v>
      </c>
      <c r="K179" s="7" t="n">
        <v>11583.98842679168</v>
      </c>
      <c r="L179" s="7" t="n">
        <v>-100</v>
      </c>
      <c r="M179" s="6" t="n">
        <v>-0.008632605309646027</v>
      </c>
      <c r="N179" s="7" t="n">
        <v>116.181128038986</v>
      </c>
      <c r="O179" s="7" t="n">
        <v>-116.181128038986</v>
      </c>
      <c r="P179" s="7" t="n">
        <v>11501.93167585961</v>
      </c>
      <c r="Q179" s="7" t="n">
        <v>11618.1128038986</v>
      </c>
      <c r="R179" s="7" t="n">
        <v>-116.1811280389866</v>
      </c>
      <c r="S179" s="6" t="n">
        <v>-0.01000000000000005</v>
      </c>
      <c r="T179" s="7" t="n">
        <v>375.459158377766</v>
      </c>
      <c r="U179" s="7" t="n">
        <v>-375.459158377766</v>
      </c>
      <c r="V179" s="7" t="n">
        <v>16024.6534609659</v>
      </c>
      <c r="W179" s="7" t="n">
        <v>16997.70882715479</v>
      </c>
      <c r="X179" s="7" t="n">
        <v>-973.055366188888</v>
      </c>
      <c r="Y179" s="6" t="n">
        <v>-0.05724626631057345</v>
      </c>
      <c r="Z179" s="7" t="n">
        <v>877.1378066163585</v>
      </c>
      <c r="AA179" s="7" t="n">
        <v>-877.1378066163585</v>
      </c>
      <c r="AB179" s="7" t="n">
        <v>18279.61798187718</v>
      </c>
      <c r="AC179" s="7" t="n">
        <v>21121.51828782895</v>
      </c>
      <c r="AD179" s="7" t="n">
        <v>-2841.900305951771</v>
      </c>
      <c r="AE179" s="6" t="n">
        <v>-0.1345500009622597</v>
      </c>
    </row>
    <row r="180">
      <c r="A180" s="2" t="n">
        <v>171</v>
      </c>
      <c r="B180" s="2" t="inlineStr">
        <is>
          <t>KPROP-00171</t>
        </is>
      </c>
      <c r="C180" s="3" t="n">
        <v>45879</v>
      </c>
      <c r="D180" s="2" t="inlineStr">
        <is>
          <t>Ryan Bergert</t>
        </is>
      </c>
      <c r="E180" s="2" t="inlineStr">
        <is>
          <t>Loss</t>
        </is>
      </c>
      <c r="F180" s="2" t="n">
        <v>-1</v>
      </c>
      <c r="G180" s="6" t="n">
        <v>0.2003610912198735</v>
      </c>
      <c r="H180" s="7" t="n">
        <v>100</v>
      </c>
      <c r="I180" s="7" t="n">
        <v>-100</v>
      </c>
      <c r="J180" s="7" t="n">
        <v>11383.98842679168</v>
      </c>
      <c r="K180" s="7" t="n">
        <v>11583.98842679168</v>
      </c>
      <c r="L180" s="7" t="n">
        <v>-200</v>
      </c>
      <c r="M180" s="6" t="n">
        <v>-0.01726521061929205</v>
      </c>
      <c r="N180" s="7" t="n">
        <v>115.0193167585961</v>
      </c>
      <c r="O180" s="7" t="n">
        <v>-115.0193167585961</v>
      </c>
      <c r="P180" s="7" t="n">
        <v>11386.91235910102</v>
      </c>
      <c r="Q180" s="7" t="n">
        <v>11618.1128038986</v>
      </c>
      <c r="R180" s="7" t="n">
        <v>-231.2004447975833</v>
      </c>
      <c r="S180" s="6" t="n">
        <v>-0.01990000000000009</v>
      </c>
      <c r="T180" s="7" t="n">
        <v>802.6792634648625</v>
      </c>
      <c r="U180" s="7" t="n">
        <v>-802.6792634648625</v>
      </c>
      <c r="V180" s="7" t="n">
        <v>15221.97419750104</v>
      </c>
      <c r="W180" s="7" t="n">
        <v>16997.70882715479</v>
      </c>
      <c r="X180" s="7" t="n">
        <v>-1775.734629653751</v>
      </c>
      <c r="Y180" s="6" t="n">
        <v>-0.1044690580189793</v>
      </c>
      <c r="Z180" s="7" t="n">
        <v>1831.262102965667</v>
      </c>
      <c r="AA180" s="7" t="n">
        <v>-1831.262102965667</v>
      </c>
      <c r="AB180" s="7" t="n">
        <v>16448.35587891152</v>
      </c>
      <c r="AC180" s="7" t="n">
        <v>21121.51828782895</v>
      </c>
      <c r="AD180" s="7" t="n">
        <v>-4673.162408917437</v>
      </c>
      <c r="AE180" s="6" t="n">
        <v>-0.2212512540639797</v>
      </c>
    </row>
    <row r="181">
      <c r="A181" s="2" t="n">
        <v>172</v>
      </c>
      <c r="B181" s="2" t="inlineStr">
        <is>
          <t>KPROP-00172</t>
        </is>
      </c>
      <c r="C181" s="3" t="n">
        <v>45879</v>
      </c>
      <c r="D181" s="2" t="inlineStr">
        <is>
          <t>Sean Manaea</t>
        </is>
      </c>
      <c r="E181" s="2" t="inlineStr">
        <is>
          <t>Loss</t>
        </is>
      </c>
      <c r="F181" s="2" t="n">
        <v>-1</v>
      </c>
      <c r="G181" s="6" t="n">
        <v>0.1094088470536828</v>
      </c>
      <c r="H181" s="7" t="n">
        <v>100</v>
      </c>
      <c r="I181" s="7" t="n">
        <v>-100</v>
      </c>
      <c r="J181" s="7" t="n">
        <v>11283.98842679168</v>
      </c>
      <c r="K181" s="7" t="n">
        <v>11583.98842679168</v>
      </c>
      <c r="L181" s="7" t="n">
        <v>-300</v>
      </c>
      <c r="M181" s="6" t="n">
        <v>-0.02589781592893808</v>
      </c>
      <c r="N181" s="7" t="n">
        <v>113.8691235910102</v>
      </c>
      <c r="O181" s="7" t="n">
        <v>-113.8691235910102</v>
      </c>
      <c r="P181" s="7" t="n">
        <v>11273.04323551001</v>
      </c>
      <c r="Q181" s="7" t="n">
        <v>11618.1128038986</v>
      </c>
      <c r="R181" s="7" t="n">
        <v>-345.0695683885933</v>
      </c>
      <c r="S181" s="6" t="n">
        <v>-0.02970100000000008</v>
      </c>
      <c r="T181" s="7" t="n">
        <v>416.3546617073742</v>
      </c>
      <c r="U181" s="7" t="n">
        <v>-416.3546617073742</v>
      </c>
      <c r="V181" s="7" t="n">
        <v>14805.61953579366</v>
      </c>
      <c r="W181" s="7" t="n">
        <v>16997.70882715479</v>
      </c>
      <c r="X181" s="7" t="n">
        <v>-2192.089291361124</v>
      </c>
      <c r="Y181" s="6" t="n">
        <v>-0.1289638099847398</v>
      </c>
      <c r="Z181" s="7" t="n">
        <v>899.7978263201873</v>
      </c>
      <c r="AA181" s="7" t="n">
        <v>-899.7978263201873</v>
      </c>
      <c r="AB181" s="7" t="n">
        <v>15548.55805259133</v>
      </c>
      <c r="AC181" s="7" t="n">
        <v>21121.51828782895</v>
      </c>
      <c r="AD181" s="7" t="n">
        <v>-5572.960235237624</v>
      </c>
      <c r="AE181" s="6" t="n">
        <v>-0.2638522552826604</v>
      </c>
    </row>
    <row r="182">
      <c r="A182" s="2" t="n">
        <v>173</v>
      </c>
      <c r="B182" s="2" t="inlineStr">
        <is>
          <t>KPROP-00173</t>
        </is>
      </c>
      <c r="C182" s="3" t="n">
        <v>45879</v>
      </c>
      <c r="D182" s="2" t="inlineStr">
        <is>
          <t>Sonny Gray</t>
        </is>
      </c>
      <c r="E182" s="2" t="inlineStr">
        <is>
          <t>Loss</t>
        </is>
      </c>
      <c r="F182" s="2" t="n">
        <v>-1</v>
      </c>
      <c r="G182" s="6" t="n">
        <v>0.2602555703782521</v>
      </c>
      <c r="H182" s="7" t="n">
        <v>100</v>
      </c>
      <c r="I182" s="7" t="n">
        <v>-100</v>
      </c>
      <c r="J182" s="7" t="n">
        <v>11183.98842679168</v>
      </c>
      <c r="K182" s="7" t="n">
        <v>11583.98842679168</v>
      </c>
      <c r="L182" s="7" t="n">
        <v>-400</v>
      </c>
      <c r="M182" s="6" t="n">
        <v>-0.03453042123858411</v>
      </c>
      <c r="N182" s="7" t="n">
        <v>112.7304323551001</v>
      </c>
      <c r="O182" s="7" t="n">
        <v>-112.7304323551001</v>
      </c>
      <c r="P182" s="7" t="n">
        <v>11160.31280315491</v>
      </c>
      <c r="Q182" s="7" t="n">
        <v>11618.1128038986</v>
      </c>
      <c r="R182" s="7" t="n">
        <v>-457.8000007436931</v>
      </c>
      <c r="S182" s="6" t="n">
        <v>-0.03940399000000006</v>
      </c>
      <c r="T182" s="7" t="n">
        <v>963.3112392728432</v>
      </c>
      <c r="U182" s="7" t="n">
        <v>-963.3112392728432</v>
      </c>
      <c r="V182" s="7" t="n">
        <v>13842.30829652082</v>
      </c>
      <c r="W182" s="7" t="n">
        <v>16997.70882715479</v>
      </c>
      <c r="X182" s="7" t="n">
        <v>-3155.400530633968</v>
      </c>
      <c r="Y182" s="6" t="n">
        <v>-0.1856368150978701</v>
      </c>
      <c r="Z182" s="7" t="n">
        <v>2023.299422268261</v>
      </c>
      <c r="AA182" s="7" t="n">
        <v>-2023.299422268261</v>
      </c>
      <c r="AB182" s="7" t="n">
        <v>13525.25863032307</v>
      </c>
      <c r="AC182" s="7" t="n">
        <v>21121.51828782895</v>
      </c>
      <c r="AD182" s="7" t="n">
        <v>-7596.259657505885</v>
      </c>
      <c r="AE182" s="6" t="n">
        <v>-0.359645530874698</v>
      </c>
    </row>
    <row r="183">
      <c r="A183" s="2" t="n">
        <v>174</v>
      </c>
      <c r="B183" s="2" t="inlineStr">
        <is>
          <t>KPROP-00174</t>
        </is>
      </c>
      <c r="C183" s="3" t="n">
        <v>45879</v>
      </c>
      <c r="D183" s="2" t="inlineStr">
        <is>
          <t>Tyler Glasnow</t>
        </is>
      </c>
      <c r="E183" s="2" t="inlineStr">
        <is>
          <t>Loss</t>
        </is>
      </c>
      <c r="F183" s="2" t="n">
        <v>-1</v>
      </c>
      <c r="G183" s="6" t="n">
        <v>0.08518018700348806</v>
      </c>
      <c r="H183" s="7" t="n">
        <v>100</v>
      </c>
      <c r="I183" s="7" t="n">
        <v>-100</v>
      </c>
      <c r="J183" s="7" t="n">
        <v>11083.98842679168</v>
      </c>
      <c r="K183" s="7" t="n">
        <v>11583.98842679168</v>
      </c>
      <c r="L183" s="7" t="n">
        <v>-500</v>
      </c>
      <c r="M183" s="6" t="n">
        <v>-0.04316302654823014</v>
      </c>
      <c r="N183" s="7" t="n">
        <v>111.6031280315491</v>
      </c>
      <c r="O183" s="7" t="n">
        <v>-111.6031280315491</v>
      </c>
      <c r="P183" s="7" t="n">
        <v>11048.70967512336</v>
      </c>
      <c r="Q183" s="7" t="n">
        <v>11618.1128038986</v>
      </c>
      <c r="R183" s="7" t="n">
        <v>-569.4031287752423</v>
      </c>
      <c r="S183" s="6" t="n">
        <v>-0.04900995010000007</v>
      </c>
      <c r="T183" s="7" t="n">
        <v>294.7726023143944</v>
      </c>
      <c r="U183" s="7" t="n">
        <v>-294.7726023143944</v>
      </c>
      <c r="V183" s="7" t="n">
        <v>13547.53569420642</v>
      </c>
      <c r="W183" s="7" t="n">
        <v>16997.70882715479</v>
      </c>
      <c r="X183" s="7" t="n">
        <v>-3450.173132948363</v>
      </c>
      <c r="Y183" s="6" t="n">
        <v>-0.20297871719255</v>
      </c>
      <c r="Z183" s="7" t="n">
        <v>576.0420297007298</v>
      </c>
      <c r="AA183" s="7" t="n">
        <v>-576.0420297007298</v>
      </c>
      <c r="AB183" s="7" t="n">
        <v>12949.21660062234</v>
      </c>
      <c r="AC183" s="7" t="n">
        <v>21121.51828782895</v>
      </c>
      <c r="AD183" s="7" t="n">
        <v>-8172.301687206615</v>
      </c>
      <c r="AE183" s="6" t="n">
        <v>-0.3869182875890042</v>
      </c>
    </row>
    <row r="184">
      <c r="A184" s="2" t="n">
        <v>175</v>
      </c>
      <c r="B184" s="2" t="inlineStr">
        <is>
          <t>KPROP-00175</t>
        </is>
      </c>
      <c r="C184" s="3" t="n">
        <v>45880</v>
      </c>
      <c r="D184" s="2" t="inlineStr">
        <is>
          <t>Andrew Heaney</t>
        </is>
      </c>
      <c r="E184" s="2" t="inlineStr">
        <is>
          <t>Win</t>
        </is>
      </c>
      <c r="F184" s="2" t="n">
        <v>0.7751937984496124</v>
      </c>
      <c r="G184" s="6" t="n">
        <v>0.2215088996567993</v>
      </c>
      <c r="H184" s="7" t="n">
        <v>100</v>
      </c>
      <c r="I184" s="7" t="n">
        <v>77.51937984496125</v>
      </c>
      <c r="J184" s="7" t="n">
        <v>11161.50780663664</v>
      </c>
      <c r="K184" s="7" t="n">
        <v>11583.98842679168</v>
      </c>
      <c r="L184" s="7" t="n">
        <v>-422.4806201550382</v>
      </c>
      <c r="M184" s="6" t="n">
        <v>-0.03647108444772929</v>
      </c>
      <c r="N184" s="7" t="n">
        <v>110.4870967512336</v>
      </c>
      <c r="O184" s="7" t="n">
        <v>85.6489122102586</v>
      </c>
      <c r="P184" s="7" t="n">
        <v>11134.35858733362</v>
      </c>
      <c r="Q184" s="7" t="n">
        <v>11618.1128038986</v>
      </c>
      <c r="R184" s="7" t="n">
        <v>-483.7542165649829</v>
      </c>
      <c r="S184" s="6" t="n">
        <v>-0.04163793420930233</v>
      </c>
      <c r="T184" s="7" t="n">
        <v>750.2249311712194</v>
      </c>
      <c r="U184" s="7" t="n">
        <v>581.5697140862167</v>
      </c>
      <c r="V184" s="7" t="n">
        <v>14129.10540829264</v>
      </c>
      <c r="W184" s="7" t="n">
        <v>16997.70882715479</v>
      </c>
      <c r="X184" s="7" t="n">
        <v>-2868.603418862145</v>
      </c>
      <c r="Y184" s="6" t="n">
        <v>-0.1687641227433777</v>
      </c>
      <c r="Z184" s="7" t="n">
        <v>1434.183360310707</v>
      </c>
      <c r="AA184" s="7" t="n">
        <v>1111.770046752486</v>
      </c>
      <c r="AB184" s="7" t="n">
        <v>14060.98664737482</v>
      </c>
      <c r="AC184" s="7" t="n">
        <v>21121.51828782895</v>
      </c>
      <c r="AD184" s="7" t="n">
        <v>-7060.531640454128</v>
      </c>
      <c r="AE184" s="6" t="n">
        <v>-0.3342814443658003</v>
      </c>
    </row>
    <row r="185">
      <c r="A185" s="2" t="n">
        <v>176</v>
      </c>
      <c r="B185" s="2" t="inlineStr">
        <is>
          <t>KPROP-00176</t>
        </is>
      </c>
      <c r="C185" s="3" t="n">
        <v>45880</v>
      </c>
      <c r="D185" s="2" t="inlineStr">
        <is>
          <t>Bailey Falter</t>
        </is>
      </c>
      <c r="E185" s="2" t="inlineStr">
        <is>
          <t>Loss</t>
        </is>
      </c>
      <c r="F185" s="2" t="n">
        <v>-1</v>
      </c>
      <c r="G185" s="6" t="n">
        <v>0.07119708097338133</v>
      </c>
      <c r="H185" s="7" t="n">
        <v>100</v>
      </c>
      <c r="I185" s="7" t="n">
        <v>-100</v>
      </c>
      <c r="J185" s="7" t="n">
        <v>11061.50780663664</v>
      </c>
      <c r="K185" s="7" t="n">
        <v>11583.98842679168</v>
      </c>
      <c r="L185" s="7" t="n">
        <v>-522.4806201550382</v>
      </c>
      <c r="M185" s="6" t="n">
        <v>-0.04510368975737532</v>
      </c>
      <c r="N185" s="7" t="n">
        <v>111.3435858733362</v>
      </c>
      <c r="O185" s="7" t="n">
        <v>-111.3435858733362</v>
      </c>
      <c r="P185" s="7" t="n">
        <v>11023.01500146028</v>
      </c>
      <c r="Q185" s="7" t="n">
        <v>11618.1128038986</v>
      </c>
      <c r="R185" s="7" t="n">
        <v>-595.0978024383185</v>
      </c>
      <c r="S185" s="6" t="n">
        <v>-0.05122155486720925</v>
      </c>
      <c r="T185" s="7" t="n">
        <v>251.4877654589128</v>
      </c>
      <c r="U185" s="7" t="n">
        <v>-251.4877654589128</v>
      </c>
      <c r="V185" s="7" t="n">
        <v>13877.61764283373</v>
      </c>
      <c r="W185" s="7" t="n">
        <v>16997.70882715479</v>
      </c>
      <c r="X185" s="7" t="n">
        <v>-3120.091184321058</v>
      </c>
      <c r="Y185" s="6" t="n">
        <v>-0.1835595147586326</v>
      </c>
      <c r="Z185" s="7" t="n">
        <v>500.5506024493895</v>
      </c>
      <c r="AA185" s="7" t="n">
        <v>-500.5506024493895</v>
      </c>
      <c r="AB185" s="7" t="n">
        <v>13560.43604492543</v>
      </c>
      <c r="AC185" s="7" t="n">
        <v>21121.51828782895</v>
      </c>
      <c r="AD185" s="7" t="n">
        <v>-7561.082242903518</v>
      </c>
      <c r="AE185" s="6" t="n">
        <v>-0.3579800533212856</v>
      </c>
    </row>
    <row r="186">
      <c r="A186" s="2" t="n">
        <v>177</v>
      </c>
      <c r="B186" s="2" t="inlineStr">
        <is>
          <t>KPROP-00177</t>
        </is>
      </c>
      <c r="C186" s="3" t="n">
        <v>45880</v>
      </c>
      <c r="D186" s="2" t="inlineStr">
        <is>
          <t>Will Warren</t>
        </is>
      </c>
      <c r="E186" s="2" t="inlineStr">
        <is>
          <t>Loss</t>
        </is>
      </c>
      <c r="F186" s="2" t="n">
        <v>-1</v>
      </c>
      <c r="G186" s="6" t="n">
        <v>0.2137661591487607</v>
      </c>
      <c r="H186" s="7" t="n">
        <v>100</v>
      </c>
      <c r="I186" s="7" t="n">
        <v>-100</v>
      </c>
      <c r="J186" s="7" t="n">
        <v>10961.50780663664</v>
      </c>
      <c r="K186" s="7" t="n">
        <v>11583.98842679168</v>
      </c>
      <c r="L186" s="7" t="n">
        <v>-622.4806201550382</v>
      </c>
      <c r="M186" s="6" t="n">
        <v>-0.05373629506702134</v>
      </c>
      <c r="N186" s="7" t="n">
        <v>110.2301500146028</v>
      </c>
      <c r="O186" s="7" t="n">
        <v>-110.2301500146028</v>
      </c>
      <c r="P186" s="7" t="n">
        <v>10912.78485144568</v>
      </c>
      <c r="Q186" s="7" t="n">
        <v>11618.1128038986</v>
      </c>
      <c r="R186" s="7" t="n">
        <v>-705.3279524529207</v>
      </c>
      <c r="S186" s="6" t="n">
        <v>-0.06070933931853711</v>
      </c>
      <c r="T186" s="7" t="n">
        <v>741.641255410911</v>
      </c>
      <c r="U186" s="7" t="n">
        <v>-741.641255410911</v>
      </c>
      <c r="V186" s="7" t="n">
        <v>13135.97638742282</v>
      </c>
      <c r="W186" s="7" t="n">
        <v>16997.70882715479</v>
      </c>
      <c r="X186" s="7" t="n">
        <v>-3861.732439731968</v>
      </c>
      <c r="Y186" s="6" t="n">
        <v>-0.2271913514345319</v>
      </c>
      <c r="Z186" s="7" t="n">
        <v>1449.38116485306</v>
      </c>
      <c r="AA186" s="7" t="n">
        <v>-1449.38116485306</v>
      </c>
      <c r="AB186" s="7" t="n">
        <v>12111.05488007237</v>
      </c>
      <c r="AC186" s="7" t="n">
        <v>21121.51828782895</v>
      </c>
      <c r="AD186" s="7" t="n">
        <v>-9010.463407756579</v>
      </c>
      <c r="AE186" s="6" t="n">
        <v>-0.4266011223704861</v>
      </c>
    </row>
    <row r="187">
      <c r="A187" s="2" t="n">
        <v>178</v>
      </c>
      <c r="B187" s="2" t="inlineStr">
        <is>
          <t>KPROP-00178</t>
        </is>
      </c>
      <c r="C187" s="3" t="n">
        <v>45881</v>
      </c>
      <c r="D187" s="2" t="inlineStr">
        <is>
          <t>Clay Holmes</t>
        </is>
      </c>
      <c r="E187" s="2" t="inlineStr">
        <is>
          <t>Loss</t>
        </is>
      </c>
      <c r="F187" s="2" t="n">
        <v>-1</v>
      </c>
      <c r="G187" s="6" t="n">
        <v>0.08895370212971879</v>
      </c>
      <c r="H187" s="7" t="n">
        <v>100</v>
      </c>
      <c r="I187" s="7" t="n">
        <v>-100</v>
      </c>
      <c r="J187" s="7" t="n">
        <v>10861.50780663664</v>
      </c>
      <c r="K187" s="7" t="n">
        <v>11583.98842679168</v>
      </c>
      <c r="L187" s="7" t="n">
        <v>-722.4806201550382</v>
      </c>
      <c r="M187" s="6" t="n">
        <v>-0.06236890037666737</v>
      </c>
      <c r="N187" s="7" t="n">
        <v>109.1278485144568</v>
      </c>
      <c r="O187" s="7" t="n">
        <v>-109.1278485144568</v>
      </c>
      <c r="P187" s="7" t="n">
        <v>10803.65700293122</v>
      </c>
      <c r="Q187" s="7" t="n">
        <v>11618.1128038986</v>
      </c>
      <c r="R187" s="7" t="n">
        <v>-814.4558009673783</v>
      </c>
      <c r="S187" s="6" t="n">
        <v>-0.0701022459253518</v>
      </c>
      <c r="T187" s="7" t="n">
        <v>292.1234326874572</v>
      </c>
      <c r="U187" s="7" t="n">
        <v>-292.1234326874572</v>
      </c>
      <c r="V187" s="7" t="n">
        <v>12843.85295473536</v>
      </c>
      <c r="W187" s="7" t="n">
        <v>16997.70882715479</v>
      </c>
      <c r="X187" s="7" t="n">
        <v>-4153.855872419424</v>
      </c>
      <c r="Y187" s="6" t="n">
        <v>-0.2443773990164726</v>
      </c>
      <c r="Z187" s="7" t="n">
        <v>538.6615841393175</v>
      </c>
      <c r="AA187" s="7" t="n">
        <v>-538.6615841393175</v>
      </c>
      <c r="AB187" s="7" t="n">
        <v>11572.39329593306</v>
      </c>
      <c r="AC187" s="7" t="n">
        <v>21121.51828782895</v>
      </c>
      <c r="AD187" s="7" t="n">
        <v>-9549.124991895897</v>
      </c>
      <c r="AE187" s="6" t="n">
        <v>-0.4521040988515715</v>
      </c>
    </row>
    <row r="188">
      <c r="A188" s="2" t="n">
        <v>179</v>
      </c>
      <c r="B188" s="2" t="inlineStr">
        <is>
          <t>KPROP-00179</t>
        </is>
      </c>
      <c r="C188" s="3" t="n">
        <v>45881</v>
      </c>
      <c r="D188" s="2" t="inlineStr">
        <is>
          <t>Clay Holmes</t>
        </is>
      </c>
      <c r="E188" s="2" t="inlineStr">
        <is>
          <t>Win</t>
        </is>
      </c>
      <c r="F188" s="2" t="n">
        <v>0.6451612903225805</v>
      </c>
      <c r="G188" s="6" t="n">
        <v>0.2102738723476225</v>
      </c>
      <c r="H188" s="7" t="n">
        <v>100</v>
      </c>
      <c r="I188" s="7" t="n">
        <v>64.51612903225805</v>
      </c>
      <c r="J188" s="7" t="n">
        <v>10926.0239356689</v>
      </c>
      <c r="K188" s="7" t="n">
        <v>11583.98842679168</v>
      </c>
      <c r="L188" s="7" t="n">
        <v>-657.9644911227806</v>
      </c>
      <c r="M188" s="6" t="n">
        <v>-0.05679947759625062</v>
      </c>
      <c r="N188" s="7" t="n">
        <v>108.0365700293122</v>
      </c>
      <c r="O188" s="7" t="n">
        <v>69.70101292213691</v>
      </c>
      <c r="P188" s="7" t="n">
        <v>10873.35801585336</v>
      </c>
      <c r="Q188" s="7" t="n">
        <v>11618.1128038986</v>
      </c>
      <c r="R188" s="7" t="n">
        <v>-744.7547880452421</v>
      </c>
      <c r="S188" s="6" t="n">
        <v>-0.06410290557648317</v>
      </c>
      <c r="T188" s="7" t="n">
        <v>675.1816741639145</v>
      </c>
      <c r="U188" s="7" t="n">
        <v>435.6010801057512</v>
      </c>
      <c r="V188" s="7" t="n">
        <v>13279.45403484111</v>
      </c>
      <c r="W188" s="7" t="n">
        <v>16997.70882715479</v>
      </c>
      <c r="X188" s="7" t="n">
        <v>-3718.254792313674</v>
      </c>
      <c r="Y188" s="6" t="n">
        <v>-0.2187503521870874</v>
      </c>
      <c r="Z188" s="7" t="n">
        <v>1216.685975332755</v>
      </c>
      <c r="AA188" s="7" t="n">
        <v>784.9586937630675</v>
      </c>
      <c r="AB188" s="7" t="n">
        <v>12357.35198969612</v>
      </c>
      <c r="AC188" s="7" t="n">
        <v>21121.51828782895</v>
      </c>
      <c r="AD188" s="7" t="n">
        <v>-8764.16629813283</v>
      </c>
      <c r="AE188" s="6" t="n">
        <v>-0.4149401656974199</v>
      </c>
    </row>
    <row r="189">
      <c r="A189" s="2" t="n">
        <v>180</v>
      </c>
      <c r="B189" s="2" t="inlineStr">
        <is>
          <t>KPROP-00180</t>
        </is>
      </c>
      <c r="C189" s="3" t="n">
        <v>45881</v>
      </c>
      <c r="D189" s="2" t="inlineStr">
        <is>
          <t>Freddy Peralta</t>
        </is>
      </c>
      <c r="E189" s="2" t="inlineStr">
        <is>
          <t>Loss</t>
        </is>
      </c>
      <c r="F189" s="2" t="n">
        <v>-1</v>
      </c>
      <c r="G189" s="6" t="n">
        <v>0.1176080095948787</v>
      </c>
      <c r="H189" s="7" t="n">
        <v>100</v>
      </c>
      <c r="I189" s="7" t="n">
        <v>-100</v>
      </c>
      <c r="J189" s="7" t="n">
        <v>10826.0239356689</v>
      </c>
      <c r="K189" s="7" t="n">
        <v>11583.98842679168</v>
      </c>
      <c r="L189" s="7" t="n">
        <v>-757.9644911227806</v>
      </c>
      <c r="M189" s="6" t="n">
        <v>-0.06543208290589664</v>
      </c>
      <c r="N189" s="7" t="n">
        <v>108.7335801585336</v>
      </c>
      <c r="O189" s="7" t="n">
        <v>-108.7335801585336</v>
      </c>
      <c r="P189" s="7" t="n">
        <v>10764.62443569482</v>
      </c>
      <c r="Q189" s="7" t="n">
        <v>11618.1128038986</v>
      </c>
      <c r="R189" s="7" t="n">
        <v>-853.4883682037762</v>
      </c>
      <c r="S189" s="6" t="n">
        <v>-0.07346187652071838</v>
      </c>
      <c r="T189" s="7" t="n">
        <v>390.4425393860861</v>
      </c>
      <c r="U189" s="7" t="n">
        <v>-390.4425393860861</v>
      </c>
      <c r="V189" s="7" t="n">
        <v>12889.01149545503</v>
      </c>
      <c r="W189" s="7" t="n">
        <v>16997.70882715479</v>
      </c>
      <c r="X189" s="7" t="n">
        <v>-4108.697331699759</v>
      </c>
      <c r="Y189" s="6" t="n">
        <v>-0.2417206562060815</v>
      </c>
      <c r="Z189" s="7" t="n">
        <v>726.6617856857375</v>
      </c>
      <c r="AA189" s="7" t="n">
        <v>-726.6617856857375</v>
      </c>
      <c r="AB189" s="7" t="n">
        <v>11630.69020401039</v>
      </c>
      <c r="AC189" s="7" t="n">
        <v>21121.51828782895</v>
      </c>
      <c r="AD189" s="7" t="n">
        <v>-9490.828083818567</v>
      </c>
      <c r="AE189" s="6" t="n">
        <v>-0.4493440270005379</v>
      </c>
    </row>
    <row r="190">
      <c r="A190" s="2" t="n">
        <v>181</v>
      </c>
      <c r="B190" s="2" t="inlineStr">
        <is>
          <t>KPROP-00181</t>
        </is>
      </c>
      <c r="C190" s="3" t="n">
        <v>45881</v>
      </c>
      <c r="D190" s="2" t="inlineStr">
        <is>
          <t>Freddy Peralta</t>
        </is>
      </c>
      <c r="E190" s="2" t="inlineStr">
        <is>
          <t>Win</t>
        </is>
      </c>
      <c r="F190" s="2" t="n">
        <v>0.6666666666666665</v>
      </c>
      <c r="G190" s="6" t="n">
        <v>0.1722441382810576</v>
      </c>
      <c r="H190" s="7" t="n">
        <v>100</v>
      </c>
      <c r="I190" s="7" t="n">
        <v>66.66666666666666</v>
      </c>
      <c r="J190" s="7" t="n">
        <v>10892.69060233557</v>
      </c>
      <c r="K190" s="7" t="n">
        <v>11583.98842679168</v>
      </c>
      <c r="L190" s="7" t="n">
        <v>-691.2978244561145</v>
      </c>
      <c r="M190" s="6" t="n">
        <v>-0.05967701269946601</v>
      </c>
      <c r="N190" s="7" t="n">
        <v>107.6462443569482</v>
      </c>
      <c r="O190" s="7" t="n">
        <v>71.76416290463214</v>
      </c>
      <c r="P190" s="7" t="n">
        <v>10836.38859859946</v>
      </c>
      <c r="Q190" s="7" t="n">
        <v>11618.1128038986</v>
      </c>
      <c r="R190" s="7" t="n">
        <v>-781.7242052991442</v>
      </c>
      <c r="S190" s="6" t="n">
        <v>-0.06728495569752319</v>
      </c>
      <c r="T190" s="7" t="n">
        <v>555.014169582324</v>
      </c>
      <c r="U190" s="7" t="n">
        <v>370.009446388216</v>
      </c>
      <c r="V190" s="7" t="n">
        <v>13259.02094184324</v>
      </c>
      <c r="W190" s="7" t="n">
        <v>16997.70882715479</v>
      </c>
      <c r="X190" s="7" t="n">
        <v>-3738.687885311543</v>
      </c>
      <c r="Y190" s="6" t="n">
        <v>-0.2199524608480633</v>
      </c>
      <c r="Z190" s="7" t="n">
        <v>1001.659105901853</v>
      </c>
      <c r="AA190" s="7" t="n">
        <v>667.772737267902</v>
      </c>
      <c r="AB190" s="7" t="n">
        <v>12298.46294127829</v>
      </c>
      <c r="AC190" s="7" t="n">
        <v>21121.51828782895</v>
      </c>
      <c r="AD190" s="7" t="n">
        <v>-8823.055346550665</v>
      </c>
      <c r="AE190" s="6" t="n">
        <v>-0.4177282724810014</v>
      </c>
    </row>
    <row r="191">
      <c r="A191" s="2" t="n">
        <v>182</v>
      </c>
      <c r="B191" s="2" t="inlineStr">
        <is>
          <t>KPROP-00182</t>
        </is>
      </c>
      <c r="C191" s="3" t="n">
        <v>45881</v>
      </c>
      <c r="D191" s="2" t="inlineStr">
        <is>
          <t>Jack Flaherty</t>
        </is>
      </c>
      <c r="E191" s="2" t="inlineStr">
        <is>
          <t>Win</t>
        </is>
      </c>
      <c r="F191" s="2" t="n">
        <v>0.9523809523809523</v>
      </c>
      <c r="G191" s="6" t="n">
        <v>0.3255934254870809</v>
      </c>
      <c r="H191" s="7" t="n">
        <v>100</v>
      </c>
      <c r="I191" s="7" t="n">
        <v>95.23809523809523</v>
      </c>
      <c r="J191" s="7" t="n">
        <v>10987.92869757366</v>
      </c>
      <c r="K191" s="7" t="n">
        <v>11583.98842679168</v>
      </c>
      <c r="L191" s="7" t="n">
        <v>-596.0597292180191</v>
      </c>
      <c r="M191" s="6" t="n">
        <v>-0.05145548383313645</v>
      </c>
      <c r="N191" s="7" t="n">
        <v>108.3638859859946</v>
      </c>
      <c r="O191" s="7" t="n">
        <v>103.2037009390424</v>
      </c>
      <c r="P191" s="7" t="n">
        <v>10939.5922995385</v>
      </c>
      <c r="Q191" s="7" t="n">
        <v>11618.1128038986</v>
      </c>
      <c r="R191" s="7" t="n">
        <v>-678.5205043601018</v>
      </c>
      <c r="S191" s="6" t="n">
        <v>-0.05840195527559483</v>
      </c>
      <c r="T191" s="7" t="n">
        <v>1079.262511764921</v>
      </c>
      <c r="U191" s="7" t="n">
        <v>1027.869058823734</v>
      </c>
      <c r="V191" s="7" t="n">
        <v>14286.89000066698</v>
      </c>
      <c r="W191" s="7" t="n">
        <v>16997.70882715479</v>
      </c>
      <c r="X191" s="7" t="n">
        <v>-2710.818826487808</v>
      </c>
      <c r="Y191" s="6" t="n">
        <v>-0.1594814250587187</v>
      </c>
      <c r="Z191" s="7" t="n">
        <v>2002.149338638359</v>
      </c>
      <c r="AA191" s="7" t="n">
        <v>1906.808893941294</v>
      </c>
      <c r="AB191" s="7" t="n">
        <v>14205.27183521958</v>
      </c>
      <c r="AC191" s="7" t="n">
        <v>21121.51828782895</v>
      </c>
      <c r="AD191" s="7" t="n">
        <v>-6916.246452609372</v>
      </c>
      <c r="AE191" s="6" t="n">
        <v>-0.3274502504204342</v>
      </c>
    </row>
    <row r="192">
      <c r="A192" s="2" t="n">
        <v>183</v>
      </c>
      <c r="B192" s="2" t="inlineStr">
        <is>
          <t>KPROP-00183</t>
        </is>
      </c>
      <c r="C192" s="3" t="n">
        <v>45881</v>
      </c>
      <c r="D192" s="2" t="inlineStr">
        <is>
          <t>Matthew Liberatore</t>
        </is>
      </c>
      <c r="E192" s="2" t="inlineStr">
        <is>
          <t>Win</t>
        </is>
      </c>
      <c r="F192" s="2" t="n">
        <v>1.38</v>
      </c>
      <c r="G192" s="6" t="n">
        <v>0.1421197229688023</v>
      </c>
      <c r="H192" s="7" t="n">
        <v>100</v>
      </c>
      <c r="I192" s="7" t="n">
        <v>138</v>
      </c>
      <c r="J192" s="7" t="n">
        <v>11125.92869757366</v>
      </c>
      <c r="K192" s="7" t="n">
        <v>11583.98842679168</v>
      </c>
      <c r="L192" s="7" t="n">
        <v>-458.0597292180191</v>
      </c>
      <c r="M192" s="6" t="n">
        <v>-0.03954248850582493</v>
      </c>
      <c r="N192" s="7" t="n">
        <v>109.395922995385</v>
      </c>
      <c r="O192" s="7" t="n">
        <v>150.9663737336313</v>
      </c>
      <c r="P192" s="7" t="n">
        <v>11090.55867327213</v>
      </c>
      <c r="Q192" s="7" t="n">
        <v>11618.1128038986</v>
      </c>
      <c r="R192" s="7" t="n">
        <v>-527.5541306264713</v>
      </c>
      <c r="S192" s="6" t="n">
        <v>-0.04540790225839812</v>
      </c>
      <c r="T192" s="7" t="n">
        <v>507.6122122451359</v>
      </c>
      <c r="U192" s="7" t="n">
        <v>700.5048528982875</v>
      </c>
      <c r="V192" s="7" t="n">
        <v>14987.39485356527</v>
      </c>
      <c r="W192" s="7" t="n">
        <v>16997.70882715479</v>
      </c>
      <c r="X192" s="7" t="n">
        <v>-2010.31397358952</v>
      </c>
      <c r="Y192" s="6" t="n">
        <v>-0.118269702936547</v>
      </c>
      <c r="Z192" s="7" t="n">
        <v>1009.424648958969</v>
      </c>
      <c r="AA192" s="7" t="n">
        <v>1393.006015563377</v>
      </c>
      <c r="AB192" s="7" t="n">
        <v>15598.27785078296</v>
      </c>
      <c r="AC192" s="7" t="n">
        <v>21121.51828782895</v>
      </c>
      <c r="AD192" s="7" t="n">
        <v>-5523.240437045995</v>
      </c>
      <c r="AE192" s="6" t="n">
        <v>-0.2614982673962744</v>
      </c>
    </row>
    <row r="193">
      <c r="A193" s="2" t="n">
        <v>184</v>
      </c>
      <c r="B193" s="2" t="inlineStr">
        <is>
          <t>KPROP-00184</t>
        </is>
      </c>
      <c r="C193" s="3" t="n">
        <v>45881</v>
      </c>
      <c r="D193" s="2" t="inlineStr">
        <is>
          <t>Matthew Liberatore</t>
        </is>
      </c>
      <c r="E193" s="2" t="inlineStr">
        <is>
          <t>Win</t>
        </is>
      </c>
      <c r="F193" s="2" t="n">
        <v>0.6993006993006992</v>
      </c>
      <c r="G193" s="6" t="n">
        <v>0.258767033496471</v>
      </c>
      <c r="H193" s="7" t="n">
        <v>100</v>
      </c>
      <c r="I193" s="7" t="n">
        <v>69.93006993006992</v>
      </c>
      <c r="J193" s="7" t="n">
        <v>11195.85876750373</v>
      </c>
      <c r="K193" s="7" t="n">
        <v>11583.98842679168</v>
      </c>
      <c r="L193" s="7" t="n">
        <v>-388.1296592879498</v>
      </c>
      <c r="M193" s="6" t="n">
        <v>-0.03350570157600259</v>
      </c>
      <c r="N193" s="7" t="n">
        <v>110.9055867327213</v>
      </c>
      <c r="O193" s="7" t="n">
        <v>77.55635435854634</v>
      </c>
      <c r="P193" s="7" t="n">
        <v>11168.11502763068</v>
      </c>
      <c r="Q193" s="7" t="n">
        <v>11618.1128038986</v>
      </c>
      <c r="R193" s="7" t="n">
        <v>-449.9977762679246</v>
      </c>
      <c r="S193" s="6" t="n">
        <v>-0.03873243304342185</v>
      </c>
      <c r="T193" s="7" t="n">
        <v>969.5609265243402</v>
      </c>
      <c r="U193" s="7" t="n">
        <v>678.0146339331048</v>
      </c>
      <c r="V193" s="7" t="n">
        <v>15665.40948749837</v>
      </c>
      <c r="W193" s="7" t="n">
        <v>16997.70882715479</v>
      </c>
      <c r="X193" s="7" t="n">
        <v>-1332.299339656416</v>
      </c>
      <c r="Y193" s="6" t="n">
        <v>-0.07838111319614992</v>
      </c>
      <c r="Z193" s="7" t="n">
        <v>2018.160043550408</v>
      </c>
      <c r="AA193" s="7" t="n">
        <v>1411.30072975553</v>
      </c>
      <c r="AB193" s="7" t="n">
        <v>17009.57858053849</v>
      </c>
      <c r="AC193" s="7" t="n">
        <v>21121.51828782895</v>
      </c>
      <c r="AD193" s="7" t="n">
        <v>-4111.939707290465</v>
      </c>
      <c r="AE193" s="6" t="n">
        <v>-0.1946801196417743</v>
      </c>
    </row>
    <row r="194">
      <c r="A194" s="2" t="n">
        <v>185</v>
      </c>
      <c r="B194" s="2" t="inlineStr">
        <is>
          <t>KPROP-00185</t>
        </is>
      </c>
      <c r="C194" s="3" t="n">
        <v>45881</v>
      </c>
      <c r="D194" s="2" t="inlineStr">
        <is>
          <t>Paul Skenes</t>
        </is>
      </c>
      <c r="E194" s="2" t="inlineStr">
        <is>
          <t>Win</t>
        </is>
      </c>
      <c r="F194" s="2" t="n">
        <v>1.15</v>
      </c>
      <c r="G194" s="6" t="n">
        <v>0.1266221316491547</v>
      </c>
      <c r="H194" s="7" t="n">
        <v>100</v>
      </c>
      <c r="I194" s="7" t="n">
        <v>115</v>
      </c>
      <c r="J194" s="7" t="n">
        <v>11310.85876750373</v>
      </c>
      <c r="K194" s="7" t="n">
        <v>11583.98842679168</v>
      </c>
      <c r="L194" s="7" t="n">
        <v>-273.1296592879498</v>
      </c>
      <c r="M194" s="6" t="n">
        <v>-0.02357820546990966</v>
      </c>
      <c r="N194" s="7" t="n">
        <v>111.6811502763068</v>
      </c>
      <c r="O194" s="7" t="n">
        <v>128.4333228177528</v>
      </c>
      <c r="P194" s="7" t="n">
        <v>11296.54835044843</v>
      </c>
      <c r="Q194" s="7" t="n">
        <v>11618.1128038986</v>
      </c>
      <c r="R194" s="7" t="n">
        <v>-321.5644534501716</v>
      </c>
      <c r="S194" s="6" t="n">
        <v>-0.02767785602342118</v>
      </c>
      <c r="T194" s="7" t="n">
        <v>495.8968856159839</v>
      </c>
      <c r="U194" s="7" t="n">
        <v>570.2814184583814</v>
      </c>
      <c r="V194" s="7" t="n">
        <v>16235.69090595675</v>
      </c>
      <c r="W194" s="7" t="n">
        <v>16997.70882715479</v>
      </c>
      <c r="X194" s="7" t="n">
        <v>-762.0179211980339</v>
      </c>
      <c r="Y194" s="6" t="n">
        <v>-0.04483062564177284</v>
      </c>
      <c r="Z194" s="7" t="n">
        <v>1076.894549160793</v>
      </c>
      <c r="AA194" s="7" t="n">
        <v>1238.428731534912</v>
      </c>
      <c r="AB194" s="7" t="n">
        <v>18248.0073120734</v>
      </c>
      <c r="AC194" s="7" t="n">
        <v>21121.51828782895</v>
      </c>
      <c r="AD194" s="7" t="n">
        <v>-2873.510975755555</v>
      </c>
      <c r="AE194" s="6" t="n">
        <v>-0.136046610693294</v>
      </c>
    </row>
    <row r="195">
      <c r="A195" s="2" t="n">
        <v>186</v>
      </c>
      <c r="B195" s="2" t="inlineStr">
        <is>
          <t>KPROP-00186</t>
        </is>
      </c>
      <c r="C195" s="3" t="n">
        <v>45881</v>
      </c>
      <c r="D195" s="2" t="inlineStr">
        <is>
          <t>Ranger Suarez</t>
        </is>
      </c>
      <c r="E195" s="2" t="inlineStr">
        <is>
          <t>Win</t>
        </is>
      </c>
      <c r="F195" s="2" t="n">
        <v>1.25</v>
      </c>
      <c r="G195" s="6" t="n">
        <v>0.1789826431036374</v>
      </c>
      <c r="H195" s="7" t="n">
        <v>100</v>
      </c>
      <c r="I195" s="7" t="n">
        <v>125</v>
      </c>
      <c r="J195" s="7" t="n">
        <v>11435.85876750373</v>
      </c>
      <c r="K195" s="7" t="n">
        <v>11583.98842679168</v>
      </c>
      <c r="L195" s="7" t="n">
        <v>-148.1296592879498</v>
      </c>
      <c r="M195" s="6" t="n">
        <v>-0.01278744883285213</v>
      </c>
      <c r="N195" s="7" t="n">
        <v>112.9654835044843</v>
      </c>
      <c r="O195" s="7" t="n">
        <v>141.2068543806054</v>
      </c>
      <c r="P195" s="7" t="n">
        <v>11437.75520482903</v>
      </c>
      <c r="Q195" s="7" t="n">
        <v>11618.1128038986</v>
      </c>
      <c r="R195" s="7" t="n">
        <v>-180.3575990695663</v>
      </c>
      <c r="S195" s="6" t="n">
        <v>-0.01552382922371395</v>
      </c>
      <c r="T195" s="7" t="n">
        <v>726.4767177404574</v>
      </c>
      <c r="U195" s="7" t="n">
        <v>908.0958971755717</v>
      </c>
      <c r="V195" s="7" t="n">
        <v>17143.78680313232</v>
      </c>
      <c r="W195" s="7" t="n">
        <v>17143.78680313232</v>
      </c>
      <c r="X195" s="7" t="n">
        <v>0</v>
      </c>
      <c r="Y195" s="6" t="n">
        <v>0</v>
      </c>
      <c r="Z195" s="7" t="n">
        <v>1633.0382900447</v>
      </c>
      <c r="AA195" s="7" t="n">
        <v>2041.297862555874</v>
      </c>
      <c r="AB195" s="7" t="n">
        <v>20289.30517462927</v>
      </c>
      <c r="AC195" s="7" t="n">
        <v>21121.51828782895</v>
      </c>
      <c r="AD195" s="7" t="n">
        <v>-832.2131131996794</v>
      </c>
      <c r="AE195" s="6" t="n">
        <v>-0.03940119748300638</v>
      </c>
    </row>
    <row r="196">
      <c r="A196" s="2" t="n">
        <v>187</v>
      </c>
      <c r="B196" s="2" t="inlineStr">
        <is>
          <t>KPROP-00187</t>
        </is>
      </c>
      <c r="C196" s="3" t="n">
        <v>45881</v>
      </c>
      <c r="D196" s="2" t="inlineStr">
        <is>
          <t>Ranger Suarez</t>
        </is>
      </c>
      <c r="E196" s="2" t="inlineStr">
        <is>
          <t>Win</t>
        </is>
      </c>
      <c r="F196" s="2" t="n">
        <v>0.6666666666666665</v>
      </c>
      <c r="G196" s="6" t="n">
        <v>0.2836391101733555</v>
      </c>
      <c r="H196" s="7" t="n">
        <v>100</v>
      </c>
      <c r="I196" s="7" t="n">
        <v>66.66666666666666</v>
      </c>
      <c r="J196" s="7" t="n">
        <v>11502.5254341704</v>
      </c>
      <c r="K196" s="7" t="n">
        <v>11583.98842679168</v>
      </c>
      <c r="L196" s="7" t="n">
        <v>-81.46299262128377</v>
      </c>
      <c r="M196" s="6" t="n">
        <v>-0.007032378626421494</v>
      </c>
      <c r="N196" s="7" t="n">
        <v>114.3775520482903</v>
      </c>
      <c r="O196" s="7" t="n">
        <v>76.25170136552687</v>
      </c>
      <c r="P196" s="7" t="n">
        <v>11514.00690619456</v>
      </c>
      <c r="Q196" s="7" t="n">
        <v>11618.1128038986</v>
      </c>
      <c r="R196" s="7" t="n">
        <v>-104.1058977040393</v>
      </c>
      <c r="S196" s="6" t="n">
        <v>-0.008960654751872034</v>
      </c>
      <c r="T196" s="7" t="n">
        <v>1215.662108460542</v>
      </c>
      <c r="U196" s="7" t="n">
        <v>810.4414056403612</v>
      </c>
      <c r="V196" s="7" t="n">
        <v>17954.22820877269</v>
      </c>
      <c r="W196" s="7" t="n">
        <v>17954.22820877269</v>
      </c>
      <c r="X196" s="7" t="n">
        <v>0</v>
      </c>
      <c r="Y196" s="6" t="n">
        <v>0</v>
      </c>
      <c r="Z196" s="7" t="n">
        <v>2877.420232883752</v>
      </c>
      <c r="AA196" s="7" t="n">
        <v>1918.280155255834</v>
      </c>
      <c r="AB196" s="7" t="n">
        <v>22207.58532988511</v>
      </c>
      <c r="AC196" s="7" t="n">
        <v>22207.58532988511</v>
      </c>
      <c r="AD196" s="7" t="n">
        <v>0</v>
      </c>
      <c r="AE196" s="6" t="n">
        <v>0</v>
      </c>
    </row>
    <row r="197">
      <c r="A197" s="2" t="n">
        <v>188</v>
      </c>
      <c r="B197" s="2" t="inlineStr">
        <is>
          <t>KPROP-00188</t>
        </is>
      </c>
      <c r="C197" s="3" t="n">
        <v>45881</v>
      </c>
      <c r="D197" s="2" t="inlineStr">
        <is>
          <t>Spencer Strider</t>
        </is>
      </c>
      <c r="E197" s="2" t="inlineStr">
        <is>
          <t>Win</t>
        </is>
      </c>
      <c r="F197" s="2" t="n">
        <v>1</v>
      </c>
      <c r="G197" s="6" t="n">
        <v>0.2501685044700257</v>
      </c>
      <c r="H197" s="7" t="n">
        <v>100</v>
      </c>
      <c r="I197" s="7" t="n">
        <v>100</v>
      </c>
      <c r="J197" s="7" t="n">
        <v>11602.5254341704</v>
      </c>
      <c r="K197" s="7" t="n">
        <v>11602.5254341704</v>
      </c>
      <c r="L197" s="7" t="n">
        <v>0</v>
      </c>
      <c r="M197" s="6" t="n">
        <v>0</v>
      </c>
      <c r="N197" s="7" t="n">
        <v>115.1400690619456</v>
      </c>
      <c r="O197" s="7" t="n">
        <v>115.1400690619456</v>
      </c>
      <c r="P197" s="7" t="n">
        <v>11629.14697525651</v>
      </c>
      <c r="Q197" s="7" t="n">
        <v>11629.14697525651</v>
      </c>
      <c r="R197" s="7" t="n">
        <v>0</v>
      </c>
      <c r="S197" s="6" t="n">
        <v>0</v>
      </c>
      <c r="T197" s="7" t="n">
        <v>1122.895604975553</v>
      </c>
      <c r="U197" s="7" t="n">
        <v>1122.895604975553</v>
      </c>
      <c r="V197" s="7" t="n">
        <v>19077.12381374824</v>
      </c>
      <c r="W197" s="7" t="n">
        <v>19077.12381374824</v>
      </c>
      <c r="X197" s="7" t="n">
        <v>0</v>
      </c>
      <c r="Y197" s="6" t="n">
        <v>0</v>
      </c>
      <c r="Z197" s="7" t="n">
        <v>2777.81920493392</v>
      </c>
      <c r="AA197" s="7" t="n">
        <v>2777.81920493392</v>
      </c>
      <c r="AB197" s="7" t="n">
        <v>24985.40453481903</v>
      </c>
      <c r="AC197" s="7" t="n">
        <v>24985.40453481903</v>
      </c>
      <c r="AD197" s="7" t="n">
        <v>0</v>
      </c>
      <c r="AE197" s="6" t="n">
        <v>0</v>
      </c>
    </row>
    <row r="198">
      <c r="A198" s="2" t="n">
        <v>189</v>
      </c>
      <c r="B198" s="2" t="inlineStr">
        <is>
          <t>KPROP-00189</t>
        </is>
      </c>
      <c r="C198" s="3" t="n">
        <v>45882</v>
      </c>
      <c r="D198" s="2" t="inlineStr">
        <is>
          <t>Brandon Woodruff</t>
        </is>
      </c>
      <c r="E198" s="2" t="inlineStr">
        <is>
          <t>Win</t>
        </is>
      </c>
      <c r="F198" s="2" t="n">
        <v>1.35</v>
      </c>
      <c r="G198" s="6" t="n">
        <v>0.2603214539979101</v>
      </c>
      <c r="H198" s="7" t="n">
        <v>100</v>
      </c>
      <c r="I198" s="7" t="n">
        <v>135</v>
      </c>
      <c r="J198" s="7" t="n">
        <v>11737.5254341704</v>
      </c>
      <c r="K198" s="7" t="n">
        <v>11737.5254341704</v>
      </c>
      <c r="L198" s="7" t="n">
        <v>0</v>
      </c>
      <c r="M198" s="6" t="n">
        <v>0</v>
      </c>
      <c r="N198" s="7" t="n">
        <v>116.2914697525651</v>
      </c>
      <c r="O198" s="7" t="n">
        <v>156.9934841659629</v>
      </c>
      <c r="P198" s="7" t="n">
        <v>11786.14045942247</v>
      </c>
      <c r="Q198" s="7" t="n">
        <v>11786.14045942247</v>
      </c>
      <c r="R198" s="7" t="n">
        <v>0</v>
      </c>
      <c r="S198" s="6" t="n">
        <v>0</v>
      </c>
      <c r="T198" s="7" t="n">
        <v>1241.546152323275</v>
      </c>
      <c r="U198" s="7" t="n">
        <v>1676.087305636421</v>
      </c>
      <c r="V198" s="7" t="n">
        <v>20753.21111938466</v>
      </c>
      <c r="W198" s="7" t="n">
        <v>20753.21111938466</v>
      </c>
      <c r="X198" s="7" t="n">
        <v>0</v>
      </c>
      <c r="Y198" s="6" t="n">
        <v>0</v>
      </c>
      <c r="Z198" s="7" t="n">
        <v>3252.118418615033</v>
      </c>
      <c r="AA198" s="7" t="n">
        <v>4390.359865130295</v>
      </c>
      <c r="AB198" s="7" t="n">
        <v>29375.76439994932</v>
      </c>
      <c r="AC198" s="7" t="n">
        <v>29375.76439994932</v>
      </c>
      <c r="AD198" s="7" t="n">
        <v>0</v>
      </c>
      <c r="AE198" s="6" t="n">
        <v>0</v>
      </c>
    </row>
    <row r="199">
      <c r="A199" s="2" t="n">
        <v>190</v>
      </c>
      <c r="B199" s="2" t="inlineStr">
        <is>
          <t>KPROP-00190</t>
        </is>
      </c>
      <c r="C199" s="3" t="n">
        <v>45882</v>
      </c>
      <c r="D199" s="2" t="inlineStr">
        <is>
          <t>Brandon Woodruff</t>
        </is>
      </c>
      <c r="E199" s="2" t="inlineStr">
        <is>
          <t>Win</t>
        </is>
      </c>
      <c r="F199" s="2" t="n">
        <v>0.6666666666666665</v>
      </c>
      <c r="G199" s="6" t="n">
        <v>0.2919552810476868</v>
      </c>
      <c r="H199" s="7" t="n">
        <v>100</v>
      </c>
      <c r="I199" s="7" t="n">
        <v>66.66666666666666</v>
      </c>
      <c r="J199" s="7" t="n">
        <v>11804.19210083706</v>
      </c>
      <c r="K199" s="7" t="n">
        <v>11804.19210083706</v>
      </c>
      <c r="L199" s="7" t="n">
        <v>0</v>
      </c>
      <c r="M199" s="6" t="n">
        <v>0</v>
      </c>
      <c r="N199" s="7" t="n">
        <v>117.8614045942247</v>
      </c>
      <c r="O199" s="7" t="n">
        <v>78.57426972948311</v>
      </c>
      <c r="P199" s="7" t="n">
        <v>11864.71472915195</v>
      </c>
      <c r="Q199" s="7" t="n">
        <v>11864.71472915195</v>
      </c>
      <c r="R199" s="7" t="n">
        <v>0</v>
      </c>
      <c r="S199" s="6" t="n">
        <v>0</v>
      </c>
      <c r="T199" s="7" t="n">
        <v>1514.752396250482</v>
      </c>
      <c r="U199" s="7" t="n">
        <v>1009.834930833654</v>
      </c>
      <c r="V199" s="7" t="n">
        <v>21763.04605021832</v>
      </c>
      <c r="W199" s="7" t="n">
        <v>21763.04605021832</v>
      </c>
      <c r="X199" s="7" t="n">
        <v>0</v>
      </c>
      <c r="Y199" s="6" t="n">
        <v>0</v>
      </c>
      <c r="Z199" s="7" t="n">
        <v>4288.204775688919</v>
      </c>
      <c r="AA199" s="7" t="n">
        <v>2858.803183792612</v>
      </c>
      <c r="AB199" s="7" t="n">
        <v>32234.56758374193</v>
      </c>
      <c r="AC199" s="7" t="n">
        <v>32234.56758374193</v>
      </c>
      <c r="AD199" s="7" t="n">
        <v>0</v>
      </c>
      <c r="AE199" s="6" t="n">
        <v>0</v>
      </c>
    </row>
    <row r="200">
      <c r="A200" s="2" t="n">
        <v>191</v>
      </c>
      <c r="B200" s="2" t="inlineStr">
        <is>
          <t>KPROP-00191</t>
        </is>
      </c>
      <c r="C200" s="3" t="n">
        <v>45882</v>
      </c>
      <c r="D200" s="2" t="inlineStr">
        <is>
          <t>Joe Ryan</t>
        </is>
      </c>
      <c r="E200" s="2" t="inlineStr">
        <is>
          <t>Loss</t>
        </is>
      </c>
      <c r="F200" s="2" t="n">
        <v>-1</v>
      </c>
      <c r="G200" s="6" t="n">
        <v>0.09836557839803861</v>
      </c>
      <c r="H200" s="7" t="n">
        <v>100</v>
      </c>
      <c r="I200" s="7" t="n">
        <v>-100</v>
      </c>
      <c r="J200" s="7" t="n">
        <v>11704.19210083706</v>
      </c>
      <c r="K200" s="7" t="n">
        <v>11804.19210083706</v>
      </c>
      <c r="L200" s="7" t="n">
        <v>-100</v>
      </c>
      <c r="M200" s="6" t="n">
        <v>-0.008471566638847631</v>
      </c>
      <c r="N200" s="7" t="n">
        <v>118.6471472915195</v>
      </c>
      <c r="O200" s="7" t="n">
        <v>-118.6471472915195</v>
      </c>
      <c r="P200" s="7" t="n">
        <v>11746.06758186043</v>
      </c>
      <c r="Q200" s="7" t="n">
        <v>11864.71472915195</v>
      </c>
      <c r="R200" s="7" t="n">
        <v>-118.64714729152</v>
      </c>
      <c r="S200" s="6" t="n">
        <v>-0.01000000000000004</v>
      </c>
      <c r="T200" s="7" t="n">
        <v>535.1836531082186</v>
      </c>
      <c r="U200" s="7" t="n">
        <v>-535.1836531082186</v>
      </c>
      <c r="V200" s="7" t="n">
        <v>21227.8623971101</v>
      </c>
      <c r="W200" s="7" t="n">
        <v>21763.04605021832</v>
      </c>
      <c r="X200" s="7" t="n">
        <v>-535.183653108219</v>
      </c>
      <c r="Y200" s="6" t="n">
        <v>-0.02459139459950967</v>
      </c>
      <c r="Z200" s="7" t="n">
        <v>1585.385942392721</v>
      </c>
      <c r="AA200" s="7" t="n">
        <v>-1585.385942392721</v>
      </c>
      <c r="AB200" s="7" t="n">
        <v>30649.18164134921</v>
      </c>
      <c r="AC200" s="7" t="n">
        <v>32234.56758374193</v>
      </c>
      <c r="AD200" s="7" t="n">
        <v>-1585.385942392721</v>
      </c>
      <c r="AE200" s="6" t="n">
        <v>-0.04918278919901931</v>
      </c>
    </row>
    <row r="201">
      <c r="A201" s="2" t="n">
        <v>192</v>
      </c>
      <c r="B201" s="2" t="inlineStr">
        <is>
          <t>KPROP-00192</t>
        </is>
      </c>
      <c r="C201" s="3" t="n">
        <v>45882</v>
      </c>
      <c r="D201" s="2" t="inlineStr">
        <is>
          <t>Merrill Kelly</t>
        </is>
      </c>
      <c r="E201" s="2" t="inlineStr">
        <is>
          <t>Win</t>
        </is>
      </c>
      <c r="F201" s="2" t="n">
        <v>0.9523809523809523</v>
      </c>
      <c r="G201" s="6" t="n">
        <v>0.1185760642427181</v>
      </c>
      <c r="H201" s="7" t="n">
        <v>100</v>
      </c>
      <c r="I201" s="7" t="n">
        <v>95.23809523809523</v>
      </c>
      <c r="J201" s="7" t="n">
        <v>11799.43019607516</v>
      </c>
      <c r="K201" s="7" t="n">
        <v>11804.19210083706</v>
      </c>
      <c r="L201" s="7" t="n">
        <v>-4.761904761904589</v>
      </c>
      <c r="M201" s="6" t="n">
        <v>-0.0004034079351832058</v>
      </c>
      <c r="N201" s="7" t="n">
        <v>117.4606758186043</v>
      </c>
      <c r="O201" s="7" t="n">
        <v>111.8673103034327</v>
      </c>
      <c r="P201" s="7" t="n">
        <v>11857.93489216386</v>
      </c>
      <c r="Q201" s="7" t="n">
        <v>11864.71472915195</v>
      </c>
      <c r="R201" s="7" t="n">
        <v>-6.779836988087482</v>
      </c>
      <c r="S201" s="6" t="n">
        <v>-0.0005714285714286263</v>
      </c>
      <c r="T201" s="7" t="n">
        <v>629.2790938338266</v>
      </c>
      <c r="U201" s="7" t="n">
        <v>599.3134226988824</v>
      </c>
      <c r="V201" s="7" t="n">
        <v>21827.17581980898</v>
      </c>
      <c r="W201" s="7" t="n">
        <v>21827.17581980898</v>
      </c>
      <c r="X201" s="7" t="n">
        <v>0</v>
      </c>
      <c r="Y201" s="6" t="n">
        <v>0</v>
      </c>
      <c r="Z201" s="7" t="n">
        <v>1817.12966564568</v>
      </c>
      <c r="AA201" s="7" t="n">
        <v>1730.599681567314</v>
      </c>
      <c r="AB201" s="7" t="n">
        <v>32379.78132291653</v>
      </c>
      <c r="AC201" s="7" t="n">
        <v>32379.78132291653</v>
      </c>
      <c r="AD201" s="7" t="n">
        <v>0</v>
      </c>
      <c r="AE201" s="6" t="n">
        <v>0</v>
      </c>
    </row>
    <row r="202">
      <c r="A202" s="2" t="n">
        <v>193</v>
      </c>
      <c r="B202" s="2" t="inlineStr">
        <is>
          <t>KPROP-00193</t>
        </is>
      </c>
      <c r="C202" s="3" t="n">
        <v>45882</v>
      </c>
      <c r="D202" s="2" t="inlineStr">
        <is>
          <t>Seth Lugo</t>
        </is>
      </c>
      <c r="E202" s="2" t="inlineStr">
        <is>
          <t>Win</t>
        </is>
      </c>
      <c r="F202" s="2" t="n">
        <v>1.2</v>
      </c>
      <c r="G202" s="6" t="n">
        <v>0.1940869903948532</v>
      </c>
      <c r="H202" s="7" t="n">
        <v>100</v>
      </c>
      <c r="I202" s="7" t="n">
        <v>120</v>
      </c>
      <c r="J202" s="7" t="n">
        <v>11919.43019607516</v>
      </c>
      <c r="K202" s="7" t="n">
        <v>11919.43019607516</v>
      </c>
      <c r="L202" s="7" t="n">
        <v>0</v>
      </c>
      <c r="M202" s="6" t="n">
        <v>0</v>
      </c>
      <c r="N202" s="7" t="n">
        <v>118.5793489216387</v>
      </c>
      <c r="O202" s="7" t="n">
        <v>142.2952187059664</v>
      </c>
      <c r="P202" s="7" t="n">
        <v>12000.23011086983</v>
      </c>
      <c r="Q202" s="7" t="n">
        <v>12000.23011086983</v>
      </c>
      <c r="R202" s="7" t="n">
        <v>0</v>
      </c>
      <c r="S202" s="6" t="n">
        <v>0</v>
      </c>
      <c r="T202" s="7" t="n">
        <v>1059.09271592151</v>
      </c>
      <c r="U202" s="7" t="n">
        <v>1270.911259105812</v>
      </c>
      <c r="V202" s="7" t="n">
        <v>23098.08707891479</v>
      </c>
      <c r="W202" s="7" t="n">
        <v>23098.08707891479</v>
      </c>
      <c r="X202" s="7" t="n">
        <v>0</v>
      </c>
      <c r="Y202" s="6" t="n">
        <v>0</v>
      </c>
      <c r="Z202" s="7" t="n">
        <v>3142.247153304174</v>
      </c>
      <c r="AA202" s="7" t="n">
        <v>3770.696583965009</v>
      </c>
      <c r="AB202" s="7" t="n">
        <v>36150.47790688153</v>
      </c>
      <c r="AC202" s="7" t="n">
        <v>36150.47790688153</v>
      </c>
      <c r="AD202" s="7" t="n">
        <v>0</v>
      </c>
      <c r="AE202" s="6" t="n">
        <v>0</v>
      </c>
    </row>
    <row r="203">
      <c r="A203" s="2" t="n">
        <v>194</v>
      </c>
      <c r="B203" s="2" t="inlineStr">
        <is>
          <t>KPROP-00194</t>
        </is>
      </c>
      <c r="C203" s="3" t="n">
        <v>45882</v>
      </c>
      <c r="D203" s="2" t="inlineStr">
        <is>
          <t>Zac Gallen</t>
        </is>
      </c>
      <c r="E203" s="2" t="inlineStr">
        <is>
          <t>Win</t>
        </is>
      </c>
      <c r="F203" s="2" t="n">
        <v>0.6896551724137931</v>
      </c>
      <c r="G203" s="6" t="n">
        <v>0.1026552133097982</v>
      </c>
      <c r="H203" s="7" t="n">
        <v>100</v>
      </c>
      <c r="I203" s="7" t="n">
        <v>68.96551724137932</v>
      </c>
      <c r="J203" s="7" t="n">
        <v>11988.39571331654</v>
      </c>
      <c r="K203" s="7" t="n">
        <v>11988.39571331654</v>
      </c>
      <c r="L203" s="7" t="n">
        <v>0</v>
      </c>
      <c r="M203" s="6" t="n">
        <v>0</v>
      </c>
      <c r="N203" s="7" t="n">
        <v>120.0023011086983</v>
      </c>
      <c r="O203" s="7" t="n">
        <v>82.76020766117126</v>
      </c>
      <c r="P203" s="7" t="n">
        <v>12082.990318531</v>
      </c>
      <c r="Q203" s="7" t="n">
        <v>12082.990318531</v>
      </c>
      <c r="R203" s="7" t="n">
        <v>0</v>
      </c>
      <c r="S203" s="6" t="n">
        <v>0</v>
      </c>
      <c r="T203" s="7" t="n">
        <v>592.7847640335729</v>
      </c>
      <c r="U203" s="7" t="n">
        <v>408.8170786438434</v>
      </c>
      <c r="V203" s="7" t="n">
        <v>23506.90415755863</v>
      </c>
      <c r="W203" s="7" t="n">
        <v>23506.90415755863</v>
      </c>
      <c r="X203" s="7" t="n">
        <v>0</v>
      </c>
      <c r="Y203" s="6" t="n">
        <v>0</v>
      </c>
      <c r="Z203" s="7" t="n">
        <v>1855.517510391035</v>
      </c>
      <c r="AA203" s="7" t="n">
        <v>1279.667248545542</v>
      </c>
      <c r="AB203" s="7" t="n">
        <v>37430.14515542708</v>
      </c>
      <c r="AC203" s="7" t="n">
        <v>37430.14515542708</v>
      </c>
      <c r="AD203" s="7" t="n">
        <v>0</v>
      </c>
      <c r="AE203" s="6" t="n">
        <v>0</v>
      </c>
    </row>
    <row r="204">
      <c r="A204" s="2" t="n">
        <v>195</v>
      </c>
      <c r="B204" s="2" t="inlineStr">
        <is>
          <t>KPROP-00195</t>
        </is>
      </c>
      <c r="C204" s="3" t="n">
        <v>45883</v>
      </c>
      <c r="D204" s="2" t="inlineStr">
        <is>
          <t>Bailey Ober</t>
        </is>
      </c>
      <c r="E204" s="2" t="inlineStr">
        <is>
          <t>Win</t>
        </is>
      </c>
      <c r="F204" s="2" t="n">
        <v>1.3</v>
      </c>
      <c r="G204" s="6" t="n">
        <v>0.1003902785360407</v>
      </c>
      <c r="H204" s="7" t="n">
        <v>100</v>
      </c>
      <c r="I204" s="7" t="n">
        <v>130</v>
      </c>
      <c r="J204" s="7" t="n">
        <v>12118.39571331654</v>
      </c>
      <c r="K204" s="7" t="n">
        <v>12118.39571331654</v>
      </c>
      <c r="L204" s="7" t="n">
        <v>0</v>
      </c>
      <c r="M204" s="6" t="n">
        <v>0</v>
      </c>
      <c r="N204" s="7" t="n">
        <v>120.82990318531</v>
      </c>
      <c r="O204" s="7" t="n">
        <v>157.078874140903</v>
      </c>
      <c r="P204" s="7" t="n">
        <v>12240.06919267191</v>
      </c>
      <c r="Q204" s="7" t="n">
        <v>12240.06919267191</v>
      </c>
      <c r="R204" s="7" t="n">
        <v>0</v>
      </c>
      <c r="S204" s="6" t="n">
        <v>0</v>
      </c>
      <c r="T204" s="7" t="n">
        <v>589.966163974331</v>
      </c>
      <c r="U204" s="7" t="n">
        <v>766.9560131666302</v>
      </c>
      <c r="V204" s="7" t="n">
        <v>24273.86017072526</v>
      </c>
      <c r="W204" s="7" t="n">
        <v>24273.86017072526</v>
      </c>
      <c r="X204" s="7" t="n">
        <v>0</v>
      </c>
      <c r="Y204" s="6" t="n">
        <v>0</v>
      </c>
      <c r="Z204" s="7" t="n">
        <v>1878.811348898879</v>
      </c>
      <c r="AA204" s="7" t="n">
        <v>2442.454753568542</v>
      </c>
      <c r="AB204" s="7" t="n">
        <v>39872.59990899562</v>
      </c>
      <c r="AC204" s="7" t="n">
        <v>39872.59990899562</v>
      </c>
      <c r="AD204" s="7" t="n">
        <v>0</v>
      </c>
      <c r="AE204" s="6" t="n">
        <v>0</v>
      </c>
    </row>
    <row r="205">
      <c r="A205" s="2" t="n">
        <v>196</v>
      </c>
      <c r="B205" s="2" t="inlineStr">
        <is>
          <t>KPROP-00196</t>
        </is>
      </c>
      <c r="C205" s="3" t="n">
        <v>45883</v>
      </c>
      <c r="D205" s="2" t="inlineStr">
        <is>
          <t>Bailey Ober</t>
        </is>
      </c>
      <c r="E205" s="2" t="inlineStr">
        <is>
          <t>Win</t>
        </is>
      </c>
      <c r="F205" s="2" t="n">
        <v>0.625</v>
      </c>
      <c r="G205" s="6" t="n">
        <v>0.1303897599457534</v>
      </c>
      <c r="H205" s="7" t="n">
        <v>100</v>
      </c>
      <c r="I205" s="7" t="n">
        <v>62.5</v>
      </c>
      <c r="J205" s="7" t="n">
        <v>12180.89571331654</v>
      </c>
      <c r="K205" s="7" t="n">
        <v>12180.89571331654</v>
      </c>
      <c r="L205" s="7" t="n">
        <v>0</v>
      </c>
      <c r="M205" s="6" t="n">
        <v>0</v>
      </c>
      <c r="N205" s="7" t="n">
        <v>122.4006919267191</v>
      </c>
      <c r="O205" s="7" t="n">
        <v>76.50043245419941</v>
      </c>
      <c r="P205" s="7" t="n">
        <v>12316.56962512611</v>
      </c>
      <c r="Q205" s="7" t="n">
        <v>12316.56962512611</v>
      </c>
      <c r="R205" s="7" t="n">
        <v>0</v>
      </c>
      <c r="S205" s="6" t="n">
        <v>0</v>
      </c>
      <c r="T205" s="7" t="n">
        <v>791.2657001544127</v>
      </c>
      <c r="U205" s="7" t="n">
        <v>494.5410625965079</v>
      </c>
      <c r="V205" s="7" t="n">
        <v>24768.40123332177</v>
      </c>
      <c r="W205" s="7" t="n">
        <v>24768.40123332177</v>
      </c>
      <c r="X205" s="7" t="n">
        <v>0</v>
      </c>
      <c r="Y205" s="6" t="n">
        <v>0</v>
      </c>
      <c r="Z205" s="7" t="n">
        <v>2599.489365273503</v>
      </c>
      <c r="AA205" s="7" t="n">
        <v>1624.680853295939</v>
      </c>
      <c r="AB205" s="7" t="n">
        <v>41497.28076229156</v>
      </c>
      <c r="AC205" s="7" t="n">
        <v>41497.28076229156</v>
      </c>
      <c r="AD205" s="7" t="n">
        <v>0</v>
      </c>
      <c r="AE205" s="6" t="n">
        <v>0</v>
      </c>
    </row>
    <row r="206">
      <c r="A206" s="2" t="n">
        <v>197</v>
      </c>
      <c r="B206" s="2" t="inlineStr">
        <is>
          <t>KPROP-00197</t>
        </is>
      </c>
      <c r="C206" s="3" t="n">
        <v>45883</v>
      </c>
      <c r="D206" s="2" t="inlineStr">
        <is>
          <t>Kodai Senga</t>
        </is>
      </c>
      <c r="E206" s="2" t="inlineStr">
        <is>
          <t>Loss</t>
        </is>
      </c>
      <c r="F206" s="2" t="n">
        <v>-1</v>
      </c>
      <c r="G206" s="6" t="n">
        <v>0.1954901445866329</v>
      </c>
      <c r="H206" s="7" t="n">
        <v>100</v>
      </c>
      <c r="I206" s="7" t="n">
        <v>-100</v>
      </c>
      <c r="J206" s="7" t="n">
        <v>12080.89571331654</v>
      </c>
      <c r="K206" s="7" t="n">
        <v>12180.89571331654</v>
      </c>
      <c r="L206" s="7" t="n">
        <v>-100</v>
      </c>
      <c r="M206" s="6" t="n">
        <v>-0.008209576894306455</v>
      </c>
      <c r="N206" s="7" t="n">
        <v>123.1656962512611</v>
      </c>
      <c r="O206" s="7" t="n">
        <v>-123.1656962512611</v>
      </c>
      <c r="P206" s="7" t="n">
        <v>12193.40392887484</v>
      </c>
      <c r="Q206" s="7" t="n">
        <v>12316.56962512611</v>
      </c>
      <c r="R206" s="7" t="n">
        <v>-123.1656962512607</v>
      </c>
      <c r="S206" s="6" t="n">
        <v>-0.009999999999999969</v>
      </c>
      <c r="T206" s="7" t="n">
        <v>1210.494584570453</v>
      </c>
      <c r="U206" s="7" t="n">
        <v>-1210.494584570453</v>
      </c>
      <c r="V206" s="7" t="n">
        <v>23557.90664875132</v>
      </c>
      <c r="W206" s="7" t="n">
        <v>24768.40123332177</v>
      </c>
      <c r="X206" s="7" t="n">
        <v>-1210.494584570453</v>
      </c>
      <c r="Y206" s="6" t="n">
        <v>-0.04887253614665826</v>
      </c>
      <c r="Z206" s="7" t="n">
        <v>4056.154708086239</v>
      </c>
      <c r="AA206" s="7" t="n">
        <v>-4056.154708086239</v>
      </c>
      <c r="AB206" s="7" t="n">
        <v>37441.12605420532</v>
      </c>
      <c r="AC206" s="7" t="n">
        <v>41497.28076229156</v>
      </c>
      <c r="AD206" s="7" t="n">
        <v>-4056.154708086236</v>
      </c>
      <c r="AE206" s="6" t="n">
        <v>-0.09774507229331642</v>
      </c>
    </row>
    <row r="207">
      <c r="A207" s="2" t="n">
        <v>198</v>
      </c>
      <c r="B207" s="2" t="inlineStr">
        <is>
          <t>KPROP-00198</t>
        </is>
      </c>
      <c r="C207" s="3" t="n">
        <v>45883</v>
      </c>
      <c r="D207" s="2" t="inlineStr">
        <is>
          <t>Kodai Senga</t>
        </is>
      </c>
      <c r="E207" s="2" t="inlineStr">
        <is>
          <t>Loss</t>
        </is>
      </c>
      <c r="F207" s="2" t="n">
        <v>-1</v>
      </c>
      <c r="G207" s="6" t="n">
        <v>0.3080652501719839</v>
      </c>
      <c r="H207" s="7" t="n">
        <v>100</v>
      </c>
      <c r="I207" s="7" t="n">
        <v>-100</v>
      </c>
      <c r="J207" s="7" t="n">
        <v>11980.89571331654</v>
      </c>
      <c r="K207" s="7" t="n">
        <v>12180.89571331654</v>
      </c>
      <c r="L207" s="7" t="n">
        <v>-200</v>
      </c>
      <c r="M207" s="6" t="n">
        <v>-0.01641915378861291</v>
      </c>
      <c r="N207" s="7" t="n">
        <v>121.9340392887485</v>
      </c>
      <c r="O207" s="7" t="n">
        <v>-121.9340392887485</v>
      </c>
      <c r="P207" s="7" t="n">
        <v>12071.4698895861</v>
      </c>
      <c r="Q207" s="7" t="n">
        <v>12316.56962512611</v>
      </c>
      <c r="R207" s="7" t="n">
        <v>-245.0997355400086</v>
      </c>
      <c r="S207" s="6" t="n">
        <v>-0.01989999999999993</v>
      </c>
      <c r="T207" s="7" t="n">
        <v>1814.343101318954</v>
      </c>
      <c r="U207" s="7" t="n">
        <v>-1814.343101318954</v>
      </c>
      <c r="V207" s="7" t="n">
        <v>21743.56354743236</v>
      </c>
      <c r="W207" s="7" t="n">
        <v>24768.40123332177</v>
      </c>
      <c r="X207" s="7" t="n">
        <v>-3024.837685889408</v>
      </c>
      <c r="Y207" s="6" t="n">
        <v>-0.1221248661710143</v>
      </c>
      <c r="Z207" s="7" t="n">
        <v>5767.154932304773</v>
      </c>
      <c r="AA207" s="7" t="n">
        <v>-5767.154932304773</v>
      </c>
      <c r="AB207" s="7" t="n">
        <v>31673.97112190055</v>
      </c>
      <c r="AC207" s="7" t="n">
        <v>41497.28076229156</v>
      </c>
      <c r="AD207" s="7" t="n">
        <v>-9823.309640391009</v>
      </c>
      <c r="AE207" s="6" t="n">
        <v>-0.2367217673047488</v>
      </c>
    </row>
    <row r="208">
      <c r="A208" s="2" t="n">
        <v>199</v>
      </c>
      <c r="B208" s="2" t="inlineStr">
        <is>
          <t>KPROP-00199</t>
        </is>
      </c>
      <c r="C208" s="3" t="n">
        <v>45883</v>
      </c>
      <c r="D208" s="2" t="inlineStr">
        <is>
          <t>Max Scherzer</t>
        </is>
      </c>
      <c r="E208" s="2" t="inlineStr">
        <is>
          <t>Win</t>
        </is>
      </c>
      <c r="F208" s="2" t="n">
        <v>0.9090909090909092</v>
      </c>
      <c r="G208" s="6" t="n">
        <v>0.2214116485789514</v>
      </c>
      <c r="H208" s="7" t="n">
        <v>100</v>
      </c>
      <c r="I208" s="7" t="n">
        <v>90.90909090909092</v>
      </c>
      <c r="J208" s="7" t="n">
        <v>12071.80480422563</v>
      </c>
      <c r="K208" s="7" t="n">
        <v>12180.89571331654</v>
      </c>
      <c r="L208" s="7" t="n">
        <v>-109.0909090909099</v>
      </c>
      <c r="M208" s="6" t="n">
        <v>-0.0089559020665162</v>
      </c>
      <c r="N208" s="7" t="n">
        <v>120.714698895861</v>
      </c>
      <c r="O208" s="7" t="n">
        <v>109.7406353598736</v>
      </c>
      <c r="P208" s="7" t="n">
        <v>12181.21052494597</v>
      </c>
      <c r="Q208" s="7" t="n">
        <v>12316.56962512611</v>
      </c>
      <c r="R208" s="7" t="n">
        <v>-135.3591001801342</v>
      </c>
      <c r="S208" s="6" t="n">
        <v>-0.01098999999999986</v>
      </c>
      <c r="T208" s="7" t="n">
        <v>1203.569562754548</v>
      </c>
      <c r="U208" s="7" t="n">
        <v>1094.15414795868</v>
      </c>
      <c r="V208" s="7" t="n">
        <v>22837.71769539105</v>
      </c>
      <c r="W208" s="7" t="n">
        <v>24768.40123332177</v>
      </c>
      <c r="X208" s="7" t="n">
        <v>-1930.683537930727</v>
      </c>
      <c r="Y208" s="6" t="n">
        <v>-0.07794946148293627</v>
      </c>
      <c r="Z208" s="7" t="n">
        <v>3506.493081571049</v>
      </c>
      <c r="AA208" s="7" t="n">
        <v>3187.720983246409</v>
      </c>
      <c r="AB208" s="7" t="n">
        <v>34861.69210514695</v>
      </c>
      <c r="AC208" s="7" t="n">
        <v>41497.28076229156</v>
      </c>
      <c r="AD208" s="7" t="n">
        <v>-6635.588657144603</v>
      </c>
      <c r="AE208" s="6" t="n">
        <v>-0.159904180111347</v>
      </c>
    </row>
    <row r="209">
      <c r="A209" s="2" t="n">
        <v>200</v>
      </c>
      <c r="B209" s="2" t="inlineStr">
        <is>
          <t>KPROP-00200</t>
        </is>
      </c>
      <c r="C209" s="3" t="n">
        <v>45883</v>
      </c>
      <c r="D209" s="2" t="inlineStr">
        <is>
          <t>Tanner Bibee</t>
        </is>
      </c>
      <c r="E209" s="2" t="inlineStr">
        <is>
          <t>Win</t>
        </is>
      </c>
      <c r="F209" s="2" t="n">
        <v>0.7407407407407407</v>
      </c>
      <c r="G209" s="6" t="n">
        <v>0.1365741653819863</v>
      </c>
      <c r="H209" s="7" t="n">
        <v>100</v>
      </c>
      <c r="I209" s="7" t="n">
        <v>74.07407407407408</v>
      </c>
      <c r="J209" s="7" t="n">
        <v>12145.8788782997</v>
      </c>
      <c r="K209" s="7" t="n">
        <v>12180.89571331654</v>
      </c>
      <c r="L209" s="7" t="n">
        <v>-35.0168350168351</v>
      </c>
      <c r="M209" s="6" t="n">
        <v>-0.002874733996659507</v>
      </c>
      <c r="N209" s="7" t="n">
        <v>121.8121052494597</v>
      </c>
      <c r="O209" s="7" t="n">
        <v>90.23118907367385</v>
      </c>
      <c r="P209" s="7" t="n">
        <v>12271.44171401965</v>
      </c>
      <c r="Q209" s="7" t="n">
        <v>12316.56962512611</v>
      </c>
      <c r="R209" s="7" t="n">
        <v>-45.12791110645958</v>
      </c>
      <c r="S209" s="6" t="n">
        <v>-0.003663999999999799</v>
      </c>
      <c r="T209" s="7" t="n">
        <v>779.7605583693628</v>
      </c>
      <c r="U209" s="7" t="n">
        <v>577.6004136069354</v>
      </c>
      <c r="V209" s="7" t="n">
        <v>23415.31810899798</v>
      </c>
      <c r="W209" s="7" t="n">
        <v>24768.40123332177</v>
      </c>
      <c r="X209" s="7" t="n">
        <v>-1353.083124323792</v>
      </c>
      <c r="Y209" s="6" t="n">
        <v>-0.05462940912405129</v>
      </c>
      <c r="Z209" s="7" t="n">
        <v>2380.603251532113</v>
      </c>
      <c r="AA209" s="7" t="n">
        <v>1763.409815949713</v>
      </c>
      <c r="AB209" s="7" t="n">
        <v>36625.10192109667</v>
      </c>
      <c r="AC209" s="7" t="n">
        <v>41497.28076229156</v>
      </c>
      <c r="AD209" s="7" t="n">
        <v>-4872.178841194887</v>
      </c>
      <c r="AE209" s="6" t="n">
        <v>-0.1174095929105364</v>
      </c>
    </row>
    <row r="210">
      <c r="A210" s="2" t="n">
        <v>201</v>
      </c>
      <c r="B210" s="2" t="inlineStr">
        <is>
          <t>KPROP-00201</t>
        </is>
      </c>
      <c r="C210" s="3" t="n">
        <v>45884</v>
      </c>
      <c r="D210" s="2" t="inlineStr">
        <is>
          <t>Chris Bassitt</t>
        </is>
      </c>
      <c r="E210" s="2" t="inlineStr">
        <is>
          <t>Win</t>
        </is>
      </c>
      <c r="F210" s="2" t="n">
        <v>1.22</v>
      </c>
      <c r="G210" s="6" t="n">
        <v>0.06352625244293496</v>
      </c>
      <c r="H210" s="7" t="n">
        <v>100</v>
      </c>
      <c r="I210" s="7" t="n">
        <v>122</v>
      </c>
      <c r="J210" s="7" t="n">
        <v>12267.8788782997</v>
      </c>
      <c r="K210" s="7" t="n">
        <v>12267.8788782997</v>
      </c>
      <c r="L210" s="7" t="n">
        <v>0</v>
      </c>
      <c r="M210" s="6" t="n">
        <v>0</v>
      </c>
      <c r="N210" s="7" t="n">
        <v>122.7144171401965</v>
      </c>
      <c r="O210" s="7" t="n">
        <v>149.7115889110397</v>
      </c>
      <c r="P210" s="7" t="n">
        <v>12421.15330293068</v>
      </c>
      <c r="Q210" s="7" t="n">
        <v>12421.15330293068</v>
      </c>
      <c r="R210" s="7" t="n">
        <v>0</v>
      </c>
      <c r="S210" s="6" t="n">
        <v>0</v>
      </c>
      <c r="T210" s="7" t="n">
        <v>371.871852305958</v>
      </c>
      <c r="U210" s="7" t="n">
        <v>453.6836598132687</v>
      </c>
      <c r="V210" s="7" t="n">
        <v>23869.00176881125</v>
      </c>
      <c r="W210" s="7" t="n">
        <v>24768.40123332177</v>
      </c>
      <c r="X210" s="7" t="n">
        <v>-899.3994645105231</v>
      </c>
      <c r="Y210" s="6" t="n">
        <v>-0.03631237462757711</v>
      </c>
      <c r="Z210" s="7" t="n">
        <v>1163.327735193905</v>
      </c>
      <c r="AA210" s="7" t="n">
        <v>1419.259836936563</v>
      </c>
      <c r="AB210" s="7" t="n">
        <v>38044.36175803324</v>
      </c>
      <c r="AC210" s="7" t="n">
        <v>41497.28076229156</v>
      </c>
      <c r="AD210" s="7" t="n">
        <v>-3452.919004258321</v>
      </c>
      <c r="AE210" s="6" t="n">
        <v>-0.08320831969780482</v>
      </c>
    </row>
    <row r="211">
      <c r="A211" s="2" t="n">
        <v>202</v>
      </c>
      <c r="B211" s="2" t="inlineStr">
        <is>
          <t>KPROP-00202</t>
        </is>
      </c>
      <c r="C211" s="3" t="n">
        <v>45884</v>
      </c>
      <c r="D211" s="2" t="inlineStr">
        <is>
          <t>Colin Rea</t>
        </is>
      </c>
      <c r="E211" s="2" t="inlineStr">
        <is>
          <t>Loss</t>
        </is>
      </c>
      <c r="F211" s="2" t="n">
        <v>-1</v>
      </c>
      <c r="G211" s="6" t="n">
        <v>0.09572514117483065</v>
      </c>
      <c r="H211" s="7" t="n">
        <v>100</v>
      </c>
      <c r="I211" s="7" t="n">
        <v>-100</v>
      </c>
      <c r="J211" s="7" t="n">
        <v>12167.8788782997</v>
      </c>
      <c r="K211" s="7" t="n">
        <v>12267.8788782997</v>
      </c>
      <c r="L211" s="7" t="n">
        <v>-100</v>
      </c>
      <c r="M211" s="6" t="n">
        <v>-0.008151368381773568</v>
      </c>
      <c r="N211" s="7" t="n">
        <v>124.2115330293068</v>
      </c>
      <c r="O211" s="7" t="n">
        <v>-124.2115330293068</v>
      </c>
      <c r="P211" s="7" t="n">
        <v>12296.94176990138</v>
      </c>
      <c r="Q211" s="7" t="n">
        <v>12421.15330293068</v>
      </c>
      <c r="R211" s="7" t="n">
        <v>-124.2115330293072</v>
      </c>
      <c r="S211" s="6" t="n">
        <v>-0.01000000000000003</v>
      </c>
      <c r="T211" s="7" t="n">
        <v>571.2158910054349</v>
      </c>
      <c r="U211" s="7" t="n">
        <v>-571.2158910054349</v>
      </c>
      <c r="V211" s="7" t="n">
        <v>23297.78587780581</v>
      </c>
      <c r="W211" s="7" t="n">
        <v>24768.40123332177</v>
      </c>
      <c r="X211" s="7" t="n">
        <v>-1470.615355515958</v>
      </c>
      <c r="Y211" s="6" t="n">
        <v>-0.05937465812438024</v>
      </c>
      <c r="Z211" s="7" t="n">
        <v>1820.90095009703</v>
      </c>
      <c r="AA211" s="7" t="n">
        <v>-1820.90095009703</v>
      </c>
      <c r="AB211" s="7" t="n">
        <v>36223.46080793621</v>
      </c>
      <c r="AC211" s="7" t="n">
        <v>41497.28076229156</v>
      </c>
      <c r="AD211" s="7" t="n">
        <v>-5273.819954355349</v>
      </c>
      <c r="AE211" s="6" t="n">
        <v>-0.1270883262102237</v>
      </c>
    </row>
    <row r="212">
      <c r="A212" s="2" t="n">
        <v>203</v>
      </c>
      <c r="B212" s="2" t="inlineStr">
        <is>
          <t>KPROP-00203</t>
        </is>
      </c>
      <c r="C212" s="3" t="n">
        <v>45884</v>
      </c>
      <c r="D212" s="2" t="inlineStr">
        <is>
          <t>Lucas Giolito</t>
        </is>
      </c>
      <c r="E212" s="2" t="inlineStr">
        <is>
          <t>Loss</t>
        </is>
      </c>
      <c r="F212" s="2" t="n">
        <v>-1</v>
      </c>
      <c r="G212" s="6" t="n">
        <v>0.1312708614178129</v>
      </c>
      <c r="H212" s="7" t="n">
        <v>100</v>
      </c>
      <c r="I212" s="7" t="n">
        <v>-100</v>
      </c>
      <c r="J212" s="7" t="n">
        <v>12067.8788782997</v>
      </c>
      <c r="K212" s="7" t="n">
        <v>12267.8788782997</v>
      </c>
      <c r="L212" s="7" t="n">
        <v>-200</v>
      </c>
      <c r="M212" s="6" t="n">
        <v>-0.01630273676354714</v>
      </c>
      <c r="N212" s="7" t="n">
        <v>122.9694176990138</v>
      </c>
      <c r="O212" s="7" t="n">
        <v>-122.9694176990138</v>
      </c>
      <c r="P212" s="7" t="n">
        <v>12173.97235220236</v>
      </c>
      <c r="Q212" s="7" t="n">
        <v>12421.15330293068</v>
      </c>
      <c r="R212" s="7" t="n">
        <v>-247.1809507283215</v>
      </c>
      <c r="S212" s="6" t="n">
        <v>-0.01990000000000007</v>
      </c>
      <c r="T212" s="7" t="n">
        <v>764.5801053268316</v>
      </c>
      <c r="U212" s="7" t="n">
        <v>-764.5801053268316</v>
      </c>
      <c r="V212" s="7" t="n">
        <v>22533.20577247898</v>
      </c>
      <c r="W212" s="7" t="n">
        <v>24768.40123332177</v>
      </c>
      <c r="X212" s="7" t="n">
        <v>-2235.195460842791</v>
      </c>
      <c r="Y212" s="6" t="n">
        <v>-0.09024383284923966</v>
      </c>
      <c r="Z212" s="7" t="n">
        <v>2377.542451896086</v>
      </c>
      <c r="AA212" s="7" t="n">
        <v>-2377.542451896086</v>
      </c>
      <c r="AB212" s="7" t="n">
        <v>33845.91835604012</v>
      </c>
      <c r="AC212" s="7" t="n">
        <v>41497.28076229156</v>
      </c>
      <c r="AD212" s="7" t="n">
        <v>-7651.362406251435</v>
      </c>
      <c r="AE212" s="6" t="n">
        <v>-0.1843822598902481</v>
      </c>
    </row>
    <row r="213">
      <c r="A213" s="2" t="n">
        <v>204</v>
      </c>
      <c r="B213" s="2" t="inlineStr">
        <is>
          <t>KPROP-00204</t>
        </is>
      </c>
      <c r="C213" s="3" t="n">
        <v>45884</v>
      </c>
      <c r="D213" s="2" t="inlineStr">
        <is>
          <t>Lucas Giolito</t>
        </is>
      </c>
      <c r="E213" s="2" t="inlineStr">
        <is>
          <t>Win</t>
        </is>
      </c>
      <c r="F213" s="2" t="n">
        <v>0.5714285714285714</v>
      </c>
      <c r="G213" s="6" t="n">
        <v>0.1462844444305602</v>
      </c>
      <c r="H213" s="7" t="n">
        <v>100</v>
      </c>
      <c r="I213" s="7" t="n">
        <v>57.14285714285714</v>
      </c>
      <c r="J213" s="7" t="n">
        <v>12125.02173544256</v>
      </c>
      <c r="K213" s="7" t="n">
        <v>12267.8788782997</v>
      </c>
      <c r="L213" s="7" t="n">
        <v>-142.8571428571431</v>
      </c>
      <c r="M213" s="6" t="n">
        <v>-0.01164481197396226</v>
      </c>
      <c r="N213" s="7" t="n">
        <v>121.7397235220236</v>
      </c>
      <c r="O213" s="7" t="n">
        <v>69.56555629829921</v>
      </c>
      <c r="P213" s="7" t="n">
        <v>12243.53790850066</v>
      </c>
      <c r="Q213" s="7" t="n">
        <v>12421.15330293068</v>
      </c>
      <c r="R213" s="7" t="n">
        <v>-177.6153944300222</v>
      </c>
      <c r="S213" s="6" t="n">
        <v>-0.01429942857142864</v>
      </c>
      <c r="T213" s="7" t="n">
        <v>824.0643719166449</v>
      </c>
      <c r="U213" s="7" t="n">
        <v>470.8939268095113</v>
      </c>
      <c r="V213" s="7" t="n">
        <v>23004.09969928849</v>
      </c>
      <c r="W213" s="7" t="n">
        <v>24768.40123332177</v>
      </c>
      <c r="X213" s="7" t="n">
        <v>-1764.301534033279</v>
      </c>
      <c r="Y213" s="6" t="n">
        <v>-0.07123195063796463</v>
      </c>
      <c r="Z213" s="7" t="n">
        <v>2475.565681477714</v>
      </c>
      <c r="AA213" s="7" t="n">
        <v>1414.608960844408</v>
      </c>
      <c r="AB213" s="7" t="n">
        <v>35260.52731688453</v>
      </c>
      <c r="AC213" s="7" t="n">
        <v>41497.28076229156</v>
      </c>
      <c r="AD213" s="7" t="n">
        <v>-6236.753445407026</v>
      </c>
      <c r="AE213" s="6" t="n">
        <v>-0.1502930633246298</v>
      </c>
    </row>
    <row r="214">
      <c r="A214" s="2" t="n">
        <v>205</v>
      </c>
      <c r="B214" s="2" t="inlineStr">
        <is>
          <t>KPROP-00205</t>
        </is>
      </c>
      <c r="C214" s="3" t="n">
        <v>45884</v>
      </c>
      <c r="D214" s="2" t="inlineStr">
        <is>
          <t>MacKenzie Gore</t>
        </is>
      </c>
      <c r="E214" s="2" t="inlineStr">
        <is>
          <t>Loss</t>
        </is>
      </c>
      <c r="F214" s="2" t="n">
        <v>-1</v>
      </c>
      <c r="G214" s="6" t="n">
        <v>0.2487937559224699</v>
      </c>
      <c r="H214" s="7" t="n">
        <v>100</v>
      </c>
      <c r="I214" s="7" t="n">
        <v>-100</v>
      </c>
      <c r="J214" s="7" t="n">
        <v>12025.02173544256</v>
      </c>
      <c r="K214" s="7" t="n">
        <v>12267.8788782997</v>
      </c>
      <c r="L214" s="7" t="n">
        <v>-242.8571428571431</v>
      </c>
      <c r="M214" s="6" t="n">
        <v>-0.01979618035573583</v>
      </c>
      <c r="N214" s="7" t="n">
        <v>122.4353790850066</v>
      </c>
      <c r="O214" s="7" t="n">
        <v>-122.4353790850066</v>
      </c>
      <c r="P214" s="7" t="n">
        <v>12121.10252941566</v>
      </c>
      <c r="Q214" s="7" t="n">
        <v>12421.15330293068</v>
      </c>
      <c r="R214" s="7" t="n">
        <v>-300.0507735150295</v>
      </c>
      <c r="S214" s="6" t="n">
        <v>-0.0241564342857144</v>
      </c>
      <c r="T214" s="7" t="n">
        <v>1430.819091450236</v>
      </c>
      <c r="U214" s="7" t="n">
        <v>-1430.819091450236</v>
      </c>
      <c r="V214" s="7" t="n">
        <v>21573.28060783826</v>
      </c>
      <c r="W214" s="7" t="n">
        <v>24768.40123332177</v>
      </c>
      <c r="X214" s="7" t="n">
        <v>-3195.120625483516</v>
      </c>
      <c r="Y214" s="6" t="n">
        <v>-0.1289998734833563</v>
      </c>
      <c r="Z214" s="7" t="n">
        <v>4386.299513487276</v>
      </c>
      <c r="AA214" s="7" t="n">
        <v>-4386.299513487276</v>
      </c>
      <c r="AB214" s="7" t="n">
        <v>30874.22780339725</v>
      </c>
      <c r="AC214" s="7" t="n">
        <v>41497.28076229156</v>
      </c>
      <c r="AD214" s="7" t="n">
        <v>-10623.0529588943</v>
      </c>
      <c r="AE214" s="6" t="n">
        <v>-0.2559939534290506</v>
      </c>
    </row>
    <row r="215">
      <c r="A215" s="2" t="n">
        <v>206</v>
      </c>
      <c r="B215" s="2" t="inlineStr">
        <is>
          <t>KPROP-00206</t>
        </is>
      </c>
      <c r="C215" s="3" t="n">
        <v>45885</v>
      </c>
      <c r="D215" s="2" t="inlineStr">
        <is>
          <t>Shota Imanaga</t>
        </is>
      </c>
      <c r="E215" s="2" t="inlineStr">
        <is>
          <t>Loss</t>
        </is>
      </c>
      <c r="F215" s="2" t="n">
        <v>-1</v>
      </c>
      <c r="G215" s="6" t="n">
        <v>0.2993029302618425</v>
      </c>
      <c r="H215" s="7" t="n">
        <v>100</v>
      </c>
      <c r="I215" s="7" t="n">
        <v>-100</v>
      </c>
      <c r="J215" s="7" t="n">
        <v>11925.02173544256</v>
      </c>
      <c r="K215" s="7" t="n">
        <v>12267.8788782997</v>
      </c>
      <c r="L215" s="7" t="n">
        <v>-342.8571428571431</v>
      </c>
      <c r="M215" s="6" t="n">
        <v>-0.0279475487375094</v>
      </c>
      <c r="N215" s="7" t="n">
        <v>121.2110252941566</v>
      </c>
      <c r="O215" s="7" t="n">
        <v>-121.2110252941566</v>
      </c>
      <c r="P215" s="7" t="n">
        <v>11999.8915041215</v>
      </c>
      <c r="Q215" s="7" t="n">
        <v>12421.15330293068</v>
      </c>
      <c r="R215" s="7" t="n">
        <v>-421.2617988091861</v>
      </c>
      <c r="S215" s="6" t="n">
        <v>-0.03391486994285726</v>
      </c>
      <c r="T215" s="7" t="n">
        <v>1614.236525321743</v>
      </c>
      <c r="U215" s="7" t="n">
        <v>-1614.236525321743</v>
      </c>
      <c r="V215" s="7" t="n">
        <v>19959.04408251651</v>
      </c>
      <c r="W215" s="7" t="n">
        <v>24768.40123332177</v>
      </c>
      <c r="X215" s="7" t="n">
        <v>-4809.357150805259</v>
      </c>
      <c r="Y215" s="6" t="n">
        <v>-0.1941730960145731</v>
      </c>
      <c r="Z215" s="7" t="n">
        <v>4620.373425564223</v>
      </c>
      <c r="AA215" s="7" t="n">
        <v>-4620.373425564223</v>
      </c>
      <c r="AB215" s="7" t="n">
        <v>26253.85437783303</v>
      </c>
      <c r="AC215" s="7" t="n">
        <v>41497.28076229156</v>
      </c>
      <c r="AD215" s="7" t="n">
        <v>-15243.42638445853</v>
      </c>
      <c r="AE215" s="6" t="n">
        <v>-0.3673355483646576</v>
      </c>
    </row>
    <row r="216">
      <c r="A216" s="2" t="n">
        <v>207</v>
      </c>
      <c r="B216" s="2" t="inlineStr">
        <is>
          <t>KPROP-00207</t>
        </is>
      </c>
      <c r="C216" s="3" t="n">
        <v>45886</v>
      </c>
      <c r="D216" s="2" t="inlineStr">
        <is>
          <t>Garrett Crochet</t>
        </is>
      </c>
      <c r="E216" s="2" t="inlineStr">
        <is>
          <t>Loss</t>
        </is>
      </c>
      <c r="F216" s="2" t="n">
        <v>-1</v>
      </c>
      <c r="G216" s="6" t="n">
        <v>0.06130708565453144</v>
      </c>
      <c r="H216" s="7" t="n">
        <v>100</v>
      </c>
      <c r="I216" s="7" t="n">
        <v>-100</v>
      </c>
      <c r="J216" s="7" t="n">
        <v>11825.02173544256</v>
      </c>
      <c r="K216" s="7" t="n">
        <v>12267.8788782997</v>
      </c>
      <c r="L216" s="7" t="n">
        <v>-442.8571428571431</v>
      </c>
      <c r="M216" s="6" t="n">
        <v>-0.03609891711928297</v>
      </c>
      <c r="N216" s="7" t="n">
        <v>119.998915041215</v>
      </c>
      <c r="O216" s="7" t="n">
        <v>-119.998915041215</v>
      </c>
      <c r="P216" s="7" t="n">
        <v>11879.89258908028</v>
      </c>
      <c r="Q216" s="7" t="n">
        <v>12421.15330293068</v>
      </c>
      <c r="R216" s="7" t="n">
        <v>-541.2607138504009</v>
      </c>
      <c r="S216" s="6" t="n">
        <v>-0.04357572124342867</v>
      </c>
      <c r="T216" s="7" t="n">
        <v>305.9077062873522</v>
      </c>
      <c r="U216" s="7" t="n">
        <v>-305.9077062873522</v>
      </c>
      <c r="V216" s="7" t="n">
        <v>19653.13637622916</v>
      </c>
      <c r="W216" s="7" t="n">
        <v>24768.40123332177</v>
      </c>
      <c r="X216" s="7" t="n">
        <v>-5115.26485709261</v>
      </c>
      <c r="Y216" s="6" t="n">
        <v>-0.2065238207709132</v>
      </c>
      <c r="Z216" s="7" t="n">
        <v>804.7736495517024</v>
      </c>
      <c r="AA216" s="7" t="n">
        <v>-804.7736495517024</v>
      </c>
      <c r="AB216" s="7" t="n">
        <v>25449.08072828133</v>
      </c>
      <c r="AC216" s="7" t="n">
        <v>41497.28076229156</v>
      </c>
      <c r="AD216" s="7" t="n">
        <v>-16048.20003401023</v>
      </c>
      <c r="AE216" s="6" t="n">
        <v>-0.3867289552281502</v>
      </c>
    </row>
    <row r="217">
      <c r="A217" s="2" t="n">
        <v>208</v>
      </c>
      <c r="B217" s="2" t="inlineStr">
        <is>
          <t>KPROP-00208</t>
        </is>
      </c>
      <c r="C217" s="3" t="n">
        <v>45886</v>
      </c>
      <c r="D217" s="2" t="inlineStr">
        <is>
          <t>Garrett Crochet</t>
        </is>
      </c>
      <c r="E217" s="2" t="inlineStr">
        <is>
          <t>Loss</t>
        </is>
      </c>
      <c r="F217" s="2" t="n">
        <v>-1</v>
      </c>
      <c r="G217" s="6" t="n">
        <v>0.1218147288870999</v>
      </c>
      <c r="H217" s="7" t="n">
        <v>100</v>
      </c>
      <c r="I217" s="7" t="n">
        <v>-100</v>
      </c>
      <c r="J217" s="7" t="n">
        <v>11725.02173544256</v>
      </c>
      <c r="K217" s="7" t="n">
        <v>12267.8788782997</v>
      </c>
      <c r="L217" s="7" t="n">
        <v>-542.8571428571431</v>
      </c>
      <c r="M217" s="6" t="n">
        <v>-0.04425028550105654</v>
      </c>
      <c r="N217" s="7" t="n">
        <v>118.7989258908028</v>
      </c>
      <c r="O217" s="7" t="n">
        <v>-118.7989258908028</v>
      </c>
      <c r="P217" s="7" t="n">
        <v>11761.09366318948</v>
      </c>
      <c r="Q217" s="7" t="n">
        <v>12421.15330293068</v>
      </c>
      <c r="R217" s="7" t="n">
        <v>-660.0596397412046</v>
      </c>
      <c r="S217" s="6" t="n">
        <v>-0.05313996403099445</v>
      </c>
      <c r="T217" s="7" t="n">
        <v>598.5103698628889</v>
      </c>
      <c r="U217" s="7" t="n">
        <v>-598.5103698628889</v>
      </c>
      <c r="V217" s="7" t="n">
        <v>19054.62600636627</v>
      </c>
      <c r="W217" s="7" t="n">
        <v>24768.40123332177</v>
      </c>
      <c r="X217" s="7" t="n">
        <v>-5713.775226955499</v>
      </c>
      <c r="Y217" s="6" t="n">
        <v>-0.2306880921837039</v>
      </c>
      <c r="Z217" s="7" t="n">
        <v>1550.036434670754</v>
      </c>
      <c r="AA217" s="7" t="n">
        <v>-1550.036434670754</v>
      </c>
      <c r="AB217" s="7" t="n">
        <v>23899.04429361058</v>
      </c>
      <c r="AC217" s="7" t="n">
        <v>41497.28076229156</v>
      </c>
      <c r="AD217" s="7" t="n">
        <v>-17598.23646868098</v>
      </c>
      <c r="AE217" s="6" t="n">
        <v>-0.4240816782547458</v>
      </c>
    </row>
    <row r="218">
      <c r="A218" s="2" t="n">
        <v>209</v>
      </c>
      <c r="B218" s="2" t="inlineStr">
        <is>
          <t>KPROP-00209</t>
        </is>
      </c>
      <c r="C218" s="3" t="n">
        <v>45886</v>
      </c>
      <c r="D218" s="2" t="inlineStr">
        <is>
          <t>Javier Assad</t>
        </is>
      </c>
      <c r="E218" s="2" t="inlineStr">
        <is>
          <t>Win</t>
        </is>
      </c>
      <c r="F218" s="2" t="n">
        <v>0.6896551724137931</v>
      </c>
      <c r="G218" s="6" t="n">
        <v>0.1020442507054634</v>
      </c>
      <c r="H218" s="7" t="n">
        <v>100</v>
      </c>
      <c r="I218" s="7" t="n">
        <v>68.96551724137932</v>
      </c>
      <c r="J218" s="7" t="n">
        <v>11793.98725268394</v>
      </c>
      <c r="K218" s="7" t="n">
        <v>12267.8788782997</v>
      </c>
      <c r="L218" s="7" t="n">
        <v>-473.8916256157645</v>
      </c>
      <c r="M218" s="6" t="n">
        <v>-0.0386286521343162</v>
      </c>
      <c r="N218" s="7" t="n">
        <v>117.6109366318948</v>
      </c>
      <c r="O218" s="7" t="n">
        <v>81.11099078061712</v>
      </c>
      <c r="P218" s="7" t="n">
        <v>11842.2046539701</v>
      </c>
      <c r="Q218" s="7" t="n">
        <v>12421.15330293068</v>
      </c>
      <c r="R218" s="7" t="n">
        <v>-578.9486489605879</v>
      </c>
      <c r="S218" s="6" t="n">
        <v>-0.04660989481741514</v>
      </c>
      <c r="T218" s="7" t="n">
        <v>486.1037583231209</v>
      </c>
      <c r="U218" s="7" t="n">
        <v>335.2439712573247</v>
      </c>
      <c r="V218" s="7" t="n">
        <v>19389.8699776236</v>
      </c>
      <c r="W218" s="7" t="n">
        <v>24768.40123332177</v>
      </c>
      <c r="X218" s="7" t="n">
        <v>-5378.531255698173</v>
      </c>
      <c r="Y218" s="6" t="n">
        <v>-0.2171529443919962</v>
      </c>
      <c r="Z218" s="7" t="n">
        <v>1219.380033759086</v>
      </c>
      <c r="AA218" s="7" t="n">
        <v>840.9517474200595</v>
      </c>
      <c r="AB218" s="7" t="n">
        <v>24739.99604103063</v>
      </c>
      <c r="AC218" s="7" t="n">
        <v>41497.28076229156</v>
      </c>
      <c r="AD218" s="7" t="n">
        <v>-16757.28472126092</v>
      </c>
      <c r="AE218" s="6" t="n">
        <v>-0.4038164528719726</v>
      </c>
    </row>
    <row r="219">
      <c r="A219" s="2" t="n">
        <v>210</v>
      </c>
      <c r="B219" s="2" t="inlineStr">
        <is>
          <t>KPROP-00210</t>
        </is>
      </c>
      <c r="C219" s="3" t="n">
        <v>45886</v>
      </c>
      <c r="D219" s="2" t="inlineStr">
        <is>
          <t>Logan Webb</t>
        </is>
      </c>
      <c r="E219" s="2" t="inlineStr">
        <is>
          <t>Loss</t>
        </is>
      </c>
      <c r="F219" s="2" t="n">
        <v>-1</v>
      </c>
      <c r="G219" s="6" t="n">
        <v>0.1403737825291264</v>
      </c>
      <c r="H219" s="7" t="n">
        <v>100</v>
      </c>
      <c r="I219" s="7" t="n">
        <v>-100</v>
      </c>
      <c r="J219" s="7" t="n">
        <v>11693.98725268394</v>
      </c>
      <c r="K219" s="7" t="n">
        <v>12267.8788782997</v>
      </c>
      <c r="L219" s="7" t="n">
        <v>-573.8916256157645</v>
      </c>
      <c r="M219" s="6" t="n">
        <v>-0.04678002051608977</v>
      </c>
      <c r="N219" s="7" t="n">
        <v>118.422046539701</v>
      </c>
      <c r="O219" s="7" t="n">
        <v>-118.422046539701</v>
      </c>
      <c r="P219" s="7" t="n">
        <v>11723.7826074304</v>
      </c>
      <c r="Q219" s="7" t="n">
        <v>12421.15330293068</v>
      </c>
      <c r="R219" s="7" t="n">
        <v>-697.370695500289</v>
      </c>
      <c r="S219" s="6" t="n">
        <v>-0.056143795869241</v>
      </c>
      <c r="T219" s="7" t="n">
        <v>680.4573478767433</v>
      </c>
      <c r="U219" s="7" t="n">
        <v>-680.4573478767433</v>
      </c>
      <c r="V219" s="7" t="n">
        <v>18709.41262974686</v>
      </c>
      <c r="W219" s="7" t="n">
        <v>24768.40123332177</v>
      </c>
      <c r="X219" s="7" t="n">
        <v>-6058.988603574915</v>
      </c>
      <c r="Y219" s="6" t="n">
        <v>-0.2446257449763674</v>
      </c>
      <c r="Z219" s="7" t="n">
        <v>1736.423412017542</v>
      </c>
      <c r="AA219" s="7" t="n">
        <v>-1736.423412017542</v>
      </c>
      <c r="AB219" s="7" t="n">
        <v>23003.57262901309</v>
      </c>
      <c r="AC219" s="7" t="n">
        <v>41497.28076229156</v>
      </c>
      <c r="AD219" s="7" t="n">
        <v>-18493.70813327847</v>
      </c>
      <c r="AE219" s="6" t="n">
        <v>-0.4456607226679691</v>
      </c>
    </row>
    <row r="220">
      <c r="A220" s="2" t="n">
        <v>211</v>
      </c>
      <c r="B220" s="2" t="inlineStr">
        <is>
          <t>KPROP-00211</t>
        </is>
      </c>
      <c r="C220" s="3" t="n">
        <v>45886</v>
      </c>
      <c r="D220" s="2" t="inlineStr">
        <is>
          <t>Logan Webb</t>
        </is>
      </c>
      <c r="E220" s="2" t="inlineStr">
        <is>
          <t>Loss</t>
        </is>
      </c>
      <c r="F220" s="2" t="n">
        <v>-1</v>
      </c>
      <c r="G220" s="6" t="n">
        <v>0.1723086638622096</v>
      </c>
      <c r="H220" s="7" t="n">
        <v>100</v>
      </c>
      <c r="I220" s="7" t="n">
        <v>-100</v>
      </c>
      <c r="J220" s="7" t="n">
        <v>11593.98725268394</v>
      </c>
      <c r="K220" s="7" t="n">
        <v>12267.8788782997</v>
      </c>
      <c r="L220" s="7" t="n">
        <v>-673.8916256157645</v>
      </c>
      <c r="M220" s="6" t="n">
        <v>-0.05493138889786334</v>
      </c>
      <c r="N220" s="7" t="n">
        <v>117.237826074304</v>
      </c>
      <c r="O220" s="7" t="n">
        <v>-117.237826074304</v>
      </c>
      <c r="P220" s="7" t="n">
        <v>11606.54478135609</v>
      </c>
      <c r="Q220" s="7" t="n">
        <v>12421.15330293068</v>
      </c>
      <c r="R220" s="7" t="n">
        <v>-814.6085215745934</v>
      </c>
      <c r="S220" s="6" t="n">
        <v>-0.06558235791054863</v>
      </c>
      <c r="T220" s="7" t="n">
        <v>805.9484729696073</v>
      </c>
      <c r="U220" s="7" t="n">
        <v>-805.9484729696073</v>
      </c>
      <c r="V220" s="7" t="n">
        <v>17903.46415677725</v>
      </c>
      <c r="W220" s="7" t="n">
        <v>24768.40123332177</v>
      </c>
      <c r="X220" s="7" t="n">
        <v>-6864.937076544524</v>
      </c>
      <c r="Y220" s="6" t="n">
        <v>-0.277165127126126</v>
      </c>
      <c r="Z220" s="7" t="n">
        <v>1981.85743188127</v>
      </c>
      <c r="AA220" s="7" t="n">
        <v>-1981.85743188127</v>
      </c>
      <c r="AB220" s="7" t="n">
        <v>21021.71519713182</v>
      </c>
      <c r="AC220" s="7" t="n">
        <v>41497.28076229156</v>
      </c>
      <c r="AD220" s="7" t="n">
        <v>-20475.56556515974</v>
      </c>
      <c r="AE220" s="6" t="n">
        <v>-0.4934194527696816</v>
      </c>
    </row>
    <row r="221">
      <c r="A221" s="2" t="n">
        <v>212</v>
      </c>
      <c r="B221" s="2" t="inlineStr">
        <is>
          <t>KPROP-00212</t>
        </is>
      </c>
      <c r="C221" s="3" t="n">
        <v>45886</v>
      </c>
      <c r="D221" s="2" t="inlineStr">
        <is>
          <t>Nathan Eovaldi</t>
        </is>
      </c>
      <c r="E221" s="2" t="inlineStr">
        <is>
          <t>Loss</t>
        </is>
      </c>
      <c r="F221" s="2" t="n">
        <v>-1</v>
      </c>
      <c r="G221" s="6" t="n">
        <v>0.1195537829697464</v>
      </c>
      <c r="H221" s="7" t="n">
        <v>100</v>
      </c>
      <c r="I221" s="7" t="n">
        <v>-100</v>
      </c>
      <c r="J221" s="7" t="n">
        <v>11493.98725268394</v>
      </c>
      <c r="K221" s="7" t="n">
        <v>12267.8788782997</v>
      </c>
      <c r="L221" s="7" t="n">
        <v>-773.8916256157645</v>
      </c>
      <c r="M221" s="6" t="n">
        <v>-0.06308275727963691</v>
      </c>
      <c r="N221" s="7" t="n">
        <v>116.0654478135609</v>
      </c>
      <c r="O221" s="7" t="n">
        <v>-116.0654478135609</v>
      </c>
      <c r="P221" s="7" t="n">
        <v>11490.47933354253</v>
      </c>
      <c r="Q221" s="7" t="n">
        <v>12421.15330293068</v>
      </c>
      <c r="R221" s="7" t="n">
        <v>-930.6739693881536</v>
      </c>
      <c r="S221" s="6" t="n">
        <v>-0.07492653433144308</v>
      </c>
      <c r="T221" s="7" t="n">
        <v>535.1067170514951</v>
      </c>
      <c r="U221" s="7" t="n">
        <v>-535.1067170514951</v>
      </c>
      <c r="V221" s="7" t="n">
        <v>17368.35743972575</v>
      </c>
      <c r="W221" s="7" t="n">
        <v>24768.40123332177</v>
      </c>
      <c r="X221" s="7" t="n">
        <v>-7400.043793596018</v>
      </c>
      <c r="Y221" s="6" t="n">
        <v>-0.2987695380047578</v>
      </c>
      <c r="Z221" s="7" t="n">
        <v>1256.612788164859</v>
      </c>
      <c r="AA221" s="7" t="n">
        <v>-1256.612788164859</v>
      </c>
      <c r="AB221" s="7" t="n">
        <v>19765.10240896696</v>
      </c>
      <c r="AC221" s="7" t="n">
        <v>41497.28076229156</v>
      </c>
      <c r="AD221" s="7" t="n">
        <v>-21732.17835332459</v>
      </c>
      <c r="AE221" s="6" t="n">
        <v>-0.523701263169816</v>
      </c>
    </row>
    <row r="222">
      <c r="A222" s="2" t="n">
        <v>213</v>
      </c>
      <c r="B222" s="2" t="inlineStr">
        <is>
          <t>KPROP-00213</t>
        </is>
      </c>
      <c r="C222" s="3" t="n">
        <v>45886</v>
      </c>
      <c r="D222" s="2" t="inlineStr">
        <is>
          <t>Tyler Glasnow</t>
        </is>
      </c>
      <c r="E222" s="2" t="inlineStr">
        <is>
          <t>Loss</t>
        </is>
      </c>
      <c r="F222" s="2" t="n">
        <v>-1</v>
      </c>
      <c r="G222" s="6" t="n">
        <v>0.1363426114851793</v>
      </c>
      <c r="H222" s="7" t="n">
        <v>100</v>
      </c>
      <c r="I222" s="7" t="n">
        <v>-100</v>
      </c>
      <c r="J222" s="7" t="n">
        <v>11393.98725268394</v>
      </c>
      <c r="K222" s="7" t="n">
        <v>12267.8788782997</v>
      </c>
      <c r="L222" s="7" t="n">
        <v>-873.8916256157645</v>
      </c>
      <c r="M222" s="6" t="n">
        <v>-0.07123412566141048</v>
      </c>
      <c r="N222" s="7" t="n">
        <v>114.9047933354253</v>
      </c>
      <c r="O222" s="7" t="n">
        <v>-114.9047933354253</v>
      </c>
      <c r="P222" s="7" t="n">
        <v>11375.57454020711</v>
      </c>
      <c r="Q222" s="7" t="n">
        <v>12421.15330293068</v>
      </c>
      <c r="R222" s="7" t="n">
        <v>-1045.578762723579</v>
      </c>
      <c r="S222" s="6" t="n">
        <v>-0.08417726898812863</v>
      </c>
      <c r="T222" s="7" t="n">
        <v>592.0118026350632</v>
      </c>
      <c r="U222" s="7" t="n">
        <v>-592.0118026350632</v>
      </c>
      <c r="V222" s="7" t="n">
        <v>16776.34563709069</v>
      </c>
      <c r="W222" s="7" t="n">
        <v>24768.40123332177</v>
      </c>
      <c r="X222" s="7" t="n">
        <v>-7992.055596231083</v>
      </c>
      <c r="Y222" s="6" t="n">
        <v>-0.3226714361151053</v>
      </c>
      <c r="Z222" s="7" t="n">
        <v>1347.412839355282</v>
      </c>
      <c r="AA222" s="7" t="n">
        <v>-1347.412839355282</v>
      </c>
      <c r="AB222" s="7" t="n">
        <v>18417.68956961168</v>
      </c>
      <c r="AC222" s="7" t="n">
        <v>41497.28076229156</v>
      </c>
      <c r="AD222" s="7" t="n">
        <v>-23079.59119267988</v>
      </c>
      <c r="AE222" s="6" t="n">
        <v>-0.5561711699830757</v>
      </c>
    </row>
    <row r="223">
      <c r="A223" s="2" t="n">
        <v>214</v>
      </c>
      <c r="B223" s="2" t="inlineStr">
        <is>
          <t>KPROP-00214</t>
        </is>
      </c>
      <c r="C223" s="3" t="n">
        <v>45887</v>
      </c>
      <c r="D223" s="2" t="inlineStr">
        <is>
          <t>Jack Flaherty</t>
        </is>
      </c>
      <c r="E223" s="2" t="inlineStr">
        <is>
          <t>Loss</t>
        </is>
      </c>
      <c r="F223" s="2" t="n">
        <v>-1</v>
      </c>
      <c r="G223" s="6" t="n">
        <v>0.2169206656468841</v>
      </c>
      <c r="H223" s="7" t="n">
        <v>100</v>
      </c>
      <c r="I223" s="7" t="n">
        <v>-100</v>
      </c>
      <c r="J223" s="7" t="n">
        <v>11293.98725268394</v>
      </c>
      <c r="K223" s="7" t="n">
        <v>12267.8788782997</v>
      </c>
      <c r="L223" s="7" t="n">
        <v>-973.8916256157645</v>
      </c>
      <c r="M223" s="6" t="n">
        <v>-0.07938549404318404</v>
      </c>
      <c r="N223" s="7" t="n">
        <v>113.7557454020711</v>
      </c>
      <c r="O223" s="7" t="n">
        <v>-113.7557454020711</v>
      </c>
      <c r="P223" s="7" t="n">
        <v>11261.81879480503</v>
      </c>
      <c r="Q223" s="7" t="n">
        <v>12421.15330293068</v>
      </c>
      <c r="R223" s="7" t="n">
        <v>-1159.33450812565</v>
      </c>
      <c r="S223" s="6" t="n">
        <v>-0.09333549629824739</v>
      </c>
      <c r="T223" s="7" t="n">
        <v>909.7840156799782</v>
      </c>
      <c r="U223" s="7" t="n">
        <v>-909.7840156799782</v>
      </c>
      <c r="V223" s="7" t="n">
        <v>15866.56162141071</v>
      </c>
      <c r="W223" s="7" t="n">
        <v>24768.40123332177</v>
      </c>
      <c r="X223" s="7" t="n">
        <v>-8901.83961191106</v>
      </c>
      <c r="Y223" s="6" t="n">
        <v>-0.3594030768499952</v>
      </c>
      <c r="Z223" s="7" t="n">
        <v>1997.588740558921</v>
      </c>
      <c r="AA223" s="7" t="n">
        <v>-1997.588740558921</v>
      </c>
      <c r="AB223" s="7" t="n">
        <v>16420.10082905276</v>
      </c>
      <c r="AC223" s="7" t="n">
        <v>41497.28076229156</v>
      </c>
      <c r="AD223" s="7" t="n">
        <v>-25077.1799332388</v>
      </c>
      <c r="AE223" s="6" t="n">
        <v>-0.6043089926033502</v>
      </c>
    </row>
    <row r="224">
      <c r="A224" s="2" t="n">
        <v>215</v>
      </c>
      <c r="B224" s="2" t="inlineStr">
        <is>
          <t>KPROP-00215</t>
        </is>
      </c>
      <c r="C224" s="3" t="n">
        <v>45887</v>
      </c>
      <c r="D224" s="2" t="inlineStr">
        <is>
          <t>Matthew Liberatore</t>
        </is>
      </c>
      <c r="E224" s="2" t="inlineStr">
        <is>
          <t>Loss</t>
        </is>
      </c>
      <c r="F224" s="2" t="n">
        <v>-1</v>
      </c>
      <c r="G224" s="6" t="n">
        <v>0.2537680605139935</v>
      </c>
      <c r="H224" s="7" t="n">
        <v>100</v>
      </c>
      <c r="I224" s="7" t="n">
        <v>-100</v>
      </c>
      <c r="J224" s="7" t="n">
        <v>11193.98725268394</v>
      </c>
      <c r="K224" s="7" t="n">
        <v>12267.8788782997</v>
      </c>
      <c r="L224" s="7" t="n">
        <v>-1073.891625615764</v>
      </c>
      <c r="M224" s="6" t="n">
        <v>-0.08753686242495762</v>
      </c>
      <c r="N224" s="7" t="n">
        <v>112.6181879480503</v>
      </c>
      <c r="O224" s="7" t="n">
        <v>-112.6181879480503</v>
      </c>
      <c r="P224" s="7" t="n">
        <v>11149.20060685698</v>
      </c>
      <c r="Q224" s="7" t="n">
        <v>12421.15330293068</v>
      </c>
      <c r="R224" s="7" t="n">
        <v>-1271.9526960737</v>
      </c>
      <c r="S224" s="6" t="n">
        <v>-0.1024021413352649</v>
      </c>
      <c r="T224" s="7" t="n">
        <v>1006.60664242279</v>
      </c>
      <c r="U224" s="7" t="n">
        <v>-1006.60664242279</v>
      </c>
      <c r="V224" s="7" t="n">
        <v>14859.95497898792</v>
      </c>
      <c r="W224" s="7" t="n">
        <v>24768.40123332177</v>
      </c>
      <c r="X224" s="7" t="n">
        <v>-9908.44625433385</v>
      </c>
      <c r="Y224" s="6" t="n">
        <v>-0.4000438365397473</v>
      </c>
      <c r="Z224" s="7" t="n">
        <v>2083.448570416468</v>
      </c>
      <c r="AA224" s="7" t="n">
        <v>-2083.448570416468</v>
      </c>
      <c r="AB224" s="7" t="n">
        <v>14336.65225863629</v>
      </c>
      <c r="AC224" s="7" t="n">
        <v>41497.28076229156</v>
      </c>
      <c r="AD224" s="7" t="n">
        <v>-27160.62850365527</v>
      </c>
      <c r="AE224" s="6" t="n">
        <v>-0.6545158623582883</v>
      </c>
    </row>
    <row r="225">
      <c r="A225" s="2" t="n">
        <v>216</v>
      </c>
      <c r="B225" s="2" t="inlineStr">
        <is>
          <t>KPROP-00216</t>
        </is>
      </c>
      <c r="C225" s="3" t="n">
        <v>45887</v>
      </c>
      <c r="D225" s="2" t="inlineStr">
        <is>
          <t>Ranger Suarez</t>
        </is>
      </c>
      <c r="E225" s="2" t="inlineStr">
        <is>
          <t>Loss</t>
        </is>
      </c>
      <c r="F225" s="2" t="n">
        <v>-1</v>
      </c>
      <c r="G225" s="6" t="n">
        <v>0.2742521851894987</v>
      </c>
      <c r="H225" s="7" t="n">
        <v>100</v>
      </c>
      <c r="I225" s="7" t="n">
        <v>-100</v>
      </c>
      <c r="J225" s="7" t="n">
        <v>11093.98725268394</v>
      </c>
      <c r="K225" s="7" t="n">
        <v>12267.8788782997</v>
      </c>
      <c r="L225" s="7" t="n">
        <v>-1173.891625615764</v>
      </c>
      <c r="M225" s="6" t="n">
        <v>-0.09568823080673118</v>
      </c>
      <c r="N225" s="7" t="n">
        <v>111.4920060685699</v>
      </c>
      <c r="O225" s="7" t="n">
        <v>-111.4920060685699</v>
      </c>
      <c r="P225" s="7" t="n">
        <v>11037.70860078842</v>
      </c>
      <c r="Q225" s="7" t="n">
        <v>12421.15330293068</v>
      </c>
      <c r="R225" s="7" t="n">
        <v>-1383.444702142269</v>
      </c>
      <c r="S225" s="6" t="n">
        <v>-0.1113781199219122</v>
      </c>
      <c r="T225" s="7" t="n">
        <v>1018.843781201252</v>
      </c>
      <c r="U225" s="7" t="n">
        <v>-1018.843781201252</v>
      </c>
      <c r="V225" s="7" t="n">
        <v>13841.11119778667</v>
      </c>
      <c r="W225" s="7" t="n">
        <v>24768.40123332177</v>
      </c>
      <c r="X225" s="7" t="n">
        <v>-10927.2900355351</v>
      </c>
      <c r="Y225" s="6" t="n">
        <v>-0.4411786587514679</v>
      </c>
      <c r="Z225" s="7" t="n">
        <v>1965.929105116483</v>
      </c>
      <c r="AA225" s="7" t="n">
        <v>-1965.929105116483</v>
      </c>
      <c r="AB225" s="7" t="n">
        <v>12370.72315351981</v>
      </c>
      <c r="AC225" s="7" t="n">
        <v>41497.28076229156</v>
      </c>
      <c r="AD225" s="7" t="n">
        <v>-29126.55760877175</v>
      </c>
      <c r="AE225" s="6" t="n">
        <v>-0.7018907522065628</v>
      </c>
    </row>
    <row r="226">
      <c r="A226" s="2" t="n">
        <v>217</v>
      </c>
      <c r="B226" s="2" t="inlineStr">
        <is>
          <t>KPROP-00217</t>
        </is>
      </c>
      <c r="C226" s="3" t="n">
        <v>45887</v>
      </c>
      <c r="D226" s="2" t="inlineStr">
        <is>
          <t>Spencer Strider</t>
        </is>
      </c>
      <c r="E226" s="2" t="inlineStr">
        <is>
          <t>Win</t>
        </is>
      </c>
      <c r="F226" s="2" t="n">
        <v>0.7462686567164178</v>
      </c>
      <c r="G226" s="6" t="n">
        <v>0.5012771567577895</v>
      </c>
      <c r="H226" s="7" t="n">
        <v>100</v>
      </c>
      <c r="I226" s="7" t="n">
        <v>74.62686567164178</v>
      </c>
      <c r="J226" s="7" t="n">
        <v>11168.61411835558</v>
      </c>
      <c r="K226" s="7" t="n">
        <v>12267.8788782997</v>
      </c>
      <c r="L226" s="7" t="n">
        <v>-1099.264759944122</v>
      </c>
      <c r="M226" s="6" t="n">
        <v>-0.08960512007406432</v>
      </c>
      <c r="N226" s="7" t="n">
        <v>110.3770860078842</v>
      </c>
      <c r="O226" s="7" t="n">
        <v>82.37095970737623</v>
      </c>
      <c r="P226" s="7" t="n">
        <v>11120.07956049579</v>
      </c>
      <c r="Q226" s="7" t="n">
        <v>12421.15330293068</v>
      </c>
      <c r="R226" s="7" t="n">
        <v>-1301.073742434894</v>
      </c>
      <c r="S226" s="6" t="n">
        <v>-0.1047466133541653</v>
      </c>
      <c r="T226" s="7" t="n">
        <v>1734.558216898726</v>
      </c>
      <c r="U226" s="7" t="n">
        <v>1294.446430521437</v>
      </c>
      <c r="V226" s="7" t="n">
        <v>15135.55762830811</v>
      </c>
      <c r="W226" s="7" t="n">
        <v>24768.40123332177</v>
      </c>
      <c r="X226" s="7" t="n">
        <v>-9632.843605013666</v>
      </c>
      <c r="Y226" s="6" t="n">
        <v>-0.38891664884911</v>
      </c>
      <c r="Z226" s="7" t="n">
        <v>3100.580464717083</v>
      </c>
      <c r="AA226" s="7" t="n">
        <v>2313.866018445584</v>
      </c>
      <c r="AB226" s="7" t="n">
        <v>14684.58917196539</v>
      </c>
      <c r="AC226" s="7" t="n">
        <v>41497.28076229156</v>
      </c>
      <c r="AD226" s="7" t="n">
        <v>-26812.69159032616</v>
      </c>
      <c r="AE226" s="6" t="n">
        <v>-0.6461312909613771</v>
      </c>
    </row>
    <row r="227">
      <c r="A227" s="2" t="n">
        <v>218</v>
      </c>
      <c r="B227" s="2" t="inlineStr">
        <is>
          <t>KPROP-00218</t>
        </is>
      </c>
      <c r="C227" s="3" t="n">
        <v>45888</v>
      </c>
      <c r="D227" s="2" t="inlineStr">
        <is>
          <t>Bryce Elder</t>
        </is>
      </c>
      <c r="E227" s="2" t="inlineStr">
        <is>
          <t>Win</t>
        </is>
      </c>
      <c r="F227" s="2" t="n">
        <v>0.9090909090909092</v>
      </c>
      <c r="G227" s="6" t="n">
        <v>0.1618104461125471</v>
      </c>
      <c r="H227" s="7" t="n">
        <v>100</v>
      </c>
      <c r="I227" s="7" t="n">
        <v>90.90909090909092</v>
      </c>
      <c r="J227" s="7" t="n">
        <v>11259.52320926467</v>
      </c>
      <c r="K227" s="7" t="n">
        <v>12267.8788782997</v>
      </c>
      <c r="L227" s="7" t="n">
        <v>-1008.355669035032</v>
      </c>
      <c r="M227" s="6" t="n">
        <v>-0.08219478518154297</v>
      </c>
      <c r="N227" s="7" t="n">
        <v>111.2007956049579</v>
      </c>
      <c r="O227" s="7" t="n">
        <v>101.0916323681436</v>
      </c>
      <c r="P227" s="7" t="n">
        <v>11221.17119286393</v>
      </c>
      <c r="Q227" s="7" t="n">
        <v>12421.15330293068</v>
      </c>
      <c r="R227" s="7" t="n">
        <v>-1199.98211006675</v>
      </c>
      <c r="S227" s="6" t="n">
        <v>-0.09660794620283955</v>
      </c>
      <c r="T227" s="7" t="n">
        <v>612.272832999675</v>
      </c>
      <c r="U227" s="7" t="n">
        <v>556.6116663633409</v>
      </c>
      <c r="V227" s="7" t="n">
        <v>15692.16929467145</v>
      </c>
      <c r="W227" s="7" t="n">
        <v>24768.40123332177</v>
      </c>
      <c r="X227" s="7" t="n">
        <v>-9076.231938650326</v>
      </c>
      <c r="Y227" s="6" t="n">
        <v>-0.3664439966532746</v>
      </c>
      <c r="Z227" s="7" t="n">
        <v>1188.059962447599</v>
      </c>
      <c r="AA227" s="7" t="n">
        <v>1080.054511316</v>
      </c>
      <c r="AB227" s="7" t="n">
        <v>15764.64368328139</v>
      </c>
      <c r="AC227" s="7" t="n">
        <v>41497.28076229156</v>
      </c>
      <c r="AD227" s="7" t="n">
        <v>-25732.63707901016</v>
      </c>
      <c r="AE227" s="6" t="n">
        <v>-0.620104175654645</v>
      </c>
    </row>
    <row r="228">
      <c r="A228" s="2" t="n">
        <v>219</v>
      </c>
      <c r="B228" s="2" t="inlineStr">
        <is>
          <t>KPROP-00219</t>
        </is>
      </c>
      <c r="C228" s="3" t="n">
        <v>45888</v>
      </c>
      <c r="D228" s="2" t="inlineStr">
        <is>
          <t>David Peterson</t>
        </is>
      </c>
      <c r="E228" s="2" t="inlineStr">
        <is>
          <t>Loss</t>
        </is>
      </c>
      <c r="F228" s="2" t="n">
        <v>-1</v>
      </c>
      <c r="G228" s="6" t="n">
        <v>0.2253169526768919</v>
      </c>
      <c r="H228" s="7" t="n">
        <v>100</v>
      </c>
      <c r="I228" s="7" t="n">
        <v>-100</v>
      </c>
      <c r="J228" s="7" t="n">
        <v>11159.52320926467</v>
      </c>
      <c r="K228" s="7" t="n">
        <v>12267.8788782997</v>
      </c>
      <c r="L228" s="7" t="n">
        <v>-1108.355669035032</v>
      </c>
      <c r="M228" s="6" t="n">
        <v>-0.09034615356331653</v>
      </c>
      <c r="N228" s="7" t="n">
        <v>112.2117119286393</v>
      </c>
      <c r="O228" s="7" t="n">
        <v>-112.2117119286393</v>
      </c>
      <c r="P228" s="7" t="n">
        <v>11108.95948093529</v>
      </c>
      <c r="Q228" s="7" t="n">
        <v>12421.15330293068</v>
      </c>
      <c r="R228" s="7" t="n">
        <v>-1312.19382199539</v>
      </c>
      <c r="S228" s="6" t="n">
        <v>-0.1056418667408112</v>
      </c>
      <c r="T228" s="7" t="n">
        <v>883.9279415913156</v>
      </c>
      <c r="U228" s="7" t="n">
        <v>-883.9279415913156</v>
      </c>
      <c r="V228" s="7" t="n">
        <v>14808.24135308013</v>
      </c>
      <c r="W228" s="7" t="n">
        <v>24768.40123332177</v>
      </c>
      <c r="X228" s="7" t="n">
        <v>-9960.159880241641</v>
      </c>
      <c r="Y228" s="6" t="n">
        <v>-0.4021317236593333</v>
      </c>
      <c r="Z228" s="7" t="n">
        <v>1776.020737376988</v>
      </c>
      <c r="AA228" s="7" t="n">
        <v>-1776.020737376988</v>
      </c>
      <c r="AB228" s="7" t="n">
        <v>13988.6229459044</v>
      </c>
      <c r="AC228" s="7" t="n">
        <v>41497.28076229156</v>
      </c>
      <c r="AD228" s="7" t="n">
        <v>-27508.65781638715</v>
      </c>
      <c r="AE228" s="6" t="n">
        <v>-0.6629026603927306</v>
      </c>
    </row>
    <row r="229">
      <c r="A229" s="2" t="n">
        <v>220</v>
      </c>
      <c r="B229" s="2" t="inlineStr">
        <is>
          <t>KPROP-00220</t>
        </is>
      </c>
      <c r="C229" s="3" t="n">
        <v>45888</v>
      </c>
      <c r="D229" s="2" t="inlineStr">
        <is>
          <t>Joe Ryan</t>
        </is>
      </c>
      <c r="E229" s="2" t="inlineStr">
        <is>
          <t>Win</t>
        </is>
      </c>
      <c r="F229" s="2" t="n">
        <v>1.15</v>
      </c>
      <c r="G229" s="6" t="n">
        <v>0.1984821985409063</v>
      </c>
      <c r="H229" s="7" t="n">
        <v>100</v>
      </c>
      <c r="I229" s="7" t="n">
        <v>115</v>
      </c>
      <c r="J229" s="7" t="n">
        <v>11274.52320926467</v>
      </c>
      <c r="K229" s="7" t="n">
        <v>12267.8788782997</v>
      </c>
      <c r="L229" s="7" t="n">
        <v>-993.3556690350324</v>
      </c>
      <c r="M229" s="6" t="n">
        <v>-0.08097207992427694</v>
      </c>
      <c r="N229" s="7" t="n">
        <v>111.0895948093529</v>
      </c>
      <c r="O229" s="7" t="n">
        <v>127.7530340307559</v>
      </c>
      <c r="P229" s="7" t="n">
        <v>11236.71251496605</v>
      </c>
      <c r="Q229" s="7" t="n">
        <v>12421.15330293068</v>
      </c>
      <c r="R229" s="7" t="n">
        <v>-1184.440787964633</v>
      </c>
      <c r="S229" s="6" t="n">
        <v>-0.09535674820833044</v>
      </c>
      <c r="T229" s="7" t="n">
        <v>734.7930750709276</v>
      </c>
      <c r="U229" s="7" t="n">
        <v>845.0120363315666</v>
      </c>
      <c r="V229" s="7" t="n">
        <v>15653.2533894117</v>
      </c>
      <c r="W229" s="7" t="n">
        <v>24768.40123332177</v>
      </c>
      <c r="X229" s="7" t="n">
        <v>-9115.147843910074</v>
      </c>
      <c r="Y229" s="6" t="n">
        <v>-0.3680151883056205</v>
      </c>
      <c r="Z229" s="7" t="n">
        <v>1388.246318431438</v>
      </c>
      <c r="AA229" s="7" t="n">
        <v>1596.483266196154</v>
      </c>
      <c r="AB229" s="7" t="n">
        <v>15585.10621210056</v>
      </c>
      <c r="AC229" s="7" t="n">
        <v>41497.28076229156</v>
      </c>
      <c r="AD229" s="7" t="n">
        <v>-25912.174550191</v>
      </c>
      <c r="AE229" s="6" t="n">
        <v>-0.6244306632673943</v>
      </c>
    </row>
    <row r="230">
      <c r="A230" s="2" t="n">
        <v>221</v>
      </c>
      <c r="B230" s="2" t="inlineStr">
        <is>
          <t>KPROP-00221</t>
        </is>
      </c>
      <c r="C230" s="3" t="n">
        <v>45888</v>
      </c>
      <c r="D230" s="2" t="inlineStr">
        <is>
          <t>Joe Ryan</t>
        </is>
      </c>
      <c r="E230" s="2" t="inlineStr">
        <is>
          <t>Win</t>
        </is>
      </c>
      <c r="F230" s="2" t="n">
        <v>0.5263157894736841</v>
      </c>
      <c r="G230" s="6" t="n">
        <v>0.1689048306142686</v>
      </c>
      <c r="H230" s="7" t="n">
        <v>100</v>
      </c>
      <c r="I230" s="7" t="n">
        <v>52.63157894736841</v>
      </c>
      <c r="J230" s="7" t="n">
        <v>11327.15478821204</v>
      </c>
      <c r="K230" s="7" t="n">
        <v>12267.8788782997</v>
      </c>
      <c r="L230" s="7" t="n">
        <v>-940.7240900876641</v>
      </c>
      <c r="M230" s="6" t="n">
        <v>-0.07668188603913295</v>
      </c>
      <c r="N230" s="7" t="n">
        <v>112.3671251496605</v>
      </c>
      <c r="O230" s="7" t="n">
        <v>59.14059218403184</v>
      </c>
      <c r="P230" s="7" t="n">
        <v>11295.85310715008</v>
      </c>
      <c r="Q230" s="7" t="n">
        <v>12421.15330293068</v>
      </c>
      <c r="R230" s="7" t="n">
        <v>-1125.300195780601</v>
      </c>
      <c r="S230" s="6" t="n">
        <v>-0.09059546793574266</v>
      </c>
      <c r="T230" s="7" t="n">
        <v>660.9775280752021</v>
      </c>
      <c r="U230" s="7" t="n">
        <v>347.8829095132642</v>
      </c>
      <c r="V230" s="7" t="n">
        <v>16001.13629892496</v>
      </c>
      <c r="W230" s="7" t="n">
        <v>24768.40123332177</v>
      </c>
      <c r="X230" s="7" t="n">
        <v>-8767.26493439681</v>
      </c>
      <c r="Y230" s="6" t="n">
        <v>-0.3539697557306166</v>
      </c>
      <c r="Z230" s="7" t="n">
        <v>1316.199862430115</v>
      </c>
      <c r="AA230" s="7" t="n">
        <v>692.7367697000603</v>
      </c>
      <c r="AB230" s="7" t="n">
        <v>16277.84298180062</v>
      </c>
      <c r="AC230" s="7" t="n">
        <v>41497.28076229156</v>
      </c>
      <c r="AD230" s="7" t="n">
        <v>-25219.43778049094</v>
      </c>
      <c r="AE230" s="6" t="n">
        <v>-0.6077371171608854</v>
      </c>
    </row>
    <row r="231">
      <c r="A231" s="2" t="n">
        <v>222</v>
      </c>
      <c r="B231" s="2" t="inlineStr">
        <is>
          <t>KPROP-00222</t>
        </is>
      </c>
      <c r="C231" s="3" t="n">
        <v>45888</v>
      </c>
      <c r="D231" s="2" t="inlineStr">
        <is>
          <t>Matthew Boyd</t>
        </is>
      </c>
      <c r="E231" s="2" t="inlineStr">
        <is>
          <t>Win</t>
        </is>
      </c>
      <c r="F231" s="2" t="n">
        <v>1.23</v>
      </c>
      <c r="G231" s="6" t="n">
        <v>0.1542056723211394</v>
      </c>
      <c r="H231" s="7" t="n">
        <v>100</v>
      </c>
      <c r="I231" s="7" t="n">
        <v>123</v>
      </c>
      <c r="J231" s="7" t="n">
        <v>11450.15478821204</v>
      </c>
      <c r="K231" s="7" t="n">
        <v>12267.8788782997</v>
      </c>
      <c r="L231" s="7" t="n">
        <v>-817.7240900876641</v>
      </c>
      <c r="M231" s="6" t="n">
        <v>-0.06665570292955146</v>
      </c>
      <c r="N231" s="7" t="n">
        <v>112.9585310715008</v>
      </c>
      <c r="O231" s="7" t="n">
        <v>138.938993217946</v>
      </c>
      <c r="P231" s="7" t="n">
        <v>11434.79210036803</v>
      </c>
      <c r="Q231" s="7" t="n">
        <v>12421.15330293068</v>
      </c>
      <c r="R231" s="7" t="n">
        <v>-986.3612025626553</v>
      </c>
      <c r="S231" s="6" t="n">
        <v>-0.07940979219135233</v>
      </c>
      <c r="T231" s="7" t="n">
        <v>616.8664952194781</v>
      </c>
      <c r="U231" s="7" t="n">
        <v>758.7457891199581</v>
      </c>
      <c r="V231" s="7" t="n">
        <v>16759.88208804492</v>
      </c>
      <c r="W231" s="7" t="n">
        <v>24768.40123332177</v>
      </c>
      <c r="X231" s="7" t="n">
        <v>-8008.519145276852</v>
      </c>
      <c r="Y231" s="6" t="n">
        <v>-0.3233361358222314</v>
      </c>
      <c r="Z231" s="7" t="n">
        <v>1255.067860473253</v>
      </c>
      <c r="AA231" s="7" t="n">
        <v>1543.733468382101</v>
      </c>
      <c r="AB231" s="7" t="n">
        <v>17821.57645018272</v>
      </c>
      <c r="AC231" s="7" t="n">
        <v>41497.28076229156</v>
      </c>
      <c r="AD231" s="7" t="n">
        <v>-23675.70431210884</v>
      </c>
      <c r="AE231" s="6" t="n">
        <v>-0.5705362827923623</v>
      </c>
    </row>
    <row r="232">
      <c r="A232" s="2" t="n">
        <v>223</v>
      </c>
      <c r="B232" s="2" t="inlineStr">
        <is>
          <t>KPROP-00223</t>
        </is>
      </c>
      <c r="C232" s="3" t="n">
        <v>45888</v>
      </c>
      <c r="D232" s="2" t="inlineStr">
        <is>
          <t>Matthew Boyd</t>
        </is>
      </c>
      <c r="E232" s="2" t="inlineStr">
        <is>
          <t>Win</t>
        </is>
      </c>
      <c r="F232" s="2" t="n">
        <v>0.606060606060606</v>
      </c>
      <c r="G232" s="6" t="n">
        <v>0.2160592077956206</v>
      </c>
      <c r="H232" s="7" t="n">
        <v>100</v>
      </c>
      <c r="I232" s="7" t="n">
        <v>60.60606060606059</v>
      </c>
      <c r="J232" s="7" t="n">
        <v>11510.7608488181</v>
      </c>
      <c r="K232" s="7" t="n">
        <v>12267.8788782997</v>
      </c>
      <c r="L232" s="7" t="n">
        <v>-757.118029481604</v>
      </c>
      <c r="M232" s="6" t="n">
        <v>-0.06171547966787056</v>
      </c>
      <c r="N232" s="7" t="n">
        <v>114.3479210036803</v>
      </c>
      <c r="O232" s="7" t="n">
        <v>69.30177030526077</v>
      </c>
      <c r="P232" s="7" t="n">
        <v>11504.09387067329</v>
      </c>
      <c r="Q232" s="7" t="n">
        <v>12421.15330293068</v>
      </c>
      <c r="R232" s="7" t="n">
        <v>-917.0594322573943</v>
      </c>
      <c r="S232" s="6" t="n">
        <v>-0.07383045759857262</v>
      </c>
      <c r="T232" s="7" t="n">
        <v>905.2817116727491</v>
      </c>
      <c r="U232" s="7" t="n">
        <v>548.6555828319691</v>
      </c>
      <c r="V232" s="7" t="n">
        <v>17308.53767087689</v>
      </c>
      <c r="W232" s="7" t="n">
        <v>24768.40123332177</v>
      </c>
      <c r="X232" s="7" t="n">
        <v>-7459.863562444883</v>
      </c>
      <c r="Y232" s="6" t="n">
        <v>-0.3011847027255387</v>
      </c>
      <c r="Z232" s="7" t="n">
        <v>1925.257844747783</v>
      </c>
      <c r="AA232" s="7" t="n">
        <v>1166.822936210778</v>
      </c>
      <c r="AB232" s="7" t="n">
        <v>18988.3993863935</v>
      </c>
      <c r="AC232" s="7" t="n">
        <v>41497.28076229156</v>
      </c>
      <c r="AD232" s="7" t="n">
        <v>-22508.88137589806</v>
      </c>
      <c r="AE232" s="6" t="n">
        <v>-0.5424182250599853</v>
      </c>
    </row>
    <row r="233">
      <c r="A233" s="2" t="n">
        <v>224</v>
      </c>
      <c r="B233" s="2" t="inlineStr">
        <is>
          <t>KPROP-00224</t>
        </is>
      </c>
      <c r="C233" s="3" t="n">
        <v>45888</v>
      </c>
      <c r="D233" s="2" t="inlineStr">
        <is>
          <t>Max Scherzer</t>
        </is>
      </c>
      <c r="E233" s="2" t="inlineStr">
        <is>
          <t>Win</t>
        </is>
      </c>
      <c r="F233" s="2" t="n">
        <v>1.1</v>
      </c>
      <c r="G233" s="6" t="n">
        <v>0.2687173390668318</v>
      </c>
      <c r="H233" s="7" t="n">
        <v>100</v>
      </c>
      <c r="I233" s="7" t="n">
        <v>110</v>
      </c>
      <c r="J233" s="7" t="n">
        <v>11620.7608488181</v>
      </c>
      <c r="K233" s="7" t="n">
        <v>12267.8788782997</v>
      </c>
      <c r="L233" s="7" t="n">
        <v>-647.118029481604</v>
      </c>
      <c r="M233" s="6" t="n">
        <v>-0.05274897444791964</v>
      </c>
      <c r="N233" s="7" t="n">
        <v>115.0409387067329</v>
      </c>
      <c r="O233" s="7" t="n">
        <v>126.5450325774062</v>
      </c>
      <c r="P233" s="7" t="n">
        <v>11630.6389032507</v>
      </c>
      <c r="Q233" s="7" t="n">
        <v>12421.15330293068</v>
      </c>
      <c r="R233" s="7" t="n">
        <v>-790.5143996799889</v>
      </c>
      <c r="S233" s="6" t="n">
        <v>-0.06364259263215699</v>
      </c>
      <c r="T233" s="7" t="n">
        <v>1162.776046514014</v>
      </c>
      <c r="U233" s="7" t="n">
        <v>1279.053651165416</v>
      </c>
      <c r="V233" s="7" t="n">
        <v>18587.59132204231</v>
      </c>
      <c r="W233" s="7" t="n">
        <v>24768.40123332177</v>
      </c>
      <c r="X233" s="7" t="n">
        <v>-6180.809911279466</v>
      </c>
      <c r="Y233" s="6" t="n">
        <v>-0.2495441612502713</v>
      </c>
      <c r="Z233" s="7" t="n">
        <v>2551.256078124962</v>
      </c>
      <c r="AA233" s="7" t="n">
        <v>2806.381685937458</v>
      </c>
      <c r="AB233" s="7" t="n">
        <v>21794.78107233096</v>
      </c>
      <c r="AC233" s="7" t="n">
        <v>41497.28076229156</v>
      </c>
      <c r="AD233" s="7" t="n">
        <v>-19702.4996899606</v>
      </c>
      <c r="AE233" s="6" t="n">
        <v>-0.4747901387279379</v>
      </c>
    </row>
    <row r="234">
      <c r="A234" s="2" t="n">
        <v>225</v>
      </c>
      <c r="B234" s="2" t="inlineStr">
        <is>
          <t>KPROP-00225</t>
        </is>
      </c>
      <c r="C234" s="3" t="n">
        <v>45888</v>
      </c>
      <c r="D234" s="2" t="inlineStr">
        <is>
          <t>Seth Lugo</t>
        </is>
      </c>
      <c r="E234" s="2" t="inlineStr">
        <is>
          <t>Loss</t>
        </is>
      </c>
      <c r="F234" s="2" t="n">
        <v>-1</v>
      </c>
      <c r="G234" s="6" t="n">
        <v>0.2373015227456681</v>
      </c>
      <c r="H234" s="7" t="n">
        <v>100</v>
      </c>
      <c r="I234" s="7" t="n">
        <v>-100</v>
      </c>
      <c r="J234" s="7" t="n">
        <v>11520.7608488181</v>
      </c>
      <c r="K234" s="7" t="n">
        <v>12267.8788782997</v>
      </c>
      <c r="L234" s="7" t="n">
        <v>-747.118029481604</v>
      </c>
      <c r="M234" s="6" t="n">
        <v>-0.0609003428296932</v>
      </c>
      <c r="N234" s="7" t="n">
        <v>116.306389032507</v>
      </c>
      <c r="O234" s="7" t="n">
        <v>-116.306389032507</v>
      </c>
      <c r="P234" s="7" t="n">
        <v>11514.33251421819</v>
      </c>
      <c r="Q234" s="7" t="n">
        <v>12421.15330293068</v>
      </c>
      <c r="R234" s="7" t="n">
        <v>-906.8207887124954</v>
      </c>
      <c r="S234" s="6" t="n">
        <v>-0.07300616670583539</v>
      </c>
      <c r="T234" s="7" t="n">
        <v>1102.715931223701</v>
      </c>
      <c r="U234" s="7" t="n">
        <v>-1102.715931223701</v>
      </c>
      <c r="V234" s="7" t="n">
        <v>17484.8753908186</v>
      </c>
      <c r="W234" s="7" t="n">
        <v>24768.40123332177</v>
      </c>
      <c r="X234" s="7" t="n">
        <v>-7283.525842503168</v>
      </c>
      <c r="Y234" s="6" t="n">
        <v>-0.2940652395724433</v>
      </c>
      <c r="Z234" s="7" t="n">
        <v>2585.967368186301</v>
      </c>
      <c r="AA234" s="7" t="n">
        <v>-2585.967368186301</v>
      </c>
      <c r="AB234" s="7" t="n">
        <v>19208.81370414466</v>
      </c>
      <c r="AC234" s="7" t="n">
        <v>41497.28076229156</v>
      </c>
      <c r="AD234" s="7" t="n">
        <v>-22288.4670581469</v>
      </c>
      <c r="AE234" s="6" t="n">
        <v>-0.5371066886483886</v>
      </c>
    </row>
    <row r="235">
      <c r="A235" s="2" t="n">
        <v>226</v>
      </c>
      <c r="B235" s="2" t="inlineStr">
        <is>
          <t>KPROP-00226</t>
        </is>
      </c>
      <c r="C235" s="3" t="n">
        <v>45889</v>
      </c>
      <c r="D235" s="2" t="inlineStr">
        <is>
          <t>Bailey Ober</t>
        </is>
      </c>
      <c r="E235" s="2" t="inlineStr">
        <is>
          <t>Loss</t>
        </is>
      </c>
      <c r="F235" s="2" t="n">
        <v>-1</v>
      </c>
      <c r="G235" s="6" t="n">
        <v>0.1231350203111415</v>
      </c>
      <c r="H235" s="7" t="n">
        <v>100</v>
      </c>
      <c r="I235" s="7" t="n">
        <v>-100</v>
      </c>
      <c r="J235" s="7" t="n">
        <v>11420.7608488181</v>
      </c>
      <c r="K235" s="7" t="n">
        <v>12267.8788782997</v>
      </c>
      <c r="L235" s="7" t="n">
        <v>-847.118029481604</v>
      </c>
      <c r="M235" s="6" t="n">
        <v>-0.06905171121146678</v>
      </c>
      <c r="N235" s="7" t="n">
        <v>115.1433251421819</v>
      </c>
      <c r="O235" s="7" t="n">
        <v>-115.1433251421819</v>
      </c>
      <c r="P235" s="7" t="n">
        <v>11399.18918907601</v>
      </c>
      <c r="Q235" s="7" t="n">
        <v>12421.15330293068</v>
      </c>
      <c r="R235" s="7" t="n">
        <v>-1021.964113854678</v>
      </c>
      <c r="S235" s="6" t="n">
        <v>-0.08227610503877707</v>
      </c>
      <c r="T235" s="7" t="n">
        <v>538.2501215965569</v>
      </c>
      <c r="U235" s="7" t="n">
        <v>-538.2501215965569</v>
      </c>
      <c r="V235" s="7" t="n">
        <v>16946.62526922205</v>
      </c>
      <c r="W235" s="7" t="n">
        <v>24768.40123332177</v>
      </c>
      <c r="X235" s="7" t="n">
        <v>-7821.775964099725</v>
      </c>
      <c r="Y235" s="6" t="n">
        <v>-0.3157965623383404</v>
      </c>
      <c r="Z235" s="7" t="n">
        <v>1182.638832806393</v>
      </c>
      <c r="AA235" s="7" t="n">
        <v>-1182.638832806393</v>
      </c>
      <c r="AB235" s="7" t="n">
        <v>18026.17487133826</v>
      </c>
      <c r="AC235" s="7" t="n">
        <v>41497.28076229156</v>
      </c>
      <c r="AD235" s="7" t="n">
        <v>-23471.10589095329</v>
      </c>
      <c r="AE235" s="6" t="n">
        <v>-0.5656058772959748</v>
      </c>
    </row>
    <row r="236">
      <c r="A236" s="2" t="n">
        <v>227</v>
      </c>
      <c r="B236" s="2" t="inlineStr">
        <is>
          <t>KPROP-00227</t>
        </is>
      </c>
      <c r="C236" s="3" t="n">
        <v>45889</v>
      </c>
      <c r="D236" s="2" t="inlineStr">
        <is>
          <t>Bailey Ober</t>
        </is>
      </c>
      <c r="E236" s="2" t="inlineStr">
        <is>
          <t>Loss</t>
        </is>
      </c>
      <c r="F236" s="2" t="n">
        <v>-1</v>
      </c>
      <c r="G236" s="6" t="n">
        <v>0.1683940714753325</v>
      </c>
      <c r="H236" s="7" t="n">
        <v>100</v>
      </c>
      <c r="I236" s="7" t="n">
        <v>-100</v>
      </c>
      <c r="J236" s="7" t="n">
        <v>11320.7608488181</v>
      </c>
      <c r="K236" s="7" t="n">
        <v>12267.8788782997</v>
      </c>
      <c r="L236" s="7" t="n">
        <v>-947.118029481604</v>
      </c>
      <c r="M236" s="6" t="n">
        <v>-0.07720307959324034</v>
      </c>
      <c r="N236" s="7" t="n">
        <v>113.9918918907601</v>
      </c>
      <c r="O236" s="7" t="n">
        <v>-113.9918918907601</v>
      </c>
      <c r="P236" s="7" t="n">
        <v>11285.19729718525</v>
      </c>
      <c r="Q236" s="7" t="n">
        <v>12421.15330293068</v>
      </c>
      <c r="R236" s="7" t="n">
        <v>-1135.956005745438</v>
      </c>
      <c r="S236" s="6" t="n">
        <v>-0.09145334398838934</v>
      </c>
      <c r="T236" s="7" t="n">
        <v>713.4278067127633</v>
      </c>
      <c r="U236" s="7" t="n">
        <v>-713.4278067127633</v>
      </c>
      <c r="V236" s="7" t="n">
        <v>16233.19746250928</v>
      </c>
      <c r="W236" s="7" t="n">
        <v>24768.40123332177</v>
      </c>
      <c r="X236" s="7" t="n">
        <v>-8535.203770812488</v>
      </c>
      <c r="Y236" s="6" t="n">
        <v>-0.3446005129846568</v>
      </c>
      <c r="Z236" s="7" t="n">
        <v>1517.750489855489</v>
      </c>
      <c r="AA236" s="7" t="n">
        <v>-1517.750489855489</v>
      </c>
      <c r="AB236" s="7" t="n">
        <v>16508.42438148277</v>
      </c>
      <c r="AC236" s="7" t="n">
        <v>41497.28076229156</v>
      </c>
      <c r="AD236" s="7" t="n">
        <v>-24988.85638080879</v>
      </c>
      <c r="AE236" s="6" t="n">
        <v>-0.6021805747695178</v>
      </c>
    </row>
    <row r="237">
      <c r="A237" s="2" t="n">
        <v>228</v>
      </c>
      <c r="B237" s="2" t="inlineStr">
        <is>
          <t>KPROP-00228</t>
        </is>
      </c>
      <c r="C237" s="3" t="n">
        <v>45889</v>
      </c>
      <c r="D237" s="2" t="inlineStr">
        <is>
          <t>Hurston Waldrep</t>
        </is>
      </c>
      <c r="E237" s="2" t="inlineStr">
        <is>
          <t>Loss</t>
        </is>
      </c>
      <c r="F237" s="2" t="n">
        <v>-1</v>
      </c>
      <c r="G237" s="6" t="n">
        <v>0.1163209110900304</v>
      </c>
      <c r="H237" s="7" t="n">
        <v>100</v>
      </c>
      <c r="I237" s="7" t="n">
        <v>-100</v>
      </c>
      <c r="J237" s="7" t="n">
        <v>11220.7608488181</v>
      </c>
      <c r="K237" s="7" t="n">
        <v>12267.8788782997</v>
      </c>
      <c r="L237" s="7" t="n">
        <v>-1047.118029481604</v>
      </c>
      <c r="M237" s="6" t="n">
        <v>-0.0853544479750139</v>
      </c>
      <c r="N237" s="7" t="n">
        <v>112.8519729718525</v>
      </c>
      <c r="O237" s="7" t="n">
        <v>-112.8519729718525</v>
      </c>
      <c r="P237" s="7" t="n">
        <v>11172.34532421339</v>
      </c>
      <c r="Q237" s="7" t="n">
        <v>12421.15330293068</v>
      </c>
      <c r="R237" s="7" t="n">
        <v>-1248.80797871729</v>
      </c>
      <c r="S237" s="6" t="n">
        <v>-0.1005388105485054</v>
      </c>
      <c r="T237" s="7" t="n">
        <v>472.0650796858623</v>
      </c>
      <c r="U237" s="7" t="n">
        <v>-472.0650796858623</v>
      </c>
      <c r="V237" s="7" t="n">
        <v>15761.13238282342</v>
      </c>
      <c r="W237" s="7" t="n">
        <v>24768.40123332177</v>
      </c>
      <c r="X237" s="7" t="n">
        <v>-9007.268850498351</v>
      </c>
      <c r="Y237" s="6" t="n">
        <v>-0.3636596793490476</v>
      </c>
      <c r="Z237" s="7" t="n">
        <v>960.1374823574737</v>
      </c>
      <c r="AA237" s="7" t="n">
        <v>-960.1374823574737</v>
      </c>
      <c r="AB237" s="7" t="n">
        <v>15548.2868991253</v>
      </c>
      <c r="AC237" s="7" t="n">
        <v>41497.28076229156</v>
      </c>
      <c r="AD237" s="7" t="n">
        <v>-25948.99386316626</v>
      </c>
      <c r="AE237" s="6" t="n">
        <v>-0.6253179337655788</v>
      </c>
    </row>
    <row r="238">
      <c r="A238" s="2" t="n">
        <v>229</v>
      </c>
      <c r="B238" s="2" t="inlineStr">
        <is>
          <t>KPROP-00229</t>
        </is>
      </c>
      <c r="C238" s="3" t="n">
        <v>45889</v>
      </c>
      <c r="D238" s="2" t="inlineStr">
        <is>
          <t>Hurston Waldrep</t>
        </is>
      </c>
      <c r="E238" s="2" t="inlineStr">
        <is>
          <t>Loss</t>
        </is>
      </c>
      <c r="F238" s="2" t="n">
        <v>-1</v>
      </c>
      <c r="G238" s="6" t="n">
        <v>0.138070985088279</v>
      </c>
      <c r="H238" s="7" t="n">
        <v>100</v>
      </c>
      <c r="I238" s="7" t="n">
        <v>-100</v>
      </c>
      <c r="J238" s="7" t="n">
        <v>11120.7608488181</v>
      </c>
      <c r="K238" s="7" t="n">
        <v>12267.8788782997</v>
      </c>
      <c r="L238" s="7" t="n">
        <v>-1147.118029481604</v>
      </c>
      <c r="M238" s="6" t="n">
        <v>-0.09350581635678748</v>
      </c>
      <c r="N238" s="7" t="n">
        <v>111.7234532421339</v>
      </c>
      <c r="O238" s="7" t="n">
        <v>-111.7234532421339</v>
      </c>
      <c r="P238" s="7" t="n">
        <v>11060.62187097126</v>
      </c>
      <c r="Q238" s="7" t="n">
        <v>12421.15330293068</v>
      </c>
      <c r="R238" s="7" t="n">
        <v>-1360.531431959424</v>
      </c>
      <c r="S238" s="6" t="n">
        <v>-0.1095334224430203</v>
      </c>
      <c r="T238" s="7" t="n">
        <v>544.0387685508009</v>
      </c>
      <c r="U238" s="7" t="n">
        <v>-544.0387685508009</v>
      </c>
      <c r="V238" s="7" t="n">
        <v>15217.09361427262</v>
      </c>
      <c r="W238" s="7" t="n">
        <v>24768.40123332177</v>
      </c>
      <c r="X238" s="7" t="n">
        <v>-9551.307619049152</v>
      </c>
      <c r="Y238" s="6" t="n">
        <v>-0.3856247130799647</v>
      </c>
      <c r="Z238" s="7" t="n">
        <v>1073.383644298706</v>
      </c>
      <c r="AA238" s="7" t="n">
        <v>-1073.383644298706</v>
      </c>
      <c r="AB238" s="7" t="n">
        <v>14474.90325482659</v>
      </c>
      <c r="AC238" s="7" t="n">
        <v>41497.28076229156</v>
      </c>
      <c r="AD238" s="7" t="n">
        <v>-27022.37750746497</v>
      </c>
      <c r="AE238" s="6" t="n">
        <v>-0.651184294755528</v>
      </c>
    </row>
    <row r="239">
      <c r="A239" s="2" t="n">
        <v>230</v>
      </c>
      <c r="B239" s="2" t="inlineStr">
        <is>
          <t>KPROP-00230</t>
        </is>
      </c>
      <c r="C239" s="3" t="n">
        <v>45889</v>
      </c>
      <c r="D239" s="2" t="inlineStr">
        <is>
          <t>Kodai Senga</t>
        </is>
      </c>
      <c r="E239" s="2" t="inlineStr">
        <is>
          <t>Win</t>
        </is>
      </c>
      <c r="F239" s="2" t="n">
        <v>1.43</v>
      </c>
      <c r="G239" s="6" t="n">
        <v>0.1604647180302942</v>
      </c>
      <c r="H239" s="7" t="n">
        <v>100</v>
      </c>
      <c r="I239" s="7" t="n">
        <v>143</v>
      </c>
      <c r="J239" s="7" t="n">
        <v>11263.7608488181</v>
      </c>
      <c r="K239" s="7" t="n">
        <v>12267.8788782997</v>
      </c>
      <c r="L239" s="7" t="n">
        <v>-1004.118029481604</v>
      </c>
      <c r="M239" s="6" t="n">
        <v>-0.08184935957085128</v>
      </c>
      <c r="N239" s="7" t="n">
        <v>110.6062187097126</v>
      </c>
      <c r="O239" s="7" t="n">
        <v>158.166892754889</v>
      </c>
      <c r="P239" s="7" t="n">
        <v>11218.78876372615</v>
      </c>
      <c r="Q239" s="7" t="n">
        <v>12421.15330293068</v>
      </c>
      <c r="R239" s="7" t="n">
        <v>-1202.364539204535</v>
      </c>
      <c r="S239" s="6" t="n">
        <v>-0.0967997503839555</v>
      </c>
      <c r="T239" s="7" t="n">
        <v>610.4516590137115</v>
      </c>
      <c r="U239" s="7" t="n">
        <v>872.9458723896073</v>
      </c>
      <c r="V239" s="7" t="n">
        <v>16090.03948666223</v>
      </c>
      <c r="W239" s="7" t="n">
        <v>24768.40123332177</v>
      </c>
      <c r="X239" s="7" t="n">
        <v>-8678.361746659544</v>
      </c>
      <c r="Y239" s="6" t="n">
        <v>-0.35038037638797</v>
      </c>
      <c r="Z239" s="7" t="n">
        <v>1161.355634650768</v>
      </c>
      <c r="AA239" s="7" t="n">
        <v>1660.738557550598</v>
      </c>
      <c r="AB239" s="7" t="n">
        <v>16135.64181237719</v>
      </c>
      <c r="AC239" s="7" t="n">
        <v>41497.28076229156</v>
      </c>
      <c r="AD239" s="7" t="n">
        <v>-25361.63894991437</v>
      </c>
      <c r="AE239" s="6" t="n">
        <v>-0.6111638758981145</v>
      </c>
    </row>
    <row r="240">
      <c r="A240" s="2" t="n">
        <v>231</v>
      </c>
      <c r="B240" s="2" t="inlineStr">
        <is>
          <t>KPROP-00231</t>
        </is>
      </c>
      <c r="C240" s="3" t="n">
        <v>45889</v>
      </c>
      <c r="D240" s="2" t="inlineStr">
        <is>
          <t>Kodai Senga</t>
        </is>
      </c>
      <c r="E240" s="2" t="inlineStr">
        <is>
          <t>Win</t>
        </is>
      </c>
      <c r="F240" s="2" t="n">
        <v>0.6993006993006992</v>
      </c>
      <c r="G240" s="6" t="n">
        <v>0.2200482164194082</v>
      </c>
      <c r="H240" s="7" t="n">
        <v>100</v>
      </c>
      <c r="I240" s="7" t="n">
        <v>69.93006993006992</v>
      </c>
      <c r="J240" s="7" t="n">
        <v>11333.69091874817</v>
      </c>
      <c r="K240" s="7" t="n">
        <v>12267.8788782997</v>
      </c>
      <c r="L240" s="7" t="n">
        <v>-934.1879595515347</v>
      </c>
      <c r="M240" s="6" t="n">
        <v>-0.07614910196121946</v>
      </c>
      <c r="N240" s="7" t="n">
        <v>112.1878876372615</v>
      </c>
      <c r="O240" s="7" t="n">
        <v>78.45306827780523</v>
      </c>
      <c r="P240" s="7" t="n">
        <v>11297.24183200396</v>
      </c>
      <c r="Q240" s="7" t="n">
        <v>12421.15330293068</v>
      </c>
      <c r="R240" s="7" t="n">
        <v>-1123.911470926729</v>
      </c>
      <c r="S240" s="6" t="n">
        <v>-0.09048366472230478</v>
      </c>
      <c r="T240" s="7" t="n">
        <v>885.1461227894684</v>
      </c>
      <c r="U240" s="7" t="n">
        <v>618.9833026499778</v>
      </c>
      <c r="V240" s="7" t="n">
        <v>16709.02278931221</v>
      </c>
      <c r="W240" s="7" t="n">
        <v>24768.40123332177</v>
      </c>
      <c r="X240" s="7" t="n">
        <v>-8059.378444009566</v>
      </c>
      <c r="Y240" s="6" t="n">
        <v>-0.3253895303168381</v>
      </c>
      <c r="Z240" s="7" t="n">
        <v>1775.309600798014</v>
      </c>
      <c r="AA240" s="7" t="n">
        <v>1241.475245313296</v>
      </c>
      <c r="AB240" s="7" t="n">
        <v>17377.11705769048</v>
      </c>
      <c r="AC240" s="7" t="n">
        <v>41497.28076229156</v>
      </c>
      <c r="AD240" s="7" t="n">
        <v>-24120.16370460107</v>
      </c>
      <c r="AE240" s="6" t="n">
        <v>-0.5812468494687244</v>
      </c>
    </row>
    <row r="241">
      <c r="A241" s="2" t="n">
        <v>232</v>
      </c>
      <c r="B241" s="2" t="inlineStr">
        <is>
          <t>KPROP-00232</t>
        </is>
      </c>
      <c r="C241" s="3" t="n">
        <v>45890</v>
      </c>
      <c r="D241" s="2" t="inlineStr">
        <is>
          <t>Dylan Cease</t>
        </is>
      </c>
      <c r="E241" s="2" t="inlineStr">
        <is>
          <t>Loss</t>
        </is>
      </c>
      <c r="F241" s="2" t="n">
        <v>-1</v>
      </c>
      <c r="G241" s="6" t="n">
        <v>0.11360328111223</v>
      </c>
      <c r="H241" s="7" t="n">
        <v>100</v>
      </c>
      <c r="I241" s="7" t="n">
        <v>-100</v>
      </c>
      <c r="J241" s="7" t="n">
        <v>11233.69091874817</v>
      </c>
      <c r="K241" s="7" t="n">
        <v>12267.8788782997</v>
      </c>
      <c r="L241" s="7" t="n">
        <v>-1034.187959551535</v>
      </c>
      <c r="M241" s="6" t="n">
        <v>-0.08430047034299303</v>
      </c>
      <c r="N241" s="7" t="n">
        <v>112.9724183200396</v>
      </c>
      <c r="O241" s="7" t="n">
        <v>-112.9724183200396</v>
      </c>
      <c r="P241" s="7" t="n">
        <v>11184.26941368392</v>
      </c>
      <c r="Q241" s="7" t="n">
        <v>12421.15330293068</v>
      </c>
      <c r="R241" s="7" t="n">
        <v>-1236.883889246768</v>
      </c>
      <c r="S241" s="6" t="n">
        <v>-0.09957882807508174</v>
      </c>
      <c r="T241" s="7" t="n">
        <v>474.5499532612231</v>
      </c>
      <c r="U241" s="7" t="n">
        <v>-474.5499532612231</v>
      </c>
      <c r="V241" s="7" t="n">
        <v>16234.47283605098</v>
      </c>
      <c r="W241" s="7" t="n">
        <v>24768.40123332177</v>
      </c>
      <c r="X241" s="7" t="n">
        <v>-8533.928397270789</v>
      </c>
      <c r="Y241" s="6" t="n">
        <v>-0.3445490210240056</v>
      </c>
      <c r="Z241" s="7" t="n">
        <v>987.0487570124698</v>
      </c>
      <c r="AA241" s="7" t="n">
        <v>-987.0487570124698</v>
      </c>
      <c r="AB241" s="7" t="n">
        <v>16390.06830067801</v>
      </c>
      <c r="AC241" s="7" t="n">
        <v>41497.28076229156</v>
      </c>
      <c r="AD241" s="7" t="n">
        <v>-25107.21246161354</v>
      </c>
      <c r="AE241" s="6" t="n">
        <v>-0.6050327154069427</v>
      </c>
    </row>
    <row r="242">
      <c r="A242" s="2" t="n">
        <v>233</v>
      </c>
      <c r="B242" s="2" t="inlineStr">
        <is>
          <t>KPROP-00233</t>
        </is>
      </c>
      <c r="C242" s="3" t="n">
        <v>45890</v>
      </c>
      <c r="D242" s="2" t="inlineStr">
        <is>
          <t>MacKenzie Gore</t>
        </is>
      </c>
      <c r="E242" s="2" t="inlineStr">
        <is>
          <t>Win</t>
        </is>
      </c>
      <c r="F242" s="2" t="n">
        <v>1.2</v>
      </c>
      <c r="G242" s="6" t="n">
        <v>0.1203432229515544</v>
      </c>
      <c r="H242" s="7" t="n">
        <v>100</v>
      </c>
      <c r="I242" s="7" t="n">
        <v>120</v>
      </c>
      <c r="J242" s="7" t="n">
        <v>11353.69091874817</v>
      </c>
      <c r="K242" s="7" t="n">
        <v>12267.8788782997</v>
      </c>
      <c r="L242" s="7" t="n">
        <v>-914.1879595515347</v>
      </c>
      <c r="M242" s="6" t="n">
        <v>-0.07451882828486475</v>
      </c>
      <c r="N242" s="7" t="n">
        <v>111.8426941368392</v>
      </c>
      <c r="O242" s="7" t="n">
        <v>134.211232964207</v>
      </c>
      <c r="P242" s="7" t="n">
        <v>11318.48064664812</v>
      </c>
      <c r="Q242" s="7" t="n">
        <v>12421.15330293068</v>
      </c>
      <c r="R242" s="7" t="n">
        <v>-1102.672656282561</v>
      </c>
      <c r="S242" s="6" t="n">
        <v>-0.08877377401198266</v>
      </c>
      <c r="T242" s="7" t="n">
        <v>488.4271960024593</v>
      </c>
      <c r="U242" s="7" t="n">
        <v>586.1126352029513</v>
      </c>
      <c r="V242" s="7" t="n">
        <v>16820.58547125393</v>
      </c>
      <c r="W242" s="7" t="n">
        <v>24768.40123332177</v>
      </c>
      <c r="X242" s="7" t="n">
        <v>-7947.815762067839</v>
      </c>
      <c r="Y242" s="6" t="n">
        <v>-0.3208852960349888</v>
      </c>
      <c r="Z242" s="7" t="n">
        <v>986.2168218498492</v>
      </c>
      <c r="AA242" s="7" t="n">
        <v>1183.460186219819</v>
      </c>
      <c r="AB242" s="7" t="n">
        <v>17573.52848689783</v>
      </c>
      <c r="AC242" s="7" t="n">
        <v>41497.28076229156</v>
      </c>
      <c r="AD242" s="7" t="n">
        <v>-23923.75227539373</v>
      </c>
      <c r="AE242" s="6" t="n">
        <v>-0.5765137338139313</v>
      </c>
    </row>
    <row r="243">
      <c r="A243" s="2" t="n">
        <v>234</v>
      </c>
      <c r="B243" s="2" t="inlineStr">
        <is>
          <t>KPROP-00234</t>
        </is>
      </c>
      <c r="C243" s="3" t="n">
        <v>45890</v>
      </c>
      <c r="D243" s="2" t="inlineStr">
        <is>
          <t>MacKenzie Gore</t>
        </is>
      </c>
      <c r="E243" s="2" t="inlineStr">
        <is>
          <t>Win</t>
        </is>
      </c>
      <c r="F243" s="2" t="n">
        <v>0.625</v>
      </c>
      <c r="G243" s="6" t="n">
        <v>0.1627870102685304</v>
      </c>
      <c r="H243" s="7" t="n">
        <v>100</v>
      </c>
      <c r="I243" s="7" t="n">
        <v>62.5</v>
      </c>
      <c r="J243" s="7" t="n">
        <v>11416.19091874817</v>
      </c>
      <c r="K243" s="7" t="n">
        <v>12267.8788782997</v>
      </c>
      <c r="L243" s="7" t="n">
        <v>-851.6879595515347</v>
      </c>
      <c r="M243" s="6" t="n">
        <v>-0.06942422304625627</v>
      </c>
      <c r="N243" s="7" t="n">
        <v>113.1848064664812</v>
      </c>
      <c r="O243" s="7" t="n">
        <v>70.74050404155078</v>
      </c>
      <c r="P243" s="7" t="n">
        <v>11389.22115068967</v>
      </c>
      <c r="Q243" s="7" t="n">
        <v>12421.15330293068</v>
      </c>
      <c r="R243" s="7" t="n">
        <v>-1031.93215224101</v>
      </c>
      <c r="S243" s="6" t="n">
        <v>-0.08307861009955757</v>
      </c>
      <c r="T243" s="7" t="n">
        <v>684.5432049579269</v>
      </c>
      <c r="U243" s="7" t="n">
        <v>427.8395030987043</v>
      </c>
      <c r="V243" s="7" t="n">
        <v>17248.42497435264</v>
      </c>
      <c r="W243" s="7" t="n">
        <v>24768.40123332177</v>
      </c>
      <c r="X243" s="7" t="n">
        <v>-7519.976258969135</v>
      </c>
      <c r="Y243" s="6" t="n">
        <v>-0.3036116941150103</v>
      </c>
      <c r="Z243" s="7" t="n">
        <v>1430.371081125475</v>
      </c>
      <c r="AA243" s="7" t="n">
        <v>893.9819257034217</v>
      </c>
      <c r="AB243" s="7" t="n">
        <v>18467.51041260125</v>
      </c>
      <c r="AC243" s="7" t="n">
        <v>41497.28076229156</v>
      </c>
      <c r="AD243" s="7" t="n">
        <v>-23029.77034969031</v>
      </c>
      <c r="AE243" s="6" t="n">
        <v>-0.5549705890757397</v>
      </c>
    </row>
    <row r="244">
      <c r="A244" s="2" t="n">
        <v>235</v>
      </c>
      <c r="B244" s="2" t="inlineStr">
        <is>
          <t>KPROP-00235</t>
        </is>
      </c>
      <c r="C244" s="3" t="n">
        <v>45890</v>
      </c>
      <c r="D244" s="2" t="inlineStr">
        <is>
          <t>Sean Manaea</t>
        </is>
      </c>
      <c r="E244" s="2" t="inlineStr">
        <is>
          <t>Loss</t>
        </is>
      </c>
      <c r="F244" s="2" t="n">
        <v>-1</v>
      </c>
      <c r="G244" s="6" t="n">
        <v>0.2530822299795507</v>
      </c>
      <c r="H244" s="7" t="n">
        <v>100</v>
      </c>
      <c r="I244" s="7" t="n">
        <v>-100</v>
      </c>
      <c r="J244" s="7" t="n">
        <v>11316.19091874817</v>
      </c>
      <c r="K244" s="7" t="n">
        <v>12267.8788782997</v>
      </c>
      <c r="L244" s="7" t="n">
        <v>-951.6879595515347</v>
      </c>
      <c r="M244" s="6" t="n">
        <v>-0.07757559142802983</v>
      </c>
      <c r="N244" s="7" t="n">
        <v>113.8922115068967</v>
      </c>
      <c r="O244" s="7" t="n">
        <v>-113.8922115068967</v>
      </c>
      <c r="P244" s="7" t="n">
        <v>11275.32893918278</v>
      </c>
      <c r="Q244" s="7" t="n">
        <v>12421.15330293068</v>
      </c>
      <c r="R244" s="7" t="n">
        <v>-1145.824363747906</v>
      </c>
      <c r="S244" s="6" t="n">
        <v>-0.09224782399856196</v>
      </c>
      <c r="T244" s="7" t="n">
        <v>1091.317464036035</v>
      </c>
      <c r="U244" s="7" t="n">
        <v>-1091.317464036035</v>
      </c>
      <c r="V244" s="7" t="n">
        <v>16157.1075103166</v>
      </c>
      <c r="W244" s="7" t="n">
        <v>24768.40123332177</v>
      </c>
      <c r="X244" s="7" t="n">
        <v>-8611.293723005168</v>
      </c>
      <c r="Y244" s="6" t="n">
        <v>-0.3476725704612739</v>
      </c>
      <c r="Z244" s="7" t="n">
        <v>2336.899358695848</v>
      </c>
      <c r="AA244" s="7" t="n">
        <v>-2336.899358695848</v>
      </c>
      <c r="AB244" s="7" t="n">
        <v>16130.6110539054</v>
      </c>
      <c r="AC244" s="7" t="n">
        <v>41497.28076229156</v>
      </c>
      <c r="AD244" s="7" t="n">
        <v>-25366.66970838615</v>
      </c>
      <c r="AE244" s="6" t="n">
        <v>-0.6112851069373384</v>
      </c>
    </row>
    <row r="245">
      <c r="A245" s="2" t="n">
        <v>236</v>
      </c>
      <c r="B245" s="2" t="inlineStr">
        <is>
          <t>KPROP-00236</t>
        </is>
      </c>
      <c r="C245" s="3" t="n">
        <v>45890</v>
      </c>
      <c r="D245" s="2" t="inlineStr">
        <is>
          <t>Sean Manaea</t>
        </is>
      </c>
      <c r="E245" s="2" t="inlineStr">
        <is>
          <t>Loss</t>
        </is>
      </c>
      <c r="F245" s="2" t="n">
        <v>-1</v>
      </c>
      <c r="G245" s="6" t="n">
        <v>0.2554265308328145</v>
      </c>
      <c r="H245" s="7" t="n">
        <v>100</v>
      </c>
      <c r="I245" s="7" t="n">
        <v>-100</v>
      </c>
      <c r="J245" s="7" t="n">
        <v>11216.19091874817</v>
      </c>
      <c r="K245" s="7" t="n">
        <v>12267.8788782997</v>
      </c>
      <c r="L245" s="7" t="n">
        <v>-1051.687959551535</v>
      </c>
      <c r="M245" s="6" t="n">
        <v>-0.0857269598098034</v>
      </c>
      <c r="N245" s="7" t="n">
        <v>112.7532893918278</v>
      </c>
      <c r="O245" s="7" t="n">
        <v>-112.7532893918278</v>
      </c>
      <c r="P245" s="7" t="n">
        <v>11162.57564979095</v>
      </c>
      <c r="Q245" s="7" t="n">
        <v>12421.15330293068</v>
      </c>
      <c r="R245" s="7" t="n">
        <v>-1258.577653139733</v>
      </c>
      <c r="S245" s="6" t="n">
        <v>-0.1013253457585763</v>
      </c>
      <c r="T245" s="7" t="n">
        <v>1031.738479913246</v>
      </c>
      <c r="U245" s="7" t="n">
        <v>-1031.738479913246</v>
      </c>
      <c r="V245" s="7" t="n">
        <v>15125.36903040336</v>
      </c>
      <c r="W245" s="7" t="n">
        <v>24768.40123332177</v>
      </c>
      <c r="X245" s="7" t="n">
        <v>-9643.032202918414</v>
      </c>
      <c r="Y245" s="6" t="n">
        <v>-0.3893280035348149</v>
      </c>
      <c r="Z245" s="7" t="n">
        <v>2060.093010856254</v>
      </c>
      <c r="AA245" s="7" t="n">
        <v>-2060.093010856254</v>
      </c>
      <c r="AB245" s="7" t="n">
        <v>14070.51804304915</v>
      </c>
      <c r="AC245" s="7" t="n">
        <v>41497.28076229156</v>
      </c>
      <c r="AD245" s="7" t="n">
        <v>-27426.7627192424</v>
      </c>
      <c r="AE245" s="6" t="n">
        <v>-0.6609291552463604</v>
      </c>
    </row>
    <row r="246">
      <c r="A246" s="2" t="n">
        <v>237</v>
      </c>
      <c r="B246" s="2" t="inlineStr">
        <is>
          <t>KPROP-00237</t>
        </is>
      </c>
      <c r="C246" s="3" t="n">
        <v>45890</v>
      </c>
      <c r="D246" s="2" t="inlineStr">
        <is>
          <t>Shota Imanaga</t>
        </is>
      </c>
      <c r="E246" s="2" t="inlineStr">
        <is>
          <t>Loss</t>
        </is>
      </c>
      <c r="F246" s="2" t="n">
        <v>-1</v>
      </c>
      <c r="G246" s="6" t="n">
        <v>0.1269712377381638</v>
      </c>
      <c r="H246" s="7" t="n">
        <v>100</v>
      </c>
      <c r="I246" s="7" t="n">
        <v>-100</v>
      </c>
      <c r="J246" s="7" t="n">
        <v>11116.19091874817</v>
      </c>
      <c r="K246" s="7" t="n">
        <v>12267.8788782997</v>
      </c>
      <c r="L246" s="7" t="n">
        <v>-1151.687959551535</v>
      </c>
      <c r="M246" s="6" t="n">
        <v>-0.09387832819157697</v>
      </c>
      <c r="N246" s="7" t="n">
        <v>111.6257564979095</v>
      </c>
      <c r="O246" s="7" t="n">
        <v>-111.6257564979095</v>
      </c>
      <c r="P246" s="7" t="n">
        <v>11050.94989329304</v>
      </c>
      <c r="Q246" s="7" t="n">
        <v>12421.15330293068</v>
      </c>
      <c r="R246" s="7" t="n">
        <v>-1370.203409637643</v>
      </c>
      <c r="S246" s="6" t="n">
        <v>-0.1103120923009905</v>
      </c>
      <c r="T246" s="7" t="n">
        <v>480.1217067592011</v>
      </c>
      <c r="U246" s="7" t="n">
        <v>-480.1217067592011</v>
      </c>
      <c r="V246" s="7" t="n">
        <v>14645.24732364416</v>
      </c>
      <c r="W246" s="7" t="n">
        <v>24768.40123332177</v>
      </c>
      <c r="X246" s="7" t="n">
        <v>-10123.15390967761</v>
      </c>
      <c r="Y246" s="6" t="n">
        <v>-0.4087124483456199</v>
      </c>
      <c r="Z246" s="7" t="n">
        <v>893.2755457715583</v>
      </c>
      <c r="AA246" s="7" t="n">
        <v>-893.2755457715583</v>
      </c>
      <c r="AB246" s="7" t="n">
        <v>13177.24249727759</v>
      </c>
      <c r="AC246" s="7" t="n">
        <v>41497.28076229156</v>
      </c>
      <c r="AD246" s="7" t="n">
        <v>-28320.03826501397</v>
      </c>
      <c r="AE246" s="6" t="n">
        <v>-0.6824552776660078</v>
      </c>
    </row>
    <row r="247">
      <c r="A247" s="2" t="n">
        <v>238</v>
      </c>
      <c r="B247" s="2" t="inlineStr">
        <is>
          <t>KPROP-00238</t>
        </is>
      </c>
      <c r="C247" s="3" t="n">
        <v>45891</v>
      </c>
      <c r="D247" s="2" t="inlineStr">
        <is>
          <t>Braxton Ashcraft</t>
        </is>
      </c>
      <c r="E247" s="2" t="inlineStr">
        <is>
          <t>Loss</t>
        </is>
      </c>
      <c r="F247" s="2" t="n">
        <v>-1</v>
      </c>
      <c r="G247" s="6" t="n">
        <v>0.08561965146829699</v>
      </c>
      <c r="H247" s="7" t="n">
        <v>100</v>
      </c>
      <c r="I247" s="7" t="n">
        <v>-100</v>
      </c>
      <c r="J247" s="7" t="n">
        <v>11016.19091874817</v>
      </c>
      <c r="K247" s="7" t="n">
        <v>12267.8788782997</v>
      </c>
      <c r="L247" s="7" t="n">
        <v>-1251.687959551535</v>
      </c>
      <c r="M247" s="6" t="n">
        <v>-0.1020296965733505</v>
      </c>
      <c r="N247" s="7" t="n">
        <v>110.5094989329304</v>
      </c>
      <c r="O247" s="7" t="n">
        <v>-110.5094989329304</v>
      </c>
      <c r="P247" s="7" t="n">
        <v>10940.44039436011</v>
      </c>
      <c r="Q247" s="7" t="n">
        <v>12421.15330293068</v>
      </c>
      <c r="R247" s="7" t="n">
        <v>-1480.712908570573</v>
      </c>
      <c r="S247" s="6" t="n">
        <v>-0.1192089713779806</v>
      </c>
      <c r="T247" s="7" t="n">
        <v>313.4802428793555</v>
      </c>
      <c r="U247" s="7" t="n">
        <v>-313.4802428793555</v>
      </c>
      <c r="V247" s="7" t="n">
        <v>14331.7670807648</v>
      </c>
      <c r="W247" s="7" t="n">
        <v>24768.40123332177</v>
      </c>
      <c r="X247" s="7" t="n">
        <v>-10436.63415255697</v>
      </c>
      <c r="Y247" s="6" t="n">
        <v>-0.4213689068681676</v>
      </c>
      <c r="Z247" s="7" t="n">
        <v>564.1154549650695</v>
      </c>
      <c r="AA247" s="7" t="n">
        <v>-564.1154549650695</v>
      </c>
      <c r="AB247" s="7" t="n">
        <v>12613.12704231252</v>
      </c>
      <c r="AC247" s="7" t="n">
        <v>41497.28076229156</v>
      </c>
      <c r="AD247" s="7" t="n">
        <v>-28884.15371997903</v>
      </c>
      <c r="AE247" s="6" t="n">
        <v>-0.6960493118919244</v>
      </c>
    </row>
    <row r="248">
      <c r="A248" s="2" t="n">
        <v>239</v>
      </c>
      <c r="B248" s="2" t="inlineStr">
        <is>
          <t>KPROP-00239</t>
        </is>
      </c>
      <c r="C248" s="3" t="n">
        <v>45891</v>
      </c>
      <c r="D248" s="2" t="inlineStr">
        <is>
          <t>Braxton Ashcraft</t>
        </is>
      </c>
      <c r="E248" s="2" t="inlineStr">
        <is>
          <t>Loss</t>
        </is>
      </c>
      <c r="F248" s="2" t="n">
        <v>-1</v>
      </c>
      <c r="G248" s="6" t="n">
        <v>0.1869467872381866</v>
      </c>
      <c r="H248" s="7" t="n">
        <v>100</v>
      </c>
      <c r="I248" s="7" t="n">
        <v>-100</v>
      </c>
      <c r="J248" s="7" t="n">
        <v>10916.19091874817</v>
      </c>
      <c r="K248" s="7" t="n">
        <v>12267.8788782997</v>
      </c>
      <c r="L248" s="7" t="n">
        <v>-1351.687959551535</v>
      </c>
      <c r="M248" s="6" t="n">
        <v>-0.1101810649551241</v>
      </c>
      <c r="N248" s="7" t="n">
        <v>109.4044039436011</v>
      </c>
      <c r="O248" s="7" t="n">
        <v>-109.4044039436011</v>
      </c>
      <c r="P248" s="7" t="n">
        <v>10831.03599041651</v>
      </c>
      <c r="Q248" s="7" t="n">
        <v>12421.15330293068</v>
      </c>
      <c r="R248" s="7" t="n">
        <v>-1590.117312514174</v>
      </c>
      <c r="S248" s="6" t="n">
        <v>-0.1280168816642008</v>
      </c>
      <c r="T248" s="7" t="n">
        <v>669.8194527987461</v>
      </c>
      <c r="U248" s="7" t="n">
        <v>-669.8194527987461</v>
      </c>
      <c r="V248" s="7" t="n">
        <v>13661.94762796606</v>
      </c>
      <c r="W248" s="7" t="n">
        <v>24768.40123332177</v>
      </c>
      <c r="X248" s="7" t="n">
        <v>-11106.45360535571</v>
      </c>
      <c r="Y248" s="6" t="n">
        <v>-0.4484122128324466</v>
      </c>
      <c r="Z248" s="7" t="n">
        <v>1178.991788793709</v>
      </c>
      <c r="AA248" s="7" t="n">
        <v>-1178.991788793709</v>
      </c>
      <c r="AB248" s="7" t="n">
        <v>11434.13525351882</v>
      </c>
      <c r="AC248" s="7" t="n">
        <v>41497.28076229156</v>
      </c>
      <c r="AD248" s="7" t="n">
        <v>-30063.14550877274</v>
      </c>
      <c r="AE248" s="6" t="n">
        <v>-0.7244606142022448</v>
      </c>
    </row>
    <row r="249">
      <c r="A249" s="2" t="n">
        <v>240</v>
      </c>
      <c r="B249" s="2" t="inlineStr">
        <is>
          <t>KPROP-00240</t>
        </is>
      </c>
      <c r="C249" s="3" t="n">
        <v>45891</v>
      </c>
      <c r="D249" s="2" t="inlineStr">
        <is>
          <t>Max Fried</t>
        </is>
      </c>
      <c r="E249" s="2" t="inlineStr">
        <is>
          <t>Loss</t>
        </is>
      </c>
      <c r="F249" s="2" t="n">
        <v>-1</v>
      </c>
      <c r="G249" s="6" t="n">
        <v>0.2278801820290758</v>
      </c>
      <c r="H249" s="7" t="n">
        <v>100</v>
      </c>
      <c r="I249" s="7" t="n">
        <v>-100</v>
      </c>
      <c r="J249" s="7" t="n">
        <v>10816.19091874817</v>
      </c>
      <c r="K249" s="7" t="n">
        <v>12267.8788782997</v>
      </c>
      <c r="L249" s="7" t="n">
        <v>-1451.687959551535</v>
      </c>
      <c r="M249" s="6" t="n">
        <v>-0.1183324333368977</v>
      </c>
      <c r="N249" s="7" t="n">
        <v>108.3103599041651</v>
      </c>
      <c r="O249" s="7" t="n">
        <v>-108.3103599041651</v>
      </c>
      <c r="P249" s="7" t="n">
        <v>10722.72563051235</v>
      </c>
      <c r="Q249" s="7" t="n">
        <v>12421.15330293068</v>
      </c>
      <c r="R249" s="7" t="n">
        <v>-1698.427672418338</v>
      </c>
      <c r="S249" s="6" t="n">
        <v>-0.1367367128475587</v>
      </c>
      <c r="T249" s="7" t="n">
        <v>778.3217780831513</v>
      </c>
      <c r="U249" s="7" t="n">
        <v>-778.3217780831513</v>
      </c>
      <c r="V249" s="7" t="n">
        <v>12883.62584988291</v>
      </c>
      <c r="W249" s="7" t="n">
        <v>24768.40123332177</v>
      </c>
      <c r="X249" s="7" t="n">
        <v>-11884.77538343887</v>
      </c>
      <c r="Y249" s="6" t="n">
        <v>-0.4798361941686359</v>
      </c>
      <c r="Z249" s="7" t="n">
        <v>1302.80641145847</v>
      </c>
      <c r="AA249" s="7" t="n">
        <v>-1302.80641145847</v>
      </c>
      <c r="AB249" s="7" t="n">
        <v>10131.32884206035</v>
      </c>
      <c r="AC249" s="7" t="n">
        <v>41497.28076229156</v>
      </c>
      <c r="AD249" s="7" t="n">
        <v>-31365.95192023121</v>
      </c>
      <c r="AE249" s="6" t="n">
        <v>-0.755855596898131</v>
      </c>
    </row>
    <row r="250">
      <c r="A250" s="2" t="n">
        <v>241</v>
      </c>
      <c r="B250" s="2" t="inlineStr">
        <is>
          <t>KPROP-00241</t>
        </is>
      </c>
      <c r="C250" s="3" t="n">
        <v>45892</v>
      </c>
      <c r="D250" s="2" t="inlineStr">
        <is>
          <t>Aaron Nola</t>
        </is>
      </c>
      <c r="E250" s="2" t="inlineStr">
        <is>
          <t>Loss</t>
        </is>
      </c>
      <c r="F250" s="2" t="n">
        <v>-1</v>
      </c>
      <c r="G250" s="6" t="n">
        <v>0.3023416618804544</v>
      </c>
      <c r="H250" s="7" t="n">
        <v>100</v>
      </c>
      <c r="I250" s="7" t="n">
        <v>-100</v>
      </c>
      <c r="J250" s="7" t="n">
        <v>10716.19091874817</v>
      </c>
      <c r="K250" s="7" t="n">
        <v>12267.8788782997</v>
      </c>
      <c r="L250" s="7" t="n">
        <v>-1551.687959551535</v>
      </c>
      <c r="M250" s="6" t="n">
        <v>-0.1264838017186712</v>
      </c>
      <c r="N250" s="7" t="n">
        <v>107.2272563051235</v>
      </c>
      <c r="O250" s="7" t="n">
        <v>-107.2272563051235</v>
      </c>
      <c r="P250" s="7" t="n">
        <v>10615.49837420722</v>
      </c>
      <c r="Q250" s="7" t="n">
        <v>12421.15330293068</v>
      </c>
      <c r="R250" s="7" t="n">
        <v>-1805.654928723461</v>
      </c>
      <c r="S250" s="6" t="n">
        <v>-0.1453693457190831</v>
      </c>
      <c r="T250" s="7" t="n">
        <v>973.8142126248949</v>
      </c>
      <c r="U250" s="7" t="n">
        <v>-973.8142126248949</v>
      </c>
      <c r="V250" s="7" t="n">
        <v>11909.81163725801</v>
      </c>
      <c r="W250" s="7" t="n">
        <v>24768.40123332177</v>
      </c>
      <c r="X250" s="7" t="n">
        <v>-12858.58959606376</v>
      </c>
      <c r="Y250" s="6" t="n">
        <v>-0.519152991544915</v>
      </c>
      <c r="Z250" s="7" t="n">
        <v>1531.561399582952</v>
      </c>
      <c r="AA250" s="7" t="n">
        <v>-1531.561399582952</v>
      </c>
      <c r="AB250" s="7" t="n">
        <v>8599.767442477394</v>
      </c>
      <c r="AC250" s="7" t="n">
        <v>41497.28076229156</v>
      </c>
      <c r="AD250" s="7" t="n">
        <v>-32897.51331981416</v>
      </c>
      <c r="AE250" s="6" t="n">
        <v>-0.7927631091844463</v>
      </c>
    </row>
    <row r="251">
      <c r="A251" s="2" t="n">
        <v>242</v>
      </c>
      <c r="B251" s="2" t="inlineStr">
        <is>
          <t>KPROP-00242</t>
        </is>
      </c>
      <c r="C251" s="3" t="n">
        <v>45892</v>
      </c>
      <c r="D251" s="2" t="inlineStr">
        <is>
          <t>Clay Holmes</t>
        </is>
      </c>
      <c r="E251" s="2" t="inlineStr">
        <is>
          <t>Loss</t>
        </is>
      </c>
      <c r="F251" s="2" t="n">
        <v>-1</v>
      </c>
      <c r="G251" s="6" t="n">
        <v>0.1059552364862878</v>
      </c>
      <c r="H251" s="7" t="n">
        <v>100</v>
      </c>
      <c r="I251" s="7" t="n">
        <v>-100</v>
      </c>
      <c r="J251" s="7" t="n">
        <v>10616.19091874817</v>
      </c>
      <c r="K251" s="7" t="n">
        <v>12267.8788782997</v>
      </c>
      <c r="L251" s="7" t="n">
        <v>-1651.687959551535</v>
      </c>
      <c r="M251" s="6" t="n">
        <v>-0.1346351701004448</v>
      </c>
      <c r="N251" s="7" t="n">
        <v>106.1549837420722</v>
      </c>
      <c r="O251" s="7" t="n">
        <v>-106.1549837420722</v>
      </c>
      <c r="P251" s="7" t="n">
        <v>10509.34339046515</v>
      </c>
      <c r="Q251" s="7" t="n">
        <v>12421.15330293068</v>
      </c>
      <c r="R251" s="7" t="n">
        <v>-1911.809912465533</v>
      </c>
      <c r="S251" s="6" t="n">
        <v>-0.1539156522618922</v>
      </c>
      <c r="T251" s="7" t="n">
        <v>315.4767271332037</v>
      </c>
      <c r="U251" s="7" t="n">
        <v>-315.4767271332037</v>
      </c>
      <c r="V251" s="7" t="n">
        <v>11594.33491012481</v>
      </c>
      <c r="W251" s="7" t="n">
        <v>24768.40123332177</v>
      </c>
      <c r="X251" s="7" t="n">
        <v>-13174.06632319696</v>
      </c>
      <c r="Y251" s="6" t="n">
        <v>-0.5318900561685607</v>
      </c>
      <c r="Z251" s="7" t="n">
        <v>455.5951965473852</v>
      </c>
      <c r="AA251" s="7" t="n">
        <v>-455.5951965473852</v>
      </c>
      <c r="AB251" s="7" t="n">
        <v>8144.172245930009</v>
      </c>
      <c r="AC251" s="7" t="n">
        <v>41497.28076229156</v>
      </c>
      <c r="AD251" s="7" t="n">
        <v>-33353.10851636155</v>
      </c>
      <c r="AE251" s="6" t="n">
        <v>-0.8037420260719688</v>
      </c>
    </row>
    <row r="252">
      <c r="A252" s="2" t="n">
        <v>243</v>
      </c>
      <c r="B252" s="2" t="inlineStr">
        <is>
          <t>KPROP-00243</t>
        </is>
      </c>
      <c r="C252" s="3" t="n">
        <v>45892</v>
      </c>
      <c r="D252" s="2" t="inlineStr">
        <is>
          <t>Freddy Peralta</t>
        </is>
      </c>
      <c r="E252" s="2" t="inlineStr">
        <is>
          <t>Win</t>
        </is>
      </c>
      <c r="F252" s="2" t="n">
        <v>0.8695652173913042</v>
      </c>
      <c r="G252" s="6" t="n">
        <v>0.1404192425114676</v>
      </c>
      <c r="H252" s="7" t="n">
        <v>100</v>
      </c>
      <c r="I252" s="7" t="n">
        <v>86.95652173913042</v>
      </c>
      <c r="J252" s="7" t="n">
        <v>10703.1474404873</v>
      </c>
      <c r="K252" s="7" t="n">
        <v>12267.8788782997</v>
      </c>
      <c r="L252" s="7" t="n">
        <v>-1564.731437812405</v>
      </c>
      <c r="M252" s="6" t="n">
        <v>-0.1275470236815113</v>
      </c>
      <c r="N252" s="7" t="n">
        <v>105.0934339046515</v>
      </c>
      <c r="O252" s="7" t="n">
        <v>91.38559469969695</v>
      </c>
      <c r="P252" s="7" t="n">
        <v>10600.72898516485</v>
      </c>
      <c r="Q252" s="7" t="n">
        <v>12421.15330293068</v>
      </c>
      <c r="R252" s="7" t="n">
        <v>-1820.424317765835</v>
      </c>
      <c r="S252" s="6" t="n">
        <v>-0.1465583970641695</v>
      </c>
      <c r="T252" s="7" t="n">
        <v>407.0169313759976</v>
      </c>
      <c r="U252" s="7" t="n">
        <v>353.9277664139109</v>
      </c>
      <c r="V252" s="7" t="n">
        <v>11948.26267653872</v>
      </c>
      <c r="W252" s="7" t="n">
        <v>24768.40123332177</v>
      </c>
      <c r="X252" s="7" t="n">
        <v>-12820.13855678305</v>
      </c>
      <c r="Y252" s="6" t="n">
        <v>-0.5176005684022789</v>
      </c>
      <c r="Z252" s="7" t="n">
        <v>571.7992488282048</v>
      </c>
      <c r="AA252" s="7" t="n">
        <v>497.2167381114824</v>
      </c>
      <c r="AB252" s="7" t="n">
        <v>8641.388984041492</v>
      </c>
      <c r="AC252" s="7" t="n">
        <v>41497.28076229156</v>
      </c>
      <c r="AD252" s="7" t="n">
        <v>-32855.89177825006</v>
      </c>
      <c r="AE252" s="6" t="n">
        <v>-0.7917601147520515</v>
      </c>
    </row>
    <row r="253">
      <c r="A253" s="2" t="n">
        <v>244</v>
      </c>
      <c r="B253" s="2" t="inlineStr">
        <is>
          <t>KPROP-00244</t>
        </is>
      </c>
      <c r="C253" s="3" t="n">
        <v>45892</v>
      </c>
      <c r="D253" s="2" t="inlineStr">
        <is>
          <t>Garrett Crochet</t>
        </is>
      </c>
      <c r="E253" s="2" t="inlineStr">
        <is>
          <t>Loss</t>
        </is>
      </c>
      <c r="F253" s="2" t="n">
        <v>-1</v>
      </c>
      <c r="G253" s="6" t="n">
        <v>0.1145706113067232</v>
      </c>
      <c r="H253" s="7" t="n">
        <v>100</v>
      </c>
      <c r="I253" s="7" t="n">
        <v>-100</v>
      </c>
      <c r="J253" s="7" t="n">
        <v>10603.1474404873</v>
      </c>
      <c r="K253" s="7" t="n">
        <v>12267.8788782997</v>
      </c>
      <c r="L253" s="7" t="n">
        <v>-1664.731437812405</v>
      </c>
      <c r="M253" s="6" t="n">
        <v>-0.1356983920632849</v>
      </c>
      <c r="N253" s="7" t="n">
        <v>106.0072898516485</v>
      </c>
      <c r="O253" s="7" t="n">
        <v>-106.0072898516485</v>
      </c>
      <c r="P253" s="7" t="n">
        <v>10494.7216953132</v>
      </c>
      <c r="Q253" s="7" t="n">
        <v>12421.15330293068</v>
      </c>
      <c r="R253" s="7" t="n">
        <v>-1926.431607617484</v>
      </c>
      <c r="S253" s="6" t="n">
        <v>-0.1550928130935278</v>
      </c>
      <c r="T253" s="7" t="n">
        <v>342.2299397260865</v>
      </c>
      <c r="U253" s="7" t="n">
        <v>-342.2299397260865</v>
      </c>
      <c r="V253" s="7" t="n">
        <v>11606.03273681263</v>
      </c>
      <c r="W253" s="7" t="n">
        <v>24768.40123332177</v>
      </c>
      <c r="X253" s="7" t="n">
        <v>-13162.36849650914</v>
      </c>
      <c r="Y253" s="6" t="n">
        <v>-0.5314177678453205</v>
      </c>
      <c r="Z253" s="7" t="n">
        <v>495.0246092204088</v>
      </c>
      <c r="AA253" s="7" t="n">
        <v>-495.0246092204088</v>
      </c>
      <c r="AB253" s="7" t="n">
        <v>8146.364374821083</v>
      </c>
      <c r="AC253" s="7" t="n">
        <v>41497.28076229156</v>
      </c>
      <c r="AD253" s="7" t="n">
        <v>-33350.91638747048</v>
      </c>
      <c r="AE253" s="6" t="n">
        <v>-0.8036892002277013</v>
      </c>
    </row>
    <row r="254">
      <c r="A254" s="2" t="n">
        <v>245</v>
      </c>
      <c r="B254" s="2" t="inlineStr">
        <is>
          <t>KPROP-00245</t>
        </is>
      </c>
      <c r="C254" s="3" t="n">
        <v>45892</v>
      </c>
      <c r="D254" s="2" t="inlineStr">
        <is>
          <t>Logan Webb</t>
        </is>
      </c>
      <c r="E254" s="2" t="inlineStr">
        <is>
          <t>Win</t>
        </is>
      </c>
      <c r="F254" s="2" t="n">
        <v>1</v>
      </c>
      <c r="G254" s="6" t="n">
        <v>0.13276152838064</v>
      </c>
      <c r="H254" s="7" t="n">
        <v>100</v>
      </c>
      <c r="I254" s="7" t="n">
        <v>100</v>
      </c>
      <c r="J254" s="7" t="n">
        <v>10703.1474404873</v>
      </c>
      <c r="K254" s="7" t="n">
        <v>12267.8788782997</v>
      </c>
      <c r="L254" s="7" t="n">
        <v>-1564.731437812405</v>
      </c>
      <c r="M254" s="6" t="n">
        <v>-0.1275470236815113</v>
      </c>
      <c r="N254" s="7" t="n">
        <v>104.947216953132</v>
      </c>
      <c r="O254" s="7" t="n">
        <v>104.947216953132</v>
      </c>
      <c r="P254" s="7" t="n">
        <v>10599.66891226633</v>
      </c>
      <c r="Q254" s="7" t="n">
        <v>12421.15330293068</v>
      </c>
      <c r="R254" s="7" t="n">
        <v>-1821.484390664351</v>
      </c>
      <c r="S254" s="6" t="n">
        <v>-0.146643741224463</v>
      </c>
      <c r="T254" s="7" t="n">
        <v>385.208661143747</v>
      </c>
      <c r="U254" s="7" t="n">
        <v>385.208661143747</v>
      </c>
      <c r="V254" s="7" t="n">
        <v>11991.24139795638</v>
      </c>
      <c r="W254" s="7" t="n">
        <v>24768.40123332177</v>
      </c>
      <c r="X254" s="7" t="n">
        <v>-12777.15983536539</v>
      </c>
      <c r="Y254" s="6" t="n">
        <v>-0.5158653445171038</v>
      </c>
      <c r="Z254" s="7" t="n">
        <v>540.7618925734221</v>
      </c>
      <c r="AA254" s="7" t="n">
        <v>540.7618925734221</v>
      </c>
      <c r="AB254" s="7" t="n">
        <v>8687.126267394506</v>
      </c>
      <c r="AC254" s="7" t="n">
        <v>41497.28076229156</v>
      </c>
      <c r="AD254" s="7" t="n">
        <v>-32810.15449489705</v>
      </c>
      <c r="AE254" s="6" t="n">
        <v>-0.7906579393200033</v>
      </c>
    </row>
    <row r="255">
      <c r="A255" s="2" t="n">
        <v>246</v>
      </c>
      <c r="B255" s="2" t="inlineStr">
        <is>
          <t>KPROP-00246</t>
        </is>
      </c>
      <c r="C255" s="3" t="n">
        <v>45892</v>
      </c>
      <c r="D255" s="2" t="inlineStr">
        <is>
          <t>Will Warren</t>
        </is>
      </c>
      <c r="E255" s="2" t="inlineStr">
        <is>
          <t>Win</t>
        </is>
      </c>
      <c r="F255" s="2" t="n">
        <v>0.9090909090909092</v>
      </c>
      <c r="G255" s="6" t="n">
        <v>0.0778188305109771</v>
      </c>
      <c r="H255" s="7" t="n">
        <v>100</v>
      </c>
      <c r="I255" s="7" t="n">
        <v>90.90909090909092</v>
      </c>
      <c r="J255" s="7" t="n">
        <v>10794.05653139639</v>
      </c>
      <c r="K255" s="7" t="n">
        <v>12267.8788782997</v>
      </c>
      <c r="L255" s="7" t="n">
        <v>-1473.822346903315</v>
      </c>
      <c r="M255" s="6" t="n">
        <v>-0.1201366887889899</v>
      </c>
      <c r="N255" s="7" t="n">
        <v>105.9966891226633</v>
      </c>
      <c r="O255" s="7" t="n">
        <v>96.36062647514851</v>
      </c>
      <c r="P255" s="7" t="n">
        <v>10696.02953874148</v>
      </c>
      <c r="Q255" s="7" t="n">
        <v>12421.15330293068</v>
      </c>
      <c r="R255" s="7" t="n">
        <v>-1725.123764189202</v>
      </c>
      <c r="S255" s="6" t="n">
        <v>-0.1388859570537763</v>
      </c>
      <c r="T255" s="7" t="n">
        <v>233.2860954909449</v>
      </c>
      <c r="U255" s="7" t="n">
        <v>212.0782686281317</v>
      </c>
      <c r="V255" s="7" t="n">
        <v>12203.31966658451</v>
      </c>
      <c r="W255" s="7" t="n">
        <v>24768.40123332177</v>
      </c>
      <c r="X255" s="7" t="n">
        <v>-12565.08156673726</v>
      </c>
      <c r="Y255" s="6" t="n">
        <v>-0.5073028916308506</v>
      </c>
      <c r="Z255" s="7" t="n">
        <v>338.0110033149151</v>
      </c>
      <c r="AA255" s="7" t="n">
        <v>307.2827302862864</v>
      </c>
      <c r="AB255" s="7" t="n">
        <v>8994.408997680792</v>
      </c>
      <c r="AC255" s="7" t="n">
        <v>41497.28076229156</v>
      </c>
      <c r="AD255" s="7" t="n">
        <v>-32502.87176461077</v>
      </c>
      <c r="AE255" s="6" t="n">
        <v>-0.7832530509841507</v>
      </c>
    </row>
    <row r="256">
      <c r="A256" s="2" t="n">
        <v>247</v>
      </c>
      <c r="B256" s="2" t="inlineStr">
        <is>
          <t>KPROP-00247</t>
        </is>
      </c>
      <c r="C256" s="3" t="n">
        <v>45893</v>
      </c>
      <c r="D256" s="2" t="inlineStr">
        <is>
          <t>Brady Singer</t>
        </is>
      </c>
      <c r="E256" s="2" t="inlineStr">
        <is>
          <t>Loss</t>
        </is>
      </c>
      <c r="F256" s="2" t="n">
        <v>-1</v>
      </c>
      <c r="G256" s="6" t="n">
        <v>0.2228138153465918</v>
      </c>
      <c r="H256" s="7" t="n">
        <v>100</v>
      </c>
      <c r="I256" s="7" t="n">
        <v>-100</v>
      </c>
      <c r="J256" s="7" t="n">
        <v>10694.05653139639</v>
      </c>
      <c r="K256" s="7" t="n">
        <v>12267.8788782997</v>
      </c>
      <c r="L256" s="7" t="n">
        <v>-1573.822346903315</v>
      </c>
      <c r="M256" s="6" t="n">
        <v>-0.1282880571707635</v>
      </c>
      <c r="N256" s="7" t="n">
        <v>106.9602953874148</v>
      </c>
      <c r="O256" s="7" t="n">
        <v>-106.9602953874148</v>
      </c>
      <c r="P256" s="7" t="n">
        <v>10589.06924335407</v>
      </c>
      <c r="Q256" s="7" t="n">
        <v>12421.15330293068</v>
      </c>
      <c r="R256" s="7" t="n">
        <v>-1832.084059576617</v>
      </c>
      <c r="S256" s="6" t="n">
        <v>-0.1474970974832385</v>
      </c>
      <c r="T256" s="7" t="n">
        <v>679.7670537014484</v>
      </c>
      <c r="U256" s="7" t="n">
        <v>-679.7670537014484</v>
      </c>
      <c r="V256" s="7" t="n">
        <v>11523.55261288306</v>
      </c>
      <c r="W256" s="7" t="n">
        <v>24768.40123332177</v>
      </c>
      <c r="X256" s="7" t="n">
        <v>-13244.84862043871</v>
      </c>
      <c r="Y256" s="6" t="n">
        <v>-0.5347478222623415</v>
      </c>
      <c r="Z256" s="7" t="n">
        <v>1002.039292780486</v>
      </c>
      <c r="AA256" s="7" t="n">
        <v>-1002.039292780486</v>
      </c>
      <c r="AB256" s="7" t="n">
        <v>7992.369704900306</v>
      </c>
      <c r="AC256" s="7" t="n">
        <v>41497.28076229156</v>
      </c>
      <c r="AD256" s="7" t="n">
        <v>-33504.91105739125</v>
      </c>
      <c r="AE256" s="6" t="n">
        <v>-0.8074001583216279</v>
      </c>
    </row>
    <row r="257">
      <c r="A257" s="2" t="n">
        <v>248</v>
      </c>
      <c r="B257" s="2" t="inlineStr">
        <is>
          <t>KPROP-00248</t>
        </is>
      </c>
      <c r="C257" s="3" t="n">
        <v>45893</v>
      </c>
      <c r="D257" s="2" t="inlineStr">
        <is>
          <t>Jack Flaherty</t>
        </is>
      </c>
      <c r="E257" s="2" t="inlineStr">
        <is>
          <t>Win</t>
        </is>
      </c>
      <c r="F257" s="2" t="n">
        <v>1</v>
      </c>
      <c r="G257" s="6" t="n">
        <v>0.1383580623872076</v>
      </c>
      <c r="H257" s="7" t="n">
        <v>100</v>
      </c>
      <c r="I257" s="7" t="n">
        <v>100</v>
      </c>
      <c r="J257" s="7" t="n">
        <v>10794.05653139639</v>
      </c>
      <c r="K257" s="7" t="n">
        <v>12267.8788782997</v>
      </c>
      <c r="L257" s="7" t="n">
        <v>-1473.822346903315</v>
      </c>
      <c r="M257" s="6" t="n">
        <v>-0.1201366887889899</v>
      </c>
      <c r="N257" s="7" t="n">
        <v>105.8906924335407</v>
      </c>
      <c r="O257" s="7" t="n">
        <v>105.8906924335407</v>
      </c>
      <c r="P257" s="7" t="n">
        <v>10694.95993578761</v>
      </c>
      <c r="Q257" s="7" t="n">
        <v>12421.15330293068</v>
      </c>
      <c r="R257" s="7" t="n">
        <v>-1726.193367143076</v>
      </c>
      <c r="S257" s="6" t="n">
        <v>-0.1389720684580709</v>
      </c>
      <c r="T257" s="7" t="n">
        <v>398.5941028338859</v>
      </c>
      <c r="U257" s="7" t="n">
        <v>398.5941028338859</v>
      </c>
      <c r="V257" s="7" t="n">
        <v>11922.14671571695</v>
      </c>
      <c r="W257" s="7" t="n">
        <v>24768.40123332177</v>
      </c>
      <c r="X257" s="7" t="n">
        <v>-12846.25451760483</v>
      </c>
      <c r="Y257" s="6" t="n">
        <v>-0.5186549748040388</v>
      </c>
      <c r="Z257" s="7" t="n">
        <v>552.9043931261123</v>
      </c>
      <c r="AA257" s="7" t="n">
        <v>552.9043931261123</v>
      </c>
      <c r="AB257" s="7" t="n">
        <v>8545.274098026419</v>
      </c>
      <c r="AC257" s="7" t="n">
        <v>41497.28076229156</v>
      </c>
      <c r="AD257" s="7" t="n">
        <v>-32952.00666426514</v>
      </c>
      <c r="AE257" s="6" t="n">
        <v>-0.7940762878662767</v>
      </c>
    </row>
    <row r="258">
      <c r="A258" s="2" t="n">
        <v>249</v>
      </c>
      <c r="B258" s="2" t="inlineStr">
        <is>
          <t>KPROP-00249</t>
        </is>
      </c>
      <c r="C258" s="3" t="n">
        <v>45893</v>
      </c>
      <c r="D258" s="2" t="inlineStr">
        <is>
          <t>Jacob Lopez</t>
        </is>
      </c>
      <c r="E258" s="2" t="inlineStr">
        <is>
          <t>Win</t>
        </is>
      </c>
      <c r="F258" s="2" t="n">
        <v>0.8695652173913042</v>
      </c>
      <c r="G258" s="6" t="n">
        <v>0.1488464992465325</v>
      </c>
      <c r="H258" s="7" t="n">
        <v>100</v>
      </c>
      <c r="I258" s="7" t="n">
        <v>86.95652173913042</v>
      </c>
      <c r="J258" s="7" t="n">
        <v>10881.01305313552</v>
      </c>
      <c r="K258" s="7" t="n">
        <v>12267.8788782997</v>
      </c>
      <c r="L258" s="7" t="n">
        <v>-1386.865825164185</v>
      </c>
      <c r="M258" s="6" t="n">
        <v>-0.1130485423700564</v>
      </c>
      <c r="N258" s="7" t="n">
        <v>106.9495993578761</v>
      </c>
      <c r="O258" s="7" t="n">
        <v>92.99965161554441</v>
      </c>
      <c r="P258" s="7" t="n">
        <v>10787.95958740315</v>
      </c>
      <c r="Q258" s="7" t="n">
        <v>12421.15330293068</v>
      </c>
      <c r="R258" s="7" t="n">
        <v>-1633.193715527532</v>
      </c>
      <c r="S258" s="6" t="n">
        <v>-0.1314848690533584</v>
      </c>
      <c r="T258" s="7" t="n">
        <v>443.642450534503</v>
      </c>
      <c r="U258" s="7" t="n">
        <v>385.776043943046</v>
      </c>
      <c r="V258" s="7" t="n">
        <v>12307.92275965999</v>
      </c>
      <c r="W258" s="7" t="n">
        <v>24768.40123332177</v>
      </c>
      <c r="X258" s="7" t="n">
        <v>-12460.47847366178</v>
      </c>
      <c r="Y258" s="6" t="n">
        <v>-0.5030796439496578</v>
      </c>
      <c r="Z258" s="7" t="n">
        <v>635.9670672966513</v>
      </c>
      <c r="AA258" s="7" t="n">
        <v>553.0148411275228</v>
      </c>
      <c r="AB258" s="7" t="n">
        <v>9098.288939153941</v>
      </c>
      <c r="AC258" s="7" t="n">
        <v>41497.28076229156</v>
      </c>
      <c r="AD258" s="7" t="n">
        <v>-32398.99182313761</v>
      </c>
      <c r="AE258" s="6" t="n">
        <v>-0.7807497558389048</v>
      </c>
    </row>
    <row r="259">
      <c r="A259" s="2" t="n">
        <v>250</v>
      </c>
      <c r="B259" s="2" t="inlineStr">
        <is>
          <t>KPROP-00250</t>
        </is>
      </c>
      <c r="C259" s="3" t="n">
        <v>45893</v>
      </c>
      <c r="D259" s="2" t="inlineStr">
        <is>
          <t>Kevin Gausman</t>
        </is>
      </c>
      <c r="E259" s="2" t="inlineStr">
        <is>
          <t>Loss</t>
        </is>
      </c>
      <c r="F259" s="2" t="n">
        <v>-1</v>
      </c>
      <c r="G259" s="6" t="n">
        <v>0.09538013863225578</v>
      </c>
      <c r="H259" s="7" t="n">
        <v>100</v>
      </c>
      <c r="I259" s="7" t="n">
        <v>-100</v>
      </c>
      <c r="J259" s="7" t="n">
        <v>10781.01305313552</v>
      </c>
      <c r="K259" s="7" t="n">
        <v>12267.8788782997</v>
      </c>
      <c r="L259" s="7" t="n">
        <v>-1486.865825164185</v>
      </c>
      <c r="M259" s="6" t="n">
        <v>-0.12119991075183</v>
      </c>
      <c r="N259" s="7" t="n">
        <v>107.8795958740315</v>
      </c>
      <c r="O259" s="7" t="n">
        <v>-107.8795958740315</v>
      </c>
      <c r="P259" s="7" t="n">
        <v>10680.07999152912</v>
      </c>
      <c r="Q259" s="7" t="n">
        <v>12421.15330293068</v>
      </c>
      <c r="R259" s="7" t="n">
        <v>-1741.073311401564</v>
      </c>
      <c r="S259" s="6" t="n">
        <v>-0.1401700203628249</v>
      </c>
      <c r="T259" s="7" t="n">
        <v>293.4828447728665</v>
      </c>
      <c r="U259" s="7" t="n">
        <v>-293.4828447728665</v>
      </c>
      <c r="V259" s="7" t="n">
        <v>12014.43991488713</v>
      </c>
      <c r="W259" s="7" t="n">
        <v>24768.40123332177</v>
      </c>
      <c r="X259" s="7" t="n">
        <v>-12753.96131843465</v>
      </c>
      <c r="Y259" s="6" t="n">
        <v>-0.5149287270619756</v>
      </c>
      <c r="Z259" s="7" t="n">
        <v>433.8980301664111</v>
      </c>
      <c r="AA259" s="7" t="n">
        <v>-433.8980301664111</v>
      </c>
      <c r="AB259" s="7" t="n">
        <v>8664.390908987531</v>
      </c>
      <c r="AC259" s="7" t="n">
        <v>41497.28076229156</v>
      </c>
      <c r="AD259" s="7" t="n">
        <v>-32832.88985330403</v>
      </c>
      <c r="AE259" s="6" t="n">
        <v>-0.7912058151805255</v>
      </c>
    </row>
    <row r="260">
      <c r="A260" s="2" t="n">
        <v>251</v>
      </c>
      <c r="B260" s="2" t="inlineStr">
        <is>
          <t>KPROP-00251</t>
        </is>
      </c>
      <c r="C260" s="3" t="n">
        <v>45893</v>
      </c>
      <c r="D260" s="2" t="inlineStr">
        <is>
          <t>Logan Gilbert</t>
        </is>
      </c>
      <c r="E260" s="2" t="inlineStr">
        <is>
          <t>Loss</t>
        </is>
      </c>
      <c r="F260" s="2" t="n">
        <v>-1</v>
      </c>
      <c r="G260" s="6" t="n">
        <v>0.4026209930470465</v>
      </c>
      <c r="H260" s="7" t="n">
        <v>100</v>
      </c>
      <c r="I260" s="7" t="n">
        <v>-100</v>
      </c>
      <c r="J260" s="7" t="n">
        <v>10681.01305313552</v>
      </c>
      <c r="K260" s="7" t="n">
        <v>12267.8788782997</v>
      </c>
      <c r="L260" s="7" t="n">
        <v>-1586.865825164185</v>
      </c>
      <c r="M260" s="6" t="n">
        <v>-0.1293512791336036</v>
      </c>
      <c r="N260" s="7" t="n">
        <v>106.8007999152912</v>
      </c>
      <c r="O260" s="7" t="n">
        <v>-106.8007999152912</v>
      </c>
      <c r="P260" s="7" t="n">
        <v>10573.27919161383</v>
      </c>
      <c r="Q260" s="7" t="n">
        <v>12421.15330293068</v>
      </c>
      <c r="R260" s="7" t="n">
        <v>-1847.874111316854</v>
      </c>
      <c r="S260" s="6" t="n">
        <v>-0.1487683201591966</v>
      </c>
      <c r="T260" s="7" t="n">
        <v>1209.316432358982</v>
      </c>
      <c r="U260" s="7" t="n">
        <v>-1209.316432358982</v>
      </c>
      <c r="V260" s="7" t="n">
        <v>10805.12348252814</v>
      </c>
      <c r="W260" s="7" t="n">
        <v>24768.40123332177</v>
      </c>
      <c r="X260" s="7" t="n">
        <v>-13963.27775079363</v>
      </c>
      <c r="Y260" s="6" t="n">
        <v>-0.5637536964642013</v>
      </c>
      <c r="Z260" s="7" t="n">
        <v>1744.232835962181</v>
      </c>
      <c r="AA260" s="7" t="n">
        <v>-1744.232835962181</v>
      </c>
      <c r="AB260" s="7" t="n">
        <v>6920.15807302535</v>
      </c>
      <c r="AC260" s="7" t="n">
        <v>41497.28076229156</v>
      </c>
      <c r="AD260" s="7" t="n">
        <v>-34577.12268926621</v>
      </c>
      <c r="AE260" s="6" t="n">
        <v>-0.8332382761977581</v>
      </c>
    </row>
    <row r="261">
      <c r="A261" s="2" t="n">
        <v>252</v>
      </c>
      <c r="B261" s="2" t="inlineStr">
        <is>
          <t>KPROP-00252</t>
        </is>
      </c>
      <c r="C261" s="3" t="n">
        <v>45893</v>
      </c>
      <c r="D261" s="2" t="inlineStr">
        <is>
          <t>Logan Gilbert</t>
        </is>
      </c>
      <c r="E261" s="2" t="inlineStr">
        <is>
          <t>Loss</t>
        </is>
      </c>
      <c r="F261" s="2" t="n">
        <v>-1</v>
      </c>
      <c r="G261" s="6" t="n">
        <v>0.4533581146933361</v>
      </c>
      <c r="H261" s="7" t="n">
        <v>100</v>
      </c>
      <c r="I261" s="7" t="n">
        <v>-100</v>
      </c>
      <c r="J261" s="7" t="n">
        <v>10581.01305313552</v>
      </c>
      <c r="K261" s="7" t="n">
        <v>12267.8788782997</v>
      </c>
      <c r="L261" s="7" t="n">
        <v>-1686.865825164185</v>
      </c>
      <c r="M261" s="6" t="n">
        <v>-0.1375026475153772</v>
      </c>
      <c r="N261" s="7" t="n">
        <v>105.7327919161383</v>
      </c>
      <c r="O261" s="7" t="n">
        <v>-105.7327919161383</v>
      </c>
      <c r="P261" s="7" t="n">
        <v>10467.54639969769</v>
      </c>
      <c r="Q261" s="7" t="n">
        <v>12421.15330293068</v>
      </c>
      <c r="R261" s="7" t="n">
        <v>-1953.606903232992</v>
      </c>
      <c r="S261" s="6" t="n">
        <v>-0.1572806369576046</v>
      </c>
      <c r="T261" s="7" t="n">
        <v>1224.647602766913</v>
      </c>
      <c r="U261" s="7" t="n">
        <v>-1224.647602766913</v>
      </c>
      <c r="V261" s="7" t="n">
        <v>9580.475879761228</v>
      </c>
      <c r="W261" s="7" t="n">
        <v>24768.40123332177</v>
      </c>
      <c r="X261" s="7" t="n">
        <v>-15187.92535356054</v>
      </c>
      <c r="Y261" s="6" t="n">
        <v>-0.6131976468924329</v>
      </c>
      <c r="Z261" s="7" t="n">
        <v>1568.654908683321</v>
      </c>
      <c r="AA261" s="7" t="n">
        <v>-1568.654908683321</v>
      </c>
      <c r="AB261" s="7" t="n">
        <v>5351.503164342029</v>
      </c>
      <c r="AC261" s="7" t="n">
        <v>41497.28076229156</v>
      </c>
      <c r="AD261" s="7" t="n">
        <v>-36145.77759794953</v>
      </c>
      <c r="AE261" s="6" t="n">
        <v>-0.8710396665507557</v>
      </c>
    </row>
    <row r="262">
      <c r="A262" s="2" t="n">
        <v>253</v>
      </c>
      <c r="B262" s="2" t="inlineStr">
        <is>
          <t>KPROP-00253</t>
        </is>
      </c>
      <c r="C262" s="3" t="n">
        <v>45893</v>
      </c>
      <c r="D262" s="2" t="inlineStr">
        <is>
          <t>Matthew Liberatore</t>
        </is>
      </c>
      <c r="E262" s="2" t="inlineStr">
        <is>
          <t>Loss</t>
        </is>
      </c>
      <c r="F262" s="2" t="n">
        <v>-1</v>
      </c>
      <c r="G262" s="6" t="n">
        <v>0.2959266211441385</v>
      </c>
      <c r="H262" s="7" t="n">
        <v>100</v>
      </c>
      <c r="I262" s="7" t="n">
        <v>-100</v>
      </c>
      <c r="J262" s="7" t="n">
        <v>10481.01305313552</v>
      </c>
      <c r="K262" s="7" t="n">
        <v>12267.8788782997</v>
      </c>
      <c r="L262" s="7" t="n">
        <v>-1786.865825164185</v>
      </c>
      <c r="M262" s="6" t="n">
        <v>-0.1456540158971507</v>
      </c>
      <c r="N262" s="7" t="n">
        <v>104.6754639969769</v>
      </c>
      <c r="O262" s="7" t="n">
        <v>-104.6754639969769</v>
      </c>
      <c r="P262" s="7" t="n">
        <v>10362.87093570072</v>
      </c>
      <c r="Q262" s="7" t="n">
        <v>12421.15330293068</v>
      </c>
      <c r="R262" s="7" t="n">
        <v>-2058.282367229969</v>
      </c>
      <c r="S262" s="6" t="n">
        <v>-0.1657078305880285</v>
      </c>
      <c r="T262" s="7" t="n">
        <v>708.7794640126644</v>
      </c>
      <c r="U262" s="7" t="n">
        <v>-708.7794640126644</v>
      </c>
      <c r="V262" s="7" t="n">
        <v>8871.696415748564</v>
      </c>
      <c r="W262" s="7" t="n">
        <v>24768.40123332177</v>
      </c>
      <c r="X262" s="7" t="n">
        <v>-15896.70481757321</v>
      </c>
      <c r="Y262" s="6" t="n">
        <v>-0.641813925243864</v>
      </c>
      <c r="Z262" s="7" t="n">
        <v>791.8261247329509</v>
      </c>
      <c r="AA262" s="7" t="n">
        <v>-791.8261247329509</v>
      </c>
      <c r="AB262" s="7" t="n">
        <v>4559.677039609078</v>
      </c>
      <c r="AC262" s="7" t="n">
        <v>41497.28076229156</v>
      </c>
      <c r="AD262" s="7" t="n">
        <v>-36937.60372268248</v>
      </c>
      <c r="AE262" s="6" t="n">
        <v>-0.8901210644203839</v>
      </c>
    </row>
    <row r="263">
      <c r="A263" s="2" t="n">
        <v>254</v>
      </c>
      <c r="B263" s="2" t="inlineStr">
        <is>
          <t>KPROP-00254</t>
        </is>
      </c>
      <c r="C263" s="3" t="n">
        <v>45893</v>
      </c>
      <c r="D263" s="2" t="inlineStr">
        <is>
          <t>Merrill Kelly</t>
        </is>
      </c>
      <c r="E263" s="2" t="inlineStr">
        <is>
          <t>Loss</t>
        </is>
      </c>
      <c r="F263" s="2" t="n">
        <v>-1</v>
      </c>
      <c r="G263" s="6" t="n">
        <v>0.07644798377375424</v>
      </c>
      <c r="H263" s="7" t="n">
        <v>100</v>
      </c>
      <c r="I263" s="7" t="n">
        <v>-100</v>
      </c>
      <c r="J263" s="7" t="n">
        <v>10381.01305313552</v>
      </c>
      <c r="K263" s="7" t="n">
        <v>12267.8788782997</v>
      </c>
      <c r="L263" s="7" t="n">
        <v>-1886.865825164185</v>
      </c>
      <c r="M263" s="6" t="n">
        <v>-0.1538053842789243</v>
      </c>
      <c r="N263" s="7" t="n">
        <v>103.6287093570072</v>
      </c>
      <c r="O263" s="7" t="n">
        <v>-103.6287093570072</v>
      </c>
      <c r="P263" s="7" t="n">
        <v>10259.24222634371</v>
      </c>
      <c r="Q263" s="7" t="n">
        <v>12421.15330293068</v>
      </c>
      <c r="R263" s="7" t="n">
        <v>-2161.911076586975</v>
      </c>
      <c r="S263" s="6" t="n">
        <v>-0.1740507522821482</v>
      </c>
      <c r="T263" s="7" t="n">
        <v>169.555825909205</v>
      </c>
      <c r="U263" s="7" t="n">
        <v>-169.555825909205</v>
      </c>
      <c r="V263" s="7" t="n">
        <v>8702.140589839359</v>
      </c>
      <c r="W263" s="7" t="n">
        <v>24768.40123332177</v>
      </c>
      <c r="X263" s="7" t="n">
        <v>-16066.26064348241</v>
      </c>
      <c r="Y263" s="6" t="n">
        <v>-0.6486595760515994</v>
      </c>
      <c r="Z263" s="7" t="n">
        <v>174.2890581687973</v>
      </c>
      <c r="AA263" s="7" t="n">
        <v>-174.2890581687973</v>
      </c>
      <c r="AB263" s="7" t="n">
        <v>4385.387981440281</v>
      </c>
      <c r="AC263" s="7" t="n">
        <v>41497.28076229156</v>
      </c>
      <c r="AD263" s="7" t="n">
        <v>-37111.89278085127</v>
      </c>
      <c r="AE263" s="6" t="n">
        <v>-0.8943210759625178</v>
      </c>
    </row>
    <row r="264">
      <c r="A264" s="2" t="n">
        <v>255</v>
      </c>
      <c r="B264" s="2" t="inlineStr">
        <is>
          <t>KPROP-00255</t>
        </is>
      </c>
      <c r="C264" s="3" t="n">
        <v>45893</v>
      </c>
      <c r="D264" s="2" t="inlineStr">
        <is>
          <t>Paul Skenes</t>
        </is>
      </c>
      <c r="E264" s="2" t="inlineStr">
        <is>
          <t>Win</t>
        </is>
      </c>
      <c r="F264" s="2" t="n">
        <v>1.2</v>
      </c>
      <c r="G264" s="6" t="n">
        <v>0.0625396201817859</v>
      </c>
      <c r="H264" s="7" t="n">
        <v>100</v>
      </c>
      <c r="I264" s="7" t="n">
        <v>120</v>
      </c>
      <c r="J264" s="7" t="n">
        <v>10501.01305313552</v>
      </c>
      <c r="K264" s="7" t="n">
        <v>12267.8788782997</v>
      </c>
      <c r="L264" s="7" t="n">
        <v>-1766.865825164185</v>
      </c>
      <c r="M264" s="6" t="n">
        <v>-0.144023742220796</v>
      </c>
      <c r="N264" s="7" t="n">
        <v>102.5924222634371</v>
      </c>
      <c r="O264" s="7" t="n">
        <v>123.1109067161245</v>
      </c>
      <c r="P264" s="7" t="n">
        <v>10382.35313305983</v>
      </c>
      <c r="Q264" s="7" t="n">
        <v>12421.15330293068</v>
      </c>
      <c r="R264" s="7" t="n">
        <v>-2038.80016987085</v>
      </c>
      <c r="S264" s="6" t="n">
        <v>-0.1641393613095339</v>
      </c>
      <c r="T264" s="7" t="n">
        <v>136.057141814264</v>
      </c>
      <c r="U264" s="7" t="n">
        <v>163.2685701771168</v>
      </c>
      <c r="V264" s="7" t="n">
        <v>8865.409160016476</v>
      </c>
      <c r="W264" s="7" t="n">
        <v>24768.40123332177</v>
      </c>
      <c r="X264" s="7" t="n">
        <v>-15902.9920733053</v>
      </c>
      <c r="Y264" s="6" t="n">
        <v>-0.6420677670511272</v>
      </c>
      <c r="Z264" s="7" t="n">
        <v>137.1302493545219</v>
      </c>
      <c r="AA264" s="7" t="n">
        <v>164.5562992254264</v>
      </c>
      <c r="AB264" s="7" t="n">
        <v>4549.944280665707</v>
      </c>
      <c r="AC264" s="7" t="n">
        <v>41497.28076229156</v>
      </c>
      <c r="AD264" s="7" t="n">
        <v>-36947.33648162585</v>
      </c>
      <c r="AE264" s="6" t="n">
        <v>-0.8903556041002034</v>
      </c>
    </row>
    <row r="265">
      <c r="A265" s="2" t="n">
        <v>256</v>
      </c>
      <c r="B265" s="2" t="inlineStr">
        <is>
          <t>KPROP-00256</t>
        </is>
      </c>
      <c r="C265" s="3" t="n">
        <v>45893</v>
      </c>
      <c r="D265" s="2" t="inlineStr">
        <is>
          <t>Ranger Suarez</t>
        </is>
      </c>
      <c r="E265" s="2" t="inlineStr">
        <is>
          <t>Loss</t>
        </is>
      </c>
      <c r="F265" s="2" t="n">
        <v>-1</v>
      </c>
      <c r="G265" s="6" t="n">
        <v>0.4095767496704704</v>
      </c>
      <c r="H265" s="7" t="n">
        <v>100</v>
      </c>
      <c r="I265" s="7" t="n">
        <v>-100</v>
      </c>
      <c r="J265" s="7" t="n">
        <v>10401.01305313552</v>
      </c>
      <c r="K265" s="7" t="n">
        <v>12267.8788782997</v>
      </c>
      <c r="L265" s="7" t="n">
        <v>-1866.865825164185</v>
      </c>
      <c r="M265" s="6" t="n">
        <v>-0.1521751106025696</v>
      </c>
      <c r="N265" s="7" t="n">
        <v>103.8235313305983</v>
      </c>
      <c r="O265" s="7" t="n">
        <v>-103.8235313305983</v>
      </c>
      <c r="P265" s="7" t="n">
        <v>10278.52960172924</v>
      </c>
      <c r="Q265" s="7" t="n">
        <v>12421.15330293068</v>
      </c>
      <c r="R265" s="7" t="n">
        <v>-2142.623701201448</v>
      </c>
      <c r="S265" s="6" t="n">
        <v>-0.1724979676964385</v>
      </c>
      <c r="T265" s="7" t="n">
        <v>907.7663670645908</v>
      </c>
      <c r="U265" s="7" t="n">
        <v>-907.7663670645908</v>
      </c>
      <c r="V265" s="7" t="n">
        <v>7957.642792951885</v>
      </c>
      <c r="W265" s="7" t="n">
        <v>24768.40123332177</v>
      </c>
      <c r="X265" s="7" t="n">
        <v>-16810.75844036989</v>
      </c>
      <c r="Y265" s="6" t="n">
        <v>-0.6787179471945004</v>
      </c>
      <c r="Z265" s="7" t="n">
        <v>931.7756948284033</v>
      </c>
      <c r="AA265" s="7" t="n">
        <v>-931.7756948284033</v>
      </c>
      <c r="AB265" s="7" t="n">
        <v>3618.168585837304</v>
      </c>
      <c r="AC265" s="7" t="n">
        <v>41497.28076229156</v>
      </c>
      <c r="AD265" s="7" t="n">
        <v>-37879.11217645425</v>
      </c>
      <c r="AE265" s="6" t="n">
        <v>-0.9128095017463139</v>
      </c>
    </row>
    <row r="266">
      <c r="A266" s="2" t="n">
        <v>257</v>
      </c>
      <c r="B266" s="2" t="inlineStr">
        <is>
          <t>KPROP-00257</t>
        </is>
      </c>
      <c r="C266" s="3" t="n">
        <v>45893</v>
      </c>
      <c r="D266" s="2" t="inlineStr">
        <is>
          <t>Robbie Ray</t>
        </is>
      </c>
      <c r="E266" s="2" t="inlineStr">
        <is>
          <t>Win</t>
        </is>
      </c>
      <c r="F266" s="2" t="n">
        <v>1.15</v>
      </c>
      <c r="G266" s="6" t="n">
        <v>0.1755512010891241</v>
      </c>
      <c r="H266" s="7" t="n">
        <v>100</v>
      </c>
      <c r="I266" s="7" t="n">
        <v>115</v>
      </c>
      <c r="J266" s="7" t="n">
        <v>10516.01305313552</v>
      </c>
      <c r="K266" s="7" t="n">
        <v>12267.8788782997</v>
      </c>
      <c r="L266" s="7" t="n">
        <v>-1751.865825164185</v>
      </c>
      <c r="M266" s="6" t="n">
        <v>-0.14280103696353</v>
      </c>
      <c r="N266" s="7" t="n">
        <v>102.7852960172924</v>
      </c>
      <c r="O266" s="7" t="n">
        <v>118.2030904198862</v>
      </c>
      <c r="P266" s="7" t="n">
        <v>10396.73269214912</v>
      </c>
      <c r="Q266" s="7" t="n">
        <v>12421.15330293068</v>
      </c>
      <c r="R266" s="7" t="n">
        <v>-2024.420610781563</v>
      </c>
      <c r="S266" s="6" t="n">
        <v>-0.1629816943249476</v>
      </c>
      <c r="T266" s="7" t="n">
        <v>349.2434375352288</v>
      </c>
      <c r="U266" s="7" t="n">
        <v>401.6299531655131</v>
      </c>
      <c r="V266" s="7" t="n">
        <v>8359.272746117398</v>
      </c>
      <c r="W266" s="7" t="n">
        <v>24768.40123332177</v>
      </c>
      <c r="X266" s="7" t="n">
        <v>-16409.12848720438</v>
      </c>
      <c r="Y266" s="6" t="n">
        <v>-0.6625025302452149</v>
      </c>
      <c r="Z266" s="7" t="n">
        <v>317.5869204933381</v>
      </c>
      <c r="AA266" s="7" t="n">
        <v>365.2249585673388</v>
      </c>
      <c r="AB266" s="7" t="n">
        <v>3983.393544404643</v>
      </c>
      <c r="AC266" s="7" t="n">
        <v>41497.28076229156</v>
      </c>
      <c r="AD266" s="7" t="n">
        <v>-37513.88721788691</v>
      </c>
      <c r="AE266" s="6" t="n">
        <v>-0.9040083236484174</v>
      </c>
    </row>
    <row r="267">
      <c r="A267" s="2" t="n">
        <v>258</v>
      </c>
      <c r="B267" s="2" t="inlineStr">
        <is>
          <t>KPROP-00258</t>
        </is>
      </c>
      <c r="C267" s="3" t="n">
        <v>45893</v>
      </c>
      <c r="D267" s="2" t="inlineStr">
        <is>
          <t>Seth Lugo</t>
        </is>
      </c>
      <c r="E267" s="2" t="inlineStr">
        <is>
          <t>Loss</t>
        </is>
      </c>
      <c r="F267" s="2" t="n">
        <v>-1</v>
      </c>
      <c r="G267" s="6" t="n">
        <v>0.1376171727386234</v>
      </c>
      <c r="H267" s="7" t="n">
        <v>100</v>
      </c>
      <c r="I267" s="7" t="n">
        <v>-100</v>
      </c>
      <c r="J267" s="7" t="n">
        <v>10416.01305313552</v>
      </c>
      <c r="K267" s="7" t="n">
        <v>12267.8788782997</v>
      </c>
      <c r="L267" s="7" t="n">
        <v>-1851.865825164185</v>
      </c>
      <c r="M267" s="6" t="n">
        <v>-0.1509524053453035</v>
      </c>
      <c r="N267" s="7" t="n">
        <v>103.9673269214912</v>
      </c>
      <c r="O267" s="7" t="n">
        <v>-103.9673269214912</v>
      </c>
      <c r="P267" s="7" t="n">
        <v>10292.76536522763</v>
      </c>
      <c r="Q267" s="7" t="n">
        <v>12421.15330293068</v>
      </c>
      <c r="R267" s="7" t="n">
        <v>-2128.387937703053</v>
      </c>
      <c r="S267" s="6" t="n">
        <v>-0.1713518773816981</v>
      </c>
      <c r="T267" s="7" t="n">
        <v>287.5948703679263</v>
      </c>
      <c r="U267" s="7" t="n">
        <v>-287.5948703679263</v>
      </c>
      <c r="V267" s="7" t="n">
        <v>8071.677875749472</v>
      </c>
      <c r="W267" s="7" t="n">
        <v>24768.40123332177</v>
      </c>
      <c r="X267" s="7" t="n">
        <v>-16696.7233575723</v>
      </c>
      <c r="Y267" s="6" t="n">
        <v>-0.674113892143738</v>
      </c>
      <c r="Z267" s="7" t="n">
        <v>274.0916787431256</v>
      </c>
      <c r="AA267" s="7" t="n">
        <v>-274.0916787431256</v>
      </c>
      <c r="AB267" s="7" t="n">
        <v>3709.301865661517</v>
      </c>
      <c r="AC267" s="7" t="n">
        <v>41497.28076229156</v>
      </c>
      <c r="AD267" s="7" t="n">
        <v>-37787.97889663004</v>
      </c>
      <c r="AE267" s="6" t="n">
        <v>-0.9106133752013904</v>
      </c>
    </row>
    <row r="268">
      <c r="A268" s="2" t="n">
        <v>259</v>
      </c>
      <c r="B268" s="2" t="inlineStr">
        <is>
          <t>KPROP-00259</t>
        </is>
      </c>
      <c r="C268" s="3" t="n">
        <v>45893</v>
      </c>
      <c r="D268" s="2" t="inlineStr">
        <is>
          <t>Zac Gallen</t>
        </is>
      </c>
      <c r="E268" s="2" t="inlineStr">
        <is>
          <t>Loss</t>
        </is>
      </c>
      <c r="F268" s="2" t="n">
        <v>-1</v>
      </c>
      <c r="G268" s="6" t="n">
        <v>0.1090273351414242</v>
      </c>
      <c r="H268" s="7" t="n">
        <v>100</v>
      </c>
      <c r="I268" s="7" t="n">
        <v>-100</v>
      </c>
      <c r="J268" s="7" t="n">
        <v>10316.01305313552</v>
      </c>
      <c r="K268" s="7" t="n">
        <v>12267.8788782997</v>
      </c>
      <c r="L268" s="7" t="n">
        <v>-1951.865825164185</v>
      </c>
      <c r="M268" s="6" t="n">
        <v>-0.1591037737270771</v>
      </c>
      <c r="N268" s="7" t="n">
        <v>102.9276536522763</v>
      </c>
      <c r="O268" s="7" t="n">
        <v>-102.9276536522763</v>
      </c>
      <c r="P268" s="7" t="n">
        <v>10189.83771157536</v>
      </c>
      <c r="Q268" s="7" t="n">
        <v>12421.15330293068</v>
      </c>
      <c r="R268" s="7" t="n">
        <v>-2231.315591355329</v>
      </c>
      <c r="S268" s="6" t="n">
        <v>-0.1796383586078811</v>
      </c>
      <c r="T268" s="7" t="n">
        <v>220.0083822282391</v>
      </c>
      <c r="U268" s="7" t="n">
        <v>-220.0083822282391</v>
      </c>
      <c r="V268" s="7" t="n">
        <v>7851.669493521233</v>
      </c>
      <c r="W268" s="7" t="n">
        <v>24768.40123332177</v>
      </c>
      <c r="X268" s="7" t="n">
        <v>-16916.73173980054</v>
      </c>
      <c r="Y268" s="6" t="n">
        <v>-0.6829965156185327</v>
      </c>
      <c r="Z268" s="7" t="n">
        <v>202.2076488240941</v>
      </c>
      <c r="AA268" s="7" t="n">
        <v>-202.2076488240941</v>
      </c>
      <c r="AB268" s="7" t="n">
        <v>3507.094216837423</v>
      </c>
      <c r="AC268" s="7" t="n">
        <v>41497.28076229156</v>
      </c>
      <c r="AD268" s="7" t="n">
        <v>-37990.18654545413</v>
      </c>
      <c r="AE268" s="6" t="n">
        <v>-0.9154861679509297</v>
      </c>
    </row>
    <row r="269">
      <c r="A269" s="2" t="n">
        <v>260</v>
      </c>
      <c r="B269" s="2" t="inlineStr">
        <is>
          <t>KPROP-00260</t>
        </is>
      </c>
      <c r="C269" s="3" t="n">
        <v>45894</v>
      </c>
      <c r="D269" s="2" t="inlineStr">
        <is>
          <t>Brandon Woodruff</t>
        </is>
      </c>
      <c r="E269" s="2" t="inlineStr">
        <is>
          <t>Loss</t>
        </is>
      </c>
      <c r="F269" s="2" t="n">
        <v>-1</v>
      </c>
      <c r="G269" s="6" t="n">
        <v>0.1661233874816795</v>
      </c>
      <c r="H269" s="7" t="n">
        <v>100</v>
      </c>
      <c r="I269" s="7" t="n">
        <v>-100</v>
      </c>
      <c r="J269" s="7" t="n">
        <v>10216.01305313552</v>
      </c>
      <c r="K269" s="7" t="n">
        <v>12267.8788782997</v>
      </c>
      <c r="L269" s="7" t="n">
        <v>-2051.865825164185</v>
      </c>
      <c r="M269" s="6" t="n">
        <v>-0.1672551421088507</v>
      </c>
      <c r="N269" s="7" t="n">
        <v>101.8983771157536</v>
      </c>
      <c r="O269" s="7" t="n">
        <v>-101.8983771157536</v>
      </c>
      <c r="P269" s="7" t="n">
        <v>10087.9393344596</v>
      </c>
      <c r="Q269" s="7" t="n">
        <v>12421.15330293068</v>
      </c>
      <c r="R269" s="7" t="n">
        <v>-2333.213968471082</v>
      </c>
      <c r="S269" s="6" t="n">
        <v>-0.1878419750218022</v>
      </c>
      <c r="T269" s="7" t="n">
        <v>326.0864834125775</v>
      </c>
      <c r="U269" s="7" t="n">
        <v>-326.0864834125775</v>
      </c>
      <c r="V269" s="7" t="n">
        <v>7525.583010108655</v>
      </c>
      <c r="W269" s="7" t="n">
        <v>24768.40123332177</v>
      </c>
      <c r="X269" s="7" t="n">
        <v>-17242.81822321312</v>
      </c>
      <c r="Y269" s="6" t="n">
        <v>-0.696161938785769</v>
      </c>
      <c r="Z269" s="7" t="n">
        <v>291.3051857592203</v>
      </c>
      <c r="AA269" s="7" t="n">
        <v>-291.3051857592203</v>
      </c>
      <c r="AB269" s="7" t="n">
        <v>3215.789031078203</v>
      </c>
      <c r="AC269" s="7" t="n">
        <v>41497.28076229156</v>
      </c>
      <c r="AD269" s="7" t="n">
        <v>-38281.49173121335</v>
      </c>
      <c r="AE269" s="6" t="n">
        <v>-0.9225060299854544</v>
      </c>
    </row>
    <row r="270">
      <c r="A270" s="2" t="n">
        <v>261</v>
      </c>
      <c r="B270" s="2" t="inlineStr">
        <is>
          <t>KPROP-00261</t>
        </is>
      </c>
      <c r="C270" s="3" t="n">
        <v>45894</v>
      </c>
      <c r="D270" s="2" t="inlineStr">
        <is>
          <t>Brandon Woodruff</t>
        </is>
      </c>
      <c r="E270" s="2" t="inlineStr">
        <is>
          <t>Loss</t>
        </is>
      </c>
      <c r="F270" s="2" t="n">
        <v>-1</v>
      </c>
      <c r="G270" s="6" t="n">
        <v>0.3087945904648697</v>
      </c>
      <c r="H270" s="7" t="n">
        <v>100</v>
      </c>
      <c r="I270" s="7" t="n">
        <v>-100</v>
      </c>
      <c r="J270" s="7" t="n">
        <v>10116.01305313552</v>
      </c>
      <c r="K270" s="7" t="n">
        <v>12267.8788782997</v>
      </c>
      <c r="L270" s="7" t="n">
        <v>-2151.865825164185</v>
      </c>
      <c r="M270" s="6" t="n">
        <v>-0.1754065104906243</v>
      </c>
      <c r="N270" s="7" t="n">
        <v>100.879393344596</v>
      </c>
      <c r="O270" s="7" t="n">
        <v>-100.879393344596</v>
      </c>
      <c r="P270" s="7" t="n">
        <v>9987.059941115007</v>
      </c>
      <c r="Q270" s="7" t="n">
        <v>12421.15330293068</v>
      </c>
      <c r="R270" s="7" t="n">
        <v>-2434.093361815678</v>
      </c>
      <c r="S270" s="6" t="n">
        <v>-0.1959635552715842</v>
      </c>
      <c r="T270" s="7" t="n">
        <v>580.9648309039708</v>
      </c>
      <c r="U270" s="7" t="n">
        <v>-580.9648309039708</v>
      </c>
      <c r="V270" s="7" t="n">
        <v>6944.618179204685</v>
      </c>
      <c r="W270" s="7" t="n">
        <v>24768.40123332177</v>
      </c>
      <c r="X270" s="7" t="n">
        <v>-17823.78305411709</v>
      </c>
      <c r="Y270" s="6" t="n">
        <v>-0.7196178262058411</v>
      </c>
      <c r="Z270" s="7" t="n">
        <v>496.5091284366068</v>
      </c>
      <c r="AA270" s="7" t="n">
        <v>-496.5091284366068</v>
      </c>
      <c r="AB270" s="7" t="n">
        <v>2719.279902641596</v>
      </c>
      <c r="AC270" s="7" t="n">
        <v>41497.28076229156</v>
      </c>
      <c r="AD270" s="7" t="n">
        <v>-38778.00085964996</v>
      </c>
      <c r="AE270" s="6" t="n">
        <v>-0.9344708893525236</v>
      </c>
    </row>
    <row r="271">
      <c r="A271" s="2" t="n">
        <v>262</v>
      </c>
      <c r="B271" s="2" t="inlineStr">
        <is>
          <t>KPROP-00262</t>
        </is>
      </c>
      <c r="C271" s="3" t="n">
        <v>45894</v>
      </c>
      <c r="D271" s="2" t="inlineStr">
        <is>
          <t>Joe Ryan</t>
        </is>
      </c>
      <c r="E271" s="2" t="inlineStr">
        <is>
          <t>Loss</t>
        </is>
      </c>
      <c r="F271" s="2" t="n">
        <v>-1</v>
      </c>
      <c r="G271" s="6" t="n">
        <v>0.08809328869585213</v>
      </c>
      <c r="H271" s="7" t="n">
        <v>100</v>
      </c>
      <c r="I271" s="7" t="n">
        <v>-100</v>
      </c>
      <c r="J271" s="7" t="n">
        <v>10016.01305313552</v>
      </c>
      <c r="K271" s="7" t="n">
        <v>12267.8788782997</v>
      </c>
      <c r="L271" s="7" t="n">
        <v>-2251.865825164185</v>
      </c>
      <c r="M271" s="6" t="n">
        <v>-0.1835578788723978</v>
      </c>
      <c r="N271" s="7" t="n">
        <v>99.87059941115007</v>
      </c>
      <c r="O271" s="7" t="n">
        <v>-99.87059941115007</v>
      </c>
      <c r="P271" s="7" t="n">
        <v>9887.189341703857</v>
      </c>
      <c r="Q271" s="7" t="n">
        <v>12421.15330293068</v>
      </c>
      <c r="R271" s="7" t="n">
        <v>-2533.963961226827</v>
      </c>
      <c r="S271" s="6" t="n">
        <v>-0.2040039197188683</v>
      </c>
      <c r="T271" s="7" t="n">
        <v>152.9435635357853</v>
      </c>
      <c r="U271" s="7" t="n">
        <v>-152.9435635357853</v>
      </c>
      <c r="V271" s="7" t="n">
        <v>6791.6746156689</v>
      </c>
      <c r="W271" s="7" t="n">
        <v>24768.40123332177</v>
      </c>
      <c r="X271" s="7" t="n">
        <v>-17976.72661765287</v>
      </c>
      <c r="Y271" s="6" t="n">
        <v>-0.7257927731511459</v>
      </c>
      <c r="Z271" s="7" t="n">
        <v>119.7751547541174</v>
      </c>
      <c r="AA271" s="7" t="n">
        <v>-119.7751547541174</v>
      </c>
      <c r="AB271" s="7" t="n">
        <v>2599.504747887479</v>
      </c>
      <c r="AC271" s="7" t="n">
        <v>41497.28076229156</v>
      </c>
      <c r="AD271" s="7" t="n">
        <v>-38897.77601440408</v>
      </c>
      <c r="AE271" s="6" t="n">
        <v>-0.937357226783649</v>
      </c>
    </row>
    <row r="272">
      <c r="A272" s="2" t="n">
        <v>263</v>
      </c>
      <c r="B272" s="2" t="inlineStr">
        <is>
          <t>KPROP-00263</t>
        </is>
      </c>
      <c r="C272" s="3" t="n">
        <v>45894</v>
      </c>
      <c r="D272" s="2" t="inlineStr">
        <is>
          <t>Joe Ryan</t>
        </is>
      </c>
      <c r="E272" s="2" t="inlineStr">
        <is>
          <t>Loss</t>
        </is>
      </c>
      <c r="F272" s="2" t="n">
        <v>-1</v>
      </c>
      <c r="G272" s="6" t="n">
        <v>0.147379071082155</v>
      </c>
      <c r="H272" s="7" t="n">
        <v>100</v>
      </c>
      <c r="I272" s="7" t="n">
        <v>-100</v>
      </c>
      <c r="J272" s="7" t="n">
        <v>9916.013053135519</v>
      </c>
      <c r="K272" s="7" t="n">
        <v>12267.8788782997</v>
      </c>
      <c r="L272" s="7" t="n">
        <v>-2351.865825164185</v>
      </c>
      <c r="M272" s="6" t="n">
        <v>-0.1917092472541714</v>
      </c>
      <c r="N272" s="7" t="n">
        <v>98.87189341703858</v>
      </c>
      <c r="O272" s="7" t="n">
        <v>-98.87189341703858</v>
      </c>
      <c r="P272" s="7" t="n">
        <v>9788.317448286818</v>
      </c>
      <c r="Q272" s="7" t="n">
        <v>12421.15330293068</v>
      </c>
      <c r="R272" s="7" t="n">
        <v>-2632.835854643867</v>
      </c>
      <c r="S272" s="6" t="n">
        <v>-0.2119638805216797</v>
      </c>
      <c r="T272" s="7" t="n">
        <v>250.2376739873836</v>
      </c>
      <c r="U272" s="7" t="n">
        <v>-250.2376739873836</v>
      </c>
      <c r="V272" s="7" t="n">
        <v>6541.436941681516</v>
      </c>
      <c r="W272" s="7" t="n">
        <v>24768.40123332177</v>
      </c>
      <c r="X272" s="7" t="n">
        <v>-18226.96429164026</v>
      </c>
      <c r="Y272" s="6" t="n">
        <v>-0.7358958747453954</v>
      </c>
      <c r="Z272" s="7" t="n">
        <v>191.5562975086541</v>
      </c>
      <c r="AA272" s="7" t="n">
        <v>-191.5562975086541</v>
      </c>
      <c r="AB272" s="7" t="n">
        <v>2407.948450378824</v>
      </c>
      <c r="AC272" s="7" t="n">
        <v>41497.28076229156</v>
      </c>
      <c r="AD272" s="7" t="n">
        <v>-39089.33231191273</v>
      </c>
      <c r="AE272" s="6" t="n">
        <v>-0.9419733436469668</v>
      </c>
    </row>
    <row r="273">
      <c r="A273" s="2" t="n">
        <v>264</v>
      </c>
      <c r="B273" s="2" t="inlineStr">
        <is>
          <t>KPROP-00264</t>
        </is>
      </c>
      <c r="C273" s="3" t="n">
        <v>45894</v>
      </c>
      <c r="D273" s="2" t="inlineStr">
        <is>
          <t>Kodai Senga</t>
        </is>
      </c>
      <c r="E273" s="2" t="inlineStr">
        <is>
          <t>Win</t>
        </is>
      </c>
      <c r="F273" s="2" t="n">
        <v>1.3</v>
      </c>
      <c r="G273" s="6" t="n">
        <v>0.1104943809023905</v>
      </c>
      <c r="H273" s="7" t="n">
        <v>100</v>
      </c>
      <c r="I273" s="7" t="n">
        <v>130</v>
      </c>
      <c r="J273" s="7" t="n">
        <v>10046.01305313552</v>
      </c>
      <c r="K273" s="7" t="n">
        <v>12267.8788782997</v>
      </c>
      <c r="L273" s="7" t="n">
        <v>-2221.865825164185</v>
      </c>
      <c r="M273" s="6" t="n">
        <v>-0.1811124683578657</v>
      </c>
      <c r="N273" s="7" t="n">
        <v>97.88317448286818</v>
      </c>
      <c r="O273" s="7" t="n">
        <v>127.2481268277286</v>
      </c>
      <c r="P273" s="7" t="n">
        <v>9915.565575114546</v>
      </c>
      <c r="Q273" s="7" t="n">
        <v>12421.15330293068</v>
      </c>
      <c r="R273" s="7" t="n">
        <v>-2505.587727816139</v>
      </c>
      <c r="S273" s="6" t="n">
        <v>-0.2017194109684616</v>
      </c>
      <c r="T273" s="7" t="n">
        <v>180.6980062707815</v>
      </c>
      <c r="U273" s="7" t="n">
        <v>234.9074081520159</v>
      </c>
      <c r="V273" s="7" t="n">
        <v>6776.344349833532</v>
      </c>
      <c r="W273" s="7" t="n">
        <v>24768.40123332177</v>
      </c>
      <c r="X273" s="7" t="n">
        <v>-17992.05688348824</v>
      </c>
      <c r="Y273" s="6" t="n">
        <v>-0.7264117176559185</v>
      </c>
      <c r="Z273" s="7" t="n">
        <v>133.0323866347394</v>
      </c>
      <c r="AA273" s="7" t="n">
        <v>172.9421026251612</v>
      </c>
      <c r="AB273" s="7" t="n">
        <v>2580.890553003986</v>
      </c>
      <c r="AC273" s="7" t="n">
        <v>41497.28076229156</v>
      </c>
      <c r="AD273" s="7" t="n">
        <v>-38916.39020928757</v>
      </c>
      <c r="AE273" s="6" t="n">
        <v>-0.9378057909917502</v>
      </c>
    </row>
    <row r="274">
      <c r="A274" s="2" t="n">
        <v>265</v>
      </c>
      <c r="B274" s="2" t="inlineStr">
        <is>
          <t>KPROP-00265</t>
        </is>
      </c>
      <c r="C274" s="3" t="n">
        <v>45894</v>
      </c>
      <c r="D274" s="2" t="inlineStr">
        <is>
          <t>Kodai Senga</t>
        </is>
      </c>
      <c r="E274" s="2" t="inlineStr">
        <is>
          <t>Win</t>
        </is>
      </c>
      <c r="F274" s="2" t="n">
        <v>0.6211180124223601</v>
      </c>
      <c r="G274" s="6" t="n">
        <v>0.1410602068886686</v>
      </c>
      <c r="H274" s="7" t="n">
        <v>100</v>
      </c>
      <c r="I274" s="7" t="n">
        <v>62.11180124223601</v>
      </c>
      <c r="J274" s="7" t="n">
        <v>10108.12485437775</v>
      </c>
      <c r="K274" s="7" t="n">
        <v>12267.8788782997</v>
      </c>
      <c r="L274" s="7" t="n">
        <v>-2159.754023921949</v>
      </c>
      <c r="M274" s="6" t="n">
        <v>-0.1760495066300561</v>
      </c>
      <c r="N274" s="7" t="n">
        <v>99.15565575114546</v>
      </c>
      <c r="O274" s="7" t="n">
        <v>61.58736382058723</v>
      </c>
      <c r="P274" s="7" t="n">
        <v>9977.152938935133</v>
      </c>
      <c r="Q274" s="7" t="n">
        <v>12421.15330293068</v>
      </c>
      <c r="R274" s="7" t="n">
        <v>-2444.000363995552</v>
      </c>
      <c r="S274" s="6" t="n">
        <v>-0.1967611464403154</v>
      </c>
      <c r="T274" s="7" t="n">
        <v>238.9681339840947</v>
      </c>
      <c r="U274" s="7" t="n">
        <v>148.4274124124811</v>
      </c>
      <c r="V274" s="7" t="n">
        <v>6924.771762246013</v>
      </c>
      <c r="W274" s="7" t="n">
        <v>24768.40123332177</v>
      </c>
      <c r="X274" s="7" t="n">
        <v>-17843.62947107576</v>
      </c>
      <c r="Y274" s="6" t="n">
        <v>-0.7204191058997428</v>
      </c>
      <c r="Z274" s="7" t="n">
        <v>182.0304776818763</v>
      </c>
      <c r="AA274" s="7" t="n">
        <v>113.0624084980598</v>
      </c>
      <c r="AB274" s="7" t="n">
        <v>2693.952961502046</v>
      </c>
      <c r="AC274" s="7" t="n">
        <v>41497.28076229156</v>
      </c>
      <c r="AD274" s="7" t="n">
        <v>-38803.32780078951</v>
      </c>
      <c r="AE274" s="6" t="n">
        <v>-0.9350812170818182</v>
      </c>
    </row>
    <row r="275">
      <c r="A275" s="2" t="n">
        <v>266</v>
      </c>
      <c r="B275" s="2" t="inlineStr">
        <is>
          <t>KPROP-00266</t>
        </is>
      </c>
      <c r="C275" s="3" t="n">
        <v>45894</v>
      </c>
      <c r="D275" s="2" t="inlineStr">
        <is>
          <t>Spencer Strider</t>
        </is>
      </c>
      <c r="E275" s="2" t="inlineStr">
        <is>
          <t>Win</t>
        </is>
      </c>
      <c r="F275" s="2" t="n">
        <v>1.2</v>
      </c>
      <c r="G275" s="6" t="n">
        <v>0.2702074325251349</v>
      </c>
      <c r="H275" s="7" t="n">
        <v>100</v>
      </c>
      <c r="I275" s="7" t="n">
        <v>120</v>
      </c>
      <c r="J275" s="7" t="n">
        <v>10228.12485437775</v>
      </c>
      <c r="K275" s="7" t="n">
        <v>12267.8788782997</v>
      </c>
      <c r="L275" s="7" t="n">
        <v>-2039.754023921949</v>
      </c>
      <c r="M275" s="6" t="n">
        <v>-0.1662678645719278</v>
      </c>
      <c r="N275" s="7" t="n">
        <v>99.77152938935133</v>
      </c>
      <c r="O275" s="7" t="n">
        <v>119.7258352672216</v>
      </c>
      <c r="P275" s="7" t="n">
        <v>10096.87877420235</v>
      </c>
      <c r="Q275" s="7" t="n">
        <v>12421.15330293068</v>
      </c>
      <c r="R275" s="7" t="n">
        <v>-2324.274528728331</v>
      </c>
      <c r="S275" s="6" t="n">
        <v>-0.1871222801975992</v>
      </c>
      <c r="T275" s="7" t="n">
        <v>467.7811996747623</v>
      </c>
      <c r="U275" s="7" t="n">
        <v>561.3374396097148</v>
      </c>
      <c r="V275" s="7" t="n">
        <v>7486.109201855728</v>
      </c>
      <c r="W275" s="7" t="n">
        <v>24768.40123332177</v>
      </c>
      <c r="X275" s="7" t="n">
        <v>-17282.29203146604</v>
      </c>
      <c r="Y275" s="6" t="n">
        <v>-0.6977556552263692</v>
      </c>
      <c r="Z275" s="7" t="n">
        <v>363.9630565354757</v>
      </c>
      <c r="AA275" s="7" t="n">
        <v>436.7556678425709</v>
      </c>
      <c r="AB275" s="7" t="n">
        <v>3130.708629344616</v>
      </c>
      <c r="AC275" s="7" t="n">
        <v>41497.28076229156</v>
      </c>
      <c r="AD275" s="7" t="n">
        <v>-38366.57213294694</v>
      </c>
      <c r="AE275" s="6" t="n">
        <v>-0.9245562944888311</v>
      </c>
    </row>
    <row r="276">
      <c r="A276" s="2" t="n">
        <v>267</v>
      </c>
      <c r="B276" s="2" t="inlineStr">
        <is>
          <t>KPROP-00267</t>
        </is>
      </c>
      <c r="C276" s="3" t="n">
        <v>45894</v>
      </c>
      <c r="D276" s="2" t="inlineStr">
        <is>
          <t>Spencer Strider</t>
        </is>
      </c>
      <c r="E276" s="2" t="inlineStr">
        <is>
          <t>Win</t>
        </is>
      </c>
      <c r="F276" s="2" t="n">
        <v>0.5714285714285714</v>
      </c>
      <c r="G276" s="6" t="n">
        <v>0.3135968959814976</v>
      </c>
      <c r="H276" s="7" t="n">
        <v>100</v>
      </c>
      <c r="I276" s="7" t="n">
        <v>57.14285714285714</v>
      </c>
      <c r="J276" s="7" t="n">
        <v>10285.26771152061</v>
      </c>
      <c r="K276" s="7" t="n">
        <v>12267.8788782997</v>
      </c>
      <c r="L276" s="7" t="n">
        <v>-1982.611166779092</v>
      </c>
      <c r="M276" s="6" t="n">
        <v>-0.1616099397823429</v>
      </c>
      <c r="N276" s="7" t="n">
        <v>100.9687877420236</v>
      </c>
      <c r="O276" s="7" t="n">
        <v>57.69645013829917</v>
      </c>
      <c r="P276" s="7" t="n">
        <v>10154.57522434065</v>
      </c>
      <c r="Q276" s="7" t="n">
        <v>12421.15330293068</v>
      </c>
      <c r="R276" s="7" t="n">
        <v>-2266.578078590032</v>
      </c>
      <c r="S276" s="6" t="n">
        <v>-0.1824772646558712</v>
      </c>
      <c r="T276" s="7" t="n">
        <v>586.9051521701207</v>
      </c>
      <c r="U276" s="7" t="n">
        <v>335.3743726686404</v>
      </c>
      <c r="V276" s="7" t="n">
        <v>7821.483574524369</v>
      </c>
      <c r="W276" s="7" t="n">
        <v>24768.40123332177</v>
      </c>
      <c r="X276" s="7" t="n">
        <v>-16946.9176587974</v>
      </c>
      <c r="Y276" s="6" t="n">
        <v>-0.6842152426050875</v>
      </c>
      <c r="Z276" s="7" t="n">
        <v>490.8902541924803</v>
      </c>
      <c r="AA276" s="7" t="n">
        <v>280.5087166814173</v>
      </c>
      <c r="AB276" s="7" t="n">
        <v>3411.217346026034</v>
      </c>
      <c r="AC276" s="7" t="n">
        <v>41497.28076229156</v>
      </c>
      <c r="AD276" s="7" t="n">
        <v>-38086.06341626553</v>
      </c>
      <c r="AE276" s="6" t="n">
        <v>-0.9177966053832184</v>
      </c>
    </row>
    <row r="277">
      <c r="A277" s="2" t="n">
        <v>268</v>
      </c>
      <c r="B277" s="2" t="inlineStr">
        <is>
          <t>KPROP-00268</t>
        </is>
      </c>
      <c r="C277" s="3" t="n">
        <v>45894</v>
      </c>
      <c r="D277" s="2" t="inlineStr">
        <is>
          <t>Tanner Bibee</t>
        </is>
      </c>
      <c r="E277" s="2" t="inlineStr">
        <is>
          <t>Win</t>
        </is>
      </c>
      <c r="F277" s="2" t="n">
        <v>1.15</v>
      </c>
      <c r="G277" s="6" t="n">
        <v>0.1493413380111294</v>
      </c>
      <c r="H277" s="7" t="n">
        <v>100</v>
      </c>
      <c r="I277" s="7" t="n">
        <v>115</v>
      </c>
      <c r="J277" s="7" t="n">
        <v>10400.26771152061</v>
      </c>
      <c r="K277" s="7" t="n">
        <v>12267.8788782997</v>
      </c>
      <c r="L277" s="7" t="n">
        <v>-1867.611166779092</v>
      </c>
      <c r="M277" s="6" t="n">
        <v>-0.1522358661433033</v>
      </c>
      <c r="N277" s="7" t="n">
        <v>101.5457522434065</v>
      </c>
      <c r="O277" s="7" t="n">
        <v>116.7776150799175</v>
      </c>
      <c r="P277" s="7" t="n">
        <v>10271.35283942057</v>
      </c>
      <c r="Q277" s="7" t="n">
        <v>12421.15330293068</v>
      </c>
      <c r="R277" s="7" t="n">
        <v>-2149.800463510113</v>
      </c>
      <c r="S277" s="6" t="n">
        <v>-0.1730757531994137</v>
      </c>
      <c r="T277" s="7" t="n">
        <v>292.0177055628851</v>
      </c>
      <c r="U277" s="7" t="n">
        <v>335.8203613973178</v>
      </c>
      <c r="V277" s="7" t="n">
        <v>8157.303935921687</v>
      </c>
      <c r="W277" s="7" t="n">
        <v>24768.40123332177</v>
      </c>
      <c r="X277" s="7" t="n">
        <v>-16611.09729740008</v>
      </c>
      <c r="Y277" s="6" t="n">
        <v>-0.6706568236246354</v>
      </c>
      <c r="Z277" s="7" t="n">
        <v>254.7178813511508</v>
      </c>
      <c r="AA277" s="7" t="n">
        <v>292.9255635538233</v>
      </c>
      <c r="AB277" s="7" t="n">
        <v>3704.142909579857</v>
      </c>
      <c r="AC277" s="7" t="n">
        <v>41497.28076229156</v>
      </c>
      <c r="AD277" s="7" t="n">
        <v>-37793.1378527117</v>
      </c>
      <c r="AE277" s="6" t="n">
        <v>-0.9107376955420703</v>
      </c>
    </row>
    <row r="278">
      <c r="A278" s="2" t="n">
        <v>269</v>
      </c>
      <c r="B278" s="2" t="inlineStr">
        <is>
          <t>KPROP-00269</t>
        </is>
      </c>
      <c r="C278" s="3" t="n">
        <v>45895</v>
      </c>
      <c r="D278" s="2" t="inlineStr">
        <is>
          <t>Bailey Ober</t>
        </is>
      </c>
      <c r="E278" s="2" t="inlineStr">
        <is>
          <t>Win</t>
        </is>
      </c>
      <c r="F278" s="2" t="n">
        <v>1.25</v>
      </c>
      <c r="G278" s="6" t="n">
        <v>0.106818192099823</v>
      </c>
      <c r="H278" s="7" t="n">
        <v>100</v>
      </c>
      <c r="I278" s="7" t="n">
        <v>125</v>
      </c>
      <c r="J278" s="7" t="n">
        <v>10525.26771152061</v>
      </c>
      <c r="K278" s="7" t="n">
        <v>12267.8788782997</v>
      </c>
      <c r="L278" s="7" t="n">
        <v>-1742.611166779092</v>
      </c>
      <c r="M278" s="6" t="n">
        <v>-0.1420466556660864</v>
      </c>
      <c r="N278" s="7" t="n">
        <v>102.7135283942057</v>
      </c>
      <c r="O278" s="7" t="n">
        <v>128.3919104927571</v>
      </c>
      <c r="P278" s="7" t="n">
        <v>10399.74474991333</v>
      </c>
      <c r="Q278" s="7" t="n">
        <v>12421.15330293068</v>
      </c>
      <c r="R278" s="7" t="n">
        <v>-2021.408553017356</v>
      </c>
      <c r="S278" s="6" t="n">
        <v>-0.1627392001144063</v>
      </c>
      <c r="T278" s="7" t="n">
        <v>217.8371147109812</v>
      </c>
      <c r="U278" s="7" t="n">
        <v>272.2963933887265</v>
      </c>
      <c r="V278" s="7" t="n">
        <v>8429.600329310413</v>
      </c>
      <c r="W278" s="7" t="n">
        <v>24768.40123332177</v>
      </c>
      <c r="X278" s="7" t="n">
        <v>-16338.80090401136</v>
      </c>
      <c r="Y278" s="6" t="n">
        <v>-0.6596631227868763</v>
      </c>
      <c r="Z278" s="7" t="n">
        <v>197.8349244403492</v>
      </c>
      <c r="AA278" s="7" t="n">
        <v>247.2936555504365</v>
      </c>
      <c r="AB278" s="7" t="n">
        <v>3951.436565130294</v>
      </c>
      <c r="AC278" s="7" t="n">
        <v>41497.28076229156</v>
      </c>
      <c r="AD278" s="7" t="n">
        <v>-37545.84419716126</v>
      </c>
      <c r="AE278" s="6" t="n">
        <v>-0.9047784218015328</v>
      </c>
    </row>
    <row r="279">
      <c r="A279" s="2" t="n">
        <v>270</v>
      </c>
      <c r="B279" s="2" t="inlineStr">
        <is>
          <t>KPROP-00270</t>
        </is>
      </c>
      <c r="C279" s="3" t="n">
        <v>45895</v>
      </c>
      <c r="D279" s="2" t="inlineStr">
        <is>
          <t>Brandon Pfaadt</t>
        </is>
      </c>
      <c r="E279" s="2" t="inlineStr">
        <is>
          <t>Win</t>
        </is>
      </c>
      <c r="F279" s="2" t="n">
        <v>0.8849557522123894</v>
      </c>
      <c r="G279" s="6" t="n">
        <v>0.09887444153388274</v>
      </c>
      <c r="H279" s="7" t="n">
        <v>100</v>
      </c>
      <c r="I279" s="7" t="n">
        <v>88.49557522123894</v>
      </c>
      <c r="J279" s="7" t="n">
        <v>10613.76328674185</v>
      </c>
      <c r="K279" s="7" t="n">
        <v>12267.8788782997</v>
      </c>
      <c r="L279" s="7" t="n">
        <v>-1654.115591557853</v>
      </c>
      <c r="M279" s="6" t="n">
        <v>-0.1348330553282336</v>
      </c>
      <c r="N279" s="7" t="n">
        <v>103.9974474991333</v>
      </c>
      <c r="O279" s="7" t="n">
        <v>92.03313937976398</v>
      </c>
      <c r="P279" s="7" t="n">
        <v>10491.77788929309</v>
      </c>
      <c r="Q279" s="7" t="n">
        <v>12421.15330293068</v>
      </c>
      <c r="R279" s="7" t="n">
        <v>-1929.375413637592</v>
      </c>
      <c r="S279" s="6" t="n">
        <v>-0.1553298125047993</v>
      </c>
      <c r="T279" s="7" t="n">
        <v>208.3680062286003</v>
      </c>
      <c r="U279" s="7" t="n">
        <v>184.3964656890268</v>
      </c>
      <c r="V279" s="7" t="n">
        <v>8613.996794999441</v>
      </c>
      <c r="W279" s="7" t="n">
        <v>24768.40123332177</v>
      </c>
      <c r="X279" s="7" t="n">
        <v>-16154.40443832233</v>
      </c>
      <c r="Y279" s="6" t="n">
        <v>-0.6522182956479752</v>
      </c>
      <c r="Z279" s="7" t="n">
        <v>195.3480418169108</v>
      </c>
      <c r="AA279" s="7" t="n">
        <v>172.8743732893016</v>
      </c>
      <c r="AB279" s="7" t="n">
        <v>4124.310938419595</v>
      </c>
      <c r="AC279" s="7" t="n">
        <v>41497.28076229156</v>
      </c>
      <c r="AD279" s="7" t="n">
        <v>-37372.96982387196</v>
      </c>
      <c r="AE279" s="6" t="n">
        <v>-0.9006125012854496</v>
      </c>
    </row>
    <row r="280">
      <c r="A280" s="2" t="n">
        <v>271</v>
      </c>
      <c r="B280" s="2" t="inlineStr">
        <is>
          <t>KPROP-00271</t>
        </is>
      </c>
      <c r="C280" s="3" t="n">
        <v>45895</v>
      </c>
      <c r="D280" s="2" t="inlineStr">
        <is>
          <t>Chris Bassitt</t>
        </is>
      </c>
      <c r="E280" s="2" t="inlineStr">
        <is>
          <t>Loss</t>
        </is>
      </c>
      <c r="F280" s="2" t="n">
        <v>-1</v>
      </c>
      <c r="G280" s="6" t="n">
        <v>0.1895599476104693</v>
      </c>
      <c r="H280" s="7" t="n">
        <v>100</v>
      </c>
      <c r="I280" s="7" t="n">
        <v>-100</v>
      </c>
      <c r="J280" s="7" t="n">
        <v>10513.76328674185</v>
      </c>
      <c r="K280" s="7" t="n">
        <v>12267.8788782997</v>
      </c>
      <c r="L280" s="7" t="n">
        <v>-1754.115591557853</v>
      </c>
      <c r="M280" s="6" t="n">
        <v>-0.1429844237100072</v>
      </c>
      <c r="N280" s="7" t="n">
        <v>104.9177788929309</v>
      </c>
      <c r="O280" s="7" t="n">
        <v>-104.9177788929309</v>
      </c>
      <c r="P280" s="7" t="n">
        <v>10386.86011040016</v>
      </c>
      <c r="Q280" s="7" t="n">
        <v>12421.15330293068</v>
      </c>
      <c r="R280" s="7" t="n">
        <v>-2034.293192530522</v>
      </c>
      <c r="S280" s="6" t="n">
        <v>-0.1637765143797512</v>
      </c>
      <c r="T280" s="7" t="n">
        <v>408.217195294211</v>
      </c>
      <c r="U280" s="7" t="n">
        <v>-408.217195294211</v>
      </c>
      <c r="V280" s="7" t="n">
        <v>8205.779599705229</v>
      </c>
      <c r="W280" s="7" t="n">
        <v>24768.40123332177</v>
      </c>
      <c r="X280" s="7" t="n">
        <v>-16562.62163361655</v>
      </c>
      <c r="Y280" s="6" t="n">
        <v>-0.6686996660621877</v>
      </c>
      <c r="Z280" s="7" t="n">
        <v>390.9020827080519</v>
      </c>
      <c r="AA280" s="7" t="n">
        <v>-390.9020827080519</v>
      </c>
      <c r="AB280" s="7" t="n">
        <v>3733.408855711543</v>
      </c>
      <c r="AC280" s="7" t="n">
        <v>41497.28076229156</v>
      </c>
      <c r="AD280" s="7" t="n">
        <v>-37763.87190658001</v>
      </c>
      <c r="AE280" s="6" t="n">
        <v>-0.9100324458101823</v>
      </c>
    </row>
    <row r="281">
      <c r="A281" s="2" t="n">
        <v>272</v>
      </c>
      <c r="B281" s="2" t="inlineStr">
        <is>
          <t>KPROP-00272</t>
        </is>
      </c>
      <c r="C281" s="3" t="n">
        <v>45895</v>
      </c>
      <c r="D281" s="2" t="inlineStr">
        <is>
          <t>Mitch Keller</t>
        </is>
      </c>
      <c r="E281" s="2" t="inlineStr">
        <is>
          <t>Loss</t>
        </is>
      </c>
      <c r="F281" s="2" t="n">
        <v>-1</v>
      </c>
      <c r="G281" s="6" t="n">
        <v>0.1185698236413084</v>
      </c>
      <c r="H281" s="7" t="n">
        <v>100</v>
      </c>
      <c r="I281" s="7" t="n">
        <v>-100</v>
      </c>
      <c r="J281" s="7" t="n">
        <v>10413.76328674185</v>
      </c>
      <c r="K281" s="7" t="n">
        <v>12267.8788782997</v>
      </c>
      <c r="L281" s="7" t="n">
        <v>-1854.115591557853</v>
      </c>
      <c r="M281" s="6" t="n">
        <v>-0.1511357920917808</v>
      </c>
      <c r="N281" s="7" t="n">
        <v>103.8686011040016</v>
      </c>
      <c r="O281" s="7" t="n">
        <v>-103.8686011040016</v>
      </c>
      <c r="P281" s="7" t="n">
        <v>10282.99150929616</v>
      </c>
      <c r="Q281" s="7" t="n">
        <v>12421.15330293068</v>
      </c>
      <c r="R281" s="7" t="n">
        <v>-2138.161793634523</v>
      </c>
      <c r="S281" s="6" t="n">
        <v>-0.1721387492359537</v>
      </c>
      <c r="T281" s="7" t="n">
        <v>243.2394599941238</v>
      </c>
      <c r="U281" s="7" t="n">
        <v>-243.2394599941238</v>
      </c>
      <c r="V281" s="7" t="n">
        <v>7962.540139711105</v>
      </c>
      <c r="W281" s="7" t="n">
        <v>24768.40123332177</v>
      </c>
      <c r="X281" s="7" t="n">
        <v>-16805.86109361067</v>
      </c>
      <c r="Y281" s="6" t="n">
        <v>-0.6785202216040158</v>
      </c>
      <c r="Z281" s="7" t="n">
        <v>221.3348148013084</v>
      </c>
      <c r="AA281" s="7" t="n">
        <v>-221.3348148013084</v>
      </c>
      <c r="AB281" s="7" t="n">
        <v>3512.074040910235</v>
      </c>
      <c r="AC281" s="7" t="n">
        <v>41497.28076229156</v>
      </c>
      <c r="AD281" s="7" t="n">
        <v>-37985.20672138132</v>
      </c>
      <c r="AE281" s="6" t="n">
        <v>-0.9153661643270455</v>
      </c>
    </row>
    <row r="282">
      <c r="A282" s="2" t="n">
        <v>273</v>
      </c>
      <c r="B282" s="2" t="inlineStr">
        <is>
          <t>KPROP-00273</t>
        </is>
      </c>
      <c r="C282" s="3" t="n">
        <v>45895</v>
      </c>
      <c r="D282" s="2" t="inlineStr">
        <is>
          <t>Sean Manaea</t>
        </is>
      </c>
      <c r="E282" s="2" t="inlineStr">
        <is>
          <t>Loss</t>
        </is>
      </c>
      <c r="F282" s="2" t="n">
        <v>-1</v>
      </c>
      <c r="G282" s="6" t="n">
        <v>0.2892315423795965</v>
      </c>
      <c r="H282" s="7" t="n">
        <v>100</v>
      </c>
      <c r="I282" s="7" t="n">
        <v>-100</v>
      </c>
      <c r="J282" s="7" t="n">
        <v>10313.76328674185</v>
      </c>
      <c r="K282" s="7" t="n">
        <v>12267.8788782997</v>
      </c>
      <c r="L282" s="7" t="n">
        <v>-1954.115591557853</v>
      </c>
      <c r="M282" s="6" t="n">
        <v>-0.1592871604735543</v>
      </c>
      <c r="N282" s="7" t="n">
        <v>102.8299150929616</v>
      </c>
      <c r="O282" s="7" t="n">
        <v>-102.8299150929616</v>
      </c>
      <c r="P282" s="7" t="n">
        <v>10180.1615942032</v>
      </c>
      <c r="Q282" s="7" t="n">
        <v>12421.15330293068</v>
      </c>
      <c r="R282" s="7" t="n">
        <v>-2240.991708727484</v>
      </c>
      <c r="S282" s="6" t="n">
        <v>-0.1804173617435941</v>
      </c>
      <c r="T282" s="7" t="n">
        <v>575.7544414670227</v>
      </c>
      <c r="U282" s="7" t="n">
        <v>-575.7544414670227</v>
      </c>
      <c r="V282" s="7" t="n">
        <v>7386.785698244083</v>
      </c>
      <c r="W282" s="7" t="n">
        <v>24768.40123332177</v>
      </c>
      <c r="X282" s="7" t="n">
        <v>-17381.61553507769</v>
      </c>
      <c r="Y282" s="6" t="n">
        <v>-0.7017657446413461</v>
      </c>
      <c r="Z282" s="7" t="n">
        <v>507.9012959019047</v>
      </c>
      <c r="AA282" s="7" t="n">
        <v>-507.9012959019047</v>
      </c>
      <c r="AB282" s="7" t="n">
        <v>3004.17274500833</v>
      </c>
      <c r="AC282" s="7" t="n">
        <v>41497.28076229156</v>
      </c>
      <c r="AD282" s="7" t="n">
        <v>-38493.10801728323</v>
      </c>
      <c r="AE282" s="6" t="n">
        <v>-0.9276055517416406</v>
      </c>
    </row>
    <row r="283">
      <c r="A283" s="2" t="n">
        <v>274</v>
      </c>
      <c r="B283" s="2" t="inlineStr">
        <is>
          <t>KPROP-00274</t>
        </is>
      </c>
      <c r="C283" s="3" t="n">
        <v>45896</v>
      </c>
      <c r="D283" s="2" t="inlineStr">
        <is>
          <t>Max Fried</t>
        </is>
      </c>
      <c r="E283" s="2" t="inlineStr">
        <is>
          <t>Win</t>
        </is>
      </c>
      <c r="F283" s="2" t="n">
        <v>1.1</v>
      </c>
      <c r="G283" s="6" t="n">
        <v>0.3717207147054881</v>
      </c>
      <c r="H283" s="7" t="n">
        <v>100</v>
      </c>
      <c r="I283" s="7" t="n">
        <v>110</v>
      </c>
      <c r="J283" s="7" t="n">
        <v>10423.76328674185</v>
      </c>
      <c r="K283" s="7" t="n">
        <v>12267.8788782997</v>
      </c>
      <c r="L283" s="7" t="n">
        <v>-1844.115591557853</v>
      </c>
      <c r="M283" s="6" t="n">
        <v>-0.1503206552536034</v>
      </c>
      <c r="N283" s="7" t="n">
        <v>101.801615942032</v>
      </c>
      <c r="O283" s="7" t="n">
        <v>111.9817775362352</v>
      </c>
      <c r="P283" s="7" t="n">
        <v>10292.14337173944</v>
      </c>
      <c r="Q283" s="7" t="n">
        <v>12421.15330293068</v>
      </c>
      <c r="R283" s="7" t="n">
        <v>-2129.009931191249</v>
      </c>
      <c r="S283" s="6" t="n">
        <v>-0.1714019527227736</v>
      </c>
      <c r="T283" s="7" t="n">
        <v>686.4553147818921</v>
      </c>
      <c r="U283" s="7" t="n">
        <v>755.1008462600813</v>
      </c>
      <c r="V283" s="7" t="n">
        <v>8141.886544504164</v>
      </c>
      <c r="W283" s="7" t="n">
        <v>24768.40123332177</v>
      </c>
      <c r="X283" s="7" t="n">
        <v>-16626.51468881761</v>
      </c>
      <c r="Y283" s="6" t="n">
        <v>-0.6712792857396622</v>
      </c>
      <c r="Z283" s="7" t="n">
        <v>558.3566199366223</v>
      </c>
      <c r="AA283" s="7" t="n">
        <v>614.1922819302846</v>
      </c>
      <c r="AB283" s="7" t="n">
        <v>3618.365026938615</v>
      </c>
      <c r="AC283" s="7" t="n">
        <v>41497.28076229156</v>
      </c>
      <c r="AD283" s="7" t="n">
        <v>-37878.91573535294</v>
      </c>
      <c r="AE283" s="6" t="n">
        <v>-0.9128047679156218</v>
      </c>
    </row>
    <row r="284">
      <c r="A284" s="2" t="n">
        <v>275</v>
      </c>
      <c r="B284" s="2" t="inlineStr">
        <is>
          <t>KPROP-00275</t>
        </is>
      </c>
      <c r="C284" s="3" t="n">
        <v>45896</v>
      </c>
      <c r="D284" s="2" t="inlineStr">
        <is>
          <t>Sonny Gray</t>
        </is>
      </c>
      <c r="E284" s="2" t="inlineStr">
        <is>
          <t>Loss</t>
        </is>
      </c>
      <c r="F284" s="2" t="n">
        <v>-1</v>
      </c>
      <c r="G284" s="6" t="n">
        <v>0.2074022367334494</v>
      </c>
      <c r="H284" s="7" t="n">
        <v>100</v>
      </c>
      <c r="I284" s="7" t="n">
        <v>-100</v>
      </c>
      <c r="J284" s="7" t="n">
        <v>10323.76328674185</v>
      </c>
      <c r="K284" s="7" t="n">
        <v>12267.8788782997</v>
      </c>
      <c r="L284" s="7" t="n">
        <v>-1944.115591557853</v>
      </c>
      <c r="M284" s="6" t="n">
        <v>-0.158472023635377</v>
      </c>
      <c r="N284" s="7" t="n">
        <v>102.9214337173944</v>
      </c>
      <c r="O284" s="7" t="n">
        <v>-102.9214337173944</v>
      </c>
      <c r="P284" s="7" t="n">
        <v>10189.22193802204</v>
      </c>
      <c r="Q284" s="7" t="n">
        <v>12421.15330293068</v>
      </c>
      <c r="R284" s="7" t="n">
        <v>-2231.931364908643</v>
      </c>
      <c r="S284" s="6" t="n">
        <v>-0.1796879331955459</v>
      </c>
      <c r="T284" s="7" t="n">
        <v>422.1613701400348</v>
      </c>
      <c r="U284" s="7" t="n">
        <v>-422.1613701400348</v>
      </c>
      <c r="V284" s="7" t="n">
        <v>7719.725174364129</v>
      </c>
      <c r="W284" s="7" t="n">
        <v>24768.40123332177</v>
      </c>
      <c r="X284" s="7" t="n">
        <v>-17048.67605895764</v>
      </c>
      <c r="Y284" s="6" t="n">
        <v>-0.6883236385892151</v>
      </c>
      <c r="Z284" s="7" t="n">
        <v>375.2284999525784</v>
      </c>
      <c r="AA284" s="7" t="n">
        <v>-375.2284999525784</v>
      </c>
      <c r="AB284" s="7" t="n">
        <v>3243.136526986037</v>
      </c>
      <c r="AC284" s="7" t="n">
        <v>41497.28076229156</v>
      </c>
      <c r="AD284" s="7" t="n">
        <v>-38254.14423530552</v>
      </c>
      <c r="AE284" s="6" t="n">
        <v>-0.9218470109990179</v>
      </c>
    </row>
    <row r="285">
      <c r="A285" s="2" t="n">
        <v>276</v>
      </c>
      <c r="B285" s="2" t="inlineStr">
        <is>
          <t>KPROP-00276</t>
        </is>
      </c>
      <c r="C285" s="3" t="n">
        <v>45897</v>
      </c>
      <c r="D285" s="2" t="inlineStr">
        <is>
          <t>Aaron Nola</t>
        </is>
      </c>
      <c r="E285" s="2" t="inlineStr">
        <is>
          <t>Win</t>
        </is>
      </c>
      <c r="F285" s="2" t="n">
        <v>1.02</v>
      </c>
      <c r="G285" s="6" t="n">
        <v>0.3243708148153283</v>
      </c>
      <c r="H285" s="7" t="n">
        <v>100</v>
      </c>
      <c r="I285" s="7" t="n">
        <v>102</v>
      </c>
      <c r="J285" s="7" t="n">
        <v>10425.76328674185</v>
      </c>
      <c r="K285" s="7" t="n">
        <v>12267.8788782997</v>
      </c>
      <c r="L285" s="7" t="n">
        <v>-1842.115591557853</v>
      </c>
      <c r="M285" s="6" t="n">
        <v>-0.150157627885968</v>
      </c>
      <c r="N285" s="7" t="n">
        <v>101.8922193802204</v>
      </c>
      <c r="O285" s="7" t="n">
        <v>103.9300637678248</v>
      </c>
      <c r="P285" s="7" t="n">
        <v>10293.15200178987</v>
      </c>
      <c r="Q285" s="7" t="n">
        <v>12421.15330293068</v>
      </c>
      <c r="R285" s="7" t="n">
        <v>-2128.001301140819</v>
      </c>
      <c r="S285" s="6" t="n">
        <v>-0.1713207501141405</v>
      </c>
      <c r="T285" s="7" t="n">
        <v>626.0133862397237</v>
      </c>
      <c r="U285" s="7" t="n">
        <v>638.5336539645182</v>
      </c>
      <c r="V285" s="7" t="n">
        <v>8358.258828328648</v>
      </c>
      <c r="W285" s="7" t="n">
        <v>24768.40123332177</v>
      </c>
      <c r="X285" s="7" t="n">
        <v>-16410.14240499312</v>
      </c>
      <c r="Y285" s="6" t="n">
        <v>-0.6625434661852942</v>
      </c>
      <c r="Z285" s="7" t="n">
        <v>525.9894189079073</v>
      </c>
      <c r="AA285" s="7" t="n">
        <v>536.5092072860655</v>
      </c>
      <c r="AB285" s="7" t="n">
        <v>3779.645734272102</v>
      </c>
      <c r="AC285" s="7" t="n">
        <v>41497.28076229156</v>
      </c>
      <c r="AD285" s="7" t="n">
        <v>-37717.63502801945</v>
      </c>
      <c r="AE285" s="6" t="n">
        <v>-0.9089182311505419</v>
      </c>
    </row>
    <row r="286">
      <c r="A286" s="2" t="n">
        <v>277</v>
      </c>
      <c r="B286" s="2" t="inlineStr">
        <is>
          <t>KPROP-00277</t>
        </is>
      </c>
      <c r="C286" s="3" t="n">
        <v>45897</v>
      </c>
      <c r="D286" s="2" t="inlineStr">
        <is>
          <t>Braxton Ashcraft</t>
        </is>
      </c>
      <c r="E286" s="2" t="inlineStr">
        <is>
          <t>Loss</t>
        </is>
      </c>
      <c r="F286" s="2" t="n">
        <v>-1</v>
      </c>
      <c r="G286" s="6" t="n">
        <v>0.1778215547172668</v>
      </c>
      <c r="H286" s="7" t="n">
        <v>100</v>
      </c>
      <c r="I286" s="7" t="n">
        <v>-100</v>
      </c>
      <c r="J286" s="7" t="n">
        <v>10325.76328674185</v>
      </c>
      <c r="K286" s="7" t="n">
        <v>12267.8788782997</v>
      </c>
      <c r="L286" s="7" t="n">
        <v>-1942.115591557853</v>
      </c>
      <c r="M286" s="6" t="n">
        <v>-0.1583089962677415</v>
      </c>
      <c r="N286" s="7" t="n">
        <v>102.9315200178987</v>
      </c>
      <c r="O286" s="7" t="n">
        <v>-102.9315200178987</v>
      </c>
      <c r="P286" s="7" t="n">
        <v>10190.22048177197</v>
      </c>
      <c r="Q286" s="7" t="n">
        <v>12421.15330293068</v>
      </c>
      <c r="R286" s="7" t="n">
        <v>-2230.932821158718</v>
      </c>
      <c r="S286" s="6" t="n">
        <v>-0.1796075426129992</v>
      </c>
      <c r="T286" s="7" t="n">
        <v>371.5696448956803</v>
      </c>
      <c r="U286" s="7" t="n">
        <v>-371.5696448956803</v>
      </c>
      <c r="V286" s="7" t="n">
        <v>7986.689183432967</v>
      </c>
      <c r="W286" s="7" t="n">
        <v>24768.40123332177</v>
      </c>
      <c r="X286" s="7" t="n">
        <v>-16781.7120498888</v>
      </c>
      <c r="Y286" s="6" t="n">
        <v>-0.677545227558402</v>
      </c>
      <c r="Z286" s="7" t="n">
        <v>336.0512403743754</v>
      </c>
      <c r="AA286" s="7" t="n">
        <v>-336.0512403743754</v>
      </c>
      <c r="AB286" s="7" t="n">
        <v>3443.594493897727</v>
      </c>
      <c r="AC286" s="7" t="n">
        <v>41497.28076229156</v>
      </c>
      <c r="AD286" s="7" t="n">
        <v>-38053.68626839383</v>
      </c>
      <c r="AE286" s="6" t="n">
        <v>-0.9170163820221466</v>
      </c>
    </row>
    <row r="287">
      <c r="A287" s="2" t="n">
        <v>278</v>
      </c>
      <c r="B287" s="2" t="inlineStr">
        <is>
          <t>KPROP-00278</t>
        </is>
      </c>
      <c r="C287" s="3" t="n">
        <v>45897</v>
      </c>
      <c r="D287" s="2" t="inlineStr">
        <is>
          <t>Clay Holmes</t>
        </is>
      </c>
      <c r="E287" s="2" t="inlineStr">
        <is>
          <t>Win</t>
        </is>
      </c>
      <c r="F287" s="2" t="n">
        <v>1.3</v>
      </c>
      <c r="G287" s="6" t="n">
        <v>0.06642126169970645</v>
      </c>
      <c r="H287" s="7" t="n">
        <v>100</v>
      </c>
      <c r="I287" s="7" t="n">
        <v>130</v>
      </c>
      <c r="J287" s="7" t="n">
        <v>10455.76328674185</v>
      </c>
      <c r="K287" s="7" t="n">
        <v>12267.8788782997</v>
      </c>
      <c r="L287" s="7" t="n">
        <v>-1812.115591557853</v>
      </c>
      <c r="M287" s="6" t="n">
        <v>-0.1477122173714359</v>
      </c>
      <c r="N287" s="7" t="n">
        <v>101.9022048177197</v>
      </c>
      <c r="O287" s="7" t="n">
        <v>132.4728662630355</v>
      </c>
      <c r="P287" s="7" t="n">
        <v>10322.693348035</v>
      </c>
      <c r="Q287" s="7" t="n">
        <v>12421.15330293068</v>
      </c>
      <c r="R287" s="7" t="n">
        <v>-2098.459954895683</v>
      </c>
      <c r="S287" s="6" t="n">
        <v>-0.1689424406669682</v>
      </c>
      <c r="T287" s="7" t="n">
        <v>132.621493091754</v>
      </c>
      <c r="U287" s="7" t="n">
        <v>172.4079410192802</v>
      </c>
      <c r="V287" s="7" t="n">
        <v>8159.097124452247</v>
      </c>
      <c r="W287" s="7" t="n">
        <v>24768.40123332177</v>
      </c>
      <c r="X287" s="7" t="n">
        <v>-16609.30410886952</v>
      </c>
      <c r="Y287" s="6" t="n">
        <v>-0.6705844253897366</v>
      </c>
      <c r="Z287" s="7" t="n">
        <v>114.3639455334246</v>
      </c>
      <c r="AA287" s="7" t="n">
        <v>148.6731291934519</v>
      </c>
      <c r="AB287" s="7" t="n">
        <v>3592.267623091179</v>
      </c>
      <c r="AC287" s="7" t="n">
        <v>41497.28076229156</v>
      </c>
      <c r="AD287" s="7" t="n">
        <v>-37905.01313920038</v>
      </c>
      <c r="AE287" s="6" t="n">
        <v>-0.9134336622279244</v>
      </c>
    </row>
    <row r="288">
      <c r="A288" s="2" t="n">
        <v>279</v>
      </c>
      <c r="B288" s="2" t="inlineStr">
        <is>
          <t>KPROP-00279</t>
        </is>
      </c>
      <c r="C288" s="3" t="n">
        <v>45897</v>
      </c>
      <c r="D288" s="2" t="inlineStr">
        <is>
          <t>Logan Webb</t>
        </is>
      </c>
      <c r="E288" s="2" t="inlineStr">
        <is>
          <t>Loss</t>
        </is>
      </c>
      <c r="F288" s="2" t="n">
        <v>-1</v>
      </c>
      <c r="G288" s="6" t="n">
        <v>0.2046890956820669</v>
      </c>
      <c r="H288" s="7" t="n">
        <v>100</v>
      </c>
      <c r="I288" s="7" t="n">
        <v>-100</v>
      </c>
      <c r="J288" s="7" t="n">
        <v>10355.76328674185</v>
      </c>
      <c r="K288" s="7" t="n">
        <v>12267.8788782997</v>
      </c>
      <c r="L288" s="7" t="n">
        <v>-1912.115591557853</v>
      </c>
      <c r="M288" s="6" t="n">
        <v>-0.1558635857532095</v>
      </c>
      <c r="N288" s="7" t="n">
        <v>103.22693348035</v>
      </c>
      <c r="O288" s="7" t="n">
        <v>-103.22693348035</v>
      </c>
      <c r="P288" s="7" t="n">
        <v>10219.46641455465</v>
      </c>
      <c r="Q288" s="7" t="n">
        <v>12421.15330293068</v>
      </c>
      <c r="R288" s="7" t="n">
        <v>-2201.686888376033</v>
      </c>
      <c r="S288" s="6" t="n">
        <v>-0.1772530162602985</v>
      </c>
      <c r="T288" s="7" t="n">
        <v>417.5195529965707</v>
      </c>
      <c r="U288" s="7" t="n">
        <v>-417.5195529965707</v>
      </c>
      <c r="V288" s="7" t="n">
        <v>7741.577571455677</v>
      </c>
      <c r="W288" s="7" t="n">
        <v>24768.40123332177</v>
      </c>
      <c r="X288" s="7" t="n">
        <v>-17026.8236618661</v>
      </c>
      <c r="Y288" s="6" t="n">
        <v>-0.6874413694073774</v>
      </c>
      <c r="Z288" s="7" t="n">
        <v>367.6490056092506</v>
      </c>
      <c r="AA288" s="7" t="n">
        <v>-367.6490056092506</v>
      </c>
      <c r="AB288" s="7" t="n">
        <v>3224.618617481928</v>
      </c>
      <c r="AC288" s="7" t="n">
        <v>41497.28076229156</v>
      </c>
      <c r="AD288" s="7" t="n">
        <v>-38272.66214480963</v>
      </c>
      <c r="AE288" s="6" t="n">
        <v>-0.9222932549254618</v>
      </c>
    </row>
    <row r="289">
      <c r="A289" s="2" t="n">
        <v>280</v>
      </c>
      <c r="B289" s="2" t="inlineStr">
        <is>
          <t>KPROP-00280</t>
        </is>
      </c>
      <c r="C289" s="3" t="n">
        <v>45897</v>
      </c>
      <c r="D289" s="2" t="inlineStr">
        <is>
          <t>Shota Imanaga</t>
        </is>
      </c>
      <c r="E289" s="2" t="inlineStr">
        <is>
          <t>Loss</t>
        </is>
      </c>
      <c r="F289" s="2" t="n">
        <v>-1</v>
      </c>
      <c r="G289" s="6" t="n">
        <v>0.1143921909155955</v>
      </c>
      <c r="H289" s="7" t="n">
        <v>100</v>
      </c>
      <c r="I289" s="7" t="n">
        <v>-100</v>
      </c>
      <c r="J289" s="7" t="n">
        <v>10255.76328674185</v>
      </c>
      <c r="K289" s="7" t="n">
        <v>12267.8788782997</v>
      </c>
      <c r="L289" s="7" t="n">
        <v>-2012.115591557853</v>
      </c>
      <c r="M289" s="6" t="n">
        <v>-0.164014954134983</v>
      </c>
      <c r="N289" s="7" t="n">
        <v>102.1946641455465</v>
      </c>
      <c r="O289" s="7" t="n">
        <v>-102.1946641455465</v>
      </c>
      <c r="P289" s="7" t="n">
        <v>10117.27175040911</v>
      </c>
      <c r="Q289" s="7" t="n">
        <v>12421.15330293068</v>
      </c>
      <c r="R289" s="7" t="n">
        <v>-2303.88155252158</v>
      </c>
      <c r="S289" s="6" t="n">
        <v>-0.1854804860976955</v>
      </c>
      <c r="T289" s="7" t="n">
        <v>221.3940048854625</v>
      </c>
      <c r="U289" s="7" t="n">
        <v>-221.3940048854625</v>
      </c>
      <c r="V289" s="7" t="n">
        <v>7520.183566570214</v>
      </c>
      <c r="W289" s="7" t="n">
        <v>24768.40123332177</v>
      </c>
      <c r="X289" s="7" t="n">
        <v>-17248.21766675156</v>
      </c>
      <c r="Y289" s="6" t="n">
        <v>-0.6963799360431446</v>
      </c>
      <c r="Z289" s="7" t="n">
        <v>184.4355942604882</v>
      </c>
      <c r="AA289" s="7" t="n">
        <v>-184.4355942604882</v>
      </c>
      <c r="AB289" s="7" t="n">
        <v>3040.18302322144</v>
      </c>
      <c r="AC289" s="7" t="n">
        <v>41497.28076229156</v>
      </c>
      <c r="AD289" s="7" t="n">
        <v>-38457.09773907012</v>
      </c>
      <c r="AE289" s="6" t="n">
        <v>-0.9267377773344598</v>
      </c>
    </row>
    <row r="290">
      <c r="A290" s="2" t="n">
        <v>281</v>
      </c>
      <c r="B290" s="2" t="inlineStr">
        <is>
          <t>KPROP-00281</t>
        </is>
      </c>
      <c r="C290" s="3" t="n">
        <v>45897</v>
      </c>
      <c r="D290" s="2" t="inlineStr">
        <is>
          <t>Shota Imanaga</t>
        </is>
      </c>
      <c r="E290" s="2" t="inlineStr">
        <is>
          <t>Win</t>
        </is>
      </c>
      <c r="F290" s="2" t="n">
        <v>0.7142857142857144</v>
      </c>
      <c r="G290" s="6" t="n">
        <v>0.2226821036714265</v>
      </c>
      <c r="H290" s="7" t="n">
        <v>100</v>
      </c>
      <c r="I290" s="7" t="n">
        <v>71.42857142857144</v>
      </c>
      <c r="J290" s="7" t="n">
        <v>10327.19185817042</v>
      </c>
      <c r="K290" s="7" t="n">
        <v>12267.8788782997</v>
      </c>
      <c r="L290" s="7" t="n">
        <v>-1940.687020129282</v>
      </c>
      <c r="M290" s="6" t="n">
        <v>-0.158192548148002</v>
      </c>
      <c r="N290" s="7" t="n">
        <v>101.1727175040911</v>
      </c>
      <c r="O290" s="7" t="n">
        <v>72.26622678863647</v>
      </c>
      <c r="P290" s="7" t="n">
        <v>10189.53797719774</v>
      </c>
      <c r="Q290" s="7" t="n">
        <v>12421.15330293068</v>
      </c>
      <c r="R290" s="7" t="n">
        <v>-2231.615325732942</v>
      </c>
      <c r="S290" s="6" t="n">
        <v>-0.1796624895698219</v>
      </c>
      <c r="T290" s="7" t="n">
        <v>418.6525741497866</v>
      </c>
      <c r="U290" s="7" t="n">
        <v>299.0375529641333</v>
      </c>
      <c r="V290" s="7" t="n">
        <v>7819.221119534347</v>
      </c>
      <c r="W290" s="7" t="n">
        <v>24768.40123332177</v>
      </c>
      <c r="X290" s="7" t="n">
        <v>-16949.18011378742</v>
      </c>
      <c r="Y290" s="6" t="n">
        <v>-0.6843065870147935</v>
      </c>
      <c r="Z290" s="7" t="n">
        <v>338.4971755785538</v>
      </c>
      <c r="AA290" s="7" t="n">
        <v>241.7836968418242</v>
      </c>
      <c r="AB290" s="7" t="n">
        <v>3281.966720063264</v>
      </c>
      <c r="AC290" s="7" t="n">
        <v>41497.28076229156</v>
      </c>
      <c r="AD290" s="7" t="n">
        <v>-38215.3140422283</v>
      </c>
      <c r="AE290" s="6" t="n">
        <v>-0.9209112823834574</v>
      </c>
    </row>
    <row r="291">
      <c r="A291" s="2" t="n">
        <v>282</v>
      </c>
      <c r="B291" s="2" t="inlineStr">
        <is>
          <t>KPROP-00282</t>
        </is>
      </c>
      <c r="C291" s="3" t="n">
        <v>45898</v>
      </c>
      <c r="D291" s="2" t="inlineStr">
        <is>
          <t>Jonah Tong</t>
        </is>
      </c>
      <c r="E291" s="2" t="inlineStr">
        <is>
          <t>Loss</t>
        </is>
      </c>
      <c r="F291" s="2" t="n">
        <v>-1</v>
      </c>
      <c r="G291" s="6" t="n">
        <v>0.5156305631800222</v>
      </c>
      <c r="H291" s="7" t="n">
        <v>100</v>
      </c>
      <c r="I291" s="7" t="n">
        <v>-100</v>
      </c>
      <c r="J291" s="7" t="n">
        <v>10227.19185817042</v>
      </c>
      <c r="K291" s="7" t="n">
        <v>12267.8788782997</v>
      </c>
      <c r="L291" s="7" t="n">
        <v>-2040.687020129282</v>
      </c>
      <c r="M291" s="6" t="n">
        <v>-0.1663439165297755</v>
      </c>
      <c r="N291" s="7" t="n">
        <v>101.8953797719774</v>
      </c>
      <c r="O291" s="7" t="n">
        <v>-101.8953797719774</v>
      </c>
      <c r="P291" s="7" t="n">
        <v>10087.64259742577</v>
      </c>
      <c r="Q291" s="7" t="n">
        <v>12421.15330293068</v>
      </c>
      <c r="R291" s="7" t="n">
        <v>-2333.510705504919</v>
      </c>
      <c r="S291" s="6" t="n">
        <v>-0.1878658646741236</v>
      </c>
      <c r="T291" s="7" t="n">
        <v>1007.957347373655</v>
      </c>
      <c r="U291" s="7" t="n">
        <v>-1007.957347373655</v>
      </c>
      <c r="V291" s="7" t="n">
        <v>6811.263772160692</v>
      </c>
      <c r="W291" s="7" t="n">
        <v>24768.40123332177</v>
      </c>
      <c r="X291" s="7" t="n">
        <v>-17957.13746116108</v>
      </c>
      <c r="Y291" s="6" t="n">
        <v>-0.7250018800972399</v>
      </c>
      <c r="Z291" s="7" t="n">
        <v>846.1411741021556</v>
      </c>
      <c r="AA291" s="7" t="n">
        <v>-846.1411741021556</v>
      </c>
      <c r="AB291" s="7" t="n">
        <v>2435.825545961108</v>
      </c>
      <c r="AC291" s="7" t="n">
        <v>41497.28076229156</v>
      </c>
      <c r="AD291" s="7" t="n">
        <v>-39061.45521633045</v>
      </c>
      <c r="AE291" s="6" t="n">
        <v>-0.9413015623863591</v>
      </c>
    </row>
    <row r="292">
      <c r="A292" s="2" t="n">
        <v>283</v>
      </c>
      <c r="B292" s="2" t="inlineStr">
        <is>
          <t>KPROP-00283</t>
        </is>
      </c>
      <c r="C292" s="3" t="n">
        <v>45898</v>
      </c>
      <c r="D292" s="2" t="inlineStr">
        <is>
          <t>Jonah Tong</t>
        </is>
      </c>
      <c r="E292" s="2" t="inlineStr">
        <is>
          <t>Win</t>
        </is>
      </c>
      <c r="F292" s="2" t="n">
        <v>0.606060606060606</v>
      </c>
      <c r="G292" s="6" t="n">
        <v>0.5978785200506997</v>
      </c>
      <c r="H292" s="7" t="n">
        <v>100</v>
      </c>
      <c r="I292" s="7" t="n">
        <v>60.60606060606059</v>
      </c>
      <c r="J292" s="7" t="n">
        <v>10287.79791877648</v>
      </c>
      <c r="K292" s="7" t="n">
        <v>12267.8788782997</v>
      </c>
      <c r="L292" s="7" t="n">
        <v>-1980.080959523222</v>
      </c>
      <c r="M292" s="6" t="n">
        <v>-0.1614036932680946</v>
      </c>
      <c r="N292" s="7" t="n">
        <v>100.8764259742577</v>
      </c>
      <c r="O292" s="7" t="n">
        <v>61.13722786318645</v>
      </c>
      <c r="P292" s="7" t="n">
        <v>10148.77982528895</v>
      </c>
      <c r="Q292" s="7" t="n">
        <v>12421.15330293068</v>
      </c>
      <c r="R292" s="7" t="n">
        <v>-2272.373477641733</v>
      </c>
      <c r="S292" s="6" t="n">
        <v>-0.1829438396115426</v>
      </c>
      <c r="T292" s="7" t="n">
        <v>1018.077075943595</v>
      </c>
      <c r="U292" s="7" t="n">
        <v>617.016409662785</v>
      </c>
      <c r="V292" s="7" t="n">
        <v>7428.280181823478</v>
      </c>
      <c r="W292" s="7" t="n">
        <v>24768.40123332177</v>
      </c>
      <c r="X292" s="7" t="n">
        <v>-17340.1210514983</v>
      </c>
      <c r="Y292" s="6" t="n">
        <v>-0.7000904454087267</v>
      </c>
      <c r="Z292" s="7" t="n">
        <v>728.1638862604575</v>
      </c>
      <c r="AA292" s="7" t="n">
        <v>441.311446218459</v>
      </c>
      <c r="AB292" s="7" t="n">
        <v>2877.136992179567</v>
      </c>
      <c r="AC292" s="7" t="n">
        <v>41497.28076229156</v>
      </c>
      <c r="AD292" s="7" t="n">
        <v>-38620.14377011199</v>
      </c>
      <c r="AE292" s="6" t="n">
        <v>-0.9306668548076524</v>
      </c>
    </row>
    <row r="293">
      <c r="A293" s="2" t="n">
        <v>284</v>
      </c>
      <c r="B293" s="2" t="inlineStr">
        <is>
          <t>KPROP-00284</t>
        </is>
      </c>
      <c r="C293" s="3" t="n">
        <v>45898</v>
      </c>
      <c r="D293" s="2" t="inlineStr">
        <is>
          <t>Matthew Liberatore</t>
        </is>
      </c>
      <c r="E293" s="2" t="inlineStr">
        <is>
          <t>Loss</t>
        </is>
      </c>
      <c r="F293" s="2" t="n">
        <v>-1</v>
      </c>
      <c r="G293" s="6" t="n">
        <v>0.2361259074497111</v>
      </c>
      <c r="H293" s="7" t="n">
        <v>100</v>
      </c>
      <c r="I293" s="7" t="n">
        <v>-100</v>
      </c>
      <c r="J293" s="7" t="n">
        <v>10187.79791877648</v>
      </c>
      <c r="K293" s="7" t="n">
        <v>12267.8788782997</v>
      </c>
      <c r="L293" s="7" t="n">
        <v>-2080.080959523222</v>
      </c>
      <c r="M293" s="6" t="n">
        <v>-0.1695550616498682</v>
      </c>
      <c r="N293" s="7" t="n">
        <v>101.4877982528895</v>
      </c>
      <c r="O293" s="7" t="n">
        <v>-101.4877982528895</v>
      </c>
      <c r="P293" s="7" t="n">
        <v>10047.29202703606</v>
      </c>
      <c r="Q293" s="7" t="n">
        <v>12421.15330293068</v>
      </c>
      <c r="R293" s="7" t="n">
        <v>-2373.861275894622</v>
      </c>
      <c r="S293" s="6" t="n">
        <v>-0.1911144012154271</v>
      </c>
      <c r="T293" s="7" t="n">
        <v>438.5023496809434</v>
      </c>
      <c r="U293" s="7" t="n">
        <v>-438.5023496809434</v>
      </c>
      <c r="V293" s="7" t="n">
        <v>6989.777832142534</v>
      </c>
      <c r="W293" s="7" t="n">
        <v>24768.40123332177</v>
      </c>
      <c r="X293" s="7" t="n">
        <v>-17778.62340117924</v>
      </c>
      <c r="Y293" s="6" t="n">
        <v>-0.7177945493414025</v>
      </c>
      <c r="Z293" s="7" t="n">
        <v>339.6832915677664</v>
      </c>
      <c r="AA293" s="7" t="n">
        <v>-339.6832915677664</v>
      </c>
      <c r="AB293" s="7" t="n">
        <v>2537.453700611801</v>
      </c>
      <c r="AC293" s="7" t="n">
        <v>41497.28076229156</v>
      </c>
      <c r="AD293" s="7" t="n">
        <v>-38959.82706167975</v>
      </c>
      <c r="AE293" s="6" t="n">
        <v>-0.9388525307200952</v>
      </c>
    </row>
    <row r="294">
      <c r="A294" s="2" t="n">
        <v>285</v>
      </c>
      <c r="B294" s="2" t="inlineStr">
        <is>
          <t>KPROP-00285</t>
        </is>
      </c>
      <c r="C294" s="3" t="n">
        <v>45898</v>
      </c>
      <c r="D294" s="2" t="inlineStr">
        <is>
          <t>Matthew Liberatore</t>
        </is>
      </c>
      <c r="E294" s="2" t="inlineStr">
        <is>
          <t>Win</t>
        </is>
      </c>
      <c r="F294" s="2" t="n">
        <v>0.5847953216374269</v>
      </c>
      <c r="G294" s="6" t="n">
        <v>0.3460494351439491</v>
      </c>
      <c r="H294" s="7" t="n">
        <v>100</v>
      </c>
      <c r="I294" s="7" t="n">
        <v>58.47953216374269</v>
      </c>
      <c r="J294" s="7" t="n">
        <v>10246.27745094022</v>
      </c>
      <c r="K294" s="7" t="n">
        <v>12267.8788782997</v>
      </c>
      <c r="L294" s="7" t="n">
        <v>-2021.601427359479</v>
      </c>
      <c r="M294" s="6" t="n">
        <v>-0.1647881795552638</v>
      </c>
      <c r="N294" s="7" t="n">
        <v>100.4729202703606</v>
      </c>
      <c r="O294" s="7" t="n">
        <v>58.75609372535709</v>
      </c>
      <c r="P294" s="7" t="n">
        <v>10106.04812076142</v>
      </c>
      <c r="Q294" s="7" t="n">
        <v>12421.15330293068</v>
      </c>
      <c r="R294" s="7" t="n">
        <v>-2315.105182169265</v>
      </c>
      <c r="S294" s="6" t="n">
        <v>-0.186384076076336</v>
      </c>
      <c r="T294" s="7" t="n">
        <v>604.7021676486552</v>
      </c>
      <c r="U294" s="7" t="n">
        <v>353.6269986249445</v>
      </c>
      <c r="V294" s="7" t="n">
        <v>7343.404830767478</v>
      </c>
      <c r="W294" s="7" t="n">
        <v>24768.40123332177</v>
      </c>
      <c r="X294" s="7" t="n">
        <v>-17424.99640255429</v>
      </c>
      <c r="Y294" s="6" t="n">
        <v>-0.7035172047807371</v>
      </c>
      <c r="Z294" s="7" t="n">
        <v>439.0422099003185</v>
      </c>
      <c r="AA294" s="7" t="n">
        <v>256.7498303510635</v>
      </c>
      <c r="AB294" s="7" t="n">
        <v>2794.203530962864</v>
      </c>
      <c r="AC294" s="7" t="n">
        <v>41497.28076229156</v>
      </c>
      <c r="AD294" s="7" t="n">
        <v>-38703.07723132869</v>
      </c>
      <c r="AE294" s="6" t="n">
        <v>-0.9326653824146004</v>
      </c>
    </row>
    <row r="295">
      <c r="A295" s="2" t="n">
        <v>286</v>
      </c>
      <c r="B295" s="2" t="inlineStr">
        <is>
          <t>KPROP-00286</t>
        </is>
      </c>
      <c r="C295" s="3" t="n">
        <v>45898</v>
      </c>
      <c r="D295" s="2" t="inlineStr">
        <is>
          <t>Ranger Suarez</t>
        </is>
      </c>
      <c r="E295" s="2" t="inlineStr">
        <is>
          <t>Win</t>
        </is>
      </c>
      <c r="F295" s="2" t="n">
        <v>0.8333333333333335</v>
      </c>
      <c r="G295" s="6" t="n">
        <v>0.2760001540979694</v>
      </c>
      <c r="H295" s="7" t="n">
        <v>100</v>
      </c>
      <c r="I295" s="7" t="n">
        <v>83.33333333333334</v>
      </c>
      <c r="J295" s="7" t="n">
        <v>10329.61078427356</v>
      </c>
      <c r="K295" s="7" t="n">
        <v>12267.8788782997</v>
      </c>
      <c r="L295" s="7" t="n">
        <v>-1938.268094026145</v>
      </c>
      <c r="M295" s="6" t="n">
        <v>-0.1579953725704524</v>
      </c>
      <c r="N295" s="7" t="n">
        <v>101.0604812076142</v>
      </c>
      <c r="O295" s="7" t="n">
        <v>84.21706767301185</v>
      </c>
      <c r="P295" s="7" t="n">
        <v>10190.26518843443</v>
      </c>
      <c r="Q295" s="7" t="n">
        <v>12421.15330293068</v>
      </c>
      <c r="R295" s="7" t="n">
        <v>-2230.888114496254</v>
      </c>
      <c r="S295" s="6" t="n">
        <v>-0.1796039433769722</v>
      </c>
      <c r="T295" s="7" t="n">
        <v>506.6952162238993</v>
      </c>
      <c r="U295" s="7" t="n">
        <v>422.2460135199161</v>
      </c>
      <c r="V295" s="7" t="n">
        <v>7765.650844287395</v>
      </c>
      <c r="W295" s="7" t="n">
        <v>24768.40123332177</v>
      </c>
      <c r="X295" s="7" t="n">
        <v>-17002.75038903438</v>
      </c>
      <c r="Y295" s="6" t="n">
        <v>-0.6864694345374218</v>
      </c>
      <c r="Z295" s="7" t="n">
        <v>385.6003025634204</v>
      </c>
      <c r="AA295" s="7" t="n">
        <v>321.3335854695171</v>
      </c>
      <c r="AB295" s="7" t="n">
        <v>3115.537116432381</v>
      </c>
      <c r="AC295" s="7" t="n">
        <v>41497.28076229156</v>
      </c>
      <c r="AD295" s="7" t="n">
        <v>-38381.74364585918</v>
      </c>
      <c r="AE295" s="6" t="n">
        <v>-0.9249218970688928</v>
      </c>
    </row>
    <row r="296">
      <c r="A296" s="2" t="n">
        <v>287</v>
      </c>
      <c r="B296" s="2" t="inlineStr">
        <is>
          <t>KPROP-00287</t>
        </is>
      </c>
      <c r="C296" s="3" t="n">
        <v>45898</v>
      </c>
      <c r="D296" s="2" t="inlineStr">
        <is>
          <t>Zack Littell</t>
        </is>
      </c>
      <c r="E296" s="2" t="inlineStr">
        <is>
          <t>Win</t>
        </is>
      </c>
      <c r="F296" s="2" t="n">
        <v>0.7692307692307692</v>
      </c>
      <c r="G296" s="6" t="n">
        <v>0.1113230435315237</v>
      </c>
      <c r="H296" s="7" t="n">
        <v>100</v>
      </c>
      <c r="I296" s="7" t="n">
        <v>76.92307692307692</v>
      </c>
      <c r="J296" s="7" t="n">
        <v>10406.53386119663</v>
      </c>
      <c r="K296" s="7" t="n">
        <v>12267.8788782997</v>
      </c>
      <c r="L296" s="7" t="n">
        <v>-1861.345017103069</v>
      </c>
      <c r="M296" s="6" t="n">
        <v>-0.1517250891998574</v>
      </c>
      <c r="N296" s="7" t="n">
        <v>101.9026518843443</v>
      </c>
      <c r="O296" s="7" t="n">
        <v>78.38665529564946</v>
      </c>
      <c r="P296" s="7" t="n">
        <v>10268.65184373008</v>
      </c>
      <c r="Q296" s="7" t="n">
        <v>12421.15330293068</v>
      </c>
      <c r="R296" s="7" t="n">
        <v>-2152.501459200605</v>
      </c>
      <c r="S296" s="6" t="n">
        <v>-0.173293204479872</v>
      </c>
      <c r="T296" s="7" t="n">
        <v>216.1239717473048</v>
      </c>
      <c r="U296" s="7" t="n">
        <v>166.2492090363883</v>
      </c>
      <c r="V296" s="7" t="n">
        <v>7931.900053323783</v>
      </c>
      <c r="W296" s="7" t="n">
        <v>24768.40123332177</v>
      </c>
      <c r="X296" s="7" t="n">
        <v>-16836.50117999799</v>
      </c>
      <c r="Y296" s="6" t="n">
        <v>-0.6797572851552192</v>
      </c>
      <c r="Z296" s="7" t="n">
        <v>173.4155370183398</v>
      </c>
      <c r="AA296" s="7" t="n">
        <v>133.3965669371845</v>
      </c>
      <c r="AB296" s="7" t="n">
        <v>3248.933683369566</v>
      </c>
      <c r="AC296" s="7" t="n">
        <v>41497.28076229156</v>
      </c>
      <c r="AD296" s="7" t="n">
        <v>-38248.34707892199</v>
      </c>
      <c r="AE296" s="6" t="n">
        <v>-0.9217073113300991</v>
      </c>
    </row>
    <row r="297">
      <c r="A297" s="2" t="n">
        <v>288</v>
      </c>
      <c r="B297" s="2" t="inlineStr">
        <is>
          <t>KPROP-00288</t>
        </is>
      </c>
      <c r="C297" s="3" t="n">
        <v>45899</v>
      </c>
      <c r="D297" s="2" t="inlineStr">
        <is>
          <t>David Peterson</t>
        </is>
      </c>
      <c r="E297" s="2" t="inlineStr">
        <is>
          <t>Win</t>
        </is>
      </c>
      <c r="F297" s="2" t="n">
        <v>1</v>
      </c>
      <c r="G297" s="6" t="n">
        <v>0.1014235564737866</v>
      </c>
      <c r="H297" s="7" t="n">
        <v>100</v>
      </c>
      <c r="I297" s="7" t="n">
        <v>100</v>
      </c>
      <c r="J297" s="7" t="n">
        <v>10506.53386119663</v>
      </c>
      <c r="K297" s="7" t="n">
        <v>12267.8788782997</v>
      </c>
      <c r="L297" s="7" t="n">
        <v>-1761.345017103069</v>
      </c>
      <c r="M297" s="6" t="n">
        <v>-0.1435737208180838</v>
      </c>
      <c r="N297" s="7" t="n">
        <v>102.6865184373008</v>
      </c>
      <c r="O297" s="7" t="n">
        <v>102.6865184373008</v>
      </c>
      <c r="P297" s="7" t="n">
        <v>10371.33836216738</v>
      </c>
      <c r="Q297" s="7" t="n">
        <v>12421.15330293068</v>
      </c>
      <c r="R297" s="7" t="n">
        <v>-2049.814940763305</v>
      </c>
      <c r="S297" s="6" t="n">
        <v>-0.1650261365246708</v>
      </c>
      <c r="T297" s="7" t="n">
        <v>201.120378250679</v>
      </c>
      <c r="U297" s="7" t="n">
        <v>201.120378250679</v>
      </c>
      <c r="V297" s="7" t="n">
        <v>8133.020431574462</v>
      </c>
      <c r="W297" s="7" t="n">
        <v>24768.40123332177</v>
      </c>
      <c r="X297" s="7" t="n">
        <v>-16635.38080174731</v>
      </c>
      <c r="Y297" s="6" t="n">
        <v>-0.6716372463866245</v>
      </c>
      <c r="Z297" s="7" t="n">
        <v>164.7592044574104</v>
      </c>
      <c r="AA297" s="7" t="n">
        <v>164.7592044574104</v>
      </c>
      <c r="AB297" s="7" t="n">
        <v>3413.692887826976</v>
      </c>
      <c r="AC297" s="7" t="n">
        <v>41497.28076229156</v>
      </c>
      <c r="AD297" s="7" t="n">
        <v>-38083.58787446458</v>
      </c>
      <c r="AE297" s="6" t="n">
        <v>-0.9177369498647009</v>
      </c>
    </row>
    <row r="298">
      <c r="A298" s="2" t="n">
        <v>289</v>
      </c>
      <c r="B298" s="2" t="inlineStr">
        <is>
          <t>KPROP-00289</t>
        </is>
      </c>
      <c r="C298" s="3" t="n">
        <v>45899</v>
      </c>
      <c r="D298" s="2" t="inlineStr">
        <is>
          <t>Kevin Gausman</t>
        </is>
      </c>
      <c r="E298" s="2" t="inlineStr">
        <is>
          <t>Loss</t>
        </is>
      </c>
      <c r="F298" s="2" t="n">
        <v>-1</v>
      </c>
      <c r="G298" s="6" t="n">
        <v>0.1140288376544224</v>
      </c>
      <c r="H298" s="7" t="n">
        <v>100</v>
      </c>
      <c r="I298" s="7" t="n">
        <v>-100</v>
      </c>
      <c r="J298" s="7" t="n">
        <v>10406.53386119663</v>
      </c>
      <c r="K298" s="7" t="n">
        <v>12267.8788782997</v>
      </c>
      <c r="L298" s="7" t="n">
        <v>-1861.345017103069</v>
      </c>
      <c r="M298" s="6" t="n">
        <v>-0.1517250891998574</v>
      </c>
      <c r="N298" s="7" t="n">
        <v>103.7133836216738</v>
      </c>
      <c r="O298" s="7" t="n">
        <v>-103.7133836216738</v>
      </c>
      <c r="P298" s="7" t="n">
        <v>10267.62497854571</v>
      </c>
      <c r="Q298" s="7" t="n">
        <v>12421.15330293068</v>
      </c>
      <c r="R298" s="7" t="n">
        <v>-2153.528324384979</v>
      </c>
      <c r="S298" s="6" t="n">
        <v>-0.1733758751594241</v>
      </c>
      <c r="T298" s="7" t="n">
        <v>231.8497166080262</v>
      </c>
      <c r="U298" s="7" t="n">
        <v>-231.8497166080262</v>
      </c>
      <c r="V298" s="7" t="n">
        <v>7901.170714966436</v>
      </c>
      <c r="W298" s="7" t="n">
        <v>24768.40123332177</v>
      </c>
      <c r="X298" s="7" t="n">
        <v>-16867.23051835534</v>
      </c>
      <c r="Y298" s="6" t="n">
        <v>-0.6809979521675092</v>
      </c>
      <c r="Z298" s="7" t="n">
        <v>194.6297160540393</v>
      </c>
      <c r="AA298" s="7" t="n">
        <v>-194.6297160540393</v>
      </c>
      <c r="AB298" s="7" t="n">
        <v>3219.063171772937</v>
      </c>
      <c r="AC298" s="7" t="n">
        <v>41497.28076229156</v>
      </c>
      <c r="AD298" s="7" t="n">
        <v>-38278.21759051862</v>
      </c>
      <c r="AE298" s="6" t="n">
        <v>-0.9224271298591187</v>
      </c>
    </row>
    <row r="299">
      <c r="A299" s="2" t="n">
        <v>290</v>
      </c>
      <c r="B299" s="2" t="inlineStr">
        <is>
          <t>KPROP-00290</t>
        </is>
      </c>
      <c r="C299" s="3" t="n">
        <v>45899</v>
      </c>
      <c r="D299" s="2" t="inlineStr">
        <is>
          <t>Logan Gilbert</t>
        </is>
      </c>
      <c r="E299" s="2" t="inlineStr">
        <is>
          <t>Win</t>
        </is>
      </c>
      <c r="F299" s="2" t="n">
        <v>1.06</v>
      </c>
      <c r="G299" s="6" t="n">
        <v>0.275432161892763</v>
      </c>
      <c r="H299" s="7" t="n">
        <v>100</v>
      </c>
      <c r="I299" s="7" t="n">
        <v>106</v>
      </c>
      <c r="J299" s="7" t="n">
        <v>10512.53386119663</v>
      </c>
      <c r="K299" s="7" t="n">
        <v>12267.8788782997</v>
      </c>
      <c r="L299" s="7" t="n">
        <v>-1755.345017103069</v>
      </c>
      <c r="M299" s="6" t="n">
        <v>-0.1430846387151774</v>
      </c>
      <c r="N299" s="7" t="n">
        <v>102.6762497854571</v>
      </c>
      <c r="O299" s="7" t="n">
        <v>108.8368247725845</v>
      </c>
      <c r="P299" s="7" t="n">
        <v>10376.46180331829</v>
      </c>
      <c r="Q299" s="7" t="n">
        <v>12421.15330293068</v>
      </c>
      <c r="R299" s="7" t="n">
        <v>-2044.691499612394</v>
      </c>
      <c r="S299" s="6" t="n">
        <v>-0.164613659436114</v>
      </c>
      <c r="T299" s="7" t="n">
        <v>544.0591328767483</v>
      </c>
      <c r="U299" s="7" t="n">
        <v>576.7026808493532</v>
      </c>
      <c r="V299" s="7" t="n">
        <v>8477.87339581579</v>
      </c>
      <c r="W299" s="7" t="n">
        <v>24768.40123332177</v>
      </c>
      <c r="X299" s="7" t="n">
        <v>-16290.52783750598</v>
      </c>
      <c r="Y299" s="6" t="n">
        <v>-0.657714144891588</v>
      </c>
      <c r="Z299" s="7" t="n">
        <v>443.3167643353973</v>
      </c>
      <c r="AA299" s="7" t="n">
        <v>469.9157701955211</v>
      </c>
      <c r="AB299" s="7" t="n">
        <v>3688.978941968458</v>
      </c>
      <c r="AC299" s="7" t="n">
        <v>41497.28076229156</v>
      </c>
      <c r="AD299" s="7" t="n">
        <v>-37808.3018203231</v>
      </c>
      <c r="AE299" s="6" t="n">
        <v>-0.9111031162957399</v>
      </c>
    </row>
    <row r="300">
      <c r="A300" s="2" t="n">
        <v>291</v>
      </c>
      <c r="B300" s="2" t="inlineStr">
        <is>
          <t>KPROP-00291</t>
        </is>
      </c>
      <c r="C300" s="3" t="n">
        <v>45900</v>
      </c>
      <c r="D300" s="2" t="inlineStr">
        <is>
          <t>Joe Ryan</t>
        </is>
      </c>
      <c r="E300" s="2" t="inlineStr">
        <is>
          <t>Loss</t>
        </is>
      </c>
      <c r="F300" s="2" t="n">
        <v>-1</v>
      </c>
      <c r="G300" s="6" t="n">
        <v>0.1622729682718541</v>
      </c>
      <c r="H300" s="7" t="n">
        <v>100</v>
      </c>
      <c r="I300" s="7" t="n">
        <v>-100</v>
      </c>
      <c r="J300" s="7" t="n">
        <v>10412.53386119663</v>
      </c>
      <c r="K300" s="7" t="n">
        <v>12267.8788782997</v>
      </c>
      <c r="L300" s="7" t="n">
        <v>-1855.345017103069</v>
      </c>
      <c r="M300" s="6" t="n">
        <v>-0.151236007096951</v>
      </c>
      <c r="N300" s="7" t="n">
        <v>103.7646180331829</v>
      </c>
      <c r="O300" s="7" t="n">
        <v>-103.7646180331829</v>
      </c>
      <c r="P300" s="7" t="n">
        <v>10272.69718528511</v>
      </c>
      <c r="Q300" s="7" t="n">
        <v>12421.15330293068</v>
      </c>
      <c r="R300" s="7" t="n">
        <v>-2148.456117645577</v>
      </c>
      <c r="S300" s="6" t="n">
        <v>-0.1729675228417529</v>
      </c>
      <c r="T300" s="7" t="n">
        <v>343.932420143003</v>
      </c>
      <c r="U300" s="7" t="n">
        <v>-343.932420143003</v>
      </c>
      <c r="V300" s="7" t="n">
        <v>8133.940975672787</v>
      </c>
      <c r="W300" s="7" t="n">
        <v>24768.40123332177</v>
      </c>
      <c r="X300" s="7" t="n">
        <v>-16634.46025764899</v>
      </c>
      <c r="Y300" s="6" t="n">
        <v>-0.671600080318066</v>
      </c>
      <c r="Z300" s="7" t="n">
        <v>299.3107814027927</v>
      </c>
      <c r="AA300" s="7" t="n">
        <v>-299.3107814027927</v>
      </c>
      <c r="AB300" s="7" t="n">
        <v>3389.668160565665</v>
      </c>
      <c r="AC300" s="7" t="n">
        <v>41497.28076229156</v>
      </c>
      <c r="AD300" s="7" t="n">
        <v>-38107.61260172589</v>
      </c>
      <c r="AE300" s="6" t="n">
        <v>-0.9183158968901441</v>
      </c>
    </row>
    <row r="301">
      <c r="A301" s="2" t="n">
        <v>292</v>
      </c>
      <c r="B301" s="2" t="inlineStr">
        <is>
          <t>KPROP-00292</t>
        </is>
      </c>
      <c r="C301" s="3" t="n">
        <v>45900</v>
      </c>
      <c r="D301" s="2" t="inlineStr">
        <is>
          <t>Kodai Senga</t>
        </is>
      </c>
      <c r="E301" s="2" t="inlineStr">
        <is>
          <t>Loss</t>
        </is>
      </c>
      <c r="F301" s="2" t="n">
        <v>-1</v>
      </c>
      <c r="G301" s="6" t="n">
        <v>0.2476750959695541</v>
      </c>
      <c r="H301" s="7" t="n">
        <v>100</v>
      </c>
      <c r="I301" s="7" t="n">
        <v>-100</v>
      </c>
      <c r="J301" s="7" t="n">
        <v>10312.53386119663</v>
      </c>
      <c r="K301" s="7" t="n">
        <v>12267.8788782997</v>
      </c>
      <c r="L301" s="7" t="n">
        <v>-1955.345017103069</v>
      </c>
      <c r="M301" s="6" t="n">
        <v>-0.1593873754787246</v>
      </c>
      <c r="N301" s="7" t="n">
        <v>102.7269718528511</v>
      </c>
      <c r="O301" s="7" t="n">
        <v>-102.7269718528511</v>
      </c>
      <c r="P301" s="7" t="n">
        <v>10169.97021343226</v>
      </c>
      <c r="Q301" s="7" t="n">
        <v>12421.15330293068</v>
      </c>
      <c r="R301" s="7" t="n">
        <v>-2251.183089498429</v>
      </c>
      <c r="S301" s="6" t="n">
        <v>-0.1812378476133354</v>
      </c>
      <c r="T301" s="7" t="n">
        <v>503.6436529401116</v>
      </c>
      <c r="U301" s="7" t="n">
        <v>-503.6436529401116</v>
      </c>
      <c r="V301" s="7" t="n">
        <v>7630.297322732676</v>
      </c>
      <c r="W301" s="7" t="n">
        <v>24768.40123332177</v>
      </c>
      <c r="X301" s="7" t="n">
        <v>-17138.1039105891</v>
      </c>
      <c r="Y301" s="6" t="n">
        <v>-0.69193420072397</v>
      </c>
      <c r="Z301" s="7" t="n">
        <v>419.7681934865216</v>
      </c>
      <c r="AA301" s="7" t="n">
        <v>-419.7681934865216</v>
      </c>
      <c r="AB301" s="7" t="n">
        <v>2969.899967079144</v>
      </c>
      <c r="AC301" s="7" t="n">
        <v>41497.28076229156</v>
      </c>
      <c r="AD301" s="7" t="n">
        <v>-38527.38079521241</v>
      </c>
      <c r="AE301" s="6" t="n">
        <v>-0.9284314559286043</v>
      </c>
    </row>
    <row r="302">
      <c r="A302" s="2" t="n">
        <v>293</v>
      </c>
      <c r="B302" s="2" t="inlineStr">
        <is>
          <t>KPROP-00293</t>
        </is>
      </c>
      <c r="C302" s="3" t="n">
        <v>45900</v>
      </c>
      <c r="D302" s="2" t="inlineStr">
        <is>
          <t>Kodai Senga</t>
        </is>
      </c>
      <c r="E302" s="2" t="inlineStr">
        <is>
          <t>Loss</t>
        </is>
      </c>
      <c r="F302" s="2" t="n">
        <v>-1</v>
      </c>
      <c r="G302" s="6" t="n">
        <v>0.3784792124661603</v>
      </c>
      <c r="H302" s="7" t="n">
        <v>100</v>
      </c>
      <c r="I302" s="7" t="n">
        <v>-100</v>
      </c>
      <c r="J302" s="7" t="n">
        <v>10212.53386119663</v>
      </c>
      <c r="K302" s="7" t="n">
        <v>12267.8788782997</v>
      </c>
      <c r="L302" s="7" t="n">
        <v>-2055.345017103069</v>
      </c>
      <c r="M302" s="6" t="n">
        <v>-0.1675387438604981</v>
      </c>
      <c r="N302" s="7" t="n">
        <v>101.6997021343226</v>
      </c>
      <c r="O302" s="7" t="n">
        <v>-101.6997021343226</v>
      </c>
      <c r="P302" s="7" t="n">
        <v>10068.27051129793</v>
      </c>
      <c r="Q302" s="7" t="n">
        <v>12421.15330293068</v>
      </c>
      <c r="R302" s="7" t="n">
        <v>-2352.882791632752</v>
      </c>
      <c r="S302" s="6" t="n">
        <v>-0.1894254691372021</v>
      </c>
      <c r="T302" s="7" t="n">
        <v>721.9772303976285</v>
      </c>
      <c r="U302" s="7" t="n">
        <v>-721.9772303976285</v>
      </c>
      <c r="V302" s="7" t="n">
        <v>6908.320092335047</v>
      </c>
      <c r="W302" s="7" t="n">
        <v>24768.40123332177</v>
      </c>
      <c r="X302" s="7" t="n">
        <v>-17860.08114098672</v>
      </c>
      <c r="Y302" s="6" t="n">
        <v>-0.7210833259984075</v>
      </c>
      <c r="Z302" s="7" t="n">
        <v>562.0227003216949</v>
      </c>
      <c r="AA302" s="7" t="n">
        <v>-562.0227003216949</v>
      </c>
      <c r="AB302" s="7" t="n">
        <v>2407.877266757449</v>
      </c>
      <c r="AC302" s="7" t="n">
        <v>41497.28076229156</v>
      </c>
      <c r="AD302" s="7" t="n">
        <v>-39089.4034955341</v>
      </c>
      <c r="AE302" s="6" t="n">
        <v>-0.94197505902735</v>
      </c>
    </row>
    <row r="303">
      <c r="A303" s="2" t="n">
        <v>294</v>
      </c>
      <c r="B303" s="2" t="inlineStr">
        <is>
          <t>KPROP-00294</t>
        </is>
      </c>
      <c r="C303" s="3" t="n">
        <v>45900</v>
      </c>
      <c r="D303" s="2" t="inlineStr">
        <is>
          <t>Max Scherzer</t>
        </is>
      </c>
      <c r="E303" s="2" t="inlineStr">
        <is>
          <t>Win</t>
        </is>
      </c>
      <c r="F303" s="2" t="n">
        <v>0.7692307692307692</v>
      </c>
      <c r="G303" s="6" t="n">
        <v>0.1131248834626248</v>
      </c>
      <c r="H303" s="7" t="n">
        <v>100</v>
      </c>
      <c r="I303" s="7" t="n">
        <v>76.92307692307692</v>
      </c>
      <c r="J303" s="7" t="n">
        <v>10289.45693811971</v>
      </c>
      <c r="K303" s="7" t="n">
        <v>12267.8788782997</v>
      </c>
      <c r="L303" s="7" t="n">
        <v>-1978.421940179993</v>
      </c>
      <c r="M303" s="6" t="n">
        <v>-0.1612684604899031</v>
      </c>
      <c r="N303" s="7" t="n">
        <v>100.6827051129793</v>
      </c>
      <c r="O303" s="7" t="n">
        <v>77.44823470229178</v>
      </c>
      <c r="P303" s="7" t="n">
        <v>10145.71874600022</v>
      </c>
      <c r="Q303" s="7" t="n">
        <v>12421.15330293068</v>
      </c>
      <c r="R303" s="7" t="n">
        <v>-2275.434556930461</v>
      </c>
      <c r="S303" s="6" t="n">
        <v>-0.1831902804382575</v>
      </c>
      <c r="T303" s="7" t="n">
        <v>195.3757263419779</v>
      </c>
      <c r="U303" s="7" t="n">
        <v>150.2890202630599</v>
      </c>
      <c r="V303" s="7" t="n">
        <v>7058.609112598107</v>
      </c>
      <c r="W303" s="7" t="n">
        <v>24768.40123332177</v>
      </c>
      <c r="X303" s="7" t="n">
        <v>-17709.79212072366</v>
      </c>
      <c r="Y303" s="6" t="n">
        <v>-0.7150155536441358</v>
      </c>
      <c r="Z303" s="7" t="n">
        <v>136.19541759712</v>
      </c>
      <c r="AA303" s="7" t="n">
        <v>104.7657058439384</v>
      </c>
      <c r="AB303" s="7" t="n">
        <v>2512.642972601387</v>
      </c>
      <c r="AC303" s="7" t="n">
        <v>41497.28076229156</v>
      </c>
      <c r="AD303" s="7" t="n">
        <v>-38984.63778969017</v>
      </c>
      <c r="AE303" s="6" t="n">
        <v>-0.9394504187637128</v>
      </c>
    </row>
    <row r="304">
      <c r="A304" s="2" t="n">
        <v>295</v>
      </c>
      <c r="B304" s="2" t="inlineStr">
        <is>
          <t>KPROP-00295</t>
        </is>
      </c>
      <c r="C304" s="3" t="n">
        <v>45901</v>
      </c>
      <c r="D304" s="2" t="inlineStr">
        <is>
          <t>Bailey Ober</t>
        </is>
      </c>
      <c r="E304" s="2" t="inlineStr">
        <is>
          <t>Win</t>
        </is>
      </c>
      <c r="F304" s="2" t="n">
        <v>1.25</v>
      </c>
      <c r="G304" s="6" t="n">
        <v>0.3259239188179014</v>
      </c>
      <c r="H304" s="7" t="n">
        <v>100</v>
      </c>
      <c r="I304" s="7" t="n">
        <v>125</v>
      </c>
      <c r="J304" s="7" t="n">
        <v>10414.45693811971</v>
      </c>
      <c r="K304" s="7" t="n">
        <v>12267.8788782997</v>
      </c>
      <c r="L304" s="7" t="n">
        <v>-1853.421940179993</v>
      </c>
      <c r="M304" s="6" t="n">
        <v>-0.1510792500126862</v>
      </c>
      <c r="N304" s="7" t="n">
        <v>101.4571874600022</v>
      </c>
      <c r="O304" s="7" t="n">
        <v>126.8214843250028</v>
      </c>
      <c r="P304" s="7" t="n">
        <v>10272.54023032523</v>
      </c>
      <c r="Q304" s="7" t="n">
        <v>12421.15330293068</v>
      </c>
      <c r="R304" s="7" t="n">
        <v>-2148.613072605458</v>
      </c>
      <c r="S304" s="6" t="n">
        <v>-0.1729801589437358</v>
      </c>
      <c r="T304" s="7" t="n">
        <v>575.1423858454311</v>
      </c>
      <c r="U304" s="7" t="n">
        <v>718.9279823067889</v>
      </c>
      <c r="V304" s="7" t="n">
        <v>7777.537094904896</v>
      </c>
      <c r="W304" s="7" t="n">
        <v>24768.40123332177</v>
      </c>
      <c r="X304" s="7" t="n">
        <v>-16990.86413841688</v>
      </c>
      <c r="Y304" s="6" t="n">
        <v>-0.6859895387821193</v>
      </c>
      <c r="Z304" s="7" t="n">
        <v>409.4652221102525</v>
      </c>
      <c r="AA304" s="7" t="n">
        <v>511.8315276378156</v>
      </c>
      <c r="AB304" s="7" t="n">
        <v>3024.474500239203</v>
      </c>
      <c r="AC304" s="7" t="n">
        <v>41497.28076229156</v>
      </c>
      <c r="AD304" s="7" t="n">
        <v>-38472.80626205236</v>
      </c>
      <c r="AE304" s="6" t="n">
        <v>-0.927116320764142</v>
      </c>
    </row>
    <row r="305">
      <c r="A305" s="2" t="n">
        <v>296</v>
      </c>
      <c r="B305" s="2" t="inlineStr">
        <is>
          <t>KPROP-00296</t>
        </is>
      </c>
      <c r="C305" s="3" t="n">
        <v>45901</v>
      </c>
      <c r="D305" s="2" t="inlineStr">
        <is>
          <t>Bailey Ober</t>
        </is>
      </c>
      <c r="E305" s="2" t="inlineStr">
        <is>
          <t>Win</t>
        </is>
      </c>
      <c r="F305" s="2" t="n">
        <v>0.6451612903225805</v>
      </c>
      <c r="G305" s="6" t="n">
        <v>0.4452878285982153</v>
      </c>
      <c r="H305" s="7" t="n">
        <v>100</v>
      </c>
      <c r="I305" s="7" t="n">
        <v>64.51612903225805</v>
      </c>
      <c r="J305" s="7" t="n">
        <v>10478.97306715197</v>
      </c>
      <c r="K305" s="7" t="n">
        <v>12267.8788782997</v>
      </c>
      <c r="L305" s="7" t="n">
        <v>-1788.905811147735</v>
      </c>
      <c r="M305" s="6" t="n">
        <v>-0.1458203026696065</v>
      </c>
      <c r="N305" s="7" t="n">
        <v>102.7254023032523</v>
      </c>
      <c r="O305" s="7" t="n">
        <v>66.27445309887241</v>
      </c>
      <c r="P305" s="7" t="n">
        <v>10338.8146834241</v>
      </c>
      <c r="Q305" s="7" t="n">
        <v>12421.15330293068</v>
      </c>
      <c r="R305" s="7" t="n">
        <v>-2082.338619506585</v>
      </c>
      <c r="S305" s="6" t="n">
        <v>-0.1676445470659533</v>
      </c>
      <c r="T305" s="7" t="n">
        <v>865.8106512080681</v>
      </c>
      <c r="U305" s="7" t="n">
        <v>558.5875169084309</v>
      </c>
      <c r="V305" s="7" t="n">
        <v>8336.124611813326</v>
      </c>
      <c r="W305" s="7" t="n">
        <v>24768.40123332177</v>
      </c>
      <c r="X305" s="7" t="n">
        <v>-16432.27662150845</v>
      </c>
      <c r="Y305" s="6" t="n">
        <v>-0.6634371135510171</v>
      </c>
      <c r="Z305" s="7" t="n">
        <v>673.3808414310935</v>
      </c>
      <c r="AA305" s="7" t="n">
        <v>434.4392525361893</v>
      </c>
      <c r="AB305" s="7" t="n">
        <v>3458.913752775392</v>
      </c>
      <c r="AC305" s="7" t="n">
        <v>41497.28076229156</v>
      </c>
      <c r="AD305" s="7" t="n">
        <v>-38038.36700951617</v>
      </c>
      <c r="AE305" s="6" t="n">
        <v>-0.9166472190650503</v>
      </c>
    </row>
    <row r="306">
      <c r="A306" s="2" t="n">
        <v>297</v>
      </c>
      <c r="B306" s="2" t="inlineStr">
        <is>
          <t>KPROP-00297</t>
        </is>
      </c>
      <c r="C306" s="3" t="n">
        <v>45901</v>
      </c>
      <c r="D306" s="2" t="inlineStr">
        <is>
          <t>Sean Manaea</t>
        </is>
      </c>
      <c r="E306" s="2" t="inlineStr">
        <is>
          <t>Loss</t>
        </is>
      </c>
      <c r="F306" s="2" t="n">
        <v>-1</v>
      </c>
      <c r="G306" s="6" t="n">
        <v>0.08568525181525248</v>
      </c>
      <c r="H306" s="7" t="n">
        <v>100</v>
      </c>
      <c r="I306" s="7" t="n">
        <v>-100</v>
      </c>
      <c r="J306" s="7" t="n">
        <v>10378.97306715197</v>
      </c>
      <c r="K306" s="7" t="n">
        <v>12267.8788782997</v>
      </c>
      <c r="L306" s="7" t="n">
        <v>-1888.905811147735</v>
      </c>
      <c r="M306" s="6" t="n">
        <v>-0.15397167105138</v>
      </c>
      <c r="N306" s="7" t="n">
        <v>103.388146834241</v>
      </c>
      <c r="O306" s="7" t="n">
        <v>-103.388146834241</v>
      </c>
      <c r="P306" s="7" t="n">
        <v>10235.42653658986</v>
      </c>
      <c r="Q306" s="7" t="n">
        <v>12421.15330293068</v>
      </c>
      <c r="R306" s="7" t="n">
        <v>-2185.726766340826</v>
      </c>
      <c r="S306" s="6" t="n">
        <v>-0.1759681015952938</v>
      </c>
      <c r="T306" s="7" t="n">
        <v>178.5707341316372</v>
      </c>
      <c r="U306" s="7" t="n">
        <v>-178.5707341316372</v>
      </c>
      <c r="V306" s="7" t="n">
        <v>8157.553877681688</v>
      </c>
      <c r="W306" s="7" t="n">
        <v>24768.40123332177</v>
      </c>
      <c r="X306" s="7" t="n">
        <v>-16610.84735564009</v>
      </c>
      <c r="Y306" s="6" t="n">
        <v>-0.6706467324702794</v>
      </c>
      <c r="Z306" s="7" t="n">
        <v>148.1889479568997</v>
      </c>
      <c r="AA306" s="7" t="n">
        <v>-148.1889479568997</v>
      </c>
      <c r="AB306" s="7" t="n">
        <v>3310.724804818492</v>
      </c>
      <c r="AC306" s="7" t="n">
        <v>41497.28076229156</v>
      </c>
      <c r="AD306" s="7" t="n">
        <v>-38186.55595747307</v>
      </c>
      <c r="AE306" s="6" t="n">
        <v>-0.9202182710770066</v>
      </c>
    </row>
    <row r="307">
      <c r="A307" s="2" t="n">
        <v>298</v>
      </c>
      <c r="B307" s="2" t="inlineStr">
        <is>
          <t>KPROP-00298</t>
        </is>
      </c>
      <c r="C307" s="3" t="n">
        <v>45901</v>
      </c>
      <c r="D307" s="2" t="inlineStr">
        <is>
          <t>Spencer Strider</t>
        </is>
      </c>
      <c r="E307" s="2" t="inlineStr">
        <is>
          <t>Win</t>
        </is>
      </c>
      <c r="F307" s="2" t="n">
        <v>1.35</v>
      </c>
      <c r="G307" s="6" t="n">
        <v>0.2750581433128766</v>
      </c>
      <c r="H307" s="7" t="n">
        <v>100</v>
      </c>
      <c r="I307" s="7" t="n">
        <v>135</v>
      </c>
      <c r="J307" s="7" t="n">
        <v>10513.97306715197</v>
      </c>
      <c r="K307" s="7" t="n">
        <v>12267.8788782997</v>
      </c>
      <c r="L307" s="7" t="n">
        <v>-1753.905811147735</v>
      </c>
      <c r="M307" s="6" t="n">
        <v>-0.1429673237359857</v>
      </c>
      <c r="N307" s="7" t="n">
        <v>102.3542653658986</v>
      </c>
      <c r="O307" s="7" t="n">
        <v>138.1782582439631</v>
      </c>
      <c r="P307" s="7" t="n">
        <v>10373.60479483382</v>
      </c>
      <c r="Q307" s="7" t="n">
        <v>12421.15330293068</v>
      </c>
      <c r="R307" s="7" t="n">
        <v>-2047.548508096863</v>
      </c>
      <c r="S307" s="6" t="n">
        <v>-0.1648436709668303</v>
      </c>
      <c r="T307" s="7" t="n">
        <v>560.9504058924706</v>
      </c>
      <c r="U307" s="7" t="n">
        <v>757.2830479548354</v>
      </c>
      <c r="V307" s="7" t="n">
        <v>8914.836925636524</v>
      </c>
      <c r="W307" s="7" t="n">
        <v>24768.40123332177</v>
      </c>
      <c r="X307" s="7" t="n">
        <v>-15853.56430768525</v>
      </c>
      <c r="Y307" s="6" t="n">
        <v>-0.6400721693072748</v>
      </c>
      <c r="Z307" s="7" t="n">
        <v>455.3209089166302</v>
      </c>
      <c r="AA307" s="7" t="n">
        <v>614.6832270374508</v>
      </c>
      <c r="AB307" s="7" t="n">
        <v>3925.408031855943</v>
      </c>
      <c r="AC307" s="7" t="n">
        <v>41497.28076229156</v>
      </c>
      <c r="AD307" s="7" t="n">
        <v>-37571.87273043561</v>
      </c>
      <c r="AE307" s="6" t="n">
        <v>-0.905405656473208</v>
      </c>
    </row>
    <row r="308">
      <c r="A308" s="2" t="n">
        <v>299</v>
      </c>
      <c r="B308" s="2" t="inlineStr">
        <is>
          <t>KPROP-00299</t>
        </is>
      </c>
      <c r="C308" s="3" t="n">
        <v>45901</v>
      </c>
      <c r="D308" s="2" t="inlineStr">
        <is>
          <t>Spencer Strider</t>
        </is>
      </c>
      <c r="E308" s="2" t="inlineStr">
        <is>
          <t>Win</t>
        </is>
      </c>
      <c r="F308" s="2" t="n">
        <v>0.625</v>
      </c>
      <c r="G308" s="6" t="n">
        <v>0.3101427051032433</v>
      </c>
      <c r="H308" s="7" t="n">
        <v>100</v>
      </c>
      <c r="I308" s="7" t="n">
        <v>62.5</v>
      </c>
      <c r="J308" s="7" t="n">
        <v>10576.47306715197</v>
      </c>
      <c r="K308" s="7" t="n">
        <v>12267.8788782997</v>
      </c>
      <c r="L308" s="7" t="n">
        <v>-1691.405811147735</v>
      </c>
      <c r="M308" s="6" t="n">
        <v>-0.1378727184973773</v>
      </c>
      <c r="N308" s="7" t="n">
        <v>103.7360479483382</v>
      </c>
      <c r="O308" s="7" t="n">
        <v>64.83502996771139</v>
      </c>
      <c r="P308" s="7" t="n">
        <v>10438.43982480153</v>
      </c>
      <c r="Q308" s="7" t="n">
        <v>12421.15330293068</v>
      </c>
      <c r="R308" s="7" t="n">
        <v>-1982.713478129152</v>
      </c>
      <c r="S308" s="6" t="n">
        <v>-0.159623943910373</v>
      </c>
      <c r="T308" s="7" t="n">
        <v>691.2179099177981</v>
      </c>
      <c r="U308" s="7" t="n">
        <v>432.0111936986239</v>
      </c>
      <c r="V308" s="7" t="n">
        <v>9346.848119335147</v>
      </c>
      <c r="W308" s="7" t="n">
        <v>24768.40123332177</v>
      </c>
      <c r="X308" s="7" t="n">
        <v>-15421.55311398663</v>
      </c>
      <c r="Y308" s="6" t="n">
        <v>-0.6226301394552461</v>
      </c>
      <c r="Z308" s="7" t="n">
        <v>608.7183328169001</v>
      </c>
      <c r="AA308" s="7" t="n">
        <v>380.4489580105626</v>
      </c>
      <c r="AB308" s="7" t="n">
        <v>4305.856989866506</v>
      </c>
      <c r="AC308" s="7" t="n">
        <v>41497.28076229156</v>
      </c>
      <c r="AD308" s="7" t="n">
        <v>-37191.42377242505</v>
      </c>
      <c r="AE308" s="6" t="n">
        <v>-0.8962376109766877</v>
      </c>
    </row>
    <row r="309">
      <c r="A309" s="2" t="n">
        <v>300</v>
      </c>
      <c r="B309" s="2" t="inlineStr">
        <is>
          <t>KPROP-00300</t>
        </is>
      </c>
      <c r="C309" s="3" t="n">
        <v>45901</v>
      </c>
      <c r="D309" s="2" t="inlineStr">
        <is>
          <t>Yusei Kikuchi</t>
        </is>
      </c>
      <c r="E309" s="2" t="inlineStr">
        <is>
          <t>Loss</t>
        </is>
      </c>
      <c r="F309" s="2" t="n">
        <v>-1</v>
      </c>
      <c r="G309" s="6" t="n">
        <v>0.09531211157807901</v>
      </c>
      <c r="H309" s="7" t="n">
        <v>100</v>
      </c>
      <c r="I309" s="7" t="n">
        <v>-100</v>
      </c>
      <c r="J309" s="7" t="n">
        <v>10476.47306715197</v>
      </c>
      <c r="K309" s="7" t="n">
        <v>12267.8788782997</v>
      </c>
      <c r="L309" s="7" t="n">
        <v>-1791.405811147735</v>
      </c>
      <c r="M309" s="6" t="n">
        <v>-0.1460240868791508</v>
      </c>
      <c r="N309" s="7" t="n">
        <v>104.3843982480153</v>
      </c>
      <c r="O309" s="7" t="n">
        <v>-104.3843982480153</v>
      </c>
      <c r="P309" s="7" t="n">
        <v>10334.05542655352</v>
      </c>
      <c r="Q309" s="7" t="n">
        <v>12421.15330293068</v>
      </c>
      <c r="R309" s="7" t="n">
        <v>-2087.097876377167</v>
      </c>
      <c r="S309" s="6" t="n">
        <v>-0.1680277044712693</v>
      </c>
      <c r="T309" s="7" t="n">
        <v>222.7169577133574</v>
      </c>
      <c r="U309" s="7" t="n">
        <v>-222.7169577133574</v>
      </c>
      <c r="V309" s="7" t="n">
        <v>9124.13116162179</v>
      </c>
      <c r="W309" s="7" t="n">
        <v>24768.40123332177</v>
      </c>
      <c r="X309" s="7" t="n">
        <v>-15644.27007169998</v>
      </c>
      <c r="Y309" s="6" t="n">
        <v>-0.6316221190188576</v>
      </c>
      <c r="Z309" s="7" t="n">
        <v>205.2001609287039</v>
      </c>
      <c r="AA309" s="7" t="n">
        <v>-205.2001609287039</v>
      </c>
      <c r="AB309" s="7" t="n">
        <v>4100.656828937802</v>
      </c>
      <c r="AC309" s="7" t="n">
        <v>41497.28076229156</v>
      </c>
      <c r="AD309" s="7" t="n">
        <v>-37396.62393335375</v>
      </c>
      <c r="AE309" s="6" t="n">
        <v>-0.9011825171767868</v>
      </c>
    </row>
    <row r="310">
      <c r="A310" s="2" t="n">
        <v>301</v>
      </c>
      <c r="B310" s="2" t="inlineStr">
        <is>
          <t>KPROP-00301</t>
        </is>
      </c>
      <c r="C310" s="3" t="n">
        <v>45902</v>
      </c>
      <c r="D310" s="2" t="inlineStr">
        <is>
          <t>Clayton Kershaw</t>
        </is>
      </c>
      <c r="E310" s="2" t="inlineStr">
        <is>
          <t>Win</t>
        </is>
      </c>
      <c r="F310" s="2" t="n">
        <v>0.8</v>
      </c>
      <c r="G310" s="6" t="n">
        <v>0.1153766977272368</v>
      </c>
      <c r="H310" s="7" t="n">
        <v>100</v>
      </c>
      <c r="I310" s="7" t="n">
        <v>80</v>
      </c>
      <c r="J310" s="7" t="n">
        <v>10556.47306715197</v>
      </c>
      <c r="K310" s="7" t="n">
        <v>12267.8788782997</v>
      </c>
      <c r="L310" s="7" t="n">
        <v>-1711.405811147735</v>
      </c>
      <c r="M310" s="6" t="n">
        <v>-0.139502992173732</v>
      </c>
      <c r="N310" s="7" t="n">
        <v>103.3405542655352</v>
      </c>
      <c r="O310" s="7" t="n">
        <v>82.67244341242815</v>
      </c>
      <c r="P310" s="7" t="n">
        <v>10416.72786996595</v>
      </c>
      <c r="Q310" s="7" t="n">
        <v>12421.15330293068</v>
      </c>
      <c r="R310" s="7" t="n">
        <v>-2004.425432964739</v>
      </c>
      <c r="S310" s="6" t="n">
        <v>-0.1613719261070394</v>
      </c>
      <c r="T310" s="7" t="n">
        <v>263.1780307645249</v>
      </c>
      <c r="U310" s="7" t="n">
        <v>210.5424246116199</v>
      </c>
      <c r="V310" s="7" t="n">
        <v>9334.67358623341</v>
      </c>
      <c r="W310" s="7" t="n">
        <v>24768.40123332177</v>
      </c>
      <c r="X310" s="7" t="n">
        <v>-15433.72764708836</v>
      </c>
      <c r="Y310" s="6" t="n">
        <v>-0.6231216743341853</v>
      </c>
      <c r="Z310" s="7" t="n">
        <v>236.5601217177432</v>
      </c>
      <c r="AA310" s="7" t="n">
        <v>189.2480973741945</v>
      </c>
      <c r="AB310" s="7" t="n">
        <v>4289.904926311997</v>
      </c>
      <c r="AC310" s="7" t="n">
        <v>41497.28076229156</v>
      </c>
      <c r="AD310" s="7" t="n">
        <v>-37207.37583597956</v>
      </c>
      <c r="AE310" s="6" t="n">
        <v>-0.8966220232384426</v>
      </c>
    </row>
    <row r="311">
      <c r="A311" s="2" t="n">
        <v>302</v>
      </c>
      <c r="B311" s="2" t="inlineStr">
        <is>
          <t>KPROP-00302</t>
        </is>
      </c>
      <c r="C311" s="3" t="n">
        <v>45902</v>
      </c>
      <c r="D311" s="2" t="inlineStr">
        <is>
          <t>Garrett Crochet</t>
        </is>
      </c>
      <c r="E311" s="2" t="inlineStr">
        <is>
          <t>Win</t>
        </is>
      </c>
      <c r="F311" s="2" t="n">
        <v>1.25</v>
      </c>
      <c r="G311" s="6" t="n">
        <v>0.2500118472603946</v>
      </c>
      <c r="H311" s="7" t="n">
        <v>100</v>
      </c>
      <c r="I311" s="7" t="n">
        <v>125</v>
      </c>
      <c r="J311" s="7" t="n">
        <v>10681.47306715197</v>
      </c>
      <c r="K311" s="7" t="n">
        <v>12267.8788782997</v>
      </c>
      <c r="L311" s="7" t="n">
        <v>-1586.405811147735</v>
      </c>
      <c r="M311" s="6" t="n">
        <v>-0.129313781696515</v>
      </c>
      <c r="N311" s="7" t="n">
        <v>104.1672786996595</v>
      </c>
      <c r="O311" s="7" t="n">
        <v>130.2090983745743</v>
      </c>
      <c r="P311" s="7" t="n">
        <v>10546.93696834052</v>
      </c>
      <c r="Q311" s="7" t="n">
        <v>12421.15330293068</v>
      </c>
      <c r="R311" s="7" t="n">
        <v>-1874.216334590164</v>
      </c>
      <c r="S311" s="6" t="n">
        <v>-0.1508890751833774</v>
      </c>
      <c r="T311" s="7" t="n">
        <v>583.4447467167568</v>
      </c>
      <c r="U311" s="7" t="n">
        <v>729.3059333959459</v>
      </c>
      <c r="V311" s="7" t="n">
        <v>10063.97951962936</v>
      </c>
      <c r="W311" s="7" t="n">
        <v>24768.40123332177</v>
      </c>
      <c r="X311" s="7" t="n">
        <v>-14704.42171369242</v>
      </c>
      <c r="Y311" s="6" t="n">
        <v>-0.5936766598366493</v>
      </c>
      <c r="Z311" s="7" t="n">
        <v>536.2635275993647</v>
      </c>
      <c r="AA311" s="7" t="n">
        <v>670.3294094992059</v>
      </c>
      <c r="AB311" s="7" t="n">
        <v>4960.234335811203</v>
      </c>
      <c r="AC311" s="7" t="n">
        <v>41497.28076229156</v>
      </c>
      <c r="AD311" s="7" t="n">
        <v>-36537.04642648035</v>
      </c>
      <c r="AE311" s="6" t="n">
        <v>-0.8804684489033182</v>
      </c>
    </row>
    <row r="312">
      <c r="A312" s="2" t="n">
        <v>303</v>
      </c>
      <c r="B312" s="2" t="inlineStr">
        <is>
          <t>KPROP-00303</t>
        </is>
      </c>
      <c r="C312" s="3" t="n">
        <v>45902</v>
      </c>
      <c r="D312" s="2" t="inlineStr">
        <is>
          <t>Garrett Crochet</t>
        </is>
      </c>
      <c r="E312" s="2" t="inlineStr">
        <is>
          <t>Win</t>
        </is>
      </c>
      <c r="F312" s="2" t="n">
        <v>0.6896551724137931</v>
      </c>
      <c r="G312" s="6" t="n">
        <v>0.3030728371840519</v>
      </c>
      <c r="H312" s="7" t="n">
        <v>100</v>
      </c>
      <c r="I312" s="7" t="n">
        <v>68.96551724137932</v>
      </c>
      <c r="J312" s="7" t="n">
        <v>10750.43858439335</v>
      </c>
      <c r="K312" s="7" t="n">
        <v>12267.8788782997</v>
      </c>
      <c r="L312" s="7" t="n">
        <v>-1517.440293906357</v>
      </c>
      <c r="M312" s="6" t="n">
        <v>-0.1236921483297747</v>
      </c>
      <c r="N312" s="7" t="n">
        <v>105.4693696834052</v>
      </c>
      <c r="O312" s="7" t="n">
        <v>72.73749633338291</v>
      </c>
      <c r="P312" s="7" t="n">
        <v>10619.6744646739</v>
      </c>
      <c r="Q312" s="7" t="n">
        <v>12421.15330293068</v>
      </c>
      <c r="R312" s="7" t="n">
        <v>-1801.478838256782</v>
      </c>
      <c r="S312" s="6" t="n">
        <v>-0.145033137770849</v>
      </c>
      <c r="T312" s="7" t="n">
        <v>762.5297065940651</v>
      </c>
      <c r="U312" s="7" t="n">
        <v>525.8825562717691</v>
      </c>
      <c r="V312" s="7" t="n">
        <v>10589.86207590112</v>
      </c>
      <c r="W312" s="7" t="n">
        <v>24768.40123332177</v>
      </c>
      <c r="X312" s="7" t="n">
        <v>-14178.53915742065</v>
      </c>
      <c r="Y312" s="6" t="n">
        <v>-0.5724446654370964</v>
      </c>
      <c r="Z312" s="7" t="n">
        <v>751.6561466260262</v>
      </c>
      <c r="AA312" s="7" t="n">
        <v>518.3835493972595</v>
      </c>
      <c r="AB312" s="7" t="n">
        <v>5478.617885208462</v>
      </c>
      <c r="AC312" s="7" t="n">
        <v>41497.28076229156</v>
      </c>
      <c r="AD312" s="7" t="n">
        <v>-36018.66287708309</v>
      </c>
      <c r="AE312" s="6" t="n">
        <v>-0.8679764605157727</v>
      </c>
    </row>
    <row r="313">
      <c r="A313" s="2" t="n">
        <v>304</v>
      </c>
      <c r="B313" s="2" t="inlineStr">
        <is>
          <t>KPROP-00304</t>
        </is>
      </c>
      <c r="C313" s="3" t="n">
        <v>45902</v>
      </c>
      <c r="D313" s="2" t="inlineStr">
        <is>
          <t>Shota Imanaga</t>
        </is>
      </c>
      <c r="E313" s="2" t="inlineStr">
        <is>
          <t>Win</t>
        </is>
      </c>
      <c r="F313" s="2" t="n">
        <v>0.8</v>
      </c>
      <c r="G313" s="6" t="n">
        <v>0.1740091084931386</v>
      </c>
      <c r="H313" s="7" t="n">
        <v>100</v>
      </c>
      <c r="I313" s="7" t="n">
        <v>80</v>
      </c>
      <c r="J313" s="7" t="n">
        <v>10830.43858439335</v>
      </c>
      <c r="K313" s="7" t="n">
        <v>12267.8788782997</v>
      </c>
      <c r="L313" s="7" t="n">
        <v>-1437.440293906357</v>
      </c>
      <c r="M313" s="6" t="n">
        <v>-0.1171710536243558</v>
      </c>
      <c r="N313" s="7" t="n">
        <v>106.196744646739</v>
      </c>
      <c r="O313" s="7" t="n">
        <v>84.95739571739124</v>
      </c>
      <c r="P313" s="7" t="n">
        <v>10704.63186039129</v>
      </c>
      <c r="Q313" s="7" t="n">
        <v>12421.15330293068</v>
      </c>
      <c r="R313" s="7" t="n">
        <v>-1716.521442539392</v>
      </c>
      <c r="S313" s="6" t="n">
        <v>-0.1381934028730158</v>
      </c>
      <c r="T313" s="7" t="n">
        <v>460.6831147232132</v>
      </c>
      <c r="U313" s="7" t="n">
        <v>368.5464917785706</v>
      </c>
      <c r="V313" s="7" t="n">
        <v>10958.40856767969</v>
      </c>
      <c r="W313" s="7" t="n">
        <v>24768.40123332177</v>
      </c>
      <c r="X313" s="7" t="n">
        <v>-13809.99266564208</v>
      </c>
      <c r="Y313" s="6" t="n">
        <v>-0.5575649609173411</v>
      </c>
      <c r="Z313" s="7" t="n">
        <v>476.6647069898444</v>
      </c>
      <c r="AA313" s="7" t="n">
        <v>381.3317655918756</v>
      </c>
      <c r="AB313" s="7" t="n">
        <v>5859.949650800338</v>
      </c>
      <c r="AC313" s="7" t="n">
        <v>41497.28076229156</v>
      </c>
      <c r="AD313" s="7" t="n">
        <v>-35637.33111149122</v>
      </c>
      <c r="AE313" s="6" t="n">
        <v>-0.8587871411534692</v>
      </c>
    </row>
    <row r="314">
      <c r="A314" s="2" t="n">
        <v>305</v>
      </c>
      <c r="B314" s="2" t="inlineStr">
        <is>
          <t>KPROP-00305</t>
        </is>
      </c>
      <c r="C314" s="3" t="n">
        <v>45903</v>
      </c>
      <c r="D314" s="2" t="inlineStr">
        <is>
          <t>Braxton Ashcraft</t>
        </is>
      </c>
      <c r="E314" s="2" t="inlineStr">
        <is>
          <t>Win</t>
        </is>
      </c>
      <c r="F314" s="2" t="n">
        <v>0.6896551724137931</v>
      </c>
      <c r="G314" s="6" t="n">
        <v>0.1088799373865505</v>
      </c>
      <c r="H314" s="7" t="n">
        <v>100</v>
      </c>
      <c r="I314" s="7" t="n">
        <v>68.96551724137932</v>
      </c>
      <c r="J314" s="7" t="n">
        <v>10899.40410163473</v>
      </c>
      <c r="K314" s="7" t="n">
        <v>12267.8788782997</v>
      </c>
      <c r="L314" s="7" t="n">
        <v>-1368.474776664978</v>
      </c>
      <c r="M314" s="6" t="n">
        <v>-0.1115494202576155</v>
      </c>
      <c r="N314" s="7" t="n">
        <v>107.0463186039129</v>
      </c>
      <c r="O314" s="7" t="n">
        <v>73.82504731304341</v>
      </c>
      <c r="P314" s="7" t="n">
        <v>10778.45690770434</v>
      </c>
      <c r="Q314" s="7" t="n">
        <v>12421.15330293068</v>
      </c>
      <c r="R314" s="7" t="n">
        <v>-1642.696395226349</v>
      </c>
      <c r="S314" s="6" t="n">
        <v>-0.1322499090997263</v>
      </c>
      <c r="T314" s="7" t="n">
        <v>298.287709676301</v>
      </c>
      <c r="U314" s="7" t="n">
        <v>205.7156618457248</v>
      </c>
      <c r="V314" s="7" t="n">
        <v>11164.12422952542</v>
      </c>
      <c r="W314" s="7" t="n">
        <v>24768.40123332177</v>
      </c>
      <c r="X314" s="7" t="n">
        <v>-13604.27700379635</v>
      </c>
      <c r="Y314" s="6" t="n">
        <v>-0.5492593920633867</v>
      </c>
      <c r="Z314" s="7" t="n">
        <v>319.0154755337397</v>
      </c>
      <c r="AA314" s="7" t="n">
        <v>220.0106727818894</v>
      </c>
      <c r="AB314" s="7" t="n">
        <v>6079.960323582227</v>
      </c>
      <c r="AC314" s="7" t="n">
        <v>41497.28076229156</v>
      </c>
      <c r="AD314" s="7" t="n">
        <v>-35417.32043870933</v>
      </c>
      <c r="AE314" s="6" t="n">
        <v>-0.8534853317640256</v>
      </c>
    </row>
    <row r="315">
      <c r="A315" s="2" t="n">
        <v>306</v>
      </c>
      <c r="B315" s="2" t="inlineStr">
        <is>
          <t>KPROP-00306</t>
        </is>
      </c>
      <c r="C315" s="3" t="n">
        <v>45903</v>
      </c>
      <c r="D315" s="2" t="inlineStr">
        <is>
          <t>Nestor Cortes</t>
        </is>
      </c>
      <c r="E315" s="2" t="inlineStr">
        <is>
          <t>Win</t>
        </is>
      </c>
      <c r="F315" s="2" t="n">
        <v>0.9090909090909092</v>
      </c>
      <c r="G315" s="6" t="n">
        <v>0.1218964720186168</v>
      </c>
      <c r="H315" s="7" t="n">
        <v>100</v>
      </c>
      <c r="I315" s="7" t="n">
        <v>90.90909090909092</v>
      </c>
      <c r="J315" s="7" t="n">
        <v>10990.31319254382</v>
      </c>
      <c r="K315" s="7" t="n">
        <v>12267.8788782997</v>
      </c>
      <c r="L315" s="7" t="n">
        <v>-1277.565685755888</v>
      </c>
      <c r="M315" s="6" t="n">
        <v>-0.1041390853650941</v>
      </c>
      <c r="N315" s="7" t="n">
        <v>107.7845690770434</v>
      </c>
      <c r="O315" s="7" t="n">
        <v>97.98597188822124</v>
      </c>
      <c r="P315" s="7" t="n">
        <v>10876.44287959256</v>
      </c>
      <c r="Q315" s="7" t="n">
        <v>12421.15330293068</v>
      </c>
      <c r="R315" s="7" t="n">
        <v>-1544.710423338127</v>
      </c>
      <c r="S315" s="6" t="n">
        <v>-0.1243612719097238</v>
      </c>
      <c r="T315" s="7" t="n">
        <v>340.2168391891767</v>
      </c>
      <c r="U315" s="7" t="n">
        <v>309.2880356265243</v>
      </c>
      <c r="V315" s="7" t="n">
        <v>11473.41226515194</v>
      </c>
      <c r="W315" s="7" t="n">
        <v>24768.40123332177</v>
      </c>
      <c r="X315" s="7" t="n">
        <v>-13294.98896816983</v>
      </c>
      <c r="Y315" s="6" t="n">
        <v>-0.5367721898127049</v>
      </c>
      <c r="Z315" s="7" t="n">
        <v>370.5628567289205</v>
      </c>
      <c r="AA315" s="7" t="n">
        <v>336.8753242990187</v>
      </c>
      <c r="AB315" s="7" t="n">
        <v>6416.835647881246</v>
      </c>
      <c r="AC315" s="7" t="n">
        <v>41497.28076229156</v>
      </c>
      <c r="AD315" s="7" t="n">
        <v>-35080.44511441031</v>
      </c>
      <c r="AE315" s="6" t="n">
        <v>-0.8453673221472332</v>
      </c>
    </row>
    <row r="316">
      <c r="A316" s="2" t="n">
        <v>307</v>
      </c>
      <c r="B316" s="2" t="inlineStr">
        <is>
          <t>KPROP-00307</t>
        </is>
      </c>
      <c r="C316" s="3" t="n">
        <v>45903</v>
      </c>
      <c r="D316" s="2" t="inlineStr">
        <is>
          <t>Zac Gallen</t>
        </is>
      </c>
      <c r="E316" s="2" t="inlineStr">
        <is>
          <t>Win</t>
        </is>
      </c>
      <c r="F316" s="2" t="n">
        <v>0.7692307692307692</v>
      </c>
      <c r="G316" s="6" t="n">
        <v>0.192488884755929</v>
      </c>
      <c r="H316" s="7" t="n">
        <v>100</v>
      </c>
      <c r="I316" s="7" t="n">
        <v>76.92307692307692</v>
      </c>
      <c r="J316" s="7" t="n">
        <v>11067.23626946689</v>
      </c>
      <c r="K316" s="7" t="n">
        <v>12267.8788782997</v>
      </c>
      <c r="L316" s="7" t="n">
        <v>-1200.642608832812</v>
      </c>
      <c r="M316" s="6" t="n">
        <v>-0.09786880199449913</v>
      </c>
      <c r="N316" s="7" t="n">
        <v>108.7644287959256</v>
      </c>
      <c r="O316" s="7" t="n">
        <v>83.66494522763506</v>
      </c>
      <c r="P316" s="7" t="n">
        <v>10960.10782482019</v>
      </c>
      <c r="Q316" s="7" t="n">
        <v>12421.15330293068</v>
      </c>
      <c r="R316" s="7" t="n">
        <v>-1461.045478110493</v>
      </c>
      <c r="S316" s="6" t="n">
        <v>-0.1176255893859525</v>
      </c>
      <c r="T316" s="7" t="n">
        <v>552.1260828160237</v>
      </c>
      <c r="U316" s="7" t="n">
        <v>424.7123713969413</v>
      </c>
      <c r="V316" s="7" t="n">
        <v>11898.12463654889</v>
      </c>
      <c r="W316" s="7" t="n">
        <v>24768.40123332177</v>
      </c>
      <c r="X316" s="7" t="n">
        <v>-12870.27659677289</v>
      </c>
      <c r="Y316" s="6" t="n">
        <v>-0.5196248427798427</v>
      </c>
      <c r="Z316" s="7" t="n">
        <v>617.584768761375</v>
      </c>
      <c r="AA316" s="7" t="n">
        <v>475.0652067395192</v>
      </c>
      <c r="AB316" s="7" t="n">
        <v>6891.900854620765</v>
      </c>
      <c r="AC316" s="7" t="n">
        <v>41497.28076229156</v>
      </c>
      <c r="AD316" s="7" t="n">
        <v>-34605.37990767079</v>
      </c>
      <c r="AE316" s="6" t="n">
        <v>-0.8339192176446556</v>
      </c>
    </row>
    <row r="317">
      <c r="A317" s="2" t="n">
        <v>308</v>
      </c>
      <c r="B317" s="2" t="inlineStr">
        <is>
          <t>KPROP-00308</t>
        </is>
      </c>
      <c r="C317" s="3" t="n">
        <v>45903</v>
      </c>
      <c r="D317" s="2" t="inlineStr">
        <is>
          <t>Zack Littell</t>
        </is>
      </c>
      <c r="E317" s="2" t="inlineStr">
        <is>
          <t>Loss</t>
        </is>
      </c>
      <c r="F317" s="2" t="n">
        <v>-1</v>
      </c>
      <c r="G317" s="6" t="n">
        <v>0.08068141059850707</v>
      </c>
      <c r="H317" s="7" t="n">
        <v>100</v>
      </c>
      <c r="I317" s="7" t="n">
        <v>-100</v>
      </c>
      <c r="J317" s="7" t="n">
        <v>10967.23626946689</v>
      </c>
      <c r="K317" s="7" t="n">
        <v>12267.8788782997</v>
      </c>
      <c r="L317" s="7" t="n">
        <v>-1300.642608832812</v>
      </c>
      <c r="M317" s="6" t="n">
        <v>-0.1060201703762727</v>
      </c>
      <c r="N317" s="7" t="n">
        <v>109.6010782482019</v>
      </c>
      <c r="O317" s="7" t="n">
        <v>-109.6010782482019</v>
      </c>
      <c r="P317" s="7" t="n">
        <v>10850.50674657199</v>
      </c>
      <c r="Q317" s="7" t="n">
        <v>12421.15330293068</v>
      </c>
      <c r="R317" s="7" t="n">
        <v>-1570.646556358695</v>
      </c>
      <c r="S317" s="6" t="n">
        <v>-0.1264493334920931</v>
      </c>
      <c r="T317" s="7" t="n">
        <v>239.9893697884033</v>
      </c>
      <c r="U317" s="7" t="n">
        <v>-239.9893697884033</v>
      </c>
      <c r="V317" s="7" t="n">
        <v>11658.13526676048</v>
      </c>
      <c r="W317" s="7" t="n">
        <v>24768.40123332177</v>
      </c>
      <c r="X317" s="7" t="n">
        <v>-13110.26596656129</v>
      </c>
      <c r="Y317" s="6" t="n">
        <v>-0.5293141791050932</v>
      </c>
      <c r="Z317" s="7" t="n">
        <v>278.0241413279299</v>
      </c>
      <c r="AA317" s="7" t="n">
        <v>-278.0241413279299</v>
      </c>
      <c r="AB317" s="7" t="n">
        <v>6613.876713292835</v>
      </c>
      <c r="AC317" s="7" t="n">
        <v>41497.28076229156</v>
      </c>
      <c r="AD317" s="7" t="n">
        <v>-34883.40404899872</v>
      </c>
      <c r="AE317" s="6" t="n">
        <v>-0.840619033541522</v>
      </c>
    </row>
    <row r="318">
      <c r="A318" s="2" t="n">
        <v>309</v>
      </c>
      <c r="B318" s="2" t="inlineStr">
        <is>
          <t>KPROP-00309</t>
        </is>
      </c>
      <c r="C318" s="3" t="n">
        <v>45904</v>
      </c>
      <c r="D318" s="2" t="inlineStr">
        <is>
          <t>Cristian Javier</t>
        </is>
      </c>
      <c r="E318" s="2" t="inlineStr">
        <is>
          <t>Win</t>
        </is>
      </c>
      <c r="F318" s="2" t="n">
        <v>1.2</v>
      </c>
      <c r="G318" s="6" t="n">
        <v>0.06429474762579489</v>
      </c>
      <c r="H318" s="7" t="n">
        <v>100</v>
      </c>
      <c r="I318" s="7" t="n">
        <v>120</v>
      </c>
      <c r="J318" s="7" t="n">
        <v>11087.23626946689</v>
      </c>
      <c r="K318" s="7" t="n">
        <v>12267.8788782997</v>
      </c>
      <c r="L318" s="7" t="n">
        <v>-1180.642608832812</v>
      </c>
      <c r="M318" s="6" t="n">
        <v>-0.0962385283181444</v>
      </c>
      <c r="N318" s="7" t="n">
        <v>108.5050674657199</v>
      </c>
      <c r="O318" s="7" t="n">
        <v>130.2060809588639</v>
      </c>
      <c r="P318" s="7" t="n">
        <v>10980.71282753085</v>
      </c>
      <c r="Q318" s="7" t="n">
        <v>12421.15330293068</v>
      </c>
      <c r="R318" s="7" t="n">
        <v>-1440.440475399831</v>
      </c>
      <c r="S318" s="6" t="n">
        <v>-0.1159667254939982</v>
      </c>
      <c r="T318" s="7" t="n">
        <v>187.3892161909361</v>
      </c>
      <c r="U318" s="7" t="n">
        <v>224.8670594291233</v>
      </c>
      <c r="V318" s="7" t="n">
        <v>11883.00232618961</v>
      </c>
      <c r="W318" s="7" t="n">
        <v>24768.40123332177</v>
      </c>
      <c r="X318" s="7" t="n">
        <v>-12885.39890713217</v>
      </c>
      <c r="Y318" s="6" t="n">
        <v>-0.5202353912854497</v>
      </c>
      <c r="Z318" s="7" t="n">
        <v>212.6187670546423</v>
      </c>
      <c r="AA318" s="7" t="n">
        <v>255.1425204655708</v>
      </c>
      <c r="AB318" s="7" t="n">
        <v>6869.019233758406</v>
      </c>
      <c r="AC318" s="7" t="n">
        <v>41497.28076229156</v>
      </c>
      <c r="AD318" s="7" t="n">
        <v>-34628.26152853315</v>
      </c>
      <c r="AE318" s="6" t="n">
        <v>-0.83447061813264</v>
      </c>
    </row>
    <row r="319">
      <c r="A319" s="2" t="n">
        <v>310</v>
      </c>
      <c r="B319" s="2" t="inlineStr">
        <is>
          <t>KPROP-00310</t>
        </is>
      </c>
      <c r="C319" s="3" t="n">
        <v>45904</v>
      </c>
      <c r="D319" s="2" t="inlineStr">
        <is>
          <t>Cristian Javier</t>
        </is>
      </c>
      <c r="E319" s="2" t="inlineStr">
        <is>
          <t>Win</t>
        </is>
      </c>
      <c r="F319" s="2" t="n">
        <v>0.7142857142857144</v>
      </c>
      <c r="G319" s="6" t="n">
        <v>0.1929546935316137</v>
      </c>
      <c r="H319" s="7" t="n">
        <v>100</v>
      </c>
      <c r="I319" s="7" t="n">
        <v>71.42857142857144</v>
      </c>
      <c r="J319" s="7" t="n">
        <v>11158.66484089546</v>
      </c>
      <c r="K319" s="7" t="n">
        <v>12267.8788782997</v>
      </c>
      <c r="L319" s="7" t="n">
        <v>-1109.214037404241</v>
      </c>
      <c r="M319" s="6" t="n">
        <v>-0.09041612233116335</v>
      </c>
      <c r="N319" s="7" t="n">
        <v>109.8071282753085</v>
      </c>
      <c r="O319" s="7" t="n">
        <v>78.43366305379182</v>
      </c>
      <c r="P319" s="7" t="n">
        <v>11059.14649058464</v>
      </c>
      <c r="Q319" s="7" t="n">
        <v>12421.15330293068</v>
      </c>
      <c r="R319" s="7" t="n">
        <v>-1362.006812346041</v>
      </c>
      <c r="S319" s="6" t="n">
        <v>-0.1096522021046697</v>
      </c>
      <c r="T319" s="7" t="n">
        <v>573.220268021342</v>
      </c>
      <c r="U319" s="7" t="n">
        <v>409.4430485866729</v>
      </c>
      <c r="V319" s="7" t="n">
        <v>12292.44537477628</v>
      </c>
      <c r="W319" s="7" t="n">
        <v>24768.40123332177</v>
      </c>
      <c r="X319" s="7" t="n">
        <v>-12475.95585854549</v>
      </c>
      <c r="Y319" s="6" t="n">
        <v>-0.5037045282422656</v>
      </c>
      <c r="Z319" s="7" t="n">
        <v>662.7047505563066</v>
      </c>
      <c r="AA319" s="7" t="n">
        <v>473.3605361116477</v>
      </c>
      <c r="AB319" s="7" t="n">
        <v>7342.379769870054</v>
      </c>
      <c r="AC319" s="7" t="n">
        <v>41497.28076229156</v>
      </c>
      <c r="AD319" s="7" t="n">
        <v>-34154.90099242151</v>
      </c>
      <c r="AE319" s="6" t="n">
        <v>-0.8230635927223924</v>
      </c>
    </row>
    <row r="320">
      <c r="A320" s="2" t="n">
        <v>311</v>
      </c>
      <c r="B320" s="2" t="inlineStr">
        <is>
          <t>KPROP-00311</t>
        </is>
      </c>
      <c r="C320" s="3" t="n">
        <v>45904</v>
      </c>
      <c r="D320" s="2" t="inlineStr">
        <is>
          <t>Ranger Suarez</t>
        </is>
      </c>
      <c r="E320" s="2" t="inlineStr">
        <is>
          <t>Win</t>
        </is>
      </c>
      <c r="F320" s="2" t="n">
        <v>1.1</v>
      </c>
      <c r="G320" s="6" t="n">
        <v>0.1676136378146232</v>
      </c>
      <c r="H320" s="7" t="n">
        <v>100</v>
      </c>
      <c r="I320" s="7" t="n">
        <v>110</v>
      </c>
      <c r="J320" s="7" t="n">
        <v>11268.66484089546</v>
      </c>
      <c r="K320" s="7" t="n">
        <v>12267.8788782997</v>
      </c>
      <c r="L320" s="7" t="n">
        <v>-999.214037404241</v>
      </c>
      <c r="M320" s="6" t="n">
        <v>-0.08144961711121243</v>
      </c>
      <c r="N320" s="7" t="n">
        <v>110.5914649058465</v>
      </c>
      <c r="O320" s="7" t="n">
        <v>121.6506113964311</v>
      </c>
      <c r="P320" s="7" t="n">
        <v>11180.79710198108</v>
      </c>
      <c r="Q320" s="7" t="n">
        <v>12421.15330293068</v>
      </c>
      <c r="R320" s="7" t="n">
        <v>-1240.356200949609</v>
      </c>
      <c r="S320" s="6" t="n">
        <v>-0.09985837632782099</v>
      </c>
      <c r="T320" s="7" t="n">
        <v>515.0953717259479</v>
      </c>
      <c r="U320" s="7" t="n">
        <v>566.6049088985427</v>
      </c>
      <c r="V320" s="7" t="n">
        <v>12859.05028367482</v>
      </c>
      <c r="W320" s="7" t="n">
        <v>24768.40123332177</v>
      </c>
      <c r="X320" s="7" t="n">
        <v>-11909.35094964695</v>
      </c>
      <c r="Y320" s="6" t="n">
        <v>-0.4808284086429001</v>
      </c>
      <c r="Z320" s="7" t="n">
        <v>615.3414917222078</v>
      </c>
      <c r="AA320" s="7" t="n">
        <v>676.8756408944287</v>
      </c>
      <c r="AB320" s="7" t="n">
        <v>8019.255410764483</v>
      </c>
      <c r="AC320" s="7" t="n">
        <v>41497.28076229156</v>
      </c>
      <c r="AD320" s="7" t="n">
        <v>-33478.02535152707</v>
      </c>
      <c r="AE320" s="6" t="n">
        <v>-0.8067522675352851</v>
      </c>
    </row>
    <row r="321">
      <c r="A321" s="2" t="n">
        <v>312</v>
      </c>
      <c r="B321" s="2" t="inlineStr">
        <is>
          <t>KPROP-00312</t>
        </is>
      </c>
      <c r="C321" s="3" t="n">
        <v>45904</v>
      </c>
      <c r="D321" s="2" t="inlineStr">
        <is>
          <t>Taj Bradley</t>
        </is>
      </c>
      <c r="E321" s="2" t="inlineStr">
        <is>
          <t>Loss</t>
        </is>
      </c>
      <c r="F321" s="2" t="n">
        <v>-1</v>
      </c>
      <c r="G321" s="6" t="n">
        <v>0.1555607420011093</v>
      </c>
      <c r="H321" s="7" t="n">
        <v>100</v>
      </c>
      <c r="I321" s="7" t="n">
        <v>-100</v>
      </c>
      <c r="J321" s="7" t="n">
        <v>11168.66484089546</v>
      </c>
      <c r="K321" s="7" t="n">
        <v>12267.8788782997</v>
      </c>
      <c r="L321" s="7" t="n">
        <v>-1099.214037404241</v>
      </c>
      <c r="M321" s="6" t="n">
        <v>-0.08960098549298599</v>
      </c>
      <c r="N321" s="7" t="n">
        <v>111.8079710198108</v>
      </c>
      <c r="O321" s="7" t="n">
        <v>-111.8079710198108</v>
      </c>
      <c r="P321" s="7" t="n">
        <v>11068.98913096126</v>
      </c>
      <c r="Q321" s="7" t="n">
        <v>12421.15330293068</v>
      </c>
      <c r="R321" s="7" t="n">
        <v>-1352.16417196942</v>
      </c>
      <c r="S321" s="6" t="n">
        <v>-0.1088597925645428</v>
      </c>
      <c r="T321" s="7" t="n">
        <v>500.0908508895075</v>
      </c>
      <c r="U321" s="7" t="n">
        <v>-500.0908508895075</v>
      </c>
      <c r="V321" s="7" t="n">
        <v>12358.95943278531</v>
      </c>
      <c r="W321" s="7" t="n">
        <v>24768.40123332177</v>
      </c>
      <c r="X321" s="7" t="n">
        <v>-12409.44180053646</v>
      </c>
      <c r="Y321" s="6" t="n">
        <v>-0.5010190881372519</v>
      </c>
      <c r="Z321" s="7" t="n">
        <v>623.7406609974666</v>
      </c>
      <c r="AA321" s="7" t="n">
        <v>-623.7406609974666</v>
      </c>
      <c r="AB321" s="7" t="n">
        <v>7395.514749767016</v>
      </c>
      <c r="AC321" s="7" t="n">
        <v>41497.28076229156</v>
      </c>
      <c r="AD321" s="7" t="n">
        <v>-34101.76601252454</v>
      </c>
      <c r="AE321" s="6" t="n">
        <v>-0.8217831478614064</v>
      </c>
    </row>
    <row r="322">
      <c r="A322" s="2" t="n">
        <v>313</v>
      </c>
      <c r="B322" s="2" t="inlineStr">
        <is>
          <t>KPROP-00313</t>
        </is>
      </c>
      <c r="C322" s="3" t="n">
        <v>45904</v>
      </c>
      <c r="D322" s="2" t="inlineStr">
        <is>
          <t>Taj Bradley</t>
        </is>
      </c>
      <c r="E322" s="2" t="inlineStr">
        <is>
          <t>Loss</t>
        </is>
      </c>
      <c r="F322" s="2" t="n">
        <v>-1</v>
      </c>
      <c r="G322" s="6" t="n">
        <v>0.2025834200303107</v>
      </c>
      <c r="H322" s="7" t="n">
        <v>100</v>
      </c>
      <c r="I322" s="7" t="n">
        <v>-100</v>
      </c>
      <c r="J322" s="7" t="n">
        <v>11068.66484089546</v>
      </c>
      <c r="K322" s="7" t="n">
        <v>12267.8788782997</v>
      </c>
      <c r="L322" s="7" t="n">
        <v>-1199.214037404241</v>
      </c>
      <c r="M322" s="6" t="n">
        <v>-0.09775235387475956</v>
      </c>
      <c r="N322" s="7" t="n">
        <v>110.6898913096126</v>
      </c>
      <c r="O322" s="7" t="n">
        <v>-110.6898913096126</v>
      </c>
      <c r="P322" s="7" t="n">
        <v>10958.29923965165</v>
      </c>
      <c r="Q322" s="7" t="n">
        <v>12421.15330293068</v>
      </c>
      <c r="R322" s="7" t="n">
        <v>-1462.854063279032</v>
      </c>
      <c r="S322" s="6" t="n">
        <v>-0.1177711946388973</v>
      </c>
      <c r="T322" s="7" t="n">
        <v>625.9300674773795</v>
      </c>
      <c r="U322" s="7" t="n">
        <v>-625.9300674773795</v>
      </c>
      <c r="V322" s="7" t="n">
        <v>11733.02936530793</v>
      </c>
      <c r="W322" s="7" t="n">
        <v>24768.40123332177</v>
      </c>
      <c r="X322" s="7" t="n">
        <v>-13035.37186801384</v>
      </c>
      <c r="Y322" s="6" t="n">
        <v>-0.5262904030510016</v>
      </c>
      <c r="Z322" s="7" t="n">
        <v>749.1043354462049</v>
      </c>
      <c r="AA322" s="7" t="n">
        <v>-749.1043354462049</v>
      </c>
      <c r="AB322" s="7" t="n">
        <v>6646.410414320811</v>
      </c>
      <c r="AC322" s="7" t="n">
        <v>41497.28076229156</v>
      </c>
      <c r="AD322" s="7" t="n">
        <v>-34850.87034797075</v>
      </c>
      <c r="AE322" s="6" t="n">
        <v>-0.8398350375680428</v>
      </c>
    </row>
    <row r="323">
      <c r="A323" s="2" t="n">
        <v>314</v>
      </c>
      <c r="B323" s="2" t="inlineStr">
        <is>
          <t>KPROP-00314</t>
        </is>
      </c>
      <c r="C323" s="3" t="n">
        <v>45905</v>
      </c>
      <c r="D323" s="2" t="inlineStr">
        <is>
          <t>Jack Flaherty</t>
        </is>
      </c>
      <c r="E323" s="2" t="inlineStr">
        <is>
          <t>Win</t>
        </is>
      </c>
      <c r="F323" s="2" t="n">
        <v>1.33</v>
      </c>
      <c r="G323" s="6" t="n">
        <v>0.1344767295948034</v>
      </c>
      <c r="H323" s="7" t="n">
        <v>100</v>
      </c>
      <c r="I323" s="7" t="n">
        <v>133</v>
      </c>
      <c r="J323" s="7" t="n">
        <v>11201.66484089546</v>
      </c>
      <c r="K323" s="7" t="n">
        <v>12267.8788782997</v>
      </c>
      <c r="L323" s="7" t="n">
        <v>-1066.214037404241</v>
      </c>
      <c r="M323" s="6" t="n">
        <v>-0.08691103392700071</v>
      </c>
      <c r="N323" s="7" t="n">
        <v>109.5829923965165</v>
      </c>
      <c r="O323" s="7" t="n">
        <v>145.745379887367</v>
      </c>
      <c r="P323" s="7" t="n">
        <v>11104.04461953902</v>
      </c>
      <c r="Q323" s="7" t="n">
        <v>12421.15330293068</v>
      </c>
      <c r="R323" s="7" t="n">
        <v>-1317.108683391665</v>
      </c>
      <c r="S323" s="6" t="n">
        <v>-0.1060375515275947</v>
      </c>
      <c r="T323" s="7" t="n">
        <v>394.4548543216005</v>
      </c>
      <c r="U323" s="7" t="n">
        <v>524.6249562477287</v>
      </c>
      <c r="V323" s="7" t="n">
        <v>12257.65432155566</v>
      </c>
      <c r="W323" s="7" t="n">
        <v>24768.40123332177</v>
      </c>
      <c r="X323" s="7" t="n">
        <v>-12510.74691176611</v>
      </c>
      <c r="Y323" s="6" t="n">
        <v>-0.5051091830236899</v>
      </c>
      <c r="Z323" s="7" t="n">
        <v>446.8937680313524</v>
      </c>
      <c r="AA323" s="7" t="n">
        <v>594.3687114816987</v>
      </c>
      <c r="AB323" s="7" t="n">
        <v>7240.77912580251</v>
      </c>
      <c r="AC323" s="7" t="n">
        <v>41497.28076229156</v>
      </c>
      <c r="AD323" s="7" t="n">
        <v>-34256.50163648905</v>
      </c>
      <c r="AE323" s="6" t="n">
        <v>-0.8255119614395992</v>
      </c>
    </row>
    <row r="324">
      <c r="A324" s="2" t="n">
        <v>315</v>
      </c>
      <c r="B324" s="2" t="inlineStr">
        <is>
          <t>KPROP-00315</t>
        </is>
      </c>
      <c r="C324" s="3" t="n">
        <v>45905</v>
      </c>
      <c r="D324" s="2" t="inlineStr">
        <is>
          <t>Jack Flaherty</t>
        </is>
      </c>
      <c r="E324" s="2" t="inlineStr">
        <is>
          <t>Win</t>
        </is>
      </c>
      <c r="F324" s="2" t="n">
        <v>0.8333333333333335</v>
      </c>
      <c r="G324" s="6" t="n">
        <v>0.2623838579061327</v>
      </c>
      <c r="H324" s="7" t="n">
        <v>100</v>
      </c>
      <c r="I324" s="7" t="n">
        <v>83.33333333333334</v>
      </c>
      <c r="J324" s="7" t="n">
        <v>11284.9981742288</v>
      </c>
      <c r="K324" s="7" t="n">
        <v>12267.8788782997</v>
      </c>
      <c r="L324" s="7" t="n">
        <v>-982.8807040709071</v>
      </c>
      <c r="M324" s="6" t="n">
        <v>-0.08011822694218936</v>
      </c>
      <c r="N324" s="7" t="n">
        <v>111.0404461953902</v>
      </c>
      <c r="O324" s="7" t="n">
        <v>92.53370516282519</v>
      </c>
      <c r="P324" s="7" t="n">
        <v>11196.57832470184</v>
      </c>
      <c r="Q324" s="7" t="n">
        <v>12421.15330293068</v>
      </c>
      <c r="R324" s="7" t="n">
        <v>-1224.57497822884</v>
      </c>
      <c r="S324" s="6" t="n">
        <v>-0.09858786445699132</v>
      </c>
      <c r="T324" s="7" t="n">
        <v>804.0526574423883</v>
      </c>
      <c r="U324" s="7" t="n">
        <v>670.0438812019904</v>
      </c>
      <c r="V324" s="7" t="n">
        <v>12927.69820275765</v>
      </c>
      <c r="W324" s="7" t="n">
        <v>24768.40123332177</v>
      </c>
      <c r="X324" s="7" t="n">
        <v>-11840.70303056412</v>
      </c>
      <c r="Y324" s="6" t="n">
        <v>-0.4780568159819061</v>
      </c>
      <c r="Z324" s="7" t="n">
        <v>949.9317806371287</v>
      </c>
      <c r="AA324" s="7" t="n">
        <v>791.6098171976074</v>
      </c>
      <c r="AB324" s="7" t="n">
        <v>8032.388943000117</v>
      </c>
      <c r="AC324" s="7" t="n">
        <v>41497.28076229156</v>
      </c>
      <c r="AD324" s="7" t="n">
        <v>-33464.89181929144</v>
      </c>
      <c r="AE324" s="6" t="n">
        <v>-0.8064357761412858</v>
      </c>
    </row>
    <row r="325">
      <c r="A325" s="2" t="n">
        <v>316</v>
      </c>
      <c r="B325" s="2" t="inlineStr">
        <is>
          <t>KPROP-00316</t>
        </is>
      </c>
      <c r="C325" s="3" t="n">
        <v>45905</v>
      </c>
      <c r="D325" s="2" t="inlineStr">
        <is>
          <t>Logan Gilbert</t>
        </is>
      </c>
      <c r="E325" s="2" t="inlineStr">
        <is>
          <t>Loss</t>
        </is>
      </c>
      <c r="F325" s="2" t="n">
        <v>-1</v>
      </c>
      <c r="G325" s="6" t="n">
        <v>0.3142613670350132</v>
      </c>
      <c r="H325" s="7" t="n">
        <v>100</v>
      </c>
      <c r="I325" s="7" t="n">
        <v>-100</v>
      </c>
      <c r="J325" s="7" t="n">
        <v>11184.9981742288</v>
      </c>
      <c r="K325" s="7" t="n">
        <v>12267.8788782997</v>
      </c>
      <c r="L325" s="7" t="n">
        <v>-1082.880704070907</v>
      </c>
      <c r="M325" s="6" t="n">
        <v>-0.08826959532396293</v>
      </c>
      <c r="N325" s="7" t="n">
        <v>111.9657832470185</v>
      </c>
      <c r="O325" s="7" t="n">
        <v>-111.9657832470185</v>
      </c>
      <c r="P325" s="7" t="n">
        <v>11084.61254145483</v>
      </c>
      <c r="Q325" s="7" t="n">
        <v>12421.15330293068</v>
      </c>
      <c r="R325" s="7" t="n">
        <v>-1336.540761475859</v>
      </c>
      <c r="S325" s="6" t="n">
        <v>-0.1076019858124214</v>
      </c>
      <c r="T325" s="7" t="n">
        <v>1015.669027453676</v>
      </c>
      <c r="U325" s="7" t="n">
        <v>-1015.669027453676</v>
      </c>
      <c r="V325" s="7" t="n">
        <v>11912.02917530397</v>
      </c>
      <c r="W325" s="7" t="n">
        <v>24768.40123332177</v>
      </c>
      <c r="X325" s="7" t="n">
        <v>-12856.3720580178</v>
      </c>
      <c r="Y325" s="6" t="n">
        <v>-0.5190634606129395</v>
      </c>
      <c r="Z325" s="7" t="n">
        <v>1262.134764892071</v>
      </c>
      <c r="AA325" s="7" t="n">
        <v>-1262.134764892071</v>
      </c>
      <c r="AB325" s="7" t="n">
        <v>6770.254178108046</v>
      </c>
      <c r="AC325" s="7" t="n">
        <v>41497.28076229156</v>
      </c>
      <c r="AD325" s="7" t="n">
        <v>-34727.02658418351</v>
      </c>
      <c r="AE325" s="6" t="n">
        <v>-0.8368506549407413</v>
      </c>
    </row>
    <row r="326">
      <c r="A326" s="2" t="n">
        <v>317</v>
      </c>
      <c r="B326" s="2" t="inlineStr">
        <is>
          <t>KPROP-00317</t>
        </is>
      </c>
      <c r="C326" s="3" t="n">
        <v>45905</v>
      </c>
      <c r="D326" s="2" t="inlineStr">
        <is>
          <t>Logan Gilbert</t>
        </is>
      </c>
      <c r="E326" s="2" t="inlineStr">
        <is>
          <t>Loss</t>
        </is>
      </c>
      <c r="F326" s="2" t="n">
        <v>-1</v>
      </c>
      <c r="G326" s="6" t="n">
        <v>0.3890148996203003</v>
      </c>
      <c r="H326" s="7" t="n">
        <v>100</v>
      </c>
      <c r="I326" s="7" t="n">
        <v>-100</v>
      </c>
      <c r="J326" s="7" t="n">
        <v>11084.9981742288</v>
      </c>
      <c r="K326" s="7" t="n">
        <v>12267.8788782997</v>
      </c>
      <c r="L326" s="7" t="n">
        <v>-1182.880704070907</v>
      </c>
      <c r="M326" s="6" t="n">
        <v>-0.0964209637057365</v>
      </c>
      <c r="N326" s="7" t="n">
        <v>110.8461254145483</v>
      </c>
      <c r="O326" s="7" t="n">
        <v>-110.8461254145483</v>
      </c>
      <c r="P326" s="7" t="n">
        <v>10973.76641604028</v>
      </c>
      <c r="Q326" s="7" t="n">
        <v>12421.15330293068</v>
      </c>
      <c r="R326" s="7" t="n">
        <v>-1447.386886890406</v>
      </c>
      <c r="S326" s="6" t="n">
        <v>-0.1165259659542971</v>
      </c>
      <c r="T326" s="7" t="n">
        <v>1158.489208476241</v>
      </c>
      <c r="U326" s="7" t="n">
        <v>-1158.489208476241</v>
      </c>
      <c r="V326" s="7" t="n">
        <v>10753.53996682773</v>
      </c>
      <c r="W326" s="7" t="n">
        <v>24768.40123332177</v>
      </c>
      <c r="X326" s="7" t="n">
        <v>-14014.86126649404</v>
      </c>
      <c r="Y326" s="6" t="n">
        <v>-0.5658363305112875</v>
      </c>
      <c r="Z326" s="7" t="n">
        <v>1316.86487475031</v>
      </c>
      <c r="AA326" s="7" t="n">
        <v>-1316.86487475031</v>
      </c>
      <c r="AB326" s="7" t="n">
        <v>5453.389303357736</v>
      </c>
      <c r="AC326" s="7" t="n">
        <v>41497.28076229156</v>
      </c>
      <c r="AD326" s="7" t="n">
        <v>-36043.89145893382</v>
      </c>
      <c r="AE326" s="6" t="n">
        <v>-0.8685844179864139</v>
      </c>
    </row>
    <row r="327">
      <c r="A327" s="2" t="n">
        <v>318</v>
      </c>
      <c r="B327" s="2" t="inlineStr">
        <is>
          <t>KPROP-00318</t>
        </is>
      </c>
      <c r="C327" s="3" t="n">
        <v>45906</v>
      </c>
      <c r="D327" s="2" t="inlineStr">
        <is>
          <t>Brady Singer</t>
        </is>
      </c>
      <c r="E327" s="2" t="inlineStr">
        <is>
          <t>Loss</t>
        </is>
      </c>
      <c r="F327" s="2" t="n">
        <v>-1</v>
      </c>
      <c r="G327" s="6" t="n">
        <v>0.160793383141205</v>
      </c>
      <c r="H327" s="7" t="n">
        <v>100</v>
      </c>
      <c r="I327" s="7" t="n">
        <v>-100</v>
      </c>
      <c r="J327" s="7" t="n">
        <v>10984.9981742288</v>
      </c>
      <c r="K327" s="7" t="n">
        <v>12267.8788782997</v>
      </c>
      <c r="L327" s="7" t="n">
        <v>-1282.880704070907</v>
      </c>
      <c r="M327" s="6" t="n">
        <v>-0.1045723320875101</v>
      </c>
      <c r="N327" s="7" t="n">
        <v>109.7376641604028</v>
      </c>
      <c r="O327" s="7" t="n">
        <v>-109.7376641604028</v>
      </c>
      <c r="P327" s="7" t="n">
        <v>10864.02875187988</v>
      </c>
      <c r="Q327" s="7" t="n">
        <v>12421.15330293068</v>
      </c>
      <c r="R327" s="7" t="n">
        <v>-1557.124551050809</v>
      </c>
      <c r="S327" s="6" t="n">
        <v>-0.1253607062947541</v>
      </c>
      <c r="T327" s="7" t="n">
        <v>432.2745180025981</v>
      </c>
      <c r="U327" s="7" t="n">
        <v>-432.2745180025981</v>
      </c>
      <c r="V327" s="7" t="n">
        <v>10321.26544882514</v>
      </c>
      <c r="W327" s="7" t="n">
        <v>24768.40123332177</v>
      </c>
      <c r="X327" s="7" t="n">
        <v>-14447.13578449664</v>
      </c>
      <c r="Y327" s="6" t="n">
        <v>-0.58328899182481</v>
      </c>
      <c r="Z327" s="7" t="n">
        <v>438.4344578364747</v>
      </c>
      <c r="AA327" s="7" t="n">
        <v>-438.4344578364747</v>
      </c>
      <c r="AB327" s="7" t="n">
        <v>5014.954845521262</v>
      </c>
      <c r="AC327" s="7" t="n">
        <v>41497.28076229156</v>
      </c>
      <c r="AD327" s="7" t="n">
        <v>-36482.32591677029</v>
      </c>
      <c r="AE327" s="6" t="n">
        <v>-0.8791497960011313</v>
      </c>
    </row>
    <row r="328">
      <c r="A328" s="2" t="n">
        <v>319</v>
      </c>
      <c r="B328" s="2" t="inlineStr">
        <is>
          <t>KPROP-00319</t>
        </is>
      </c>
      <c r="C328" s="3" t="n">
        <v>45906</v>
      </c>
      <c r="D328" s="2" t="inlineStr">
        <is>
          <t>Brady Singer</t>
        </is>
      </c>
      <c r="E328" s="2" t="inlineStr">
        <is>
          <t>Win</t>
        </is>
      </c>
      <c r="F328" s="2" t="n">
        <v>0.6451612903225805</v>
      </c>
      <c r="G328" s="6" t="n">
        <v>0.2203555400708227</v>
      </c>
      <c r="H328" s="7" t="n">
        <v>100</v>
      </c>
      <c r="I328" s="7" t="n">
        <v>64.51612903225805</v>
      </c>
      <c r="J328" s="7" t="n">
        <v>11049.51430326105</v>
      </c>
      <c r="K328" s="7" t="n">
        <v>12267.8788782997</v>
      </c>
      <c r="L328" s="7" t="n">
        <v>-1218.364575038649</v>
      </c>
      <c r="M328" s="6" t="n">
        <v>-0.09931338474443038</v>
      </c>
      <c r="N328" s="7" t="n">
        <v>108.6402875187988</v>
      </c>
      <c r="O328" s="7" t="n">
        <v>70.09050807664434</v>
      </c>
      <c r="P328" s="7" t="n">
        <v>10934.11925995652</v>
      </c>
      <c r="Q328" s="7" t="n">
        <v>12421.15330293068</v>
      </c>
      <c r="R328" s="7" t="n">
        <v>-1487.034042974165</v>
      </c>
      <c r="S328" s="6" t="n">
        <v>-0.1197178721418171</v>
      </c>
      <c r="T328" s="7" t="n">
        <v>568.5870055475464</v>
      </c>
      <c r="U328" s="7" t="n">
        <v>366.8303261597073</v>
      </c>
      <c r="V328" s="7" t="n">
        <v>10688.09577498484</v>
      </c>
      <c r="W328" s="7" t="n">
        <v>24768.40123332177</v>
      </c>
      <c r="X328" s="7" t="n">
        <v>-14080.30545833693</v>
      </c>
      <c r="Y328" s="6" t="n">
        <v>-0.5684785758151486</v>
      </c>
      <c r="Z328" s="7" t="n">
        <v>552.5365417078135</v>
      </c>
      <c r="AA328" s="7" t="n">
        <v>356.4751881985893</v>
      </c>
      <c r="AB328" s="7" t="n">
        <v>5371.430033719851</v>
      </c>
      <c r="AC328" s="7" t="n">
        <v>41497.28076229156</v>
      </c>
      <c r="AD328" s="7" t="n">
        <v>-36125.85072857171</v>
      </c>
      <c r="AE328" s="6" t="n">
        <v>-0.8705594695592476</v>
      </c>
    </row>
    <row r="329">
      <c r="A329" s="2" t="n">
        <v>320</v>
      </c>
      <c r="B329" s="2" t="inlineStr">
        <is>
          <t>KPROP-00320</t>
        </is>
      </c>
      <c r="C329" s="3" t="n">
        <v>45906</v>
      </c>
      <c r="D329" s="2" t="inlineStr">
        <is>
          <t>Jacob deGrom</t>
        </is>
      </c>
      <c r="E329" s="2" t="inlineStr">
        <is>
          <t>Loss</t>
        </is>
      </c>
      <c r="F329" s="2" t="n">
        <v>-1</v>
      </c>
      <c r="G329" s="6" t="n">
        <v>0.05839326255404541</v>
      </c>
      <c r="H329" s="7" t="n">
        <v>100</v>
      </c>
      <c r="I329" s="7" t="n">
        <v>-100</v>
      </c>
      <c r="J329" s="7" t="n">
        <v>10949.51430326105</v>
      </c>
      <c r="K329" s="7" t="n">
        <v>12267.8788782997</v>
      </c>
      <c r="L329" s="7" t="n">
        <v>-1318.364575038649</v>
      </c>
      <c r="M329" s="6" t="n">
        <v>-0.1074647531262039</v>
      </c>
      <c r="N329" s="7" t="n">
        <v>109.3411925995652</v>
      </c>
      <c r="O329" s="7" t="n">
        <v>-109.3411925995652</v>
      </c>
      <c r="P329" s="7" t="n">
        <v>10824.77806735695</v>
      </c>
      <c r="Q329" s="7" t="n">
        <v>12421.15330293068</v>
      </c>
      <c r="R329" s="7" t="n">
        <v>-1596.375235573731</v>
      </c>
      <c r="S329" s="6" t="n">
        <v>-0.128520693420399</v>
      </c>
      <c r="T329" s="7" t="n">
        <v>156.0281956978683</v>
      </c>
      <c r="U329" s="7" t="n">
        <v>-156.0281956978683</v>
      </c>
      <c r="V329" s="7" t="n">
        <v>10532.06757928697</v>
      </c>
      <c r="W329" s="7" t="n">
        <v>24768.40123332177</v>
      </c>
      <c r="X329" s="7" t="n">
        <v>-14236.3336540348</v>
      </c>
      <c r="Y329" s="6" t="n">
        <v>-0.574778061770179</v>
      </c>
      <c r="Z329" s="7" t="n">
        <v>156.8276621248441</v>
      </c>
      <c r="AA329" s="7" t="n">
        <v>-156.8276621248441</v>
      </c>
      <c r="AB329" s="7" t="n">
        <v>5214.602371595007</v>
      </c>
      <c r="AC329" s="7" t="n">
        <v>41497.28076229156</v>
      </c>
      <c r="AD329" s="7" t="n">
        <v>-36282.67839069655</v>
      </c>
      <c r="AE329" s="6" t="n">
        <v>-0.8743386969988285</v>
      </c>
    </row>
    <row r="330">
      <c r="A330" s="2" t="n">
        <v>321</v>
      </c>
      <c r="B330" s="2" t="inlineStr">
        <is>
          <t>KPROP-00321</t>
        </is>
      </c>
      <c r="C330" s="3" t="n">
        <v>45906</v>
      </c>
      <c r="D330" s="2" t="inlineStr">
        <is>
          <t>Jacob deGrom</t>
        </is>
      </c>
      <c r="E330" s="2" t="inlineStr">
        <is>
          <t>Loss</t>
        </is>
      </c>
      <c r="F330" s="2" t="n">
        <v>-1</v>
      </c>
      <c r="G330" s="6" t="n">
        <v>0.1344058801360614</v>
      </c>
      <c r="H330" s="7" t="n">
        <v>100</v>
      </c>
      <c r="I330" s="7" t="n">
        <v>-100</v>
      </c>
      <c r="J330" s="7" t="n">
        <v>10849.51430326105</v>
      </c>
      <c r="K330" s="7" t="n">
        <v>12267.8788782997</v>
      </c>
      <c r="L330" s="7" t="n">
        <v>-1418.364575038649</v>
      </c>
      <c r="M330" s="6" t="n">
        <v>-0.1156161215079775</v>
      </c>
      <c r="N330" s="7" t="n">
        <v>108.2477806735695</v>
      </c>
      <c r="O330" s="7" t="n">
        <v>-108.2477806735695</v>
      </c>
      <c r="P330" s="7" t="n">
        <v>10716.53028668338</v>
      </c>
      <c r="Q330" s="7" t="n">
        <v>12421.15330293068</v>
      </c>
      <c r="R330" s="7" t="n">
        <v>-1704.6230162473</v>
      </c>
      <c r="S330" s="6" t="n">
        <v>-0.137235486486195</v>
      </c>
      <c r="T330" s="7" t="n">
        <v>353.8929531616359</v>
      </c>
      <c r="U330" s="7" t="n">
        <v>-353.8929531616359</v>
      </c>
      <c r="V330" s="7" t="n">
        <v>10178.17462612534</v>
      </c>
      <c r="W330" s="7" t="n">
        <v>24768.40123332177</v>
      </c>
      <c r="X330" s="7" t="n">
        <v>-14590.22660719643</v>
      </c>
      <c r="Y330" s="6" t="n">
        <v>-0.5890661439854142</v>
      </c>
      <c r="Z330" s="7" t="n">
        <v>350.43661065691</v>
      </c>
      <c r="AA330" s="7" t="n">
        <v>-350.43661065691</v>
      </c>
      <c r="AB330" s="7" t="n">
        <v>4864.165760938096</v>
      </c>
      <c r="AC330" s="7" t="n">
        <v>41497.28076229156</v>
      </c>
      <c r="AD330" s="7" t="n">
        <v>-36633.11500135346</v>
      </c>
      <c r="AE330" s="6" t="n">
        <v>-0.8827835060132869</v>
      </c>
    </row>
    <row r="331">
      <c r="A331" s="2" t="n">
        <v>322</v>
      </c>
      <c r="B331" s="2" t="inlineStr">
        <is>
          <t>KPROP-00322</t>
        </is>
      </c>
      <c r="C331" s="3" t="n">
        <v>45906</v>
      </c>
      <c r="D331" s="2" t="inlineStr">
        <is>
          <t>Matthew Boyd</t>
        </is>
      </c>
      <c r="E331" s="2" t="inlineStr">
        <is>
          <t>Win</t>
        </is>
      </c>
      <c r="F331" s="2" t="n">
        <v>0.8695652173913042</v>
      </c>
      <c r="G331" s="6" t="n">
        <v>0.4482476646590102</v>
      </c>
      <c r="H331" s="7" t="n">
        <v>100</v>
      </c>
      <c r="I331" s="7" t="n">
        <v>86.95652173913042</v>
      </c>
      <c r="J331" s="7" t="n">
        <v>10936.47082500018</v>
      </c>
      <c r="K331" s="7" t="n">
        <v>12267.8788782997</v>
      </c>
      <c r="L331" s="7" t="n">
        <v>-1331.408053299519</v>
      </c>
      <c r="M331" s="6" t="n">
        <v>-0.108527975089044</v>
      </c>
      <c r="N331" s="7" t="n">
        <v>107.1653028668338</v>
      </c>
      <c r="O331" s="7" t="n">
        <v>93.18721988420333</v>
      </c>
      <c r="P331" s="7" t="n">
        <v>10809.71750656759</v>
      </c>
      <c r="Q331" s="7" t="n">
        <v>12421.15330293068</v>
      </c>
      <c r="R331" s="7" t="n">
        <v>-1611.435796363097</v>
      </c>
      <c r="S331" s="6" t="n">
        <v>-0.1297331863686837</v>
      </c>
      <c r="T331" s="7" t="n">
        <v>1140.585751663069</v>
      </c>
      <c r="U331" s="7" t="n">
        <v>991.813697098321</v>
      </c>
      <c r="V331" s="7" t="n">
        <v>11169.98832322366</v>
      </c>
      <c r="W331" s="7" t="n">
        <v>24768.40123332177</v>
      </c>
      <c r="X331" s="7" t="n">
        <v>-13598.41291009811</v>
      </c>
      <c r="Y331" s="6" t="n">
        <v>-0.5490226350097925</v>
      </c>
      <c r="Z331" s="7" t="n">
        <v>1090.175471427409</v>
      </c>
      <c r="AA331" s="7" t="n">
        <v>947.9786708064428</v>
      </c>
      <c r="AB331" s="7" t="n">
        <v>5812.144431744539</v>
      </c>
      <c r="AC331" s="7" t="n">
        <v>41497.28076229156</v>
      </c>
      <c r="AD331" s="7" t="n">
        <v>-35685.13633054701</v>
      </c>
      <c r="AE331" s="6" t="n">
        <v>-0.8599391496267385</v>
      </c>
    </row>
    <row r="332">
      <c r="A332" s="2" t="n">
        <v>323</v>
      </c>
      <c r="B332" s="2" t="inlineStr">
        <is>
          <t>KPROP-00323</t>
        </is>
      </c>
      <c r="C332" s="3" t="n">
        <v>45906</v>
      </c>
      <c r="D332" s="2" t="inlineStr">
        <is>
          <t>Shane Baz</t>
        </is>
      </c>
      <c r="E332" s="2" t="inlineStr">
        <is>
          <t>Loss</t>
        </is>
      </c>
      <c r="F332" s="2" t="n">
        <v>-1</v>
      </c>
      <c r="G332" s="6" t="n">
        <v>0.1313078850893304</v>
      </c>
      <c r="H332" s="7" t="n">
        <v>100</v>
      </c>
      <c r="I332" s="7" t="n">
        <v>-100</v>
      </c>
      <c r="J332" s="7" t="n">
        <v>10836.47082500018</v>
      </c>
      <c r="K332" s="7" t="n">
        <v>12267.8788782997</v>
      </c>
      <c r="L332" s="7" t="n">
        <v>-1431.408053299519</v>
      </c>
      <c r="M332" s="6" t="n">
        <v>-0.1166793434708176</v>
      </c>
      <c r="N332" s="7" t="n">
        <v>108.0971750656759</v>
      </c>
      <c r="O332" s="7" t="n">
        <v>-108.0971750656759</v>
      </c>
      <c r="P332" s="7" t="n">
        <v>10701.62033150191</v>
      </c>
      <c r="Q332" s="7" t="n">
        <v>12421.15330293068</v>
      </c>
      <c r="R332" s="7" t="n">
        <v>-1719.532971428773</v>
      </c>
      <c r="S332" s="6" t="n">
        <v>-0.1384358545049968</v>
      </c>
      <c r="T332" s="7" t="n">
        <v>366.6768857987537</v>
      </c>
      <c r="U332" s="7" t="n">
        <v>-366.6768857987537</v>
      </c>
      <c r="V332" s="7" t="n">
        <v>10803.31143742491</v>
      </c>
      <c r="W332" s="7" t="n">
        <v>24768.40123332177</v>
      </c>
      <c r="X332" s="7" t="n">
        <v>-13965.08979589687</v>
      </c>
      <c r="Y332" s="6" t="n">
        <v>-0.5638268560147983</v>
      </c>
      <c r="Z332" s="7" t="n">
        <v>381.5901965830518</v>
      </c>
      <c r="AA332" s="7" t="n">
        <v>-381.5901965830518</v>
      </c>
      <c r="AB332" s="7" t="n">
        <v>5430.554235161488</v>
      </c>
      <c r="AC332" s="7" t="n">
        <v>41497.28076229156</v>
      </c>
      <c r="AD332" s="7" t="n">
        <v>-36066.72652713007</v>
      </c>
      <c r="AE332" s="6" t="n">
        <v>-0.8691346966499016</v>
      </c>
    </row>
    <row r="333">
      <c r="A333" s="2" t="n">
        <v>324</v>
      </c>
      <c r="B333" s="2" t="inlineStr">
        <is>
          <t>KPROP-00324</t>
        </is>
      </c>
      <c r="C333" s="3" t="n">
        <v>45906</v>
      </c>
      <c r="D333" s="2" t="inlineStr">
        <is>
          <t>Tarik Skubal</t>
        </is>
      </c>
      <c r="E333" s="2" t="inlineStr">
        <is>
          <t>Win</t>
        </is>
      </c>
      <c r="F333" s="2" t="n">
        <v>1.2</v>
      </c>
      <c r="G333" s="6" t="n">
        <v>0.07629601562482184</v>
      </c>
      <c r="H333" s="7" t="n">
        <v>100</v>
      </c>
      <c r="I333" s="7" t="n">
        <v>120</v>
      </c>
      <c r="J333" s="7" t="n">
        <v>10956.47082500018</v>
      </c>
      <c r="K333" s="7" t="n">
        <v>12267.8788782997</v>
      </c>
      <c r="L333" s="7" t="n">
        <v>-1311.408053299519</v>
      </c>
      <c r="M333" s="6" t="n">
        <v>-0.1068977014126893</v>
      </c>
      <c r="N333" s="7" t="n">
        <v>107.0162033150191</v>
      </c>
      <c r="O333" s="7" t="n">
        <v>128.419443978023</v>
      </c>
      <c r="P333" s="7" t="n">
        <v>10830.03977547993</v>
      </c>
      <c r="Q333" s="7" t="n">
        <v>12421.15330293068</v>
      </c>
      <c r="R333" s="7" t="n">
        <v>-1591.113527450751</v>
      </c>
      <c r="S333" s="6" t="n">
        <v>-0.1280970847590568</v>
      </c>
      <c r="T333" s="7" t="n">
        <v>206.0624045573968</v>
      </c>
      <c r="U333" s="7" t="n">
        <v>247.2748854688762</v>
      </c>
      <c r="V333" s="7" t="n">
        <v>11050.58632289378</v>
      </c>
      <c r="W333" s="7" t="n">
        <v>24768.40123332177</v>
      </c>
      <c r="X333" s="7" t="n">
        <v>-13717.81491042799</v>
      </c>
      <c r="Y333" s="6" t="n">
        <v>-0.5538433741122115</v>
      </c>
      <c r="Z333" s="7" t="n">
        <v>207.1648253886617</v>
      </c>
      <c r="AA333" s="7" t="n">
        <v>248.597790466394</v>
      </c>
      <c r="AB333" s="7" t="n">
        <v>5679.152025627882</v>
      </c>
      <c r="AC333" s="7" t="n">
        <v>41497.28076229156</v>
      </c>
      <c r="AD333" s="7" t="n">
        <v>-35818.12873666368</v>
      </c>
      <c r="AE333" s="6" t="n">
        <v>-0.8631439959124139</v>
      </c>
    </row>
    <row r="334">
      <c r="A334" s="2" t="n">
        <v>325</v>
      </c>
      <c r="B334" s="2" t="inlineStr">
        <is>
          <t>KPROP-00325</t>
        </is>
      </c>
      <c r="C334" s="3" t="n">
        <v>45907</v>
      </c>
      <c r="D334" s="2" t="inlineStr">
        <is>
          <t>Framber Valdez</t>
        </is>
      </c>
      <c r="E334" s="2" t="inlineStr">
        <is>
          <t>Win</t>
        </is>
      </c>
      <c r="F334" s="2" t="n">
        <v>1.18</v>
      </c>
      <c r="G334" s="6" t="n">
        <v>0.09974723445893312</v>
      </c>
      <c r="H334" s="7" t="n">
        <v>100</v>
      </c>
      <c r="I334" s="7" t="n">
        <v>118</v>
      </c>
      <c r="J334" s="7" t="n">
        <v>11074.47082500018</v>
      </c>
      <c r="K334" s="7" t="n">
        <v>12267.8788782997</v>
      </c>
      <c r="L334" s="7" t="n">
        <v>-1193.408053299519</v>
      </c>
      <c r="M334" s="6" t="n">
        <v>-0.09727908672219648</v>
      </c>
      <c r="N334" s="7" t="n">
        <v>108.3003977547993</v>
      </c>
      <c r="O334" s="7" t="n">
        <v>127.7944693506632</v>
      </c>
      <c r="P334" s="7" t="n">
        <v>10957.8342448306</v>
      </c>
      <c r="Q334" s="7" t="n">
        <v>12421.15330293068</v>
      </c>
      <c r="R334" s="7" t="n">
        <v>-1463.319058100087</v>
      </c>
      <c r="S334" s="6" t="n">
        <v>-0.1178086303592137</v>
      </c>
      <c r="T334" s="7" t="n">
        <v>275.5663562145914</v>
      </c>
      <c r="U334" s="7" t="n">
        <v>325.1683003332178</v>
      </c>
      <c r="V334" s="7" t="n">
        <v>11375.754623227</v>
      </c>
      <c r="W334" s="7" t="n">
        <v>24768.40123332177</v>
      </c>
      <c r="X334" s="7" t="n">
        <v>-13392.64661009477</v>
      </c>
      <c r="Y334" s="6" t="n">
        <v>-0.5407150216897</v>
      </c>
      <c r="Z334" s="7" t="n">
        <v>283.2398543141146</v>
      </c>
      <c r="AA334" s="7" t="n">
        <v>334.2230280906551</v>
      </c>
      <c r="AB334" s="7" t="n">
        <v>6013.375053718537</v>
      </c>
      <c r="AC334" s="7" t="n">
        <v>41497.28076229156</v>
      </c>
      <c r="AD334" s="7" t="n">
        <v>-35483.90570857302</v>
      </c>
      <c r="AE334" s="6" t="n">
        <v>-0.8550899012355799</v>
      </c>
    </row>
    <row r="335">
      <c r="A335" s="2" t="n">
        <v>326</v>
      </c>
      <c r="B335" s="2" t="inlineStr">
        <is>
          <t>KPROP-00326</t>
        </is>
      </c>
      <c r="C335" s="3" t="n">
        <v>45907</v>
      </c>
      <c r="D335" s="2" t="inlineStr">
        <is>
          <t>Kai-Wei Teng</t>
        </is>
      </c>
      <c r="E335" s="2" t="inlineStr">
        <is>
          <t>Loss</t>
        </is>
      </c>
      <c r="F335" s="2" t="n">
        <v>-1</v>
      </c>
      <c r="G335" s="6" t="n">
        <v>0.1166416022513473</v>
      </c>
      <c r="H335" s="7" t="n">
        <v>100</v>
      </c>
      <c r="I335" s="7" t="n">
        <v>-100</v>
      </c>
      <c r="J335" s="7" t="n">
        <v>10974.47082500018</v>
      </c>
      <c r="K335" s="7" t="n">
        <v>12267.8788782997</v>
      </c>
      <c r="L335" s="7" t="n">
        <v>-1293.408053299519</v>
      </c>
      <c r="M335" s="6" t="n">
        <v>-0.1054304551039701</v>
      </c>
      <c r="N335" s="7" t="n">
        <v>109.578342448306</v>
      </c>
      <c r="O335" s="7" t="n">
        <v>-109.578342448306</v>
      </c>
      <c r="P335" s="7" t="n">
        <v>10848.25590238229</v>
      </c>
      <c r="Q335" s="7" t="n">
        <v>12421.15330293068</v>
      </c>
      <c r="R335" s="7" t="n">
        <v>-1572.897400548392</v>
      </c>
      <c r="S335" s="6" t="n">
        <v>-0.1266305440556215</v>
      </c>
      <c r="T335" s="7" t="n">
        <v>331.7215615178421</v>
      </c>
      <c r="U335" s="7" t="n">
        <v>-331.7215615178421</v>
      </c>
      <c r="V335" s="7" t="n">
        <v>11044.03306170916</v>
      </c>
      <c r="W335" s="7" t="n">
        <v>24768.40123332177</v>
      </c>
      <c r="X335" s="7" t="n">
        <v>-13724.36817161262</v>
      </c>
      <c r="Y335" s="6" t="n">
        <v>-0.5541079556297221</v>
      </c>
      <c r="Z335" s="7" t="n">
        <v>350.7048506020058</v>
      </c>
      <c r="AA335" s="7" t="n">
        <v>-350.7048506020058</v>
      </c>
      <c r="AB335" s="7" t="n">
        <v>5662.670203116531</v>
      </c>
      <c r="AC335" s="7" t="n">
        <v>41497.28076229156</v>
      </c>
      <c r="AD335" s="7" t="n">
        <v>-35834.61055917502</v>
      </c>
      <c r="AE335" s="6" t="n">
        <v>-0.8635411742867214</v>
      </c>
    </row>
    <row r="336">
      <c r="A336" s="2" t="n">
        <v>327</v>
      </c>
      <c r="B336" s="2" t="inlineStr">
        <is>
          <t>KPROP-00327</t>
        </is>
      </c>
      <c r="C336" s="3" t="n">
        <v>45907</v>
      </c>
      <c r="D336" s="2" t="inlineStr">
        <is>
          <t>Mitch Farris</t>
        </is>
      </c>
      <c r="E336" s="2" t="inlineStr">
        <is>
          <t>Win</t>
        </is>
      </c>
      <c r="F336" s="2" t="n">
        <v>0.8695652173913042</v>
      </c>
      <c r="G336" s="6" t="n">
        <v>0.4749574860799463</v>
      </c>
      <c r="H336" s="7" t="n">
        <v>100</v>
      </c>
      <c r="I336" s="7" t="n">
        <v>86.95652173913042</v>
      </c>
      <c r="J336" s="7" t="n">
        <v>11061.42734673931</v>
      </c>
      <c r="K336" s="7" t="n">
        <v>12267.8788782997</v>
      </c>
      <c r="L336" s="7" t="n">
        <v>-1206.451531560389</v>
      </c>
      <c r="M336" s="6" t="n">
        <v>-0.09834230868503656</v>
      </c>
      <c r="N336" s="7" t="n">
        <v>108.4825590238229</v>
      </c>
      <c r="O336" s="7" t="n">
        <v>94.33266002071558</v>
      </c>
      <c r="P336" s="7" t="n">
        <v>10942.58856240301</v>
      </c>
      <c r="Q336" s="7" t="n">
        <v>12421.15330293068</v>
      </c>
      <c r="R336" s="7" t="n">
        <v>-1478.564740527678</v>
      </c>
      <c r="S336" s="6" t="n">
        <v>-0.1190360270474096</v>
      </c>
      <c r="T336" s="7" t="n">
        <v>1311.361544793298</v>
      </c>
      <c r="U336" s="7" t="n">
        <v>1140.314386776781</v>
      </c>
      <c r="V336" s="7" t="n">
        <v>12184.34744848594</v>
      </c>
      <c r="W336" s="7" t="n">
        <v>24768.40123332177</v>
      </c>
      <c r="X336" s="7" t="n">
        <v>-12584.05378483583</v>
      </c>
      <c r="Y336" s="6" t="n">
        <v>-0.5080688763999058</v>
      </c>
      <c r="Z336" s="7" t="n">
        <v>1344.763802086023</v>
      </c>
      <c r="AA336" s="7" t="n">
        <v>1169.35982790089</v>
      </c>
      <c r="AB336" s="7" t="n">
        <v>6832.030031017421</v>
      </c>
      <c r="AC336" s="7" t="n">
        <v>41497.28076229156</v>
      </c>
      <c r="AD336" s="7" t="n">
        <v>-34665.25073127414</v>
      </c>
      <c r="AE336" s="6" t="n">
        <v>-0.8353619826283735</v>
      </c>
    </row>
    <row r="337">
      <c r="A337" s="2" t="n">
        <v>328</v>
      </c>
      <c r="B337" s="2" t="inlineStr">
        <is>
          <t>KPROP-00328</t>
        </is>
      </c>
      <c r="C337" s="3" t="n">
        <v>45907</v>
      </c>
      <c r="D337" s="2" t="inlineStr">
        <is>
          <t>Sonny Gray</t>
        </is>
      </c>
      <c r="E337" s="2" t="inlineStr">
        <is>
          <t>Loss</t>
        </is>
      </c>
      <c r="F337" s="2" t="n">
        <v>-1</v>
      </c>
      <c r="G337" s="6" t="n">
        <v>0.08210491281522721</v>
      </c>
      <c r="H337" s="7" t="n">
        <v>100</v>
      </c>
      <c r="I337" s="7" t="n">
        <v>-100</v>
      </c>
      <c r="J337" s="7" t="n">
        <v>10961.42734673931</v>
      </c>
      <c r="K337" s="7" t="n">
        <v>12267.8788782997</v>
      </c>
      <c r="L337" s="7" t="n">
        <v>-1306.451531560389</v>
      </c>
      <c r="M337" s="6" t="n">
        <v>-0.1064936770668101</v>
      </c>
      <c r="N337" s="7" t="n">
        <v>109.4258856240301</v>
      </c>
      <c r="O337" s="7" t="n">
        <v>-109.4258856240301</v>
      </c>
      <c r="P337" s="7" t="n">
        <v>10833.16267677898</v>
      </c>
      <c r="Q337" s="7" t="n">
        <v>12421.15330293068</v>
      </c>
      <c r="R337" s="7" t="n">
        <v>-1587.990626151708</v>
      </c>
      <c r="S337" s="6" t="n">
        <v>-0.1278456667769355</v>
      </c>
      <c r="T337" s="7" t="n">
        <v>250.0986962420935</v>
      </c>
      <c r="U337" s="7" t="n">
        <v>-250.0986962420935</v>
      </c>
      <c r="V337" s="7" t="n">
        <v>11934.24875224384</v>
      </c>
      <c r="W337" s="7" t="n">
        <v>24768.40123332177</v>
      </c>
      <c r="X337" s="7" t="n">
        <v>-12834.15248107793</v>
      </c>
      <c r="Y337" s="6" t="n">
        <v>-0.5181663669034765</v>
      </c>
      <c r="Z337" s="7" t="n">
        <v>280.4716150238497</v>
      </c>
      <c r="AA337" s="7" t="n">
        <v>-280.4716150238497</v>
      </c>
      <c r="AB337" s="7" t="n">
        <v>6551.558415993571</v>
      </c>
      <c r="AC337" s="7" t="n">
        <v>41497.28076229156</v>
      </c>
      <c r="AD337" s="7" t="n">
        <v>-34945.72234629799</v>
      </c>
      <c r="AE337" s="6" t="n">
        <v>-0.8421207776595582</v>
      </c>
    </row>
    <row r="338">
      <c r="A338" s="2" t="n">
        <v>329</v>
      </c>
      <c r="B338" s="2" t="inlineStr">
        <is>
          <t>KPROP-00329</t>
        </is>
      </c>
      <c r="C338" s="3" t="n">
        <v>45909</v>
      </c>
      <c r="D338" s="2" t="inlineStr">
        <is>
          <t>Joey Cantillo</t>
        </is>
      </c>
      <c r="E338" s="2" t="inlineStr">
        <is>
          <t>Loss</t>
        </is>
      </c>
      <c r="F338" s="2" t="n">
        <v>-1</v>
      </c>
      <c r="G338" s="6" t="n">
        <v>0.09059857805608199</v>
      </c>
      <c r="H338" s="7" t="n">
        <v>100</v>
      </c>
      <c r="I338" s="7" t="n">
        <v>-100</v>
      </c>
      <c r="J338" s="7" t="n">
        <v>10861.42734673931</v>
      </c>
      <c r="K338" s="7" t="n">
        <v>12267.8788782997</v>
      </c>
      <c r="L338" s="7" t="n">
        <v>-1406.451531560389</v>
      </c>
      <c r="M338" s="6" t="n">
        <v>-0.1146450454485837</v>
      </c>
      <c r="N338" s="7" t="n">
        <v>108.3316267677898</v>
      </c>
      <c r="O338" s="7" t="n">
        <v>-108.3316267677898</v>
      </c>
      <c r="P338" s="7" t="n">
        <v>10724.83105001119</v>
      </c>
      <c r="Q338" s="7" t="n">
        <v>12421.15330293068</v>
      </c>
      <c r="R338" s="7" t="n">
        <v>-1696.322252919497</v>
      </c>
      <c r="S338" s="6" t="n">
        <v>-0.1365672101091661</v>
      </c>
      <c r="T338" s="7" t="n">
        <v>270.3064917802158</v>
      </c>
      <c r="U338" s="7" t="n">
        <v>-270.3064917802158</v>
      </c>
      <c r="V338" s="7" t="n">
        <v>11663.94226046363</v>
      </c>
      <c r="W338" s="7" t="n">
        <v>24768.40123332177</v>
      </c>
      <c r="X338" s="7" t="n">
        <v>-13104.45897285814</v>
      </c>
      <c r="Y338" s="6" t="n">
        <v>-0.5290797274080117</v>
      </c>
      <c r="Z338" s="7" t="n">
        <v>296.7809382701872</v>
      </c>
      <c r="AA338" s="7" t="n">
        <v>-296.7809382701872</v>
      </c>
      <c r="AB338" s="7" t="n">
        <v>6254.777477723384</v>
      </c>
      <c r="AC338" s="7" t="n">
        <v>41497.28076229156</v>
      </c>
      <c r="AD338" s="7" t="n">
        <v>-35242.50328456817</v>
      </c>
      <c r="AE338" s="6" t="n">
        <v>-0.84927259418388</v>
      </c>
    </row>
    <row r="339">
      <c r="A339" s="2" t="n">
        <v>330</v>
      </c>
      <c r="B339" s="2" t="inlineStr">
        <is>
          <t>KPROP-00330</t>
        </is>
      </c>
      <c r="C339" s="3" t="n">
        <v>45909</v>
      </c>
      <c r="D339" s="2" t="inlineStr">
        <is>
          <t>Joey Cantillo</t>
        </is>
      </c>
      <c r="E339" s="2" t="inlineStr">
        <is>
          <t>Win</t>
        </is>
      </c>
      <c r="F339" s="2" t="n">
        <v>0.625</v>
      </c>
      <c r="G339" s="6" t="n">
        <v>0.1383511070121656</v>
      </c>
      <c r="H339" s="7" t="n">
        <v>100</v>
      </c>
      <c r="I339" s="7" t="n">
        <v>62.5</v>
      </c>
      <c r="J339" s="7" t="n">
        <v>10923.92734673931</v>
      </c>
      <c r="K339" s="7" t="n">
        <v>12267.8788782997</v>
      </c>
      <c r="L339" s="7" t="n">
        <v>-1343.951531560389</v>
      </c>
      <c r="M339" s="6" t="n">
        <v>-0.1095504402099752</v>
      </c>
      <c r="N339" s="7" t="n">
        <v>107.2483105001119</v>
      </c>
      <c r="O339" s="7" t="n">
        <v>67.03019406256992</v>
      </c>
      <c r="P339" s="7" t="n">
        <v>10791.86124407376</v>
      </c>
      <c r="Q339" s="7" t="n">
        <v>12421.15330293068</v>
      </c>
      <c r="R339" s="7" t="n">
        <v>-1629.292058856927</v>
      </c>
      <c r="S339" s="6" t="n">
        <v>-0.1311707551723483</v>
      </c>
      <c r="T339" s="7" t="n">
        <v>403.4298309652811</v>
      </c>
      <c r="U339" s="7" t="n">
        <v>252.1436443533007</v>
      </c>
      <c r="V339" s="7" t="n">
        <v>11916.08590481693</v>
      </c>
      <c r="W339" s="7" t="n">
        <v>24768.40123332177</v>
      </c>
      <c r="X339" s="7" t="n">
        <v>-12852.31532850484</v>
      </c>
      <c r="Y339" s="6" t="n">
        <v>-0.5188996741224535</v>
      </c>
      <c r="Z339" s="7" t="n">
        <v>432.6776940788956</v>
      </c>
      <c r="AA339" s="7" t="n">
        <v>270.4235587993098</v>
      </c>
      <c r="AB339" s="7" t="n">
        <v>6525.201036522693</v>
      </c>
      <c r="AC339" s="7" t="n">
        <v>41497.28076229156</v>
      </c>
      <c r="AD339" s="7" t="n">
        <v>-34972.07972576886</v>
      </c>
      <c r="AE339" s="6" t="n">
        <v>-0.8427559368552138</v>
      </c>
    </row>
    <row r="340">
      <c r="A340" s="2" t="n">
        <v>331</v>
      </c>
      <c r="B340" s="2" t="inlineStr">
        <is>
          <t>KPROP-00331</t>
        </is>
      </c>
      <c r="C340" s="3" t="n">
        <v>45909</v>
      </c>
      <c r="D340" s="2" t="inlineStr">
        <is>
          <t>Ranger Suarez</t>
        </is>
      </c>
      <c r="E340" s="2" t="inlineStr">
        <is>
          <t>Loss</t>
        </is>
      </c>
      <c r="F340" s="2" t="n">
        <v>-1</v>
      </c>
      <c r="G340" s="6" t="n">
        <v>0.2014384981179775</v>
      </c>
      <c r="H340" s="7" t="n">
        <v>100</v>
      </c>
      <c r="I340" s="7" t="n">
        <v>-100</v>
      </c>
      <c r="J340" s="7" t="n">
        <v>10823.92734673931</v>
      </c>
      <c r="K340" s="7" t="n">
        <v>12267.8788782997</v>
      </c>
      <c r="L340" s="7" t="n">
        <v>-1443.951531560389</v>
      </c>
      <c r="M340" s="6" t="n">
        <v>-0.1177018085917488</v>
      </c>
      <c r="N340" s="7" t="n">
        <v>107.9186124407376</v>
      </c>
      <c r="O340" s="7" t="n">
        <v>-107.9186124407376</v>
      </c>
      <c r="P340" s="7" t="n">
        <v>10683.94263163302</v>
      </c>
      <c r="Q340" s="7" t="n">
        <v>12421.15330293068</v>
      </c>
      <c r="R340" s="7" t="n">
        <v>-1737.210671297664</v>
      </c>
      <c r="S340" s="6" t="n">
        <v>-0.1398590476206248</v>
      </c>
      <c r="T340" s="7" t="n">
        <v>600.0896120277808</v>
      </c>
      <c r="U340" s="7" t="n">
        <v>-600.0896120277808</v>
      </c>
      <c r="V340" s="7" t="n">
        <v>11315.99629278915</v>
      </c>
      <c r="W340" s="7" t="n">
        <v>24768.40123332177</v>
      </c>
      <c r="X340" s="7" t="n">
        <v>-13452.40494053263</v>
      </c>
      <c r="Y340" s="6" t="n">
        <v>-0.5431277058946642</v>
      </c>
      <c r="Z340" s="7" t="n">
        <v>657.2133483575009</v>
      </c>
      <c r="AA340" s="7" t="n">
        <v>-657.2133483575009</v>
      </c>
      <c r="AB340" s="7" t="n">
        <v>5867.987688165193</v>
      </c>
      <c r="AC340" s="7" t="n">
        <v>41497.28076229156</v>
      </c>
      <c r="AD340" s="7" t="n">
        <v>-35629.29307412636</v>
      </c>
      <c r="AE340" s="6" t="n">
        <v>-0.8585934408141409</v>
      </c>
    </row>
    <row r="341">
      <c r="A341" s="2" t="n">
        <v>332</v>
      </c>
      <c r="B341" s="2" t="inlineStr">
        <is>
          <t>KPROP-00332</t>
        </is>
      </c>
      <c r="C341" s="3" t="n">
        <v>45909</v>
      </c>
      <c r="D341" s="2" t="inlineStr">
        <is>
          <t>Spencer Strider</t>
        </is>
      </c>
      <c r="E341" s="2" t="inlineStr">
        <is>
          <t>Loss</t>
        </is>
      </c>
      <c r="F341" s="2" t="n">
        <v>-1</v>
      </c>
      <c r="G341" s="6" t="n">
        <v>0.2643138473606597</v>
      </c>
      <c r="H341" s="7" t="n">
        <v>100</v>
      </c>
      <c r="I341" s="7" t="n">
        <v>-100</v>
      </c>
      <c r="J341" s="7" t="n">
        <v>10723.92734673931</v>
      </c>
      <c r="K341" s="7" t="n">
        <v>12267.8788782997</v>
      </c>
      <c r="L341" s="7" t="n">
        <v>-1543.951531560389</v>
      </c>
      <c r="M341" s="6" t="n">
        <v>-0.1258531769735224</v>
      </c>
      <c r="N341" s="7" t="n">
        <v>106.8394263163302</v>
      </c>
      <c r="O341" s="7" t="n">
        <v>-106.8394263163302</v>
      </c>
      <c r="P341" s="7" t="n">
        <v>10577.10320531669</v>
      </c>
      <c r="Q341" s="7" t="n">
        <v>12421.15330293068</v>
      </c>
      <c r="R341" s="7" t="n">
        <v>-1844.050097613994</v>
      </c>
      <c r="S341" s="6" t="n">
        <v>-0.1484604571444186</v>
      </c>
      <c r="T341" s="7" t="n">
        <v>747.7436292165153</v>
      </c>
      <c r="U341" s="7" t="n">
        <v>-747.7436292165153</v>
      </c>
      <c r="V341" s="7" t="n">
        <v>10568.25266357263</v>
      </c>
      <c r="W341" s="7" t="n">
        <v>24768.40123332177</v>
      </c>
      <c r="X341" s="7" t="n">
        <v>-14200.14856974914</v>
      </c>
      <c r="Y341" s="6" t="n">
        <v>-0.5733171243465323</v>
      </c>
      <c r="Z341" s="7" t="n">
        <v>775.4952010619625</v>
      </c>
      <c r="AA341" s="7" t="n">
        <v>-775.4952010619625</v>
      </c>
      <c r="AB341" s="7" t="n">
        <v>5092.49248710323</v>
      </c>
      <c r="AC341" s="7" t="n">
        <v>41497.28076229156</v>
      </c>
      <c r="AD341" s="7" t="n">
        <v>-36404.78827518833</v>
      </c>
      <c r="AE341" s="6" t="n">
        <v>-0.8772812966643646</v>
      </c>
    </row>
    <row r="342">
      <c r="A342" s="2" t="n">
        <v>333</v>
      </c>
      <c r="B342" s="2" t="inlineStr">
        <is>
          <t>KPROP-00333</t>
        </is>
      </c>
      <c r="C342" s="3" t="n">
        <v>45909</v>
      </c>
      <c r="D342" s="2" t="inlineStr">
        <is>
          <t>Spencer Strider</t>
        </is>
      </c>
      <c r="E342" s="2" t="inlineStr">
        <is>
          <t>Loss</t>
        </is>
      </c>
      <c r="F342" s="2" t="n">
        <v>-1</v>
      </c>
      <c r="G342" s="6" t="n">
        <v>0.2924762299787795</v>
      </c>
      <c r="H342" s="7" t="n">
        <v>100</v>
      </c>
      <c r="I342" s="7" t="n">
        <v>-100</v>
      </c>
      <c r="J342" s="7" t="n">
        <v>10623.92734673931</v>
      </c>
      <c r="K342" s="7" t="n">
        <v>12267.8788782997</v>
      </c>
      <c r="L342" s="7" t="n">
        <v>-1643.951531560389</v>
      </c>
      <c r="M342" s="6" t="n">
        <v>-0.1340045453552959</v>
      </c>
      <c r="N342" s="7" t="n">
        <v>105.7710320531669</v>
      </c>
      <c r="O342" s="7" t="n">
        <v>-105.7710320531669</v>
      </c>
      <c r="P342" s="7" t="n">
        <v>10471.33217326352</v>
      </c>
      <c r="Q342" s="7" t="n">
        <v>12421.15330293068</v>
      </c>
      <c r="R342" s="7" t="n">
        <v>-1949.821129667162</v>
      </c>
      <c r="S342" s="6" t="n">
        <v>-0.1569758525729744</v>
      </c>
      <c r="T342" s="7" t="n">
        <v>772.7406741262295</v>
      </c>
      <c r="U342" s="7" t="n">
        <v>-772.7406741262295</v>
      </c>
      <c r="V342" s="7" t="n">
        <v>9795.511989446402</v>
      </c>
      <c r="W342" s="7" t="n">
        <v>24768.40123332177</v>
      </c>
      <c r="X342" s="7" t="n">
        <v>-14972.88924387537</v>
      </c>
      <c r="Y342" s="6" t="n">
        <v>-0.6045157740634399</v>
      </c>
      <c r="Z342" s="7" t="n">
        <v>744.7165019116055</v>
      </c>
      <c r="AA342" s="7" t="n">
        <v>-744.7165019116055</v>
      </c>
      <c r="AB342" s="7" t="n">
        <v>4347.775985191624</v>
      </c>
      <c r="AC342" s="7" t="n">
        <v>41497.28076229156</v>
      </c>
      <c r="AD342" s="7" t="n">
        <v>-37149.50477709993</v>
      </c>
      <c r="AE342" s="6" t="n">
        <v>-0.89522744851411</v>
      </c>
    </row>
    <row r="343">
      <c r="A343" s="2" t="n">
        <v>334</v>
      </c>
      <c r="B343" s="2" t="inlineStr">
        <is>
          <t>KPROP-00334</t>
        </is>
      </c>
      <c r="C343" s="3" t="n">
        <v>45910</v>
      </c>
      <c r="D343" s="2" t="inlineStr">
        <is>
          <t>Freddy Peralta</t>
        </is>
      </c>
      <c r="E343" s="2" t="inlineStr">
        <is>
          <t>Loss</t>
        </is>
      </c>
      <c r="F343" s="2" t="n">
        <v>-1</v>
      </c>
      <c r="G343" s="6" t="n">
        <v>0.06327191875951362</v>
      </c>
      <c r="H343" s="7" t="n">
        <v>100</v>
      </c>
      <c r="I343" s="7" t="n">
        <v>-100</v>
      </c>
      <c r="J343" s="7" t="n">
        <v>10523.92734673931</v>
      </c>
      <c r="K343" s="7" t="n">
        <v>12267.8788782997</v>
      </c>
      <c r="L343" s="7" t="n">
        <v>-1743.951531560389</v>
      </c>
      <c r="M343" s="6" t="n">
        <v>-0.1421559137370695</v>
      </c>
      <c r="N343" s="7" t="n">
        <v>104.7133217326352</v>
      </c>
      <c r="O343" s="7" t="n">
        <v>-104.7133217326352</v>
      </c>
      <c r="P343" s="7" t="n">
        <v>10366.61885153089</v>
      </c>
      <c r="Q343" s="7" t="n">
        <v>12421.15330293068</v>
      </c>
      <c r="R343" s="7" t="n">
        <v>-2054.534451399797</v>
      </c>
      <c r="S343" s="6" t="n">
        <v>-0.1654060940472447</v>
      </c>
      <c r="T343" s="7" t="n">
        <v>154.9452097010236</v>
      </c>
      <c r="U343" s="7" t="n">
        <v>-154.9452097010236</v>
      </c>
      <c r="V343" s="7" t="n">
        <v>9640.566779745379</v>
      </c>
      <c r="W343" s="7" t="n">
        <v>24768.40123332177</v>
      </c>
      <c r="X343" s="7" t="n">
        <v>-15127.83445357639</v>
      </c>
      <c r="Y343" s="6" t="n">
        <v>-0.6107715355169716</v>
      </c>
      <c r="Z343" s="7" t="n">
        <v>137.5460644598044</v>
      </c>
      <c r="AA343" s="7" t="n">
        <v>-137.5460644598044</v>
      </c>
      <c r="AB343" s="7" t="n">
        <v>4210.22992073182</v>
      </c>
      <c r="AC343" s="7" t="n">
        <v>41497.28076229156</v>
      </c>
      <c r="AD343" s="7" t="n">
        <v>-37287.05084155974</v>
      </c>
      <c r="AE343" s="6" t="n">
        <v>-0.898542028697031</v>
      </c>
    </row>
    <row r="344">
      <c r="A344" s="2" t="n">
        <v>335</v>
      </c>
      <c r="B344" s="2" t="inlineStr">
        <is>
          <t>KPROP-00335</t>
        </is>
      </c>
      <c r="C344" s="3" t="n">
        <v>45910</v>
      </c>
      <c r="D344" s="2" t="inlineStr">
        <is>
          <t>Freddy Peralta</t>
        </is>
      </c>
      <c r="E344" s="2" t="inlineStr">
        <is>
          <t>Loss</t>
        </is>
      </c>
      <c r="F344" s="2" t="n">
        <v>-1</v>
      </c>
      <c r="G344" s="6" t="n">
        <v>0.1259037510613316</v>
      </c>
      <c r="H344" s="7" t="n">
        <v>100</v>
      </c>
      <c r="I344" s="7" t="n">
        <v>-100</v>
      </c>
      <c r="J344" s="7" t="n">
        <v>10423.92734673931</v>
      </c>
      <c r="K344" s="7" t="n">
        <v>12267.8788782997</v>
      </c>
      <c r="L344" s="7" t="n">
        <v>-1843.951531560389</v>
      </c>
      <c r="M344" s="6" t="n">
        <v>-0.1503072821188431</v>
      </c>
      <c r="N344" s="7" t="n">
        <v>103.6661885153089</v>
      </c>
      <c r="O344" s="7" t="n">
        <v>-103.6661885153089</v>
      </c>
      <c r="P344" s="7" t="n">
        <v>10262.95266301558</v>
      </c>
      <c r="Q344" s="7" t="n">
        <v>12421.15330293068</v>
      </c>
      <c r="R344" s="7" t="n">
        <v>-2158.200639915105</v>
      </c>
      <c r="S344" s="6" t="n">
        <v>-0.1737520331067722</v>
      </c>
      <c r="T344" s="7" t="n">
        <v>303.4458799818013</v>
      </c>
      <c r="U344" s="7" t="n">
        <v>-303.4458799818013</v>
      </c>
      <c r="V344" s="7" t="n">
        <v>9337.120899763577</v>
      </c>
      <c r="W344" s="7" t="n">
        <v>24768.40123332177</v>
      </c>
      <c r="X344" s="7" t="n">
        <v>-15431.2803335582</v>
      </c>
      <c r="Y344" s="6" t="n">
        <v>-0.6230228664415356</v>
      </c>
      <c r="Z344" s="7" t="n">
        <v>265.0418699253945</v>
      </c>
      <c r="AA344" s="7" t="n">
        <v>-265.0418699253945</v>
      </c>
      <c r="AB344" s="7" t="n">
        <v>3945.188050806426</v>
      </c>
      <c r="AC344" s="7" t="n">
        <v>41497.28076229156</v>
      </c>
      <c r="AD344" s="7" t="n">
        <v>-37552.09271148513</v>
      </c>
      <c r="AE344" s="6" t="n">
        <v>-0.9049289982780894</v>
      </c>
    </row>
    <row r="345">
      <c r="A345" s="2" t="n">
        <v>336</v>
      </c>
      <c r="B345" s="2" t="inlineStr">
        <is>
          <t>KPROP-00336</t>
        </is>
      </c>
      <c r="C345" s="3" t="n">
        <v>45910</v>
      </c>
      <c r="D345" s="2" t="inlineStr">
        <is>
          <t>Jack Flaherty</t>
        </is>
      </c>
      <c r="E345" s="2" t="inlineStr">
        <is>
          <t>Loss</t>
        </is>
      </c>
      <c r="F345" s="2" t="n">
        <v>-1</v>
      </c>
      <c r="G345" s="6" t="n">
        <v>0.07375570761737354</v>
      </c>
      <c r="H345" s="7" t="n">
        <v>100</v>
      </c>
      <c r="I345" s="7" t="n">
        <v>-100</v>
      </c>
      <c r="J345" s="7" t="n">
        <v>10323.92734673931</v>
      </c>
      <c r="K345" s="7" t="n">
        <v>12267.8788782997</v>
      </c>
      <c r="L345" s="7" t="n">
        <v>-1943.951531560389</v>
      </c>
      <c r="M345" s="6" t="n">
        <v>-0.1584586505006166</v>
      </c>
      <c r="N345" s="7" t="n">
        <v>102.6295266301558</v>
      </c>
      <c r="O345" s="7" t="n">
        <v>-102.6295266301558</v>
      </c>
      <c r="P345" s="7" t="n">
        <v>10160.32313638542</v>
      </c>
      <c r="Q345" s="7" t="n">
        <v>12421.15330293068</v>
      </c>
      <c r="R345" s="7" t="n">
        <v>-2260.83016654526</v>
      </c>
      <c r="S345" s="6" t="n">
        <v>-0.1820145127757044</v>
      </c>
      <c r="T345" s="7" t="n">
        <v>172.1664897677576</v>
      </c>
      <c r="U345" s="7" t="n">
        <v>-172.1664897677576</v>
      </c>
      <c r="V345" s="7" t="n">
        <v>9164.954409995818</v>
      </c>
      <c r="W345" s="7" t="n">
        <v>24768.40123332177</v>
      </c>
      <c r="X345" s="7" t="n">
        <v>-15603.44682332595</v>
      </c>
      <c r="Y345" s="6" t="n">
        <v>-0.6299739202518291</v>
      </c>
      <c r="Z345" s="7" t="n">
        <v>145.4900681854173</v>
      </c>
      <c r="AA345" s="7" t="n">
        <v>-145.4900681854173</v>
      </c>
      <c r="AB345" s="7" t="n">
        <v>3799.697982621008</v>
      </c>
      <c r="AC345" s="7" t="n">
        <v>41497.28076229156</v>
      </c>
      <c r="AD345" s="7" t="n">
        <v>-37697.58277967055</v>
      </c>
      <c r="AE345" s="6" t="n">
        <v>-0.9084350127810354</v>
      </c>
    </row>
    <row r="346">
      <c r="A346" s="2" t="n">
        <v>337</v>
      </c>
      <c r="B346" s="2" t="inlineStr">
        <is>
          <t>KPROP-00337</t>
        </is>
      </c>
      <c r="C346" s="3" t="n">
        <v>45912</v>
      </c>
      <c r="D346" s="2" t="inlineStr">
        <is>
          <t>Chris Bassitt</t>
        </is>
      </c>
      <c r="E346" s="2" t="inlineStr">
        <is>
          <t>Loss</t>
        </is>
      </c>
      <c r="F346" s="2" t="n">
        <v>-1</v>
      </c>
      <c r="G346" s="6" t="n">
        <v>0.06109984180523119</v>
      </c>
      <c r="H346" s="7" t="n">
        <v>100</v>
      </c>
      <c r="I346" s="7" t="n">
        <v>-100</v>
      </c>
      <c r="J346" s="7" t="n">
        <v>10223.92734673931</v>
      </c>
      <c r="K346" s="7" t="n">
        <v>12267.8788782997</v>
      </c>
      <c r="L346" s="7" t="n">
        <v>-2043.951531560389</v>
      </c>
      <c r="M346" s="6" t="n">
        <v>-0.1666100188823902</v>
      </c>
      <c r="N346" s="7" t="n">
        <v>101.6032313638542</v>
      </c>
      <c r="O346" s="7" t="n">
        <v>-101.6032313638542</v>
      </c>
      <c r="P346" s="7" t="n">
        <v>10058.71990502157</v>
      </c>
      <c r="Q346" s="7" t="n">
        <v>12421.15330293068</v>
      </c>
      <c r="R346" s="7" t="n">
        <v>-2362.433397909113</v>
      </c>
      <c r="S346" s="6" t="n">
        <v>-0.1901943676479473</v>
      </c>
      <c r="T346" s="7" t="n">
        <v>139.9943161507251</v>
      </c>
      <c r="U346" s="7" t="n">
        <v>-139.9943161507251</v>
      </c>
      <c r="V346" s="7" t="n">
        <v>9024.960093845093</v>
      </c>
      <c r="W346" s="7" t="n">
        <v>24768.40123332177</v>
      </c>
      <c r="X346" s="7" t="n">
        <v>-15743.44113947668</v>
      </c>
      <c r="Y346" s="6" t="n">
        <v>-0.6356260539859349</v>
      </c>
      <c r="Z346" s="7" t="n">
        <v>116.0804728228998</v>
      </c>
      <c r="AA346" s="7" t="n">
        <v>-116.0804728228998</v>
      </c>
      <c r="AB346" s="7" t="n">
        <v>3683.617509798108</v>
      </c>
      <c r="AC346" s="7" t="n">
        <v>41497.28076229156</v>
      </c>
      <c r="AD346" s="7" t="n">
        <v>-37813.66325249345</v>
      </c>
      <c r="AE346" s="6" t="n">
        <v>-0.9112323158980238</v>
      </c>
    </row>
    <row r="347">
      <c r="A347" s="2" t="n">
        <v>338</v>
      </c>
      <c r="B347" s="2" t="inlineStr">
        <is>
          <t>KPROP-00338</t>
        </is>
      </c>
      <c r="C347" s="3" t="n">
        <v>45912</v>
      </c>
      <c r="D347" s="2" t="inlineStr">
        <is>
          <t>Jonah Tong</t>
        </is>
      </c>
      <c r="E347" s="2" t="inlineStr">
        <is>
          <t>Win</t>
        </is>
      </c>
      <c r="F347" s="2" t="n">
        <v>1.18</v>
      </c>
      <c r="G347" s="6" t="n">
        <v>0.1576531265054718</v>
      </c>
      <c r="H347" s="7" t="n">
        <v>100</v>
      </c>
      <c r="I347" s="7" t="n">
        <v>118</v>
      </c>
      <c r="J347" s="7" t="n">
        <v>10341.92734673931</v>
      </c>
      <c r="K347" s="7" t="n">
        <v>12267.8788782997</v>
      </c>
      <c r="L347" s="7" t="n">
        <v>-1925.951531560389</v>
      </c>
      <c r="M347" s="6" t="n">
        <v>-0.1569914041918974</v>
      </c>
      <c r="N347" s="7" t="n">
        <v>100.5871990502157</v>
      </c>
      <c r="O347" s="7" t="n">
        <v>118.6928948792545</v>
      </c>
      <c r="P347" s="7" t="n">
        <v>10177.41279990083</v>
      </c>
      <c r="Q347" s="7" t="n">
        <v>12421.15330293068</v>
      </c>
      <c r="R347" s="7" t="n">
        <v>-2243.74050302986</v>
      </c>
      <c r="S347" s="6" t="n">
        <v>-0.1806386611861931</v>
      </c>
      <c r="T347" s="7" t="n">
        <v>355.7032938454487</v>
      </c>
      <c r="U347" s="7" t="n">
        <v>419.7298867376293</v>
      </c>
      <c r="V347" s="7" t="n">
        <v>9444.689980582722</v>
      </c>
      <c r="W347" s="7" t="n">
        <v>24768.40123332177</v>
      </c>
      <c r="X347" s="7" t="n">
        <v>-15323.71125273905</v>
      </c>
      <c r="Y347" s="6" t="n">
        <v>-0.6186798699030901</v>
      </c>
      <c r="Z347" s="7" t="n">
        <v>290.366908634986</v>
      </c>
      <c r="AA347" s="7" t="n">
        <v>342.6329521892833</v>
      </c>
      <c r="AB347" s="7" t="n">
        <v>4026.250461987392</v>
      </c>
      <c r="AC347" s="7" t="n">
        <v>41497.28076229156</v>
      </c>
      <c r="AD347" s="7" t="n">
        <v>-37471.03030030416</v>
      </c>
      <c r="AE347" s="6" t="n">
        <v>-0.9029755591685411</v>
      </c>
    </row>
    <row r="348">
      <c r="A348" s="2" t="n">
        <v>339</v>
      </c>
      <c r="B348" s="2" t="inlineStr">
        <is>
          <t>KPROP-00339</t>
        </is>
      </c>
      <c r="C348" s="3" t="n">
        <v>45912</v>
      </c>
      <c r="D348" s="2" t="inlineStr">
        <is>
          <t>Jonah Tong</t>
        </is>
      </c>
      <c r="E348" s="2" t="inlineStr">
        <is>
          <t>Win</t>
        </is>
      </c>
      <c r="F348" s="2" t="n">
        <v>0.5555555555555556</v>
      </c>
      <c r="G348" s="6" t="n">
        <v>0.1594288508378529</v>
      </c>
      <c r="H348" s="7" t="n">
        <v>100</v>
      </c>
      <c r="I348" s="7" t="n">
        <v>55.55555555555556</v>
      </c>
      <c r="J348" s="7" t="n">
        <v>10397.48290229487</v>
      </c>
      <c r="K348" s="7" t="n">
        <v>12267.8788782997</v>
      </c>
      <c r="L348" s="7" t="n">
        <v>-1870.395976004835</v>
      </c>
      <c r="M348" s="6" t="n">
        <v>-0.1524628662020232</v>
      </c>
      <c r="N348" s="7" t="n">
        <v>101.7741279990083</v>
      </c>
      <c r="O348" s="7" t="n">
        <v>56.54118222167126</v>
      </c>
      <c r="P348" s="7" t="n">
        <v>10233.9539821225</v>
      </c>
      <c r="Q348" s="7" t="n">
        <v>12421.15330293068</v>
      </c>
      <c r="R348" s="7" t="n">
        <v>-2187.199320808188</v>
      </c>
      <c r="S348" s="6" t="n">
        <v>-0.1760866537483386</v>
      </c>
      <c r="T348" s="7" t="n">
        <v>376.4390175310217</v>
      </c>
      <c r="U348" s="7" t="n">
        <v>209.1327875172343</v>
      </c>
      <c r="V348" s="7" t="n">
        <v>9653.822768099955</v>
      </c>
      <c r="W348" s="7" t="n">
        <v>24768.40123332177</v>
      </c>
      <c r="X348" s="7" t="n">
        <v>-15114.57846522182</v>
      </c>
      <c r="Y348" s="6" t="n">
        <v>-0.6102363379388275</v>
      </c>
      <c r="Z348" s="7" t="n">
        <v>320.9502421700122</v>
      </c>
      <c r="AA348" s="7" t="n">
        <v>178.3056900944512</v>
      </c>
      <c r="AB348" s="7" t="n">
        <v>4204.556152081843</v>
      </c>
      <c r="AC348" s="7" t="n">
        <v>41497.28076229156</v>
      </c>
      <c r="AD348" s="7" t="n">
        <v>-37292.72461020971</v>
      </c>
      <c r="AE348" s="6" t="n">
        <v>-0.8986787549727232</v>
      </c>
    </row>
    <row r="349">
      <c r="A349" s="2" t="n">
        <v>340</v>
      </c>
      <c r="B349" s="2" t="inlineStr">
        <is>
          <t>KPROP-00340</t>
        </is>
      </c>
      <c r="C349" s="3" t="n">
        <v>45912</v>
      </c>
      <c r="D349" s="2" t="inlineStr">
        <is>
          <t>Matthew Boyd</t>
        </is>
      </c>
      <c r="E349" s="2" t="inlineStr">
        <is>
          <t>Win</t>
        </is>
      </c>
      <c r="F349" s="2" t="n">
        <v>1.17</v>
      </c>
      <c r="G349" s="6" t="n">
        <v>0.313276774088322</v>
      </c>
      <c r="H349" s="7" t="n">
        <v>100</v>
      </c>
      <c r="I349" s="7" t="n">
        <v>117</v>
      </c>
      <c r="J349" s="7" t="n">
        <v>10514.48290229487</v>
      </c>
      <c r="K349" s="7" t="n">
        <v>12267.8788782997</v>
      </c>
      <c r="L349" s="7" t="n">
        <v>-1753.395976004835</v>
      </c>
      <c r="M349" s="6" t="n">
        <v>-0.1429257651953482</v>
      </c>
      <c r="N349" s="7" t="n">
        <v>102.339539821225</v>
      </c>
      <c r="O349" s="7" t="n">
        <v>119.7372615908332</v>
      </c>
      <c r="P349" s="7" t="n">
        <v>10353.69124371333</v>
      </c>
      <c r="Q349" s="7" t="n">
        <v>12421.15330293068</v>
      </c>
      <c r="R349" s="7" t="n">
        <v>-2067.462059217354</v>
      </c>
      <c r="S349" s="6" t="n">
        <v>-0.1664468675971941</v>
      </c>
      <c r="T349" s="7" t="n">
        <v>756.0796136026872</v>
      </c>
      <c r="U349" s="7" t="n">
        <v>884.6131479151441</v>
      </c>
      <c r="V349" s="7" t="n">
        <v>10538.4359160151</v>
      </c>
      <c r="W349" s="7" t="n">
        <v>24768.40123332177</v>
      </c>
      <c r="X349" s="7" t="n">
        <v>-14229.96531730667</v>
      </c>
      <c r="Y349" s="6" t="n">
        <v>-0.5745209463969203</v>
      </c>
      <c r="Z349" s="7" t="n">
        <v>658.594893898704</v>
      </c>
      <c r="AA349" s="7" t="n">
        <v>770.5560258614836</v>
      </c>
      <c r="AB349" s="7" t="n">
        <v>4975.112177943326</v>
      </c>
      <c r="AC349" s="7" t="n">
        <v>41497.28076229156</v>
      </c>
      <c r="AD349" s="7" t="n">
        <v>-36522.16858434823</v>
      </c>
      <c r="AE349" s="6" t="n">
        <v>-0.8801099231913</v>
      </c>
    </row>
    <row r="350">
      <c r="A350" s="2" t="n">
        <v>341</v>
      </c>
      <c r="B350" s="2" t="inlineStr">
        <is>
          <t>KPROP-00341</t>
        </is>
      </c>
      <c r="C350" s="3" t="n">
        <v>45912</v>
      </c>
      <c r="D350" s="2" t="inlineStr">
        <is>
          <t>Matthew Boyd</t>
        </is>
      </c>
      <c r="E350" s="2" t="inlineStr">
        <is>
          <t>Win</t>
        </is>
      </c>
      <c r="F350" s="2" t="n">
        <v>0.5649717514124295</v>
      </c>
      <c r="G350" s="6" t="n">
        <v>0.372803640216576</v>
      </c>
      <c r="H350" s="7" t="n">
        <v>100</v>
      </c>
      <c r="I350" s="7" t="n">
        <v>56.49717514124295</v>
      </c>
      <c r="J350" s="7" t="n">
        <v>10570.98007743611</v>
      </c>
      <c r="K350" s="7" t="n">
        <v>12267.8788782997</v>
      </c>
      <c r="L350" s="7" t="n">
        <v>-1696.898800863592</v>
      </c>
      <c r="M350" s="6" t="n">
        <v>-0.1383204723242897</v>
      </c>
      <c r="N350" s="7" t="n">
        <v>103.5369124371333</v>
      </c>
      <c r="O350" s="7" t="n">
        <v>58.49543075544256</v>
      </c>
      <c r="P350" s="7" t="n">
        <v>10412.18667446877</v>
      </c>
      <c r="Q350" s="7" t="n">
        <v>12421.15330293068</v>
      </c>
      <c r="R350" s="7" t="n">
        <v>-2008.966628461912</v>
      </c>
      <c r="S350" s="6" t="n">
        <v>-0.1617375278661049</v>
      </c>
      <c r="T350" s="7" t="n">
        <v>982.191817919884</v>
      </c>
      <c r="U350" s="7" t="n">
        <v>554.9106315931549</v>
      </c>
      <c r="V350" s="7" t="n">
        <v>11093.34654760825</v>
      </c>
      <c r="W350" s="7" t="n">
        <v>24768.40123332177</v>
      </c>
      <c r="X350" s="7" t="n">
        <v>-13675.05468571352</v>
      </c>
      <c r="Y350" s="6" t="n">
        <v>-0.5521169718179468</v>
      </c>
      <c r="Z350" s="7" t="n">
        <v>927.3699652115448</v>
      </c>
      <c r="AA350" s="7" t="n">
        <v>523.9378334528503</v>
      </c>
      <c r="AB350" s="7" t="n">
        <v>5499.050011396176</v>
      </c>
      <c r="AC350" s="7" t="n">
        <v>41497.28076229156</v>
      </c>
      <c r="AD350" s="7" t="n">
        <v>-35998.23075089538</v>
      </c>
      <c r="AE350" s="6" t="n">
        <v>-0.8674840878635801</v>
      </c>
    </row>
    <row r="351">
      <c r="A351" s="2" t="n">
        <v>342</v>
      </c>
      <c r="B351" s="2" t="inlineStr">
        <is>
          <t>KPROP-00342</t>
        </is>
      </c>
      <c r="C351" s="3" t="n">
        <v>45912</v>
      </c>
      <c r="D351" s="2" t="inlineStr">
        <is>
          <t>Tarik Skubal</t>
        </is>
      </c>
      <c r="E351" s="2" t="inlineStr">
        <is>
          <t>Win</t>
        </is>
      </c>
      <c r="F351" s="2" t="n">
        <v>0.9803921568627452</v>
      </c>
      <c r="G351" s="6" t="n">
        <v>0.1876361365986506</v>
      </c>
      <c r="H351" s="7" t="n">
        <v>100</v>
      </c>
      <c r="I351" s="7" t="n">
        <v>98.03921568627452</v>
      </c>
      <c r="J351" s="7" t="n">
        <v>10669.01929312239</v>
      </c>
      <c r="K351" s="7" t="n">
        <v>12267.8788782997</v>
      </c>
      <c r="L351" s="7" t="n">
        <v>-1598.859585177317</v>
      </c>
      <c r="M351" s="6" t="n">
        <v>-0.1303289346950999</v>
      </c>
      <c r="N351" s="7" t="n">
        <v>104.1218667446877</v>
      </c>
      <c r="O351" s="7" t="n">
        <v>102.0802615143997</v>
      </c>
      <c r="P351" s="7" t="n">
        <v>10514.26693598317</v>
      </c>
      <c r="Q351" s="7" t="n">
        <v>12421.15330293068</v>
      </c>
      <c r="R351" s="7" t="n">
        <v>-1906.886366947512</v>
      </c>
      <c r="S351" s="6" t="n">
        <v>-0.1535192683353804</v>
      </c>
      <c r="T351" s="7" t="n">
        <v>520.3781720357978</v>
      </c>
      <c r="U351" s="7" t="n">
        <v>510.1746784664684</v>
      </c>
      <c r="V351" s="7" t="n">
        <v>11603.52122607472</v>
      </c>
      <c r="W351" s="7" t="n">
        <v>24768.40123332177</v>
      </c>
      <c r="X351" s="7" t="n">
        <v>-13164.88000724705</v>
      </c>
      <c r="Y351" s="6" t="n">
        <v>-0.5315191676375094</v>
      </c>
      <c r="Z351" s="7" t="n">
        <v>515.910249550572</v>
      </c>
      <c r="AA351" s="7" t="n">
        <v>505.7943623044824</v>
      </c>
      <c r="AB351" s="7" t="n">
        <v>6004.844373700658</v>
      </c>
      <c r="AC351" s="7" t="n">
        <v>41497.28076229156</v>
      </c>
      <c r="AD351" s="7" t="n">
        <v>-35492.4363885909</v>
      </c>
      <c r="AE351" s="6" t="n">
        <v>-0.8552954732600878</v>
      </c>
    </row>
    <row r="352">
      <c r="A352" s="2" t="n">
        <v>343</v>
      </c>
      <c r="B352" s="2" t="inlineStr">
        <is>
          <t>KPROP-00343</t>
        </is>
      </c>
      <c r="C352" s="3" t="n">
        <v>45913</v>
      </c>
      <c r="D352" s="2" t="inlineStr">
        <is>
          <t>Charlie Morton</t>
        </is>
      </c>
      <c r="E352" s="2" t="inlineStr">
        <is>
          <t>Win</t>
        </is>
      </c>
      <c r="F352" s="2" t="n">
        <v>0.9090909090909092</v>
      </c>
      <c r="G352" s="6" t="n">
        <v>0.3394347778729735</v>
      </c>
      <c r="H352" s="7" t="n">
        <v>100</v>
      </c>
      <c r="I352" s="7" t="n">
        <v>90.90909090909092</v>
      </c>
      <c r="J352" s="7" t="n">
        <v>10759.92838403148</v>
      </c>
      <c r="K352" s="7" t="n">
        <v>12267.8788782997</v>
      </c>
      <c r="L352" s="7" t="n">
        <v>-1507.950494268227</v>
      </c>
      <c r="M352" s="6" t="n">
        <v>-0.1229185998025785</v>
      </c>
      <c r="N352" s="7" t="n">
        <v>105.1426693598317</v>
      </c>
      <c r="O352" s="7" t="n">
        <v>95.5842448725743</v>
      </c>
      <c r="P352" s="7" t="n">
        <v>10609.85118085575</v>
      </c>
      <c r="Q352" s="7" t="n">
        <v>12421.15330293068</v>
      </c>
      <c r="R352" s="7" t="n">
        <v>-1811.302122074938</v>
      </c>
      <c r="S352" s="6" t="n">
        <v>-0.1458239889566111</v>
      </c>
      <c r="T352" s="7" t="n">
        <v>984.6596624792517</v>
      </c>
      <c r="U352" s="7" t="n">
        <v>895.1451477084107</v>
      </c>
      <c r="V352" s="7" t="n">
        <v>12498.66637378313</v>
      </c>
      <c r="W352" s="7" t="n">
        <v>24768.40123332177</v>
      </c>
      <c r="X352" s="7" t="n">
        <v>-12269.73485953864</v>
      </c>
      <c r="Y352" s="6" t="n">
        <v>-0.4953785568941668</v>
      </c>
      <c r="Z352" s="7" t="n">
        <v>1019.126508074429</v>
      </c>
      <c r="AA352" s="7" t="n">
        <v>926.4786437040262</v>
      </c>
      <c r="AB352" s="7" t="n">
        <v>6931.323017404685</v>
      </c>
      <c r="AC352" s="7" t="n">
        <v>41497.28076229156</v>
      </c>
      <c r="AD352" s="7" t="n">
        <v>-34565.95774488687</v>
      </c>
      <c r="AE352" s="6" t="n">
        <v>-0.8329692237640989</v>
      </c>
    </row>
    <row r="353">
      <c r="A353" s="2" t="n">
        <v>344</v>
      </c>
      <c r="B353" s="2" t="inlineStr">
        <is>
          <t>KPROP-00344</t>
        </is>
      </c>
      <c r="C353" s="3" t="n">
        <v>45913</v>
      </c>
      <c r="D353" s="2" t="inlineStr">
        <is>
          <t>Joe Ryan</t>
        </is>
      </c>
      <c r="E353" s="2" t="inlineStr">
        <is>
          <t>Win</t>
        </is>
      </c>
      <c r="F353" s="2" t="n">
        <v>1.2</v>
      </c>
      <c r="G353" s="6" t="n">
        <v>0.1060103836305044</v>
      </c>
      <c r="H353" s="7" t="n">
        <v>100</v>
      </c>
      <c r="I353" s="7" t="n">
        <v>120</v>
      </c>
      <c r="J353" s="7" t="n">
        <v>10879.92838403148</v>
      </c>
      <c r="K353" s="7" t="n">
        <v>12267.8788782997</v>
      </c>
      <c r="L353" s="7" t="n">
        <v>-1387.950494268227</v>
      </c>
      <c r="M353" s="6" t="n">
        <v>-0.1131369577444502</v>
      </c>
      <c r="N353" s="7" t="n">
        <v>106.0985118085575</v>
      </c>
      <c r="O353" s="7" t="n">
        <v>127.318214170269</v>
      </c>
      <c r="P353" s="7" t="n">
        <v>10737.16939502602</v>
      </c>
      <c r="Q353" s="7" t="n">
        <v>12421.15330293068</v>
      </c>
      <c r="R353" s="7" t="n">
        <v>-1683.983907904669</v>
      </c>
      <c r="S353" s="6" t="n">
        <v>-0.1355738768240904</v>
      </c>
      <c r="T353" s="7" t="n">
        <v>331.2471042886087</v>
      </c>
      <c r="U353" s="7" t="n">
        <v>397.4965251463306</v>
      </c>
      <c r="V353" s="7" t="n">
        <v>12896.16289892946</v>
      </c>
      <c r="W353" s="7" t="n">
        <v>24768.40123332177</v>
      </c>
      <c r="X353" s="7" t="n">
        <v>-11872.23833439231</v>
      </c>
      <c r="Y353" s="6" t="n">
        <v>-0.4793300230626183</v>
      </c>
      <c r="Z353" s="7" t="n">
        <v>367.3961060710079</v>
      </c>
      <c r="AA353" s="7" t="n">
        <v>440.8753272852096</v>
      </c>
      <c r="AB353" s="7" t="n">
        <v>7372.198344689894</v>
      </c>
      <c r="AC353" s="7" t="n">
        <v>41497.28076229156</v>
      </c>
      <c r="AD353" s="7" t="n">
        <v>-34125.08241760166</v>
      </c>
      <c r="AE353" s="6" t="n">
        <v>-0.8223450257639776</v>
      </c>
    </row>
    <row r="354">
      <c r="A354" s="2" t="n">
        <v>345</v>
      </c>
      <c r="B354" s="2" t="inlineStr">
        <is>
          <t>KPROP-00345</t>
        </is>
      </c>
      <c r="C354" s="3" t="n">
        <v>45913</v>
      </c>
      <c r="D354" s="2" t="inlineStr">
        <is>
          <t>Joe Ryan</t>
        </is>
      </c>
      <c r="E354" s="2" t="inlineStr">
        <is>
          <t>Win</t>
        </is>
      </c>
      <c r="F354" s="2" t="n">
        <v>0.625</v>
      </c>
      <c r="G354" s="6" t="n">
        <v>0.1439035694357861</v>
      </c>
      <c r="H354" s="7" t="n">
        <v>100</v>
      </c>
      <c r="I354" s="7" t="n">
        <v>62.5</v>
      </c>
      <c r="J354" s="7" t="n">
        <v>10942.42838403148</v>
      </c>
      <c r="K354" s="7" t="n">
        <v>12267.8788782997</v>
      </c>
      <c r="L354" s="7" t="n">
        <v>-1325.450494268227</v>
      </c>
      <c r="M354" s="6" t="n">
        <v>-0.1080423525058417</v>
      </c>
      <c r="N354" s="7" t="n">
        <v>107.3716939502602</v>
      </c>
      <c r="O354" s="7" t="n">
        <v>67.10730871891261</v>
      </c>
      <c r="P354" s="7" t="n">
        <v>10804.27670374493</v>
      </c>
      <c r="Q354" s="7" t="n">
        <v>12421.15330293068</v>
      </c>
      <c r="R354" s="7" t="n">
        <v>-1616.876599185756</v>
      </c>
      <c r="S354" s="6" t="n">
        <v>-0.130171213554241</v>
      </c>
      <c r="T354" s="7" t="n">
        <v>463.9509682953263</v>
      </c>
      <c r="U354" s="7" t="n">
        <v>289.9693551845789</v>
      </c>
      <c r="V354" s="7" t="n">
        <v>13186.13225411404</v>
      </c>
      <c r="W354" s="7" t="n">
        <v>24768.40123332177</v>
      </c>
      <c r="X354" s="7" t="n">
        <v>-11582.26897920773</v>
      </c>
      <c r="Y354" s="6" t="n">
        <v>-0.4676227936595967</v>
      </c>
      <c r="Z354" s="7" t="n">
        <v>530.4428281947349</v>
      </c>
      <c r="AA354" s="7" t="n">
        <v>331.5267676217093</v>
      </c>
      <c r="AB354" s="7" t="n">
        <v>7703.725112311603</v>
      </c>
      <c r="AC354" s="7" t="n">
        <v>41497.28076229156</v>
      </c>
      <c r="AD354" s="7" t="n">
        <v>-33793.55564997996</v>
      </c>
      <c r="AE354" s="6" t="n">
        <v>-0.8143559054762944</v>
      </c>
    </row>
    <row r="355">
      <c r="A355" s="2" t="n">
        <v>346</v>
      </c>
      <c r="B355" s="2" t="inlineStr">
        <is>
          <t>KPROP-00346</t>
        </is>
      </c>
      <c r="C355" s="3" t="n">
        <v>45913</v>
      </c>
      <c r="D355" s="2" t="inlineStr">
        <is>
          <t>Max Scherzer</t>
        </is>
      </c>
      <c r="E355" s="2" t="inlineStr">
        <is>
          <t>Win</t>
        </is>
      </c>
      <c r="F355" s="2" t="n">
        <v>0.8403361344537816</v>
      </c>
      <c r="G355" s="6" t="n">
        <v>0.1585720400726648</v>
      </c>
      <c r="H355" s="7" t="n">
        <v>100</v>
      </c>
      <c r="I355" s="7" t="n">
        <v>84.03361344537817</v>
      </c>
      <c r="J355" s="7" t="n">
        <v>11026.46199747685</v>
      </c>
      <c r="K355" s="7" t="n">
        <v>12267.8788782997</v>
      </c>
      <c r="L355" s="7" t="n">
        <v>-1241.41688082285</v>
      </c>
      <c r="M355" s="6" t="n">
        <v>-0.1011924631093934</v>
      </c>
      <c r="N355" s="7" t="n">
        <v>108.0427670374493</v>
      </c>
      <c r="O355" s="7" t="n">
        <v>90.79224120794059</v>
      </c>
      <c r="P355" s="7" t="n">
        <v>10895.06894495287</v>
      </c>
      <c r="Q355" s="7" t="n">
        <v>12421.15330293068</v>
      </c>
      <c r="R355" s="7" t="n">
        <v>-1526.084357977816</v>
      </c>
      <c r="S355" s="6" t="n">
        <v>-0.1228617279538565</v>
      </c>
      <c r="T355" s="7" t="n">
        <v>522.7379730507076</v>
      </c>
      <c r="U355" s="7" t="n">
        <v>439.2756076056367</v>
      </c>
      <c r="V355" s="7" t="n">
        <v>13625.40786171968</v>
      </c>
      <c r="W355" s="7" t="n">
        <v>24768.40123332177</v>
      </c>
      <c r="X355" s="7" t="n">
        <v>-11142.99337160209</v>
      </c>
      <c r="Y355" s="6" t="n">
        <v>-0.4498874701937178</v>
      </c>
      <c r="Z355" s="7" t="n">
        <v>610.7977036091349</v>
      </c>
      <c r="AA355" s="7" t="n">
        <v>513.2753811841471</v>
      </c>
      <c r="AB355" s="7" t="n">
        <v>8217.000493495751</v>
      </c>
      <c r="AC355" s="7" t="n">
        <v>41497.28076229156</v>
      </c>
      <c r="AD355" s="7" t="n">
        <v>-33280.2802687958</v>
      </c>
      <c r="AE355" s="6" t="n">
        <v>-0.8019870135451739</v>
      </c>
    </row>
    <row r="356">
      <c r="A356" s="2" t="n">
        <v>347</v>
      </c>
      <c r="B356" s="2" t="inlineStr">
        <is>
          <t>KPROP-00347</t>
        </is>
      </c>
      <c r="C356" s="3" t="n">
        <v>45913</v>
      </c>
      <c r="D356" s="2" t="inlineStr">
        <is>
          <t>Parker Messick</t>
        </is>
      </c>
      <c r="E356" s="2" t="inlineStr">
        <is>
          <t>Win</t>
        </is>
      </c>
      <c r="F356" s="2" t="n">
        <v>1.15</v>
      </c>
      <c r="G356" s="6" t="n">
        <v>0.1164379556221716</v>
      </c>
      <c r="H356" s="7" t="n">
        <v>100</v>
      </c>
      <c r="I356" s="7" t="n">
        <v>115</v>
      </c>
      <c r="J356" s="7" t="n">
        <v>11141.46199747685</v>
      </c>
      <c r="K356" s="7" t="n">
        <v>12267.8788782997</v>
      </c>
      <c r="L356" s="7" t="n">
        <v>-1126.41688082285</v>
      </c>
      <c r="M356" s="6" t="n">
        <v>-0.09181838947035383</v>
      </c>
      <c r="N356" s="7" t="n">
        <v>108.9506894495287</v>
      </c>
      <c r="O356" s="7" t="n">
        <v>125.293292866958</v>
      </c>
      <c r="P356" s="7" t="n">
        <v>11020.36223781983</v>
      </c>
      <c r="Q356" s="7" t="n">
        <v>12421.15330293068</v>
      </c>
      <c r="R356" s="7" t="n">
        <v>-1400.791065110858</v>
      </c>
      <c r="S356" s="6" t="n">
        <v>-0.1127746378253258</v>
      </c>
      <c r="T356" s="7" t="n">
        <v>396.6286589842261</v>
      </c>
      <c r="U356" s="7" t="n">
        <v>456.12295783186</v>
      </c>
      <c r="V356" s="7" t="n">
        <v>14081.53081955154</v>
      </c>
      <c r="W356" s="7" t="n">
        <v>24768.40123332177</v>
      </c>
      <c r="X356" s="7" t="n">
        <v>-10686.87041377023</v>
      </c>
      <c r="Y356" s="6" t="n">
        <v>-0.4314719514230422</v>
      </c>
      <c r="Z356" s="7" t="n">
        <v>478.3853694045102</v>
      </c>
      <c r="AA356" s="7" t="n">
        <v>550.1431748151866</v>
      </c>
      <c r="AB356" s="7" t="n">
        <v>8767.143668310937</v>
      </c>
      <c r="AC356" s="7" t="n">
        <v>41497.28076229156</v>
      </c>
      <c r="AD356" s="7" t="n">
        <v>-32730.13709398062</v>
      </c>
      <c r="AE356" s="6" t="n">
        <v>-0.7887296828307456</v>
      </c>
    </row>
    <row r="357">
      <c r="A357" s="2" t="n">
        <v>348</v>
      </c>
      <c r="B357" s="2" t="inlineStr">
        <is>
          <t>KPROP-00348</t>
        </is>
      </c>
      <c r="C357" s="3" t="n">
        <v>45914</v>
      </c>
      <c r="D357" s="2" t="inlineStr">
        <is>
          <t>Aaron Nola</t>
        </is>
      </c>
      <c r="E357" s="2" t="inlineStr">
        <is>
          <t>Loss</t>
        </is>
      </c>
      <c r="F357" s="2" t="n">
        <v>-1</v>
      </c>
      <c r="G357" s="6" t="n">
        <v>0.1196857570789078</v>
      </c>
      <c r="H357" s="7" t="n">
        <v>100</v>
      </c>
      <c r="I357" s="7" t="n">
        <v>-100</v>
      </c>
      <c r="J357" s="7" t="n">
        <v>11041.46199747685</v>
      </c>
      <c r="K357" s="7" t="n">
        <v>12267.8788782997</v>
      </c>
      <c r="L357" s="7" t="n">
        <v>-1226.41688082285</v>
      </c>
      <c r="M357" s="6" t="n">
        <v>-0.0999697578521274</v>
      </c>
      <c r="N357" s="7" t="n">
        <v>110.2036223781983</v>
      </c>
      <c r="O357" s="7" t="n">
        <v>-110.2036223781983</v>
      </c>
      <c r="P357" s="7" t="n">
        <v>10910.15861544163</v>
      </c>
      <c r="Q357" s="7" t="n">
        <v>12421.15330293068</v>
      </c>
      <c r="R357" s="7" t="n">
        <v>-1510.994687489056</v>
      </c>
      <c r="S357" s="6" t="n">
        <v>-0.1216468914470726</v>
      </c>
      <c r="T357" s="7" t="n">
        <v>421.3396692419998</v>
      </c>
      <c r="U357" s="7" t="n">
        <v>-421.3396692419998</v>
      </c>
      <c r="V357" s="7" t="n">
        <v>13660.19115030954</v>
      </c>
      <c r="W357" s="7" t="n">
        <v>24768.40123332177</v>
      </c>
      <c r="X357" s="7" t="n">
        <v>-11108.21008301223</v>
      </c>
      <c r="Y357" s="6" t="n">
        <v>-0.448483128901674</v>
      </c>
      <c r="Z357" s="7" t="n">
        <v>524.6511136806738</v>
      </c>
      <c r="AA357" s="7" t="n">
        <v>-524.6511136806738</v>
      </c>
      <c r="AB357" s="7" t="n">
        <v>8242.492554630264</v>
      </c>
      <c r="AC357" s="7" t="n">
        <v>41497.28076229156</v>
      </c>
      <c r="AD357" s="7" t="n">
        <v>-33254.7882076613</v>
      </c>
      <c r="AE357" s="6" t="n">
        <v>-0.8013727067600972</v>
      </c>
    </row>
    <row r="358">
      <c r="A358" s="2" t="n">
        <v>349</v>
      </c>
      <c r="B358" s="2" t="inlineStr">
        <is>
          <t>KPROP-00349</t>
        </is>
      </c>
      <c r="C358" s="3" t="n">
        <v>45914</v>
      </c>
      <c r="D358" s="2" t="inlineStr">
        <is>
          <t>Aaron Nola</t>
        </is>
      </c>
      <c r="E358" s="2" t="inlineStr">
        <is>
          <t>Win</t>
        </is>
      </c>
      <c r="F358" s="2" t="n">
        <v>0.6849315068493151</v>
      </c>
      <c r="G358" s="6" t="n">
        <v>0.1690604294496376</v>
      </c>
      <c r="H358" s="7" t="n">
        <v>100</v>
      </c>
      <c r="I358" s="7" t="n">
        <v>68.49315068493152</v>
      </c>
      <c r="J358" s="7" t="n">
        <v>11109.95514816179</v>
      </c>
      <c r="K358" s="7" t="n">
        <v>12267.8788782997</v>
      </c>
      <c r="L358" s="7" t="n">
        <v>-1157.923730137918</v>
      </c>
      <c r="M358" s="6" t="n">
        <v>-0.09438662882351535</v>
      </c>
      <c r="N358" s="7" t="n">
        <v>109.1015861544163</v>
      </c>
      <c r="O358" s="7" t="n">
        <v>74.72711380439473</v>
      </c>
      <c r="P358" s="7" t="n">
        <v>10984.88572924602</v>
      </c>
      <c r="Q358" s="7" t="n">
        <v>12421.15330293068</v>
      </c>
      <c r="R358" s="7" t="n">
        <v>-1436.267573684661</v>
      </c>
      <c r="S358" s="6" t="n">
        <v>-0.1156307742652032</v>
      </c>
      <c r="T358" s="7" t="n">
        <v>577.3494455588676</v>
      </c>
      <c r="U358" s="7" t="n">
        <v>395.4448257252519</v>
      </c>
      <c r="V358" s="7" t="n">
        <v>14055.63597603479</v>
      </c>
      <c r="W358" s="7" t="n">
        <v>24768.40123332177</v>
      </c>
      <c r="X358" s="7" t="n">
        <v>-10712.76525728698</v>
      </c>
      <c r="Y358" s="6" t="n">
        <v>-0.4325174304296529</v>
      </c>
      <c r="Z358" s="7" t="n">
        <v>696.7396655106165</v>
      </c>
      <c r="AA358" s="7" t="n">
        <v>477.2189489798744</v>
      </c>
      <c r="AB358" s="7" t="n">
        <v>8719.711503610139</v>
      </c>
      <c r="AC358" s="7" t="n">
        <v>41497.28076229156</v>
      </c>
      <c r="AD358" s="7" t="n">
        <v>-32777.56925868142</v>
      </c>
      <c r="AE358" s="6" t="n">
        <v>-0.7898727014533995</v>
      </c>
    </row>
    <row r="359">
      <c r="A359" s="2" t="n">
        <v>350</v>
      </c>
      <c r="B359" s="2" t="inlineStr">
        <is>
          <t>KPROP-00350</t>
        </is>
      </c>
      <c r="C359" s="3" t="n">
        <v>45914</v>
      </c>
      <c r="D359" s="2" t="inlineStr">
        <is>
          <t>Bailey Ober</t>
        </is>
      </c>
      <c r="E359" s="2" t="inlineStr">
        <is>
          <t>Loss</t>
        </is>
      </c>
      <c r="F359" s="2" t="n">
        <v>-1</v>
      </c>
      <c r="G359" s="6" t="n">
        <v>0.1710920307753239</v>
      </c>
      <c r="H359" s="7" t="n">
        <v>100</v>
      </c>
      <c r="I359" s="7" t="n">
        <v>-100</v>
      </c>
      <c r="J359" s="7" t="n">
        <v>11009.95514816179</v>
      </c>
      <c r="K359" s="7" t="n">
        <v>12267.8788782997</v>
      </c>
      <c r="L359" s="7" t="n">
        <v>-1257.923730137918</v>
      </c>
      <c r="M359" s="6" t="n">
        <v>-0.1025379972052889</v>
      </c>
      <c r="N359" s="7" t="n">
        <v>109.8488572924602</v>
      </c>
      <c r="O359" s="7" t="n">
        <v>-109.8488572924602</v>
      </c>
      <c r="P359" s="7" t="n">
        <v>10875.03687195356</v>
      </c>
      <c r="Q359" s="7" t="n">
        <v>12421.15330293068</v>
      </c>
      <c r="R359" s="7" t="n">
        <v>-1546.116430977121</v>
      </c>
      <c r="S359" s="6" t="n">
        <v>-0.1244744665225511</v>
      </c>
      <c r="T359" s="7" t="n">
        <v>601.2018257446235</v>
      </c>
      <c r="U359" s="7" t="n">
        <v>-601.2018257446235</v>
      </c>
      <c r="V359" s="7" t="n">
        <v>13454.43415029017</v>
      </c>
      <c r="W359" s="7" t="n">
        <v>24768.40123332177</v>
      </c>
      <c r="X359" s="7" t="n">
        <v>-11313.9670830316</v>
      </c>
      <c r="Y359" s="6" t="n">
        <v>-0.4567903667440003</v>
      </c>
      <c r="Z359" s="7" t="n">
        <v>745.9365744638056</v>
      </c>
      <c r="AA359" s="7" t="n">
        <v>-745.9365744638056</v>
      </c>
      <c r="AB359" s="7" t="n">
        <v>7973.774929146333</v>
      </c>
      <c r="AC359" s="7" t="n">
        <v>41497.28076229156</v>
      </c>
      <c r="AD359" s="7" t="n">
        <v>-33523.50583314522</v>
      </c>
      <c r="AE359" s="6" t="n">
        <v>-0.8078482545682348</v>
      </c>
    </row>
    <row r="360">
      <c r="A360" s="2" t="n">
        <v>351</v>
      </c>
      <c r="B360" s="2" t="inlineStr">
        <is>
          <t>KPROP-00351</t>
        </is>
      </c>
      <c r="C360" s="3" t="n">
        <v>45914</v>
      </c>
      <c r="D360" s="2" t="inlineStr">
        <is>
          <t>Garrett Crochet</t>
        </is>
      </c>
      <c r="E360" s="2" t="inlineStr">
        <is>
          <t>Loss</t>
        </is>
      </c>
      <c r="F360" s="2" t="n">
        <v>-1</v>
      </c>
      <c r="G360" s="6" t="n">
        <v>0.1737225176918663</v>
      </c>
      <c r="H360" s="7" t="n">
        <v>100</v>
      </c>
      <c r="I360" s="7" t="n">
        <v>-100</v>
      </c>
      <c r="J360" s="7" t="n">
        <v>10909.95514816179</v>
      </c>
      <c r="K360" s="7" t="n">
        <v>12267.8788782997</v>
      </c>
      <c r="L360" s="7" t="n">
        <v>-1357.923730137918</v>
      </c>
      <c r="M360" s="6" t="n">
        <v>-0.1106893655870625</v>
      </c>
      <c r="N360" s="7" t="n">
        <v>108.7503687195356</v>
      </c>
      <c r="O360" s="7" t="n">
        <v>-108.7503687195356</v>
      </c>
      <c r="P360" s="7" t="n">
        <v>10766.28650323403</v>
      </c>
      <c r="Q360" s="7" t="n">
        <v>12421.15330293068</v>
      </c>
      <c r="R360" s="7" t="n">
        <v>-1654.866799696656</v>
      </c>
      <c r="S360" s="6" t="n">
        <v>-0.1332297218573256</v>
      </c>
      <c r="T360" s="7" t="n">
        <v>584.3345436769583</v>
      </c>
      <c r="U360" s="7" t="n">
        <v>-584.3345436769583</v>
      </c>
      <c r="V360" s="7" t="n">
        <v>12870.09960661321</v>
      </c>
      <c r="W360" s="7" t="n">
        <v>24768.40123332177</v>
      </c>
      <c r="X360" s="7" t="n">
        <v>-11898.30162670856</v>
      </c>
      <c r="Y360" s="6" t="n">
        <v>-0.4803823030249272</v>
      </c>
      <c r="Z360" s="7" t="n">
        <v>692.6121280997917</v>
      </c>
      <c r="AA360" s="7" t="n">
        <v>-692.6121280997917</v>
      </c>
      <c r="AB360" s="7" t="n">
        <v>7281.162801046542</v>
      </c>
      <c r="AC360" s="7" t="n">
        <v>41497.28076229156</v>
      </c>
      <c r="AD360" s="7" t="n">
        <v>-34216.11796124501</v>
      </c>
      <c r="AE360" s="6" t="n">
        <v>-0.8245387970658812</v>
      </c>
    </row>
    <row r="361">
      <c r="A361" s="2" t="n">
        <v>352</v>
      </c>
      <c r="B361" s="2" t="inlineStr">
        <is>
          <t>KPROP-00352</t>
        </is>
      </c>
      <c r="C361" s="3" t="n">
        <v>45914</v>
      </c>
      <c r="D361" s="2" t="inlineStr">
        <is>
          <t>Garrett Crochet</t>
        </is>
      </c>
      <c r="E361" s="2" t="inlineStr">
        <is>
          <t>Loss</t>
        </is>
      </c>
      <c r="F361" s="2" t="n">
        <v>-1</v>
      </c>
      <c r="G361" s="6" t="n">
        <v>0.2372924010777656</v>
      </c>
      <c r="H361" s="7" t="n">
        <v>100</v>
      </c>
      <c r="I361" s="7" t="n">
        <v>-100</v>
      </c>
      <c r="J361" s="7" t="n">
        <v>10809.95514816179</v>
      </c>
      <c r="K361" s="7" t="n">
        <v>12267.8788782997</v>
      </c>
      <c r="L361" s="7" t="n">
        <v>-1457.923730137918</v>
      </c>
      <c r="M361" s="6" t="n">
        <v>-0.1188407339688361</v>
      </c>
      <c r="N361" s="7" t="n">
        <v>107.6628650323403</v>
      </c>
      <c r="O361" s="7" t="n">
        <v>-107.6628650323403</v>
      </c>
      <c r="P361" s="7" t="n">
        <v>10658.62363820169</v>
      </c>
      <c r="Q361" s="7" t="n">
        <v>12421.15330293068</v>
      </c>
      <c r="R361" s="7" t="n">
        <v>-1762.529664728996</v>
      </c>
      <c r="S361" s="6" t="n">
        <v>-0.1418974246387523</v>
      </c>
      <c r="T361" s="7" t="n">
        <v>763.494209440814</v>
      </c>
      <c r="U361" s="7" t="n">
        <v>-763.494209440814</v>
      </c>
      <c r="V361" s="7" t="n">
        <v>12106.6053971724</v>
      </c>
      <c r="W361" s="7" t="n">
        <v>24768.40123332177</v>
      </c>
      <c r="X361" s="7" t="n">
        <v>-12661.79583614937</v>
      </c>
      <c r="Y361" s="6" t="n">
        <v>-0.5112076357643557</v>
      </c>
      <c r="Z361" s="7" t="n">
        <v>863.8823018492217</v>
      </c>
      <c r="AA361" s="7" t="n">
        <v>-863.8823018492217</v>
      </c>
      <c r="AB361" s="7" t="n">
        <v>6417.280499197321</v>
      </c>
      <c r="AC361" s="7" t="n">
        <v>41497.28076229156</v>
      </c>
      <c r="AD361" s="7" t="n">
        <v>-35080.00026309423</v>
      </c>
      <c r="AE361" s="6" t="n">
        <v>-0.8453566021359962</v>
      </c>
    </row>
    <row r="362">
      <c r="A362" s="2" t="n">
        <v>353</v>
      </c>
      <c r="B362" s="2" t="inlineStr">
        <is>
          <t>KPROP-00353</t>
        </is>
      </c>
      <c r="C362" s="3" t="n">
        <v>45914</v>
      </c>
      <c r="D362" s="2" t="inlineStr">
        <is>
          <t>George Kirby</t>
        </is>
      </c>
      <c r="E362" s="2" t="inlineStr">
        <is>
          <t>Loss</t>
        </is>
      </c>
      <c r="F362" s="2" t="n">
        <v>-1</v>
      </c>
      <c r="G362" s="6" t="n">
        <v>0.1029170172374264</v>
      </c>
      <c r="H362" s="7" t="n">
        <v>100</v>
      </c>
      <c r="I362" s="7" t="n">
        <v>-100</v>
      </c>
      <c r="J362" s="7" t="n">
        <v>10709.95514816179</v>
      </c>
      <c r="K362" s="7" t="n">
        <v>12267.8788782997</v>
      </c>
      <c r="L362" s="7" t="n">
        <v>-1557.923730137918</v>
      </c>
      <c r="M362" s="6" t="n">
        <v>-0.1269921023506096</v>
      </c>
      <c r="N362" s="7" t="n">
        <v>106.5862363820169</v>
      </c>
      <c r="O362" s="7" t="n">
        <v>-106.5862363820169</v>
      </c>
      <c r="P362" s="7" t="n">
        <v>10552.03740181967</v>
      </c>
      <c r="Q362" s="7" t="n">
        <v>12421.15330293068</v>
      </c>
      <c r="R362" s="7" t="n">
        <v>-1869.115901111012</v>
      </c>
      <c r="S362" s="6" t="n">
        <v>-0.1504784503923647</v>
      </c>
      <c r="T362" s="7" t="n">
        <v>311.4939290868778</v>
      </c>
      <c r="U362" s="7" t="n">
        <v>-311.4939290868778</v>
      </c>
      <c r="V362" s="7" t="n">
        <v>11795.11146808552</v>
      </c>
      <c r="W362" s="7" t="n">
        <v>24768.40123332177</v>
      </c>
      <c r="X362" s="7" t="n">
        <v>-12973.28976523625</v>
      </c>
      <c r="Y362" s="6" t="n">
        <v>-0.5237838988082462</v>
      </c>
      <c r="Z362" s="7" t="n">
        <v>330.2236838766454</v>
      </c>
      <c r="AA362" s="7" t="n">
        <v>-330.2236838766454</v>
      </c>
      <c r="AB362" s="7" t="n">
        <v>6087.056815320675</v>
      </c>
      <c r="AC362" s="7" t="n">
        <v>41497.28076229156</v>
      </c>
      <c r="AD362" s="7" t="n">
        <v>-35410.22394697088</v>
      </c>
      <c r="AE362" s="6" t="n">
        <v>-0.8533143207578082</v>
      </c>
    </row>
    <row r="363">
      <c r="A363" s="2" t="n">
        <v>354</v>
      </c>
      <c r="B363" s="2" t="inlineStr">
        <is>
          <t>KPROP-00354</t>
        </is>
      </c>
      <c r="C363" s="3" t="n">
        <v>45914</v>
      </c>
      <c r="D363" s="2" t="inlineStr">
        <is>
          <t>George Kirby</t>
        </is>
      </c>
      <c r="E363" s="2" t="inlineStr">
        <is>
          <t>Loss</t>
        </is>
      </c>
      <c r="F363" s="2" t="n">
        <v>-1</v>
      </c>
      <c r="G363" s="6" t="n">
        <v>0.1378926740072478</v>
      </c>
      <c r="H363" s="7" t="n">
        <v>100</v>
      </c>
      <c r="I363" s="7" t="n">
        <v>-100</v>
      </c>
      <c r="J363" s="7" t="n">
        <v>10609.95514816179</v>
      </c>
      <c r="K363" s="7" t="n">
        <v>12267.8788782997</v>
      </c>
      <c r="L363" s="7" t="n">
        <v>-1657.923730137918</v>
      </c>
      <c r="M363" s="6" t="n">
        <v>-0.1351434707323832</v>
      </c>
      <c r="N363" s="7" t="n">
        <v>105.5203740181967</v>
      </c>
      <c r="O363" s="7" t="n">
        <v>-105.5203740181967</v>
      </c>
      <c r="P363" s="7" t="n">
        <v>10446.51702780148</v>
      </c>
      <c r="Q363" s="7" t="n">
        <v>12421.15330293068</v>
      </c>
      <c r="R363" s="7" t="n">
        <v>-1974.636275129209</v>
      </c>
      <c r="S363" s="6" t="n">
        <v>-0.1589736658884411</v>
      </c>
      <c r="T363" s="7" t="n">
        <v>406.6148651369668</v>
      </c>
      <c r="U363" s="7" t="n">
        <v>-406.6148651369668</v>
      </c>
      <c r="V363" s="7" t="n">
        <v>11388.49660294855</v>
      </c>
      <c r="W363" s="7" t="n">
        <v>24768.40123332177</v>
      </c>
      <c r="X363" s="7" t="n">
        <v>-13379.90463037322</v>
      </c>
      <c r="Y363" s="6" t="n">
        <v>-0.5402005767079056</v>
      </c>
      <c r="Z363" s="7" t="n">
        <v>419.680270549305</v>
      </c>
      <c r="AA363" s="7" t="n">
        <v>-419.680270549305</v>
      </c>
      <c r="AB363" s="7" t="n">
        <v>5667.37654477137</v>
      </c>
      <c r="AC363" s="7" t="n">
        <v>41497.28076229156</v>
      </c>
      <c r="AD363" s="7" t="n">
        <v>-35829.90421752019</v>
      </c>
      <c r="AE363" s="6" t="n">
        <v>-0.8634277610324459</v>
      </c>
    </row>
    <row r="364">
      <c r="A364" s="2" t="n">
        <v>355</v>
      </c>
      <c r="B364" s="2" t="inlineStr">
        <is>
          <t>KPROP-00355</t>
        </is>
      </c>
      <c r="C364" s="3" t="n">
        <v>45914</v>
      </c>
      <c r="D364" s="2" t="inlineStr">
        <is>
          <t>Jose Quintana</t>
        </is>
      </c>
      <c r="E364" s="2" t="inlineStr">
        <is>
          <t>Win</t>
        </is>
      </c>
      <c r="F364" s="2" t="n">
        <v>0.9523809523809523</v>
      </c>
      <c r="G364" s="6" t="n">
        <v>0.135742474547593</v>
      </c>
      <c r="H364" s="7" t="n">
        <v>100</v>
      </c>
      <c r="I364" s="7" t="n">
        <v>95.23809523809523</v>
      </c>
      <c r="J364" s="7" t="n">
        <v>10705.19324339988</v>
      </c>
      <c r="K364" s="7" t="n">
        <v>12267.8788782997</v>
      </c>
      <c r="L364" s="7" t="n">
        <v>-1562.685634899823</v>
      </c>
      <c r="M364" s="6" t="n">
        <v>-0.1273802627497417</v>
      </c>
      <c r="N364" s="7" t="n">
        <v>104.4651702780148</v>
      </c>
      <c r="O364" s="7" t="n">
        <v>99.49063836001405</v>
      </c>
      <c r="P364" s="7" t="n">
        <v>10546.00766616149</v>
      </c>
      <c r="Q364" s="7" t="n">
        <v>12421.15330293068</v>
      </c>
      <c r="R364" s="7" t="n">
        <v>-1875.145636769195</v>
      </c>
      <c r="S364" s="6" t="n">
        <v>-0.1509638912778548</v>
      </c>
      <c r="T364" s="7" t="n">
        <v>386.4756775652733</v>
      </c>
      <c r="U364" s="7" t="n">
        <v>368.0720738716888</v>
      </c>
      <c r="V364" s="7" t="n">
        <v>11756.56867682024</v>
      </c>
      <c r="W364" s="7" t="n">
        <v>24768.40123332177</v>
      </c>
      <c r="X364" s="7" t="n">
        <v>-13011.83255650153</v>
      </c>
      <c r="Y364" s="6" t="n">
        <v>-0.5253400263476139</v>
      </c>
      <c r="Z364" s="7" t="n">
        <v>384.6518581901266</v>
      </c>
      <c r="AA364" s="7" t="n">
        <v>366.3351030382158</v>
      </c>
      <c r="AB364" s="7" t="n">
        <v>6033.711647809586</v>
      </c>
      <c r="AC364" s="7" t="n">
        <v>41497.28076229156</v>
      </c>
      <c r="AD364" s="7" t="n">
        <v>-35463.56911448197</v>
      </c>
      <c r="AE364" s="6" t="n">
        <v>-0.8545998307124645</v>
      </c>
    </row>
    <row r="365">
      <c r="A365" s="2" t="n">
        <v>356</v>
      </c>
      <c r="B365" s="2" t="inlineStr">
        <is>
          <t>KPROP-00356</t>
        </is>
      </c>
      <c r="C365" s="3" t="n">
        <v>45914</v>
      </c>
      <c r="D365" s="2" t="inlineStr">
        <is>
          <t>Nick Lodolo</t>
        </is>
      </c>
      <c r="E365" s="2" t="inlineStr">
        <is>
          <t>Win</t>
        </is>
      </c>
      <c r="F365" s="2" t="n">
        <v>1.15</v>
      </c>
      <c r="G365" s="6" t="n">
        <v>0.1539104467110873</v>
      </c>
      <c r="H365" s="7" t="n">
        <v>100</v>
      </c>
      <c r="I365" s="7" t="n">
        <v>115</v>
      </c>
      <c r="J365" s="7" t="n">
        <v>10820.19324339988</v>
      </c>
      <c r="K365" s="7" t="n">
        <v>12267.8788782997</v>
      </c>
      <c r="L365" s="7" t="n">
        <v>-1447.685634899823</v>
      </c>
      <c r="M365" s="6" t="n">
        <v>-0.1180061891107021</v>
      </c>
      <c r="N365" s="7" t="n">
        <v>105.4600766616149</v>
      </c>
      <c r="O365" s="7" t="n">
        <v>121.2790881608571</v>
      </c>
      <c r="P365" s="7" t="n">
        <v>10667.28675432235</v>
      </c>
      <c r="Q365" s="7" t="n">
        <v>12421.15330293068</v>
      </c>
      <c r="R365" s="7" t="n">
        <v>-1753.866548608337</v>
      </c>
      <c r="S365" s="6" t="n">
        <v>-0.1411999760275501</v>
      </c>
      <c r="T365" s="7" t="n">
        <v>452.3646842097448</v>
      </c>
      <c r="U365" s="7" t="n">
        <v>520.2193868412065</v>
      </c>
      <c r="V365" s="7" t="n">
        <v>12276.78806366145</v>
      </c>
      <c r="W365" s="7" t="n">
        <v>24768.40123332177</v>
      </c>
      <c r="X365" s="7" t="n">
        <v>-12491.61316966032</v>
      </c>
      <c r="Y365" s="6" t="n">
        <v>-0.5043366768806592</v>
      </c>
      <c r="Z365" s="7" t="n">
        <v>464.3256275201318</v>
      </c>
      <c r="AA365" s="7" t="n">
        <v>533.9744716481516</v>
      </c>
      <c r="AB365" s="7" t="n">
        <v>6567.686119457738</v>
      </c>
      <c r="AC365" s="7" t="n">
        <v>41497.28076229156</v>
      </c>
      <c r="AD365" s="7" t="n">
        <v>-34929.59464283382</v>
      </c>
      <c r="AE365" s="6" t="n">
        <v>-0.8417321328334899</v>
      </c>
    </row>
    <row r="366">
      <c r="A366" s="2" t="n">
        <v>357</v>
      </c>
      <c r="B366" s="2" t="inlineStr">
        <is>
          <t>KPROP-00357</t>
        </is>
      </c>
      <c r="C366" s="3" t="n">
        <v>45914</v>
      </c>
      <c r="D366" s="2" t="inlineStr">
        <is>
          <t>Nick Lodolo</t>
        </is>
      </c>
      <c r="E366" s="2" t="inlineStr">
        <is>
          <t>Win</t>
        </is>
      </c>
      <c r="F366" s="2" t="n">
        <v>0.5263157894736841</v>
      </c>
      <c r="G366" s="6" t="n">
        <v>0.1382592268947062</v>
      </c>
      <c r="H366" s="7" t="n">
        <v>100</v>
      </c>
      <c r="I366" s="7" t="n">
        <v>52.63157894736841</v>
      </c>
      <c r="J366" s="7" t="n">
        <v>10872.82482234725</v>
      </c>
      <c r="K366" s="7" t="n">
        <v>12267.8788782997</v>
      </c>
      <c r="L366" s="7" t="n">
        <v>-1395.054055952454</v>
      </c>
      <c r="M366" s="6" t="n">
        <v>-0.1137159952255581</v>
      </c>
      <c r="N366" s="7" t="n">
        <v>106.6728675432235</v>
      </c>
      <c r="O366" s="7" t="n">
        <v>56.14361449643339</v>
      </c>
      <c r="P366" s="7" t="n">
        <v>10723.43036881878</v>
      </c>
      <c r="Q366" s="7" t="n">
        <v>12421.15330293068</v>
      </c>
      <c r="R366" s="7" t="n">
        <v>-1697.722934111904</v>
      </c>
      <c r="S366" s="6" t="n">
        <v>-0.1366799759013793</v>
      </c>
      <c r="T366" s="7" t="n">
        <v>424.3448066079973</v>
      </c>
      <c r="U366" s="7" t="n">
        <v>223.3393718989459</v>
      </c>
      <c r="V366" s="7" t="n">
        <v>12500.12743556039</v>
      </c>
      <c r="W366" s="7" t="n">
        <v>24768.40123332177</v>
      </c>
      <c r="X366" s="7" t="n">
        <v>-12268.27379776138</v>
      </c>
      <c r="Y366" s="6" t="n">
        <v>-0.4953195679524302</v>
      </c>
      <c r="Z366" s="7" t="n">
        <v>454.0216026816601</v>
      </c>
      <c r="AA366" s="7" t="n">
        <v>238.9587382535052</v>
      </c>
      <c r="AB366" s="7" t="n">
        <v>6806.644857711243</v>
      </c>
      <c r="AC366" s="7" t="n">
        <v>41497.28076229156</v>
      </c>
      <c r="AD366" s="7" t="n">
        <v>-34690.63590458031</v>
      </c>
      <c r="AE366" s="6" t="n">
        <v>-0.835973713634354</v>
      </c>
    </row>
    <row r="367">
      <c r="A367" s="2" t="n">
        <v>358</v>
      </c>
      <c r="B367" s="2" t="inlineStr">
        <is>
          <t>KPROP-00358</t>
        </is>
      </c>
      <c r="C367" s="3" t="n">
        <v>45914</v>
      </c>
      <c r="D367" s="2" t="inlineStr">
        <is>
          <t>Robbie Ray</t>
        </is>
      </c>
      <c r="E367" s="2" t="inlineStr">
        <is>
          <t>Win</t>
        </is>
      </c>
      <c r="F367" s="2" t="n">
        <v>0.8928571428571428</v>
      </c>
      <c r="G367" s="6" t="n">
        <v>0.2163148366484998</v>
      </c>
      <c r="H367" s="7" t="n">
        <v>100</v>
      </c>
      <c r="I367" s="7" t="n">
        <v>89.28571428571428</v>
      </c>
      <c r="J367" s="7" t="n">
        <v>10962.11053663296</v>
      </c>
      <c r="K367" s="7" t="n">
        <v>12267.8788782997</v>
      </c>
      <c r="L367" s="7" t="n">
        <v>-1305.768341666741</v>
      </c>
      <c r="M367" s="6" t="n">
        <v>-0.1064379877418318</v>
      </c>
      <c r="N367" s="7" t="n">
        <v>107.2343036881878</v>
      </c>
      <c r="O367" s="7" t="n">
        <v>95.74491400731054</v>
      </c>
      <c r="P367" s="7" t="n">
        <v>10819.17528282609</v>
      </c>
      <c r="Q367" s="7" t="n">
        <v>12421.15330293068</v>
      </c>
      <c r="R367" s="7" t="n">
        <v>-1601.978020104592</v>
      </c>
      <c r="S367" s="6" t="n">
        <v>-0.1289717614004987</v>
      </c>
      <c r="T367" s="7" t="n">
        <v>675.9907560771693</v>
      </c>
      <c r="U367" s="7" t="n">
        <v>603.5631750689012</v>
      </c>
      <c r="V367" s="7" t="n">
        <v>13103.6906106293</v>
      </c>
      <c r="W367" s="7" t="n">
        <v>24768.40123332177</v>
      </c>
      <c r="X367" s="7" t="n">
        <v>-11664.71062269248</v>
      </c>
      <c r="Y367" s="6" t="n">
        <v>-0.4709512944662551</v>
      </c>
      <c r="Z367" s="7" t="n">
        <v>736.1891352600793</v>
      </c>
      <c r="AA367" s="7" t="n">
        <v>657.3117279107851</v>
      </c>
      <c r="AB367" s="7" t="n">
        <v>7463.956585622029</v>
      </c>
      <c r="AC367" s="7" t="n">
        <v>41497.28076229156</v>
      </c>
      <c r="AD367" s="7" t="n">
        <v>-34033.32417666953</v>
      </c>
      <c r="AE367" s="6" t="n">
        <v>-0.8201338389284413</v>
      </c>
    </row>
    <row r="368">
      <c r="A368" s="2" t="n">
        <v>359</v>
      </c>
      <c r="B368" s="2" t="inlineStr">
        <is>
          <t>KPROP-00359</t>
        </is>
      </c>
      <c r="C368" s="3" t="n">
        <v>45914</v>
      </c>
      <c r="D368" s="2" t="inlineStr">
        <is>
          <t>Slade Cecconi</t>
        </is>
      </c>
      <c r="E368" s="2" t="inlineStr">
        <is>
          <t>Win</t>
        </is>
      </c>
      <c r="F368" s="2" t="n">
        <v>1.14</v>
      </c>
      <c r="G368" s="6" t="n">
        <v>0.0715471346183717</v>
      </c>
      <c r="H368" s="7" t="n">
        <v>100</v>
      </c>
      <c r="I368" s="7" t="n">
        <v>114</v>
      </c>
      <c r="J368" s="7" t="n">
        <v>11076.11053663296</v>
      </c>
      <c r="K368" s="7" t="n">
        <v>12267.8788782997</v>
      </c>
      <c r="L368" s="7" t="n">
        <v>-1191.768341666741</v>
      </c>
      <c r="M368" s="6" t="n">
        <v>-0.09714542778660988</v>
      </c>
      <c r="N368" s="7" t="n">
        <v>108.1917528282609</v>
      </c>
      <c r="O368" s="7" t="n">
        <v>123.3385982242174</v>
      </c>
      <c r="P368" s="7" t="n">
        <v>10942.51388105031</v>
      </c>
      <c r="Q368" s="7" t="n">
        <v>12421.15330293068</v>
      </c>
      <c r="R368" s="7" t="n">
        <v>-1478.639421880374</v>
      </c>
      <c r="S368" s="6" t="n">
        <v>-0.1190420394804643</v>
      </c>
      <c r="T368" s="7" t="n">
        <v>234.3828790290469</v>
      </c>
      <c r="U368" s="7" t="n">
        <v>267.1964820931134</v>
      </c>
      <c r="V368" s="7" t="n">
        <v>13370.88709272241</v>
      </c>
      <c r="W368" s="7" t="n">
        <v>24768.40123332177</v>
      </c>
      <c r="X368" s="7" t="n">
        <v>-11397.51414059936</v>
      </c>
      <c r="Y368" s="6" t="n">
        <v>-0.4601634975642231</v>
      </c>
      <c r="Z368" s="7" t="n">
        <v>267.0123533085907</v>
      </c>
      <c r="AA368" s="7" t="n">
        <v>304.3940827717933</v>
      </c>
      <c r="AB368" s="7" t="n">
        <v>7768.350668393822</v>
      </c>
      <c r="AC368" s="7" t="n">
        <v>41497.28076229156</v>
      </c>
      <c r="AD368" s="7" t="n">
        <v>-33728.93009389773</v>
      </c>
      <c r="AE368" s="6" t="n">
        <v>-0.8127985611179396</v>
      </c>
    </row>
    <row r="369">
      <c r="A369" s="2" t="n">
        <v>360</v>
      </c>
      <c r="B369" s="2" t="inlineStr">
        <is>
          <t>KPROP-00360</t>
        </is>
      </c>
      <c r="C369" s="3" t="n">
        <v>45914</v>
      </c>
      <c r="D369" s="2" t="inlineStr">
        <is>
          <t>Tyler Glasnow</t>
        </is>
      </c>
      <c r="E369" s="2" t="inlineStr">
        <is>
          <t>Win</t>
        </is>
      </c>
      <c r="F369" s="2" t="n">
        <v>1.25</v>
      </c>
      <c r="G369" s="6" t="n">
        <v>0.2256129380829664</v>
      </c>
      <c r="H369" s="7" t="n">
        <v>100</v>
      </c>
      <c r="I369" s="7" t="n">
        <v>125</v>
      </c>
      <c r="J369" s="7" t="n">
        <v>11201.11053663296</v>
      </c>
      <c r="K369" s="7" t="n">
        <v>12267.8788782997</v>
      </c>
      <c r="L369" s="7" t="n">
        <v>-1066.768341666741</v>
      </c>
      <c r="M369" s="6" t="n">
        <v>-0.08695621730939293</v>
      </c>
      <c r="N369" s="7" t="n">
        <v>109.4251388105031</v>
      </c>
      <c r="O369" s="7" t="n">
        <v>136.7814235131289</v>
      </c>
      <c r="P369" s="7" t="n">
        <v>11079.29530456344</v>
      </c>
      <c r="Q369" s="7" t="n">
        <v>12421.15330293068</v>
      </c>
      <c r="R369" s="7" t="n">
        <v>-1341.857998367246</v>
      </c>
      <c r="S369" s="6" t="n">
        <v>-0.1080300649739702</v>
      </c>
      <c r="T369" s="7" t="n">
        <v>754.161280441179</v>
      </c>
      <c r="U369" s="7" t="n">
        <v>942.7016005514737</v>
      </c>
      <c r="V369" s="7" t="n">
        <v>14313.58869327388</v>
      </c>
      <c r="W369" s="7" t="n">
        <v>24768.40123332177</v>
      </c>
      <c r="X369" s="7" t="n">
        <v>-10454.81254004789</v>
      </c>
      <c r="Y369" s="6" t="n">
        <v>-0.4221028415020455</v>
      </c>
      <c r="Z369" s="7" t="n">
        <v>876.3202091775531</v>
      </c>
      <c r="AA369" s="7" t="n">
        <v>1095.400261471941</v>
      </c>
      <c r="AB369" s="7" t="n">
        <v>8863.750929865764</v>
      </c>
      <c r="AC369" s="7" t="n">
        <v>41497.28076229156</v>
      </c>
      <c r="AD369" s="7" t="n">
        <v>-32633.52983242579</v>
      </c>
      <c r="AE369" s="6" t="n">
        <v>-0.7864016444682268</v>
      </c>
    </row>
    <row r="370">
      <c r="A370" s="2" t="n">
        <v>361</v>
      </c>
      <c r="B370" s="2" t="inlineStr">
        <is>
          <t>KPROP-00361</t>
        </is>
      </c>
      <c r="C370" s="3" t="n">
        <v>45914</v>
      </c>
      <c r="D370" s="2" t="inlineStr">
        <is>
          <t>Tyler Glasnow</t>
        </is>
      </c>
      <c r="E370" s="2" t="inlineStr">
        <is>
          <t>Win</t>
        </is>
      </c>
      <c r="F370" s="2" t="n">
        <v>0.5128205128205128</v>
      </c>
      <c r="G370" s="6" t="n">
        <v>0.1506517198593641</v>
      </c>
      <c r="H370" s="7" t="n">
        <v>100</v>
      </c>
      <c r="I370" s="7" t="n">
        <v>51.28205128205128</v>
      </c>
      <c r="J370" s="7" t="n">
        <v>11252.39258791501</v>
      </c>
      <c r="K370" s="7" t="n">
        <v>12267.8788782997</v>
      </c>
      <c r="L370" s="7" t="n">
        <v>-1015.48629038469</v>
      </c>
      <c r="M370" s="6" t="n">
        <v>-0.08277602839566292</v>
      </c>
      <c r="N370" s="7" t="n">
        <v>110.7929530456344</v>
      </c>
      <c r="O370" s="7" t="n">
        <v>56.81689899776122</v>
      </c>
      <c r="P370" s="7" t="n">
        <v>11136.1122035612</v>
      </c>
      <c r="Q370" s="7" t="n">
        <v>12421.15330293068</v>
      </c>
      <c r="R370" s="7" t="n">
        <v>-1285.041099369484</v>
      </c>
      <c r="S370" s="6" t="n">
        <v>-0.1034558601789648</v>
      </c>
      <c r="T370" s="7" t="n">
        <v>539.0916885003145</v>
      </c>
      <c r="U370" s="7" t="n">
        <v>276.4572761540074</v>
      </c>
      <c r="V370" s="7" t="n">
        <v>14590.04596942789</v>
      </c>
      <c r="W370" s="7" t="n">
        <v>24768.40123332177</v>
      </c>
      <c r="X370" s="7" t="n">
        <v>-10178.35526389388</v>
      </c>
      <c r="Y370" s="6" t="n">
        <v>-0.4109411490879998</v>
      </c>
      <c r="Z370" s="7" t="n">
        <v>667.6696609946574</v>
      </c>
      <c r="AA370" s="7" t="n">
        <v>342.3946979459781</v>
      </c>
      <c r="AB370" s="7" t="n">
        <v>9206.145627811742</v>
      </c>
      <c r="AC370" s="7" t="n">
        <v>41497.28076229156</v>
      </c>
      <c r="AD370" s="7" t="n">
        <v>-32291.13513447982</v>
      </c>
      <c r="AE370" s="6" t="n">
        <v>-0.778150629181049</v>
      </c>
    </row>
    <row r="371">
      <c r="A371" s="2" t="n">
        <v>362</v>
      </c>
      <c r="B371" s="2" t="inlineStr">
        <is>
          <t>KPROP-00362</t>
        </is>
      </c>
      <c r="C371" s="3" t="n">
        <v>45914</v>
      </c>
      <c r="D371" s="2" t="inlineStr">
        <is>
          <t>Yu Darvish</t>
        </is>
      </c>
      <c r="E371" s="2" t="inlineStr">
        <is>
          <t>Win</t>
        </is>
      </c>
      <c r="F371" s="2" t="n">
        <v>0.7246376811594204</v>
      </c>
      <c r="G371" s="6" t="n">
        <v>0.2063338291456691</v>
      </c>
      <c r="H371" s="7" t="n">
        <v>100</v>
      </c>
      <c r="I371" s="7" t="n">
        <v>72.46376811594205</v>
      </c>
      <c r="J371" s="7" t="n">
        <v>11324.85635603096</v>
      </c>
      <c r="K371" s="7" t="n">
        <v>12267.8788782997</v>
      </c>
      <c r="L371" s="7" t="n">
        <v>-943.0225222687477</v>
      </c>
      <c r="M371" s="6" t="n">
        <v>-0.07686923971321831</v>
      </c>
      <c r="N371" s="7" t="n">
        <v>111.361122035612</v>
      </c>
      <c r="O371" s="7" t="n">
        <v>80.69646524319712</v>
      </c>
      <c r="P371" s="7" t="n">
        <v>11216.8086688044</v>
      </c>
      <c r="Q371" s="7" t="n">
        <v>12421.15330293068</v>
      </c>
      <c r="R371" s="7" t="n">
        <v>-1204.344634126286</v>
      </c>
      <c r="S371" s="6" t="n">
        <v>-0.09695916351359495</v>
      </c>
      <c r="T371" s="7" t="n">
        <v>752.6050130708483</v>
      </c>
      <c r="U371" s="7" t="n">
        <v>545.3659515006148</v>
      </c>
      <c r="V371" s="7" t="n">
        <v>15135.41192092851</v>
      </c>
      <c r="W371" s="7" t="n">
        <v>24768.40123332177</v>
      </c>
      <c r="X371" s="7" t="n">
        <v>-9632.989312393267</v>
      </c>
      <c r="Y371" s="6" t="n">
        <v>-0.388922531642199</v>
      </c>
      <c r="Z371" s="7" t="n">
        <v>949.7696395295285</v>
      </c>
      <c r="AA371" s="7" t="n">
        <v>688.2388692242961</v>
      </c>
      <c r="AB371" s="7" t="n">
        <v>9894.384497036039</v>
      </c>
      <c r="AC371" s="7" t="n">
        <v>41497.28076229156</v>
      </c>
      <c r="AD371" s="7" t="n">
        <v>-31602.89626525552</v>
      </c>
      <c r="AE371" s="6" t="n">
        <v>-0.7615654733206753</v>
      </c>
    </row>
    <row r="372">
      <c r="A372" s="2" t="n">
        <v>363</v>
      </c>
      <c r="B372" s="2" t="inlineStr">
        <is>
          <t>KPROP-00363</t>
        </is>
      </c>
      <c r="C372" s="3" t="n">
        <v>45915</v>
      </c>
      <c r="D372" s="2" t="inlineStr">
        <is>
          <t>Spencer Strider</t>
        </is>
      </c>
      <c r="E372" s="2" t="inlineStr">
        <is>
          <t>Win</t>
        </is>
      </c>
      <c r="F372" s="2" t="n">
        <v>0.7407407407407407</v>
      </c>
      <c r="G372" s="6" t="n">
        <v>0.09808091902219798</v>
      </c>
      <c r="H372" s="7" t="n">
        <v>100</v>
      </c>
      <c r="I372" s="7" t="n">
        <v>74.07407407407408</v>
      </c>
      <c r="J372" s="7" t="n">
        <v>11398.93043010503</v>
      </c>
      <c r="K372" s="7" t="n">
        <v>12267.8788782997</v>
      </c>
      <c r="L372" s="7" t="n">
        <v>-868.9484481946729</v>
      </c>
      <c r="M372" s="6" t="n">
        <v>-0.07083118906005265</v>
      </c>
      <c r="N372" s="7" t="n">
        <v>112.168086688044</v>
      </c>
      <c r="O372" s="7" t="n">
        <v>83.08747162077331</v>
      </c>
      <c r="P372" s="7" t="n">
        <v>11299.89614042517</v>
      </c>
      <c r="Q372" s="7" t="n">
        <v>12421.15330293068</v>
      </c>
      <c r="R372" s="7" t="n">
        <v>-1121.257162505513</v>
      </c>
      <c r="S372" s="6" t="n">
        <v>-0.09026997213221422</v>
      </c>
      <c r="T372" s="7" t="n">
        <v>371.1237777460497</v>
      </c>
      <c r="U372" s="7" t="n">
        <v>274.9065020341109</v>
      </c>
      <c r="V372" s="7" t="n">
        <v>15410.31842296262</v>
      </c>
      <c r="W372" s="7" t="n">
        <v>24768.40123332177</v>
      </c>
      <c r="X372" s="7" t="n">
        <v>-9358.082810359156</v>
      </c>
      <c r="Y372" s="6" t="n">
        <v>-0.377823450218071</v>
      </c>
      <c r="Z372" s="7" t="n">
        <v>485.2251623141414</v>
      </c>
      <c r="AA372" s="7" t="n">
        <v>359.4260461586233</v>
      </c>
      <c r="AB372" s="7" t="n">
        <v>10253.81054319466</v>
      </c>
      <c r="AC372" s="7" t="n">
        <v>41497.28076229156</v>
      </c>
      <c r="AD372" s="7" t="n">
        <v>-31243.4702190969</v>
      </c>
      <c r="AE372" s="6" t="n">
        <v>-0.7529040372083304</v>
      </c>
    </row>
    <row r="373">
      <c r="A373" s="2" t="n">
        <v>364</v>
      </c>
      <c r="B373" s="2" t="inlineStr">
        <is>
          <t>KPROP-00364</t>
        </is>
      </c>
      <c r="C373" s="3" t="n">
        <v>45916</v>
      </c>
      <c r="D373" s="2" t="inlineStr">
        <is>
          <t>Chris Sale</t>
        </is>
      </c>
      <c r="E373" s="2" t="inlineStr">
        <is>
          <t>Loss</t>
        </is>
      </c>
      <c r="F373" s="2" t="n">
        <v>-1</v>
      </c>
      <c r="G373" s="6" t="n">
        <v>0.3472241156842767</v>
      </c>
      <c r="H373" s="7" t="n">
        <v>100</v>
      </c>
      <c r="I373" s="7" t="n">
        <v>-100</v>
      </c>
      <c r="J373" s="7" t="n">
        <v>11298.93043010503</v>
      </c>
      <c r="K373" s="7" t="n">
        <v>12267.8788782997</v>
      </c>
      <c r="L373" s="7" t="n">
        <v>-968.9484481946729</v>
      </c>
      <c r="M373" s="6" t="n">
        <v>-0.07898255744182621</v>
      </c>
      <c r="N373" s="7" t="n">
        <v>112.9989614042517</v>
      </c>
      <c r="O373" s="7" t="n">
        <v>-112.9989614042517</v>
      </c>
      <c r="P373" s="7" t="n">
        <v>11186.89717902092</v>
      </c>
      <c r="Q373" s="7" t="n">
        <v>12421.15330293068</v>
      </c>
      <c r="R373" s="7" t="n">
        <v>-1234.256123909765</v>
      </c>
      <c r="S373" s="6" t="n">
        <v>-0.09936727241089205</v>
      </c>
      <c r="T373" s="7" t="n">
        <v>1337.708546706578</v>
      </c>
      <c r="U373" s="7" t="n">
        <v>-1337.708546706578</v>
      </c>
      <c r="V373" s="7" t="n">
        <v>14072.60987625604</v>
      </c>
      <c r="W373" s="7" t="n">
        <v>24768.40123332177</v>
      </c>
      <c r="X373" s="7" t="n">
        <v>-10695.79135706573</v>
      </c>
      <c r="Y373" s="6" t="n">
        <v>-0.4318321257924522</v>
      </c>
      <c r="Z373" s="7" t="n">
        <v>1780.18514912744</v>
      </c>
      <c r="AA373" s="7" t="n">
        <v>-1780.18514912744</v>
      </c>
      <c r="AB373" s="7" t="n">
        <v>8473.625394067221</v>
      </c>
      <c r="AC373" s="7" t="n">
        <v>41497.28076229156</v>
      </c>
      <c r="AD373" s="7" t="n">
        <v>-33023.65536822434</v>
      </c>
      <c r="AE373" s="6" t="n">
        <v>-0.7958028757930767</v>
      </c>
    </row>
    <row r="374">
      <c r="A374" s="2" t="n">
        <v>365</v>
      </c>
      <c r="B374" s="2" t="inlineStr">
        <is>
          <t>KPROP-00365</t>
        </is>
      </c>
      <c r="C374" s="3" t="n">
        <v>45916</v>
      </c>
      <c r="D374" s="2" t="inlineStr">
        <is>
          <t>Dean Kremer</t>
        </is>
      </c>
      <c r="E374" s="2" t="inlineStr">
        <is>
          <t>Win</t>
        </is>
      </c>
      <c r="F374" s="2" t="n">
        <v>0.8</v>
      </c>
      <c r="G374" s="6" t="n">
        <v>0.1552186682989161</v>
      </c>
      <c r="H374" s="7" t="n">
        <v>100</v>
      </c>
      <c r="I374" s="7" t="n">
        <v>80</v>
      </c>
      <c r="J374" s="7" t="n">
        <v>11378.93043010503</v>
      </c>
      <c r="K374" s="7" t="n">
        <v>12267.8788782997</v>
      </c>
      <c r="L374" s="7" t="n">
        <v>-888.9484481946729</v>
      </c>
      <c r="M374" s="6" t="n">
        <v>-0.07246146273640736</v>
      </c>
      <c r="N374" s="7" t="n">
        <v>111.8689717902092</v>
      </c>
      <c r="O374" s="7" t="n">
        <v>89.49517743216737</v>
      </c>
      <c r="P374" s="7" t="n">
        <v>11276.39235645309</v>
      </c>
      <c r="Q374" s="7" t="n">
        <v>12421.15330293068</v>
      </c>
      <c r="R374" s="7" t="n">
        <v>-1144.760946477598</v>
      </c>
      <c r="S374" s="6" t="n">
        <v>-0.09216221059017921</v>
      </c>
      <c r="T374" s="7" t="n">
        <v>546.0829411206591</v>
      </c>
      <c r="U374" s="7" t="n">
        <v>436.8663528965274</v>
      </c>
      <c r="V374" s="7" t="n">
        <v>14509.47622915257</v>
      </c>
      <c r="W374" s="7" t="n">
        <v>24768.40123332177</v>
      </c>
      <c r="X374" s="7" t="n">
        <v>-10258.92500416921</v>
      </c>
      <c r="Y374" s="6" t="n">
        <v>-0.4141940736315078</v>
      </c>
      <c r="Z374" s="7" t="n">
        <v>657.632424665496</v>
      </c>
      <c r="AA374" s="7" t="n">
        <v>526.1059397323969</v>
      </c>
      <c r="AB374" s="7" t="n">
        <v>8999.731333799618</v>
      </c>
      <c r="AC374" s="7" t="n">
        <v>41497.28076229156</v>
      </c>
      <c r="AD374" s="7" t="n">
        <v>-32497.54942849194</v>
      </c>
      <c r="AE374" s="6" t="n">
        <v>-0.7831247935171298</v>
      </c>
    </row>
    <row r="375">
      <c r="A375" s="2" t="n">
        <v>366</v>
      </c>
      <c r="B375" s="2" t="inlineStr">
        <is>
          <t>KPROP-00366</t>
        </is>
      </c>
      <c r="C375" s="3" t="n">
        <v>45916</v>
      </c>
      <c r="D375" s="2" t="inlineStr">
        <is>
          <t>Logan Gilbert</t>
        </is>
      </c>
      <c r="E375" s="2" t="inlineStr">
        <is>
          <t>Win</t>
        </is>
      </c>
      <c r="F375" s="2" t="n">
        <v>1.1</v>
      </c>
      <c r="G375" s="6" t="n">
        <v>0.1843752302768605</v>
      </c>
      <c r="H375" s="7" t="n">
        <v>100</v>
      </c>
      <c r="I375" s="7" t="n">
        <v>110</v>
      </c>
      <c r="J375" s="7" t="n">
        <v>11488.93043010503</v>
      </c>
      <c r="K375" s="7" t="n">
        <v>12267.8788782997</v>
      </c>
      <c r="L375" s="7" t="n">
        <v>-778.9484481946729</v>
      </c>
      <c r="M375" s="6" t="n">
        <v>-0.06349495751645644</v>
      </c>
      <c r="N375" s="7" t="n">
        <v>112.7639235645309</v>
      </c>
      <c r="O375" s="7" t="n">
        <v>124.040315920984</v>
      </c>
      <c r="P375" s="7" t="n">
        <v>11400.43267237407</v>
      </c>
      <c r="Q375" s="7" t="n">
        <v>12421.15330293068</v>
      </c>
      <c r="R375" s="7" t="n">
        <v>-1020.720630556614</v>
      </c>
      <c r="S375" s="6" t="n">
        <v>-0.08217599490667121</v>
      </c>
      <c r="T375" s="7" t="n">
        <v>668.7970052366593</v>
      </c>
      <c r="U375" s="7" t="n">
        <v>735.6767057603253</v>
      </c>
      <c r="V375" s="7" t="n">
        <v>15245.15293491289</v>
      </c>
      <c r="W375" s="7" t="n">
        <v>24768.40123332177</v>
      </c>
      <c r="X375" s="7" t="n">
        <v>-9523.248298408882</v>
      </c>
      <c r="Y375" s="6" t="n">
        <v>-0.3844918454242792</v>
      </c>
      <c r="Z375" s="7" t="n">
        <v>829.6637685495906</v>
      </c>
      <c r="AA375" s="7" t="n">
        <v>912.6301454045497</v>
      </c>
      <c r="AB375" s="7" t="n">
        <v>9912.361479204168</v>
      </c>
      <c r="AC375" s="7" t="n">
        <v>41497.28076229156</v>
      </c>
      <c r="AD375" s="7" t="n">
        <v>-31584.91928308739</v>
      </c>
      <c r="AE375" s="6" t="n">
        <v>-0.7611322646419882</v>
      </c>
    </row>
    <row r="376">
      <c r="A376" s="2" t="n">
        <v>367</v>
      </c>
      <c r="B376" s="2" t="inlineStr">
        <is>
          <t>KPROP-00367</t>
        </is>
      </c>
      <c r="C376" s="3" t="n">
        <v>45916</v>
      </c>
      <c r="D376" s="2" t="inlineStr">
        <is>
          <t>MacKenzie Gore</t>
        </is>
      </c>
      <c r="E376" s="2" t="inlineStr">
        <is>
          <t>Win</t>
        </is>
      </c>
      <c r="F376" s="2" t="n">
        <v>0.8</v>
      </c>
      <c r="G376" s="6" t="n">
        <v>0.154464373923684</v>
      </c>
      <c r="H376" s="7" t="n">
        <v>100</v>
      </c>
      <c r="I376" s="7" t="n">
        <v>80</v>
      </c>
      <c r="J376" s="7" t="n">
        <v>11568.93043010503</v>
      </c>
      <c r="K376" s="7" t="n">
        <v>12267.8788782997</v>
      </c>
      <c r="L376" s="7" t="n">
        <v>-698.9484481946729</v>
      </c>
      <c r="M376" s="6" t="n">
        <v>-0.05697386281103758</v>
      </c>
      <c r="N376" s="7" t="n">
        <v>114.0043267237407</v>
      </c>
      <c r="O376" s="7" t="n">
        <v>91.20346137899257</v>
      </c>
      <c r="P376" s="7" t="n">
        <v>11491.63613375306</v>
      </c>
      <c r="Q376" s="7" t="n">
        <v>12421.15330293068</v>
      </c>
      <c r="R376" s="7" t="n">
        <v>-929.5171691776213</v>
      </c>
      <c r="S376" s="6" t="n">
        <v>-0.07483340286592455</v>
      </c>
      <c r="T376" s="7" t="n">
        <v>588.7082508655334</v>
      </c>
      <c r="U376" s="7" t="n">
        <v>470.9666006924267</v>
      </c>
      <c r="V376" s="7" t="n">
        <v>15716.11953560532</v>
      </c>
      <c r="W376" s="7" t="n">
        <v>24768.40123332177</v>
      </c>
      <c r="X376" s="7" t="n">
        <v>-9052.281697716455</v>
      </c>
      <c r="Y376" s="6" t="n">
        <v>-0.3654770290759871</v>
      </c>
      <c r="Z376" s="7" t="n">
        <v>765.5533549952571</v>
      </c>
      <c r="AA376" s="7" t="n">
        <v>612.4426839962057</v>
      </c>
      <c r="AB376" s="7" t="n">
        <v>10524.80416320037</v>
      </c>
      <c r="AC376" s="7" t="n">
        <v>41497.28076229156</v>
      </c>
      <c r="AD376" s="7" t="n">
        <v>-30972.47659909118</v>
      </c>
      <c r="AE376" s="6" t="n">
        <v>-0.746373642564931</v>
      </c>
    </row>
    <row r="377">
      <c r="A377" s="2" t="n">
        <v>368</v>
      </c>
      <c r="B377" s="2" t="inlineStr">
        <is>
          <t>KPROP-00368</t>
        </is>
      </c>
      <c r="C377" s="3" t="n">
        <v>45916</v>
      </c>
      <c r="D377" s="2" t="inlineStr">
        <is>
          <t>Paul Skenes</t>
        </is>
      </c>
      <c r="E377" s="2" t="inlineStr">
        <is>
          <t>Win</t>
        </is>
      </c>
      <c r="F377" s="2" t="n">
        <v>1.05</v>
      </c>
      <c r="G377" s="6" t="n">
        <v>0.1383614503479431</v>
      </c>
      <c r="H377" s="7" t="n">
        <v>100</v>
      </c>
      <c r="I377" s="7" t="n">
        <v>105</v>
      </c>
      <c r="J377" s="7" t="n">
        <v>11673.93043010503</v>
      </c>
      <c r="K377" s="7" t="n">
        <v>12267.8788782997</v>
      </c>
      <c r="L377" s="7" t="n">
        <v>-593.9484481946729</v>
      </c>
      <c r="M377" s="6" t="n">
        <v>-0.04841492601017533</v>
      </c>
      <c r="N377" s="7" t="n">
        <v>114.9163613375306</v>
      </c>
      <c r="O377" s="7" t="n">
        <v>120.6621794044071</v>
      </c>
      <c r="P377" s="7" t="n">
        <v>11612.29831315747</v>
      </c>
      <c r="Q377" s="7" t="n">
        <v>12421.15330293068</v>
      </c>
      <c r="R377" s="7" t="n">
        <v>-808.8549897732137</v>
      </c>
      <c r="S377" s="6" t="n">
        <v>-0.06511915359601672</v>
      </c>
      <c r="T377" s="7" t="n">
        <v>543.6262731969982</v>
      </c>
      <c r="U377" s="7" t="n">
        <v>570.807586856848</v>
      </c>
      <c r="V377" s="7" t="n">
        <v>16286.92712246217</v>
      </c>
      <c r="W377" s="7" t="n">
        <v>24768.40123332177</v>
      </c>
      <c r="X377" s="7" t="n">
        <v>-8481.474110859606</v>
      </c>
      <c r="Y377" s="6" t="n">
        <v>-0.3424312304602524</v>
      </c>
      <c r="Z377" s="7" t="n">
        <v>728.1135843242364</v>
      </c>
      <c r="AA377" s="7" t="n">
        <v>764.519263540448</v>
      </c>
      <c r="AB377" s="7" t="n">
        <v>11289.32342674082</v>
      </c>
      <c r="AC377" s="7" t="n">
        <v>41497.28076229156</v>
      </c>
      <c r="AD377" s="7" t="n">
        <v>-30207.95733555074</v>
      </c>
      <c r="AE377" s="6" t="n">
        <v>-0.7279502844678105</v>
      </c>
    </row>
    <row r="378">
      <c r="A378" s="2" t="n">
        <v>369</v>
      </c>
      <c r="B378" s="2" t="inlineStr">
        <is>
          <t>KPROP-00369</t>
        </is>
      </c>
      <c r="C378" s="3" t="n">
        <v>45917</v>
      </c>
      <c r="D378" s="2" t="inlineStr">
        <is>
          <t>David Peterson</t>
        </is>
      </c>
      <c r="E378" s="2" t="inlineStr">
        <is>
          <t>Win</t>
        </is>
      </c>
      <c r="F378" s="2" t="n">
        <v>0.847457627118644</v>
      </c>
      <c r="G378" s="6" t="n">
        <v>0.108037449359203</v>
      </c>
      <c r="H378" s="7" t="n">
        <v>100</v>
      </c>
      <c r="I378" s="7" t="n">
        <v>84.7457627118644</v>
      </c>
      <c r="J378" s="7" t="n">
        <v>11758.67619281689</v>
      </c>
      <c r="K378" s="7" t="n">
        <v>12267.8788782997</v>
      </c>
      <c r="L378" s="7" t="n">
        <v>-509.2026854828091</v>
      </c>
      <c r="M378" s="6" t="n">
        <v>-0.04150698670358761</v>
      </c>
      <c r="N378" s="7" t="n">
        <v>116.1229831315747</v>
      </c>
      <c r="O378" s="7" t="n">
        <v>98.40930773862263</v>
      </c>
      <c r="P378" s="7" t="n">
        <v>11710.70762089609</v>
      </c>
      <c r="Q378" s="7" t="n">
        <v>12421.15330293068</v>
      </c>
      <c r="R378" s="7" t="n">
        <v>-710.4456820345913</v>
      </c>
      <c r="S378" s="6" t="n">
        <v>-0.05719643455869485</v>
      </c>
      <c r="T378" s="7" t="n">
        <v>439.899516052509</v>
      </c>
      <c r="U378" s="7" t="n">
        <v>372.7962000444991</v>
      </c>
      <c r="V378" s="7" t="n">
        <v>16659.72332250667</v>
      </c>
      <c r="W378" s="7" t="n">
        <v>24768.40123332177</v>
      </c>
      <c r="X378" s="7" t="n">
        <v>-8108.677910815106</v>
      </c>
      <c r="Y378" s="6" t="n">
        <v>-0.3273799481214082</v>
      </c>
      <c r="Z378" s="7" t="n">
        <v>609.8348540080877</v>
      </c>
      <c r="AA378" s="7" t="n">
        <v>516.8091983119388</v>
      </c>
      <c r="AB378" s="7" t="n">
        <v>11806.13262505276</v>
      </c>
      <c r="AC378" s="7" t="n">
        <v>41497.28076229156</v>
      </c>
      <c r="AD378" s="7" t="n">
        <v>-29691.1481372388</v>
      </c>
      <c r="AE378" s="6" t="n">
        <v>-0.7154962347368805</v>
      </c>
    </row>
    <row r="379">
      <c r="A379" s="2" t="n">
        <v>370</v>
      </c>
      <c r="B379" s="2" t="inlineStr">
        <is>
          <t>KPROP-00370</t>
        </is>
      </c>
      <c r="C379" s="3" t="n">
        <v>45917</v>
      </c>
      <c r="D379" s="2" t="inlineStr">
        <is>
          <t>Nick Pivetta</t>
        </is>
      </c>
      <c r="E379" s="2" t="inlineStr">
        <is>
          <t>Win</t>
        </is>
      </c>
      <c r="F379" s="2" t="n">
        <v>1.05</v>
      </c>
      <c r="G379" s="6" t="n">
        <v>0.1736277159978576</v>
      </c>
      <c r="H379" s="7" t="n">
        <v>100</v>
      </c>
      <c r="I379" s="7" t="n">
        <v>105</v>
      </c>
      <c r="J379" s="7" t="n">
        <v>11863.67619281689</v>
      </c>
      <c r="K379" s="7" t="n">
        <v>12267.8788782997</v>
      </c>
      <c r="L379" s="7" t="n">
        <v>-404.2026854828091</v>
      </c>
      <c r="M379" s="6" t="n">
        <v>-0.03294804990272537</v>
      </c>
      <c r="N379" s="7" t="n">
        <v>117.1070762089609</v>
      </c>
      <c r="O379" s="7" t="n">
        <v>122.962430019409</v>
      </c>
      <c r="P379" s="7" t="n">
        <v>11833.6700509155</v>
      </c>
      <c r="Q379" s="7" t="n">
        <v>12421.15330293068</v>
      </c>
      <c r="R379" s="7" t="n">
        <v>-587.4832520151831</v>
      </c>
      <c r="S379" s="6" t="n">
        <v>-0.04729699712156121</v>
      </c>
      <c r="T379" s="7" t="n">
        <v>723.1474274107683</v>
      </c>
      <c r="U379" s="7" t="n">
        <v>759.3047987813065</v>
      </c>
      <c r="V379" s="7" t="n">
        <v>17419.02812128797</v>
      </c>
      <c r="W379" s="7" t="n">
        <v>24768.40123332177</v>
      </c>
      <c r="X379" s="7" t="n">
        <v>-7349.373112033798</v>
      </c>
      <c r="Y379" s="6" t="n">
        <v>-0.2967237587441226</v>
      </c>
      <c r="Z379" s="7" t="n">
        <v>1024.935921227851</v>
      </c>
      <c r="AA379" s="7" t="n">
        <v>1076.182717289244</v>
      </c>
      <c r="AB379" s="7" t="n">
        <v>12882.315342342</v>
      </c>
      <c r="AC379" s="7" t="n">
        <v>41497.28076229156</v>
      </c>
      <c r="AD379" s="7" t="n">
        <v>-28614.96541994955</v>
      </c>
      <c r="AE379" s="6" t="n">
        <v>-0.6895624217852818</v>
      </c>
    </row>
    <row r="380">
      <c r="A380" s="2" t="n">
        <v>371</v>
      </c>
      <c r="B380" s="2" t="inlineStr">
        <is>
          <t>KPROP-00371</t>
        </is>
      </c>
      <c r="C380" s="3" t="n">
        <v>45918</v>
      </c>
      <c r="D380" s="2" t="inlineStr">
        <is>
          <t>Hunter Greene</t>
        </is>
      </c>
      <c r="E380" s="2" t="inlineStr">
        <is>
          <t>Loss</t>
        </is>
      </c>
      <c r="F380" s="2" t="n">
        <v>-1</v>
      </c>
      <c r="G380" s="6" t="n">
        <v>0.1544983791996876</v>
      </c>
      <c r="H380" s="7" t="n">
        <v>100</v>
      </c>
      <c r="I380" s="7" t="n">
        <v>-100</v>
      </c>
      <c r="J380" s="7" t="n">
        <v>11763.67619281689</v>
      </c>
      <c r="K380" s="7" t="n">
        <v>12267.8788782997</v>
      </c>
      <c r="L380" s="7" t="n">
        <v>-504.2026854828091</v>
      </c>
      <c r="M380" s="6" t="n">
        <v>-0.04109941828449894</v>
      </c>
      <c r="N380" s="7" t="n">
        <v>118.336700509155</v>
      </c>
      <c r="O380" s="7" t="n">
        <v>-118.336700509155</v>
      </c>
      <c r="P380" s="7" t="n">
        <v>11715.33335040635</v>
      </c>
      <c r="Q380" s="7" t="n">
        <v>12421.15330293068</v>
      </c>
      <c r="R380" s="7" t="n">
        <v>-705.8199525243381</v>
      </c>
      <c r="S380" s="6" t="n">
        <v>-0.0568240271503456</v>
      </c>
      <c r="T380" s="7" t="n">
        <v>672.8029029931929</v>
      </c>
      <c r="U380" s="7" t="n">
        <v>-672.8029029931929</v>
      </c>
      <c r="V380" s="7" t="n">
        <v>16746.22521829478</v>
      </c>
      <c r="W380" s="7" t="n">
        <v>24768.40123332177</v>
      </c>
      <c r="X380" s="7" t="n">
        <v>-8022.176015026991</v>
      </c>
      <c r="Y380" s="6" t="n">
        <v>-0.323887518595043</v>
      </c>
      <c r="Z380" s="7" t="n">
        <v>995.1484203655543</v>
      </c>
      <c r="AA380" s="7" t="n">
        <v>-995.1484203655543</v>
      </c>
      <c r="AB380" s="7" t="n">
        <v>11887.16692197645</v>
      </c>
      <c r="AC380" s="7" t="n">
        <v>41497.28076229156</v>
      </c>
      <c r="AD380" s="7" t="n">
        <v>-29610.11384031511</v>
      </c>
      <c r="AE380" s="6" t="n">
        <v>-0.7135434731237069</v>
      </c>
    </row>
    <row r="381">
      <c r="A381" s="2" t="n">
        <v>372</v>
      </c>
      <c r="B381" s="2" t="inlineStr">
        <is>
          <t>KPROP-00372</t>
        </is>
      </c>
      <c r="C381" s="3" t="n">
        <v>45918</v>
      </c>
      <c r="D381" s="2" t="inlineStr">
        <is>
          <t>Jonah Tong</t>
        </is>
      </c>
      <c r="E381" s="2" t="inlineStr">
        <is>
          <t>Loss</t>
        </is>
      </c>
      <c r="F381" s="2" t="n">
        <v>-1</v>
      </c>
      <c r="G381" s="6" t="n">
        <v>0.1133251254918289</v>
      </c>
      <c r="H381" s="7" t="n">
        <v>100</v>
      </c>
      <c r="I381" s="7" t="n">
        <v>-100</v>
      </c>
      <c r="J381" s="7" t="n">
        <v>11663.67619281689</v>
      </c>
      <c r="K381" s="7" t="n">
        <v>12267.8788782997</v>
      </c>
      <c r="L381" s="7" t="n">
        <v>-604.2026854828091</v>
      </c>
      <c r="M381" s="6" t="n">
        <v>-0.0492507866662725</v>
      </c>
      <c r="N381" s="7" t="n">
        <v>117.1533335040635</v>
      </c>
      <c r="O381" s="7" t="n">
        <v>-117.1533335040635</v>
      </c>
      <c r="P381" s="7" t="n">
        <v>11598.18001690228</v>
      </c>
      <c r="Q381" s="7" t="n">
        <v>12421.15330293068</v>
      </c>
      <c r="R381" s="7" t="n">
        <v>-822.9732860284021</v>
      </c>
      <c r="S381" s="6" t="n">
        <v>-0.06625578687884218</v>
      </c>
      <c r="T381" s="7" t="n">
        <v>474.4420185944215</v>
      </c>
      <c r="U381" s="7" t="n">
        <v>-474.4420185944215</v>
      </c>
      <c r="V381" s="7" t="n">
        <v>16271.78319970036</v>
      </c>
      <c r="W381" s="7" t="n">
        <v>24768.40123332177</v>
      </c>
      <c r="X381" s="7" t="n">
        <v>-8496.618033621413</v>
      </c>
      <c r="Y381" s="6" t="n">
        <v>-0.3430426515454951</v>
      </c>
      <c r="Z381" s="7" t="n">
        <v>673.5573415876493</v>
      </c>
      <c r="AA381" s="7" t="n">
        <v>-673.5573415876493</v>
      </c>
      <c r="AB381" s="7" t="n">
        <v>11213.6095803888</v>
      </c>
      <c r="AC381" s="7" t="n">
        <v>41497.28076229156</v>
      </c>
      <c r="AD381" s="7" t="n">
        <v>-30283.67118190276</v>
      </c>
      <c r="AE381" s="6" t="n">
        <v>-0.7297748340518116</v>
      </c>
    </row>
    <row r="382">
      <c r="A382" s="2" t="n">
        <v>373</v>
      </c>
      <c r="B382" s="2" t="inlineStr">
        <is>
          <t>KPROP-00373</t>
        </is>
      </c>
      <c r="C382" s="3" t="n">
        <v>45919</v>
      </c>
      <c r="D382" s="2" t="inlineStr">
        <is>
          <t>Brandon Sproat</t>
        </is>
      </c>
      <c r="E382" s="2" t="inlineStr">
        <is>
          <t>Loss</t>
        </is>
      </c>
      <c r="F382" s="2" t="n">
        <v>-1</v>
      </c>
      <c r="G382" s="6" t="n">
        <v>0.1022565871430586</v>
      </c>
      <c r="H382" s="7" t="n">
        <v>100</v>
      </c>
      <c r="I382" s="7" t="n">
        <v>-100</v>
      </c>
      <c r="J382" s="7" t="n">
        <v>11563.67619281689</v>
      </c>
      <c r="K382" s="7" t="n">
        <v>12267.8788782997</v>
      </c>
      <c r="L382" s="7" t="n">
        <v>-704.2026854828091</v>
      </c>
      <c r="M382" s="6" t="n">
        <v>-0.05740215504804607</v>
      </c>
      <c r="N382" s="7" t="n">
        <v>115.9818001690228</v>
      </c>
      <c r="O382" s="7" t="n">
        <v>-115.9818001690228</v>
      </c>
      <c r="P382" s="7" t="n">
        <v>11482.19821673326</v>
      </c>
      <c r="Q382" s="7" t="n">
        <v>12421.15330293068</v>
      </c>
      <c r="R382" s="7" t="n">
        <v>-938.9550861974258</v>
      </c>
      <c r="S382" s="6" t="n">
        <v>-0.07559322901005383</v>
      </c>
      <c r="T382" s="7" t="n">
        <v>415.9742541832793</v>
      </c>
      <c r="U382" s="7" t="n">
        <v>-415.9742541832793</v>
      </c>
      <c r="V382" s="7" t="n">
        <v>15855.80894551708</v>
      </c>
      <c r="W382" s="7" t="n">
        <v>24768.40123332177</v>
      </c>
      <c r="X382" s="7" t="n">
        <v>-8912.592287804691</v>
      </c>
      <c r="Y382" s="6" t="n">
        <v>-0.3598372056333728</v>
      </c>
      <c r="Z382" s="7" t="n">
        <v>573.3327226226322</v>
      </c>
      <c r="AA382" s="7" t="n">
        <v>-573.3327226226322</v>
      </c>
      <c r="AB382" s="7" t="n">
        <v>10640.27685776617</v>
      </c>
      <c r="AC382" s="7" t="n">
        <v>41497.28076229156</v>
      </c>
      <c r="AD382" s="7" t="n">
        <v>-30857.00390452539</v>
      </c>
      <c r="AE382" s="6" t="n">
        <v>-0.7435909856668258</v>
      </c>
    </row>
    <row r="383">
      <c r="A383" s="2" t="n">
        <v>374</v>
      </c>
      <c r="B383" s="2" t="inlineStr">
        <is>
          <t>KPROP-00374</t>
        </is>
      </c>
      <c r="C383" s="3" t="n">
        <v>45919</v>
      </c>
      <c r="D383" s="2" t="inlineStr">
        <is>
          <t>Shota Imanaga</t>
        </is>
      </c>
      <c r="E383" s="2" t="inlineStr">
        <is>
          <t>Win</t>
        </is>
      </c>
      <c r="F383" s="2" t="n">
        <v>1.12</v>
      </c>
      <c r="G383" s="6" t="n">
        <v>0.1068975520626341</v>
      </c>
      <c r="H383" s="7" t="n">
        <v>100</v>
      </c>
      <c r="I383" s="7" t="n">
        <v>112</v>
      </c>
      <c r="J383" s="7" t="n">
        <v>11675.67619281689</v>
      </c>
      <c r="K383" s="7" t="n">
        <v>12267.8788782997</v>
      </c>
      <c r="L383" s="7" t="n">
        <v>-592.2026854828091</v>
      </c>
      <c r="M383" s="6" t="n">
        <v>-0.04827262246045967</v>
      </c>
      <c r="N383" s="7" t="n">
        <v>114.8219821673326</v>
      </c>
      <c r="O383" s="7" t="n">
        <v>128.6006200274125</v>
      </c>
      <c r="P383" s="7" t="n">
        <v>11610.79883676067</v>
      </c>
      <c r="Q383" s="7" t="n">
        <v>12421.15330293068</v>
      </c>
      <c r="R383" s="7" t="n">
        <v>-810.3544661700125</v>
      </c>
      <c r="S383" s="6" t="n">
        <v>-0.06523987317496638</v>
      </c>
      <c r="T383" s="7" t="n">
        <v>423.736790562148</v>
      </c>
      <c r="U383" s="7" t="n">
        <v>474.5852054296058</v>
      </c>
      <c r="V383" s="7" t="n">
        <v>16330.39415094669</v>
      </c>
      <c r="W383" s="7" t="n">
        <v>24768.40123332177</v>
      </c>
      <c r="X383" s="7" t="n">
        <v>-8438.007082375085</v>
      </c>
      <c r="Y383" s="6" t="n">
        <v>-0.3406762916543498</v>
      </c>
      <c r="Z383" s="7" t="n">
        <v>568.70977468195</v>
      </c>
      <c r="AA383" s="7" t="n">
        <v>636.9549476437841</v>
      </c>
      <c r="AB383" s="7" t="n">
        <v>11277.23180540995</v>
      </c>
      <c r="AC383" s="7" t="n">
        <v>41497.28076229156</v>
      </c>
      <c r="AD383" s="7" t="n">
        <v>-30220.0489568816</v>
      </c>
      <c r="AE383" s="6" t="n">
        <v>-0.7282416679297807</v>
      </c>
    </row>
    <row r="384">
      <c r="A384" s="2" t="n">
        <v>375</v>
      </c>
      <c r="B384" s="2" t="inlineStr">
        <is>
          <t>KPROP-00375</t>
        </is>
      </c>
      <c r="C384" s="3" t="n">
        <v>45920</v>
      </c>
      <c r="D384" s="2" t="inlineStr">
        <is>
          <t>Bailey Ober</t>
        </is>
      </c>
      <c r="E384" s="2" t="inlineStr">
        <is>
          <t>Win</t>
        </is>
      </c>
      <c r="F384" s="2" t="n">
        <v>0.8849557522123894</v>
      </c>
      <c r="G384" s="6" t="n">
        <v>0.1011223115511268</v>
      </c>
      <c r="H384" s="7" t="n">
        <v>100</v>
      </c>
      <c r="I384" s="7" t="n">
        <v>88.49557522123894</v>
      </c>
      <c r="J384" s="7" t="n">
        <v>11764.17176803813</v>
      </c>
      <c r="K384" s="7" t="n">
        <v>12267.8788782997</v>
      </c>
      <c r="L384" s="7" t="n">
        <v>-503.7071102615701</v>
      </c>
      <c r="M384" s="6" t="n">
        <v>-0.04105902212260695</v>
      </c>
      <c r="N384" s="7" t="n">
        <v>116.1079883676067</v>
      </c>
      <c r="O384" s="7" t="n">
        <v>102.7504321837228</v>
      </c>
      <c r="P384" s="7" t="n">
        <v>11713.54926894439</v>
      </c>
      <c r="Q384" s="7" t="n">
        <v>12421.15330293068</v>
      </c>
      <c r="R384" s="7" t="n">
        <v>-707.6040339862902</v>
      </c>
      <c r="S384" s="6" t="n">
        <v>-0.05696765966324045</v>
      </c>
      <c r="T384" s="7" t="n">
        <v>412.8418012711823</v>
      </c>
      <c r="U384" s="7" t="n">
        <v>365.346726788657</v>
      </c>
      <c r="V384" s="7" t="n">
        <v>16695.74087773534</v>
      </c>
      <c r="W384" s="7" t="n">
        <v>24768.40123332177</v>
      </c>
      <c r="X384" s="7" t="n">
        <v>-8072.660355586428</v>
      </c>
      <c r="Y384" s="6" t="n">
        <v>-0.325925774519754</v>
      </c>
      <c r="Z384" s="7" t="n">
        <v>570.1898740304705</v>
      </c>
      <c r="AA384" s="7" t="n">
        <v>504.5928088765226</v>
      </c>
      <c r="AB384" s="7" t="n">
        <v>11781.82461428648</v>
      </c>
      <c r="AC384" s="7" t="n">
        <v>41497.28076229156</v>
      </c>
      <c r="AD384" s="7" t="n">
        <v>-29715.45614800508</v>
      </c>
      <c r="AE384" s="6" t="n">
        <v>-0.7160820083181793</v>
      </c>
    </row>
    <row r="385">
      <c r="A385" s="2" t="n">
        <v>376</v>
      </c>
      <c r="B385" s="2" t="inlineStr">
        <is>
          <t>KPROP-00376</t>
        </is>
      </c>
      <c r="C385" s="3" t="n">
        <v>45920</v>
      </c>
      <c r="D385" s="2" t="inlineStr">
        <is>
          <t>Zack Littell</t>
        </is>
      </c>
      <c r="E385" s="2" t="inlineStr">
        <is>
          <t>Loss</t>
        </is>
      </c>
      <c r="F385" s="2" t="n">
        <v>-1</v>
      </c>
      <c r="G385" s="6" t="n">
        <v>0.05617850584869608</v>
      </c>
      <c r="H385" s="7" t="n">
        <v>100</v>
      </c>
      <c r="I385" s="7" t="n">
        <v>-100</v>
      </c>
      <c r="J385" s="7" t="n">
        <v>11664.17176803813</v>
      </c>
      <c r="K385" s="7" t="n">
        <v>12267.8788782997</v>
      </c>
      <c r="L385" s="7" t="n">
        <v>-603.7071102615701</v>
      </c>
      <c r="M385" s="6" t="n">
        <v>-0.04921039050438052</v>
      </c>
      <c r="N385" s="7" t="n">
        <v>117.135492689444</v>
      </c>
      <c r="O385" s="7" t="n">
        <v>-117.135492689444</v>
      </c>
      <c r="P385" s="7" t="n">
        <v>11596.41377625495</v>
      </c>
      <c r="Q385" s="7" t="n">
        <v>12421.15330293068</v>
      </c>
      <c r="R385" s="7" t="n">
        <v>-824.7395266757339</v>
      </c>
      <c r="S385" s="6" t="n">
        <v>-0.06639798306660802</v>
      </c>
      <c r="T385" s="7" t="n">
        <v>234.4854441370423</v>
      </c>
      <c r="U385" s="7" t="n">
        <v>-234.4854441370423</v>
      </c>
      <c r="V385" s="7" t="n">
        <v>16461.2554335983</v>
      </c>
      <c r="W385" s="7" t="n">
        <v>24768.40123332177</v>
      </c>
      <c r="X385" s="7" t="n">
        <v>-8307.145799723468</v>
      </c>
      <c r="Y385" s="6" t="n">
        <v>-0.3353928952244032</v>
      </c>
      <c r="Z385" s="7" t="n">
        <v>330.942651501002</v>
      </c>
      <c r="AA385" s="7" t="n">
        <v>-330.942651501002</v>
      </c>
      <c r="AB385" s="7" t="n">
        <v>11450.88196278547</v>
      </c>
      <c r="AC385" s="7" t="n">
        <v>41497.28076229156</v>
      </c>
      <c r="AD385" s="7" t="n">
        <v>-30046.39879950608</v>
      </c>
      <c r="AE385" s="6" t="n">
        <v>-0.7240570525963028</v>
      </c>
    </row>
    <row r="386">
      <c r="A386" s="2" t="n">
        <v>377</v>
      </c>
      <c r="B386" s="2" t="inlineStr">
        <is>
          <t>KPROP-00377</t>
        </is>
      </c>
      <c r="C386" s="3" t="n">
        <v>45921</v>
      </c>
      <c r="D386" s="2" t="inlineStr">
        <is>
          <t>Logan Gilbert</t>
        </is>
      </c>
      <c r="E386" s="2" t="inlineStr">
        <is>
          <t>Win</t>
        </is>
      </c>
      <c r="F386" s="2" t="n">
        <v>0.9174311926605505</v>
      </c>
      <c r="G386" s="6" t="n">
        <v>0.1892027933656512</v>
      </c>
      <c r="H386" s="7" t="n">
        <v>100</v>
      </c>
      <c r="I386" s="7" t="n">
        <v>91.74311926605505</v>
      </c>
      <c r="J386" s="7" t="n">
        <v>11755.91488730419</v>
      </c>
      <c r="K386" s="7" t="n">
        <v>12267.8788782997</v>
      </c>
      <c r="L386" s="7" t="n">
        <v>-511.9639909955149</v>
      </c>
      <c r="M386" s="6" t="n">
        <v>-0.04173207088807449</v>
      </c>
      <c r="N386" s="7" t="n">
        <v>115.9641377625495</v>
      </c>
      <c r="O386" s="7" t="n">
        <v>106.3891172133482</v>
      </c>
      <c r="P386" s="7" t="n">
        <v>11702.8028934683</v>
      </c>
      <c r="Q386" s="7" t="n">
        <v>12421.15330293068</v>
      </c>
      <c r="R386" s="7" t="n">
        <v>-718.3504094623859</v>
      </c>
      <c r="S386" s="6" t="n">
        <v>-0.05783282694795306</v>
      </c>
      <c r="T386" s="7" t="n">
        <v>778.6288775855758</v>
      </c>
      <c r="U386" s="7" t="n">
        <v>714.3384198032805</v>
      </c>
      <c r="V386" s="7" t="n">
        <v>17175.59385340158</v>
      </c>
      <c r="W386" s="7" t="n">
        <v>24768.40123332177</v>
      </c>
      <c r="X386" s="7" t="n">
        <v>-7592.807379920188</v>
      </c>
      <c r="Y386" s="6" t="n">
        <v>-0.3065521794642654</v>
      </c>
      <c r="Z386" s="7" t="n">
        <v>1083.269426929681</v>
      </c>
      <c r="AA386" s="7" t="n">
        <v>993.8251623208085</v>
      </c>
      <c r="AB386" s="7" t="n">
        <v>12444.70712510628</v>
      </c>
      <c r="AC386" s="7" t="n">
        <v>41497.28076229156</v>
      </c>
      <c r="AD386" s="7" t="n">
        <v>-29052.57363718528</v>
      </c>
      <c r="AE386" s="6" t="n">
        <v>-0.7001078890833072</v>
      </c>
    </row>
    <row r="387">
      <c r="A387" s="2" t="n">
        <v>378</v>
      </c>
      <c r="B387" s="2" t="inlineStr">
        <is>
          <t>KPROP-00378</t>
        </is>
      </c>
      <c r="C387" s="3" t="n">
        <v>45921</v>
      </c>
      <c r="D387" s="2" t="inlineStr">
        <is>
          <t>Michael King</t>
        </is>
      </c>
      <c r="E387" s="2" t="inlineStr">
        <is>
          <t>Win</t>
        </is>
      </c>
      <c r="F387" s="2" t="n">
        <v>1.48</v>
      </c>
      <c r="G387" s="6" t="n">
        <v>0.117237678566834</v>
      </c>
      <c r="H387" s="7" t="n">
        <v>100</v>
      </c>
      <c r="I387" s="7" t="n">
        <v>148</v>
      </c>
      <c r="J387" s="7" t="n">
        <v>11903.91488730419</v>
      </c>
      <c r="K387" s="7" t="n">
        <v>12267.8788782997</v>
      </c>
      <c r="L387" s="7" t="n">
        <v>-363.9639909955149</v>
      </c>
      <c r="M387" s="6" t="n">
        <v>-0.0296680456830496</v>
      </c>
      <c r="N387" s="7" t="n">
        <v>117.028028934683</v>
      </c>
      <c r="O387" s="7" t="n">
        <v>173.2014828233308</v>
      </c>
      <c r="P387" s="7" t="n">
        <v>11876.00437629163</v>
      </c>
      <c r="Q387" s="7" t="n">
        <v>12421.15330293068</v>
      </c>
      <c r="R387" s="7" t="n">
        <v>-545.1489266390545</v>
      </c>
      <c r="S387" s="6" t="n">
        <v>-0.04388875278678272</v>
      </c>
      <c r="T387" s="7" t="n">
        <v>503.4066878448959</v>
      </c>
      <c r="U387" s="7" t="n">
        <v>745.0418980104459</v>
      </c>
      <c r="V387" s="7" t="n">
        <v>17920.63575141203</v>
      </c>
      <c r="W387" s="7" t="n">
        <v>24768.40123332177</v>
      </c>
      <c r="X387" s="7" t="n">
        <v>-6847.765481909741</v>
      </c>
      <c r="Y387" s="6" t="n">
        <v>-0.2764718407701345</v>
      </c>
      <c r="Z387" s="7" t="n">
        <v>729.4942868957993</v>
      </c>
      <c r="AA387" s="7" t="n">
        <v>1079.651544605783</v>
      </c>
      <c r="AB387" s="7" t="n">
        <v>13524.35866971207</v>
      </c>
      <c r="AC387" s="7" t="n">
        <v>41497.28076229156</v>
      </c>
      <c r="AD387" s="7" t="n">
        <v>-27972.92209257949</v>
      </c>
      <c r="AE387" s="6" t="n">
        <v>-0.6740904844540656</v>
      </c>
    </row>
    <row r="388">
      <c r="A388" s="2" t="n">
        <v>379</v>
      </c>
      <c r="B388" s="2" t="inlineStr">
        <is>
          <t>KPROP-00379</t>
        </is>
      </c>
      <c r="C388" s="3" t="n">
        <v>45921</v>
      </c>
      <c r="D388" s="2" t="inlineStr">
        <is>
          <t>Michael King</t>
        </is>
      </c>
      <c r="E388" s="2" t="inlineStr">
        <is>
          <t>Win</t>
        </is>
      </c>
      <c r="F388" s="2" t="n">
        <v>0.7299270072992701</v>
      </c>
      <c r="G388" s="6" t="n">
        <v>0.1658914748524428</v>
      </c>
      <c r="H388" s="7" t="n">
        <v>100</v>
      </c>
      <c r="I388" s="7" t="n">
        <v>72.99270072992701</v>
      </c>
      <c r="J388" s="7" t="n">
        <v>11976.90758803412</v>
      </c>
      <c r="K388" s="7" t="n">
        <v>12267.8788782997</v>
      </c>
      <c r="L388" s="7" t="n">
        <v>-290.9712902655883</v>
      </c>
      <c r="M388" s="6" t="n">
        <v>-0.02371814175474776</v>
      </c>
      <c r="N388" s="7" t="n">
        <v>118.7600437629163</v>
      </c>
      <c r="O388" s="7" t="n">
        <v>86.68616333059585</v>
      </c>
      <c r="P388" s="7" t="n">
        <v>11962.69053962223</v>
      </c>
      <c r="Q388" s="7" t="n">
        <v>12421.15330293068</v>
      </c>
      <c r="R388" s="7" t="n">
        <v>-458.4627633084583</v>
      </c>
      <c r="S388" s="6" t="n">
        <v>-0.03690983857354753</v>
      </c>
      <c r="T388" s="7" t="n">
        <v>743.220173773789</v>
      </c>
      <c r="U388" s="7" t="n">
        <v>542.4964772071453</v>
      </c>
      <c r="V388" s="7" t="n">
        <v>18463.13222861918</v>
      </c>
      <c r="W388" s="7" t="n">
        <v>24768.40123332177</v>
      </c>
      <c r="X388" s="7" t="n">
        <v>-6305.269004702594</v>
      </c>
      <c r="Y388" s="6" t="n">
        <v>-0.2545690755453324</v>
      </c>
      <c r="Z388" s="7" t="n">
        <v>1121.787903075978</v>
      </c>
      <c r="AA388" s="7" t="n">
        <v>818.8232869167722</v>
      </c>
      <c r="AB388" s="7" t="n">
        <v>14343.18195662884</v>
      </c>
      <c r="AC388" s="7" t="n">
        <v>41497.28076229156</v>
      </c>
      <c r="AD388" s="7" t="n">
        <v>-27154.09880566272</v>
      </c>
      <c r="AE388" s="6" t="n">
        <v>-0.6543585099276568</v>
      </c>
    </row>
    <row r="389">
      <c r="A389" s="2" t="n">
        <v>380</v>
      </c>
      <c r="B389" s="2" t="inlineStr">
        <is>
          <t>KPROP-00380</t>
        </is>
      </c>
      <c r="C389" s="3" t="n">
        <v>45921</v>
      </c>
      <c r="D389" s="2" t="inlineStr">
        <is>
          <t>Simeon Woods Richardson</t>
        </is>
      </c>
      <c r="E389" s="2" t="inlineStr">
        <is>
          <t>Win</t>
        </is>
      </c>
      <c r="F389" s="2" t="n">
        <v>1.1</v>
      </c>
      <c r="G389" s="6" t="n">
        <v>0.1101091761151996</v>
      </c>
      <c r="H389" s="7" t="n">
        <v>100</v>
      </c>
      <c r="I389" s="7" t="n">
        <v>110</v>
      </c>
      <c r="J389" s="7" t="n">
        <v>12086.90758803412</v>
      </c>
      <c r="K389" s="7" t="n">
        <v>12267.8788782997</v>
      </c>
      <c r="L389" s="7" t="n">
        <v>-180.9712902655883</v>
      </c>
      <c r="M389" s="6" t="n">
        <v>-0.01475163653479684</v>
      </c>
      <c r="N389" s="7" t="n">
        <v>119.6269053962223</v>
      </c>
      <c r="O389" s="7" t="n">
        <v>131.5895959358445</v>
      </c>
      <c r="P389" s="7" t="n">
        <v>12094.28013555807</v>
      </c>
      <c r="Q389" s="7" t="n">
        <v>12421.15330293068</v>
      </c>
      <c r="R389" s="7" t="n">
        <v>-326.8731673726143</v>
      </c>
      <c r="S389" s="6" t="n">
        <v>-0.02631584679785659</v>
      </c>
      <c r="T389" s="7" t="n">
        <v>508.2400695498119</v>
      </c>
      <c r="U389" s="7" t="n">
        <v>559.0640765047931</v>
      </c>
      <c r="V389" s="7" t="n">
        <v>19022.19630512397</v>
      </c>
      <c r="W389" s="7" t="n">
        <v>24768.40123332177</v>
      </c>
      <c r="X389" s="7" t="n">
        <v>-5746.2049281978</v>
      </c>
      <c r="Y389" s="6" t="n">
        <v>-0.2319974096861462</v>
      </c>
      <c r="Z389" s="7" t="n">
        <v>789.6579740573993</v>
      </c>
      <c r="AA389" s="7" t="n">
        <v>868.6237714631393</v>
      </c>
      <c r="AB389" s="7" t="n">
        <v>15211.80572809198</v>
      </c>
      <c r="AC389" s="7" t="n">
        <v>41497.28076229156</v>
      </c>
      <c r="AD389" s="7" t="n">
        <v>-26285.47503419958</v>
      </c>
      <c r="AE389" s="6" t="n">
        <v>-0.6334264450909541</v>
      </c>
    </row>
    <row r="390">
      <c r="A390" s="2" t="n">
        <v>381</v>
      </c>
      <c r="B390" s="2" t="inlineStr">
        <is>
          <t>KPROP-00381</t>
        </is>
      </c>
      <c r="C390" s="3" t="n">
        <v>45921</v>
      </c>
      <c r="D390" s="2" t="inlineStr">
        <is>
          <t>Spencer Strider</t>
        </is>
      </c>
      <c r="E390" s="2" t="inlineStr">
        <is>
          <t>Win</t>
        </is>
      </c>
      <c r="F390" s="2" t="n">
        <v>0.847457627118644</v>
      </c>
      <c r="G390" s="6" t="n">
        <v>0.1506432041952587</v>
      </c>
      <c r="H390" s="7" t="n">
        <v>100</v>
      </c>
      <c r="I390" s="7" t="n">
        <v>84.7457627118644</v>
      </c>
      <c r="J390" s="7" t="n">
        <v>12171.65335074598</v>
      </c>
      <c r="K390" s="7" t="n">
        <v>12267.8788782997</v>
      </c>
      <c r="L390" s="7" t="n">
        <v>-96.22552755372453</v>
      </c>
      <c r="M390" s="6" t="n">
        <v>-0.007843697228209115</v>
      </c>
      <c r="N390" s="7" t="n">
        <v>120.9428013555807</v>
      </c>
      <c r="O390" s="7" t="n">
        <v>102.493899453882</v>
      </c>
      <c r="P390" s="7" t="n">
        <v>12196.77403501195</v>
      </c>
      <c r="Q390" s="7" t="n">
        <v>12421.15330293068</v>
      </c>
      <c r="R390" s="7" t="n">
        <v>-224.3792679187318</v>
      </c>
      <c r="S390" s="6" t="n">
        <v>-0.0180642861774994</v>
      </c>
      <c r="T390" s="7" t="n">
        <v>716.3911505587715</v>
      </c>
      <c r="U390" s="7" t="n">
        <v>607.1111445413318</v>
      </c>
      <c r="V390" s="7" t="n">
        <v>19629.30744966531</v>
      </c>
      <c r="W390" s="7" t="n">
        <v>24768.40123332177</v>
      </c>
      <c r="X390" s="7" t="n">
        <v>-5139.093783656466</v>
      </c>
      <c r="Y390" s="6" t="n">
        <v>-0.2074858903990407</v>
      </c>
      <c r="Z390" s="7" t="n">
        <v>1145.777578237783</v>
      </c>
      <c r="AA390" s="7" t="n">
        <v>970.9979476591379</v>
      </c>
      <c r="AB390" s="7" t="n">
        <v>16182.80367575111</v>
      </c>
      <c r="AC390" s="7" t="n">
        <v>41497.28076229156</v>
      </c>
      <c r="AD390" s="7" t="n">
        <v>-25314.47708654044</v>
      </c>
      <c r="AE390" s="6" t="n">
        <v>-0.6100273709872485</v>
      </c>
    </row>
    <row r="391">
      <c r="A391" s="2" t="n">
        <v>382</v>
      </c>
      <c r="B391" s="2" t="inlineStr">
        <is>
          <t>KPROP-00382</t>
        </is>
      </c>
      <c r="C391" s="3" t="n">
        <v>45922</v>
      </c>
      <c r="D391" s="2" t="inlineStr">
        <is>
          <t>Chris Sale</t>
        </is>
      </c>
      <c r="E391" s="2" t="inlineStr">
        <is>
          <t>Win</t>
        </is>
      </c>
      <c r="F391" s="2" t="n">
        <v>0.9803921568627452</v>
      </c>
      <c r="G391" s="6" t="n">
        <v>0.2568393944748822</v>
      </c>
      <c r="H391" s="7" t="n">
        <v>100</v>
      </c>
      <c r="I391" s="7" t="n">
        <v>98.03921568627452</v>
      </c>
      <c r="J391" s="7" t="n">
        <v>12269.69256643225</v>
      </c>
      <c r="K391" s="7" t="n">
        <v>12269.69256643225</v>
      </c>
      <c r="L391" s="7" t="n">
        <v>0</v>
      </c>
      <c r="M391" s="6" t="n">
        <v>0</v>
      </c>
      <c r="N391" s="7" t="n">
        <v>121.9677403501195</v>
      </c>
      <c r="O391" s="7" t="n">
        <v>119.576216029529</v>
      </c>
      <c r="P391" s="7" t="n">
        <v>12316.35025104148</v>
      </c>
      <c r="Q391" s="7" t="n">
        <v>12421.15330293068</v>
      </c>
      <c r="R391" s="7" t="n">
        <v>-104.8030518892028</v>
      </c>
      <c r="S391" s="6" t="n">
        <v>-0.008437465453749394</v>
      </c>
      <c r="T391" s="7" t="n">
        <v>1260.394859833333</v>
      </c>
      <c r="U391" s="7" t="n">
        <v>1235.681235130719</v>
      </c>
      <c r="V391" s="7" t="n">
        <v>20864.98868479603</v>
      </c>
      <c r="W391" s="7" t="n">
        <v>24768.40123332177</v>
      </c>
      <c r="X391" s="7" t="n">
        <v>-3903.412548525746</v>
      </c>
      <c r="Y391" s="6" t="n">
        <v>-0.1575964678444547</v>
      </c>
      <c r="Z391" s="7" t="n">
        <v>2078.190748492907</v>
      </c>
      <c r="AA391" s="7" t="n">
        <v>2037.441910287164</v>
      </c>
      <c r="AB391" s="7" t="n">
        <v>18220.24558603828</v>
      </c>
      <c r="AC391" s="7" t="n">
        <v>41497.28076229156</v>
      </c>
      <c r="AD391" s="7" t="n">
        <v>-23277.03517625328</v>
      </c>
      <c r="AE391" s="6" t="n">
        <v>-0.5609291680963597</v>
      </c>
    </row>
    <row r="392">
      <c r="A392" s="2" t="n">
        <v>383</v>
      </c>
      <c r="B392" s="2" t="inlineStr">
        <is>
          <t>KPROP-00383</t>
        </is>
      </c>
      <c r="C392" s="3" t="n">
        <v>45923</v>
      </c>
      <c r="D392" s="2" t="inlineStr">
        <is>
          <t>Dean Kremer</t>
        </is>
      </c>
      <c r="E392" s="2" t="inlineStr">
        <is>
          <t>Win</t>
        </is>
      </c>
      <c r="F392" s="2" t="n">
        <v>1.25</v>
      </c>
      <c r="G392" s="6" t="n">
        <v>0.1835614398273218</v>
      </c>
      <c r="H392" s="7" t="n">
        <v>100</v>
      </c>
      <c r="I392" s="7" t="n">
        <v>125</v>
      </c>
      <c r="J392" s="7" t="n">
        <v>12394.69256643225</v>
      </c>
      <c r="K392" s="7" t="n">
        <v>12394.69256643225</v>
      </c>
      <c r="L392" s="7" t="n">
        <v>0</v>
      </c>
      <c r="M392" s="6" t="n">
        <v>0</v>
      </c>
      <c r="N392" s="7" t="n">
        <v>123.1635025104148</v>
      </c>
      <c r="O392" s="7" t="n">
        <v>153.9543781380185</v>
      </c>
      <c r="P392" s="7" t="n">
        <v>12470.3046291795</v>
      </c>
      <c r="Q392" s="7" t="n">
        <v>12470.3046291795</v>
      </c>
      <c r="R392" s="7" t="n">
        <v>0</v>
      </c>
      <c r="S392" s="6" t="n">
        <v>0</v>
      </c>
      <c r="T392" s="7" t="n">
        <v>957.5018412404842</v>
      </c>
      <c r="U392" s="7" t="n">
        <v>1196.877301550605</v>
      </c>
      <c r="V392" s="7" t="n">
        <v>22061.86598634663</v>
      </c>
      <c r="W392" s="7" t="n">
        <v>24768.40123332177</v>
      </c>
      <c r="X392" s="7" t="n">
        <v>-2706.535246975141</v>
      </c>
      <c r="Y392" s="6" t="n">
        <v>-0.1092737161950505</v>
      </c>
      <c r="Z392" s="7" t="n">
        <v>1672.267256890296</v>
      </c>
      <c r="AA392" s="7" t="n">
        <v>2090.33407111287</v>
      </c>
      <c r="AB392" s="7" t="n">
        <v>20310.57965715115</v>
      </c>
      <c r="AC392" s="7" t="n">
        <v>41497.28076229156</v>
      </c>
      <c r="AD392" s="7" t="n">
        <v>-21186.70110514041</v>
      </c>
      <c r="AE392" s="6" t="n">
        <v>-0.5105563717898521</v>
      </c>
    </row>
    <row r="393">
      <c r="A393" s="2" t="n">
        <v>384</v>
      </c>
      <c r="B393" s="2" t="inlineStr">
        <is>
          <t>KPROP-00384</t>
        </is>
      </c>
      <c r="C393" s="3" t="n">
        <v>45923</v>
      </c>
      <c r="D393" s="2" t="inlineStr">
        <is>
          <t>Dean Kremer</t>
        </is>
      </c>
      <c r="E393" s="2" t="inlineStr">
        <is>
          <t>Win</t>
        </is>
      </c>
      <c r="F393" s="2" t="n">
        <v>0.5988023952095807</v>
      </c>
      <c r="G393" s="6" t="n">
        <v>0.2409462285176722</v>
      </c>
      <c r="H393" s="7" t="n">
        <v>100</v>
      </c>
      <c r="I393" s="7" t="n">
        <v>59.88023952095807</v>
      </c>
      <c r="J393" s="7" t="n">
        <v>12454.57280595321</v>
      </c>
      <c r="K393" s="7" t="n">
        <v>12454.57280595321</v>
      </c>
      <c r="L393" s="7" t="n">
        <v>0</v>
      </c>
      <c r="M393" s="6" t="n">
        <v>0</v>
      </c>
      <c r="N393" s="7" t="n">
        <v>124.703046291795</v>
      </c>
      <c r="O393" s="7" t="n">
        <v>74.67248280945806</v>
      </c>
      <c r="P393" s="7" t="n">
        <v>12544.97711198896</v>
      </c>
      <c r="Q393" s="7" t="n">
        <v>12544.97711198896</v>
      </c>
      <c r="R393" s="7" t="n">
        <v>0</v>
      </c>
      <c r="S393" s="6" t="n">
        <v>0</v>
      </c>
      <c r="T393" s="7" t="n">
        <v>1328.930850868134</v>
      </c>
      <c r="U393" s="7" t="n">
        <v>795.7669765677446</v>
      </c>
      <c r="V393" s="7" t="n">
        <v>22857.63296291438</v>
      </c>
      <c r="W393" s="7" t="n">
        <v>24768.40123332177</v>
      </c>
      <c r="X393" s="7" t="n">
        <v>-1910.768270407396</v>
      </c>
      <c r="Y393" s="6" t="n">
        <v>-0.07714540201475638</v>
      </c>
      <c r="Z393" s="7" t="n">
        <v>2446.878783699163</v>
      </c>
      <c r="AA393" s="7" t="n">
        <v>1465.196876466564</v>
      </c>
      <c r="AB393" s="7" t="n">
        <v>21775.77653361771</v>
      </c>
      <c r="AC393" s="7" t="n">
        <v>41497.28076229156</v>
      </c>
      <c r="AD393" s="7" t="n">
        <v>-19721.50422867384</v>
      </c>
      <c r="AE393" s="6" t="n">
        <v>-0.475248109427804</v>
      </c>
    </row>
    <row r="394">
      <c r="A394" s="2" t="n">
        <v>385</v>
      </c>
      <c r="B394" s="2" t="inlineStr">
        <is>
          <t>KPROP-00385</t>
        </is>
      </c>
      <c r="C394" s="3" t="n">
        <v>45923</v>
      </c>
      <c r="D394" s="2" t="inlineStr">
        <is>
          <t>Hurston Waldrep</t>
        </is>
      </c>
      <c r="E394" s="2" t="inlineStr">
        <is>
          <t>Loss</t>
        </is>
      </c>
      <c r="F394" s="2" t="n">
        <v>-1</v>
      </c>
      <c r="G394" s="6" t="n">
        <v>0.07329145498662831</v>
      </c>
      <c r="H394" s="7" t="n">
        <v>100</v>
      </c>
      <c r="I394" s="7" t="n">
        <v>-100</v>
      </c>
      <c r="J394" s="7" t="n">
        <v>12354.57280595321</v>
      </c>
      <c r="K394" s="7" t="n">
        <v>12454.57280595321</v>
      </c>
      <c r="L394" s="7" t="n">
        <v>-100</v>
      </c>
      <c r="M394" s="6" t="n">
        <v>-0.008029179447423568</v>
      </c>
      <c r="N394" s="7" t="n">
        <v>125.4497711198896</v>
      </c>
      <c r="O394" s="7" t="n">
        <v>-125.4497711198896</v>
      </c>
      <c r="P394" s="7" t="n">
        <v>12419.52734086907</v>
      </c>
      <c r="Q394" s="7" t="n">
        <v>12544.97711198896</v>
      </c>
      <c r="R394" s="7" t="n">
        <v>-125.4497711198892</v>
      </c>
      <c r="S394" s="6" t="n">
        <v>-0.009999999999999969</v>
      </c>
      <c r="T394" s="7" t="n">
        <v>418.8172943505776</v>
      </c>
      <c r="U394" s="7" t="n">
        <v>-418.8172943505776</v>
      </c>
      <c r="V394" s="7" t="n">
        <v>22438.8156685638</v>
      </c>
      <c r="W394" s="7" t="n">
        <v>24768.40123332177</v>
      </c>
      <c r="X394" s="7" t="n">
        <v>-2329.585564757974</v>
      </c>
      <c r="Y394" s="6" t="n">
        <v>-0.094054741071616</v>
      </c>
      <c r="Z394" s="7" t="n">
        <v>797.9891728062599</v>
      </c>
      <c r="AA394" s="7" t="n">
        <v>-797.9891728062599</v>
      </c>
      <c r="AB394" s="7" t="n">
        <v>20977.78736081145</v>
      </c>
      <c r="AC394" s="7" t="n">
        <v>41497.28076229156</v>
      </c>
      <c r="AD394" s="7" t="n">
        <v>-20519.4934014801</v>
      </c>
      <c r="AE394" s="6" t="n">
        <v>-0.4944780242113141</v>
      </c>
    </row>
    <row r="395">
      <c r="A395" s="2" t="n">
        <v>386</v>
      </c>
      <c r="B395" s="2" t="inlineStr">
        <is>
          <t>KPROP-00386</t>
        </is>
      </c>
      <c r="C395" s="3" t="n">
        <v>45923</v>
      </c>
      <c r="D395" s="2" t="inlineStr">
        <is>
          <t>Hurston Waldrep</t>
        </is>
      </c>
      <c r="E395" s="2" t="inlineStr">
        <is>
          <t>Win</t>
        </is>
      </c>
      <c r="F395" s="2" t="n">
        <v>0.6666666666666665</v>
      </c>
      <c r="G395" s="6" t="n">
        <v>0.1190415146606268</v>
      </c>
      <c r="H395" s="7" t="n">
        <v>100</v>
      </c>
      <c r="I395" s="7" t="n">
        <v>66.66666666666666</v>
      </c>
      <c r="J395" s="7" t="n">
        <v>12421.23947261988</v>
      </c>
      <c r="K395" s="7" t="n">
        <v>12454.57280595321</v>
      </c>
      <c r="L395" s="7" t="n">
        <v>-33.33333333333394</v>
      </c>
      <c r="M395" s="6" t="n">
        <v>-0.002676393149141238</v>
      </c>
      <c r="N395" s="7" t="n">
        <v>124.1952734086907</v>
      </c>
      <c r="O395" s="7" t="n">
        <v>82.7968489391271</v>
      </c>
      <c r="P395" s="7" t="n">
        <v>12502.3241898082</v>
      </c>
      <c r="Q395" s="7" t="n">
        <v>12544.97711198896</v>
      </c>
      <c r="R395" s="7" t="n">
        <v>-42.65292218076138</v>
      </c>
      <c r="S395" s="6" t="n">
        <v>-0.003399999999999914</v>
      </c>
      <c r="T395" s="7" t="n">
        <v>667.7876510941097</v>
      </c>
      <c r="U395" s="7" t="n">
        <v>445.191767396073</v>
      </c>
      <c r="V395" s="7" t="n">
        <v>22884.00743595987</v>
      </c>
      <c r="W395" s="7" t="n">
        <v>24768.40123332177</v>
      </c>
      <c r="X395" s="7" t="n">
        <v>-1884.393797361899</v>
      </c>
      <c r="Y395" s="6" t="n">
        <v>-0.0760805584345412</v>
      </c>
      <c r="Z395" s="7" t="n">
        <v>1248.613790829774</v>
      </c>
      <c r="AA395" s="7" t="n">
        <v>832.4091938865156</v>
      </c>
      <c r="AB395" s="7" t="n">
        <v>21810.19655469797</v>
      </c>
      <c r="AC395" s="7" t="n">
        <v>41497.28076229156</v>
      </c>
      <c r="AD395" s="7" t="n">
        <v>-19687.08420759359</v>
      </c>
      <c r="AE395" s="6" t="n">
        <v>-0.4744186569806081</v>
      </c>
    </row>
    <row r="396">
      <c r="A396" s="2" t="n">
        <v>387</v>
      </c>
      <c r="B396" s="2" t="inlineStr">
        <is>
          <t>KPROP-00387</t>
        </is>
      </c>
      <c r="C396" s="3" t="n">
        <v>45923</v>
      </c>
      <c r="D396" s="2" t="inlineStr">
        <is>
          <t>Tarik Skubal</t>
        </is>
      </c>
      <c r="E396" s="2" t="inlineStr">
        <is>
          <t>Loss</t>
        </is>
      </c>
      <c r="F396" s="2" t="n">
        <v>-1</v>
      </c>
      <c r="G396" s="6" t="n">
        <v>0.1941523186902188</v>
      </c>
      <c r="H396" s="7" t="n">
        <v>100</v>
      </c>
      <c r="I396" s="7" t="n">
        <v>-100</v>
      </c>
      <c r="J396" s="7" t="n">
        <v>12321.23947261988</v>
      </c>
      <c r="K396" s="7" t="n">
        <v>12454.57280595321</v>
      </c>
      <c r="L396" s="7" t="n">
        <v>-133.3333333333339</v>
      </c>
      <c r="M396" s="6" t="n">
        <v>-0.0107055725965648</v>
      </c>
      <c r="N396" s="7" t="n">
        <v>125.023241898082</v>
      </c>
      <c r="O396" s="7" t="n">
        <v>-125.023241898082</v>
      </c>
      <c r="P396" s="7" t="n">
        <v>12377.30094791011</v>
      </c>
      <c r="Q396" s="7" t="n">
        <v>12544.97711198896</v>
      </c>
      <c r="R396" s="7" t="n">
        <v>-167.6761640788427</v>
      </c>
      <c r="S396" s="6" t="n">
        <v>-0.01336599999999986</v>
      </c>
      <c r="T396" s="7" t="n">
        <v>1110.745776153954</v>
      </c>
      <c r="U396" s="7" t="n">
        <v>-1110.745776153954</v>
      </c>
      <c r="V396" s="7" t="n">
        <v>21773.26165980592</v>
      </c>
      <c r="W396" s="7" t="n">
        <v>24768.40123332177</v>
      </c>
      <c r="X396" s="7" t="n">
        <v>-2995.139573515855</v>
      </c>
      <c r="Y396" s="6" t="n">
        <v>-0.1209258339002677</v>
      </c>
      <c r="Z396" s="7" t="n">
        <v>2117.250116092016</v>
      </c>
      <c r="AA396" s="7" t="n">
        <v>-2117.250116092016</v>
      </c>
      <c r="AB396" s="7" t="n">
        <v>19692.94643860596</v>
      </c>
      <c r="AC396" s="7" t="n">
        <v>41497.28076229156</v>
      </c>
      <c r="AD396" s="7" t="n">
        <v>-21804.3343236856</v>
      </c>
      <c r="AE396" s="6" t="n">
        <v>-0.5254400751843752</v>
      </c>
    </row>
    <row r="397">
      <c r="A397" s="2" t="n">
        <v>388</v>
      </c>
      <c r="B397" s="2" t="inlineStr">
        <is>
          <t>KPROP-00388</t>
        </is>
      </c>
      <c r="C397" s="3" t="n">
        <v>45924</v>
      </c>
      <c r="D397" s="2" t="inlineStr">
        <is>
          <t>Hunter Greene</t>
        </is>
      </c>
      <c r="E397" s="2" t="inlineStr">
        <is>
          <t>Win</t>
        </is>
      </c>
      <c r="F397" s="2" t="n">
        <v>1.18</v>
      </c>
      <c r="G397" s="6" t="n">
        <v>0.1202647605209635</v>
      </c>
      <c r="H397" s="7" t="n">
        <v>100</v>
      </c>
      <c r="I397" s="7" t="n">
        <v>118</v>
      </c>
      <c r="J397" s="7" t="n">
        <v>12439.23947261988</v>
      </c>
      <c r="K397" s="7" t="n">
        <v>12454.57280595321</v>
      </c>
      <c r="L397" s="7" t="n">
        <v>-15.33333333333394</v>
      </c>
      <c r="M397" s="6" t="n">
        <v>-0.001231140848604996</v>
      </c>
      <c r="N397" s="7" t="n">
        <v>123.7730094791011</v>
      </c>
      <c r="O397" s="7" t="n">
        <v>146.0521511853393</v>
      </c>
      <c r="P397" s="7" t="n">
        <v>12523.35309909545</v>
      </c>
      <c r="Q397" s="7" t="n">
        <v>12544.97711198896</v>
      </c>
      <c r="R397" s="7" t="n">
        <v>-21.62401289350419</v>
      </c>
      <c r="S397" s="6" t="n">
        <v>-0.00172371879999993</v>
      </c>
      <c r="T397" s="7" t="n">
        <v>654.6390248192089</v>
      </c>
      <c r="U397" s="7" t="n">
        <v>772.4740492866663</v>
      </c>
      <c r="V397" s="7" t="n">
        <v>22545.73570909258</v>
      </c>
      <c r="W397" s="7" t="n">
        <v>24768.40123332177</v>
      </c>
      <c r="X397" s="7" t="n">
        <v>-2222.665524229189</v>
      </c>
      <c r="Y397" s="6" t="n">
        <v>-0.0897379489007535</v>
      </c>
      <c r="Z397" s="7" t="n">
        <v>1184.183743695553</v>
      </c>
      <c r="AA397" s="7" t="n">
        <v>1397.336817560753</v>
      </c>
      <c r="AB397" s="7" t="n">
        <v>21090.28325616671</v>
      </c>
      <c r="AC397" s="7" t="n">
        <v>41497.28076229156</v>
      </c>
      <c r="AD397" s="7" t="n">
        <v>-20406.99750612485</v>
      </c>
      <c r="AE397" s="6" t="n">
        <v>-0.4917671021150046</v>
      </c>
    </row>
    <row r="398">
      <c r="A398" s="2" t="n">
        <v>389</v>
      </c>
      <c r="B398" s="2" t="inlineStr">
        <is>
          <t>KPROP-00389</t>
        </is>
      </c>
      <c r="C398" s="3" t="n">
        <v>45924</v>
      </c>
      <c r="D398" s="2" t="inlineStr">
        <is>
          <t>Max Scherzer</t>
        </is>
      </c>
      <c r="E398" s="2" t="inlineStr">
        <is>
          <t>Win</t>
        </is>
      </c>
      <c r="F398" s="2" t="n">
        <v>0.7407407407407407</v>
      </c>
      <c r="G398" s="6" t="n">
        <v>0.2023437921418558</v>
      </c>
      <c r="H398" s="7" t="n">
        <v>100</v>
      </c>
      <c r="I398" s="7" t="n">
        <v>74.07407407407408</v>
      </c>
      <c r="J398" s="7" t="n">
        <v>12513.31354669395</v>
      </c>
      <c r="K398" s="7" t="n">
        <v>12513.31354669395</v>
      </c>
      <c r="L398" s="7" t="n">
        <v>0</v>
      </c>
      <c r="M398" s="6" t="n">
        <v>0</v>
      </c>
      <c r="N398" s="7" t="n">
        <v>125.2335309909545</v>
      </c>
      <c r="O398" s="7" t="n">
        <v>92.76557851181816</v>
      </c>
      <c r="P398" s="7" t="n">
        <v>12616.11867760727</v>
      </c>
      <c r="Q398" s="7" t="n">
        <v>12616.11867760727</v>
      </c>
      <c r="R398" s="7" t="n">
        <v>0</v>
      </c>
      <c r="S398" s="6" t="n">
        <v>0</v>
      </c>
      <c r="T398" s="7" t="n">
        <v>1140.497415001461</v>
      </c>
      <c r="U398" s="7" t="n">
        <v>844.8129000010823</v>
      </c>
      <c r="V398" s="7" t="n">
        <v>23390.54860909366</v>
      </c>
      <c r="W398" s="7" t="n">
        <v>24768.40123332177</v>
      </c>
      <c r="X398" s="7" t="n">
        <v>-1377.852624228108</v>
      </c>
      <c r="Y398" s="6" t="n">
        <v>-0.05562945348181924</v>
      </c>
      <c r="Z398" s="7" t="n">
        <v>2133.743945699329</v>
      </c>
      <c r="AA398" s="7" t="n">
        <v>1580.551070888392</v>
      </c>
      <c r="AB398" s="7" t="n">
        <v>22670.8343270551</v>
      </c>
      <c r="AC398" s="7" t="n">
        <v>41497.28076229156</v>
      </c>
      <c r="AD398" s="7" t="n">
        <v>-18826.44643523646</v>
      </c>
      <c r="AE398" s="6" t="n">
        <v>-0.4536790384671177</v>
      </c>
    </row>
    <row r="399">
      <c r="A399" s="2" t="n">
        <v>390</v>
      </c>
      <c r="B399" s="2" t="inlineStr">
        <is>
          <t>KPROP-00390</t>
        </is>
      </c>
      <c r="C399" s="3" t="n">
        <v>45924</v>
      </c>
      <c r="D399" s="2" t="inlineStr">
        <is>
          <t>Tyler Wells</t>
        </is>
      </c>
      <c r="E399" s="2" t="inlineStr">
        <is>
          <t>Win</t>
        </is>
      </c>
      <c r="F399" s="2" t="n">
        <v>1.33</v>
      </c>
      <c r="G399" s="6" t="n">
        <v>0.08395418970499878</v>
      </c>
      <c r="H399" s="7" t="n">
        <v>100</v>
      </c>
      <c r="I399" s="7" t="n">
        <v>133</v>
      </c>
      <c r="J399" s="7" t="n">
        <v>12646.31354669395</v>
      </c>
      <c r="K399" s="7" t="n">
        <v>12646.31354669395</v>
      </c>
      <c r="L399" s="7" t="n">
        <v>0</v>
      </c>
      <c r="M399" s="6" t="n">
        <v>0</v>
      </c>
      <c r="N399" s="7" t="n">
        <v>126.1611867760727</v>
      </c>
      <c r="O399" s="7" t="n">
        <v>167.7943784121767</v>
      </c>
      <c r="P399" s="7" t="n">
        <v>12783.91305601945</v>
      </c>
      <c r="Q399" s="7" t="n">
        <v>12783.91305601945</v>
      </c>
      <c r="R399" s="7" t="n">
        <v>0</v>
      </c>
      <c r="S399" s="6" t="n">
        <v>0</v>
      </c>
      <c r="T399" s="7" t="n">
        <v>490.9336388079612</v>
      </c>
      <c r="U399" s="7" t="n">
        <v>652.9417396145885</v>
      </c>
      <c r="V399" s="7" t="n">
        <v>24043.49034870825</v>
      </c>
      <c r="W399" s="7" t="n">
        <v>24768.40123332177</v>
      </c>
      <c r="X399" s="7" t="n">
        <v>-724.9108846135205</v>
      </c>
      <c r="Y399" s="6" t="n">
        <v>-0.02926756869709754</v>
      </c>
      <c r="Z399" s="7" t="n">
        <v>951.6557629320912</v>
      </c>
      <c r="AA399" s="7" t="n">
        <v>1265.702164699681</v>
      </c>
      <c r="AB399" s="7" t="n">
        <v>23936.53649175478</v>
      </c>
      <c r="AC399" s="7" t="n">
        <v>41497.28076229156</v>
      </c>
      <c r="AD399" s="7" t="n">
        <v>-17560.74427053678</v>
      </c>
      <c r="AE399" s="6" t="n">
        <v>-0.4231781925936257</v>
      </c>
    </row>
    <row r="400">
      <c r="A400" s="2" t="n">
        <v>391</v>
      </c>
      <c r="B400" s="2" t="inlineStr">
        <is>
          <t>KPROP-00391</t>
        </is>
      </c>
      <c r="C400" s="3" t="n">
        <v>45925</v>
      </c>
      <c r="D400" s="2" t="inlineStr">
        <is>
          <t>Bailey Ober</t>
        </is>
      </c>
      <c r="E400" s="2" t="inlineStr">
        <is>
          <t>Loss</t>
        </is>
      </c>
      <c r="F400" s="2" t="n">
        <v>-1</v>
      </c>
      <c r="G400" s="6" t="n">
        <v>0.2028932839523178</v>
      </c>
      <c r="H400" s="7" t="n">
        <v>100</v>
      </c>
      <c r="I400" s="7" t="n">
        <v>-100</v>
      </c>
      <c r="J400" s="7" t="n">
        <v>12546.31354669395</v>
      </c>
      <c r="K400" s="7" t="n">
        <v>12646.31354669395</v>
      </c>
      <c r="L400" s="7" t="n">
        <v>-100</v>
      </c>
      <c r="M400" s="6" t="n">
        <v>-0.007907442720819014</v>
      </c>
      <c r="N400" s="7" t="n">
        <v>127.8391305601945</v>
      </c>
      <c r="O400" s="7" t="n">
        <v>-127.8391305601945</v>
      </c>
      <c r="P400" s="7" t="n">
        <v>12656.07392545925</v>
      </c>
      <c r="Q400" s="7" t="n">
        <v>12783.91305601945</v>
      </c>
      <c r="R400" s="7" t="n">
        <v>-127.8391305601945</v>
      </c>
      <c r="S400" s="6" t="n">
        <v>-0.009999999999999998</v>
      </c>
      <c r="T400" s="7" t="n">
        <v>1219.565678631319</v>
      </c>
      <c r="U400" s="7" t="n">
        <v>-1219.565678631319</v>
      </c>
      <c r="V400" s="7" t="n">
        <v>22823.92467007693</v>
      </c>
      <c r="W400" s="7" t="n">
        <v>24768.40123332177</v>
      </c>
      <c r="X400" s="7" t="n">
        <v>-1944.47656324484</v>
      </c>
      <c r="Y400" s="6" t="n">
        <v>-0.07850634140361346</v>
      </c>
      <c r="Z400" s="7" t="n">
        <v>2428.281247628309</v>
      </c>
      <c r="AA400" s="7" t="n">
        <v>-2428.281247628309</v>
      </c>
      <c r="AB400" s="7" t="n">
        <v>21508.25524412647</v>
      </c>
      <c r="AC400" s="7" t="n">
        <v>41497.28076229156</v>
      </c>
      <c r="AD400" s="7" t="n">
        <v>-19989.02551816509</v>
      </c>
      <c r="AE400" s="6" t="n">
        <v>-0.4816948279736211</v>
      </c>
    </row>
    <row r="401">
      <c r="A401" s="2" t="n">
        <v>392</v>
      </c>
      <c r="B401" s="2" t="inlineStr">
        <is>
          <t>KPROP-00392</t>
        </is>
      </c>
      <c r="C401" s="3" t="n">
        <v>45925</v>
      </c>
      <c r="D401" s="2" t="inlineStr">
        <is>
          <t>Nick Lodolo</t>
        </is>
      </c>
      <c r="E401" s="2" t="inlineStr">
        <is>
          <t>Loss</t>
        </is>
      </c>
      <c r="F401" s="2" t="n">
        <v>-1</v>
      </c>
      <c r="G401" s="6" t="n">
        <v>0.1470497280248132</v>
      </c>
      <c r="H401" s="7" t="n">
        <v>100</v>
      </c>
      <c r="I401" s="7" t="n">
        <v>-100</v>
      </c>
      <c r="J401" s="7" t="n">
        <v>12446.31354669395</v>
      </c>
      <c r="K401" s="7" t="n">
        <v>12646.31354669395</v>
      </c>
      <c r="L401" s="7" t="n">
        <v>-200</v>
      </c>
      <c r="M401" s="6" t="n">
        <v>-0.01581488544163803</v>
      </c>
      <c r="N401" s="7" t="n">
        <v>126.5607392545925</v>
      </c>
      <c r="O401" s="7" t="n">
        <v>-126.5607392545925</v>
      </c>
      <c r="P401" s="7" t="n">
        <v>12529.51318620466</v>
      </c>
      <c r="Q401" s="7" t="n">
        <v>12783.91305601945</v>
      </c>
      <c r="R401" s="7" t="n">
        <v>-254.3998698147861</v>
      </c>
      <c r="S401" s="6" t="n">
        <v>-0.01989999999999993</v>
      </c>
      <c r="T401" s="7" t="n">
        <v>839.0629787984095</v>
      </c>
      <c r="U401" s="7" t="n">
        <v>-839.0629787984095</v>
      </c>
      <c r="V401" s="7" t="n">
        <v>21984.86169127852</v>
      </c>
      <c r="W401" s="7" t="n">
        <v>24768.40123332177</v>
      </c>
      <c r="X401" s="7" t="n">
        <v>-2783.539542043251</v>
      </c>
      <c r="Y401" s="6" t="n">
        <v>-0.1123826893719107</v>
      </c>
      <c r="Z401" s="7" t="n">
        <v>1581.39154196853</v>
      </c>
      <c r="AA401" s="7" t="n">
        <v>-1581.39154196853</v>
      </c>
      <c r="AB401" s="7" t="n">
        <v>19926.86370215794</v>
      </c>
      <c r="AC401" s="7" t="n">
        <v>41497.28076229156</v>
      </c>
      <c r="AD401" s="7" t="n">
        <v>-21570.41706013362</v>
      </c>
      <c r="AE401" s="6" t="n">
        <v>-0.5198031452637876</v>
      </c>
    </row>
    <row r="402">
      <c r="A402" s="2" t="n">
        <v>393</v>
      </c>
      <c r="B402" s="2" t="inlineStr">
        <is>
          <t>KPROP-00393</t>
        </is>
      </c>
      <c r="C402" s="3" t="n">
        <v>45925</v>
      </c>
      <c r="D402" s="2" t="inlineStr">
        <is>
          <t>Shota Imanaga</t>
        </is>
      </c>
      <c r="E402" s="2" t="inlineStr">
        <is>
          <t>Win</t>
        </is>
      </c>
      <c r="F402" s="2" t="n">
        <v>1.2</v>
      </c>
      <c r="G402" s="6" t="n">
        <v>0.1483383946619084</v>
      </c>
      <c r="H402" s="7" t="n">
        <v>100</v>
      </c>
      <c r="I402" s="7" t="n">
        <v>120</v>
      </c>
      <c r="J402" s="7" t="n">
        <v>12566.31354669395</v>
      </c>
      <c r="K402" s="7" t="n">
        <v>12646.31354669395</v>
      </c>
      <c r="L402" s="7" t="n">
        <v>-80</v>
      </c>
      <c r="M402" s="6" t="n">
        <v>-0.006325954176655212</v>
      </c>
      <c r="N402" s="7" t="n">
        <v>125.2951318620466</v>
      </c>
      <c r="O402" s="7" t="n">
        <v>150.354158234456</v>
      </c>
      <c r="P402" s="7" t="n">
        <v>12679.86734443912</v>
      </c>
      <c r="Q402" s="7" t="n">
        <v>12783.91305601945</v>
      </c>
      <c r="R402" s="7" t="n">
        <v>-104.045711580331</v>
      </c>
      <c r="S402" s="6" t="n">
        <v>-0.008138799999999996</v>
      </c>
      <c r="T402" s="7" t="n">
        <v>815.2997725370861</v>
      </c>
      <c r="U402" s="7" t="n">
        <v>978.3597270445035</v>
      </c>
      <c r="V402" s="7" t="n">
        <v>22963.22141832302</v>
      </c>
      <c r="W402" s="7" t="n">
        <v>24768.40123332177</v>
      </c>
      <c r="X402" s="7" t="n">
        <v>-1805.179814998748</v>
      </c>
      <c r="Y402" s="6" t="n">
        <v>-0.07288237129210336</v>
      </c>
      <c r="Z402" s="7" t="n">
        <v>1477.959486112381</v>
      </c>
      <c r="AA402" s="7" t="n">
        <v>1773.551383334858</v>
      </c>
      <c r="AB402" s="7" t="n">
        <v>21700.4150854928</v>
      </c>
      <c r="AC402" s="7" t="n">
        <v>41497.28076229156</v>
      </c>
      <c r="AD402" s="7" t="n">
        <v>-19796.86567679876</v>
      </c>
      <c r="AE402" s="6" t="n">
        <v>-0.4770641669318272</v>
      </c>
    </row>
    <row r="403">
      <c r="A403" s="2" t="n">
        <v>394</v>
      </c>
      <c r="B403" s="2" t="inlineStr">
        <is>
          <t>KPROP-00394</t>
        </is>
      </c>
      <c r="C403" s="3" t="n">
        <v>45925</v>
      </c>
      <c r="D403" s="2" t="inlineStr">
        <is>
          <t>Shota Imanaga</t>
        </is>
      </c>
      <c r="E403" s="2" t="inlineStr">
        <is>
          <t>Win</t>
        </is>
      </c>
      <c r="F403" s="2" t="n">
        <v>0.5649717514124295</v>
      </c>
      <c r="G403" s="6" t="n">
        <v>0.1854617493178753</v>
      </c>
      <c r="H403" s="7" t="n">
        <v>100</v>
      </c>
      <c r="I403" s="7" t="n">
        <v>56.49717514124295</v>
      </c>
      <c r="J403" s="7" t="n">
        <v>12622.8107218352</v>
      </c>
      <c r="K403" s="7" t="n">
        <v>12646.31354669395</v>
      </c>
      <c r="L403" s="7" t="n">
        <v>-23.50282485875687</v>
      </c>
      <c r="M403" s="6" t="n">
        <v>-0.001858472413480612</v>
      </c>
      <c r="N403" s="7" t="n">
        <v>126.7986734443912</v>
      </c>
      <c r="O403" s="7" t="n">
        <v>71.6376686126504</v>
      </c>
      <c r="P403" s="7" t="n">
        <v>12751.50501305177</v>
      </c>
      <c r="Q403" s="7" t="n">
        <v>12783.91305601945</v>
      </c>
      <c r="R403" s="7" t="n">
        <v>-32.40804296768147</v>
      </c>
      <c r="S403" s="6" t="n">
        <v>-0.002535064406779721</v>
      </c>
      <c r="T403" s="7" t="n">
        <v>1064.699803553973</v>
      </c>
      <c r="U403" s="7" t="n">
        <v>601.5253127423576</v>
      </c>
      <c r="V403" s="7" t="n">
        <v>23564.74673106538</v>
      </c>
      <c r="W403" s="7" t="n">
        <v>24768.40123332177</v>
      </c>
      <c r="X403" s="7" t="n">
        <v>-1203.654502256391</v>
      </c>
      <c r="Y403" s="6" t="n">
        <v>-0.04859637450628319</v>
      </c>
      <c r="Z403" s="7" t="n">
        <v>2012.298471339753</v>
      </c>
      <c r="AA403" s="7" t="n">
        <v>1136.891791717375</v>
      </c>
      <c r="AB403" s="7" t="n">
        <v>22837.30687721017</v>
      </c>
      <c r="AC403" s="7" t="n">
        <v>41497.28076229156</v>
      </c>
      <c r="AD403" s="7" t="n">
        <v>-18659.97388508138</v>
      </c>
      <c r="AE403" s="6" t="n">
        <v>-0.4496673888578656</v>
      </c>
    </row>
    <row r="404">
      <c r="A404" s="2" t="n">
        <v>395</v>
      </c>
      <c r="B404" s="2" t="inlineStr">
        <is>
          <t>KPROP-00395</t>
        </is>
      </c>
      <c r="C404" s="3" t="n">
        <v>45925</v>
      </c>
      <c r="D404" s="2" t="inlineStr">
        <is>
          <t>Tyler Mahle</t>
        </is>
      </c>
      <c r="E404" s="2" t="inlineStr">
        <is>
          <t>Win</t>
        </is>
      </c>
      <c r="F404" s="2" t="n">
        <v>1.22</v>
      </c>
      <c r="G404" s="6" t="n">
        <v>0.05914301259147017</v>
      </c>
      <c r="H404" s="7" t="n">
        <v>100</v>
      </c>
      <c r="I404" s="7" t="n">
        <v>122</v>
      </c>
      <c r="J404" s="7" t="n">
        <v>12744.8107218352</v>
      </c>
      <c r="K404" s="7" t="n">
        <v>12744.8107218352</v>
      </c>
      <c r="L404" s="7" t="n">
        <v>0</v>
      </c>
      <c r="M404" s="6" t="n">
        <v>0</v>
      </c>
      <c r="N404" s="7" t="n">
        <v>127.5150501305177</v>
      </c>
      <c r="O404" s="7" t="n">
        <v>155.5683611592315</v>
      </c>
      <c r="P404" s="7" t="n">
        <v>12907.073374211</v>
      </c>
      <c r="Q404" s="7" t="n">
        <v>12907.073374211</v>
      </c>
      <c r="R404" s="7" t="n">
        <v>0</v>
      </c>
      <c r="S404" s="6" t="n">
        <v>0</v>
      </c>
      <c r="T404" s="7" t="n">
        <v>348.4225281575513</v>
      </c>
      <c r="U404" s="7" t="n">
        <v>425.0754843522125</v>
      </c>
      <c r="V404" s="7" t="n">
        <v>23989.82221541759</v>
      </c>
      <c r="W404" s="7" t="n">
        <v>24768.40123332177</v>
      </c>
      <c r="X404" s="7" t="n">
        <v>-778.5790179041796</v>
      </c>
      <c r="Y404" s="6" t="n">
        <v>-0.03143436714262892</v>
      </c>
      <c r="Z404" s="7" t="n">
        <v>675.3335640970547</v>
      </c>
      <c r="AA404" s="7" t="n">
        <v>823.9069481984066</v>
      </c>
      <c r="AB404" s="7" t="n">
        <v>23661.21382540858</v>
      </c>
      <c r="AC404" s="7" t="n">
        <v>41497.28076229156</v>
      </c>
      <c r="AD404" s="7" t="n">
        <v>-17836.06693688298</v>
      </c>
      <c r="AE404" s="6" t="n">
        <v>-0.4298129084421973</v>
      </c>
    </row>
    <row r="405">
      <c r="A405" s="2" t="n">
        <v>396</v>
      </c>
      <c r="B405" s="2" t="inlineStr">
        <is>
          <t>KPROP-00396</t>
        </is>
      </c>
      <c r="C405" s="3" t="n">
        <v>45925</v>
      </c>
      <c r="D405" s="2" t="inlineStr">
        <is>
          <t>Tyler Mahle</t>
        </is>
      </c>
      <c r="E405" s="2" t="inlineStr">
        <is>
          <t>Win</t>
        </is>
      </c>
      <c r="F405" s="2" t="n">
        <v>0.6451612903225805</v>
      </c>
      <c r="G405" s="6" t="n">
        <v>0.1263899830760995</v>
      </c>
      <c r="H405" s="7" t="n">
        <v>100</v>
      </c>
      <c r="I405" s="7" t="n">
        <v>64.51612903225805</v>
      </c>
      <c r="J405" s="7" t="n">
        <v>12809.32685086745</v>
      </c>
      <c r="K405" s="7" t="n">
        <v>12809.32685086745</v>
      </c>
      <c r="L405" s="7" t="n">
        <v>0</v>
      </c>
      <c r="M405" s="6" t="n">
        <v>0</v>
      </c>
      <c r="N405" s="7" t="n">
        <v>129.07073374211</v>
      </c>
      <c r="O405" s="7" t="n">
        <v>83.27144112394191</v>
      </c>
      <c r="P405" s="7" t="n">
        <v>12990.34481533494</v>
      </c>
      <c r="Q405" s="7" t="n">
        <v>12990.34481533494</v>
      </c>
      <c r="R405" s="7" t="n">
        <v>0</v>
      </c>
      <c r="S405" s="6" t="n">
        <v>0</v>
      </c>
      <c r="T405" s="7" t="n">
        <v>758.0183059513164</v>
      </c>
      <c r="U405" s="7" t="n">
        <v>489.0440683556879</v>
      </c>
      <c r="V405" s="7" t="n">
        <v>24478.86628377328</v>
      </c>
      <c r="W405" s="7" t="n">
        <v>24768.40123332177</v>
      </c>
      <c r="X405" s="7" t="n">
        <v>-289.5349495484916</v>
      </c>
      <c r="Y405" s="6" t="n">
        <v>-0.01168969069989751</v>
      </c>
      <c r="Z405" s="7" t="n">
        <v>1495.270207476681</v>
      </c>
      <c r="AA405" s="7" t="n">
        <v>964.6904564365682</v>
      </c>
      <c r="AB405" s="7" t="n">
        <v>24625.90428184515</v>
      </c>
      <c r="AC405" s="7" t="n">
        <v>41497.28076229156</v>
      </c>
      <c r="AD405" s="7" t="n">
        <v>-16871.37648044641</v>
      </c>
      <c r="AE405" s="6" t="n">
        <v>-0.4065658320382615</v>
      </c>
    </row>
    <row r="406">
      <c r="A406" s="2" t="n">
        <v>397</v>
      </c>
      <c r="B406" s="2" t="inlineStr">
        <is>
          <t>KPROP-00397</t>
        </is>
      </c>
      <c r="C406" s="3" t="n">
        <v>45926</v>
      </c>
      <c r="D406" s="2" t="inlineStr">
        <is>
          <t>Joe Ryan</t>
        </is>
      </c>
      <c r="E406" s="2" t="inlineStr">
        <is>
          <t>Loss</t>
        </is>
      </c>
      <c r="F406" s="2" t="n">
        <v>-1</v>
      </c>
      <c r="G406" s="6" t="n">
        <v>0.1344114335446095</v>
      </c>
      <c r="H406" s="7" t="n">
        <v>100</v>
      </c>
      <c r="I406" s="7" t="n">
        <v>-100</v>
      </c>
      <c r="J406" s="7" t="n">
        <v>12709.32685086745</v>
      </c>
      <c r="K406" s="7" t="n">
        <v>12809.32685086745</v>
      </c>
      <c r="L406" s="7" t="n">
        <v>-100</v>
      </c>
      <c r="M406" s="6" t="n">
        <v>-0.007806811486993007</v>
      </c>
      <c r="N406" s="7" t="n">
        <v>129.9034481533494</v>
      </c>
      <c r="O406" s="7" t="n">
        <v>-129.9034481533494</v>
      </c>
      <c r="P406" s="7" t="n">
        <v>12860.44136718159</v>
      </c>
      <c r="Q406" s="7" t="n">
        <v>12990.34481533494</v>
      </c>
      <c r="R406" s="7" t="n">
        <v>-129.903448153349</v>
      </c>
      <c r="S406" s="6" t="n">
        <v>-0.009999999999999971</v>
      </c>
      <c r="T406" s="7" t="n">
        <v>822.5598771871939</v>
      </c>
      <c r="U406" s="7" t="n">
        <v>-822.5598771871939</v>
      </c>
      <c r="V406" s="7" t="n">
        <v>23656.30640658609</v>
      </c>
      <c r="W406" s="7" t="n">
        <v>24768.40123332177</v>
      </c>
      <c r="X406" s="7" t="n">
        <v>-1112.094826735687</v>
      </c>
      <c r="Y406" s="6" t="n">
        <v>-0.04489974206488338</v>
      </c>
      <c r="Z406" s="7" t="n">
        <v>1655.001548427573</v>
      </c>
      <c r="AA406" s="7" t="n">
        <v>-1655.001548427573</v>
      </c>
      <c r="AB406" s="7" t="n">
        <v>22970.90273341758</v>
      </c>
      <c r="AC406" s="7" t="n">
        <v>41497.28076229156</v>
      </c>
      <c r="AD406" s="7" t="n">
        <v>-18526.37802887398</v>
      </c>
      <c r="AE406" s="6" t="n">
        <v>-0.4464480006533064</v>
      </c>
    </row>
    <row r="407">
      <c r="A407" s="2" t="n">
        <v>398</v>
      </c>
      <c r="B407" s="2" t="inlineStr">
        <is>
          <t>KPROP-00398</t>
        </is>
      </c>
      <c r="C407" s="3" t="n">
        <v>45926</v>
      </c>
      <c r="D407" s="2" t="inlineStr">
        <is>
          <t>Joe Ryan</t>
        </is>
      </c>
      <c r="E407" s="2" t="inlineStr">
        <is>
          <t>Loss</t>
        </is>
      </c>
      <c r="F407" s="2" t="n">
        <v>-1</v>
      </c>
      <c r="G407" s="6" t="n">
        <v>0.2083699665060392</v>
      </c>
      <c r="H407" s="7" t="n">
        <v>100</v>
      </c>
      <c r="I407" s="7" t="n">
        <v>-100</v>
      </c>
      <c r="J407" s="7" t="n">
        <v>12609.32685086745</v>
      </c>
      <c r="K407" s="7" t="n">
        <v>12809.32685086745</v>
      </c>
      <c r="L407" s="7" t="n">
        <v>-200</v>
      </c>
      <c r="M407" s="6" t="n">
        <v>-0.01561362297398601</v>
      </c>
      <c r="N407" s="7" t="n">
        <v>128.6044136718159</v>
      </c>
      <c r="O407" s="7" t="n">
        <v>-128.6044136718159</v>
      </c>
      <c r="P407" s="7" t="n">
        <v>12731.83695350978</v>
      </c>
      <c r="Q407" s="7" t="n">
        <v>12990.34481533494</v>
      </c>
      <c r="R407" s="7" t="n">
        <v>-258.5078618251646</v>
      </c>
      <c r="S407" s="6" t="n">
        <v>-0.01989999999999995</v>
      </c>
      <c r="T407" s="7" t="n">
        <v>1232.315943399236</v>
      </c>
      <c r="U407" s="7" t="n">
        <v>-1232.315943399236</v>
      </c>
      <c r="V407" s="7" t="n">
        <v>22423.99046318685</v>
      </c>
      <c r="W407" s="7" t="n">
        <v>24768.40123332177</v>
      </c>
      <c r="X407" s="7" t="n">
        <v>-2344.410770134924</v>
      </c>
      <c r="Y407" s="6" t="n">
        <v>-0.09465329425384585</v>
      </c>
      <c r="Z407" s="7" t="n">
        <v>2393.223116587852</v>
      </c>
      <c r="AA407" s="7" t="n">
        <v>-2393.223116587852</v>
      </c>
      <c r="AB407" s="7" t="n">
        <v>20577.67961682973</v>
      </c>
      <c r="AC407" s="7" t="n">
        <v>41497.28076229156</v>
      </c>
      <c r="AD407" s="7" t="n">
        <v>-20919.60114546183</v>
      </c>
      <c r="AE407" s="6" t="n">
        <v>-0.5041198064349172</v>
      </c>
    </row>
    <row r="408">
      <c r="A408" s="2" t="n">
        <v>399</v>
      </c>
      <c r="B408" s="2" t="inlineStr">
        <is>
          <t>KPROP-00399</t>
        </is>
      </c>
      <c r="C408" s="3" t="n">
        <v>45926</v>
      </c>
      <c r="D408" s="2" t="inlineStr">
        <is>
          <t>Joey Wentz</t>
        </is>
      </c>
      <c r="E408" s="2" t="inlineStr">
        <is>
          <t>Win</t>
        </is>
      </c>
      <c r="F408" s="2" t="n">
        <v>0.8130081300813008</v>
      </c>
      <c r="G408" s="6" t="n">
        <v>0.2759184144891749</v>
      </c>
      <c r="H408" s="7" t="n">
        <v>100</v>
      </c>
      <c r="I408" s="7" t="n">
        <v>81.30081300813008</v>
      </c>
      <c r="J408" s="7" t="n">
        <v>12690.62766387558</v>
      </c>
      <c r="K408" s="7" t="n">
        <v>12809.32685086745</v>
      </c>
      <c r="L408" s="7" t="n">
        <v>-118.6991869918693</v>
      </c>
      <c r="M408" s="6" t="n">
        <v>-0.00926662176504856</v>
      </c>
      <c r="N408" s="7" t="n">
        <v>127.3183695350978</v>
      </c>
      <c r="O408" s="7" t="n">
        <v>103.5108695407299</v>
      </c>
      <c r="P408" s="7" t="n">
        <v>12835.34782305051</v>
      </c>
      <c r="Q408" s="7" t="n">
        <v>12990.34481533494</v>
      </c>
      <c r="R408" s="7" t="n">
        <v>-154.9969922844339</v>
      </c>
      <c r="S408" s="6" t="n">
        <v>-0.01193170731707305</v>
      </c>
      <c r="T408" s="7" t="n">
        <v>1546.797973780723</v>
      </c>
      <c r="U408" s="7" t="n">
        <v>1257.559328277011</v>
      </c>
      <c r="V408" s="7" t="n">
        <v>23681.54979146386</v>
      </c>
      <c r="W408" s="7" t="n">
        <v>24768.40123332177</v>
      </c>
      <c r="X408" s="7" t="n">
        <v>-1086.851441857914</v>
      </c>
      <c r="Y408" s="6" t="n">
        <v>-0.04388056506431817</v>
      </c>
      <c r="Z408" s="7" t="n">
        <v>2838.880366870935</v>
      </c>
      <c r="AA408" s="7" t="n">
        <v>2308.032818594256</v>
      </c>
      <c r="AB408" s="7" t="n">
        <v>22885.71243542398</v>
      </c>
      <c r="AC408" s="7" t="n">
        <v>41497.28076229156</v>
      </c>
      <c r="AD408" s="7" t="n">
        <v>-18611.56832686757</v>
      </c>
      <c r="AE408" s="6" t="n">
        <v>-0.4485009134328591</v>
      </c>
    </row>
    <row r="409">
      <c r="A409" s="2" t="n">
        <v>400</v>
      </c>
      <c r="B409" s="2" t="inlineStr">
        <is>
          <t>KPROP-00400</t>
        </is>
      </c>
      <c r="C409" s="3" t="n">
        <v>45926</v>
      </c>
      <c r="D409" s="2" t="inlineStr">
        <is>
          <t>Shane Bieber</t>
        </is>
      </c>
      <c r="E409" s="2" t="inlineStr">
        <is>
          <t>Win</t>
        </is>
      </c>
      <c r="F409" s="2" t="n">
        <v>1.35</v>
      </c>
      <c r="G409" s="6" t="n">
        <v>0.1741369070558389</v>
      </c>
      <c r="H409" s="7" t="n">
        <v>100</v>
      </c>
      <c r="I409" s="7" t="n">
        <v>135</v>
      </c>
      <c r="J409" s="7" t="n">
        <v>12825.62766387558</v>
      </c>
      <c r="K409" s="7" t="n">
        <v>12825.62766387558</v>
      </c>
      <c r="L409" s="7" t="n">
        <v>0</v>
      </c>
      <c r="M409" s="6" t="n">
        <v>0</v>
      </c>
      <c r="N409" s="7" t="n">
        <v>128.3534782305051</v>
      </c>
      <c r="O409" s="7" t="n">
        <v>173.2771956111818</v>
      </c>
      <c r="P409" s="7" t="n">
        <v>13008.62501866169</v>
      </c>
      <c r="Q409" s="7" t="n">
        <v>13008.62501866169</v>
      </c>
      <c r="R409" s="7" t="n">
        <v>0</v>
      </c>
      <c r="S409" s="6" t="n">
        <v>0</v>
      </c>
      <c r="T409" s="7" t="n">
        <v>1030.957958743591</v>
      </c>
      <c r="U409" s="7" t="n">
        <v>1391.793244303847</v>
      </c>
      <c r="V409" s="7" t="n">
        <v>25073.34303576771</v>
      </c>
      <c r="W409" s="7" t="n">
        <v>25073.34303576771</v>
      </c>
      <c r="X409" s="7" t="n">
        <v>0</v>
      </c>
      <c r="Y409" s="6" t="n">
        <v>0</v>
      </c>
      <c r="Z409" s="7" t="n">
        <v>1992.623589637041</v>
      </c>
      <c r="AA409" s="7" t="n">
        <v>2690.041846010005</v>
      </c>
      <c r="AB409" s="7" t="n">
        <v>25575.75428143399</v>
      </c>
      <c r="AC409" s="7" t="n">
        <v>41497.28076229156</v>
      </c>
      <c r="AD409" s="7" t="n">
        <v>-15921.52648085757</v>
      </c>
      <c r="AE409" s="6" t="n">
        <v>-0.3836763804370866</v>
      </c>
    </row>
    <row r="410">
      <c r="A410" s="2" t="n">
        <v>401</v>
      </c>
      <c r="B410" s="2" t="inlineStr">
        <is>
          <t>KPROP-00401</t>
        </is>
      </c>
      <c r="C410" s="3" t="n">
        <v>45926</v>
      </c>
      <c r="D410" s="2" t="inlineStr">
        <is>
          <t>Shane Bieber</t>
        </is>
      </c>
      <c r="E410" s="2" t="inlineStr">
        <is>
          <t>Win</t>
        </is>
      </c>
      <c r="F410" s="2" t="n">
        <v>0.7246376811594204</v>
      </c>
      <c r="G410" s="6" t="n">
        <v>0.245442575801818</v>
      </c>
      <c r="H410" s="7" t="n">
        <v>100</v>
      </c>
      <c r="I410" s="7" t="n">
        <v>72.46376811594205</v>
      </c>
      <c r="J410" s="7" t="n">
        <v>12898.09143199153</v>
      </c>
      <c r="K410" s="7" t="n">
        <v>12898.09143199153</v>
      </c>
      <c r="L410" s="7" t="n">
        <v>0</v>
      </c>
      <c r="M410" s="6" t="n">
        <v>0</v>
      </c>
      <c r="N410" s="7" t="n">
        <v>130.0862501866169</v>
      </c>
      <c r="O410" s="7" t="n">
        <v>94.26539868595427</v>
      </c>
      <c r="P410" s="7" t="n">
        <v>13102.89041734764</v>
      </c>
      <c r="Q410" s="7" t="n">
        <v>13102.89041734764</v>
      </c>
      <c r="R410" s="7" t="n">
        <v>0</v>
      </c>
      <c r="S410" s="6" t="n">
        <v>0</v>
      </c>
      <c r="T410" s="7" t="n">
        <v>1538.51647466535</v>
      </c>
      <c r="U410" s="7" t="n">
        <v>1114.867010627065</v>
      </c>
      <c r="V410" s="7" t="n">
        <v>26188.21004639477</v>
      </c>
      <c r="W410" s="7" t="n">
        <v>26188.21004639477</v>
      </c>
      <c r="X410" s="7" t="n">
        <v>0</v>
      </c>
      <c r="Y410" s="6" t="n">
        <v>0</v>
      </c>
      <c r="Z410" s="7" t="n">
        <v>3138.689504454766</v>
      </c>
      <c r="AA410" s="7" t="n">
        <v>2274.412684387512</v>
      </c>
      <c r="AB410" s="7" t="n">
        <v>27850.1669658215</v>
      </c>
      <c r="AC410" s="7" t="n">
        <v>41497.28076229156</v>
      </c>
      <c r="AD410" s="7" t="n">
        <v>-13647.11379647006</v>
      </c>
      <c r="AE410" s="6" t="n">
        <v>-0.3288676642367165</v>
      </c>
    </row>
    <row r="411">
      <c r="A411" s="2" t="n">
        <v>402</v>
      </c>
      <c r="B411" s="2" t="inlineStr">
        <is>
          <t>KPROP-00402</t>
        </is>
      </c>
      <c r="C411" s="3" t="n">
        <v>45928</v>
      </c>
      <c r="D411" s="2" t="inlineStr">
        <is>
          <t>McCade Brown</t>
        </is>
      </c>
      <c r="E411" s="2" t="inlineStr">
        <is>
          <t>Win</t>
        </is>
      </c>
      <c r="F411" s="2" t="n">
        <v>0.8333333333333335</v>
      </c>
      <c r="G411" s="6" t="n">
        <v>0.08407741328714367</v>
      </c>
      <c r="H411" s="7" t="n">
        <v>100</v>
      </c>
      <c r="I411" s="7" t="n">
        <v>83.33333333333334</v>
      </c>
      <c r="J411" s="7" t="n">
        <v>12981.42476532486</v>
      </c>
      <c r="K411" s="7" t="n">
        <v>12981.42476532486</v>
      </c>
      <c r="L411" s="7" t="n">
        <v>0</v>
      </c>
      <c r="M411" s="6" t="n">
        <v>0</v>
      </c>
      <c r="N411" s="7" t="n">
        <v>131.0289041734764</v>
      </c>
      <c r="O411" s="7" t="n">
        <v>109.190753477897</v>
      </c>
      <c r="P411" s="7" t="n">
        <v>13212.08117082554</v>
      </c>
      <c r="Q411" s="7" t="n">
        <v>13212.08117082554</v>
      </c>
      <c r="R411" s="7" t="n">
        <v>0</v>
      </c>
      <c r="S411" s="6" t="n">
        <v>0</v>
      </c>
      <c r="T411" s="7" t="n">
        <v>550.4592398303153</v>
      </c>
      <c r="U411" s="7" t="n">
        <v>458.7160331919295</v>
      </c>
      <c r="V411" s="7" t="n">
        <v>26646.9260795867</v>
      </c>
      <c r="W411" s="7" t="n">
        <v>26646.9260795867</v>
      </c>
      <c r="X411" s="7" t="n">
        <v>0</v>
      </c>
      <c r="Y411" s="6" t="n">
        <v>0</v>
      </c>
      <c r="Z411" s="7" t="n">
        <v>1170.784999050665</v>
      </c>
      <c r="AA411" s="7" t="n">
        <v>975.6541658755546</v>
      </c>
      <c r="AB411" s="7" t="n">
        <v>28825.82113169706</v>
      </c>
      <c r="AC411" s="7" t="n">
        <v>41497.28076229156</v>
      </c>
      <c r="AD411" s="7" t="n">
        <v>-12671.4596305945</v>
      </c>
      <c r="AE411" s="6" t="n">
        <v>-0.3053563847515767</v>
      </c>
    </row>
    <row r="412">
      <c r="A412" s="2" t="n">
        <v>403</v>
      </c>
      <c r="B412" s="2" t="inlineStr">
        <is>
          <t>KPROP-00403</t>
        </is>
      </c>
      <c r="C412" s="3" t="n">
        <v>46107</v>
      </c>
      <c r="D412" s="2" t="inlineStr">
        <is>
          <t>Andrew Abbott</t>
        </is>
      </c>
      <c r="E412" s="2" t="inlineStr">
        <is>
          <t>Win</t>
        </is>
      </c>
      <c r="F412" s="2" t="n">
        <v>1.3</v>
      </c>
      <c r="G412" s="6" t="n">
        <v>0.07441405677892807</v>
      </c>
      <c r="H412" s="7" t="n">
        <v>100</v>
      </c>
      <c r="I412" s="7" t="n">
        <v>130</v>
      </c>
      <c r="J412" s="7" t="n">
        <v>13111.42476532486</v>
      </c>
      <c r="K412" s="7" t="n">
        <v>13111.42476532486</v>
      </c>
      <c r="L412" s="7" t="n">
        <v>0</v>
      </c>
      <c r="M412" s="6" t="n">
        <v>0</v>
      </c>
      <c r="N412" s="7" t="n">
        <v>132.1208117082554</v>
      </c>
      <c r="O412" s="7" t="n">
        <v>171.757055220732</v>
      </c>
      <c r="P412" s="7" t="n">
        <v>13383.83822604627</v>
      </c>
      <c r="Q412" s="7" t="n">
        <v>13383.83822604627</v>
      </c>
      <c r="R412" s="7" t="n">
        <v>0</v>
      </c>
      <c r="S412" s="6" t="n">
        <v>0</v>
      </c>
      <c r="T412" s="7" t="n">
        <v>495.726467567566</v>
      </c>
      <c r="U412" s="7" t="n">
        <v>644.4444078378357</v>
      </c>
      <c r="V412" s="7" t="n">
        <v>27291.37048742454</v>
      </c>
      <c r="W412" s="7" t="n">
        <v>27291.37048742454</v>
      </c>
      <c r="X412" s="7" t="n">
        <v>0</v>
      </c>
      <c r="Y412" s="6" t="n">
        <v>0</v>
      </c>
      <c r="Z412" s="7" t="n">
        <v>1072.523145196665</v>
      </c>
      <c r="AA412" s="7" t="n">
        <v>1394.280088755664</v>
      </c>
      <c r="AB412" s="7" t="n">
        <v>30220.10122045272</v>
      </c>
      <c r="AC412" s="7" t="n">
        <v>41497.28076229156</v>
      </c>
      <c r="AD412" s="7" t="n">
        <v>-11277.17954183884</v>
      </c>
      <c r="AE412" s="6" t="n">
        <v>-0.2717570726245363</v>
      </c>
    </row>
    <row r="413">
      <c r="A413" s="2" t="n">
        <v>404</v>
      </c>
      <c r="B413" s="2" t="inlineStr">
        <is>
          <t>KPROP-00404</t>
        </is>
      </c>
      <c r="C413" s="3" t="n">
        <v>46107</v>
      </c>
      <c r="D413" s="2" t="inlineStr">
        <is>
          <t>Matthew Boyd</t>
        </is>
      </c>
      <c r="E413" s="2" t="inlineStr">
        <is>
          <t>Loss</t>
        </is>
      </c>
      <c r="F413" s="2" t="n">
        <v>-1</v>
      </c>
      <c r="G413" s="6" t="n">
        <v>0.22539408207163</v>
      </c>
      <c r="H413" s="7" t="n">
        <v>100</v>
      </c>
      <c r="I413" s="7" t="n">
        <v>-100</v>
      </c>
      <c r="J413" s="7" t="n">
        <v>13011.42476532486</v>
      </c>
      <c r="K413" s="7" t="n">
        <v>13111.42476532486</v>
      </c>
      <c r="L413" s="7" t="n">
        <v>-100</v>
      </c>
      <c r="M413" s="6" t="n">
        <v>-0.007626936186558846</v>
      </c>
      <c r="N413" s="7" t="n">
        <v>133.8383822604627</v>
      </c>
      <c r="O413" s="7" t="n">
        <v>-133.8383822604627</v>
      </c>
      <c r="P413" s="7" t="n">
        <v>13249.99984378581</v>
      </c>
      <c r="Q413" s="7" t="n">
        <v>13383.83822604627</v>
      </c>
      <c r="R413" s="7" t="n">
        <v>-133.8383822604628</v>
      </c>
      <c r="S413" s="6" t="n">
        <v>-0.01000000000000001</v>
      </c>
      <c r="T413" s="7" t="n">
        <v>1537.828349872457</v>
      </c>
      <c r="U413" s="7" t="n">
        <v>-1537.828349872457</v>
      </c>
      <c r="V413" s="7" t="n">
        <v>25753.54213755208</v>
      </c>
      <c r="W413" s="7" t="n">
        <v>27291.37048742454</v>
      </c>
      <c r="X413" s="7" t="n">
        <v>-1537.828349872456</v>
      </c>
      <c r="Y413" s="6" t="n">
        <v>-0.05634852051790747</v>
      </c>
      <c r="Z413" s="7" t="n">
        <v>3405.715987347843</v>
      </c>
      <c r="AA413" s="7" t="n">
        <v>-3405.715987347843</v>
      </c>
      <c r="AB413" s="7" t="n">
        <v>26814.38523310488</v>
      </c>
      <c r="AC413" s="7" t="n">
        <v>41497.28076229156</v>
      </c>
      <c r="AD413" s="7" t="n">
        <v>-14682.89552918668</v>
      </c>
      <c r="AE413" s="6" t="n">
        <v>-0.3538278956950109</v>
      </c>
    </row>
    <row r="414">
      <c r="A414" s="2" t="n">
        <v>405</v>
      </c>
      <c r="B414" s="2" t="inlineStr">
        <is>
          <t>KPROP-00405</t>
        </is>
      </c>
      <c r="C414" s="3" t="n">
        <v>46107</v>
      </c>
      <c r="D414" s="2" t="inlineStr">
        <is>
          <t>Matthew Boyd</t>
        </is>
      </c>
      <c r="E414" s="2" t="inlineStr">
        <is>
          <t>Loss</t>
        </is>
      </c>
      <c r="F414" s="2" t="n">
        <v>-1</v>
      </c>
      <c r="G414" s="6" t="n">
        <v>0.3275560879369924</v>
      </c>
      <c r="H414" s="7" t="n">
        <v>100</v>
      </c>
      <c r="I414" s="7" t="n">
        <v>-100</v>
      </c>
      <c r="J414" s="7" t="n">
        <v>12911.42476532486</v>
      </c>
      <c r="K414" s="7" t="n">
        <v>13111.42476532486</v>
      </c>
      <c r="L414" s="7" t="n">
        <v>-200</v>
      </c>
      <c r="M414" s="6" t="n">
        <v>-0.01525387237311769</v>
      </c>
      <c r="N414" s="7" t="n">
        <v>132.4999984378581</v>
      </c>
      <c r="O414" s="7" t="n">
        <v>-132.4999984378581</v>
      </c>
      <c r="P414" s="7" t="n">
        <v>13117.49984534795</v>
      </c>
      <c r="Q414" s="7" t="n">
        <v>13383.83822604627</v>
      </c>
      <c r="R414" s="7" t="n">
        <v>-266.3383806983202</v>
      </c>
      <c r="S414" s="6" t="n">
        <v>-0.01989999999999995</v>
      </c>
      <c r="T414" s="7" t="n">
        <v>2108.932378274262</v>
      </c>
      <c r="U414" s="7" t="n">
        <v>-2108.932378274262</v>
      </c>
      <c r="V414" s="7" t="n">
        <v>23644.60975927782</v>
      </c>
      <c r="W414" s="7" t="n">
        <v>27291.37048742454</v>
      </c>
      <c r="X414" s="7" t="n">
        <v>-3646.760728146717</v>
      </c>
      <c r="Y414" s="6" t="n">
        <v>-0.1336232172666847</v>
      </c>
      <c r="Z414" s="7" t="n">
        <v>4391.607563695646</v>
      </c>
      <c r="AA414" s="7" t="n">
        <v>-4391.607563695646</v>
      </c>
      <c r="AB414" s="7" t="n">
        <v>22422.77766940923</v>
      </c>
      <c r="AC414" s="7" t="n">
        <v>41497.28076229156</v>
      </c>
      <c r="AD414" s="7" t="n">
        <v>-19074.50309288233</v>
      </c>
      <c r="AE414" s="6" t="n">
        <v>-0.4596566990050891</v>
      </c>
    </row>
    <row r="415">
      <c r="A415" s="2" t="n">
        <v>406</v>
      </c>
      <c r="B415" s="2" t="inlineStr">
        <is>
          <t>KPROP-00406</t>
        </is>
      </c>
      <c r="C415" s="3" t="n">
        <v>46107</v>
      </c>
      <c r="D415" s="2" t="inlineStr">
        <is>
          <t>Tarik Skubal</t>
        </is>
      </c>
      <c r="E415" s="2" t="inlineStr">
        <is>
          <t>Win</t>
        </is>
      </c>
      <c r="F415" s="2" t="n">
        <v>1.15</v>
      </c>
      <c r="G415" s="6" t="n">
        <v>0.1561052546476985</v>
      </c>
      <c r="H415" s="7" t="n">
        <v>100</v>
      </c>
      <c r="I415" s="7" t="n">
        <v>115</v>
      </c>
      <c r="J415" s="7" t="n">
        <v>13026.42476532486</v>
      </c>
      <c r="K415" s="7" t="n">
        <v>13111.42476532486</v>
      </c>
      <c r="L415" s="7" t="n">
        <v>-85</v>
      </c>
      <c r="M415" s="6" t="n">
        <v>-0.006482895758575019</v>
      </c>
      <c r="N415" s="7" t="n">
        <v>131.1749984534795</v>
      </c>
      <c r="O415" s="7" t="n">
        <v>150.8512482215014</v>
      </c>
      <c r="P415" s="7" t="n">
        <v>13268.35109356945</v>
      </c>
      <c r="Q415" s="7" t="n">
        <v>13383.83822604627</v>
      </c>
      <c r="R415" s="7" t="n">
        <v>-115.4871324768192</v>
      </c>
      <c r="S415" s="6" t="n">
        <v>-0.008628849999999985</v>
      </c>
      <c r="T415" s="7" t="n">
        <v>922.7619568793804</v>
      </c>
      <c r="U415" s="7" t="n">
        <v>1061.176250411287</v>
      </c>
      <c r="V415" s="7" t="n">
        <v>24705.78600968911</v>
      </c>
      <c r="W415" s="7" t="n">
        <v>27291.37048742454</v>
      </c>
      <c r="X415" s="7" t="n">
        <v>-2585.584477735429</v>
      </c>
      <c r="Y415" s="6" t="n">
        <v>-0.0947400013834713</v>
      </c>
      <c r="Z415" s="7" t="n">
        <v>1750.156708995928</v>
      </c>
      <c r="AA415" s="7" t="n">
        <v>2012.680215345317</v>
      </c>
      <c r="AB415" s="7" t="n">
        <v>24435.45788475455</v>
      </c>
      <c r="AC415" s="7" t="n">
        <v>41497.28076229156</v>
      </c>
      <c r="AD415" s="7" t="n">
        <v>-17061.82287753701</v>
      </c>
      <c r="AE415" s="6" t="n">
        <v>-0.4111552025606707</v>
      </c>
    </row>
    <row r="416">
      <c r="A416" s="2" t="n">
        <v>407</v>
      </c>
      <c r="B416" s="2" t="inlineStr">
        <is>
          <t>KPROP-00407</t>
        </is>
      </c>
      <c r="C416" s="3" t="n">
        <v>46107</v>
      </c>
      <c r="D416" s="2" t="inlineStr">
        <is>
          <t>Tarik Skubal</t>
        </is>
      </c>
      <c r="E416" s="2" t="inlineStr">
        <is>
          <t>Win</t>
        </is>
      </c>
      <c r="F416" s="2" t="n">
        <v>0.625</v>
      </c>
      <c r="G416" s="6" t="n">
        <v>0.2019302086842739</v>
      </c>
      <c r="H416" s="7" t="n">
        <v>100</v>
      </c>
      <c r="I416" s="7" t="n">
        <v>62.5</v>
      </c>
      <c r="J416" s="7" t="n">
        <v>13088.92476532486</v>
      </c>
      <c r="K416" s="7" t="n">
        <v>13111.42476532486</v>
      </c>
      <c r="L416" s="7" t="n">
        <v>-22.5</v>
      </c>
      <c r="M416" s="6" t="n">
        <v>-0.00171606064197574</v>
      </c>
      <c r="N416" s="7" t="n">
        <v>132.6835109356945</v>
      </c>
      <c r="O416" s="7" t="n">
        <v>82.92719433480909</v>
      </c>
      <c r="P416" s="7" t="n">
        <v>13351.27828790426</v>
      </c>
      <c r="Q416" s="7" t="n">
        <v>13383.83822604627</v>
      </c>
      <c r="R416" s="7" t="n">
        <v>-32.55993814201065</v>
      </c>
      <c r="S416" s="6" t="n">
        <v>-0.002432780312500027</v>
      </c>
      <c r="T416" s="7" t="n">
        <v>1247.211131161384</v>
      </c>
      <c r="U416" s="7" t="n">
        <v>779.506956975865</v>
      </c>
      <c r="V416" s="7" t="n">
        <v>25485.29296666497</v>
      </c>
      <c r="W416" s="7" t="n">
        <v>27291.37048742454</v>
      </c>
      <c r="X416" s="7" t="n">
        <v>-1806.077520759565</v>
      </c>
      <c r="Y416" s="6" t="n">
        <v>-0.06617760444063368</v>
      </c>
      <c r="Z416" s="7" t="n">
        <v>2467.128554982136</v>
      </c>
      <c r="AA416" s="7" t="n">
        <v>1541.955346863835</v>
      </c>
      <c r="AB416" s="7" t="n">
        <v>25977.41323161838</v>
      </c>
      <c r="AC416" s="7" t="n">
        <v>41497.28076229156</v>
      </c>
      <c r="AD416" s="7" t="n">
        <v>-15519.86753067317</v>
      </c>
      <c r="AE416" s="6" t="n">
        <v>-0.3739972173014293</v>
      </c>
    </row>
    <row r="417">
      <c r="A417" s="2" t="n">
        <v>408</v>
      </c>
      <c r="B417" s="2" t="inlineStr">
        <is>
          <t>KPROP-00408</t>
        </is>
      </c>
      <c r="C417" s="3" t="n">
        <v>46108</v>
      </c>
      <c r="D417" s="2" t="inlineStr">
        <is>
          <t>Chris Sale</t>
        </is>
      </c>
      <c r="E417" s="2" t="inlineStr">
        <is>
          <t>Win</t>
        </is>
      </c>
      <c r="F417" s="2" t="n">
        <v>0.970873786407767</v>
      </c>
      <c r="G417" s="6" t="n">
        <v>0.1512709377268782</v>
      </c>
      <c r="H417" s="7" t="n">
        <v>100</v>
      </c>
      <c r="I417" s="7" t="n">
        <v>97.08737864077671</v>
      </c>
      <c r="J417" s="7" t="n">
        <v>13186.01214396564</v>
      </c>
      <c r="K417" s="7" t="n">
        <v>13186.01214396564</v>
      </c>
      <c r="L417" s="7" t="n">
        <v>0</v>
      </c>
      <c r="M417" s="6" t="n">
        <v>0</v>
      </c>
      <c r="N417" s="7" t="n">
        <v>133.5127828790426</v>
      </c>
      <c r="O417" s="7" t="n">
        <v>129.6240610476142</v>
      </c>
      <c r="P417" s="7" t="n">
        <v>13480.90234895187</v>
      </c>
      <c r="Q417" s="7" t="n">
        <v>13480.90234895187</v>
      </c>
      <c r="R417" s="7" t="n">
        <v>0</v>
      </c>
      <c r="S417" s="6" t="n">
        <v>0</v>
      </c>
      <c r="T417" s="7" t="n">
        <v>963.7960413279061</v>
      </c>
      <c r="U417" s="7" t="n">
        <v>935.7243119688409</v>
      </c>
      <c r="V417" s="7" t="n">
        <v>26421.01727863381</v>
      </c>
      <c r="W417" s="7" t="n">
        <v>27291.37048742454</v>
      </c>
      <c r="X417" s="7" t="n">
        <v>-870.3532087907261</v>
      </c>
      <c r="Y417" s="6" t="n">
        <v>-0.03189115069145289</v>
      </c>
      <c r="Z417" s="7" t="n">
        <v>1964.813829632763</v>
      </c>
      <c r="AA417" s="7" t="n">
        <v>1907.586242361906</v>
      </c>
      <c r="AB417" s="7" t="n">
        <v>27884.99947398029</v>
      </c>
      <c r="AC417" s="7" t="n">
        <v>41497.28076229156</v>
      </c>
      <c r="AD417" s="7" t="n">
        <v>-13612.28128831127</v>
      </c>
      <c r="AE417" s="6" t="n">
        <v>-0.3280282716905321</v>
      </c>
    </row>
    <row r="418">
      <c r="A418" s="2" t="n">
        <v>409</v>
      </c>
      <c r="B418" s="2" t="inlineStr">
        <is>
          <t>KPROP-00409</t>
        </is>
      </c>
      <c r="C418" s="3" t="n">
        <v>46108</v>
      </c>
      <c r="D418" s="2" t="inlineStr">
        <is>
          <t>Cole Ragans</t>
        </is>
      </c>
      <c r="E418" s="2" t="inlineStr">
        <is>
          <t>Win</t>
        </is>
      </c>
      <c r="F418" s="2" t="n">
        <v>0.8695652173913042</v>
      </c>
      <c r="G418" s="6" t="n">
        <v>0.2808538294233519</v>
      </c>
      <c r="H418" s="7" t="n">
        <v>100</v>
      </c>
      <c r="I418" s="7" t="n">
        <v>86.95652173913042</v>
      </c>
      <c r="J418" s="7" t="n">
        <v>13272.96866570477</v>
      </c>
      <c r="K418" s="7" t="n">
        <v>13272.96866570477</v>
      </c>
      <c r="L418" s="7" t="n">
        <v>0</v>
      </c>
      <c r="M418" s="6" t="n">
        <v>0</v>
      </c>
      <c r="N418" s="7" t="n">
        <v>134.8090234895188</v>
      </c>
      <c r="O418" s="7" t="n">
        <v>117.2252378169728</v>
      </c>
      <c r="P418" s="7" t="n">
        <v>13598.12758676885</v>
      </c>
      <c r="Q418" s="7" t="n">
        <v>13598.12758676885</v>
      </c>
      <c r="R418" s="7" t="n">
        <v>0</v>
      </c>
      <c r="S418" s="6" t="n">
        <v>0</v>
      </c>
      <c r="T418" s="7" t="n">
        <v>1855.110969991213</v>
      </c>
      <c r="U418" s="7" t="n">
        <v>1613.139973905402</v>
      </c>
      <c r="V418" s="7" t="n">
        <v>28034.15725253921</v>
      </c>
      <c r="W418" s="7" t="n">
        <v>28034.15725253921</v>
      </c>
      <c r="X418" s="7" t="n">
        <v>0</v>
      </c>
      <c r="Y418" s="6" t="n">
        <v>0</v>
      </c>
      <c r="Z418" s="7" t="n">
        <v>3915.804442867758</v>
      </c>
      <c r="AA418" s="7" t="n">
        <v>3405.047341624137</v>
      </c>
      <c r="AB418" s="7" t="n">
        <v>31290.04681560443</v>
      </c>
      <c r="AC418" s="7" t="n">
        <v>41497.28076229156</v>
      </c>
      <c r="AD418" s="7" t="n">
        <v>-10207.23394668713</v>
      </c>
      <c r="AE418" s="6" t="n">
        <v>-0.2459735616209921</v>
      </c>
    </row>
    <row r="419">
      <c r="A419" s="2" t="n">
        <v>410</v>
      </c>
      <c r="B419" s="2" t="inlineStr">
        <is>
          <t>KPROP-00410</t>
        </is>
      </c>
      <c r="C419" s="3" t="n">
        <v>46108</v>
      </c>
      <c r="D419" s="2" t="inlineStr">
        <is>
          <t>Robbie Ray</t>
        </is>
      </c>
      <c r="E419" s="2" t="inlineStr">
        <is>
          <t>Win</t>
        </is>
      </c>
      <c r="F419" s="2" t="n">
        <v>1.25</v>
      </c>
      <c r="G419" s="6" t="n">
        <v>0.07380644926830619</v>
      </c>
      <c r="H419" s="7" t="n">
        <v>100</v>
      </c>
      <c r="I419" s="7" t="n">
        <v>125</v>
      </c>
      <c r="J419" s="7" t="n">
        <v>13397.96866570477</v>
      </c>
      <c r="K419" s="7" t="n">
        <v>13397.96866570477</v>
      </c>
      <c r="L419" s="7" t="n">
        <v>0</v>
      </c>
      <c r="M419" s="6" t="n">
        <v>0</v>
      </c>
      <c r="N419" s="7" t="n">
        <v>135.9812758676885</v>
      </c>
      <c r="O419" s="7" t="n">
        <v>169.9765948346106</v>
      </c>
      <c r="P419" s="7" t="n">
        <v>13768.10418160346</v>
      </c>
      <c r="Q419" s="7" t="n">
        <v>13768.10418160346</v>
      </c>
      <c r="R419" s="7" t="n">
        <v>0</v>
      </c>
      <c r="S419" s="6" t="n">
        <v>0</v>
      </c>
      <c r="T419" s="7" t="n">
        <v>517.2754012598134</v>
      </c>
      <c r="U419" s="7" t="n">
        <v>646.5942515747668</v>
      </c>
      <c r="V419" s="7" t="n">
        <v>28680.75150411398</v>
      </c>
      <c r="W419" s="7" t="n">
        <v>28680.75150411398</v>
      </c>
      <c r="X419" s="7" t="n">
        <v>0</v>
      </c>
      <c r="Y419" s="6" t="n">
        <v>0</v>
      </c>
      <c r="Z419" s="7" t="n">
        <v>1154.703626449417</v>
      </c>
      <c r="AA419" s="7" t="n">
        <v>1443.379533061771</v>
      </c>
      <c r="AB419" s="7" t="n">
        <v>32733.4263486662</v>
      </c>
      <c r="AC419" s="7" t="n">
        <v>41497.28076229156</v>
      </c>
      <c r="AD419" s="7" t="n">
        <v>-8763.854413625359</v>
      </c>
      <c r="AE419" s="6" t="n">
        <v>-0.2111910528265034</v>
      </c>
    </row>
    <row r="420">
      <c r="A420" s="2" t="n">
        <v>411</v>
      </c>
      <c r="B420" s="2" t="inlineStr">
        <is>
          <t>KPROP-00411</t>
        </is>
      </c>
      <c r="C420" s="3" t="n">
        <v>46109</v>
      </c>
      <c r="D420" s="2" t="inlineStr">
        <is>
          <t>Cade Horton</t>
        </is>
      </c>
      <c r="E420" s="2" t="inlineStr">
        <is>
          <t>Win</t>
        </is>
      </c>
      <c r="F420" s="2" t="n">
        <v>1.04</v>
      </c>
      <c r="G420" s="6" t="n">
        <v>0.1279062487420074</v>
      </c>
      <c r="H420" s="7" t="n">
        <v>100</v>
      </c>
      <c r="I420" s="7" t="n">
        <v>104</v>
      </c>
      <c r="J420" s="7" t="n">
        <v>13501.96866570477</v>
      </c>
      <c r="K420" s="7" t="n">
        <v>13501.96866570477</v>
      </c>
      <c r="L420" s="7" t="n">
        <v>0</v>
      </c>
      <c r="M420" s="6" t="n">
        <v>0</v>
      </c>
      <c r="N420" s="7" t="n">
        <v>137.6810418160346</v>
      </c>
      <c r="O420" s="7" t="n">
        <v>143.188283488676</v>
      </c>
      <c r="P420" s="7" t="n">
        <v>13911.29246509213</v>
      </c>
      <c r="Q420" s="7" t="n">
        <v>13911.29246509213</v>
      </c>
      <c r="R420" s="7" t="n">
        <v>0</v>
      </c>
      <c r="S420" s="6" t="n">
        <v>0</v>
      </c>
      <c r="T420" s="7" t="n">
        <v>917.1118339982264</v>
      </c>
      <c r="U420" s="7" t="n">
        <v>953.7963073581556</v>
      </c>
      <c r="V420" s="7" t="n">
        <v>29634.54781147214</v>
      </c>
      <c r="W420" s="7" t="n">
        <v>29634.54781147214</v>
      </c>
      <c r="X420" s="7" t="n">
        <v>0</v>
      </c>
      <c r="Y420" s="6" t="n">
        <v>0</v>
      </c>
      <c r="Z420" s="7" t="n">
        <v>2093.404886365339</v>
      </c>
      <c r="AA420" s="7" t="n">
        <v>2177.141081819952</v>
      </c>
      <c r="AB420" s="7" t="n">
        <v>34910.56743048615</v>
      </c>
      <c r="AC420" s="7" t="n">
        <v>41497.28076229156</v>
      </c>
      <c r="AD420" s="7" t="n">
        <v>-6586.713331805404</v>
      </c>
      <c r="AE420" s="6" t="n">
        <v>-0.1587263842548143</v>
      </c>
    </row>
    <row r="421">
      <c r="A421" s="2" t="n">
        <v>412</v>
      </c>
      <c r="B421" s="2" t="inlineStr">
        <is>
          <t>KPROP-00412</t>
        </is>
      </c>
      <c r="C421" s="3" t="n">
        <v>46109</v>
      </c>
      <c r="D421" s="2" t="inlineStr">
        <is>
          <t>David Peterson</t>
        </is>
      </c>
      <c r="E421" s="2" t="inlineStr">
        <is>
          <t>Win</t>
        </is>
      </c>
      <c r="F421" s="2" t="n">
        <v>1.3</v>
      </c>
      <c r="G421" s="6" t="n">
        <v>0.2455156837779062</v>
      </c>
      <c r="H421" s="7" t="n">
        <v>100</v>
      </c>
      <c r="I421" s="7" t="n">
        <v>130</v>
      </c>
      <c r="J421" s="7" t="n">
        <v>13631.96866570477</v>
      </c>
      <c r="K421" s="7" t="n">
        <v>13631.96866570477</v>
      </c>
      <c r="L421" s="7" t="n">
        <v>0</v>
      </c>
      <c r="M421" s="6" t="n">
        <v>0</v>
      </c>
      <c r="N421" s="7" t="n">
        <v>139.1129246509213</v>
      </c>
      <c r="O421" s="7" t="n">
        <v>180.8468020461977</v>
      </c>
      <c r="P421" s="7" t="n">
        <v>14092.13926713833</v>
      </c>
      <c r="Q421" s="7" t="n">
        <v>14092.13926713833</v>
      </c>
      <c r="R421" s="7" t="n">
        <v>0</v>
      </c>
      <c r="S421" s="6" t="n">
        <v>0</v>
      </c>
      <c r="T421" s="7" t="n">
        <v>1818.936567345659</v>
      </c>
      <c r="U421" s="7" t="n">
        <v>2364.617537549356</v>
      </c>
      <c r="V421" s="7" t="n">
        <v>31999.16534902149</v>
      </c>
      <c r="W421" s="7" t="n">
        <v>31999.16534902149</v>
      </c>
      <c r="X421" s="7" t="n">
        <v>0</v>
      </c>
      <c r="Y421" s="6" t="n">
        <v>0</v>
      </c>
      <c r="Z421" s="7" t="n">
        <v>4285.545916885255</v>
      </c>
      <c r="AA421" s="7" t="n">
        <v>5571.20969195083</v>
      </c>
      <c r="AB421" s="7" t="n">
        <v>40481.77712243699</v>
      </c>
      <c r="AC421" s="7" t="n">
        <v>41497.28076229156</v>
      </c>
      <c r="AD421" s="7" t="n">
        <v>-1015.503639854571</v>
      </c>
      <c r="AE421" s="6" t="n">
        <v>-0.02447157069572027</v>
      </c>
    </row>
    <row r="422">
      <c r="A422" s="2" t="n">
        <v>413</v>
      </c>
      <c r="B422" s="2" t="inlineStr">
        <is>
          <t>KPROP-00413</t>
        </is>
      </c>
      <c r="C422" s="3" t="n">
        <v>46109</v>
      </c>
      <c r="D422" s="2" t="inlineStr">
        <is>
          <t>Eury Pérez</t>
        </is>
      </c>
      <c r="E422" s="2" t="inlineStr">
        <is>
          <t>Loss</t>
        </is>
      </c>
      <c r="F422" s="2" t="n">
        <v>-1</v>
      </c>
      <c r="G422" s="6" t="n">
        <v>0.06623730450424797</v>
      </c>
      <c r="H422" s="7" t="n">
        <v>100</v>
      </c>
      <c r="I422" s="7" t="n">
        <v>-100</v>
      </c>
      <c r="J422" s="7" t="n">
        <v>13531.96866570477</v>
      </c>
      <c r="K422" s="7" t="n">
        <v>13631.96866570477</v>
      </c>
      <c r="L422" s="7" t="n">
        <v>-100</v>
      </c>
      <c r="M422" s="6" t="n">
        <v>-0.007335697612889872</v>
      </c>
      <c r="N422" s="7" t="n">
        <v>140.9213926713833</v>
      </c>
      <c r="O422" s="7" t="n">
        <v>-140.9213926713833</v>
      </c>
      <c r="P422" s="7" t="n">
        <v>13951.21787446695</v>
      </c>
      <c r="Q422" s="7" t="n">
        <v>14092.13926713833</v>
      </c>
      <c r="R422" s="7" t="n">
        <v>-140.9213926713837</v>
      </c>
      <c r="S422" s="6" t="n">
        <v>-0.01000000000000003</v>
      </c>
      <c r="T422" s="7" t="n">
        <v>529.8846147762292</v>
      </c>
      <c r="U422" s="7" t="n">
        <v>-529.8846147762292</v>
      </c>
      <c r="V422" s="7" t="n">
        <v>31469.28073424526</v>
      </c>
      <c r="W422" s="7" t="n">
        <v>31999.16534902149</v>
      </c>
      <c r="X422" s="7" t="n">
        <v>-529.8846147762306</v>
      </c>
      <c r="Y422" s="6" t="n">
        <v>-0.01655932612606204</v>
      </c>
      <c r="Z422" s="7" t="n">
        <v>1340.701899065979</v>
      </c>
      <c r="AA422" s="7" t="n">
        <v>-1340.701899065979</v>
      </c>
      <c r="AB422" s="7" t="n">
        <v>39141.07522337101</v>
      </c>
      <c r="AC422" s="7" t="n">
        <v>41497.28076229156</v>
      </c>
      <c r="AD422" s="7" t="n">
        <v>-2356.205538920549</v>
      </c>
      <c r="AE422" s="6" t="n">
        <v>-0.05677975750790941</v>
      </c>
    </row>
    <row r="423">
      <c r="A423" s="2" t="n">
        <v>414</v>
      </c>
      <c r="B423" s="2" t="inlineStr">
        <is>
          <t>KPROP-00414</t>
        </is>
      </c>
      <c r="C423" s="3" t="n">
        <v>46109</v>
      </c>
      <c r="D423" s="2" t="inlineStr">
        <is>
          <t>Michael Wacha</t>
        </is>
      </c>
      <c r="E423" s="2" t="inlineStr">
        <is>
          <t>Loss</t>
        </is>
      </c>
      <c r="F423" s="2" t="n">
        <v>-1</v>
      </c>
      <c r="G423" s="6" t="n">
        <v>0.08452116709475431</v>
      </c>
      <c r="H423" s="7" t="n">
        <v>100</v>
      </c>
      <c r="I423" s="7" t="n">
        <v>-100</v>
      </c>
      <c r="J423" s="7" t="n">
        <v>13431.96866570477</v>
      </c>
      <c r="K423" s="7" t="n">
        <v>13631.96866570477</v>
      </c>
      <c r="L423" s="7" t="n">
        <v>-200</v>
      </c>
      <c r="M423" s="6" t="n">
        <v>-0.01467139522577974</v>
      </c>
      <c r="N423" s="7" t="n">
        <v>139.5121787446695</v>
      </c>
      <c r="O423" s="7" t="n">
        <v>-139.5121787446695</v>
      </c>
      <c r="P423" s="7" t="n">
        <v>13811.70569572228</v>
      </c>
      <c r="Q423" s="7" t="n">
        <v>14092.13926713833</v>
      </c>
      <c r="R423" s="7" t="n">
        <v>-280.4335714160534</v>
      </c>
      <c r="S423" s="6" t="n">
        <v>-0.01990000000000004</v>
      </c>
      <c r="T423" s="7" t="n">
        <v>664.9550838227191</v>
      </c>
      <c r="U423" s="7" t="n">
        <v>-664.9550838227191</v>
      </c>
      <c r="V423" s="7" t="n">
        <v>30804.32565042254</v>
      </c>
      <c r="W423" s="7" t="n">
        <v>31999.16534902149</v>
      </c>
      <c r="X423" s="7" t="n">
        <v>-1194.839698598949</v>
      </c>
      <c r="Y423" s="6" t="n">
        <v>-0.03733971450713125</v>
      </c>
      <c r="Z423" s="7" t="n">
        <v>1654.124679611444</v>
      </c>
      <c r="AA423" s="7" t="n">
        <v>-1654.124679611444</v>
      </c>
      <c r="AB423" s="7" t="n">
        <v>37486.95054375957</v>
      </c>
      <c r="AC423" s="7" t="n">
        <v>41497.28076229156</v>
      </c>
      <c r="AD423" s="7" t="n">
        <v>-4010.330218531992</v>
      </c>
      <c r="AE423" s="6" t="n">
        <v>-0.09664079536932371</v>
      </c>
    </row>
    <row r="424">
      <c r="A424" s="2" t="n">
        <v>415</v>
      </c>
      <c r="B424" s="2" t="inlineStr">
        <is>
          <t>KPROP-00415</t>
        </is>
      </c>
      <c r="C424" s="3" t="n">
        <v>46110</v>
      </c>
      <c r="D424" s="2" t="inlineStr">
        <is>
          <t>Grant Holmes</t>
        </is>
      </c>
      <c r="E424" s="2" t="inlineStr">
        <is>
          <t>Win</t>
        </is>
      </c>
      <c r="F424" s="2" t="n">
        <v>1.12</v>
      </c>
      <c r="G424" s="6" t="n">
        <v>0.13148672871057</v>
      </c>
      <c r="H424" s="7" t="n">
        <v>100</v>
      </c>
      <c r="I424" s="7" t="n">
        <v>112</v>
      </c>
      <c r="J424" s="7" t="n">
        <v>13543.96866570477</v>
      </c>
      <c r="K424" s="7" t="n">
        <v>13631.96866570477</v>
      </c>
      <c r="L424" s="7" t="n">
        <v>-88</v>
      </c>
      <c r="M424" s="6" t="n">
        <v>-0.006455413899343087</v>
      </c>
      <c r="N424" s="7" t="n">
        <v>138.1170569572228</v>
      </c>
      <c r="O424" s="7" t="n">
        <v>154.6911037920895</v>
      </c>
      <c r="P424" s="7" t="n">
        <v>13966.39679951437</v>
      </c>
      <c r="Q424" s="7" t="n">
        <v>14092.13926713833</v>
      </c>
      <c r="R424" s="7" t="n">
        <v>-125.7424676239643</v>
      </c>
      <c r="S424" s="6" t="n">
        <v>-0.008922880000000076</v>
      </c>
      <c r="T424" s="7" t="n">
        <v>1012.590002477291</v>
      </c>
      <c r="U424" s="7" t="n">
        <v>1134.100802774566</v>
      </c>
      <c r="V424" s="7" t="n">
        <v>31938.42645319711</v>
      </c>
      <c r="W424" s="7" t="n">
        <v>31999.16534902149</v>
      </c>
      <c r="X424" s="7" t="n">
        <v>-60.73889582438278</v>
      </c>
      <c r="Y424" s="6" t="n">
        <v>-0.001898140003399811</v>
      </c>
      <c r="Z424" s="7" t="n">
        <v>2464.518248166935</v>
      </c>
      <c r="AA424" s="7" t="n">
        <v>2760.260437946967</v>
      </c>
      <c r="AB424" s="7" t="n">
        <v>40247.21098170654</v>
      </c>
      <c r="AC424" s="7" t="n">
        <v>41497.28076229156</v>
      </c>
      <c r="AD424" s="7" t="n">
        <v>-1250.069780585021</v>
      </c>
      <c r="AE424" s="6" t="n">
        <v>-0.0301241372355404</v>
      </c>
    </row>
    <row r="425">
      <c r="A425" s="2" t="n">
        <v>416</v>
      </c>
      <c r="B425" s="2" t="inlineStr">
        <is>
          <t>KPROP-00416</t>
        </is>
      </c>
      <c r="C425" s="3" t="n">
        <v>46110</v>
      </c>
      <c r="D425" s="2" t="inlineStr">
        <is>
          <t>Grant Holmes</t>
        </is>
      </c>
      <c r="E425" s="2" t="inlineStr">
        <is>
          <t>Win</t>
        </is>
      </c>
      <c r="F425" s="2" t="n">
        <v>0.5263157894736841</v>
      </c>
      <c r="G425" s="6" t="n">
        <v>0.1620176603460859</v>
      </c>
      <c r="H425" s="7" t="n">
        <v>100</v>
      </c>
      <c r="I425" s="7" t="n">
        <v>52.63157894736841</v>
      </c>
      <c r="J425" s="7" t="n">
        <v>13596.60024465214</v>
      </c>
      <c r="K425" s="7" t="n">
        <v>13631.96866570477</v>
      </c>
      <c r="L425" s="7" t="n">
        <v>-35.36842105263167</v>
      </c>
      <c r="M425" s="6" t="n">
        <v>-0.002594520418874741</v>
      </c>
      <c r="N425" s="7" t="n">
        <v>139.6639679951437</v>
      </c>
      <c r="O425" s="7" t="n">
        <v>73.50735157639139</v>
      </c>
      <c r="P425" s="7" t="n">
        <v>14039.90415109076</v>
      </c>
      <c r="Q425" s="7" t="n">
        <v>14092.13926713833</v>
      </c>
      <c r="R425" s="7" t="n">
        <v>-52.23511604757368</v>
      </c>
      <c r="S425" s="6" t="n">
        <v>-0.003706684631579077</v>
      </c>
      <c r="T425" s="7" t="n">
        <v>1293.647282270634</v>
      </c>
      <c r="U425" s="7" t="n">
        <v>680.8669906687545</v>
      </c>
      <c r="V425" s="7" t="n">
        <v>32619.29344386586</v>
      </c>
      <c r="W425" s="7" t="n">
        <v>32619.29344386586</v>
      </c>
      <c r="X425" s="7" t="n">
        <v>0</v>
      </c>
      <c r="Y425" s="6" t="n">
        <v>0</v>
      </c>
      <c r="Z425" s="7" t="n">
        <v>3260.379479355695</v>
      </c>
      <c r="AA425" s="7" t="n">
        <v>1715.989199660892</v>
      </c>
      <c r="AB425" s="7" t="n">
        <v>41963.20018136743</v>
      </c>
      <c r="AC425" s="7" t="n">
        <v>41963.20018136743</v>
      </c>
      <c r="AD425" s="7" t="n">
        <v>0</v>
      </c>
      <c r="AE425" s="6" t="n">
        <v>0</v>
      </c>
    </row>
    <row r="426">
      <c r="A426" s="2" t="n">
        <v>417</v>
      </c>
      <c r="B426" s="2" t="inlineStr">
        <is>
          <t>KPROP-00417</t>
        </is>
      </c>
      <c r="C426" s="3" t="n">
        <v>46110</v>
      </c>
      <c r="D426" s="2" t="inlineStr">
        <is>
          <t>MacKenzie Gore</t>
        </is>
      </c>
      <c r="E426" s="2" t="inlineStr">
        <is>
          <t>Loss</t>
        </is>
      </c>
      <c r="F426" s="2" t="n">
        <v>-1</v>
      </c>
      <c r="G426" s="6" t="n">
        <v>0.2029832917287576</v>
      </c>
      <c r="H426" s="7" t="n">
        <v>100</v>
      </c>
      <c r="I426" s="7" t="n">
        <v>-100</v>
      </c>
      <c r="J426" s="7" t="n">
        <v>13496.60024465214</v>
      </c>
      <c r="K426" s="7" t="n">
        <v>13631.96866570477</v>
      </c>
      <c r="L426" s="7" t="n">
        <v>-135.3684210526317</v>
      </c>
      <c r="M426" s="6" t="n">
        <v>-0.009930218031764613</v>
      </c>
      <c r="N426" s="7" t="n">
        <v>140.3990415109076</v>
      </c>
      <c r="O426" s="7" t="n">
        <v>-140.3990415109076</v>
      </c>
      <c r="P426" s="7" t="n">
        <v>13899.50510957985</v>
      </c>
      <c r="Q426" s="7" t="n">
        <v>14092.13926713833</v>
      </c>
      <c r="R426" s="7" t="n">
        <v>-192.6341575584811</v>
      </c>
      <c r="S426" s="6" t="n">
        <v>-0.01366961778526327</v>
      </c>
      <c r="T426" s="7" t="n">
        <v>1655.292889275543</v>
      </c>
      <c r="U426" s="7" t="n">
        <v>-1655.292889275543</v>
      </c>
      <c r="V426" s="7" t="n">
        <v>30964.00055459032</v>
      </c>
      <c r="W426" s="7" t="n">
        <v>32619.29344386586</v>
      </c>
      <c r="X426" s="7" t="n">
        <v>-1655.292889275544</v>
      </c>
      <c r="Y426" s="6" t="n">
        <v>-0.05074582293218943</v>
      </c>
      <c r="Z426" s="7" t="n">
        <v>4258.914252143379</v>
      </c>
      <c r="AA426" s="7" t="n">
        <v>-4258.914252143379</v>
      </c>
      <c r="AB426" s="7" t="n">
        <v>37704.28592922405</v>
      </c>
      <c r="AC426" s="7" t="n">
        <v>41963.20018136743</v>
      </c>
      <c r="AD426" s="7" t="n">
        <v>-4258.914252143382</v>
      </c>
      <c r="AE426" s="6" t="n">
        <v>-0.1014916458643789</v>
      </c>
    </row>
    <row r="427">
      <c r="A427" s="2" t="n">
        <v>418</v>
      </c>
      <c r="B427" s="2" t="inlineStr">
        <is>
          <t>KPROP-00418</t>
        </is>
      </c>
      <c r="C427" s="3" t="n">
        <v>46110</v>
      </c>
      <c r="D427" s="2" t="inlineStr">
        <is>
          <t>MacKenzie Gore</t>
        </is>
      </c>
      <c r="E427" s="2" t="inlineStr">
        <is>
          <t>Loss</t>
        </is>
      </c>
      <c r="F427" s="2" t="n">
        <v>-1</v>
      </c>
      <c r="G427" s="6" t="n">
        <v>0.3113454986851032</v>
      </c>
      <c r="H427" s="7" t="n">
        <v>100</v>
      </c>
      <c r="I427" s="7" t="n">
        <v>-100</v>
      </c>
      <c r="J427" s="7" t="n">
        <v>13396.60024465214</v>
      </c>
      <c r="K427" s="7" t="n">
        <v>13631.96866570477</v>
      </c>
      <c r="L427" s="7" t="n">
        <v>-235.3684210526317</v>
      </c>
      <c r="M427" s="6" t="n">
        <v>-0.01726591564465449</v>
      </c>
      <c r="N427" s="7" t="n">
        <v>138.9950510957985</v>
      </c>
      <c r="O427" s="7" t="n">
        <v>-138.9950510957985</v>
      </c>
      <c r="P427" s="7" t="n">
        <v>13760.51005848405</v>
      </c>
      <c r="Q427" s="7" t="n">
        <v>14092.13926713833</v>
      </c>
      <c r="R427" s="7" t="n">
        <v>-331.6292086542799</v>
      </c>
      <c r="S427" s="6" t="n">
        <v>-0.02353292160741066</v>
      </c>
      <c r="T427" s="7" t="n">
        <v>2410.125548488684</v>
      </c>
      <c r="U427" s="7" t="n">
        <v>-2410.125548488684</v>
      </c>
      <c r="V427" s="7" t="n">
        <v>28553.87500610164</v>
      </c>
      <c r="W427" s="7" t="n">
        <v>32619.29344386586</v>
      </c>
      <c r="X427" s="7" t="n">
        <v>-4065.418437764227</v>
      </c>
      <c r="Y427" s="6" t="n">
        <v>-0.1246323267167131</v>
      </c>
      <c r="Z427" s="7" t="n">
        <v>5869.52985259999</v>
      </c>
      <c r="AA427" s="7" t="n">
        <v>-5869.52985259999</v>
      </c>
      <c r="AB427" s="7" t="n">
        <v>31834.75607662406</v>
      </c>
      <c r="AC427" s="7" t="n">
        <v>41963.20018136743</v>
      </c>
      <c r="AD427" s="7" t="n">
        <v>-10128.44410474337</v>
      </c>
      <c r="AE427" s="6" t="n">
        <v>-0.241364911659922</v>
      </c>
    </row>
    <row r="428">
      <c r="A428" s="2" t="n">
        <v>419</v>
      </c>
      <c r="B428" s="2" t="inlineStr">
        <is>
          <t>KPROP-00419</t>
        </is>
      </c>
      <c r="C428" s="3" t="n">
        <v>46110</v>
      </c>
      <c r="D428" s="2" t="inlineStr">
        <is>
          <t>Seth Lugo</t>
        </is>
      </c>
      <c r="E428" s="2" t="inlineStr">
        <is>
          <t>Win</t>
        </is>
      </c>
      <c r="F428" s="2" t="n">
        <v>1.38</v>
      </c>
      <c r="G428" s="6" t="n">
        <v>0.05254211780261673</v>
      </c>
      <c r="H428" s="7" t="n">
        <v>100</v>
      </c>
      <c r="I428" s="7" t="n">
        <v>138</v>
      </c>
      <c r="J428" s="7" t="n">
        <v>13534.60024465214</v>
      </c>
      <c r="K428" s="7" t="n">
        <v>13631.96866570477</v>
      </c>
      <c r="L428" s="7" t="n">
        <v>-97.36842105263167</v>
      </c>
      <c r="M428" s="6" t="n">
        <v>-0.007142652938866461</v>
      </c>
      <c r="N428" s="7" t="n">
        <v>137.6051005848405</v>
      </c>
      <c r="O428" s="7" t="n">
        <v>189.8950388070799</v>
      </c>
      <c r="P428" s="7" t="n">
        <v>13950.40509729113</v>
      </c>
      <c r="Q428" s="7" t="n">
        <v>14092.13926713833</v>
      </c>
      <c r="R428" s="7" t="n">
        <v>-141.7341698471992</v>
      </c>
      <c r="S428" s="6" t="n">
        <v>-0.01005767592559287</v>
      </c>
      <c r="T428" s="7" t="n">
        <v>375.0702660729464</v>
      </c>
      <c r="U428" s="7" t="n">
        <v>517.5969671806661</v>
      </c>
      <c r="V428" s="7" t="n">
        <v>29071.4719732823</v>
      </c>
      <c r="W428" s="7" t="n">
        <v>32619.29344386586</v>
      </c>
      <c r="X428" s="7" t="n">
        <v>-3547.82147058356</v>
      </c>
      <c r="Y428" s="6" t="n">
        <v>-0.1087645100801758</v>
      </c>
      <c r="Z428" s="7" t="n">
        <v>836.3327519977749</v>
      </c>
      <c r="AA428" s="7" t="n">
        <v>1154.139197756929</v>
      </c>
      <c r="AB428" s="7" t="n">
        <v>32988.89527438099</v>
      </c>
      <c r="AC428" s="7" t="n">
        <v>41963.20018136743</v>
      </c>
      <c r="AD428" s="7" t="n">
        <v>-8974.304906986443</v>
      </c>
      <c r="AE428" s="6" t="n">
        <v>-0.2138613086751956</v>
      </c>
    </row>
    <row r="429">
      <c r="A429" s="2" t="n">
        <v>420</v>
      </c>
      <c r="B429" s="2" t="inlineStr">
        <is>
          <t>KPROP-00420</t>
        </is>
      </c>
      <c r="C429" s="3" t="n">
        <v>46110</v>
      </c>
      <c r="D429" s="2" t="inlineStr">
        <is>
          <t>Shota Imanaga</t>
        </is>
      </c>
      <c r="E429" s="2" t="inlineStr">
        <is>
          <t>Loss</t>
        </is>
      </c>
      <c r="F429" s="2" t="n">
        <v>-1</v>
      </c>
      <c r="G429" s="6" t="n">
        <v>0.1824642126295554</v>
      </c>
      <c r="H429" s="7" t="n">
        <v>100</v>
      </c>
      <c r="I429" s="7" t="n">
        <v>-100</v>
      </c>
      <c r="J429" s="7" t="n">
        <v>13434.60024465214</v>
      </c>
      <c r="K429" s="7" t="n">
        <v>13631.96866570477</v>
      </c>
      <c r="L429" s="7" t="n">
        <v>-197.3684210526317</v>
      </c>
      <c r="M429" s="6" t="n">
        <v>-0.01447835055175633</v>
      </c>
      <c r="N429" s="7" t="n">
        <v>139.5040509729113</v>
      </c>
      <c r="O429" s="7" t="n">
        <v>-139.5040509729113</v>
      </c>
      <c r="P429" s="7" t="n">
        <v>13810.90104631822</v>
      </c>
      <c r="Q429" s="7" t="n">
        <v>14092.13926713833</v>
      </c>
      <c r="R429" s="7" t="n">
        <v>-281.2382208201107</v>
      </c>
      <c r="S429" s="6" t="n">
        <v>-0.01995709916633695</v>
      </c>
      <c r="T429" s="7" t="n">
        <v>1326.125810896786</v>
      </c>
      <c r="U429" s="7" t="n">
        <v>-1326.125810896786</v>
      </c>
      <c r="V429" s="7" t="n">
        <v>27745.34616238552</v>
      </c>
      <c r="W429" s="7" t="n">
        <v>32619.29344386586</v>
      </c>
      <c r="X429" s="7" t="n">
        <v>-4873.947281480345</v>
      </c>
      <c r="Y429" s="6" t="n">
        <v>-0.14941915556411</v>
      </c>
      <c r="Z429" s="7" t="n">
        <v>3009.646400879394</v>
      </c>
      <c r="AA429" s="7" t="n">
        <v>-3009.646400879394</v>
      </c>
      <c r="AB429" s="7" t="n">
        <v>29979.24887350159</v>
      </c>
      <c r="AC429" s="7" t="n">
        <v>41963.20018136743</v>
      </c>
      <c r="AD429" s="7" t="n">
        <v>-11983.95130786583</v>
      </c>
      <c r="AE429" s="6" t="n">
        <v>-0.2855823973403003</v>
      </c>
    </row>
    <row r="430">
      <c r="A430" s="2" t="n">
        <v>421</v>
      </c>
      <c r="B430" s="2" t="inlineStr">
        <is>
          <t>KPROP-00421</t>
        </is>
      </c>
      <c r="C430" s="3" t="n">
        <v>46110</v>
      </c>
      <c r="D430" s="2" t="inlineStr">
        <is>
          <t>Shota Imanaga</t>
        </is>
      </c>
      <c r="E430" s="2" t="inlineStr">
        <is>
          <t>Loss</t>
        </is>
      </c>
      <c r="F430" s="2" t="n">
        <v>-1</v>
      </c>
      <c r="G430" s="6" t="n">
        <v>0.2411706172311719</v>
      </c>
      <c r="H430" s="7" t="n">
        <v>100</v>
      </c>
      <c r="I430" s="7" t="n">
        <v>-100</v>
      </c>
      <c r="J430" s="7" t="n">
        <v>13334.60024465214</v>
      </c>
      <c r="K430" s="7" t="n">
        <v>13631.96866570477</v>
      </c>
      <c r="L430" s="7" t="n">
        <v>-297.3684210526317</v>
      </c>
      <c r="M430" s="6" t="n">
        <v>-0.02181404816464621</v>
      </c>
      <c r="N430" s="7" t="n">
        <v>138.1090104631822</v>
      </c>
      <c r="O430" s="7" t="n">
        <v>-138.1090104631822</v>
      </c>
      <c r="P430" s="7" t="n">
        <v>13672.79203585504</v>
      </c>
      <c r="Q430" s="7" t="n">
        <v>14092.13926713833</v>
      </c>
      <c r="R430" s="7" t="n">
        <v>-419.3472312832928</v>
      </c>
      <c r="S430" s="6" t="n">
        <v>-0.02975752817467358</v>
      </c>
      <c r="T430" s="7" t="n">
        <v>1672.840564818761</v>
      </c>
      <c r="U430" s="7" t="n">
        <v>-1672.840564818761</v>
      </c>
      <c r="V430" s="7" t="n">
        <v>26072.50559756676</v>
      </c>
      <c r="W430" s="7" t="n">
        <v>32619.29344386586</v>
      </c>
      <c r="X430" s="7" t="n">
        <v>-6546.787846299107</v>
      </c>
      <c r="Y430" s="6" t="n">
        <v>-0.2007029323785137</v>
      </c>
      <c r="Z430" s="7" t="n">
        <v>3615.056977474647</v>
      </c>
      <c r="AA430" s="7" t="n">
        <v>-3615.056977474647</v>
      </c>
      <c r="AB430" s="7" t="n">
        <v>26364.19189602695</v>
      </c>
      <c r="AC430" s="7" t="n">
        <v>41963.20018136743</v>
      </c>
      <c r="AD430" s="7" t="n">
        <v>-15599.00828534048</v>
      </c>
      <c r="AE430" s="6" t="n">
        <v>-0.3717306644374272</v>
      </c>
    </row>
    <row r="431">
      <c r="A431" s="2" t="n">
        <v>422</v>
      </c>
      <c r="B431" s="2" t="inlineStr">
        <is>
          <t>KPROP-00422</t>
        </is>
      </c>
      <c r="C431" s="3" t="n">
        <v>46110</v>
      </c>
      <c r="D431" s="2" t="inlineStr">
        <is>
          <t>Steven Matz</t>
        </is>
      </c>
      <c r="E431" s="2" t="inlineStr">
        <is>
          <t>Win</t>
        </is>
      </c>
      <c r="F431" s="2" t="n">
        <v>1.05</v>
      </c>
      <c r="G431" s="6" t="n">
        <v>0.1011323391200031</v>
      </c>
      <c r="H431" s="7" t="n">
        <v>100</v>
      </c>
      <c r="I431" s="7" t="n">
        <v>105</v>
      </c>
      <c r="J431" s="7" t="n">
        <v>13439.60024465214</v>
      </c>
      <c r="K431" s="7" t="n">
        <v>13631.96866570477</v>
      </c>
      <c r="L431" s="7" t="n">
        <v>-192.3684210526317</v>
      </c>
      <c r="M431" s="6" t="n">
        <v>-0.01411156567111184</v>
      </c>
      <c r="N431" s="7" t="n">
        <v>136.7279203585504</v>
      </c>
      <c r="O431" s="7" t="n">
        <v>143.5643163764779</v>
      </c>
      <c r="P431" s="7" t="n">
        <v>13816.35635223152</v>
      </c>
      <c r="Q431" s="7" t="n">
        <v>14092.13926713833</v>
      </c>
      <c r="R431" s="7" t="n">
        <v>-275.7829149068148</v>
      </c>
      <c r="S431" s="6" t="n">
        <v>-0.01956998222050764</v>
      </c>
      <c r="T431" s="7" t="n">
        <v>659.1933694503249</v>
      </c>
      <c r="U431" s="7" t="n">
        <v>692.153037922841</v>
      </c>
      <c r="V431" s="7" t="n">
        <v>26764.6586354896</v>
      </c>
      <c r="W431" s="7" t="n">
        <v>32619.29344386586</v>
      </c>
      <c r="X431" s="7" t="n">
        <v>-5854.634808376264</v>
      </c>
      <c r="Y431" s="6" t="n">
        <v>-0.1794838020771796</v>
      </c>
      <c r="Z431" s="7" t="n">
        <v>1333.136197726917</v>
      </c>
      <c r="AA431" s="7" t="n">
        <v>1399.793007613262</v>
      </c>
      <c r="AB431" s="7" t="n">
        <v>27763.98490364021</v>
      </c>
      <c r="AC431" s="7" t="n">
        <v>41963.20018136743</v>
      </c>
      <c r="AD431" s="7" t="n">
        <v>-14199.21527772722</v>
      </c>
      <c r="AE431" s="6" t="n">
        <v>-0.3383730319984504</v>
      </c>
    </row>
    <row r="432">
      <c r="A432" s="2" t="n">
        <v>423</v>
      </c>
      <c r="B432" s="2" t="inlineStr">
        <is>
          <t>KPROP-00423</t>
        </is>
      </c>
      <c r="C432" s="3" t="n">
        <v>46111</v>
      </c>
      <c r="D432" s="2" t="inlineStr">
        <is>
          <t>Edward Cabrera</t>
        </is>
      </c>
      <c r="E432" s="2" t="inlineStr">
        <is>
          <t>Win</t>
        </is>
      </c>
      <c r="F432" s="2" t="n">
        <v>1.09</v>
      </c>
      <c r="G432" s="6" t="n">
        <v>0.1446650386520483</v>
      </c>
      <c r="H432" s="7" t="n">
        <v>100</v>
      </c>
      <c r="I432" s="7" t="n">
        <v>109</v>
      </c>
      <c r="J432" s="7" t="n">
        <v>13548.60024465214</v>
      </c>
      <c r="K432" s="7" t="n">
        <v>13631.96866570477</v>
      </c>
      <c r="L432" s="7" t="n">
        <v>-83.36842105263167</v>
      </c>
      <c r="M432" s="6" t="n">
        <v>-0.00611565527306188</v>
      </c>
      <c r="N432" s="7" t="n">
        <v>138.1635635223152</v>
      </c>
      <c r="O432" s="7" t="n">
        <v>150.5982842393235</v>
      </c>
      <c r="P432" s="7" t="n">
        <v>13966.95463647084</v>
      </c>
      <c r="Q432" s="7" t="n">
        <v>14092.13926713833</v>
      </c>
      <c r="R432" s="7" t="n">
        <v>-125.1846306674906</v>
      </c>
      <c r="S432" s="6" t="n">
        <v>-0.008883295026711134</v>
      </c>
      <c r="T432" s="7" t="n">
        <v>967.9775940029955</v>
      </c>
      <c r="U432" s="7" t="n">
        <v>1055.095577463265</v>
      </c>
      <c r="V432" s="7" t="n">
        <v>27819.75421295286</v>
      </c>
      <c r="W432" s="7" t="n">
        <v>32619.29344386586</v>
      </c>
      <c r="X432" s="7" t="n">
        <v>-4799.539230913</v>
      </c>
      <c r="Y432" s="6" t="n">
        <v>-0.147138050036935</v>
      </c>
      <c r="Z432" s="7" t="n">
        <v>2008.238974609998</v>
      </c>
      <c r="AA432" s="7" t="n">
        <v>2188.980482324898</v>
      </c>
      <c r="AB432" s="7" t="n">
        <v>29952.96538596511</v>
      </c>
      <c r="AC432" s="7" t="n">
        <v>41963.20018136743</v>
      </c>
      <c r="AD432" s="7" t="n">
        <v>-12010.23479540232</v>
      </c>
      <c r="AE432" s="6" t="n">
        <v>-0.2862087434583963</v>
      </c>
    </row>
    <row r="433">
      <c r="A433" s="2" t="n">
        <v>424</v>
      </c>
      <c r="B433" s="2" t="inlineStr">
        <is>
          <t>KPROP-00424</t>
        </is>
      </c>
      <c r="C433" s="3" t="n">
        <v>46111</v>
      </c>
      <c r="D433" s="2" t="inlineStr">
        <is>
          <t>Edward Cabrera</t>
        </is>
      </c>
      <c r="E433" s="2" t="inlineStr">
        <is>
          <t>Win</t>
        </is>
      </c>
      <c r="F433" s="2" t="n">
        <v>0.6097560975609757</v>
      </c>
      <c r="G433" s="6" t="n">
        <v>0.2023367072226408</v>
      </c>
      <c r="H433" s="7" t="n">
        <v>100</v>
      </c>
      <c r="I433" s="7" t="n">
        <v>60.97560975609757</v>
      </c>
      <c r="J433" s="7" t="n">
        <v>13609.57585440823</v>
      </c>
      <c r="K433" s="7" t="n">
        <v>13631.96866570477</v>
      </c>
      <c r="L433" s="7" t="n">
        <v>-22.392811296535</v>
      </c>
      <c r="M433" s="6" t="n">
        <v>-0.001642668923738852</v>
      </c>
      <c r="N433" s="7" t="n">
        <v>139.6695463647084</v>
      </c>
      <c r="O433" s="7" t="n">
        <v>85.16435753945635</v>
      </c>
      <c r="P433" s="7" t="n">
        <v>14052.1189940103</v>
      </c>
      <c r="Q433" s="7" t="n">
        <v>14092.13926713833</v>
      </c>
      <c r="R433" s="7" t="n">
        <v>-40.02027312803511</v>
      </c>
      <c r="S433" s="6" t="n">
        <v>-0.002839900484191139</v>
      </c>
      <c r="T433" s="7" t="n">
        <v>1407.239365798018</v>
      </c>
      <c r="U433" s="7" t="n">
        <v>858.0727840231816</v>
      </c>
      <c r="V433" s="7" t="n">
        <v>28677.82699697604</v>
      </c>
      <c r="W433" s="7" t="n">
        <v>32619.29344386586</v>
      </c>
      <c r="X433" s="7" t="n">
        <v>-3941.466446889819</v>
      </c>
      <c r="Y433" s="6" t="n">
        <v>-0.1208323673126961</v>
      </c>
      <c r="Z433" s="7" t="n">
        <v>3030.292193874958</v>
      </c>
      <c r="AA433" s="7" t="n">
        <v>1847.739142606682</v>
      </c>
      <c r="AB433" s="7" t="n">
        <v>31800.70452857179</v>
      </c>
      <c r="AC433" s="7" t="n">
        <v>41963.20018136743</v>
      </c>
      <c r="AD433" s="7" t="n">
        <v>-10162.49565279564</v>
      </c>
      <c r="AE433" s="6" t="n">
        <v>-0.2421763737959148</v>
      </c>
    </row>
    <row r="434">
      <c r="A434" s="2" t="n">
        <v>425</v>
      </c>
      <c r="B434" s="2" t="inlineStr">
        <is>
          <t>KPROP-00425</t>
        </is>
      </c>
      <c r="C434" s="3" t="n">
        <v>46111</v>
      </c>
      <c r="D434" s="2" t="inlineStr">
        <is>
          <t>Jacob Lopez</t>
        </is>
      </c>
      <c r="E434" s="2" t="inlineStr">
        <is>
          <t>Win</t>
        </is>
      </c>
      <c r="F434" s="2" t="n">
        <v>0.8849557522123894</v>
      </c>
      <c r="G434" s="6" t="n">
        <v>0.2881705972377562</v>
      </c>
      <c r="H434" s="7" t="n">
        <v>100</v>
      </c>
      <c r="I434" s="7" t="n">
        <v>88.49557522123894</v>
      </c>
      <c r="J434" s="7" t="n">
        <v>13698.07142962947</v>
      </c>
      <c r="K434" s="7" t="n">
        <v>13698.07142962947</v>
      </c>
      <c r="L434" s="7" t="n">
        <v>0</v>
      </c>
      <c r="M434" s="6" t="n">
        <v>0</v>
      </c>
      <c r="N434" s="7" t="n">
        <v>140.521189940103</v>
      </c>
      <c r="O434" s="7" t="n">
        <v>124.3550353452239</v>
      </c>
      <c r="P434" s="7" t="n">
        <v>14176.47402935552</v>
      </c>
      <c r="Q434" s="7" t="n">
        <v>14176.47402935552</v>
      </c>
      <c r="R434" s="7" t="n">
        <v>0</v>
      </c>
      <c r="S434" s="6" t="n">
        <v>0</v>
      </c>
      <c r="T434" s="7" t="n">
        <v>2066.026633299909</v>
      </c>
      <c r="U434" s="7" t="n">
        <v>1828.342153362751</v>
      </c>
      <c r="V434" s="7" t="n">
        <v>30506.1691503388</v>
      </c>
      <c r="W434" s="7" t="n">
        <v>32619.29344386586</v>
      </c>
      <c r="X434" s="7" t="n">
        <v>-2113.124293527067</v>
      </c>
      <c r="Y434" s="6" t="n">
        <v>-0.06478142444021716</v>
      </c>
      <c r="Z434" s="7" t="n">
        <v>4582.014008289975</v>
      </c>
      <c r="AA434" s="7" t="n">
        <v>4054.879653353961</v>
      </c>
      <c r="AB434" s="7" t="n">
        <v>35855.58418192575</v>
      </c>
      <c r="AC434" s="7" t="n">
        <v>41963.20018136743</v>
      </c>
      <c r="AD434" s="7" t="n">
        <v>-6107.615999441681</v>
      </c>
      <c r="AE434" s="6" t="n">
        <v>-0.1455469547852453</v>
      </c>
    </row>
    <row r="435">
      <c r="A435" s="2" t="n">
        <v>426</v>
      </c>
      <c r="B435" s="2" t="inlineStr">
        <is>
          <t>KPROP-00426</t>
        </is>
      </c>
      <c r="C435" s="3" t="n">
        <v>46111</v>
      </c>
      <c r="D435" s="2" t="inlineStr">
        <is>
          <t>Kyle Harrison</t>
        </is>
      </c>
      <c r="E435" s="2" t="inlineStr">
        <is>
          <t>Loss</t>
        </is>
      </c>
      <c r="F435" s="2" t="n">
        <v>-1</v>
      </c>
      <c r="G435" s="6" t="n">
        <v>0.1366052887932536</v>
      </c>
      <c r="H435" s="7" t="n">
        <v>100</v>
      </c>
      <c r="I435" s="7" t="n">
        <v>-100</v>
      </c>
      <c r="J435" s="7" t="n">
        <v>13598.07142962947</v>
      </c>
      <c r="K435" s="7" t="n">
        <v>13698.07142962947</v>
      </c>
      <c r="L435" s="7" t="n">
        <v>-100</v>
      </c>
      <c r="M435" s="6" t="n">
        <v>-0.007300297747294267</v>
      </c>
      <c r="N435" s="7" t="n">
        <v>141.7647402935552</v>
      </c>
      <c r="O435" s="7" t="n">
        <v>-141.7647402935552</v>
      </c>
      <c r="P435" s="7" t="n">
        <v>14034.70928906197</v>
      </c>
      <c r="Q435" s="7" t="n">
        <v>14176.47402935552</v>
      </c>
      <c r="R435" s="7" t="n">
        <v>-141.7647402935545</v>
      </c>
      <c r="S435" s="6" t="n">
        <v>-0.00999999999999995</v>
      </c>
      <c r="T435" s="7" t="n">
        <v>1041.826011689469</v>
      </c>
      <c r="U435" s="7" t="n">
        <v>-1041.826011689469</v>
      </c>
      <c r="V435" s="7" t="n">
        <v>29464.34313864932</v>
      </c>
      <c r="W435" s="7" t="n">
        <v>32619.29344386586</v>
      </c>
      <c r="X435" s="7" t="n">
        <v>-3154.950305216538</v>
      </c>
      <c r="Y435" s="6" t="n">
        <v>-0.09672037534000708</v>
      </c>
      <c r="Z435" s="7" t="n">
        <v>2449.031216011392</v>
      </c>
      <c r="AA435" s="7" t="n">
        <v>-2449.031216011392</v>
      </c>
      <c r="AB435" s="7" t="n">
        <v>33406.55296591436</v>
      </c>
      <c r="AC435" s="7" t="n">
        <v>41963.20018136743</v>
      </c>
      <c r="AD435" s="7" t="n">
        <v>-8556.647215453071</v>
      </c>
      <c r="AE435" s="6" t="n">
        <v>-0.2039083572861635</v>
      </c>
    </row>
    <row r="436">
      <c r="A436" s="2" t="n">
        <v>427</v>
      </c>
      <c r="B436" s="2" t="inlineStr">
        <is>
          <t>KPROP-00427</t>
        </is>
      </c>
      <c r="C436" s="3" t="n">
        <v>46111</v>
      </c>
      <c r="D436" s="2" t="inlineStr">
        <is>
          <t>Kyle Harrison</t>
        </is>
      </c>
      <c r="E436" s="2" t="inlineStr">
        <is>
          <t>Loss</t>
        </is>
      </c>
      <c r="F436" s="2" t="n">
        <v>-1</v>
      </c>
      <c r="G436" s="6" t="n">
        <v>0.1425262736991318</v>
      </c>
      <c r="H436" s="7" t="n">
        <v>100</v>
      </c>
      <c r="I436" s="7" t="n">
        <v>-100</v>
      </c>
      <c r="J436" s="7" t="n">
        <v>13498.07142962947</v>
      </c>
      <c r="K436" s="7" t="n">
        <v>13698.07142962947</v>
      </c>
      <c r="L436" s="7" t="n">
        <v>-200</v>
      </c>
      <c r="M436" s="6" t="n">
        <v>-0.01460059549458853</v>
      </c>
      <c r="N436" s="7" t="n">
        <v>140.3470928906197</v>
      </c>
      <c r="O436" s="7" t="n">
        <v>-140.3470928906197</v>
      </c>
      <c r="P436" s="7" t="n">
        <v>13894.36219617135</v>
      </c>
      <c r="Q436" s="7" t="n">
        <v>14176.47402935552</v>
      </c>
      <c r="R436" s="7" t="n">
        <v>-282.1118331841735</v>
      </c>
      <c r="S436" s="6" t="n">
        <v>-0.0198999999999999</v>
      </c>
      <c r="T436" s="7" t="n">
        <v>1049.860758636068</v>
      </c>
      <c r="U436" s="7" t="n">
        <v>-1049.860758636068</v>
      </c>
      <c r="V436" s="7" t="n">
        <v>28414.48238001326</v>
      </c>
      <c r="W436" s="7" t="n">
        <v>32619.29344386586</v>
      </c>
      <c r="X436" s="7" t="n">
        <v>-4204.811063852605</v>
      </c>
      <c r="Y436" s="6" t="n">
        <v>-0.1289056450927918</v>
      </c>
      <c r="Z436" s="7" t="n">
        <v>2380.655755682227</v>
      </c>
      <c r="AA436" s="7" t="n">
        <v>-2380.655755682227</v>
      </c>
      <c r="AB436" s="7" t="n">
        <v>31025.89721023213</v>
      </c>
      <c r="AC436" s="7" t="n">
        <v>41963.20018136743</v>
      </c>
      <c r="AD436" s="7" t="n">
        <v>-10937.3029711353</v>
      </c>
      <c r="AE436" s="6" t="n">
        <v>-0.2606403449656753</v>
      </c>
    </row>
    <row r="437">
      <c r="A437" s="2" t="n">
        <v>428</v>
      </c>
      <c r="B437" s="2" t="inlineStr">
        <is>
          <t>KPROP-00428</t>
        </is>
      </c>
      <c r="C437" s="3" t="n">
        <v>46111</v>
      </c>
      <c r="D437" s="2" t="inlineStr">
        <is>
          <t>Kyle Leahy</t>
        </is>
      </c>
      <c r="E437" s="2" t="inlineStr">
        <is>
          <t>Win</t>
        </is>
      </c>
      <c r="F437" s="2" t="n">
        <v>0.8695652173913042</v>
      </c>
      <c r="G437" s="6" t="n">
        <v>0.3763825392818704</v>
      </c>
      <c r="H437" s="7" t="n">
        <v>100</v>
      </c>
      <c r="I437" s="7" t="n">
        <v>86.95652173913042</v>
      </c>
      <c r="J437" s="7" t="n">
        <v>13585.0279513686</v>
      </c>
      <c r="K437" s="7" t="n">
        <v>13698.07142962947</v>
      </c>
      <c r="L437" s="7" t="n">
        <v>-113.04347826087</v>
      </c>
      <c r="M437" s="6" t="n">
        <v>-0.008252510496941375</v>
      </c>
      <c r="N437" s="7" t="n">
        <v>138.9436219617135</v>
      </c>
      <c r="O437" s="7" t="n">
        <v>120.8205408362726</v>
      </c>
      <c r="P437" s="7" t="n">
        <v>14015.18273700762</v>
      </c>
      <c r="Q437" s="7" t="n">
        <v>14176.47402935552</v>
      </c>
      <c r="R437" s="7" t="n">
        <v>-161.2912923479016</v>
      </c>
      <c r="S437" s="6" t="n">
        <v>-0.01137739130434778</v>
      </c>
      <c r="T437" s="7" t="n">
        <v>2673.678757642339</v>
      </c>
      <c r="U437" s="7" t="n">
        <v>2324.938050123772</v>
      </c>
      <c r="V437" s="7" t="n">
        <v>30739.42043013703</v>
      </c>
      <c r="W437" s="7" t="n">
        <v>32619.29344386586</v>
      </c>
      <c r="X437" s="7" t="n">
        <v>-1879.873013728833</v>
      </c>
      <c r="Y437" s="6" t="n">
        <v>-0.05763070916799234</v>
      </c>
      <c r="Z437" s="7" t="n">
        <v>5838.802987742734</v>
      </c>
      <c r="AA437" s="7" t="n">
        <v>5077.219989341507</v>
      </c>
      <c r="AB437" s="7" t="n">
        <v>36103.11719957364</v>
      </c>
      <c r="AC437" s="7" t="n">
        <v>41963.20018136743</v>
      </c>
      <c r="AD437" s="7" t="n">
        <v>-5860.082981793792</v>
      </c>
      <c r="AE437" s="6" t="n">
        <v>-0.1396481430507246</v>
      </c>
    </row>
    <row r="438">
      <c r="A438" s="2" t="n">
        <v>429</v>
      </c>
      <c r="B438" s="2" t="inlineStr">
        <is>
          <t>KPROP-00429</t>
        </is>
      </c>
      <c r="C438" s="3" t="n">
        <v>46111</v>
      </c>
      <c r="D438" s="2" t="inlineStr">
        <is>
          <t>Nick Martinez</t>
        </is>
      </c>
      <c r="E438" s="2" t="inlineStr">
        <is>
          <t>Win</t>
        </is>
      </c>
      <c r="F438" s="2" t="n">
        <v>1.3</v>
      </c>
      <c r="G438" s="6" t="n">
        <v>0.1933777351881317</v>
      </c>
      <c r="H438" s="7" t="n">
        <v>100</v>
      </c>
      <c r="I438" s="7" t="n">
        <v>130</v>
      </c>
      <c r="J438" s="7" t="n">
        <v>13715.0279513686</v>
      </c>
      <c r="K438" s="7" t="n">
        <v>13715.0279513686</v>
      </c>
      <c r="L438" s="7" t="n">
        <v>0</v>
      </c>
      <c r="M438" s="6" t="n">
        <v>0</v>
      </c>
      <c r="N438" s="7" t="n">
        <v>140.1518273700762</v>
      </c>
      <c r="O438" s="7" t="n">
        <v>182.197375581099</v>
      </c>
      <c r="P438" s="7" t="n">
        <v>14197.38011258872</v>
      </c>
      <c r="Q438" s="7" t="n">
        <v>14197.38011258872</v>
      </c>
      <c r="R438" s="7" t="n">
        <v>0</v>
      </c>
      <c r="S438" s="6" t="n">
        <v>0</v>
      </c>
      <c r="T438" s="7" t="n">
        <v>1486.079875943921</v>
      </c>
      <c r="U438" s="7" t="n">
        <v>1931.903838727097</v>
      </c>
      <c r="V438" s="7" t="n">
        <v>32671.32426886413</v>
      </c>
      <c r="W438" s="7" t="n">
        <v>32671.32426886413</v>
      </c>
      <c r="X438" s="7" t="n">
        <v>0</v>
      </c>
      <c r="Y438" s="6" t="n">
        <v>0</v>
      </c>
      <c r="Z438" s="7" t="n">
        <v>3490.769518642617</v>
      </c>
      <c r="AA438" s="7" t="n">
        <v>4538.000374235402</v>
      </c>
      <c r="AB438" s="7" t="n">
        <v>40641.11757380904</v>
      </c>
      <c r="AC438" s="7" t="n">
        <v>41963.20018136743</v>
      </c>
      <c r="AD438" s="7" t="n">
        <v>-1322.08260755839</v>
      </c>
      <c r="AE438" s="6" t="n">
        <v>-0.03150576223558429</v>
      </c>
    </row>
    <row r="439">
      <c r="A439" s="2" t="n">
        <v>430</v>
      </c>
      <c r="B439" s="2" t="inlineStr">
        <is>
          <t>KPROP-00430</t>
        </is>
      </c>
      <c r="C439" s="3" t="n">
        <v>46111</v>
      </c>
      <c r="D439" s="2" t="inlineStr">
        <is>
          <t>Nick Martinez</t>
        </is>
      </c>
      <c r="E439" s="2" t="inlineStr">
        <is>
          <t>Win</t>
        </is>
      </c>
      <c r="F439" s="2" t="n">
        <v>0.5263157894736841</v>
      </c>
      <c r="G439" s="6" t="n">
        <v>0.2226026556322117</v>
      </c>
      <c r="H439" s="7" t="n">
        <v>100</v>
      </c>
      <c r="I439" s="7" t="n">
        <v>52.63157894736841</v>
      </c>
      <c r="J439" s="7" t="n">
        <v>13767.65953031597</v>
      </c>
      <c r="K439" s="7" t="n">
        <v>13767.65953031597</v>
      </c>
      <c r="L439" s="7" t="n">
        <v>0</v>
      </c>
      <c r="M439" s="6" t="n">
        <v>0</v>
      </c>
      <c r="N439" s="7" t="n">
        <v>141.9738011258872</v>
      </c>
      <c r="O439" s="7" t="n">
        <v>74.72305322415113</v>
      </c>
      <c r="P439" s="7" t="n">
        <v>14272.10316581287</v>
      </c>
      <c r="Q439" s="7" t="n">
        <v>14272.10316581287</v>
      </c>
      <c r="R439" s="7" t="n">
        <v>0</v>
      </c>
      <c r="S439" s="6" t="n">
        <v>0</v>
      </c>
      <c r="T439" s="7" t="n">
        <v>1818.18088631757</v>
      </c>
      <c r="U439" s="7" t="n">
        <v>956.9373085881945</v>
      </c>
      <c r="V439" s="7" t="n">
        <v>33628.26157745232</v>
      </c>
      <c r="W439" s="7" t="n">
        <v>33628.26157745232</v>
      </c>
      <c r="X439" s="7" t="n">
        <v>0</v>
      </c>
      <c r="Y439" s="6" t="n">
        <v>0</v>
      </c>
      <c r="Z439" s="7" t="n">
        <v>4523.410349895419</v>
      </c>
      <c r="AA439" s="7" t="n">
        <v>2380.742289418641</v>
      </c>
      <c r="AB439" s="7" t="n">
        <v>43021.85986322768</v>
      </c>
      <c r="AC439" s="7" t="n">
        <v>43021.85986322768</v>
      </c>
      <c r="AD439" s="7" t="n">
        <v>0</v>
      </c>
      <c r="AE439" s="6" t="n">
        <v>0</v>
      </c>
    </row>
    <row r="440">
      <c r="A440" s="2" t="n">
        <v>431</v>
      </c>
      <c r="B440" s="2" t="inlineStr">
        <is>
          <t>KPROP-00431</t>
        </is>
      </c>
      <c r="C440" s="3" t="n">
        <v>46112</v>
      </c>
      <c r="D440" s="2" t="inlineStr">
        <is>
          <t>Kodai Senga</t>
        </is>
      </c>
      <c r="E440" s="2" t="inlineStr">
        <is>
          <t>Loss</t>
        </is>
      </c>
      <c r="F440" s="2" t="n">
        <v>-1</v>
      </c>
      <c r="G440" s="6" t="n">
        <v>0.1915347274954101</v>
      </c>
      <c r="H440" s="7" t="n">
        <v>100</v>
      </c>
      <c r="I440" s="7" t="n">
        <v>-100</v>
      </c>
      <c r="J440" s="7" t="n">
        <v>13667.65953031597</v>
      </c>
      <c r="K440" s="7" t="n">
        <v>13767.65953031597</v>
      </c>
      <c r="L440" s="7" t="n">
        <v>-100</v>
      </c>
      <c r="M440" s="6" t="n">
        <v>-0.007263398675701053</v>
      </c>
      <c r="N440" s="7" t="n">
        <v>142.7210316581287</v>
      </c>
      <c r="O440" s="7" t="n">
        <v>-142.7210316581287</v>
      </c>
      <c r="P440" s="7" t="n">
        <v>14129.38213415474</v>
      </c>
      <c r="Q440" s="7" t="n">
        <v>14272.10316581287</v>
      </c>
      <c r="R440" s="7" t="n">
        <v>-142.7210316581295</v>
      </c>
      <c r="S440" s="6" t="n">
        <v>-0.01000000000000006</v>
      </c>
      <c r="T440" s="7" t="n">
        <v>1610.244979345425</v>
      </c>
      <c r="U440" s="7" t="n">
        <v>-1610.244979345425</v>
      </c>
      <c r="V440" s="7" t="n">
        <v>32018.0165981069</v>
      </c>
      <c r="W440" s="7" t="n">
        <v>33628.26157745232</v>
      </c>
      <c r="X440" s="7" t="n">
        <v>-1610.244979345425</v>
      </c>
      <c r="Y440" s="6" t="n">
        <v>-0.04788368187385253</v>
      </c>
      <c r="Z440" s="7" t="n">
        <v>4120.090102624516</v>
      </c>
      <c r="AA440" s="7" t="n">
        <v>-4120.090102624516</v>
      </c>
      <c r="AB440" s="7" t="n">
        <v>38901.76976060316</v>
      </c>
      <c r="AC440" s="7" t="n">
        <v>43021.85986322768</v>
      </c>
      <c r="AD440" s="7" t="n">
        <v>-4120.090102624519</v>
      </c>
      <c r="AE440" s="6" t="n">
        <v>-0.0957673637477051</v>
      </c>
    </row>
    <row r="441">
      <c r="A441" s="2" t="n">
        <v>432</v>
      </c>
      <c r="B441" s="2" t="inlineStr">
        <is>
          <t>KPROP-00432</t>
        </is>
      </c>
      <c r="C441" s="3" t="n">
        <v>46112</v>
      </c>
      <c r="D441" s="2" t="inlineStr">
        <is>
          <t>Kodai Senga</t>
        </is>
      </c>
      <c r="E441" s="2" t="inlineStr">
        <is>
          <t>Loss</t>
        </is>
      </c>
      <c r="F441" s="2" t="n">
        <v>-1</v>
      </c>
      <c r="G441" s="6" t="n">
        <v>0.2486297614806387</v>
      </c>
      <c r="H441" s="7" t="n">
        <v>100</v>
      </c>
      <c r="I441" s="7" t="n">
        <v>-100</v>
      </c>
      <c r="J441" s="7" t="n">
        <v>13567.65953031597</v>
      </c>
      <c r="K441" s="7" t="n">
        <v>13767.65953031597</v>
      </c>
      <c r="L441" s="7" t="n">
        <v>-200</v>
      </c>
      <c r="M441" s="6" t="n">
        <v>-0.01452679735140211</v>
      </c>
      <c r="N441" s="7" t="n">
        <v>141.2938213415474</v>
      </c>
      <c r="O441" s="7" t="n">
        <v>-141.2938213415474</v>
      </c>
      <c r="P441" s="7" t="n">
        <v>13988.08831281319</v>
      </c>
      <c r="Q441" s="7" t="n">
        <v>14272.10316581287</v>
      </c>
      <c r="R441" s="7" t="n">
        <v>-284.0148529996768</v>
      </c>
      <c r="S441" s="6" t="n">
        <v>-0.01990000000000005</v>
      </c>
      <c r="T441" s="7" t="n">
        <v>1990.157957467612</v>
      </c>
      <c r="U441" s="7" t="n">
        <v>-1990.157957467612</v>
      </c>
      <c r="V441" s="7" t="n">
        <v>30027.85864063929</v>
      </c>
      <c r="W441" s="7" t="n">
        <v>33628.26157745232</v>
      </c>
      <c r="X441" s="7" t="n">
        <v>-3600.402936813036</v>
      </c>
      <c r="Y441" s="6" t="n">
        <v>-0.1070647951432345</v>
      </c>
      <c r="Z441" s="7" t="n">
        <v>4836.068868376744</v>
      </c>
      <c r="AA441" s="7" t="n">
        <v>-4836.068868376744</v>
      </c>
      <c r="AB441" s="7" t="n">
        <v>34065.70089222641</v>
      </c>
      <c r="AC441" s="7" t="n">
        <v>43021.85986322768</v>
      </c>
      <c r="AD441" s="7" t="n">
        <v>-8956.158971001263</v>
      </c>
      <c r="AE441" s="6" t="n">
        <v>-0.2081769360849137</v>
      </c>
    </row>
    <row r="442">
      <c r="A442" s="2" t="n">
        <v>433</v>
      </c>
      <c r="B442" s="2" t="inlineStr">
        <is>
          <t>KPROP-00433</t>
        </is>
      </c>
      <c r="C442" s="3" t="n">
        <v>46112</v>
      </c>
      <c r="D442" s="2" t="inlineStr">
        <is>
          <t>Max Scherzer</t>
        </is>
      </c>
      <c r="E442" s="2" t="inlineStr">
        <is>
          <t>Win</t>
        </is>
      </c>
      <c r="F442" s="2" t="n">
        <v>1</v>
      </c>
      <c r="G442" s="6" t="n">
        <v>0.08744796702254565</v>
      </c>
      <c r="H442" s="7" t="n">
        <v>100</v>
      </c>
      <c r="I442" s="7" t="n">
        <v>100</v>
      </c>
      <c r="J442" s="7" t="n">
        <v>13667.65953031597</v>
      </c>
      <c r="K442" s="7" t="n">
        <v>13767.65953031597</v>
      </c>
      <c r="L442" s="7" t="n">
        <v>-100</v>
      </c>
      <c r="M442" s="6" t="n">
        <v>-0.007263398675701053</v>
      </c>
      <c r="N442" s="7" t="n">
        <v>139.8808831281319</v>
      </c>
      <c r="O442" s="7" t="n">
        <v>139.8808831281319</v>
      </c>
      <c r="P442" s="7" t="n">
        <v>14127.96919594132</v>
      </c>
      <c r="Q442" s="7" t="n">
        <v>14272.10316581287</v>
      </c>
      <c r="R442" s="7" t="n">
        <v>-144.1339698715456</v>
      </c>
      <c r="S442" s="6" t="n">
        <v>-0.0100990000000001</v>
      </c>
      <c r="T442" s="7" t="n">
        <v>656.4687980410716</v>
      </c>
      <c r="U442" s="7" t="n">
        <v>656.4687980410716</v>
      </c>
      <c r="V442" s="7" t="n">
        <v>30684.32743868036</v>
      </c>
      <c r="W442" s="7" t="n">
        <v>33628.26157745232</v>
      </c>
      <c r="X442" s="7" t="n">
        <v>-2943.934138771965</v>
      </c>
      <c r="Y442" s="6" t="n">
        <v>-0.08754345305633839</v>
      </c>
      <c r="Z442" s="7" t="n">
        <v>1489.48814411166</v>
      </c>
      <c r="AA442" s="7" t="n">
        <v>1489.48814411166</v>
      </c>
      <c r="AB442" s="7" t="n">
        <v>35555.18903633807</v>
      </c>
      <c r="AC442" s="7" t="n">
        <v>43021.85986322768</v>
      </c>
      <c r="AD442" s="7" t="n">
        <v>-7466.670826889604</v>
      </c>
      <c r="AE442" s="6" t="n">
        <v>-0.173555277494445</v>
      </c>
    </row>
    <row r="443">
      <c r="A443" s="2" t="n">
        <v>434</v>
      </c>
      <c r="B443" s="2" t="inlineStr">
        <is>
          <t>KPROP-00434</t>
        </is>
      </c>
      <c r="C443" s="3" t="n">
        <v>46113</v>
      </c>
      <c r="D443" s="2" t="inlineStr">
        <is>
          <t>Andrew Abbott</t>
        </is>
      </c>
      <c r="E443" s="2" t="inlineStr">
        <is>
          <t>Win</t>
        </is>
      </c>
      <c r="F443" s="2" t="n">
        <v>0.9523809523809523</v>
      </c>
      <c r="G443" s="6" t="n">
        <v>0.2835187220653512</v>
      </c>
      <c r="H443" s="7" t="n">
        <v>100</v>
      </c>
      <c r="I443" s="7" t="n">
        <v>95.23809523809523</v>
      </c>
      <c r="J443" s="7" t="n">
        <v>13762.89762555407</v>
      </c>
      <c r="K443" s="7" t="n">
        <v>13767.65953031597</v>
      </c>
      <c r="L443" s="7" t="n">
        <v>-4.761904761904589</v>
      </c>
      <c r="M443" s="6" t="n">
        <v>-0.0003458761274143233</v>
      </c>
      <c r="N443" s="7" t="n">
        <v>141.2796919594132</v>
      </c>
      <c r="O443" s="7" t="n">
        <v>134.5520875803936</v>
      </c>
      <c r="P443" s="7" t="n">
        <v>14262.52128352172</v>
      </c>
      <c r="Q443" s="7" t="n">
        <v>14272.10316581287</v>
      </c>
      <c r="R443" s="7" t="n">
        <v>-9.581882291151487</v>
      </c>
      <c r="S443" s="6" t="n">
        <v>-0.000671371428571491</v>
      </c>
      <c r="T443" s="7" t="n">
        <v>2174.895325712361</v>
      </c>
      <c r="U443" s="7" t="n">
        <v>2071.32888163082</v>
      </c>
      <c r="V443" s="7" t="n">
        <v>32755.65632031118</v>
      </c>
      <c r="W443" s="7" t="n">
        <v>33628.26157745232</v>
      </c>
      <c r="X443" s="7" t="n">
        <v>-872.6052571411456</v>
      </c>
      <c r="Y443" s="6" t="n">
        <v>-0.02594856873975982</v>
      </c>
      <c r="Z443" s="7" t="n">
        <v>5040.280879187278</v>
      </c>
      <c r="AA443" s="7" t="n">
        <v>4800.267503987883</v>
      </c>
      <c r="AB443" s="7" t="n">
        <v>40355.45654032595</v>
      </c>
      <c r="AC443" s="7" t="n">
        <v>43021.85986322768</v>
      </c>
      <c r="AD443" s="7" t="n">
        <v>-2666.403322901722</v>
      </c>
      <c r="AE443" s="6" t="n">
        <v>-0.06197787197900276</v>
      </c>
    </row>
    <row r="444">
      <c r="A444" s="2" t="n">
        <v>435</v>
      </c>
      <c r="B444" s="2" t="inlineStr">
        <is>
          <t>KPROP-00435</t>
        </is>
      </c>
      <c r="C444" s="3" t="n">
        <v>46113</v>
      </c>
      <c r="D444" s="2" t="inlineStr">
        <is>
          <t>Chris Sale</t>
        </is>
      </c>
      <c r="E444" s="2" t="inlineStr">
        <is>
          <t>Win</t>
        </is>
      </c>
      <c r="F444" s="2" t="n">
        <v>0.8333333333333335</v>
      </c>
      <c r="G444" s="6" t="n">
        <v>0.3968652596850195</v>
      </c>
      <c r="H444" s="7" t="n">
        <v>100</v>
      </c>
      <c r="I444" s="7" t="n">
        <v>83.33333333333334</v>
      </c>
      <c r="J444" s="7" t="n">
        <v>13846.2309588874</v>
      </c>
      <c r="K444" s="7" t="n">
        <v>13846.2309588874</v>
      </c>
      <c r="L444" s="7" t="n">
        <v>0</v>
      </c>
      <c r="M444" s="6" t="n">
        <v>0</v>
      </c>
      <c r="N444" s="7" t="n">
        <v>142.6252128352172</v>
      </c>
      <c r="O444" s="7" t="n">
        <v>118.8543440293477</v>
      </c>
      <c r="P444" s="7" t="n">
        <v>14381.37562755107</v>
      </c>
      <c r="Q444" s="7" t="n">
        <v>14381.37562755107</v>
      </c>
      <c r="R444" s="7" t="n">
        <v>0</v>
      </c>
      <c r="S444" s="6" t="n">
        <v>0</v>
      </c>
      <c r="T444" s="7" t="n">
        <v>3249.895512928386</v>
      </c>
      <c r="U444" s="7" t="n">
        <v>2708.246260773655</v>
      </c>
      <c r="V444" s="7" t="n">
        <v>35463.90258108483</v>
      </c>
      <c r="W444" s="7" t="n">
        <v>35463.90258108483</v>
      </c>
      <c r="X444" s="7" t="n">
        <v>0</v>
      </c>
      <c r="Y444" s="6" t="n">
        <v>0</v>
      </c>
      <c r="Z444" s="7" t="n">
        <v>8007.839369791988</v>
      </c>
      <c r="AA444" s="7" t="n">
        <v>6673.199474826658</v>
      </c>
      <c r="AB444" s="7" t="n">
        <v>47028.65601515261</v>
      </c>
      <c r="AC444" s="7" t="n">
        <v>47028.65601515261</v>
      </c>
      <c r="AD444" s="7" t="n">
        <v>0</v>
      </c>
      <c r="AE444" s="6" t="n">
        <v>0</v>
      </c>
    </row>
    <row r="445">
      <c r="A445" s="2" t="n">
        <v>436</v>
      </c>
      <c r="B445" s="2" t="inlineStr">
        <is>
          <t>KPROP-00436</t>
        </is>
      </c>
      <c r="C445" s="3" t="n">
        <v>46113</v>
      </c>
      <c r="D445" s="2" t="inlineStr">
        <is>
          <t>Cristopher Sánchez</t>
        </is>
      </c>
      <c r="E445" s="2" t="inlineStr">
        <is>
          <t>Loss</t>
        </is>
      </c>
      <c r="F445" s="2" t="n">
        <v>-1</v>
      </c>
      <c r="G445" s="6" t="n">
        <v>0.1683966106781059</v>
      </c>
      <c r="H445" s="7" t="n">
        <v>100</v>
      </c>
      <c r="I445" s="7" t="n">
        <v>-100</v>
      </c>
      <c r="J445" s="7" t="n">
        <v>13746.2309588874</v>
      </c>
      <c r="K445" s="7" t="n">
        <v>13846.2309588874</v>
      </c>
      <c r="L445" s="7" t="n">
        <v>-100</v>
      </c>
      <c r="M445" s="6" t="n">
        <v>-0.007222182000063604</v>
      </c>
      <c r="N445" s="7" t="n">
        <v>143.8137562755107</v>
      </c>
      <c r="O445" s="7" t="n">
        <v>-143.8137562755107</v>
      </c>
      <c r="P445" s="7" t="n">
        <v>14237.56187127555</v>
      </c>
      <c r="Q445" s="7" t="n">
        <v>14381.37562755107</v>
      </c>
      <c r="R445" s="7" t="n">
        <v>-143.813756275511</v>
      </c>
      <c r="S445" s="6" t="n">
        <v>-0.01000000000000002</v>
      </c>
      <c r="T445" s="7" t="n">
        <v>1493.000249018304</v>
      </c>
      <c r="U445" s="7" t="n">
        <v>-1493.000249018304</v>
      </c>
      <c r="V445" s="7" t="n">
        <v>33970.90233206653</v>
      </c>
      <c r="W445" s="7" t="n">
        <v>35463.90258108483</v>
      </c>
      <c r="X445" s="7" t="n">
        <v>-1493.000249018303</v>
      </c>
      <c r="Y445" s="6" t="n">
        <v>-0.04209915266952644</v>
      </c>
      <c r="Z445" s="7" t="n">
        <v>3959.733138849108</v>
      </c>
      <c r="AA445" s="7" t="n">
        <v>-3959.733138849108</v>
      </c>
      <c r="AB445" s="7" t="n">
        <v>43068.92287630351</v>
      </c>
      <c r="AC445" s="7" t="n">
        <v>47028.65601515261</v>
      </c>
      <c r="AD445" s="7" t="n">
        <v>-3959.733138849107</v>
      </c>
      <c r="AE445" s="6" t="n">
        <v>-0.08419830533905293</v>
      </c>
    </row>
    <row r="446">
      <c r="A446" s="2" t="n">
        <v>437</v>
      </c>
      <c r="B446" s="2" t="inlineStr">
        <is>
          <t>KPROP-00437</t>
        </is>
      </c>
      <c r="C446" s="3" t="n">
        <v>46113</v>
      </c>
      <c r="D446" s="2" t="inlineStr">
        <is>
          <t>Cristopher Sánchez</t>
        </is>
      </c>
      <c r="E446" s="2" t="inlineStr">
        <is>
          <t>Win</t>
        </is>
      </c>
      <c r="F446" s="2" t="n">
        <v>0.606060606060606</v>
      </c>
      <c r="G446" s="6" t="n">
        <v>0.1689380843734708</v>
      </c>
      <c r="H446" s="7" t="n">
        <v>100</v>
      </c>
      <c r="I446" s="7" t="n">
        <v>60.60606060606059</v>
      </c>
      <c r="J446" s="7" t="n">
        <v>13806.83701949346</v>
      </c>
      <c r="K446" s="7" t="n">
        <v>13846.2309588874</v>
      </c>
      <c r="L446" s="7" t="n">
        <v>-39.39393939393995</v>
      </c>
      <c r="M446" s="6" t="n">
        <v>-0.002845102000025096</v>
      </c>
      <c r="N446" s="7" t="n">
        <v>142.3756187127555</v>
      </c>
      <c r="O446" s="7" t="n">
        <v>86.28825376530638</v>
      </c>
      <c r="P446" s="7" t="n">
        <v>14323.85012504086</v>
      </c>
      <c r="Q446" s="7" t="n">
        <v>14381.37562755107</v>
      </c>
      <c r="R446" s="7" t="n">
        <v>-57.52550251020511</v>
      </c>
      <c r="S446" s="6" t="n">
        <v>-0.004000000000000059</v>
      </c>
      <c r="T446" s="7" t="n">
        <v>1434.744791104398</v>
      </c>
      <c r="U446" s="7" t="n">
        <v>869.542297639029</v>
      </c>
      <c r="V446" s="7" t="n">
        <v>34840.44462970555</v>
      </c>
      <c r="W446" s="7" t="n">
        <v>35463.90258108483</v>
      </c>
      <c r="X446" s="7" t="n">
        <v>-623.4579513792778</v>
      </c>
      <c r="Y446" s="6" t="n">
        <v>-0.01758007173502128</v>
      </c>
      <c r="Z446" s="7" t="n">
        <v>3637.990663375735</v>
      </c>
      <c r="AA446" s="7" t="n">
        <v>2204.842826288324</v>
      </c>
      <c r="AB446" s="7" t="n">
        <v>45273.76570259183</v>
      </c>
      <c r="AC446" s="7" t="n">
        <v>47028.65601515261</v>
      </c>
      <c r="AD446" s="7" t="n">
        <v>-1754.890312560783</v>
      </c>
      <c r="AE446" s="6" t="n">
        <v>-0.03731534050208363</v>
      </c>
    </row>
    <row r="447">
      <c r="A447" s="2" t="n">
        <v>438</v>
      </c>
      <c r="B447" s="2" t="inlineStr">
        <is>
          <t>KPROP-00438</t>
        </is>
      </c>
      <c r="C447" s="3" t="n">
        <v>46113</v>
      </c>
      <c r="D447" s="2" t="inlineStr">
        <is>
          <t>George Kirby</t>
        </is>
      </c>
      <c r="E447" s="2" t="inlineStr">
        <is>
          <t>Win</t>
        </is>
      </c>
      <c r="F447" s="2" t="n">
        <v>1.15</v>
      </c>
      <c r="G447" s="6" t="n">
        <v>0.2334084116259422</v>
      </c>
      <c r="H447" s="7" t="n">
        <v>100</v>
      </c>
      <c r="I447" s="7" t="n">
        <v>115</v>
      </c>
      <c r="J447" s="7" t="n">
        <v>13921.83701949346</v>
      </c>
      <c r="K447" s="7" t="n">
        <v>13921.83701949346</v>
      </c>
      <c r="L447" s="7" t="n">
        <v>0</v>
      </c>
      <c r="M447" s="6" t="n">
        <v>0</v>
      </c>
      <c r="N447" s="7" t="n">
        <v>143.2385012504086</v>
      </c>
      <c r="O447" s="7" t="n">
        <v>164.7242764379699</v>
      </c>
      <c r="P447" s="7" t="n">
        <v>14488.57440147883</v>
      </c>
      <c r="Q447" s="7" t="n">
        <v>14488.57440147883</v>
      </c>
      <c r="R447" s="7" t="n">
        <v>0</v>
      </c>
      <c r="S447" s="6" t="n">
        <v>0</v>
      </c>
      <c r="T447" s="7" t="n">
        <v>2033.013210340291</v>
      </c>
      <c r="U447" s="7" t="n">
        <v>2337.965191891334</v>
      </c>
      <c r="V447" s="7" t="n">
        <v>37178.40982159689</v>
      </c>
      <c r="W447" s="7" t="n">
        <v>37178.40982159689</v>
      </c>
      <c r="X447" s="7" t="n">
        <v>0</v>
      </c>
      <c r="Y447" s="6" t="n">
        <v>0</v>
      </c>
      <c r="Z447" s="7" t="n">
        <v>5283.63887048351</v>
      </c>
      <c r="AA447" s="7" t="n">
        <v>6076.184701056036</v>
      </c>
      <c r="AB447" s="7" t="n">
        <v>51349.95040364787</v>
      </c>
      <c r="AC447" s="7" t="n">
        <v>51349.95040364787</v>
      </c>
      <c r="AD447" s="7" t="n">
        <v>0</v>
      </c>
      <c r="AE447" s="6" t="n">
        <v>0</v>
      </c>
    </row>
    <row r="448">
      <c r="A448" s="2" t="n">
        <v>439</v>
      </c>
      <c r="B448" s="2" t="inlineStr">
        <is>
          <t>KPROP-00439</t>
        </is>
      </c>
      <c r="C448" s="3" t="n">
        <v>46113</v>
      </c>
      <c r="D448" s="2" t="inlineStr">
        <is>
          <t>George Kirby</t>
        </is>
      </c>
      <c r="E448" s="2" t="inlineStr">
        <is>
          <t>Win</t>
        </is>
      </c>
      <c r="F448" s="2" t="n">
        <v>0.6622516556291391</v>
      </c>
      <c r="G448" s="6" t="n">
        <v>0.3219364816173585</v>
      </c>
      <c r="H448" s="7" t="n">
        <v>100</v>
      </c>
      <c r="I448" s="7" t="n">
        <v>66.22516556291392</v>
      </c>
      <c r="J448" s="7" t="n">
        <v>13988.06218505637</v>
      </c>
      <c r="K448" s="7" t="n">
        <v>13988.06218505637</v>
      </c>
      <c r="L448" s="7" t="n">
        <v>0</v>
      </c>
      <c r="M448" s="6" t="n">
        <v>0</v>
      </c>
      <c r="N448" s="7" t="n">
        <v>144.8857440147883</v>
      </c>
      <c r="O448" s="7" t="n">
        <v>95.9508238508532</v>
      </c>
      <c r="P448" s="7" t="n">
        <v>14584.52522532968</v>
      </c>
      <c r="Q448" s="7" t="n">
        <v>14584.52522532968</v>
      </c>
      <c r="R448" s="7" t="n">
        <v>0</v>
      </c>
      <c r="S448" s="6" t="n">
        <v>0</v>
      </c>
      <c r="T448" s="7" t="n">
        <v>2992.271612523288</v>
      </c>
      <c r="U448" s="7" t="n">
        <v>1981.636829485621</v>
      </c>
      <c r="V448" s="7" t="n">
        <v>39160.04665108251</v>
      </c>
      <c r="W448" s="7" t="n">
        <v>39160.04665108251</v>
      </c>
      <c r="X448" s="7" t="n">
        <v>0</v>
      </c>
      <c r="Y448" s="6" t="n">
        <v>0</v>
      </c>
      <c r="Z448" s="7" t="n">
        <v>8265.711182088127</v>
      </c>
      <c r="AA448" s="7" t="n">
        <v>5473.980915290151</v>
      </c>
      <c r="AB448" s="7" t="n">
        <v>56823.93131893802</v>
      </c>
      <c r="AC448" s="7" t="n">
        <v>56823.93131893802</v>
      </c>
      <c r="AD448" s="7" t="n">
        <v>0</v>
      </c>
      <c r="AE448" s="6" t="n">
        <v>0</v>
      </c>
    </row>
    <row r="449">
      <c r="A449" s="2" t="n">
        <v>440</v>
      </c>
      <c r="B449" s="2" t="inlineStr">
        <is>
          <t>KPROP-00440</t>
        </is>
      </c>
      <c r="C449" s="3" t="n">
        <v>46113</v>
      </c>
      <c r="D449" s="2" t="inlineStr">
        <is>
          <t>Jacob Misiorowski</t>
        </is>
      </c>
      <c r="E449" s="2" t="inlineStr">
        <is>
          <t>Loss</t>
        </is>
      </c>
      <c r="F449" s="2" t="n">
        <v>-1</v>
      </c>
      <c r="G449" s="6" t="n">
        <v>0.2193026429486392</v>
      </c>
      <c r="H449" s="7" t="n">
        <v>100</v>
      </c>
      <c r="I449" s="7" t="n">
        <v>-100</v>
      </c>
      <c r="J449" s="7" t="n">
        <v>13888.06218505637</v>
      </c>
      <c r="K449" s="7" t="n">
        <v>13988.06218505637</v>
      </c>
      <c r="L449" s="7" t="n">
        <v>-100</v>
      </c>
      <c r="M449" s="6" t="n">
        <v>-0.007148953062764568</v>
      </c>
      <c r="N449" s="7" t="n">
        <v>145.8452522532968</v>
      </c>
      <c r="O449" s="7" t="n">
        <v>-145.8452522532968</v>
      </c>
      <c r="P449" s="7" t="n">
        <v>14438.67997307639</v>
      </c>
      <c r="Q449" s="7" t="n">
        <v>14584.52522532968</v>
      </c>
      <c r="R449" s="7" t="n">
        <v>-145.8452522532971</v>
      </c>
      <c r="S449" s="6" t="n">
        <v>-0.01000000000000002</v>
      </c>
      <c r="T449" s="7" t="n">
        <v>2146.975432143601</v>
      </c>
      <c r="U449" s="7" t="n">
        <v>-2146.975432143601</v>
      </c>
      <c r="V449" s="7" t="n">
        <v>37013.07121893892</v>
      </c>
      <c r="W449" s="7" t="n">
        <v>39160.04665108251</v>
      </c>
      <c r="X449" s="7" t="n">
        <v>-2146.975432143598</v>
      </c>
      <c r="Y449" s="6" t="n">
        <v>-0.05482566073715972</v>
      </c>
      <c r="Z449" s="7" t="n">
        <v>6230.81916048753</v>
      </c>
      <c r="AA449" s="7" t="n">
        <v>-6230.81916048753</v>
      </c>
      <c r="AB449" s="7" t="n">
        <v>50593.11215845049</v>
      </c>
      <c r="AC449" s="7" t="n">
        <v>56823.93131893802</v>
      </c>
      <c r="AD449" s="7" t="n">
        <v>-6230.819160487532</v>
      </c>
      <c r="AE449" s="6" t="n">
        <v>-0.1096513214743196</v>
      </c>
    </row>
    <row r="450">
      <c r="A450" s="2" t="n">
        <v>441</v>
      </c>
      <c r="B450" s="2" t="inlineStr">
        <is>
          <t>KPROP-00441</t>
        </is>
      </c>
      <c r="C450" s="3" t="n">
        <v>46113</v>
      </c>
      <c r="D450" s="2" t="inlineStr">
        <is>
          <t>Joe Ryan</t>
        </is>
      </c>
      <c r="E450" s="2" t="inlineStr">
        <is>
          <t>Win</t>
        </is>
      </c>
      <c r="F450" s="2" t="n">
        <v>0.847457627118644</v>
      </c>
      <c r="G450" s="6" t="n">
        <v>0.2450081114794636</v>
      </c>
      <c r="H450" s="7" t="n">
        <v>100</v>
      </c>
      <c r="I450" s="7" t="n">
        <v>84.7457627118644</v>
      </c>
      <c r="J450" s="7" t="n">
        <v>13972.80794776824</v>
      </c>
      <c r="K450" s="7" t="n">
        <v>13988.06218505637</v>
      </c>
      <c r="L450" s="7" t="n">
        <v>-15.25423728813621</v>
      </c>
      <c r="M450" s="6" t="n">
        <v>-0.001090518263811588</v>
      </c>
      <c r="N450" s="7" t="n">
        <v>144.3867997307639</v>
      </c>
      <c r="O450" s="7" t="n">
        <v>122.361694687088</v>
      </c>
      <c r="P450" s="7" t="n">
        <v>14561.04166776347</v>
      </c>
      <c r="Q450" s="7" t="n">
        <v>14584.52522532968</v>
      </c>
      <c r="R450" s="7" t="n">
        <v>-23.48355756620913</v>
      </c>
      <c r="S450" s="6" t="n">
        <v>-0.001610169491525445</v>
      </c>
      <c r="T450" s="7" t="n">
        <v>2267.125669851778</v>
      </c>
      <c r="U450" s="7" t="n">
        <v>1921.292940552354</v>
      </c>
      <c r="V450" s="7" t="n">
        <v>38934.36415949127</v>
      </c>
      <c r="W450" s="7" t="n">
        <v>39160.04665108251</v>
      </c>
      <c r="X450" s="7" t="n">
        <v>-225.6824915912439</v>
      </c>
      <c r="Y450" s="6" t="n">
        <v>-0.005763080253761784</v>
      </c>
      <c r="Z450" s="7" t="n">
        <v>6197.861431905322</v>
      </c>
      <c r="AA450" s="7" t="n">
        <v>5252.424942292646</v>
      </c>
      <c r="AB450" s="7" t="n">
        <v>55845.53710074313</v>
      </c>
      <c r="AC450" s="7" t="n">
        <v>56823.93131893802</v>
      </c>
      <c r="AD450" s="7" t="n">
        <v>-978.3942181948878</v>
      </c>
      <c r="AE450" s="6" t="n">
        <v>-0.01721799593033108</v>
      </c>
    </row>
    <row r="451">
      <c r="A451" s="2" t="n">
        <v>442</v>
      </c>
      <c r="B451" s="2" t="inlineStr">
        <is>
          <t>KPROP-00442</t>
        </is>
      </c>
      <c r="C451" s="3" t="n">
        <v>46113</v>
      </c>
      <c r="D451" s="2" t="inlineStr">
        <is>
          <t>Kevin Gausman</t>
        </is>
      </c>
      <c r="E451" s="2" t="inlineStr">
        <is>
          <t>Loss</t>
        </is>
      </c>
      <c r="F451" s="2" t="n">
        <v>-1</v>
      </c>
      <c r="G451" s="6" t="n">
        <v>0.1408494052588414</v>
      </c>
      <c r="H451" s="7" t="n">
        <v>100</v>
      </c>
      <c r="I451" s="7" t="n">
        <v>-100</v>
      </c>
      <c r="J451" s="7" t="n">
        <v>13872.80794776824</v>
      </c>
      <c r="K451" s="7" t="n">
        <v>13988.06218505637</v>
      </c>
      <c r="L451" s="7" t="n">
        <v>-115.2542372881362</v>
      </c>
      <c r="M451" s="6" t="n">
        <v>-0.008239471326576157</v>
      </c>
      <c r="N451" s="7" t="n">
        <v>145.6104166776348</v>
      </c>
      <c r="O451" s="7" t="n">
        <v>-145.6104166776348</v>
      </c>
      <c r="P451" s="7" t="n">
        <v>14415.43125108584</v>
      </c>
      <c r="Q451" s="7" t="n">
        <v>14584.52522532968</v>
      </c>
      <c r="R451" s="7" t="n">
        <v>-169.0939742438441</v>
      </c>
      <c r="S451" s="6" t="n">
        <v>-0.0115940677966102</v>
      </c>
      <c r="T451" s="7" t="n">
        <v>1370.970508998874</v>
      </c>
      <c r="U451" s="7" t="n">
        <v>-1370.970508998874</v>
      </c>
      <c r="V451" s="7" t="n">
        <v>37563.3936504924</v>
      </c>
      <c r="W451" s="7" t="n">
        <v>39160.04665108251</v>
      </c>
      <c r="X451" s="7" t="n">
        <v>-1596.653000590115</v>
      </c>
      <c r="Y451" s="6" t="n">
        <v>-0.04077249996192173</v>
      </c>
      <c r="Z451" s="7" t="n">
        <v>3932.905343500116</v>
      </c>
      <c r="AA451" s="7" t="n">
        <v>-3932.905343500116</v>
      </c>
      <c r="AB451" s="7" t="n">
        <v>51912.63175724301</v>
      </c>
      <c r="AC451" s="7" t="n">
        <v>56823.93131893802</v>
      </c>
      <c r="AD451" s="7" t="n">
        <v>-4911.299561695007</v>
      </c>
      <c r="AE451" s="6" t="n">
        <v>-0.08643012631648368</v>
      </c>
    </row>
    <row r="452">
      <c r="A452" s="2" t="n">
        <v>443</v>
      </c>
      <c r="B452" s="2" t="inlineStr">
        <is>
          <t>KPROP-00443</t>
        </is>
      </c>
      <c r="C452" s="3" t="n">
        <v>46113</v>
      </c>
      <c r="D452" s="2" t="inlineStr">
        <is>
          <t>Kevin Gausman</t>
        </is>
      </c>
      <c r="E452" s="2" t="inlineStr">
        <is>
          <t>Loss</t>
        </is>
      </c>
      <c r="F452" s="2" t="n">
        <v>-1</v>
      </c>
      <c r="G452" s="6" t="n">
        <v>0.2203019128510078</v>
      </c>
      <c r="H452" s="7" t="n">
        <v>100</v>
      </c>
      <c r="I452" s="7" t="n">
        <v>-100</v>
      </c>
      <c r="J452" s="7" t="n">
        <v>13772.80794776824</v>
      </c>
      <c r="K452" s="7" t="n">
        <v>13988.06218505637</v>
      </c>
      <c r="L452" s="7" t="n">
        <v>-215.2542372881362</v>
      </c>
      <c r="M452" s="6" t="n">
        <v>-0.01538842438934073</v>
      </c>
      <c r="N452" s="7" t="n">
        <v>144.1543125108584</v>
      </c>
      <c r="O452" s="7" t="n">
        <v>-144.1543125108584</v>
      </c>
      <c r="P452" s="7" t="n">
        <v>14271.27693857498</v>
      </c>
      <c r="Q452" s="7" t="n">
        <v>14584.52522532968</v>
      </c>
      <c r="R452" s="7" t="n">
        <v>-313.2482867547023</v>
      </c>
      <c r="S452" s="6" t="n">
        <v>-0.02147812711864409</v>
      </c>
      <c r="T452" s="7" t="n">
        <v>2068.821868594719</v>
      </c>
      <c r="U452" s="7" t="n">
        <v>-2068.821868594719</v>
      </c>
      <c r="V452" s="7" t="n">
        <v>35494.57178189768</v>
      </c>
      <c r="W452" s="7" t="n">
        <v>39160.04665108251</v>
      </c>
      <c r="X452" s="7" t="n">
        <v>-3665.474869184836</v>
      </c>
      <c r="Y452" s="6" t="n">
        <v>-0.09360241324134148</v>
      </c>
      <c r="Z452" s="7" t="n">
        <v>5718.226038625304</v>
      </c>
      <c r="AA452" s="7" t="n">
        <v>-5718.226038625304</v>
      </c>
      <c r="AB452" s="7" t="n">
        <v>46194.40571861771</v>
      </c>
      <c r="AC452" s="7" t="n">
        <v>56823.93131893802</v>
      </c>
      <c r="AD452" s="7" t="n">
        <v>-10629.52560032031</v>
      </c>
      <c r="AE452" s="6" t="n">
        <v>-0.1870607216642498</v>
      </c>
    </row>
    <row r="453">
      <c r="A453" s="2" t="n">
        <v>444</v>
      </c>
      <c r="B453" s="2" t="inlineStr">
        <is>
          <t>KPROP-00444</t>
        </is>
      </c>
      <c r="C453" s="3" t="n">
        <v>46113</v>
      </c>
      <c r="D453" s="2" t="inlineStr">
        <is>
          <t>Mike Burrows</t>
        </is>
      </c>
      <c r="E453" s="2" t="inlineStr">
        <is>
          <t>Loss</t>
        </is>
      </c>
      <c r="F453" s="2" t="n">
        <v>-1</v>
      </c>
      <c r="G453" s="6" t="n">
        <v>0.2446771913373364</v>
      </c>
      <c r="H453" s="7" t="n">
        <v>100</v>
      </c>
      <c r="I453" s="7" t="n">
        <v>-100</v>
      </c>
      <c r="J453" s="7" t="n">
        <v>13672.80794776824</v>
      </c>
      <c r="K453" s="7" t="n">
        <v>13988.06218505637</v>
      </c>
      <c r="L453" s="7" t="n">
        <v>-315.2542372881362</v>
      </c>
      <c r="M453" s="6" t="n">
        <v>-0.02253737745210529</v>
      </c>
      <c r="N453" s="7" t="n">
        <v>142.7127693857498</v>
      </c>
      <c r="O453" s="7" t="n">
        <v>-142.7127693857498</v>
      </c>
      <c r="P453" s="7" t="n">
        <v>14128.56416918923</v>
      </c>
      <c r="Q453" s="7" t="n">
        <v>14584.52522532968</v>
      </c>
      <c r="R453" s="7" t="n">
        <v>-455.9610561404515</v>
      </c>
      <c r="S453" s="6" t="n">
        <v>-0.03126334584745761</v>
      </c>
      <c r="T453" s="7" t="n">
        <v>2171.17803282905</v>
      </c>
      <c r="U453" s="7" t="n">
        <v>-2171.17803282905</v>
      </c>
      <c r="V453" s="7" t="n">
        <v>33323.39374906863</v>
      </c>
      <c r="W453" s="7" t="n">
        <v>39160.04665108251</v>
      </c>
      <c r="X453" s="7" t="n">
        <v>-5836.652902013884</v>
      </c>
      <c r="Y453" s="6" t="n">
        <v>-0.1490461171821035</v>
      </c>
      <c r="Z453" s="7" t="n">
        <v>5651.358723364386</v>
      </c>
      <c r="AA453" s="7" t="n">
        <v>-5651.358723364386</v>
      </c>
      <c r="AB453" s="7" t="n">
        <v>40543.04699525332</v>
      </c>
      <c r="AC453" s="7" t="n">
        <v>56823.93131893802</v>
      </c>
      <c r="AD453" s="7" t="n">
        <v>-16280.8843236847</v>
      </c>
      <c r="AE453" s="6" t="n">
        <v>-0.286514571339746</v>
      </c>
    </row>
    <row r="454">
      <c r="A454" s="2" t="n">
        <v>445</v>
      </c>
      <c r="B454" s="2" t="inlineStr">
        <is>
          <t>KPROP-00445</t>
        </is>
      </c>
      <c r="C454" s="3" t="n">
        <v>46113</v>
      </c>
      <c r="D454" s="2" t="inlineStr">
        <is>
          <t>Nathan Eovaldi</t>
        </is>
      </c>
      <c r="E454" s="2" t="inlineStr">
        <is>
          <t>Win</t>
        </is>
      </c>
      <c r="F454" s="2" t="n">
        <v>1.26</v>
      </c>
      <c r="G454" s="6" t="n">
        <v>0.1079151951606879</v>
      </c>
      <c r="H454" s="7" t="n">
        <v>100</v>
      </c>
      <c r="I454" s="7" t="n">
        <v>126</v>
      </c>
      <c r="J454" s="7" t="n">
        <v>13798.80794776824</v>
      </c>
      <c r="K454" s="7" t="n">
        <v>13988.06218505637</v>
      </c>
      <c r="L454" s="7" t="n">
        <v>-189.2542372881362</v>
      </c>
      <c r="M454" s="6" t="n">
        <v>-0.01352969659302194</v>
      </c>
      <c r="N454" s="7" t="n">
        <v>141.2856416918923</v>
      </c>
      <c r="O454" s="7" t="n">
        <v>178.0199085317843</v>
      </c>
      <c r="P454" s="7" t="n">
        <v>14306.58407772102</v>
      </c>
      <c r="Q454" s="7" t="n">
        <v>14584.52522532968</v>
      </c>
      <c r="R454" s="7" t="n">
        <v>-277.941147608668</v>
      </c>
      <c r="S454" s="6" t="n">
        <v>-0.01905726400513563</v>
      </c>
      <c r="T454" s="7" t="n">
        <v>899.0251349617974</v>
      </c>
      <c r="U454" s="7" t="n">
        <v>1132.771670051865</v>
      </c>
      <c r="V454" s="7" t="n">
        <v>34456.16541912049</v>
      </c>
      <c r="W454" s="7" t="n">
        <v>39160.04665108251</v>
      </c>
      <c r="X454" s="7" t="n">
        <v>-4703.881231962019</v>
      </c>
      <c r="Y454" s="6" t="n">
        <v>-0.1201193980659364</v>
      </c>
      <c r="Z454" s="7" t="n">
        <v>2187.605414450853</v>
      </c>
      <c r="AA454" s="7" t="n">
        <v>2756.382822208074</v>
      </c>
      <c r="AB454" s="7" t="n">
        <v>43299.42981746139</v>
      </c>
      <c r="AC454" s="7" t="n">
        <v>56823.93131893802</v>
      </c>
      <c r="AD454" s="7" t="n">
        <v>-13524.50150147662</v>
      </c>
      <c r="AE454" s="6" t="n">
        <v>-0.2380071421944937</v>
      </c>
    </row>
    <row r="455">
      <c r="A455" s="2" t="n">
        <v>446</v>
      </c>
      <c r="B455" s="2" t="inlineStr">
        <is>
          <t>KPROP-00446</t>
        </is>
      </c>
      <c r="C455" s="3" t="n">
        <v>46113</v>
      </c>
      <c r="D455" s="2" t="inlineStr">
        <is>
          <t>Nick Pivetta</t>
        </is>
      </c>
      <c r="E455" s="2" t="inlineStr">
        <is>
          <t>Loss</t>
        </is>
      </c>
      <c r="F455" s="2" t="n">
        <v>-1</v>
      </c>
      <c r="G455" s="6" t="n">
        <v>0.3407224549519106</v>
      </c>
      <c r="H455" s="7" t="n">
        <v>100</v>
      </c>
      <c r="I455" s="7" t="n">
        <v>-100</v>
      </c>
      <c r="J455" s="7" t="n">
        <v>13698.80794776824</v>
      </c>
      <c r="K455" s="7" t="n">
        <v>13988.06218505637</v>
      </c>
      <c r="L455" s="7" t="n">
        <v>-289.2542372881362</v>
      </c>
      <c r="M455" s="6" t="n">
        <v>-0.02067864965578651</v>
      </c>
      <c r="N455" s="7" t="n">
        <v>143.0658407772102</v>
      </c>
      <c r="O455" s="7" t="n">
        <v>-143.0658407772102</v>
      </c>
      <c r="P455" s="7" t="n">
        <v>14163.51823694381</v>
      </c>
      <c r="Q455" s="7" t="n">
        <v>14584.52522532968</v>
      </c>
      <c r="R455" s="7" t="n">
        <v>-421.0069883858778</v>
      </c>
      <c r="S455" s="6" t="n">
        <v>-0.02886669136508425</v>
      </c>
      <c r="T455" s="7" t="n">
        <v>2934.997317457966</v>
      </c>
      <c r="U455" s="7" t="n">
        <v>-2934.997317457966</v>
      </c>
      <c r="V455" s="7" t="n">
        <v>31521.16810166253</v>
      </c>
      <c r="W455" s="7" t="n">
        <v>39160.04665108251</v>
      </c>
      <c r="X455" s="7" t="n">
        <v>-7638.878549419984</v>
      </c>
      <c r="Y455" s="6" t="n">
        <v>-0.1950681677548211</v>
      </c>
      <c r="Z455" s="7" t="n">
        <v>7376.544012711703</v>
      </c>
      <c r="AA455" s="7" t="n">
        <v>-7376.544012711703</v>
      </c>
      <c r="AB455" s="7" t="n">
        <v>35922.88580474969</v>
      </c>
      <c r="AC455" s="7" t="n">
        <v>56823.93131893802</v>
      </c>
      <c r="AD455" s="7" t="n">
        <v>-20901.04551418833</v>
      </c>
      <c r="AE455" s="6" t="n">
        <v>-0.3678211807781508</v>
      </c>
    </row>
    <row r="456">
      <c r="A456" s="2" t="n">
        <v>447</v>
      </c>
      <c r="B456" s="2" t="inlineStr">
        <is>
          <t>KPROP-00447</t>
        </is>
      </c>
      <c r="C456" s="3" t="n">
        <v>46113</v>
      </c>
      <c r="D456" s="2" t="inlineStr">
        <is>
          <t>Nick Pivetta</t>
        </is>
      </c>
      <c r="E456" s="2" t="inlineStr">
        <is>
          <t>Loss</t>
        </is>
      </c>
      <c r="F456" s="2" t="n">
        <v>-1</v>
      </c>
      <c r="G456" s="6" t="n">
        <v>0.3377130837461346</v>
      </c>
      <c r="H456" s="7" t="n">
        <v>100</v>
      </c>
      <c r="I456" s="7" t="n">
        <v>-100</v>
      </c>
      <c r="J456" s="7" t="n">
        <v>13598.80794776824</v>
      </c>
      <c r="K456" s="7" t="n">
        <v>13988.06218505637</v>
      </c>
      <c r="L456" s="7" t="n">
        <v>-389.2542372881362</v>
      </c>
      <c r="M456" s="6" t="n">
        <v>-0.02782760271855108</v>
      </c>
      <c r="N456" s="7" t="n">
        <v>141.6351823694381</v>
      </c>
      <c r="O456" s="7" t="n">
        <v>-141.6351823694381</v>
      </c>
      <c r="P456" s="7" t="n">
        <v>14021.88305457437</v>
      </c>
      <c r="Q456" s="7" t="n">
        <v>14584.52522532968</v>
      </c>
      <c r="R456" s="7" t="n">
        <v>-562.6421707553163</v>
      </c>
      <c r="S456" s="6" t="n">
        <v>-0.03857802445143344</v>
      </c>
      <c r="T456" s="7" t="n">
        <v>2661.277720723186</v>
      </c>
      <c r="U456" s="7" t="n">
        <v>-2661.277720723186</v>
      </c>
      <c r="V456" s="7" t="n">
        <v>28859.89038093935</v>
      </c>
      <c r="W456" s="7" t="n">
        <v>39160.04665108251</v>
      </c>
      <c r="X456" s="7" t="n">
        <v>-10300.15627014317</v>
      </c>
      <c r="Y456" s="6" t="n">
        <v>-0.2630271705730575</v>
      </c>
      <c r="Z456" s="7" t="n">
        <v>6065.814271091132</v>
      </c>
      <c r="AA456" s="7" t="n">
        <v>-6065.814271091132</v>
      </c>
      <c r="AB456" s="7" t="n">
        <v>29857.07153365856</v>
      </c>
      <c r="AC456" s="7" t="n">
        <v>56823.93131893802</v>
      </c>
      <c r="AD456" s="7" t="n">
        <v>-26966.85978527946</v>
      </c>
      <c r="AE456" s="6" t="n">
        <v>-0.4745687100373512</v>
      </c>
    </row>
    <row r="457">
      <c r="A457" s="2" t="n">
        <v>448</v>
      </c>
      <c r="B457" s="2" t="inlineStr">
        <is>
          <t>KPROP-00448</t>
        </is>
      </c>
      <c r="C457" s="3" t="n">
        <v>46113</v>
      </c>
      <c r="D457" s="2" t="inlineStr">
        <is>
          <t>Paul Skenes</t>
        </is>
      </c>
      <c r="E457" s="2" t="inlineStr">
        <is>
          <t>Win</t>
        </is>
      </c>
      <c r="F457" s="2" t="n">
        <v>1.4</v>
      </c>
      <c r="G457" s="6" t="n">
        <v>0.07342355682518231</v>
      </c>
      <c r="H457" s="7" t="n">
        <v>100</v>
      </c>
      <c r="I457" s="7" t="n">
        <v>140</v>
      </c>
      <c r="J457" s="7" t="n">
        <v>13738.80794776824</v>
      </c>
      <c r="K457" s="7" t="n">
        <v>13988.06218505637</v>
      </c>
      <c r="L457" s="7" t="n">
        <v>-249.2542372881362</v>
      </c>
      <c r="M457" s="6" t="n">
        <v>-0.01781906843068068</v>
      </c>
      <c r="N457" s="7" t="n">
        <v>140.2188305457437</v>
      </c>
      <c r="O457" s="7" t="n">
        <v>196.3063627640412</v>
      </c>
      <c r="P457" s="7" t="n">
        <v>14218.18941733841</v>
      </c>
      <c r="Q457" s="7" t="n">
        <v>14584.52522532968</v>
      </c>
      <c r="R457" s="7" t="n">
        <v>-366.3358079912759</v>
      </c>
      <c r="S457" s="6" t="n">
        <v>-0.02511811679375356</v>
      </c>
      <c r="T457" s="7" t="n">
        <v>529.7489503383581</v>
      </c>
      <c r="U457" s="7" t="n">
        <v>741.6485304737013</v>
      </c>
      <c r="V457" s="7" t="n">
        <v>29601.53891141304</v>
      </c>
      <c r="W457" s="7" t="n">
        <v>39160.04665108251</v>
      </c>
      <c r="X457" s="7" t="n">
        <v>-9558.507739669469</v>
      </c>
      <c r="Y457" s="6" t="n">
        <v>-0.2440882623260419</v>
      </c>
      <c r="Z457" s="7" t="n">
        <v>1096.106194192556</v>
      </c>
      <c r="AA457" s="7" t="n">
        <v>1534.548671869579</v>
      </c>
      <c r="AB457" s="7" t="n">
        <v>31391.62020552814</v>
      </c>
      <c r="AC457" s="7" t="n">
        <v>56823.93131893802</v>
      </c>
      <c r="AD457" s="7" t="n">
        <v>-25432.31111340988</v>
      </c>
      <c r="AE457" s="6" t="n">
        <v>-0.4475633861139403</v>
      </c>
    </row>
    <row r="458">
      <c r="A458" s="2" t="n">
        <v>449</v>
      </c>
      <c r="B458" s="2" t="inlineStr">
        <is>
          <t>KPROP-00449</t>
        </is>
      </c>
      <c r="C458" s="3" t="n">
        <v>46113</v>
      </c>
      <c r="D458" s="2" t="inlineStr">
        <is>
          <t>Paul Skenes</t>
        </is>
      </c>
      <c r="E458" s="2" t="inlineStr">
        <is>
          <t>Win</t>
        </is>
      </c>
      <c r="F458" s="2" t="n">
        <v>0.8333333333333335</v>
      </c>
      <c r="G458" s="6" t="n">
        <v>0.1385989919564589</v>
      </c>
      <c r="H458" s="7" t="n">
        <v>100</v>
      </c>
      <c r="I458" s="7" t="n">
        <v>83.33333333333334</v>
      </c>
      <c r="J458" s="7" t="n">
        <v>13822.14128110157</v>
      </c>
      <c r="K458" s="7" t="n">
        <v>13988.06218505637</v>
      </c>
      <c r="L458" s="7" t="n">
        <v>-165.9209039548023</v>
      </c>
      <c r="M458" s="6" t="n">
        <v>-0.01186160754504349</v>
      </c>
      <c r="N458" s="7" t="n">
        <v>142.1818941733841</v>
      </c>
      <c r="O458" s="7" t="n">
        <v>118.4849118111534</v>
      </c>
      <c r="P458" s="7" t="n">
        <v>14336.67432914956</v>
      </c>
      <c r="Q458" s="7" t="n">
        <v>14584.52522532968</v>
      </c>
      <c r="R458" s="7" t="n">
        <v>-247.8508961801217</v>
      </c>
      <c r="S458" s="6" t="n">
        <v>-0.01699410110036811</v>
      </c>
      <c r="T458" s="7" t="n">
        <v>1025.685863370435</v>
      </c>
      <c r="U458" s="7" t="n">
        <v>854.7382194753627</v>
      </c>
      <c r="V458" s="7" t="n">
        <v>30456.27713088841</v>
      </c>
      <c r="W458" s="7" t="n">
        <v>39160.04665108251</v>
      </c>
      <c r="X458" s="7" t="n">
        <v>-8703.769520194106</v>
      </c>
      <c r="Y458" s="6" t="n">
        <v>-0.2222614696490282</v>
      </c>
      <c r="Z458" s="7" t="n">
        <v>2175.423458183103</v>
      </c>
      <c r="AA458" s="7" t="n">
        <v>1812.852881819253</v>
      </c>
      <c r="AB458" s="7" t="n">
        <v>33204.47308734739</v>
      </c>
      <c r="AC458" s="7" t="n">
        <v>56823.93131893802</v>
      </c>
      <c r="AD458" s="7" t="n">
        <v>-23619.45823159063</v>
      </c>
      <c r="AE458" s="6" t="n">
        <v>-0.4156604036954206</v>
      </c>
    </row>
    <row r="459">
      <c r="A459" s="2" t="n">
        <v>450</v>
      </c>
      <c r="B459" s="2" t="inlineStr">
        <is>
          <t>KPROP-00450</t>
        </is>
      </c>
      <c r="C459" s="3" t="n">
        <v>46113</v>
      </c>
      <c r="D459" s="2" t="inlineStr">
        <is>
          <t>Tarik Skubal</t>
        </is>
      </c>
      <c r="E459" s="2" t="inlineStr">
        <is>
          <t>Win</t>
        </is>
      </c>
      <c r="F459" s="2" t="n">
        <v>1.1</v>
      </c>
      <c r="G459" s="6" t="n">
        <v>0.2986399720246488</v>
      </c>
      <c r="H459" s="7" t="n">
        <v>100</v>
      </c>
      <c r="I459" s="7" t="n">
        <v>110</v>
      </c>
      <c r="J459" s="7" t="n">
        <v>13932.14128110157</v>
      </c>
      <c r="K459" s="7" t="n">
        <v>13988.06218505637</v>
      </c>
      <c r="L459" s="7" t="n">
        <v>-55.92090395480227</v>
      </c>
      <c r="M459" s="6" t="n">
        <v>-0.00399775917600247</v>
      </c>
      <c r="N459" s="7" t="n">
        <v>143.3667432914956</v>
      </c>
      <c r="O459" s="7" t="n">
        <v>157.7034176206452</v>
      </c>
      <c r="P459" s="7" t="n">
        <v>14494.37774677021</v>
      </c>
      <c r="Q459" s="7" t="n">
        <v>14584.52522532968</v>
      </c>
      <c r="R459" s="7" t="n">
        <v>-90.14747855947644</v>
      </c>
      <c r="S459" s="6" t="n">
        <v>-0.006181036212472158</v>
      </c>
      <c r="T459" s="7" t="n">
        <v>2273.865437585866</v>
      </c>
      <c r="U459" s="7" t="n">
        <v>2501.251981344453</v>
      </c>
      <c r="V459" s="7" t="n">
        <v>32957.52911223286</v>
      </c>
      <c r="W459" s="7" t="n">
        <v>39160.04665108251</v>
      </c>
      <c r="X459" s="7" t="n">
        <v>-6202.51753884965</v>
      </c>
      <c r="Y459" s="6" t="n">
        <v>-0.1583889210887391</v>
      </c>
      <c r="Z459" s="7" t="n">
        <v>4958.091456949313</v>
      </c>
      <c r="AA459" s="7" t="n">
        <v>5453.900602644245</v>
      </c>
      <c r="AB459" s="7" t="n">
        <v>38658.37368999163</v>
      </c>
      <c r="AC459" s="7" t="n">
        <v>56823.93131893802</v>
      </c>
      <c r="AD459" s="7" t="n">
        <v>-18165.55762894639</v>
      </c>
      <c r="AE459" s="6" t="n">
        <v>-0.3196814653141088</v>
      </c>
    </row>
    <row r="460">
      <c r="A460" s="2" t="n">
        <v>451</v>
      </c>
      <c r="B460" s="2" t="inlineStr">
        <is>
          <t>KPROP-00451</t>
        </is>
      </c>
      <c r="C460" s="3" t="n">
        <v>46113</v>
      </c>
      <c r="D460" s="2" t="inlineStr">
        <is>
          <t>Tarik Skubal</t>
        </is>
      </c>
      <c r="E460" s="2" t="inlineStr">
        <is>
          <t>Win</t>
        </is>
      </c>
      <c r="F460" s="2" t="n">
        <v>0.7299270072992701</v>
      </c>
      <c r="G460" s="6" t="n">
        <v>0.4459652090418692</v>
      </c>
      <c r="H460" s="7" t="n">
        <v>100</v>
      </c>
      <c r="I460" s="7" t="n">
        <v>72.99270072992701</v>
      </c>
      <c r="J460" s="7" t="n">
        <v>14005.1339818315</v>
      </c>
      <c r="K460" s="7" t="n">
        <v>14005.1339818315</v>
      </c>
      <c r="L460" s="7" t="n">
        <v>0</v>
      </c>
      <c r="M460" s="6" t="n">
        <v>0</v>
      </c>
      <c r="N460" s="7" t="n">
        <v>144.9437774677021</v>
      </c>
      <c r="O460" s="7" t="n">
        <v>105.7983777136512</v>
      </c>
      <c r="P460" s="7" t="n">
        <v>14600.17612448386</v>
      </c>
      <c r="Q460" s="7" t="n">
        <v>14600.17612448386</v>
      </c>
      <c r="R460" s="7" t="n">
        <v>0</v>
      </c>
      <c r="S460" s="6" t="n">
        <v>0</v>
      </c>
      <c r="T460" s="7" t="n">
        <v>3674.477840010105</v>
      </c>
      <c r="U460" s="7" t="n">
        <v>2682.100613146062</v>
      </c>
      <c r="V460" s="7" t="n">
        <v>35639.62972537892</v>
      </c>
      <c r="W460" s="7" t="n">
        <v>39160.04665108251</v>
      </c>
      <c r="X460" s="7" t="n">
        <v>-3520.41692570359</v>
      </c>
      <c r="Y460" s="6" t="n">
        <v>-0.08989818007804325</v>
      </c>
      <c r="Z460" s="7" t="n">
        <v>8620.144851937908</v>
      </c>
      <c r="AA460" s="7" t="n">
        <v>6292.076534261247</v>
      </c>
      <c r="AB460" s="7" t="n">
        <v>44950.45022425288</v>
      </c>
      <c r="AC460" s="7" t="n">
        <v>56823.93131893802</v>
      </c>
      <c r="AD460" s="7" t="n">
        <v>-11873.48109468514</v>
      </c>
      <c r="AE460" s="6" t="n">
        <v>-0.2089521231475936</v>
      </c>
    </row>
    <row r="461">
      <c r="A461" s="2" t="n">
        <v>452</v>
      </c>
      <c r="B461" s="2" t="inlineStr">
        <is>
          <t>KPROP-00452</t>
        </is>
      </c>
      <c r="C461" s="3" t="n">
        <v>46113</v>
      </c>
      <c r="D461" s="2" t="inlineStr">
        <is>
          <t>Yusei Kikuchi</t>
        </is>
      </c>
      <c r="E461" s="2" t="inlineStr">
        <is>
          <t>Loss</t>
        </is>
      </c>
      <c r="F461" s="2" t="n">
        <v>-1</v>
      </c>
      <c r="G461" s="6" t="n">
        <v>0.1636103060763006</v>
      </c>
      <c r="H461" s="7" t="n">
        <v>100</v>
      </c>
      <c r="I461" s="7" t="n">
        <v>-100</v>
      </c>
      <c r="J461" s="7" t="n">
        <v>13905.1339818315</v>
      </c>
      <c r="K461" s="7" t="n">
        <v>14005.1339818315</v>
      </c>
      <c r="L461" s="7" t="n">
        <v>-100</v>
      </c>
      <c r="M461" s="6" t="n">
        <v>-0.007140238724579675</v>
      </c>
      <c r="N461" s="7" t="n">
        <v>146.0017612448386</v>
      </c>
      <c r="O461" s="7" t="n">
        <v>-146.0017612448386</v>
      </c>
      <c r="P461" s="7" t="n">
        <v>14454.17436323902</v>
      </c>
      <c r="Q461" s="7" t="n">
        <v>14600.17612448386</v>
      </c>
      <c r="R461" s="7" t="n">
        <v>-146.0017612448391</v>
      </c>
      <c r="S461" s="6" t="n">
        <v>-0.01000000000000004</v>
      </c>
      <c r="T461" s="7" t="n">
        <v>1457.752681953817</v>
      </c>
      <c r="U461" s="7" t="n">
        <v>-1457.752681953817</v>
      </c>
      <c r="V461" s="7" t="n">
        <v>34181.87704342511</v>
      </c>
      <c r="W461" s="7" t="n">
        <v>39160.04665108251</v>
      </c>
      <c r="X461" s="7" t="n">
        <v>-4978.169607657408</v>
      </c>
      <c r="Y461" s="6" t="n">
        <v>-0.1271236894075507</v>
      </c>
      <c r="Z461" s="7" t="n">
        <v>3677.178459728765</v>
      </c>
      <c r="AA461" s="7" t="n">
        <v>-3677.178459728765</v>
      </c>
      <c r="AB461" s="7" t="n">
        <v>41273.27176452412</v>
      </c>
      <c r="AC461" s="7" t="n">
        <v>56823.93131893802</v>
      </c>
      <c r="AD461" s="7" t="n">
        <v>-15550.6595544139</v>
      </c>
      <c r="AE461" s="6" t="n">
        <v>-0.2736639157740085</v>
      </c>
    </row>
    <row r="462">
      <c r="A462" s="2" t="n">
        <v>453</v>
      </c>
      <c r="B462" s="2" t="inlineStr">
        <is>
          <t>KPROP-00453</t>
        </is>
      </c>
      <c r="C462" s="3" t="n">
        <v>46113</v>
      </c>
      <c r="D462" s="2" t="inlineStr">
        <is>
          <t>Zac Gallen</t>
        </is>
      </c>
      <c r="E462" s="2" t="inlineStr">
        <is>
          <t>Win</t>
        </is>
      </c>
      <c r="F462" s="2" t="n">
        <v>1.12</v>
      </c>
      <c r="G462" s="6" t="n">
        <v>0.2360886214105379</v>
      </c>
      <c r="H462" s="7" t="n">
        <v>100</v>
      </c>
      <c r="I462" s="7" t="n">
        <v>112</v>
      </c>
      <c r="J462" s="7" t="n">
        <v>14017.1339818315</v>
      </c>
      <c r="K462" s="7" t="n">
        <v>14017.1339818315</v>
      </c>
      <c r="L462" s="7" t="n">
        <v>0</v>
      </c>
      <c r="M462" s="6" t="n">
        <v>0</v>
      </c>
      <c r="N462" s="7" t="n">
        <v>144.5417436323902</v>
      </c>
      <c r="O462" s="7" t="n">
        <v>161.886752868277</v>
      </c>
      <c r="P462" s="7" t="n">
        <v>14616.0611161073</v>
      </c>
      <c r="Q462" s="7" t="n">
        <v>14616.0611161073</v>
      </c>
      <c r="R462" s="7" t="n">
        <v>0</v>
      </c>
      <c r="S462" s="6" t="n">
        <v>0</v>
      </c>
      <c r="T462" s="7" t="n">
        <v>2017.488057101686</v>
      </c>
      <c r="U462" s="7" t="n">
        <v>2259.586623953889</v>
      </c>
      <c r="V462" s="7" t="n">
        <v>36441.46366737899</v>
      </c>
      <c r="W462" s="7" t="n">
        <v>39160.04665108251</v>
      </c>
      <c r="X462" s="7" t="n">
        <v>-2718.58298370352</v>
      </c>
      <c r="Y462" s="6" t="n">
        <v>-0.06942236325523808</v>
      </c>
      <c r="Z462" s="7" t="n">
        <v>4872.074915994488</v>
      </c>
      <c r="AA462" s="7" t="n">
        <v>5456.723905913827</v>
      </c>
      <c r="AB462" s="7" t="n">
        <v>46729.99567043795</v>
      </c>
      <c r="AC462" s="7" t="n">
        <v>56823.93131893802</v>
      </c>
      <c r="AD462" s="7" t="n">
        <v>-10093.93564850007</v>
      </c>
      <c r="AE462" s="6" t="n">
        <v>-0.1776352922828486</v>
      </c>
    </row>
    <row r="463">
      <c r="A463" s="2" t="n">
        <v>454</v>
      </c>
      <c r="B463" s="2" t="inlineStr">
        <is>
          <t>KPROP-00454</t>
        </is>
      </c>
      <c r="C463" s="3" t="n">
        <v>46114</v>
      </c>
      <c r="D463" s="2" t="inlineStr">
        <is>
          <t>Cole Ragans</t>
        </is>
      </c>
      <c r="E463" s="2" t="inlineStr">
        <is>
          <t>Loss</t>
        </is>
      </c>
      <c r="F463" s="2" t="n">
        <v>-1</v>
      </c>
      <c r="G463" s="6" t="n">
        <v>0.227189663820611</v>
      </c>
      <c r="H463" s="7" t="n">
        <v>100</v>
      </c>
      <c r="I463" s="7" t="n">
        <v>-100</v>
      </c>
      <c r="J463" s="7" t="n">
        <v>13917.1339818315</v>
      </c>
      <c r="K463" s="7" t="n">
        <v>14017.1339818315</v>
      </c>
      <c r="L463" s="7" t="n">
        <v>-100</v>
      </c>
      <c r="M463" s="6" t="n">
        <v>-0.007134126001051028</v>
      </c>
      <c r="N463" s="7" t="n">
        <v>146.1606111610729</v>
      </c>
      <c r="O463" s="7" t="n">
        <v>-146.1606111610729</v>
      </c>
      <c r="P463" s="7" t="n">
        <v>14469.90050494622</v>
      </c>
      <c r="Q463" s="7" t="n">
        <v>14616.0611161073</v>
      </c>
      <c r="R463" s="7" t="n">
        <v>-146.1606111610727</v>
      </c>
      <c r="S463" s="6" t="n">
        <v>-0.009999999999999979</v>
      </c>
      <c r="T463" s="7" t="n">
        <v>2069.780969930711</v>
      </c>
      <c r="U463" s="7" t="n">
        <v>-2069.780969930711</v>
      </c>
      <c r="V463" s="7" t="n">
        <v>34371.68269744828</v>
      </c>
      <c r="W463" s="7" t="n">
        <v>39160.04665108251</v>
      </c>
      <c r="X463" s="7" t="n">
        <v>-4788.363953634231</v>
      </c>
      <c r="Y463" s="6" t="n">
        <v>-0.1222767683679934</v>
      </c>
      <c r="Z463" s="7" t="n">
        <v>5308.286003352704</v>
      </c>
      <c r="AA463" s="7" t="n">
        <v>-5308.286003352704</v>
      </c>
      <c r="AB463" s="7" t="n">
        <v>41421.70966708525</v>
      </c>
      <c r="AC463" s="7" t="n">
        <v>56823.93131893802</v>
      </c>
      <c r="AD463" s="7" t="n">
        <v>-15402.22165185277</v>
      </c>
      <c r="AE463" s="6" t="n">
        <v>-0.2710516730249459</v>
      </c>
    </row>
    <row r="464">
      <c r="A464" s="2" t="n">
        <v>455</v>
      </c>
      <c r="B464" s="2" t="inlineStr">
        <is>
          <t>KPROP-00455</t>
        </is>
      </c>
      <c r="C464" s="3" t="n">
        <v>46114</v>
      </c>
      <c r="D464" s="2" t="inlineStr">
        <is>
          <t>Cole Ragans</t>
        </is>
      </c>
      <c r="E464" s="2" t="inlineStr">
        <is>
          <t>Loss</t>
        </is>
      </c>
      <c r="F464" s="2" t="n">
        <v>-1</v>
      </c>
      <c r="G464" s="6" t="n">
        <v>0.3154513420611662</v>
      </c>
      <c r="H464" s="7" t="n">
        <v>100</v>
      </c>
      <c r="I464" s="7" t="n">
        <v>-100</v>
      </c>
      <c r="J464" s="7" t="n">
        <v>13817.1339818315</v>
      </c>
      <c r="K464" s="7" t="n">
        <v>14017.1339818315</v>
      </c>
      <c r="L464" s="7" t="n">
        <v>-200</v>
      </c>
      <c r="M464" s="6" t="n">
        <v>-0.01426825200210206</v>
      </c>
      <c r="N464" s="7" t="n">
        <v>144.6990050494622</v>
      </c>
      <c r="O464" s="7" t="n">
        <v>-144.6990050494622</v>
      </c>
      <c r="P464" s="7" t="n">
        <v>14325.20149989676</v>
      </c>
      <c r="Q464" s="7" t="n">
        <v>14616.0611161073</v>
      </c>
      <c r="R464" s="7" t="n">
        <v>-290.859616210535</v>
      </c>
      <c r="S464" s="6" t="n">
        <v>-0.01989999999999999</v>
      </c>
      <c r="T464" s="7" t="n">
        <v>2710.648358952657</v>
      </c>
      <c r="U464" s="7" t="n">
        <v>-2710.648358952657</v>
      </c>
      <c r="V464" s="7" t="n">
        <v>31661.03433849562</v>
      </c>
      <c r="W464" s="7" t="n">
        <v>39160.04665108251</v>
      </c>
      <c r="X464" s="7" t="n">
        <v>-7499.012312586889</v>
      </c>
      <c r="Y464" s="6" t="n">
        <v>-0.1914965112121385</v>
      </c>
      <c r="Z464" s="7" t="n">
        <v>6533.266952475012</v>
      </c>
      <c r="AA464" s="7" t="n">
        <v>-6533.266952475012</v>
      </c>
      <c r="AB464" s="7" t="n">
        <v>34888.44271461024</v>
      </c>
      <c r="AC464" s="7" t="n">
        <v>56823.93131893802</v>
      </c>
      <c r="AD464" s="7" t="n">
        <v>-21935.48860432778</v>
      </c>
      <c r="AE464" s="6" t="n">
        <v>-0.3860255370437072</v>
      </c>
    </row>
    <row r="465">
      <c r="A465" s="2" t="n">
        <v>456</v>
      </c>
      <c r="B465" s="2" t="inlineStr">
        <is>
          <t>KPROP-00456</t>
        </is>
      </c>
      <c r="C465" s="3" t="n">
        <v>46115</v>
      </c>
      <c r="D465" s="2" t="inlineStr">
        <is>
          <t>Brady Singer</t>
        </is>
      </c>
      <c r="E465" s="2" t="inlineStr">
        <is>
          <t>Loss</t>
        </is>
      </c>
      <c r="F465" s="2" t="n">
        <v>-1</v>
      </c>
      <c r="G465" s="6" t="n">
        <v>0.1418005396197416</v>
      </c>
      <c r="H465" s="7" t="n">
        <v>100</v>
      </c>
      <c r="I465" s="7" t="n">
        <v>-100</v>
      </c>
      <c r="J465" s="7" t="n">
        <v>13717.1339818315</v>
      </c>
      <c r="K465" s="7" t="n">
        <v>14017.1339818315</v>
      </c>
      <c r="L465" s="7" t="n">
        <v>-300</v>
      </c>
      <c r="M465" s="6" t="n">
        <v>-0.02140237800315308</v>
      </c>
      <c r="N465" s="7" t="n">
        <v>143.2520149989676</v>
      </c>
      <c r="O465" s="7" t="n">
        <v>-143.2520149989676</v>
      </c>
      <c r="P465" s="7" t="n">
        <v>14181.94948489779</v>
      </c>
      <c r="Q465" s="7" t="n">
        <v>14616.0611161073</v>
      </c>
      <c r="R465" s="7" t="n">
        <v>-434.1116312095019</v>
      </c>
      <c r="S465" s="6" t="n">
        <v>-0.02970099999999994</v>
      </c>
      <c r="T465" s="7" t="n">
        <v>1122.387938529462</v>
      </c>
      <c r="U465" s="7" t="n">
        <v>-1122.387938529462</v>
      </c>
      <c r="V465" s="7" t="n">
        <v>30538.64639996616</v>
      </c>
      <c r="W465" s="7" t="n">
        <v>39160.04665108251</v>
      </c>
      <c r="X465" s="7" t="n">
        <v>-8621.400251116349</v>
      </c>
      <c r="Y465" s="6" t="n">
        <v>-0.2201580689607791</v>
      </c>
      <c r="Z465" s="7" t="n">
        <v>2473.600001712087</v>
      </c>
      <c r="AA465" s="7" t="n">
        <v>-2473.600001712087</v>
      </c>
      <c r="AB465" s="7" t="n">
        <v>32414.84271289815</v>
      </c>
      <c r="AC465" s="7" t="n">
        <v>56823.93131893802</v>
      </c>
      <c r="AD465" s="7" t="n">
        <v>-24409.08860603987</v>
      </c>
      <c r="AE465" s="6" t="n">
        <v>-0.4295564921236789</v>
      </c>
    </row>
    <row r="466">
      <c r="A466" s="2" t="n">
        <v>457</v>
      </c>
      <c r="B466" s="2" t="inlineStr">
        <is>
          <t>KPROP-00457</t>
        </is>
      </c>
      <c r="C466" s="3" t="n">
        <v>46115</v>
      </c>
      <c r="D466" s="2" t="inlineStr">
        <is>
          <t>Brady Singer</t>
        </is>
      </c>
      <c r="E466" s="2" t="inlineStr">
        <is>
          <t>Win</t>
        </is>
      </c>
      <c r="F466" s="2" t="n">
        <v>0.6329113924050633</v>
      </c>
      <c r="G466" s="6" t="n">
        <v>0.2049313273518295</v>
      </c>
      <c r="H466" s="7" t="n">
        <v>100</v>
      </c>
      <c r="I466" s="7" t="n">
        <v>63.29113924050633</v>
      </c>
      <c r="J466" s="7" t="n">
        <v>13780.425121072</v>
      </c>
      <c r="K466" s="7" t="n">
        <v>14017.1339818315</v>
      </c>
      <c r="L466" s="7" t="n">
        <v>-236.7088607594942</v>
      </c>
      <c r="M466" s="6" t="n">
        <v>-0.01688710838223475</v>
      </c>
      <c r="N466" s="7" t="n">
        <v>141.8194948489779</v>
      </c>
      <c r="O466" s="7" t="n">
        <v>89.75917395504933</v>
      </c>
      <c r="P466" s="7" t="n">
        <v>14271.70865885284</v>
      </c>
      <c r="Q466" s="7" t="n">
        <v>14616.0611161073</v>
      </c>
      <c r="R466" s="7" t="n">
        <v>-344.352457254452</v>
      </c>
      <c r="S466" s="6" t="n">
        <v>-0.02355986708860749</v>
      </c>
      <c r="T466" s="7" t="n">
        <v>1564.581335568309</v>
      </c>
      <c r="U466" s="7" t="n">
        <v>990.2413516255119</v>
      </c>
      <c r="V466" s="7" t="n">
        <v>31528.88775159168</v>
      </c>
      <c r="W466" s="7" t="n">
        <v>39160.04665108251</v>
      </c>
      <c r="X466" s="7" t="n">
        <v>-7631.158899490838</v>
      </c>
      <c r="Y466" s="6" t="n">
        <v>-0.1948710369904497</v>
      </c>
      <c r="Z466" s="7" t="n">
        <v>3321.408371527498</v>
      </c>
      <c r="AA466" s="7" t="n">
        <v>2102.157197169302</v>
      </c>
      <c r="AB466" s="7" t="n">
        <v>34516.99991006745</v>
      </c>
      <c r="AC466" s="7" t="n">
        <v>56823.93131893802</v>
      </c>
      <c r="AD466" s="7" t="n">
        <v>-22306.93140887057</v>
      </c>
      <c r="AE466" s="6" t="n">
        <v>-0.3925622689438281</v>
      </c>
    </row>
    <row r="467">
      <c r="A467" s="2" t="n">
        <v>458</v>
      </c>
      <c r="B467" s="2" t="inlineStr">
        <is>
          <t>KPROP-00458</t>
        </is>
      </c>
      <c r="C467" s="3" t="n">
        <v>46115</v>
      </c>
      <c r="D467" s="2" t="inlineStr">
        <is>
          <t>Emmet Sheehan</t>
        </is>
      </c>
      <c r="E467" s="2" t="inlineStr">
        <is>
          <t>Win</t>
        </is>
      </c>
      <c r="F467" s="2" t="n">
        <v>1.13</v>
      </c>
      <c r="G467" s="6" t="n">
        <v>0.1892353087402852</v>
      </c>
      <c r="H467" s="7" t="n">
        <v>100</v>
      </c>
      <c r="I467" s="7" t="n">
        <v>113</v>
      </c>
      <c r="J467" s="7" t="n">
        <v>13893.425121072</v>
      </c>
      <c r="K467" s="7" t="n">
        <v>14017.1339818315</v>
      </c>
      <c r="L467" s="7" t="n">
        <v>-123.7088607594942</v>
      </c>
      <c r="M467" s="6" t="n">
        <v>-0.008825546001047086</v>
      </c>
      <c r="N467" s="7" t="n">
        <v>142.7170865885284</v>
      </c>
      <c r="O467" s="7" t="n">
        <v>161.2703078450371</v>
      </c>
      <c r="P467" s="7" t="n">
        <v>14432.97896669788</v>
      </c>
      <c r="Q467" s="7" t="n">
        <v>14616.0611161073</v>
      </c>
      <c r="R467" s="7" t="n">
        <v>-183.0821494094143</v>
      </c>
      <c r="S467" s="6" t="n">
        <v>-0.01252609358670872</v>
      </c>
      <c r="T467" s="7" t="n">
        <v>1491.594701977561</v>
      </c>
      <c r="U467" s="7" t="n">
        <v>1685.502013234644</v>
      </c>
      <c r="V467" s="7" t="n">
        <v>33214.38976482632</v>
      </c>
      <c r="W467" s="7" t="n">
        <v>39160.04665108251</v>
      </c>
      <c r="X467" s="7" t="n">
        <v>-5945.656886256191</v>
      </c>
      <c r="Y467" s="6" t="n">
        <v>-0.1518296681112823</v>
      </c>
      <c r="Z467" s="7" t="n">
        <v>3265.917567385005</v>
      </c>
      <c r="AA467" s="7" t="n">
        <v>3690.486851145055</v>
      </c>
      <c r="AB467" s="7" t="n">
        <v>38207.48676121251</v>
      </c>
      <c r="AC467" s="7" t="n">
        <v>56823.93131893802</v>
      </c>
      <c r="AD467" s="7" t="n">
        <v>-18616.44455772551</v>
      </c>
      <c r="AE467" s="6" t="n">
        <v>-0.3276162723278723</v>
      </c>
    </row>
    <row r="468">
      <c r="A468" s="2" t="n">
        <v>459</v>
      </c>
      <c r="B468" s="2" t="inlineStr">
        <is>
          <t>KPROP-00459</t>
        </is>
      </c>
      <c r="C468" s="3" t="n">
        <v>46115</v>
      </c>
      <c r="D468" s="2" t="inlineStr">
        <is>
          <t>Framber Valdez</t>
        </is>
      </c>
      <c r="E468" s="2" t="inlineStr">
        <is>
          <t>Win</t>
        </is>
      </c>
      <c r="F468" s="2" t="n">
        <v>1.04</v>
      </c>
      <c r="G468" s="6" t="n">
        <v>0.2770958727932607</v>
      </c>
      <c r="H468" s="7" t="n">
        <v>100</v>
      </c>
      <c r="I468" s="7" t="n">
        <v>104</v>
      </c>
      <c r="J468" s="7" t="n">
        <v>13997.425121072</v>
      </c>
      <c r="K468" s="7" t="n">
        <v>14017.1339818315</v>
      </c>
      <c r="L468" s="7" t="n">
        <v>-19.7088607594942</v>
      </c>
      <c r="M468" s="6" t="n">
        <v>-0.001406054959954019</v>
      </c>
      <c r="N468" s="7" t="n">
        <v>144.3297896669788</v>
      </c>
      <c r="O468" s="7" t="n">
        <v>150.102981253658</v>
      </c>
      <c r="P468" s="7" t="n">
        <v>14583.08194795154</v>
      </c>
      <c r="Q468" s="7" t="n">
        <v>14616.0611161073</v>
      </c>
      <c r="R468" s="7" t="n">
        <v>-32.97916815575627</v>
      </c>
      <c r="S468" s="6" t="n">
        <v>-0.002256364960010487</v>
      </c>
      <c r="T468" s="7" t="n">
        <v>2300.892580295024</v>
      </c>
      <c r="U468" s="7" t="n">
        <v>2392.928283506825</v>
      </c>
      <c r="V468" s="7" t="n">
        <v>35607.31804833315</v>
      </c>
      <c r="W468" s="7" t="n">
        <v>39160.04665108251</v>
      </c>
      <c r="X468" s="7" t="n">
        <v>-3552.728602749368</v>
      </c>
      <c r="Y468" s="6" t="n">
        <v>-0.09072329852934838</v>
      </c>
      <c r="Z468" s="7" t="n">
        <v>5293.568445667567</v>
      </c>
      <c r="AA468" s="7" t="n">
        <v>5505.31118349427</v>
      </c>
      <c r="AB468" s="7" t="n">
        <v>43712.79794470678</v>
      </c>
      <c r="AC468" s="7" t="n">
        <v>56823.93131893802</v>
      </c>
      <c r="AD468" s="7" t="n">
        <v>-13111.13337423124</v>
      </c>
      <c r="AE468" s="6" t="n">
        <v>-0.2307325992747993</v>
      </c>
    </row>
    <row r="469">
      <c r="A469" s="2" t="n">
        <v>460</v>
      </c>
      <c r="B469" s="2" t="inlineStr">
        <is>
          <t>KPROP-00460</t>
        </is>
      </c>
      <c r="C469" s="3" t="n">
        <v>46115</v>
      </c>
      <c r="D469" s="2" t="inlineStr">
        <is>
          <t>Joey Cantillo</t>
        </is>
      </c>
      <c r="E469" s="2" t="inlineStr">
        <is>
          <t>Loss</t>
        </is>
      </c>
      <c r="F469" s="2" t="n">
        <v>-1</v>
      </c>
      <c r="G469" s="6" t="n">
        <v>0.08802237617224334</v>
      </c>
      <c r="H469" s="7" t="n">
        <v>100</v>
      </c>
      <c r="I469" s="7" t="n">
        <v>-100</v>
      </c>
      <c r="J469" s="7" t="n">
        <v>13897.425121072</v>
      </c>
      <c r="K469" s="7" t="n">
        <v>14017.1339818315</v>
      </c>
      <c r="L469" s="7" t="n">
        <v>-119.7088607594942</v>
      </c>
      <c r="M469" s="6" t="n">
        <v>-0.008540180961005046</v>
      </c>
      <c r="N469" s="7" t="n">
        <v>145.8308194795154</v>
      </c>
      <c r="O469" s="7" t="n">
        <v>-145.8308194795154</v>
      </c>
      <c r="P469" s="7" t="n">
        <v>14437.25112847202</v>
      </c>
      <c r="Q469" s="7" t="n">
        <v>14616.0611161073</v>
      </c>
      <c r="R469" s="7" t="n">
        <v>-178.8099876352717</v>
      </c>
      <c r="S469" s="6" t="n">
        <v>-0.01223380131041038</v>
      </c>
      <c r="T469" s="7" t="n">
        <v>783.5601859337725</v>
      </c>
      <c r="U469" s="7" t="n">
        <v>-783.5601859337725</v>
      </c>
      <c r="V469" s="7" t="n">
        <v>34823.75786239938</v>
      </c>
      <c r="W469" s="7" t="n">
        <v>39160.04665108251</v>
      </c>
      <c r="X469" s="7" t="n">
        <v>-4336.288788683138</v>
      </c>
      <c r="Y469" s="6" t="n">
        <v>-0.1107324724947249</v>
      </c>
      <c r="Z469" s="7" t="n">
        <v>1923.852172115123</v>
      </c>
      <c r="AA469" s="7" t="n">
        <v>-1923.852172115123</v>
      </c>
      <c r="AB469" s="7" t="n">
        <v>41788.94577259166</v>
      </c>
      <c r="AC469" s="7" t="n">
        <v>56823.93131893802</v>
      </c>
      <c r="AD469" s="7" t="n">
        <v>-15034.98554634636</v>
      </c>
      <c r="AE469" s="6" t="n">
        <v>-0.264588971536638</v>
      </c>
    </row>
    <row r="470">
      <c r="A470" s="2" t="n">
        <v>461</v>
      </c>
      <c r="B470" s="2" t="inlineStr">
        <is>
          <t>KPROP-00461</t>
        </is>
      </c>
      <c r="C470" s="3" t="n">
        <v>46115</v>
      </c>
      <c r="D470" s="2" t="inlineStr">
        <is>
          <t>Joey Cantillo</t>
        </is>
      </c>
      <c r="E470" s="2" t="inlineStr">
        <is>
          <t>Loss</t>
        </is>
      </c>
      <c r="F470" s="2" t="n">
        <v>-1</v>
      </c>
      <c r="G470" s="6" t="n">
        <v>0.205897009996615</v>
      </c>
      <c r="H470" s="7" t="n">
        <v>100</v>
      </c>
      <c r="I470" s="7" t="n">
        <v>-100</v>
      </c>
      <c r="J470" s="7" t="n">
        <v>13797.425121072</v>
      </c>
      <c r="K470" s="7" t="n">
        <v>14017.1339818315</v>
      </c>
      <c r="L470" s="7" t="n">
        <v>-219.7088607594942</v>
      </c>
      <c r="M470" s="6" t="n">
        <v>-0.01567430696205607</v>
      </c>
      <c r="N470" s="7" t="n">
        <v>144.3725112847202</v>
      </c>
      <c r="O470" s="7" t="n">
        <v>-144.3725112847202</v>
      </c>
      <c r="P470" s="7" t="n">
        <v>14292.8786171873</v>
      </c>
      <c r="Q470" s="7" t="n">
        <v>14616.0611161073</v>
      </c>
      <c r="R470" s="7" t="n">
        <v>-323.1824989199922</v>
      </c>
      <c r="S470" s="6" t="n">
        <v>-0.0221114632973063</v>
      </c>
      <c r="T470" s="7" t="n">
        <v>1792.526905178536</v>
      </c>
      <c r="U470" s="7" t="n">
        <v>-1792.526905178536</v>
      </c>
      <c r="V470" s="7" t="n">
        <v>33031.23095722084</v>
      </c>
      <c r="W470" s="7" t="n">
        <v>39160.04665108251</v>
      </c>
      <c r="X470" s="7" t="n">
        <v>-6128.815693861674</v>
      </c>
      <c r="Y470" s="6" t="n">
        <v>-0.1565068537448296</v>
      </c>
      <c r="Z470" s="7" t="n">
        <v>4302.109492743654</v>
      </c>
      <c r="AA470" s="7" t="n">
        <v>-4302.109492743654</v>
      </c>
      <c r="AB470" s="7" t="n">
        <v>37486.836279848</v>
      </c>
      <c r="AC470" s="7" t="n">
        <v>56823.93131893802</v>
      </c>
      <c r="AD470" s="7" t="n">
        <v>-19337.09503909002</v>
      </c>
      <c r="AE470" s="6" t="n">
        <v>-0.3402984374762089</v>
      </c>
    </row>
    <row r="471">
      <c r="A471" s="2" t="n">
        <v>462</v>
      </c>
      <c r="B471" s="2" t="inlineStr">
        <is>
          <t>KPROP-00462</t>
        </is>
      </c>
      <c r="C471" s="3" t="n">
        <v>46115</v>
      </c>
      <c r="D471" s="2" t="inlineStr">
        <is>
          <t>MacKenzie Gore</t>
        </is>
      </c>
      <c r="E471" s="2" t="inlineStr">
        <is>
          <t>Loss</t>
        </is>
      </c>
      <c r="F471" s="2" t="n">
        <v>-1</v>
      </c>
      <c r="G471" s="6" t="n">
        <v>0.4903983068008778</v>
      </c>
      <c r="H471" s="7" t="n">
        <v>100</v>
      </c>
      <c r="I471" s="7" t="n">
        <v>-100</v>
      </c>
      <c r="J471" s="7" t="n">
        <v>13697.425121072</v>
      </c>
      <c r="K471" s="7" t="n">
        <v>14017.1339818315</v>
      </c>
      <c r="L471" s="7" t="n">
        <v>-319.7088607594942</v>
      </c>
      <c r="M471" s="6" t="n">
        <v>-0.0228084329631071</v>
      </c>
      <c r="N471" s="7" t="n">
        <v>142.928786171873</v>
      </c>
      <c r="O471" s="7" t="n">
        <v>-142.928786171873</v>
      </c>
      <c r="P471" s="7" t="n">
        <v>14149.94983101543</v>
      </c>
      <c r="Q471" s="7" t="n">
        <v>14616.0611161073</v>
      </c>
      <c r="R471" s="7" t="n">
        <v>-466.1112850918653</v>
      </c>
      <c r="S471" s="6" t="n">
        <v>-0.03189034866433324</v>
      </c>
      <c r="T471" s="7" t="n">
        <v>4049.61493324246</v>
      </c>
      <c r="U471" s="7" t="n">
        <v>-4049.61493324246</v>
      </c>
      <c r="V471" s="7" t="n">
        <v>28981.61602397838</v>
      </c>
      <c r="W471" s="7" t="n">
        <v>39160.04665108251</v>
      </c>
      <c r="X471" s="7" t="n">
        <v>-10178.43062710414</v>
      </c>
      <c r="Y471" s="6" t="n">
        <v>-0.2599187564252498</v>
      </c>
      <c r="Z471" s="7" t="n">
        <v>9191.740519479588</v>
      </c>
      <c r="AA471" s="7" t="n">
        <v>-9191.740519479588</v>
      </c>
      <c r="AB471" s="7" t="n">
        <v>28295.09576036841</v>
      </c>
      <c r="AC471" s="7" t="n">
        <v>56823.93131893802</v>
      </c>
      <c r="AD471" s="7" t="n">
        <v>-28528.8355585696</v>
      </c>
      <c r="AE471" s="6" t="n">
        <v>-0.5020567021039891</v>
      </c>
    </row>
    <row r="472">
      <c r="A472" s="2" t="n">
        <v>463</v>
      </c>
      <c r="B472" s="2" t="inlineStr">
        <is>
          <t>KPROP-00463</t>
        </is>
      </c>
      <c r="C472" s="3" t="n">
        <v>46115</v>
      </c>
      <c r="D472" s="2" t="inlineStr">
        <is>
          <t>Michael King</t>
        </is>
      </c>
      <c r="E472" s="2" t="inlineStr">
        <is>
          <t>Win</t>
        </is>
      </c>
      <c r="F472" s="2" t="n">
        <v>1.18</v>
      </c>
      <c r="G472" s="6" t="n">
        <v>0.2746113920084463</v>
      </c>
      <c r="H472" s="7" t="n">
        <v>100</v>
      </c>
      <c r="I472" s="7" t="n">
        <v>118</v>
      </c>
      <c r="J472" s="7" t="n">
        <v>13815.425121072</v>
      </c>
      <c r="K472" s="7" t="n">
        <v>14017.1339818315</v>
      </c>
      <c r="L472" s="7" t="n">
        <v>-201.7088607594942</v>
      </c>
      <c r="M472" s="6" t="n">
        <v>-0.01439016428186689</v>
      </c>
      <c r="N472" s="7" t="n">
        <v>141.4994983101543</v>
      </c>
      <c r="O472" s="7" t="n">
        <v>166.969408005982</v>
      </c>
      <c r="P472" s="7" t="n">
        <v>14316.91923902141</v>
      </c>
      <c r="Q472" s="7" t="n">
        <v>14616.0611161073</v>
      </c>
      <c r="R472" s="7" t="n">
        <v>-299.1418770858836</v>
      </c>
      <c r="S472" s="6" t="n">
        <v>-0.0204666547785724</v>
      </c>
      <c r="T472" s="7" t="n">
        <v>1989.670479749748</v>
      </c>
      <c r="U472" s="7" t="n">
        <v>2347.811166104703</v>
      </c>
      <c r="V472" s="7" t="n">
        <v>31329.42719008308</v>
      </c>
      <c r="W472" s="7" t="n">
        <v>39160.04665108251</v>
      </c>
      <c r="X472" s="7" t="n">
        <v>-7830.619460999431</v>
      </c>
      <c r="Y472" s="6" t="n">
        <v>-0.1999645079785156</v>
      </c>
      <c r="Z472" s="7" t="n">
        <v>3885.077816883528</v>
      </c>
      <c r="AA472" s="7" t="n">
        <v>4584.391823922562</v>
      </c>
      <c r="AB472" s="7" t="n">
        <v>32879.48758429098</v>
      </c>
      <c r="AC472" s="7" t="n">
        <v>56823.93131893802</v>
      </c>
      <c r="AD472" s="7" t="n">
        <v>-23944.44373464704</v>
      </c>
      <c r="AE472" s="6" t="n">
        <v>-0.4213795698198542</v>
      </c>
    </row>
    <row r="473">
      <c r="A473" s="2" t="n">
        <v>464</v>
      </c>
      <c r="B473" s="2" t="inlineStr">
        <is>
          <t>KPROP-00464</t>
        </is>
      </c>
      <c r="C473" s="3" t="n">
        <v>46115</v>
      </c>
      <c r="D473" s="2" t="inlineStr">
        <is>
          <t>Mitch Keller</t>
        </is>
      </c>
      <c r="E473" s="2" t="inlineStr">
        <is>
          <t>Win</t>
        </is>
      </c>
      <c r="F473" s="2" t="n">
        <v>1.32</v>
      </c>
      <c r="G473" s="6" t="n">
        <v>0.0656683234565682</v>
      </c>
      <c r="H473" s="7" t="n">
        <v>100</v>
      </c>
      <c r="I473" s="7" t="n">
        <v>132</v>
      </c>
      <c r="J473" s="7" t="n">
        <v>13947.425121072</v>
      </c>
      <c r="K473" s="7" t="n">
        <v>14017.1339818315</v>
      </c>
      <c r="L473" s="7" t="n">
        <v>-69.7088607594942</v>
      </c>
      <c r="M473" s="6" t="n">
        <v>-0.004973117960479532</v>
      </c>
      <c r="N473" s="7" t="n">
        <v>143.1691923902141</v>
      </c>
      <c r="O473" s="7" t="n">
        <v>188.9833339550827</v>
      </c>
      <c r="P473" s="7" t="n">
        <v>14505.90257297649</v>
      </c>
      <c r="Q473" s="7" t="n">
        <v>14616.0611161073</v>
      </c>
      <c r="R473" s="7" t="n">
        <v>-110.1585431308013</v>
      </c>
      <c r="S473" s="6" t="n">
        <v>-0.007536814621649574</v>
      </c>
      <c r="T473" s="7" t="n">
        <v>514.3377396068446</v>
      </c>
      <c r="U473" s="7" t="n">
        <v>678.9258162810351</v>
      </c>
      <c r="V473" s="7" t="n">
        <v>32008.35300636412</v>
      </c>
      <c r="W473" s="7" t="n">
        <v>39160.04665108251</v>
      </c>
      <c r="X473" s="7" t="n">
        <v>-7151.693644718394</v>
      </c>
      <c r="Y473" s="6" t="n">
        <v>-0.182627301454471</v>
      </c>
      <c r="Z473" s="7" t="n">
        <v>1079.570412885719</v>
      </c>
      <c r="AA473" s="7" t="n">
        <v>1425.032945009149</v>
      </c>
      <c r="AB473" s="7" t="n">
        <v>34304.52052930013</v>
      </c>
      <c r="AC473" s="7" t="n">
        <v>56823.93131893802</v>
      </c>
      <c r="AD473" s="7" t="n">
        <v>-22519.41078963789</v>
      </c>
      <c r="AE473" s="6" t="n">
        <v>-0.3963015276652062</v>
      </c>
    </row>
    <row r="474">
      <c r="A474" s="2" t="n">
        <v>465</v>
      </c>
      <c r="B474" s="2" t="inlineStr">
        <is>
          <t>KPROP-00465</t>
        </is>
      </c>
      <c r="C474" s="3" t="n">
        <v>46115</v>
      </c>
      <c r="D474" s="2" t="inlineStr">
        <is>
          <t>Sonny Gray</t>
        </is>
      </c>
      <c r="E474" s="2" t="inlineStr">
        <is>
          <t>Win</t>
        </is>
      </c>
      <c r="F474" s="2" t="n">
        <v>0.8130081300813008</v>
      </c>
      <c r="G474" s="6" t="n">
        <v>0.2197602200211269</v>
      </c>
      <c r="H474" s="7" t="n">
        <v>100</v>
      </c>
      <c r="I474" s="7" t="n">
        <v>81.30081300813008</v>
      </c>
      <c r="J474" s="7" t="n">
        <v>14028.72593408013</v>
      </c>
      <c r="K474" s="7" t="n">
        <v>14028.72593408013</v>
      </c>
      <c r="L474" s="7" t="n">
        <v>0</v>
      </c>
      <c r="M474" s="6" t="n">
        <v>0</v>
      </c>
      <c r="N474" s="7" t="n">
        <v>145.059025729765</v>
      </c>
      <c r="O474" s="7" t="n">
        <v>117.9341672599715</v>
      </c>
      <c r="P474" s="7" t="n">
        <v>14623.83674023647</v>
      </c>
      <c r="Q474" s="7" t="n">
        <v>14623.83674023647</v>
      </c>
      <c r="R474" s="7" t="n">
        <v>0</v>
      </c>
      <c r="S474" s="6" t="n">
        <v>0</v>
      </c>
      <c r="T474" s="7" t="n">
        <v>1758.540674798119</v>
      </c>
      <c r="U474" s="7" t="n">
        <v>1429.707865689528</v>
      </c>
      <c r="V474" s="7" t="n">
        <v>33438.06087205365</v>
      </c>
      <c r="W474" s="7" t="n">
        <v>39160.04665108251</v>
      </c>
      <c r="X474" s="7" t="n">
        <v>-5721.985779028866</v>
      </c>
      <c r="Y474" s="6" t="n">
        <v>-0.1461179510334085</v>
      </c>
      <c r="Z474" s="7" t="n">
        <v>3769.38448961913</v>
      </c>
      <c r="AA474" s="7" t="n">
        <v>3064.540235462707</v>
      </c>
      <c r="AB474" s="7" t="n">
        <v>37369.06076476283</v>
      </c>
      <c r="AC474" s="7" t="n">
        <v>56823.93131893802</v>
      </c>
      <c r="AD474" s="7" t="n">
        <v>-19454.87055417518</v>
      </c>
      <c r="AE474" s="6" t="n">
        <v>-0.342371076808819</v>
      </c>
    </row>
    <row r="475">
      <c r="A475" s="2" t="n">
        <v>466</v>
      </c>
      <c r="B475" s="2" t="inlineStr">
        <is>
          <t>KPROP-00466</t>
        </is>
      </c>
      <c r="C475" s="3" t="n">
        <v>46115</v>
      </c>
      <c r="D475" s="2" t="inlineStr">
        <is>
          <t>Will Warren</t>
        </is>
      </c>
      <c r="E475" s="2" t="inlineStr">
        <is>
          <t>Loss</t>
        </is>
      </c>
      <c r="F475" s="2" t="n">
        <v>-1</v>
      </c>
      <c r="G475" s="6" t="n">
        <v>0.1813354025906105</v>
      </c>
      <c r="H475" s="7" t="n">
        <v>100</v>
      </c>
      <c r="I475" s="7" t="n">
        <v>-100</v>
      </c>
      <c r="J475" s="7" t="n">
        <v>13928.72593408013</v>
      </c>
      <c r="K475" s="7" t="n">
        <v>14028.72593408013</v>
      </c>
      <c r="L475" s="7" t="n">
        <v>-100</v>
      </c>
      <c r="M475" s="6" t="n">
        <v>-0.007128231064595035</v>
      </c>
      <c r="N475" s="7" t="n">
        <v>146.2383674023647</v>
      </c>
      <c r="O475" s="7" t="n">
        <v>-146.2383674023647</v>
      </c>
      <c r="P475" s="7" t="n">
        <v>14477.5983728341</v>
      </c>
      <c r="Q475" s="7" t="n">
        <v>14623.83674023647</v>
      </c>
      <c r="R475" s="7" t="n">
        <v>-146.238367402364</v>
      </c>
      <c r="S475" s="6" t="n">
        <v>-0.009999999999999957</v>
      </c>
      <c r="T475" s="7" t="n">
        <v>1515.876057520798</v>
      </c>
      <c r="U475" s="7" t="n">
        <v>-1515.876057520798</v>
      </c>
      <c r="V475" s="7" t="n">
        <v>31922.18481453285</v>
      </c>
      <c r="W475" s="7" t="n">
        <v>39160.04665108251</v>
      </c>
      <c r="X475" s="7" t="n">
        <v>-7237.861836549662</v>
      </c>
      <c r="Y475" s="6" t="n">
        <v>-0.1848277123119715</v>
      </c>
      <c r="Z475" s="7" t="n">
        <v>3388.166839105629</v>
      </c>
      <c r="AA475" s="7" t="n">
        <v>-3388.166839105629</v>
      </c>
      <c r="AB475" s="7" t="n">
        <v>33980.8939256572</v>
      </c>
      <c r="AC475" s="7" t="n">
        <v>56823.93131893802</v>
      </c>
      <c r="AD475" s="7" t="n">
        <v>-22843.03739328081</v>
      </c>
      <c r="AE475" s="6" t="n">
        <v>-0.4019967795798703</v>
      </c>
    </row>
    <row r="476">
      <c r="A476" s="2" t="n">
        <v>467</v>
      </c>
      <c r="B476" s="2" t="inlineStr">
        <is>
          <t>KPROP-00467</t>
        </is>
      </c>
      <c r="C476" s="3" t="n">
        <v>46115</v>
      </c>
      <c r="D476" s="2" t="inlineStr">
        <is>
          <t>Will Warren</t>
        </is>
      </c>
      <c r="E476" s="2" t="inlineStr">
        <is>
          <t>Loss</t>
        </is>
      </c>
      <c r="F476" s="2" t="n">
        <v>-1</v>
      </c>
      <c r="G476" s="6" t="n">
        <v>0.2369562685251086</v>
      </c>
      <c r="H476" s="7" t="n">
        <v>100</v>
      </c>
      <c r="I476" s="7" t="n">
        <v>-100</v>
      </c>
      <c r="J476" s="7" t="n">
        <v>13828.72593408013</v>
      </c>
      <c r="K476" s="7" t="n">
        <v>14028.72593408013</v>
      </c>
      <c r="L476" s="7" t="n">
        <v>-200</v>
      </c>
      <c r="M476" s="6" t="n">
        <v>-0.01425646212919007</v>
      </c>
      <c r="N476" s="7" t="n">
        <v>144.775983728341</v>
      </c>
      <c r="O476" s="7" t="n">
        <v>-144.775983728341</v>
      </c>
      <c r="P476" s="7" t="n">
        <v>14332.82238910576</v>
      </c>
      <c r="Q476" s="7" t="n">
        <v>14623.83674023647</v>
      </c>
      <c r="R476" s="7" t="n">
        <v>-291.0143511307051</v>
      </c>
      <c r="S476" s="6" t="n">
        <v>-0.01989999999999996</v>
      </c>
      <c r="T476" s="7" t="n">
        <v>1891.040449205148</v>
      </c>
      <c r="U476" s="7" t="n">
        <v>-1891.040449205148</v>
      </c>
      <c r="V476" s="7" t="n">
        <v>30031.1443653277</v>
      </c>
      <c r="W476" s="7" t="n">
        <v>39160.04665108251</v>
      </c>
      <c r="X476" s="7" t="n">
        <v>-9128.902285754812</v>
      </c>
      <c r="Y476" s="6" t="n">
        <v>-0.2331177581858795</v>
      </c>
      <c r="Z476" s="7" t="n">
        <v>4025.992912885631</v>
      </c>
      <c r="AA476" s="7" t="n">
        <v>-4025.992912885631</v>
      </c>
      <c r="AB476" s="7" t="n">
        <v>29954.90101277157</v>
      </c>
      <c r="AC476" s="7" t="n">
        <v>56823.93131893802</v>
      </c>
      <c r="AD476" s="7" t="n">
        <v>-26869.03030616645</v>
      </c>
      <c r="AE476" s="6" t="n">
        <v>-0.4728470854182463</v>
      </c>
    </row>
    <row r="477">
      <c r="A477" s="2" t="n">
        <v>468</v>
      </c>
      <c r="B477" s="2" t="inlineStr">
        <is>
          <t>KPROP-00468</t>
        </is>
      </c>
      <c r="C477" s="3" t="n">
        <v>46116</v>
      </c>
      <c r="D477" s="2" t="inlineStr">
        <is>
          <t>Dustin May</t>
        </is>
      </c>
      <c r="E477" s="2" t="inlineStr">
        <is>
          <t>Win</t>
        </is>
      </c>
      <c r="F477" s="2" t="n">
        <v>1.05</v>
      </c>
      <c r="G477" s="6" t="n">
        <v>0.1746559483892517</v>
      </c>
      <c r="H477" s="7" t="n">
        <v>100</v>
      </c>
      <c r="I477" s="7" t="n">
        <v>105</v>
      </c>
      <c r="J477" s="7" t="n">
        <v>13933.72593408013</v>
      </c>
      <c r="K477" s="7" t="n">
        <v>14028.72593408013</v>
      </c>
      <c r="L477" s="7" t="n">
        <v>-95</v>
      </c>
      <c r="M477" s="6" t="n">
        <v>-0.006771819511365283</v>
      </c>
      <c r="N477" s="7" t="n">
        <v>143.3282238910576</v>
      </c>
      <c r="O477" s="7" t="n">
        <v>150.4946350856105</v>
      </c>
      <c r="P477" s="7" t="n">
        <v>14483.31702419137</v>
      </c>
      <c r="Q477" s="7" t="n">
        <v>14623.83674023647</v>
      </c>
      <c r="R477" s="7" t="n">
        <v>-140.5197160450953</v>
      </c>
      <c r="S477" s="6" t="n">
        <v>-0.009608950000000005</v>
      </c>
      <c r="T477" s="7" t="n">
        <v>1311.27950008521</v>
      </c>
      <c r="U477" s="7" t="n">
        <v>1376.843475089471</v>
      </c>
      <c r="V477" s="7" t="n">
        <v>31407.98784041717</v>
      </c>
      <c r="W477" s="7" t="n">
        <v>39160.04665108251</v>
      </c>
      <c r="X477" s="7" t="n">
        <v>-7752.058810665341</v>
      </c>
      <c r="Y477" s="6" t="n">
        <v>-0.1979583650585628</v>
      </c>
      <c r="Z477" s="7" t="n">
        <v>2615.900822645887</v>
      </c>
      <c r="AA477" s="7" t="n">
        <v>2746.695863778181</v>
      </c>
      <c r="AB477" s="7" t="n">
        <v>32701.59687654976</v>
      </c>
      <c r="AC477" s="7" t="n">
        <v>56823.93131893802</v>
      </c>
      <c r="AD477" s="7" t="n">
        <v>-24122.33444238826</v>
      </c>
      <c r="AE477" s="6" t="n">
        <v>-0.4245101294909682</v>
      </c>
    </row>
    <row r="478">
      <c r="A478" s="2" t="n">
        <v>469</v>
      </c>
      <c r="B478" s="2" t="inlineStr">
        <is>
          <t>KPROP-00469</t>
        </is>
      </c>
      <c r="C478" s="3" t="n">
        <v>46116</v>
      </c>
      <c r="D478" s="2" t="inlineStr">
        <is>
          <t>Jack Flaherty</t>
        </is>
      </c>
      <c r="E478" s="2" t="inlineStr">
        <is>
          <t>Loss</t>
        </is>
      </c>
      <c r="F478" s="2" t="n">
        <v>-1</v>
      </c>
      <c r="G478" s="6" t="n">
        <v>0.2092764872678038</v>
      </c>
      <c r="H478" s="7" t="n">
        <v>100</v>
      </c>
      <c r="I478" s="7" t="n">
        <v>-100</v>
      </c>
      <c r="J478" s="7" t="n">
        <v>13833.72593408013</v>
      </c>
      <c r="K478" s="7" t="n">
        <v>14028.72593408013</v>
      </c>
      <c r="L478" s="7" t="n">
        <v>-195</v>
      </c>
      <c r="M478" s="6" t="n">
        <v>-0.01390005057596032</v>
      </c>
      <c r="N478" s="7" t="n">
        <v>144.8331702419137</v>
      </c>
      <c r="O478" s="7" t="n">
        <v>-144.8331702419137</v>
      </c>
      <c r="P478" s="7" t="n">
        <v>14338.48385394946</v>
      </c>
      <c r="Q478" s="7" t="n">
        <v>14623.83674023647</v>
      </c>
      <c r="R478" s="7" t="n">
        <v>-285.3528862870098</v>
      </c>
      <c r="S478" s="6" t="n">
        <v>-0.01951286050000006</v>
      </c>
      <c r="T478" s="7" t="n">
        <v>1643.2383418481</v>
      </c>
      <c r="U478" s="7" t="n">
        <v>-1643.2383418481</v>
      </c>
      <c r="V478" s="7" t="n">
        <v>29764.74949856907</v>
      </c>
      <c r="W478" s="7" t="n">
        <v>39160.04665108251</v>
      </c>
      <c r="X478" s="7" t="n">
        <v>-9395.297152513442</v>
      </c>
      <c r="Y478" s="6" t="n">
        <v>-0.2399204790593303</v>
      </c>
      <c r="Z478" s="7" t="n">
        <v>3421.837661186058</v>
      </c>
      <c r="AA478" s="7" t="n">
        <v>-3421.837661186058</v>
      </c>
      <c r="AB478" s="7" t="n">
        <v>29279.7592153637</v>
      </c>
      <c r="AC478" s="7" t="n">
        <v>56823.93131893802</v>
      </c>
      <c r="AD478" s="7" t="n">
        <v>-27544.17210357432</v>
      </c>
      <c r="AE478" s="6" t="n">
        <v>-0.4847283787701349</v>
      </c>
    </row>
    <row r="479">
      <c r="A479" s="2" t="n">
        <v>470</v>
      </c>
      <c r="B479" s="2" t="inlineStr">
        <is>
          <t>KPROP-00470</t>
        </is>
      </c>
      <c r="C479" s="3" t="n">
        <v>46116</v>
      </c>
      <c r="D479" s="2" t="inlineStr">
        <is>
          <t>Michael Soroka</t>
        </is>
      </c>
      <c r="E479" s="2" t="inlineStr">
        <is>
          <t>Win</t>
        </is>
      </c>
      <c r="F479" s="2" t="n">
        <v>1.28</v>
      </c>
      <c r="G479" s="6" t="n">
        <v>0.2551031188728164</v>
      </c>
      <c r="H479" s="7" t="n">
        <v>100</v>
      </c>
      <c r="I479" s="7" t="n">
        <v>128</v>
      </c>
      <c r="J479" s="7" t="n">
        <v>13961.72593408013</v>
      </c>
      <c r="K479" s="7" t="n">
        <v>14028.72593408013</v>
      </c>
      <c r="L479" s="7" t="n">
        <v>-67</v>
      </c>
      <c r="M479" s="6" t="n">
        <v>-0.004775914813278673</v>
      </c>
      <c r="N479" s="7" t="n">
        <v>143.3848385394946</v>
      </c>
      <c r="O479" s="7" t="n">
        <v>183.5325933305531</v>
      </c>
      <c r="P479" s="7" t="n">
        <v>14522.01644728001</v>
      </c>
      <c r="Q479" s="7" t="n">
        <v>14623.83674023647</v>
      </c>
      <c r="R479" s="7" t="n">
        <v>-101.8202929564559</v>
      </c>
      <c r="S479" s="6" t="n">
        <v>-0.006962625114400003</v>
      </c>
      <c r="T479" s="7" t="n">
        <v>1898.270107388267</v>
      </c>
      <c r="U479" s="7" t="n">
        <v>2429.785737456982</v>
      </c>
      <c r="V479" s="7" t="n">
        <v>32194.53523602605</v>
      </c>
      <c r="W479" s="7" t="n">
        <v>39160.04665108251</v>
      </c>
      <c r="X479" s="7" t="n">
        <v>-6965.511415056459</v>
      </c>
      <c r="Y479" s="6" t="n">
        <v>-0.1778729090166676</v>
      </c>
      <c r="Z479" s="7" t="n">
        <v>3734.678947842183</v>
      </c>
      <c r="AA479" s="7" t="n">
        <v>4780.389053237996</v>
      </c>
      <c r="AB479" s="7" t="n">
        <v>34060.1482686017</v>
      </c>
      <c r="AC479" s="7" t="n">
        <v>56823.93131893802</v>
      </c>
      <c r="AD479" s="7" t="n">
        <v>-22763.78305033632</v>
      </c>
      <c r="AE479" s="6" t="n">
        <v>-0.4006020442790045</v>
      </c>
    </row>
    <row r="480">
      <c r="A480" s="2" t="n">
        <v>471</v>
      </c>
      <c r="B480" s="2" t="inlineStr">
        <is>
          <t>KPROP-00471</t>
        </is>
      </c>
      <c r="C480" s="3" t="n">
        <v>46116</v>
      </c>
      <c r="D480" s="2" t="inlineStr">
        <is>
          <t>Mick Abel</t>
        </is>
      </c>
      <c r="E480" s="2" t="inlineStr">
        <is>
          <t>Win</t>
        </is>
      </c>
      <c r="F480" s="2" t="n">
        <v>0.819672131147541</v>
      </c>
      <c r="G480" s="6" t="n">
        <v>0.1586256842229002</v>
      </c>
      <c r="H480" s="7" t="n">
        <v>100</v>
      </c>
      <c r="I480" s="7" t="n">
        <v>81.9672131147541</v>
      </c>
      <c r="J480" s="7" t="n">
        <v>14043.69314719489</v>
      </c>
      <c r="K480" s="7" t="n">
        <v>14043.69314719489</v>
      </c>
      <c r="L480" s="7" t="n">
        <v>0</v>
      </c>
      <c r="M480" s="6" t="n">
        <v>0</v>
      </c>
      <c r="N480" s="7" t="n">
        <v>145.2201644728001</v>
      </c>
      <c r="O480" s="7" t="n">
        <v>119.0329216990165</v>
      </c>
      <c r="P480" s="7" t="n">
        <v>14641.04936897903</v>
      </c>
      <c r="Q480" s="7" t="n">
        <v>14641.04936897903</v>
      </c>
      <c r="R480" s="7" t="n">
        <v>0</v>
      </c>
      <c r="S480" s="6" t="n">
        <v>0</v>
      </c>
      <c r="T480" s="7" t="n">
        <v>1276.720045013226</v>
      </c>
      <c r="U480" s="7" t="n">
        <v>1046.491840174775</v>
      </c>
      <c r="V480" s="7" t="n">
        <v>33241.02707620083</v>
      </c>
      <c r="W480" s="7" t="n">
        <v>39160.04665108251</v>
      </c>
      <c r="X480" s="7" t="n">
        <v>-5919.019574881684</v>
      </c>
      <c r="Y480" s="6" t="n">
        <v>-0.1511494515729353</v>
      </c>
      <c r="Z480" s="7" t="n">
        <v>2701.407161920187</v>
      </c>
      <c r="AA480" s="7" t="n">
        <v>2214.26816550835</v>
      </c>
      <c r="AB480" s="7" t="n">
        <v>36274.41643411005</v>
      </c>
      <c r="AC480" s="7" t="n">
        <v>56823.93131893802</v>
      </c>
      <c r="AD480" s="7" t="n">
        <v>-20549.51488482797</v>
      </c>
      <c r="AE480" s="6" t="n">
        <v>-0.3616348677019346</v>
      </c>
    </row>
    <row r="481">
      <c r="A481" s="2" t="n">
        <v>472</v>
      </c>
      <c r="B481" s="2" t="inlineStr">
        <is>
          <t>KPROP-00472</t>
        </is>
      </c>
      <c r="C481" s="3" t="n">
        <v>46116</v>
      </c>
      <c r="D481" s="2" t="inlineStr">
        <is>
          <t>Ryan Weathers</t>
        </is>
      </c>
      <c r="E481" s="2" t="inlineStr">
        <is>
          <t>Win</t>
        </is>
      </c>
      <c r="F481" s="2" t="n">
        <v>1</v>
      </c>
      <c r="G481" s="6" t="n">
        <v>0.402869955909813</v>
      </c>
      <c r="H481" s="7" t="n">
        <v>100</v>
      </c>
      <c r="I481" s="7" t="n">
        <v>100</v>
      </c>
      <c r="J481" s="7" t="n">
        <v>14143.69314719489</v>
      </c>
      <c r="K481" s="7" t="n">
        <v>14143.69314719489</v>
      </c>
      <c r="L481" s="7" t="n">
        <v>0</v>
      </c>
      <c r="M481" s="6" t="n">
        <v>0</v>
      </c>
      <c r="N481" s="7" t="n">
        <v>146.4104936897903</v>
      </c>
      <c r="O481" s="7" t="n">
        <v>146.4104936897903</v>
      </c>
      <c r="P481" s="7" t="n">
        <v>14787.45986266882</v>
      </c>
      <c r="Q481" s="7" t="n">
        <v>14787.45986266882</v>
      </c>
      <c r="R481" s="7" t="n">
        <v>0</v>
      </c>
      <c r="S481" s="6" t="n">
        <v>0</v>
      </c>
      <c r="T481" s="7" t="n">
        <v>3347.952778146482</v>
      </c>
      <c r="U481" s="7" t="n">
        <v>3347.952778146482</v>
      </c>
      <c r="V481" s="7" t="n">
        <v>36588.97985434732</v>
      </c>
      <c r="W481" s="7" t="n">
        <v>39160.04665108251</v>
      </c>
      <c r="X481" s="7" t="n">
        <v>-2571.066796735198</v>
      </c>
      <c r="Y481" s="6" t="n">
        <v>-0.06565535581822718</v>
      </c>
      <c r="Z481" s="7" t="n">
        <v>7306.936274732056</v>
      </c>
      <c r="AA481" s="7" t="n">
        <v>7306.936274732056</v>
      </c>
      <c r="AB481" s="7" t="n">
        <v>43581.3527088421</v>
      </c>
      <c r="AC481" s="7" t="n">
        <v>56823.93131893802</v>
      </c>
      <c r="AD481" s="7" t="n">
        <v>-13242.57861009592</v>
      </c>
      <c r="AE481" s="6" t="n">
        <v>-0.2330458013502929</v>
      </c>
    </row>
    <row r="482">
      <c r="A482" s="2" t="n">
        <v>473</v>
      </c>
      <c r="B482" s="2" t="inlineStr">
        <is>
          <t>KPROP-00473</t>
        </is>
      </c>
      <c r="C482" s="3" t="n">
        <v>46116</v>
      </c>
      <c r="D482" s="2" t="inlineStr">
        <is>
          <t>Steven Matz</t>
        </is>
      </c>
      <c r="E482" s="2" t="inlineStr">
        <is>
          <t>Loss</t>
        </is>
      </c>
      <c r="F482" s="2" t="n">
        <v>-1</v>
      </c>
      <c r="G482" s="6" t="n">
        <v>0.1454419485617839</v>
      </c>
      <c r="H482" s="7" t="n">
        <v>100</v>
      </c>
      <c r="I482" s="7" t="n">
        <v>-100</v>
      </c>
      <c r="J482" s="7" t="n">
        <v>14043.69314719489</v>
      </c>
      <c r="K482" s="7" t="n">
        <v>14143.69314719489</v>
      </c>
      <c r="L482" s="7" t="n">
        <v>-100</v>
      </c>
      <c r="M482" s="6" t="n">
        <v>-0.007070289135891848</v>
      </c>
      <c r="N482" s="7" t="n">
        <v>147.8745986266882</v>
      </c>
      <c r="O482" s="7" t="n">
        <v>-147.8745986266882</v>
      </c>
      <c r="P482" s="7" t="n">
        <v>14639.58526404213</v>
      </c>
      <c r="Q482" s="7" t="n">
        <v>14787.45986266882</v>
      </c>
      <c r="R482" s="7" t="n">
        <v>-147.8745986266877</v>
      </c>
      <c r="S482" s="6" t="n">
        <v>-0.009999999999999966</v>
      </c>
      <c r="T482" s="7" t="n">
        <v>1330.393131476033</v>
      </c>
      <c r="U482" s="7" t="n">
        <v>-1330.393131476033</v>
      </c>
      <c r="V482" s="7" t="n">
        <v>35258.58672287128</v>
      </c>
      <c r="W482" s="7" t="n">
        <v>39160.04665108251</v>
      </c>
      <c r="X482" s="7" t="n">
        <v>-3901.459928211232</v>
      </c>
      <c r="Y482" s="6" t="n">
        <v>-0.09962858223774314</v>
      </c>
      <c r="Z482" s="7" t="n">
        <v>3169.278429466187</v>
      </c>
      <c r="AA482" s="7" t="n">
        <v>-3169.278429466187</v>
      </c>
      <c r="AB482" s="7" t="n">
        <v>40412.07427937591</v>
      </c>
      <c r="AC482" s="7" t="n">
        <v>56823.93131893802</v>
      </c>
      <c r="AD482" s="7" t="n">
        <v>-16411.85703956211</v>
      </c>
      <c r="AE482" s="6" t="n">
        <v>-0.2888194579049204</v>
      </c>
    </row>
    <row r="483">
      <c r="A483" s="2" t="n">
        <v>474</v>
      </c>
      <c r="B483" s="2" t="inlineStr">
        <is>
          <t>KPROP-00474</t>
        </is>
      </c>
      <c r="C483" s="3" t="n">
        <v>46116</v>
      </c>
      <c r="D483" s="2" t="inlineStr">
        <is>
          <t>Steven Matz</t>
        </is>
      </c>
      <c r="E483" s="2" t="inlineStr">
        <is>
          <t>Loss</t>
        </is>
      </c>
      <c r="F483" s="2" t="n">
        <v>-1</v>
      </c>
      <c r="G483" s="6" t="n">
        <v>0.2700803418963789</v>
      </c>
      <c r="H483" s="7" t="n">
        <v>100</v>
      </c>
      <c r="I483" s="7" t="n">
        <v>-100</v>
      </c>
      <c r="J483" s="7" t="n">
        <v>13943.69314719489</v>
      </c>
      <c r="K483" s="7" t="n">
        <v>14143.69314719489</v>
      </c>
      <c r="L483" s="7" t="n">
        <v>-200</v>
      </c>
      <c r="M483" s="6" t="n">
        <v>-0.0141405782717837</v>
      </c>
      <c r="N483" s="7" t="n">
        <v>146.3958526404213</v>
      </c>
      <c r="O483" s="7" t="n">
        <v>-146.3958526404213</v>
      </c>
      <c r="P483" s="7" t="n">
        <v>14493.18941140171</v>
      </c>
      <c r="Q483" s="7" t="n">
        <v>14787.45986266882</v>
      </c>
      <c r="R483" s="7" t="n">
        <v>-294.2704512671098</v>
      </c>
      <c r="S483" s="6" t="n">
        <v>-0.01990000000000003</v>
      </c>
      <c r="T483" s="7" t="n">
        <v>2380.66278922405</v>
      </c>
      <c r="U483" s="7" t="n">
        <v>-2380.66278922405</v>
      </c>
      <c r="V483" s="7" t="n">
        <v>32877.92393364723</v>
      </c>
      <c r="W483" s="7" t="n">
        <v>39160.04665108251</v>
      </c>
      <c r="X483" s="7" t="n">
        <v>-6282.122717435283</v>
      </c>
      <c r="Y483" s="6" t="n">
        <v>-0.1604217373234826</v>
      </c>
      <c r="Z483" s="7" t="n">
        <v>5457.253419057853</v>
      </c>
      <c r="AA483" s="7" t="n">
        <v>-5457.253419057853</v>
      </c>
      <c r="AB483" s="7" t="n">
        <v>34954.82086031806</v>
      </c>
      <c r="AC483" s="7" t="n">
        <v>56823.93131893802</v>
      </c>
      <c r="AD483" s="7" t="n">
        <v>-21869.11045861996</v>
      </c>
      <c r="AE483" s="6" t="n">
        <v>-0.3848573998844659</v>
      </c>
    </row>
    <row r="484">
      <c r="A484" s="2" t="n">
        <v>475</v>
      </c>
      <c r="B484" s="2" t="inlineStr">
        <is>
          <t>KPROP-00475</t>
        </is>
      </c>
      <c r="C484" s="3" t="n">
        <v>46116</v>
      </c>
      <c r="D484" s="2" t="inlineStr">
        <is>
          <t>Tyler Glasnow</t>
        </is>
      </c>
      <c r="E484" s="2" t="inlineStr">
        <is>
          <t>Loss</t>
        </is>
      </c>
      <c r="F484" s="2" t="n">
        <v>-1</v>
      </c>
      <c r="G484" s="6" t="n">
        <v>0.1975706882536613</v>
      </c>
      <c r="H484" s="7" t="n">
        <v>100</v>
      </c>
      <c r="I484" s="7" t="n">
        <v>-100</v>
      </c>
      <c r="J484" s="7" t="n">
        <v>13843.69314719489</v>
      </c>
      <c r="K484" s="7" t="n">
        <v>14143.69314719489</v>
      </c>
      <c r="L484" s="7" t="n">
        <v>-300</v>
      </c>
      <c r="M484" s="6" t="n">
        <v>-0.02121086740767554</v>
      </c>
      <c r="N484" s="7" t="n">
        <v>144.9318941140171</v>
      </c>
      <c r="O484" s="7" t="n">
        <v>-144.9318941140171</v>
      </c>
      <c r="P484" s="7" t="n">
        <v>14348.25751728769</v>
      </c>
      <c r="Q484" s="7" t="n">
        <v>14787.45986266882</v>
      </c>
      <c r="R484" s="7" t="n">
        <v>-439.2023453811271</v>
      </c>
      <c r="S484" s="6" t="n">
        <v>-0.02970100000000004</v>
      </c>
      <c r="T484" s="7" t="n">
        <v>1623.928514980551</v>
      </c>
      <c r="U484" s="7" t="n">
        <v>-1623.928514980551</v>
      </c>
      <c r="V484" s="7" t="n">
        <v>31253.99541866668</v>
      </c>
      <c r="W484" s="7" t="n">
        <v>39160.04665108251</v>
      </c>
      <c r="X484" s="7" t="n">
        <v>-7906.051232415834</v>
      </c>
      <c r="Y484" s="6" t="n">
        <v>-0.2018907511234357</v>
      </c>
      <c r="Z484" s="7" t="n">
        <v>3453.024007578238</v>
      </c>
      <c r="AA484" s="7" t="n">
        <v>-3453.024007578238</v>
      </c>
      <c r="AB484" s="7" t="n">
        <v>31501.79685273982</v>
      </c>
      <c r="AC484" s="7" t="n">
        <v>56823.93131893802</v>
      </c>
      <c r="AD484" s="7" t="n">
        <v>-25322.1344661982</v>
      </c>
      <c r="AE484" s="6" t="n">
        <v>-0.4456244733239524</v>
      </c>
    </row>
    <row r="485">
      <c r="A485" s="2" t="n">
        <v>476</v>
      </c>
      <c r="B485" s="2" t="inlineStr">
        <is>
          <t>KPROP-00476</t>
        </is>
      </c>
      <c r="C485" s="3" t="n">
        <v>46116</v>
      </c>
      <c r="D485" s="2" t="inlineStr">
        <is>
          <t>Tyler Glasnow</t>
        </is>
      </c>
      <c r="E485" s="2" t="inlineStr">
        <is>
          <t>Loss</t>
        </is>
      </c>
      <c r="F485" s="2" t="n">
        <v>-1</v>
      </c>
      <c r="G485" s="6" t="n">
        <v>0.2765368831563937</v>
      </c>
      <c r="H485" s="7" t="n">
        <v>100</v>
      </c>
      <c r="I485" s="7" t="n">
        <v>-100</v>
      </c>
      <c r="J485" s="7" t="n">
        <v>13743.69314719489</v>
      </c>
      <c r="K485" s="7" t="n">
        <v>14143.69314719489</v>
      </c>
      <c r="L485" s="7" t="n">
        <v>-400</v>
      </c>
      <c r="M485" s="6" t="n">
        <v>-0.02828115654356739</v>
      </c>
      <c r="N485" s="7" t="n">
        <v>143.4825751728769</v>
      </c>
      <c r="O485" s="7" t="n">
        <v>-143.4825751728769</v>
      </c>
      <c r="P485" s="7" t="n">
        <v>14204.77494211481</v>
      </c>
      <c r="Q485" s="7" t="n">
        <v>14787.45986266882</v>
      </c>
      <c r="R485" s="7" t="n">
        <v>-582.6849205540038</v>
      </c>
      <c r="S485" s="6" t="n">
        <v>-0.03940399000000003</v>
      </c>
      <c r="T485" s="7" t="n">
        <v>2160.720619815573</v>
      </c>
      <c r="U485" s="7" t="n">
        <v>-2160.720619815573</v>
      </c>
      <c r="V485" s="7" t="n">
        <v>29093.27479885111</v>
      </c>
      <c r="W485" s="7" t="n">
        <v>39160.04665108251</v>
      </c>
      <c r="X485" s="7" t="n">
        <v>-10066.77185223141</v>
      </c>
      <c r="Y485" s="6" t="n">
        <v>-0.2570674121490896</v>
      </c>
      <c r="Z485" s="7" t="n">
        <v>4355.704357741281</v>
      </c>
      <c r="AA485" s="7" t="n">
        <v>-4355.704357741281</v>
      </c>
      <c r="AB485" s="7" t="n">
        <v>27146.09249499854</v>
      </c>
      <c r="AC485" s="7" t="n">
        <v>56823.93131893802</v>
      </c>
      <c r="AD485" s="7" t="n">
        <v>-29677.83882393948</v>
      </c>
      <c r="AE485" s="6" t="n">
        <v>-0.5222771134465416</v>
      </c>
    </row>
    <row r="486">
      <c r="A486" s="2" t="n">
        <v>477</v>
      </c>
      <c r="B486" s="2" t="inlineStr">
        <is>
          <t>KPROP-00477</t>
        </is>
      </c>
      <c r="C486" s="3" t="n">
        <v>46117</v>
      </c>
      <c r="D486" s="2" t="inlineStr">
        <is>
          <t>Chris Bassitt</t>
        </is>
      </c>
      <c r="E486" s="2" t="inlineStr">
        <is>
          <t>Win</t>
        </is>
      </c>
      <c r="F486" s="2" t="n">
        <v>1.28</v>
      </c>
      <c r="G486" s="6" t="n">
        <v>0.1794750630915314</v>
      </c>
      <c r="H486" s="7" t="n">
        <v>100</v>
      </c>
      <c r="I486" s="7" t="n">
        <v>128</v>
      </c>
      <c r="J486" s="7" t="n">
        <v>13871.69314719489</v>
      </c>
      <c r="K486" s="7" t="n">
        <v>14143.69314719489</v>
      </c>
      <c r="L486" s="7" t="n">
        <v>-272</v>
      </c>
      <c r="M486" s="6" t="n">
        <v>-0.01923118644962583</v>
      </c>
      <c r="N486" s="7" t="n">
        <v>142.0477494211481</v>
      </c>
      <c r="O486" s="7" t="n">
        <v>181.8211192590696</v>
      </c>
      <c r="P486" s="7" t="n">
        <v>14386.59606137388</v>
      </c>
      <c r="Q486" s="7" t="n">
        <v>14787.45986266882</v>
      </c>
      <c r="R486" s="7" t="n">
        <v>-400.8638012949341</v>
      </c>
      <c r="S486" s="6" t="n">
        <v>-0.02710836107200002</v>
      </c>
      <c r="T486" s="7" t="n">
        <v>1305.379332515766</v>
      </c>
      <c r="U486" s="7" t="n">
        <v>1670.88554562018</v>
      </c>
      <c r="V486" s="7" t="n">
        <v>30764.16034447129</v>
      </c>
      <c r="W486" s="7" t="n">
        <v>39160.04665108251</v>
      </c>
      <c r="X486" s="7" t="n">
        <v>-8395.886306611224</v>
      </c>
      <c r="Y486" s="6" t="n">
        <v>-0.2143992927643546</v>
      </c>
      <c r="Z486" s="7" t="n">
        <v>2436.023331614205</v>
      </c>
      <c r="AA486" s="7" t="n">
        <v>3118.109864466183</v>
      </c>
      <c r="AB486" s="7" t="n">
        <v>30264.20235946473</v>
      </c>
      <c r="AC486" s="7" t="n">
        <v>56823.93131893802</v>
      </c>
      <c r="AD486" s="7" t="n">
        <v>-26559.72895947329</v>
      </c>
      <c r="AE486" s="6" t="n">
        <v>-0.4674039325156932</v>
      </c>
    </row>
    <row r="487">
      <c r="A487" s="2" t="n">
        <v>478</v>
      </c>
      <c r="B487" s="2" t="inlineStr">
        <is>
          <t>KPROP-00478</t>
        </is>
      </c>
      <c r="C487" s="3" t="n">
        <v>46117</v>
      </c>
      <c r="D487" s="2" t="inlineStr">
        <is>
          <t>Chris Bassitt</t>
        </is>
      </c>
      <c r="E487" s="2" t="inlineStr">
        <is>
          <t>Win</t>
        </is>
      </c>
      <c r="F487" s="2" t="n">
        <v>0.6666666666666665</v>
      </c>
      <c r="G487" s="6" t="n">
        <v>0.2735713371110411</v>
      </c>
      <c r="H487" s="7" t="n">
        <v>100</v>
      </c>
      <c r="I487" s="7" t="n">
        <v>66.66666666666666</v>
      </c>
      <c r="J487" s="7" t="n">
        <v>13938.35981386155</v>
      </c>
      <c r="K487" s="7" t="n">
        <v>14143.69314719489</v>
      </c>
      <c r="L487" s="7" t="n">
        <v>-205.3333333333339</v>
      </c>
      <c r="M487" s="6" t="n">
        <v>-0.0145176603590313</v>
      </c>
      <c r="N487" s="7" t="n">
        <v>143.8659606137388</v>
      </c>
      <c r="O487" s="7" t="n">
        <v>95.9106404091592</v>
      </c>
      <c r="P487" s="7" t="n">
        <v>14482.50670178304</v>
      </c>
      <c r="Q487" s="7" t="n">
        <v>14787.45986266882</v>
      </c>
      <c r="R487" s="7" t="n">
        <v>-304.9531608857742</v>
      </c>
      <c r="S487" s="6" t="n">
        <v>-0.02062241681247997</v>
      </c>
      <c r="T487" s="7" t="n">
        <v>2104.048120133869</v>
      </c>
      <c r="U487" s="7" t="n">
        <v>1402.698746755913</v>
      </c>
      <c r="V487" s="7" t="n">
        <v>32166.8590912272</v>
      </c>
      <c r="W487" s="7" t="n">
        <v>39160.04665108251</v>
      </c>
      <c r="X487" s="7" t="n">
        <v>-6993.187559855312</v>
      </c>
      <c r="Y487" s="6" t="n">
        <v>-0.1785796534453821</v>
      </c>
      <c r="Z487" s="7" t="n">
        <v>4139.709153038944</v>
      </c>
      <c r="AA487" s="7" t="n">
        <v>2759.806102025962</v>
      </c>
      <c r="AB487" s="7" t="n">
        <v>33024.00846149069</v>
      </c>
      <c r="AC487" s="7" t="n">
        <v>56823.93131893802</v>
      </c>
      <c r="AD487" s="7" t="n">
        <v>-23799.92285744733</v>
      </c>
      <c r="AE487" s="6" t="n">
        <v>-0.4188362597417719</v>
      </c>
    </row>
    <row r="488">
      <c r="A488" s="2" t="n">
        <v>479</v>
      </c>
      <c r="B488" s="2" t="inlineStr">
        <is>
          <t>KPROP-00479</t>
        </is>
      </c>
      <c r="C488" s="3" t="n">
        <v>46117</v>
      </c>
      <c r="D488" s="2" t="inlineStr">
        <is>
          <t>Jacob Lopez</t>
        </is>
      </c>
      <c r="E488" s="2" t="inlineStr">
        <is>
          <t>Loss</t>
        </is>
      </c>
      <c r="F488" s="2" t="n">
        <v>-1</v>
      </c>
      <c r="G488" s="6" t="n">
        <v>0.07579757583520462</v>
      </c>
      <c r="H488" s="7" t="n">
        <v>100</v>
      </c>
      <c r="I488" s="7" t="n">
        <v>-100</v>
      </c>
      <c r="J488" s="7" t="n">
        <v>13838.35981386155</v>
      </c>
      <c r="K488" s="7" t="n">
        <v>14143.69314719489</v>
      </c>
      <c r="L488" s="7" t="n">
        <v>-305.3333333333339</v>
      </c>
      <c r="M488" s="6" t="n">
        <v>-0.02158794949492315</v>
      </c>
      <c r="N488" s="7" t="n">
        <v>144.8250670178304</v>
      </c>
      <c r="O488" s="7" t="n">
        <v>-144.8250670178304</v>
      </c>
      <c r="P488" s="7" t="n">
        <v>14337.68163476521</v>
      </c>
      <c r="Q488" s="7" t="n">
        <v>14787.45986266882</v>
      </c>
      <c r="R488" s="7" t="n">
        <v>-449.7782279036055</v>
      </c>
      <c r="S488" s="6" t="n">
        <v>-0.03041619264435523</v>
      </c>
      <c r="T488" s="7" t="n">
        <v>609.5424853369087</v>
      </c>
      <c r="U488" s="7" t="n">
        <v>-609.5424853369087</v>
      </c>
      <c r="V488" s="7" t="n">
        <v>31557.31660589029</v>
      </c>
      <c r="W488" s="7" t="n">
        <v>39160.04665108251</v>
      </c>
      <c r="X488" s="7" t="n">
        <v>-7602.73004519222</v>
      </c>
      <c r="Y488" s="6" t="n">
        <v>-0.1941450711980205</v>
      </c>
      <c r="Z488" s="7" t="n">
        <v>1251.56989287114</v>
      </c>
      <c r="AA488" s="7" t="n">
        <v>-1251.56989287114</v>
      </c>
      <c r="AB488" s="7" t="n">
        <v>31772.43856861955</v>
      </c>
      <c r="AC488" s="7" t="n">
        <v>56823.93131893802</v>
      </c>
      <c r="AD488" s="7" t="n">
        <v>-25051.49275031847</v>
      </c>
      <c r="AE488" s="6" t="n">
        <v>-0.440861661079219</v>
      </c>
    </row>
    <row r="489">
      <c r="A489" s="2" t="n">
        <v>480</v>
      </c>
      <c r="B489" s="2" t="inlineStr">
        <is>
          <t>KPROP-00480</t>
        </is>
      </c>
      <c r="C489" s="3" t="n">
        <v>46117</v>
      </c>
      <c r="D489" s="2" t="inlineStr">
        <is>
          <t>Jacob Lopez</t>
        </is>
      </c>
      <c r="E489" s="2" t="inlineStr">
        <is>
          <t>Loss</t>
        </is>
      </c>
      <c r="F489" s="2" t="n">
        <v>-1</v>
      </c>
      <c r="G489" s="6" t="n">
        <v>0.1118792724427395</v>
      </c>
      <c r="H489" s="7" t="n">
        <v>100</v>
      </c>
      <c r="I489" s="7" t="n">
        <v>-100</v>
      </c>
      <c r="J489" s="7" t="n">
        <v>13738.35981386155</v>
      </c>
      <c r="K489" s="7" t="n">
        <v>14143.69314719489</v>
      </c>
      <c r="L489" s="7" t="n">
        <v>-405.3333333333339</v>
      </c>
      <c r="M489" s="6" t="n">
        <v>-0.028658238630815</v>
      </c>
      <c r="N489" s="7" t="n">
        <v>143.3768163476521</v>
      </c>
      <c r="O489" s="7" t="n">
        <v>-143.3768163476521</v>
      </c>
      <c r="P489" s="7" t="n">
        <v>14194.30481841756</v>
      </c>
      <c r="Q489" s="7" t="n">
        <v>14787.45986266882</v>
      </c>
      <c r="R489" s="7" t="n">
        <v>-593.155044251258</v>
      </c>
      <c r="S489" s="6" t="n">
        <v>-0.04011203071791171</v>
      </c>
      <c r="T489" s="7" t="n">
        <v>882.6524055280472</v>
      </c>
      <c r="U489" s="7" t="n">
        <v>-882.6524055280472</v>
      </c>
      <c r="V489" s="7" t="n">
        <v>30674.66420036225</v>
      </c>
      <c r="W489" s="7" t="n">
        <v>39160.04665108251</v>
      </c>
      <c r="X489" s="7" t="n">
        <v>-8485.382450720266</v>
      </c>
      <c r="Y489" s="6" t="n">
        <v>-0.2166846869802108</v>
      </c>
      <c r="Z489" s="7" t="n">
        <v>1777.338655394396</v>
      </c>
      <c r="AA489" s="7" t="n">
        <v>-1777.338655394396</v>
      </c>
      <c r="AB489" s="7" t="n">
        <v>29995.09991322515</v>
      </c>
      <c r="AC489" s="7" t="n">
        <v>56823.93131893802</v>
      </c>
      <c r="AD489" s="7" t="n">
        <v>-26828.83140571287</v>
      </c>
      <c r="AE489" s="6" t="n">
        <v>-0.4721396563558685</v>
      </c>
    </row>
    <row r="490">
      <c r="A490" s="2" t="n">
        <v>481</v>
      </c>
      <c r="B490" s="2" t="inlineStr">
        <is>
          <t>KPROP-00481</t>
        </is>
      </c>
      <c r="C490" s="3" t="n">
        <v>46117</v>
      </c>
      <c r="D490" s="2" t="inlineStr">
        <is>
          <t>Kodai Senga</t>
        </is>
      </c>
      <c r="E490" s="2" t="inlineStr">
        <is>
          <t>Loss</t>
        </is>
      </c>
      <c r="F490" s="2" t="n">
        <v>-1</v>
      </c>
      <c r="G490" s="6" t="n">
        <v>0.2986996257865431</v>
      </c>
      <c r="H490" s="7" t="n">
        <v>100</v>
      </c>
      <c r="I490" s="7" t="n">
        <v>-100</v>
      </c>
      <c r="J490" s="7" t="n">
        <v>13638.35981386155</v>
      </c>
      <c r="K490" s="7" t="n">
        <v>14143.69314719489</v>
      </c>
      <c r="L490" s="7" t="n">
        <v>-505.3333333333339</v>
      </c>
      <c r="M490" s="6" t="n">
        <v>-0.03572852776670685</v>
      </c>
      <c r="N490" s="7" t="n">
        <v>141.9430481841756</v>
      </c>
      <c r="O490" s="7" t="n">
        <v>-141.9430481841756</v>
      </c>
      <c r="P490" s="7" t="n">
        <v>14052.36177023338</v>
      </c>
      <c r="Q490" s="7" t="n">
        <v>14787.45986266882</v>
      </c>
      <c r="R490" s="7" t="n">
        <v>-735.0980924354335</v>
      </c>
      <c r="S490" s="6" t="n">
        <v>-0.04971091041073258</v>
      </c>
      <c r="T490" s="7" t="n">
        <v>2290.627679444018</v>
      </c>
      <c r="U490" s="7" t="n">
        <v>-2290.627679444018</v>
      </c>
      <c r="V490" s="7" t="n">
        <v>28384.03652091823</v>
      </c>
      <c r="W490" s="7" t="n">
        <v>39160.04665108251</v>
      </c>
      <c r="X490" s="7" t="n">
        <v>-10776.01013016429</v>
      </c>
      <c r="Y490" s="6" t="n">
        <v>-0.2751786846981808</v>
      </c>
      <c r="Z490" s="7" t="n">
        <v>4479.762559755162</v>
      </c>
      <c r="AA490" s="7" t="n">
        <v>-4479.762559755162</v>
      </c>
      <c r="AB490" s="7" t="n">
        <v>25515.33735346999</v>
      </c>
      <c r="AC490" s="7" t="n">
        <v>56823.93131893802</v>
      </c>
      <c r="AD490" s="7" t="n">
        <v>-31308.59396546803</v>
      </c>
      <c r="AE490" s="6" t="n">
        <v>-0.5509754999128975</v>
      </c>
    </row>
    <row r="491">
      <c r="A491" s="2" t="n">
        <v>482</v>
      </c>
      <c r="B491" s="2" t="inlineStr">
        <is>
          <t>KPROP-00482</t>
        </is>
      </c>
      <c r="C491" s="3" t="n">
        <v>46117</v>
      </c>
      <c r="D491" s="2" t="inlineStr">
        <is>
          <t>Kris Bubic</t>
        </is>
      </c>
      <c r="E491" s="2" t="inlineStr">
        <is>
          <t>Loss</t>
        </is>
      </c>
      <c r="F491" s="2" t="n">
        <v>-1</v>
      </c>
      <c r="G491" s="6" t="n">
        <v>0.1626681474916757</v>
      </c>
      <c r="H491" s="7" t="n">
        <v>100</v>
      </c>
      <c r="I491" s="7" t="n">
        <v>-100</v>
      </c>
      <c r="J491" s="7" t="n">
        <v>13538.35981386155</v>
      </c>
      <c r="K491" s="7" t="n">
        <v>14143.69314719489</v>
      </c>
      <c r="L491" s="7" t="n">
        <v>-605.3333333333339</v>
      </c>
      <c r="M491" s="6" t="n">
        <v>-0.04279881690259869</v>
      </c>
      <c r="N491" s="7" t="n">
        <v>140.5236177023338</v>
      </c>
      <c r="O491" s="7" t="n">
        <v>-140.5236177023338</v>
      </c>
      <c r="P491" s="7" t="n">
        <v>13911.83815253105</v>
      </c>
      <c r="Q491" s="7" t="n">
        <v>14787.45986266882</v>
      </c>
      <c r="R491" s="7" t="n">
        <v>-875.6217101377679</v>
      </c>
      <c r="S491" s="6" t="n">
        <v>-0.0592138013066253</v>
      </c>
      <c r="T491" s="7" t="n">
        <v>1154.294659798459</v>
      </c>
      <c r="U491" s="7" t="n">
        <v>-1154.294659798459</v>
      </c>
      <c r="V491" s="7" t="n">
        <v>27229.74186111977</v>
      </c>
      <c r="W491" s="7" t="n">
        <v>39160.04665108251</v>
      </c>
      <c r="X491" s="7" t="n">
        <v>-11930.30478996275</v>
      </c>
      <c r="Y491" s="6" t="n">
        <v>-0.3046550198538375</v>
      </c>
      <c r="Z491" s="7" t="n">
        <v>2075.266329957059</v>
      </c>
      <c r="AA491" s="7" t="n">
        <v>-2075.266329957059</v>
      </c>
      <c r="AB491" s="7" t="n">
        <v>23440.07102351293</v>
      </c>
      <c r="AC491" s="7" t="n">
        <v>56823.93131893802</v>
      </c>
      <c r="AD491" s="7" t="n">
        <v>-33383.86029542509</v>
      </c>
      <c r="AE491" s="6" t="n">
        <v>-0.5874964917166698</v>
      </c>
    </row>
    <row r="492">
      <c r="A492" s="2" t="n">
        <v>483</v>
      </c>
      <c r="B492" s="2" t="inlineStr">
        <is>
          <t>KPROP-00483</t>
        </is>
      </c>
      <c r="C492" s="3" t="n">
        <v>46117</v>
      </c>
      <c r="D492" s="2" t="inlineStr">
        <is>
          <t>Kris Bubic</t>
        </is>
      </c>
      <c r="E492" s="2" t="inlineStr">
        <is>
          <t>Loss</t>
        </is>
      </c>
      <c r="F492" s="2" t="n">
        <v>-1</v>
      </c>
      <c r="G492" s="6" t="n">
        <v>0.2485901801691462</v>
      </c>
      <c r="H492" s="7" t="n">
        <v>100</v>
      </c>
      <c r="I492" s="7" t="n">
        <v>-100</v>
      </c>
      <c r="J492" s="7" t="n">
        <v>13438.35981386155</v>
      </c>
      <c r="K492" s="7" t="n">
        <v>14143.69314719489</v>
      </c>
      <c r="L492" s="7" t="n">
        <v>-705.3333333333339</v>
      </c>
      <c r="M492" s="6" t="n">
        <v>-0.04986910603849055</v>
      </c>
      <c r="N492" s="7" t="n">
        <v>139.1183815253105</v>
      </c>
      <c r="O492" s="7" t="n">
        <v>-139.1183815253105</v>
      </c>
      <c r="P492" s="7" t="n">
        <v>13772.71977100574</v>
      </c>
      <c r="Q492" s="7" t="n">
        <v>14787.45986266882</v>
      </c>
      <c r="R492" s="7" t="n">
        <v>-1014.740091663078</v>
      </c>
      <c r="S492" s="6" t="n">
        <v>-0.068621663293559</v>
      </c>
      <c r="T492" s="7" t="n">
        <v>1692.261608803776</v>
      </c>
      <c r="U492" s="7" t="n">
        <v>-1692.261608803776</v>
      </c>
      <c r="V492" s="7" t="n">
        <v>25537.48025231599</v>
      </c>
      <c r="W492" s="7" t="n">
        <v>39160.04665108251</v>
      </c>
      <c r="X492" s="7" t="n">
        <v>-13622.56639876652</v>
      </c>
      <c r="Y492" s="6" t="n">
        <v>-0.347869003327399</v>
      </c>
      <c r="Z492" s="7" t="n">
        <v>2913.485739456331</v>
      </c>
      <c r="AA492" s="7" t="n">
        <v>-2913.485739456331</v>
      </c>
      <c r="AB492" s="7" t="n">
        <v>20526.5852840566</v>
      </c>
      <c r="AC492" s="7" t="n">
        <v>56823.93131893802</v>
      </c>
      <c r="AD492" s="7" t="n">
        <v>-36297.34603488142</v>
      </c>
      <c r="AE492" s="6" t="n">
        <v>-0.6387686524389489</v>
      </c>
    </row>
    <row r="493">
      <c r="A493" s="2" t="n">
        <v>484</v>
      </c>
      <c r="B493" s="2" t="inlineStr">
        <is>
          <t>KPROP-00484</t>
        </is>
      </c>
      <c r="C493" s="3" t="n">
        <v>46117</v>
      </c>
      <c r="D493" s="2" t="inlineStr">
        <is>
          <t>Kyle Harrison</t>
        </is>
      </c>
      <c r="E493" s="2" t="inlineStr">
        <is>
          <t>Loss</t>
        </is>
      </c>
      <c r="F493" s="2" t="n">
        <v>-1</v>
      </c>
      <c r="G493" s="6" t="n">
        <v>0.1043199333866878</v>
      </c>
      <c r="H493" s="7" t="n">
        <v>100</v>
      </c>
      <c r="I493" s="7" t="n">
        <v>-100</v>
      </c>
      <c r="J493" s="7" t="n">
        <v>13338.35981386155</v>
      </c>
      <c r="K493" s="7" t="n">
        <v>14143.69314719489</v>
      </c>
      <c r="L493" s="7" t="n">
        <v>-805.3333333333339</v>
      </c>
      <c r="M493" s="6" t="n">
        <v>-0.05693939517438239</v>
      </c>
      <c r="N493" s="7" t="n">
        <v>137.7271977100574</v>
      </c>
      <c r="O493" s="7" t="n">
        <v>-137.7271977100574</v>
      </c>
      <c r="P493" s="7" t="n">
        <v>13634.99257329568</v>
      </c>
      <c r="Q493" s="7" t="n">
        <v>14787.45986266882</v>
      </c>
      <c r="R493" s="7" t="n">
        <v>-1152.467289373135</v>
      </c>
      <c r="S493" s="6" t="n">
        <v>-0.07793544666062339</v>
      </c>
      <c r="T493" s="7" t="n">
        <v>666.0170596963649</v>
      </c>
      <c r="U493" s="7" t="n">
        <v>-666.0170596963649</v>
      </c>
      <c r="V493" s="7" t="n">
        <v>24871.46319261963</v>
      </c>
      <c r="W493" s="7" t="n">
        <v>39160.04665108251</v>
      </c>
      <c r="X493" s="7" t="n">
        <v>-14288.58345846289</v>
      </c>
      <c r="Y493" s="6" t="n">
        <v>-0.364876568860469</v>
      </c>
      <c r="Z493" s="7" t="n">
        <v>1070.666004744475</v>
      </c>
      <c r="AA493" s="7" t="n">
        <v>-1070.666004744475</v>
      </c>
      <c r="AB493" s="7" t="n">
        <v>19455.91927931213</v>
      </c>
      <c r="AC493" s="7" t="n">
        <v>56823.93131893802</v>
      </c>
      <c r="AD493" s="7" t="n">
        <v>-37368.01203962589</v>
      </c>
      <c r="AE493" s="6" t="n">
        <v>-0.657610467496325</v>
      </c>
    </row>
    <row r="494">
      <c r="A494" s="2" t="n">
        <v>485</v>
      </c>
      <c r="B494" s="2" t="inlineStr">
        <is>
          <t>KPROP-00485</t>
        </is>
      </c>
      <c r="C494" s="3" t="n">
        <v>46117</v>
      </c>
      <c r="D494" s="2" t="inlineStr">
        <is>
          <t>Kyle Leahy</t>
        </is>
      </c>
      <c r="E494" s="2" t="inlineStr">
        <is>
          <t>Loss</t>
        </is>
      </c>
      <c r="F494" s="2" t="n">
        <v>-1</v>
      </c>
      <c r="G494" s="6" t="n">
        <v>0.3885260384218154</v>
      </c>
      <c r="H494" s="7" t="n">
        <v>100</v>
      </c>
      <c r="I494" s="7" t="n">
        <v>-100</v>
      </c>
      <c r="J494" s="7" t="n">
        <v>13238.35981386155</v>
      </c>
      <c r="K494" s="7" t="n">
        <v>14143.69314719489</v>
      </c>
      <c r="L494" s="7" t="n">
        <v>-905.3333333333339</v>
      </c>
      <c r="M494" s="6" t="n">
        <v>-0.06400968431027423</v>
      </c>
      <c r="N494" s="7" t="n">
        <v>136.3499257329568</v>
      </c>
      <c r="O494" s="7" t="n">
        <v>-136.3499257329568</v>
      </c>
      <c r="P494" s="7" t="n">
        <v>13498.64264756272</v>
      </c>
      <c r="Q494" s="7" t="n">
        <v>14787.45986266882</v>
      </c>
      <c r="R494" s="7" t="n">
        <v>-1288.817215106092</v>
      </c>
      <c r="S494" s="6" t="n">
        <v>-0.08715609219401715</v>
      </c>
      <c r="T494" s="7" t="n">
        <v>2415.802765995625</v>
      </c>
      <c r="U494" s="7" t="n">
        <v>-2415.802765995625</v>
      </c>
      <c r="V494" s="7" t="n">
        <v>22455.660426624</v>
      </c>
      <c r="W494" s="7" t="n">
        <v>39160.04665108251</v>
      </c>
      <c r="X494" s="7" t="n">
        <v>-16704.38622445851</v>
      </c>
      <c r="Y494" s="6" t="n">
        <v>-0.4265670665128471</v>
      </c>
      <c r="Z494" s="7" t="n">
        <v>3779.565620722881</v>
      </c>
      <c r="AA494" s="7" t="n">
        <v>-3779.565620722881</v>
      </c>
      <c r="AB494" s="7" t="n">
        <v>15676.35365858925</v>
      </c>
      <c r="AC494" s="7" t="n">
        <v>56823.93131893802</v>
      </c>
      <c r="AD494" s="7" t="n">
        <v>-41147.57766034878</v>
      </c>
      <c r="AE494" s="6" t="n">
        <v>-0.7241240918267001</v>
      </c>
    </row>
    <row r="495">
      <c r="A495" s="2" t="n">
        <v>486</v>
      </c>
      <c r="B495" s="2" t="inlineStr">
        <is>
          <t>KPROP-00486</t>
        </is>
      </c>
      <c r="C495" s="3" t="n">
        <v>46117</v>
      </c>
      <c r="D495" s="2" t="inlineStr">
        <is>
          <t>Lance McCullers Jr.</t>
        </is>
      </c>
      <c r="E495" s="2" t="inlineStr">
        <is>
          <t>Win</t>
        </is>
      </c>
      <c r="F495" s="2" t="n">
        <v>1.23</v>
      </c>
      <c r="G495" s="6" t="n">
        <v>0.3883037294010392</v>
      </c>
      <c r="H495" s="7" t="n">
        <v>100</v>
      </c>
      <c r="I495" s="7" t="n">
        <v>123</v>
      </c>
      <c r="J495" s="7" t="n">
        <v>13361.35981386155</v>
      </c>
      <c r="K495" s="7" t="n">
        <v>14143.69314719489</v>
      </c>
      <c r="L495" s="7" t="n">
        <v>-782.3333333333339</v>
      </c>
      <c r="M495" s="6" t="n">
        <v>-0.05531322867312727</v>
      </c>
      <c r="N495" s="7" t="n">
        <v>134.9864264756272</v>
      </c>
      <c r="O495" s="7" t="n">
        <v>166.0333045650215</v>
      </c>
      <c r="P495" s="7" t="n">
        <v>13664.67595212775</v>
      </c>
      <c r="Q495" s="7" t="n">
        <v>14787.45986266882</v>
      </c>
      <c r="R495" s="7" t="n">
        <v>-1122.783910541069</v>
      </c>
      <c r="S495" s="6" t="n">
        <v>-0.07592811212800352</v>
      </c>
      <c r="T495" s="7" t="n">
        <v>2179.904172455358</v>
      </c>
      <c r="U495" s="7" t="n">
        <v>2681.28213212009</v>
      </c>
      <c r="V495" s="7" t="n">
        <v>25136.94255874409</v>
      </c>
      <c r="W495" s="7" t="n">
        <v>39160.04665108251</v>
      </c>
      <c r="X495" s="7" t="n">
        <v>-14023.10409233842</v>
      </c>
      <c r="Y495" s="6" t="n">
        <v>-0.358097226422757</v>
      </c>
      <c r="Z495" s="7" t="n">
        <v>3043.593294519915</v>
      </c>
      <c r="AA495" s="7" t="n">
        <v>3743.619752259495</v>
      </c>
      <c r="AB495" s="7" t="n">
        <v>19419.97341084874</v>
      </c>
      <c r="AC495" s="7" t="n">
        <v>56823.93131893802</v>
      </c>
      <c r="AD495" s="7" t="n">
        <v>-37403.95790808928</v>
      </c>
      <c r="AE495" s="6" t="n">
        <v>-0.6582430507694117</v>
      </c>
    </row>
    <row r="496">
      <c r="A496" s="2" t="n">
        <v>487</v>
      </c>
      <c r="B496" s="2" t="inlineStr">
        <is>
          <t>KPROP-00487</t>
        </is>
      </c>
      <c r="C496" s="3" t="n">
        <v>46117</v>
      </c>
      <c r="D496" s="2" t="inlineStr">
        <is>
          <t>Lance McCullers Jr.</t>
        </is>
      </c>
      <c r="E496" s="2" t="inlineStr">
        <is>
          <t>Win</t>
        </is>
      </c>
      <c r="F496" s="2" t="n">
        <v>0.6849315068493151</v>
      </c>
      <c r="G496" s="6" t="n">
        <v>0.508051135868742</v>
      </c>
      <c r="H496" s="7" t="n">
        <v>100</v>
      </c>
      <c r="I496" s="7" t="n">
        <v>68.49315068493152</v>
      </c>
      <c r="J496" s="7" t="n">
        <v>13429.85296454649</v>
      </c>
      <c r="K496" s="7" t="n">
        <v>14143.69314719489</v>
      </c>
      <c r="L496" s="7" t="n">
        <v>-713.8401826484023</v>
      </c>
      <c r="M496" s="6" t="n">
        <v>-0.05047056488142052</v>
      </c>
      <c r="N496" s="7" t="n">
        <v>136.6467595212775</v>
      </c>
      <c r="O496" s="7" t="n">
        <v>93.59367090498459</v>
      </c>
      <c r="P496" s="7" t="n">
        <v>13758.26962303273</v>
      </c>
      <c r="Q496" s="7" t="n">
        <v>14787.45986266882</v>
      </c>
      <c r="R496" s="7" t="n">
        <v>-1029.190239636086</v>
      </c>
      <c r="S496" s="6" t="n">
        <v>-0.06959885262203098</v>
      </c>
      <c r="T496" s="7" t="n">
        <v>3192.713054809314</v>
      </c>
      <c r="U496" s="7" t="n">
        <v>2186.789763568024</v>
      </c>
      <c r="V496" s="7" t="n">
        <v>27323.73232231212</v>
      </c>
      <c r="W496" s="7" t="n">
        <v>39160.04665108251</v>
      </c>
      <c r="X496" s="7" t="n">
        <v>-11836.3143287704</v>
      </c>
      <c r="Y496" s="6" t="n">
        <v>-0.3022548577184395</v>
      </c>
      <c r="Z496" s="7" t="n">
        <v>4933.169774961234</v>
      </c>
      <c r="AA496" s="7" t="n">
        <v>3378.883407507695</v>
      </c>
      <c r="AB496" s="7" t="n">
        <v>22798.85681835643</v>
      </c>
      <c r="AC496" s="7" t="n">
        <v>56823.93131893802</v>
      </c>
      <c r="AD496" s="7" t="n">
        <v>-34025.07450058158</v>
      </c>
      <c r="AE496" s="6" t="n">
        <v>-0.5987807198626869</v>
      </c>
    </row>
    <row r="497">
      <c r="A497" s="2" t="n">
        <v>488</v>
      </c>
      <c r="B497" s="2" t="inlineStr">
        <is>
          <t>KPROP-00488</t>
        </is>
      </c>
      <c r="C497" s="3" t="n">
        <v>46117</v>
      </c>
      <c r="D497" s="2" t="inlineStr">
        <is>
          <t>Logan Webb</t>
        </is>
      </c>
      <c r="E497" s="2" t="inlineStr">
        <is>
          <t>Win</t>
        </is>
      </c>
      <c r="F497" s="2" t="n">
        <v>1.2</v>
      </c>
      <c r="G497" s="6" t="n">
        <v>0.1786602263528582</v>
      </c>
      <c r="H497" s="7" t="n">
        <v>100</v>
      </c>
      <c r="I497" s="7" t="n">
        <v>120</v>
      </c>
      <c r="J497" s="7" t="n">
        <v>13549.85296454649</v>
      </c>
      <c r="K497" s="7" t="n">
        <v>14143.69314719489</v>
      </c>
      <c r="L497" s="7" t="n">
        <v>-593.8401826484023</v>
      </c>
      <c r="M497" s="6" t="n">
        <v>-0.0419862179183503</v>
      </c>
      <c r="N497" s="7" t="n">
        <v>137.5826962303273</v>
      </c>
      <c r="O497" s="7" t="n">
        <v>165.0992354763928</v>
      </c>
      <c r="P497" s="7" t="n">
        <v>13923.36885850912</v>
      </c>
      <c r="Q497" s="7" t="n">
        <v>14787.45986266882</v>
      </c>
      <c r="R497" s="7" t="n">
        <v>-864.0910041596926</v>
      </c>
      <c r="S497" s="6" t="n">
        <v>-0.05843403885349534</v>
      </c>
      <c r="T497" s="7" t="n">
        <v>1220.416050377298</v>
      </c>
      <c r="U497" s="7" t="n">
        <v>1464.499260452758</v>
      </c>
      <c r="V497" s="7" t="n">
        <v>28788.23158276487</v>
      </c>
      <c r="W497" s="7" t="n">
        <v>39160.04665108251</v>
      </c>
      <c r="X497" s="7" t="n">
        <v>-10371.81506831764</v>
      </c>
      <c r="Y497" s="6" t="n">
        <v>-0.2648570662014502</v>
      </c>
      <c r="Z497" s="7" t="n">
        <v>2036.624459876983</v>
      </c>
      <c r="AA497" s="7" t="n">
        <v>2443.94935185238</v>
      </c>
      <c r="AB497" s="7" t="n">
        <v>25242.80617020882</v>
      </c>
      <c r="AC497" s="7" t="n">
        <v>56823.93131893802</v>
      </c>
      <c r="AD497" s="7" t="n">
        <v>-31581.1251487292</v>
      </c>
      <c r="AE497" s="6" t="n">
        <v>-0.555771563418809</v>
      </c>
    </row>
    <row r="498">
      <c r="A498" s="2" t="n">
        <v>489</v>
      </c>
      <c r="B498" s="2" t="inlineStr">
        <is>
          <t>KPROP-00489</t>
        </is>
      </c>
      <c r="C498" s="3" t="n">
        <v>46117</v>
      </c>
      <c r="D498" s="2" t="inlineStr">
        <is>
          <t>Logan Webb</t>
        </is>
      </c>
      <c r="E498" s="2" t="inlineStr">
        <is>
          <t>Win</t>
        </is>
      </c>
      <c r="F498" s="2" t="n">
        <v>0.6756756756756757</v>
      </c>
      <c r="G498" s="6" t="n">
        <v>0.2731930441396303</v>
      </c>
      <c r="H498" s="7" t="n">
        <v>100</v>
      </c>
      <c r="I498" s="7" t="n">
        <v>67.56756756756756</v>
      </c>
      <c r="J498" s="7" t="n">
        <v>13617.42053211405</v>
      </c>
      <c r="K498" s="7" t="n">
        <v>14143.69314719489</v>
      </c>
      <c r="L498" s="7" t="n">
        <v>-526.2726150808339</v>
      </c>
      <c r="M498" s="6" t="n">
        <v>-0.03720899552923412</v>
      </c>
      <c r="N498" s="7" t="n">
        <v>139.2336885850912</v>
      </c>
      <c r="O498" s="7" t="n">
        <v>94.07681661154814</v>
      </c>
      <c r="P498" s="7" t="n">
        <v>14017.44567512067</v>
      </c>
      <c r="Q498" s="7" t="n">
        <v>14787.45986266882</v>
      </c>
      <c r="R498" s="7" t="n">
        <v>-770.014187548144</v>
      </c>
      <c r="S498" s="6" t="n">
        <v>-0.0520721066835865</v>
      </c>
      <c r="T498" s="7" t="n">
        <v>1966.186155373046</v>
      </c>
      <c r="U498" s="7" t="n">
        <v>1328.504159035842</v>
      </c>
      <c r="V498" s="7" t="n">
        <v>30116.73574180072</v>
      </c>
      <c r="W498" s="7" t="n">
        <v>39160.04665108251</v>
      </c>
      <c r="X498" s="7" t="n">
        <v>-9043.310909281798</v>
      </c>
      <c r="Y498" s="6" t="n">
        <v>-0.2309320770186521</v>
      </c>
      <c r="Z498" s="7" t="n">
        <v>3448.079530132994</v>
      </c>
      <c r="AA498" s="7" t="n">
        <v>2329.783466306077</v>
      </c>
      <c r="AB498" s="7" t="n">
        <v>27572.58963651489</v>
      </c>
      <c r="AC498" s="7" t="n">
        <v>56823.93131893802</v>
      </c>
      <c r="AD498" s="7" t="n">
        <v>-29251.34168242312</v>
      </c>
      <c r="AE498" s="6" t="n">
        <v>-0.5147715232556318</v>
      </c>
    </row>
    <row r="499">
      <c r="A499" s="2" t="n">
        <v>490</v>
      </c>
      <c r="B499" s="2" t="inlineStr">
        <is>
          <t>KPROP-00490</t>
        </is>
      </c>
      <c r="C499" s="3" t="n">
        <v>46117</v>
      </c>
      <c r="D499" s="2" t="inlineStr">
        <is>
          <t>Max Fried</t>
        </is>
      </c>
      <c r="E499" s="2" t="inlineStr">
        <is>
          <t>Win</t>
        </is>
      </c>
      <c r="F499" s="2" t="n">
        <v>1.22</v>
      </c>
      <c r="G499" s="6" t="n">
        <v>0.1923612276886802</v>
      </c>
      <c r="H499" s="7" t="n">
        <v>100</v>
      </c>
      <c r="I499" s="7" t="n">
        <v>122</v>
      </c>
      <c r="J499" s="7" t="n">
        <v>13739.42053211405</v>
      </c>
      <c r="K499" s="7" t="n">
        <v>14143.69314719489</v>
      </c>
      <c r="L499" s="7" t="n">
        <v>-404.2726150808339</v>
      </c>
      <c r="M499" s="6" t="n">
        <v>-0.02858324278344607</v>
      </c>
      <c r="N499" s="7" t="n">
        <v>140.1744567512067</v>
      </c>
      <c r="O499" s="7" t="n">
        <v>171.0128372364722</v>
      </c>
      <c r="P499" s="7" t="n">
        <v>14188.45851235715</v>
      </c>
      <c r="Q499" s="7" t="n">
        <v>14787.45986266882</v>
      </c>
      <c r="R499" s="7" t="n">
        <v>-599.0013503116716</v>
      </c>
      <c r="S499" s="6" t="n">
        <v>-0.04050738638512624</v>
      </c>
      <c r="T499" s="7" t="n">
        <v>1448.323065317085</v>
      </c>
      <c r="U499" s="7" t="n">
        <v>1766.954139686843</v>
      </c>
      <c r="V499" s="7" t="n">
        <v>31883.68988148756</v>
      </c>
      <c r="W499" s="7" t="n">
        <v>39160.04665108251</v>
      </c>
      <c r="X499" s="7" t="n">
        <v>-7276.356769594953</v>
      </c>
      <c r="Y499" s="6" t="n">
        <v>-0.1858107278172461</v>
      </c>
      <c r="Z499" s="7" t="n">
        <v>2651.948596518092</v>
      </c>
      <c r="AA499" s="7" t="n">
        <v>3235.377287752072</v>
      </c>
      <c r="AB499" s="7" t="n">
        <v>30807.96692426697</v>
      </c>
      <c r="AC499" s="7" t="n">
        <v>56823.93131893802</v>
      </c>
      <c r="AD499" s="7" t="n">
        <v>-26015.96439467105</v>
      </c>
      <c r="AE499" s="6" t="n">
        <v>-0.4578346445030383</v>
      </c>
    </row>
    <row r="500">
      <c r="A500" s="2" t="n">
        <v>491</v>
      </c>
      <c r="B500" s="2" t="inlineStr">
        <is>
          <t>KPROP-00491</t>
        </is>
      </c>
      <c r="C500" s="3" t="n">
        <v>46117</v>
      </c>
      <c r="D500" s="2" t="inlineStr">
        <is>
          <t>Nick Martinez</t>
        </is>
      </c>
      <c r="E500" s="2" t="inlineStr">
        <is>
          <t>Win</t>
        </is>
      </c>
      <c r="F500" s="2" t="n">
        <v>0.7575757575757576</v>
      </c>
      <c r="G500" s="6" t="n">
        <v>0.2482895693803874</v>
      </c>
      <c r="H500" s="7" t="n">
        <v>100</v>
      </c>
      <c r="I500" s="7" t="n">
        <v>75.75757575757575</v>
      </c>
      <c r="J500" s="7" t="n">
        <v>13815.17810787163</v>
      </c>
      <c r="K500" s="7" t="n">
        <v>14143.69314719489</v>
      </c>
      <c r="L500" s="7" t="n">
        <v>-328.515039323258</v>
      </c>
      <c r="M500" s="6" t="n">
        <v>-0.02322696313504314</v>
      </c>
      <c r="N500" s="7" t="n">
        <v>141.8845851235714</v>
      </c>
      <c r="O500" s="7" t="n">
        <v>107.4883220633117</v>
      </c>
      <c r="P500" s="7" t="n">
        <v>14295.94683442046</v>
      </c>
      <c r="Q500" s="7" t="n">
        <v>14787.45986266882</v>
      </c>
      <c r="R500" s="7" t="n">
        <v>-491.5130282483606</v>
      </c>
      <c r="S500" s="6" t="n">
        <v>-0.03323850294864997</v>
      </c>
      <c r="T500" s="7" t="n">
        <v>1979.09690773309</v>
      </c>
      <c r="U500" s="7" t="n">
        <v>1499.315839191735</v>
      </c>
      <c r="V500" s="7" t="n">
        <v>33383.0057206793</v>
      </c>
      <c r="W500" s="7" t="n">
        <v>39160.04665108251</v>
      </c>
      <c r="X500" s="7" t="n">
        <v>-5777.040930403215</v>
      </c>
      <c r="Y500" s="6" t="n">
        <v>-0.1475238521005061</v>
      </c>
      <c r="Z500" s="7" t="n">
        <v>3824.648420555731</v>
      </c>
      <c r="AA500" s="7" t="n">
        <v>2897.460924663433</v>
      </c>
      <c r="AB500" s="7" t="n">
        <v>33705.4278489304</v>
      </c>
      <c r="AC500" s="7" t="n">
        <v>56823.93131893802</v>
      </c>
      <c r="AD500" s="7" t="n">
        <v>-23118.50347000762</v>
      </c>
      <c r="AE500" s="6" t="n">
        <v>-0.4068444919843621</v>
      </c>
    </row>
    <row r="501">
      <c r="A501" s="2" t="n">
        <v>492</v>
      </c>
      <c r="B501" s="2" t="inlineStr">
        <is>
          <t>KPROP-00492</t>
        </is>
      </c>
      <c r="C501" s="3" t="n">
        <v>46117</v>
      </c>
      <c r="D501" s="2" t="inlineStr">
        <is>
          <t>Parker Messick</t>
        </is>
      </c>
      <c r="E501" s="2" t="inlineStr">
        <is>
          <t>Loss</t>
        </is>
      </c>
      <c r="F501" s="2" t="n">
        <v>-1</v>
      </c>
      <c r="G501" s="6" t="n">
        <v>0.08055806414256589</v>
      </c>
      <c r="H501" s="7" t="n">
        <v>100</v>
      </c>
      <c r="I501" s="7" t="n">
        <v>-100</v>
      </c>
      <c r="J501" s="7" t="n">
        <v>13715.17810787163</v>
      </c>
      <c r="K501" s="7" t="n">
        <v>14143.69314719489</v>
      </c>
      <c r="L501" s="7" t="n">
        <v>-428.515039323258</v>
      </c>
      <c r="M501" s="6" t="n">
        <v>-0.03029725227093499</v>
      </c>
      <c r="N501" s="7" t="n">
        <v>142.9594683442046</v>
      </c>
      <c r="O501" s="7" t="n">
        <v>-142.9594683442046</v>
      </c>
      <c r="P501" s="7" t="n">
        <v>14152.98736607625</v>
      </c>
      <c r="Q501" s="7" t="n">
        <v>14787.45986266882</v>
      </c>
      <c r="R501" s="7" t="n">
        <v>-634.4724965925652</v>
      </c>
      <c r="S501" s="6" t="n">
        <v>-0.04290611791916348</v>
      </c>
      <c r="T501" s="7" t="n">
        <v>672.3175790295318</v>
      </c>
      <c r="U501" s="7" t="n">
        <v>-672.3175790295318</v>
      </c>
      <c r="V501" s="7" t="n">
        <v>32710.68814164977</v>
      </c>
      <c r="W501" s="7" t="n">
        <v>39160.04665108251</v>
      </c>
      <c r="X501" s="7" t="n">
        <v>-6449.358509432746</v>
      </c>
      <c r="Y501" s="6" t="n">
        <v>-0.1646923091511298</v>
      </c>
      <c r="Z501" s="7" t="n">
        <v>1357.622009303381</v>
      </c>
      <c r="AA501" s="7" t="n">
        <v>-1357.622009303381</v>
      </c>
      <c r="AB501" s="7" t="n">
        <v>32347.80583962702</v>
      </c>
      <c r="AC501" s="7" t="n">
        <v>56823.93131893802</v>
      </c>
      <c r="AD501" s="7" t="n">
        <v>-24476.125479311</v>
      </c>
      <c r="AE501" s="6" t="n">
        <v>-0.4307362217149821</v>
      </c>
    </row>
    <row r="502">
      <c r="A502" s="2" t="n">
        <v>493</v>
      </c>
      <c r="B502" s="2" t="inlineStr">
        <is>
          <t>KPROP-00493</t>
        </is>
      </c>
      <c r="C502" s="3" t="n">
        <v>46117</v>
      </c>
      <c r="D502" s="2" t="inlineStr">
        <is>
          <t>Ranger Suarez</t>
        </is>
      </c>
      <c r="E502" s="2" t="inlineStr">
        <is>
          <t>Win</t>
        </is>
      </c>
      <c r="F502" s="2" t="n">
        <v>1.23</v>
      </c>
      <c r="G502" s="6" t="n">
        <v>0.2951678067292591</v>
      </c>
      <c r="H502" s="7" t="n">
        <v>100</v>
      </c>
      <c r="I502" s="7" t="n">
        <v>123</v>
      </c>
      <c r="J502" s="7" t="n">
        <v>13838.17810787163</v>
      </c>
      <c r="K502" s="7" t="n">
        <v>14143.69314719489</v>
      </c>
      <c r="L502" s="7" t="n">
        <v>-305.515039323258</v>
      </c>
      <c r="M502" s="6" t="n">
        <v>-0.02160079663378801</v>
      </c>
      <c r="N502" s="7" t="n">
        <v>141.5298736607625</v>
      </c>
      <c r="O502" s="7" t="n">
        <v>174.0817446027379</v>
      </c>
      <c r="P502" s="7" t="n">
        <v>14327.06911067899</v>
      </c>
      <c r="Q502" s="7" t="n">
        <v>14787.45986266882</v>
      </c>
      <c r="R502" s="7" t="n">
        <v>-460.3907519898275</v>
      </c>
      <c r="S502" s="6" t="n">
        <v>-0.0311338631695692</v>
      </c>
      <c r="T502" s="7" t="n">
        <v>2413.785518843886</v>
      </c>
      <c r="U502" s="7" t="n">
        <v>2968.95618817798</v>
      </c>
      <c r="V502" s="7" t="n">
        <v>35679.64432982774</v>
      </c>
      <c r="W502" s="7" t="n">
        <v>39160.04665108251</v>
      </c>
      <c r="X502" s="7" t="n">
        <v>-3480.402321254769</v>
      </c>
      <c r="Y502" s="6" t="n">
        <v>-0.0888763578926574</v>
      </c>
      <c r="Z502" s="7" t="n">
        <v>4774.015451093313</v>
      </c>
      <c r="AA502" s="7" t="n">
        <v>5872.039004844774</v>
      </c>
      <c r="AB502" s="7" t="n">
        <v>38219.84484447179</v>
      </c>
      <c r="AC502" s="7" t="n">
        <v>56823.93131893802</v>
      </c>
      <c r="AD502" s="7" t="n">
        <v>-18604.08647446622</v>
      </c>
      <c r="AE502" s="6" t="n">
        <v>-0.3273987920696001</v>
      </c>
    </row>
    <row r="503">
      <c r="A503" s="2" t="n">
        <v>494</v>
      </c>
      <c r="B503" s="2" t="inlineStr">
        <is>
          <t>KPROP-00494</t>
        </is>
      </c>
      <c r="C503" s="3" t="n">
        <v>46117</v>
      </c>
      <c r="D503" s="2" t="inlineStr">
        <is>
          <t>Ranger Suarez</t>
        </is>
      </c>
      <c r="E503" s="2" t="inlineStr">
        <is>
          <t>Win</t>
        </is>
      </c>
      <c r="F503" s="2" t="n">
        <v>0.5649717514124295</v>
      </c>
      <c r="G503" s="6" t="n">
        <v>0.3653683117561545</v>
      </c>
      <c r="H503" s="7" t="n">
        <v>100</v>
      </c>
      <c r="I503" s="7" t="n">
        <v>56.49717514124295</v>
      </c>
      <c r="J503" s="7" t="n">
        <v>13894.67528301287</v>
      </c>
      <c r="K503" s="7" t="n">
        <v>14143.69314719489</v>
      </c>
      <c r="L503" s="7" t="n">
        <v>-249.0178641820148</v>
      </c>
      <c r="M503" s="6" t="n">
        <v>-0.01760628299769091</v>
      </c>
      <c r="N503" s="7" t="n">
        <v>143.2706911067899</v>
      </c>
      <c r="O503" s="7" t="n">
        <v>80.94389328067227</v>
      </c>
      <c r="P503" s="7" t="n">
        <v>14408.01300395966</v>
      </c>
      <c r="Q503" s="7" t="n">
        <v>14787.45986266882</v>
      </c>
      <c r="R503" s="7" t="n">
        <v>-379.446858709156</v>
      </c>
      <c r="S503" s="6" t="n">
        <v>-0.02566004318747642</v>
      </c>
      <c r="T503" s="7" t="n">
        <v>3259.052853212303</v>
      </c>
      <c r="U503" s="7" t="n">
        <v>1841.272798425031</v>
      </c>
      <c r="V503" s="7" t="n">
        <v>37520.91712825278</v>
      </c>
      <c r="W503" s="7" t="n">
        <v>39160.04665108251</v>
      </c>
      <c r="X503" s="7" t="n">
        <v>-1639.129522829739</v>
      </c>
      <c r="Y503" s="6" t="n">
        <v>-0.04185719024888924</v>
      </c>
      <c r="Z503" s="7" t="n">
        <v>6982.160093203413</v>
      </c>
      <c r="AA503" s="7" t="n">
        <v>3944.723216499104</v>
      </c>
      <c r="AB503" s="7" t="n">
        <v>42164.5680609709</v>
      </c>
      <c r="AC503" s="7" t="n">
        <v>56823.93131893802</v>
      </c>
      <c r="AD503" s="7" t="n">
        <v>-14659.36325796712</v>
      </c>
      <c r="AE503" s="6" t="n">
        <v>-0.2579786881637581</v>
      </c>
    </row>
    <row r="504">
      <c r="A504" s="2" t="n">
        <v>495</v>
      </c>
      <c r="B504" s="2" t="inlineStr">
        <is>
          <t>KPROP-00495</t>
        </is>
      </c>
      <c r="C504" s="3" t="n">
        <v>46118</v>
      </c>
      <c r="D504" s="2" t="inlineStr">
        <is>
          <t>Brandon Williamson</t>
        </is>
      </c>
      <c r="E504" s="2" t="inlineStr">
        <is>
          <t>Loss</t>
        </is>
      </c>
      <c r="F504" s="2" t="n">
        <v>-1</v>
      </c>
      <c r="G504" s="6" t="n">
        <v>0.08150789179786147</v>
      </c>
      <c r="H504" s="7" t="n">
        <v>100</v>
      </c>
      <c r="I504" s="7" t="n">
        <v>-100</v>
      </c>
      <c r="J504" s="7" t="n">
        <v>13794.67528301287</v>
      </c>
      <c r="K504" s="7" t="n">
        <v>14143.69314719489</v>
      </c>
      <c r="L504" s="7" t="n">
        <v>-349.0178641820148</v>
      </c>
      <c r="M504" s="6" t="n">
        <v>-0.02467657213358276</v>
      </c>
      <c r="N504" s="7" t="n">
        <v>144.0801300395966</v>
      </c>
      <c r="O504" s="7" t="n">
        <v>-144.0801300395966</v>
      </c>
      <c r="P504" s="7" t="n">
        <v>14263.93287392006</v>
      </c>
      <c r="Q504" s="7" t="n">
        <v>14787.45986266882</v>
      </c>
      <c r="R504" s="7" t="n">
        <v>-523.526988748752</v>
      </c>
      <c r="S504" s="6" t="n">
        <v>-0.03540344275560162</v>
      </c>
      <c r="T504" s="7" t="n">
        <v>764.5627133615386</v>
      </c>
      <c r="U504" s="7" t="n">
        <v>-764.5627133615386</v>
      </c>
      <c r="V504" s="7" t="n">
        <v>36756.35441489123</v>
      </c>
      <c r="W504" s="7" t="n">
        <v>39160.04665108251</v>
      </c>
      <c r="X504" s="7" t="n">
        <v>-2403.69223619128</v>
      </c>
      <c r="Y504" s="6" t="n">
        <v>-0.06138124036491244</v>
      </c>
      <c r="Z504" s="7" t="n">
        <v>1718.372525608591</v>
      </c>
      <c r="AA504" s="7" t="n">
        <v>-1718.372525608591</v>
      </c>
      <c r="AB504" s="7" t="n">
        <v>40446.19553536231</v>
      </c>
      <c r="AC504" s="7" t="n">
        <v>56823.93131893802</v>
      </c>
      <c r="AD504" s="7" t="n">
        <v>-16377.73578357571</v>
      </c>
      <c r="AE504" s="6" t="n">
        <v>-0.2882189845621859</v>
      </c>
    </row>
    <row r="505">
      <c r="A505" s="2" t="n">
        <v>496</v>
      </c>
      <c r="B505" s="2" t="inlineStr">
        <is>
          <t>KPROP-00496</t>
        </is>
      </c>
      <c r="C505" s="3" t="n">
        <v>46118</v>
      </c>
      <c r="D505" s="2" t="inlineStr">
        <is>
          <t>Brandon Williamson</t>
        </is>
      </c>
      <c r="E505" s="2" t="inlineStr">
        <is>
          <t>Win</t>
        </is>
      </c>
      <c r="F505" s="2" t="n">
        <v>0.6289308176100628</v>
      </c>
      <c r="G505" s="6" t="n">
        <v>0.1247562330194777</v>
      </c>
      <c r="H505" s="7" t="n">
        <v>100</v>
      </c>
      <c r="I505" s="7" t="n">
        <v>62.89308176100627</v>
      </c>
      <c r="J505" s="7" t="n">
        <v>13857.56836477388</v>
      </c>
      <c r="K505" s="7" t="n">
        <v>14143.69314719489</v>
      </c>
      <c r="L505" s="7" t="n">
        <v>-286.1247824210077</v>
      </c>
      <c r="M505" s="6" t="n">
        <v>-0.02022984940660669</v>
      </c>
      <c r="N505" s="7" t="n">
        <v>142.6393287392006</v>
      </c>
      <c r="O505" s="7" t="n">
        <v>89.71026964729597</v>
      </c>
      <c r="P505" s="7" t="n">
        <v>14353.64314356736</v>
      </c>
      <c r="Q505" s="7" t="n">
        <v>14787.45986266882</v>
      </c>
      <c r="R505" s="7" t="n">
        <v>-433.8167191014563</v>
      </c>
      <c r="S505" s="6" t="n">
        <v>-0.02933679774148593</v>
      </c>
      <c r="T505" s="7" t="n">
        <v>1146.396079082669</v>
      </c>
      <c r="U505" s="7" t="n">
        <v>721.0038233224334</v>
      </c>
      <c r="V505" s="7" t="n">
        <v>37477.35823821367</v>
      </c>
      <c r="W505" s="7" t="n">
        <v>39160.04665108251</v>
      </c>
      <c r="X505" s="7" t="n">
        <v>-1682.688412868847</v>
      </c>
      <c r="Y505" s="6" t="n">
        <v>-0.04296952013008728</v>
      </c>
      <c r="Z505" s="7" t="n">
        <v>2522.957497480509</v>
      </c>
      <c r="AA505" s="7" t="n">
        <v>1586.765721685854</v>
      </c>
      <c r="AB505" s="7" t="n">
        <v>42032.96125704817</v>
      </c>
      <c r="AC505" s="7" t="n">
        <v>56823.93131893802</v>
      </c>
      <c r="AD505" s="7" t="n">
        <v>-14790.97006188985</v>
      </c>
      <c r="AE505" s="6" t="n">
        <v>-0.2602947335493555</v>
      </c>
    </row>
    <row r="506">
      <c r="A506" s="2" t="n">
        <v>497</v>
      </c>
      <c r="B506" s="2" t="inlineStr">
        <is>
          <t>KPROP-00497</t>
        </is>
      </c>
      <c r="C506" s="3" t="n">
        <v>46118</v>
      </c>
      <c r="D506" s="2" t="inlineStr">
        <is>
          <t>Jameson Taillon</t>
        </is>
      </c>
      <c r="E506" s="2" t="inlineStr">
        <is>
          <t>Loss</t>
        </is>
      </c>
      <c r="F506" s="2" t="n">
        <v>-1</v>
      </c>
      <c r="G506" s="6" t="n">
        <v>0.08320182230258082</v>
      </c>
      <c r="H506" s="7" t="n">
        <v>100</v>
      </c>
      <c r="I506" s="7" t="n">
        <v>-100</v>
      </c>
      <c r="J506" s="7" t="n">
        <v>13757.56836477388</v>
      </c>
      <c r="K506" s="7" t="n">
        <v>14143.69314719489</v>
      </c>
      <c r="L506" s="7" t="n">
        <v>-386.1247824210077</v>
      </c>
      <c r="M506" s="6" t="n">
        <v>-0.02730013854249854</v>
      </c>
      <c r="N506" s="7" t="n">
        <v>143.5364314356736</v>
      </c>
      <c r="O506" s="7" t="n">
        <v>-143.5364314356736</v>
      </c>
      <c r="P506" s="7" t="n">
        <v>14210.10671213169</v>
      </c>
      <c r="Q506" s="7" t="n">
        <v>14787.45986266882</v>
      </c>
      <c r="R506" s="7" t="n">
        <v>-577.3531505371302</v>
      </c>
      <c r="S506" s="6" t="n">
        <v>-0.03904342976407109</v>
      </c>
      <c r="T506" s="7" t="n">
        <v>779.5461251265042</v>
      </c>
      <c r="U506" s="7" t="n">
        <v>-779.5461251265042</v>
      </c>
      <c r="V506" s="7" t="n">
        <v>36697.81211308716</v>
      </c>
      <c r="W506" s="7" t="n">
        <v>39160.04665108251</v>
      </c>
      <c r="X506" s="7" t="n">
        <v>-2462.234537995355</v>
      </c>
      <c r="Y506" s="6" t="n">
        <v>-0.0628761901111599</v>
      </c>
      <c r="Z506" s="7" t="n">
        <v>1748.609486680093</v>
      </c>
      <c r="AA506" s="7" t="n">
        <v>-1748.609486680093</v>
      </c>
      <c r="AB506" s="7" t="n">
        <v>40284.35177036808</v>
      </c>
      <c r="AC506" s="7" t="n">
        <v>56823.93131893802</v>
      </c>
      <c r="AD506" s="7" t="n">
        <v>-16539.57954856994</v>
      </c>
      <c r="AE506" s="6" t="n">
        <v>-0.2910671466171104</v>
      </c>
    </row>
    <row r="507">
      <c r="A507" s="2" t="n">
        <v>498</v>
      </c>
      <c r="B507" s="2" t="inlineStr">
        <is>
          <t>KPROP-00498</t>
        </is>
      </c>
      <c r="C507" s="3" t="n">
        <v>46118</v>
      </c>
      <c r="D507" s="2" t="inlineStr">
        <is>
          <t>Janson Junk</t>
        </is>
      </c>
      <c r="E507" s="2" t="inlineStr">
        <is>
          <t>Win</t>
        </is>
      </c>
      <c r="F507" s="2" t="n">
        <v>0.9523809523809523</v>
      </c>
      <c r="G507" s="6" t="n">
        <v>0.08112212400357612</v>
      </c>
      <c r="H507" s="7" t="n">
        <v>100</v>
      </c>
      <c r="I507" s="7" t="n">
        <v>95.23809523809523</v>
      </c>
      <c r="J507" s="7" t="n">
        <v>13852.80646001198</v>
      </c>
      <c r="K507" s="7" t="n">
        <v>14143.69314719489</v>
      </c>
      <c r="L507" s="7" t="n">
        <v>-290.8866871829123</v>
      </c>
      <c r="M507" s="6" t="n">
        <v>-0.02056652984164915</v>
      </c>
      <c r="N507" s="7" t="n">
        <v>142.1010671213169</v>
      </c>
      <c r="O507" s="7" t="n">
        <v>135.3343496393494</v>
      </c>
      <c r="P507" s="7" t="n">
        <v>14345.44106177104</v>
      </c>
      <c r="Q507" s="7" t="n">
        <v>14787.45986266882</v>
      </c>
      <c r="R507" s="7" t="n">
        <v>-442.0188008977802</v>
      </c>
      <c r="S507" s="6" t="n">
        <v>-0.02989146242849077</v>
      </c>
      <c r="T507" s="7" t="n">
        <v>744.2511162244485</v>
      </c>
      <c r="U507" s="7" t="n">
        <v>708.8105868804272</v>
      </c>
      <c r="V507" s="7" t="n">
        <v>37406.62269996759</v>
      </c>
      <c r="W507" s="7" t="n">
        <v>39160.04665108251</v>
      </c>
      <c r="X507" s="7" t="n">
        <v>-1753.423951114928</v>
      </c>
      <c r="Y507" s="6" t="n">
        <v>-0.04477583917961082</v>
      </c>
      <c r="Z507" s="7" t="n">
        <v>1633.97608985974</v>
      </c>
      <c r="AA507" s="7" t="n">
        <v>1556.167704628324</v>
      </c>
      <c r="AB507" s="7" t="n">
        <v>41840.5194749964</v>
      </c>
      <c r="AC507" s="7" t="n">
        <v>56823.93131893802</v>
      </c>
      <c r="AD507" s="7" t="n">
        <v>-14983.41184394162</v>
      </c>
      <c r="AE507" s="6" t="n">
        <v>-0.2636813662159981</v>
      </c>
    </row>
    <row r="508">
      <c r="A508" s="2" t="n">
        <v>499</v>
      </c>
      <c r="B508" s="2" t="inlineStr">
        <is>
          <t>KPROP-00499</t>
        </is>
      </c>
      <c r="C508" s="3" t="n">
        <v>46118</v>
      </c>
      <c r="D508" s="2" t="inlineStr">
        <is>
          <t>Joe Ryan</t>
        </is>
      </c>
      <c r="E508" s="2" t="inlineStr">
        <is>
          <t>Loss</t>
        </is>
      </c>
      <c r="F508" s="2" t="n">
        <v>-1</v>
      </c>
      <c r="G508" s="6" t="n">
        <v>0.3766896281019976</v>
      </c>
      <c r="H508" s="7" t="n">
        <v>100</v>
      </c>
      <c r="I508" s="7" t="n">
        <v>-100</v>
      </c>
      <c r="J508" s="7" t="n">
        <v>13752.80646001198</v>
      </c>
      <c r="K508" s="7" t="n">
        <v>14143.69314719489</v>
      </c>
      <c r="L508" s="7" t="n">
        <v>-390.8866871829123</v>
      </c>
      <c r="M508" s="6" t="n">
        <v>-0.027636818977541</v>
      </c>
      <c r="N508" s="7" t="n">
        <v>143.4544106177104</v>
      </c>
      <c r="O508" s="7" t="n">
        <v>-143.4544106177104</v>
      </c>
      <c r="P508" s="7" t="n">
        <v>14201.98665115333</v>
      </c>
      <c r="Q508" s="7" t="n">
        <v>14787.45986266882</v>
      </c>
      <c r="R508" s="7" t="n">
        <v>-585.4732115154911</v>
      </c>
      <c r="S508" s="6" t="n">
        <v>-0.0395925478042059</v>
      </c>
      <c r="T508" s="7" t="n">
        <v>3522.671698350633</v>
      </c>
      <c r="U508" s="7" t="n">
        <v>-3522.671698350633</v>
      </c>
      <c r="V508" s="7" t="n">
        <v>33883.95100161695</v>
      </c>
      <c r="W508" s="7" t="n">
        <v>39160.04665108251</v>
      </c>
      <c r="X508" s="7" t="n">
        <v>-5276.095649465562</v>
      </c>
      <c r="Y508" s="6" t="n">
        <v>-0.1347315976529797</v>
      </c>
      <c r="Z508" s="7" t="n">
        <v>7880.444860315391</v>
      </c>
      <c r="AA508" s="7" t="n">
        <v>-7880.444860315391</v>
      </c>
      <c r="AB508" s="7" t="n">
        <v>33960.07461468101</v>
      </c>
      <c r="AC508" s="7" t="n">
        <v>56823.93131893802</v>
      </c>
      <c r="AD508" s="7" t="n">
        <v>-22863.85670425701</v>
      </c>
      <c r="AE508" s="6" t="n">
        <v>-0.4023631623783314</v>
      </c>
    </row>
    <row r="509">
      <c r="A509" s="2" t="n">
        <v>500</v>
      </c>
      <c r="B509" s="2" t="inlineStr">
        <is>
          <t>KPROP-00500</t>
        </is>
      </c>
      <c r="C509" s="3" t="n">
        <v>46118</v>
      </c>
      <c r="D509" s="2" t="inlineStr">
        <is>
          <t>Shane McClanahan</t>
        </is>
      </c>
      <c r="E509" s="2" t="inlineStr">
        <is>
          <t>Win</t>
        </is>
      </c>
      <c r="F509" s="2" t="n">
        <v>0.7692307692307692</v>
      </c>
      <c r="G509" s="6" t="n">
        <v>0.09168086208467928</v>
      </c>
      <c r="H509" s="7" t="n">
        <v>100</v>
      </c>
      <c r="I509" s="7" t="n">
        <v>76.92307692307692</v>
      </c>
      <c r="J509" s="7" t="n">
        <v>13829.72953693505</v>
      </c>
      <c r="K509" s="7" t="n">
        <v>14143.69314719489</v>
      </c>
      <c r="L509" s="7" t="n">
        <v>-313.9636102598361</v>
      </c>
      <c r="M509" s="6" t="n">
        <v>-0.02219813502685501</v>
      </c>
      <c r="N509" s="7" t="n">
        <v>142.0198665115333</v>
      </c>
      <c r="O509" s="7" t="n">
        <v>109.2460511627179</v>
      </c>
      <c r="P509" s="7" t="n">
        <v>14311.23270231604</v>
      </c>
      <c r="Q509" s="7" t="n">
        <v>14787.45986266882</v>
      </c>
      <c r="R509" s="7" t="n">
        <v>-476.2271603527734</v>
      </c>
      <c r="S509" s="6" t="n">
        <v>-0.03220479817193057</v>
      </c>
      <c r="T509" s="7" t="n">
        <v>776.6274596658185</v>
      </c>
      <c r="U509" s="7" t="n">
        <v>597.4057382044757</v>
      </c>
      <c r="V509" s="7" t="n">
        <v>34481.35673982143</v>
      </c>
      <c r="W509" s="7" t="n">
        <v>39160.04665108251</v>
      </c>
      <c r="X509" s="7" t="n">
        <v>-4678.689911261084</v>
      </c>
      <c r="Y509" s="6" t="n">
        <v>-0.119476106679555</v>
      </c>
      <c r="Z509" s="7" t="n">
        <v>1556.744458566994</v>
      </c>
      <c r="AA509" s="7" t="n">
        <v>1197.495737359226</v>
      </c>
      <c r="AB509" s="7" t="n">
        <v>35157.57035204024</v>
      </c>
      <c r="AC509" s="7" t="n">
        <v>56823.93131893802</v>
      </c>
      <c r="AD509" s="7" t="n">
        <v>-21666.36096689778</v>
      </c>
      <c r="AE509" s="6" t="n">
        <v>-0.3812893698834405</v>
      </c>
    </row>
    <row r="510">
      <c r="A510" s="2" t="n">
        <v>501</v>
      </c>
      <c r="B510" s="2" t="inlineStr">
        <is>
          <t>KPROP-00501</t>
        </is>
      </c>
      <c r="C510" s="3" t="n">
        <v>46118</v>
      </c>
      <c r="D510" s="2" t="inlineStr">
        <is>
          <t>Tanner Bibee</t>
        </is>
      </c>
      <c r="E510" s="2" t="inlineStr">
        <is>
          <t>Win</t>
        </is>
      </c>
      <c r="F510" s="2" t="n">
        <v>1.19</v>
      </c>
      <c r="G510" s="6" t="n">
        <v>0.1031412031076297</v>
      </c>
      <c r="H510" s="7" t="n">
        <v>100</v>
      </c>
      <c r="I510" s="7" t="n">
        <v>119</v>
      </c>
      <c r="J510" s="7" t="n">
        <v>13948.72953693505</v>
      </c>
      <c r="K510" s="7" t="n">
        <v>14143.69314719489</v>
      </c>
      <c r="L510" s="7" t="n">
        <v>-194.9636102598361</v>
      </c>
      <c r="M510" s="6" t="n">
        <v>-0.01378449095514371</v>
      </c>
      <c r="N510" s="7" t="n">
        <v>143.1123270231604</v>
      </c>
      <c r="O510" s="7" t="n">
        <v>170.3036691575609</v>
      </c>
      <c r="P510" s="7" t="n">
        <v>14481.5363714736</v>
      </c>
      <c r="Q510" s="7" t="n">
        <v>14787.45986266882</v>
      </c>
      <c r="R510" s="7" t="n">
        <v>-305.9234911952117</v>
      </c>
      <c r="S510" s="6" t="n">
        <v>-0.02068803527017649</v>
      </c>
      <c r="T510" s="7" t="n">
        <v>889.1121547321392</v>
      </c>
      <c r="U510" s="7" t="n">
        <v>1058.043464131246</v>
      </c>
      <c r="V510" s="7" t="n">
        <v>35539.40020395267</v>
      </c>
      <c r="W510" s="7" t="n">
        <v>39160.04665108251</v>
      </c>
      <c r="X510" s="7" t="n">
        <v>-3620.646447129839</v>
      </c>
      <c r="Y510" s="6" t="n">
        <v>-0.09245766429723475</v>
      </c>
      <c r="Z510" s="7" t="n">
        <v>1813.097052225281</v>
      </c>
      <c r="AA510" s="7" t="n">
        <v>2157.585492148084</v>
      </c>
      <c r="AB510" s="7" t="n">
        <v>37315.15584418832</v>
      </c>
      <c r="AC510" s="7" t="n">
        <v>56823.93131893802</v>
      </c>
      <c r="AD510" s="7" t="n">
        <v>-19508.77547474969</v>
      </c>
      <c r="AE510" s="6" t="n">
        <v>-0.3433197074178481</v>
      </c>
    </row>
    <row r="511">
      <c r="A511" s="2" t="n">
        <v>502</v>
      </c>
      <c r="B511" s="2" t="inlineStr">
        <is>
          <t>KPROP-00502</t>
        </is>
      </c>
      <c r="C511" s="3" t="n">
        <v>46119</v>
      </c>
      <c r="D511" s="2" t="inlineStr">
        <is>
          <t>Aaron Civale</t>
        </is>
      </c>
      <c r="E511" s="2" t="inlineStr">
        <is>
          <t>Loss</t>
        </is>
      </c>
      <c r="F511" s="2" t="n">
        <v>-1</v>
      </c>
      <c r="G511" s="6" t="n">
        <v>0.1392366497648454</v>
      </c>
      <c r="H511" s="7" t="n">
        <v>100</v>
      </c>
      <c r="I511" s="7" t="n">
        <v>-100</v>
      </c>
      <c r="J511" s="7" t="n">
        <v>13848.72953693505</v>
      </c>
      <c r="K511" s="7" t="n">
        <v>14143.69314719489</v>
      </c>
      <c r="L511" s="7" t="n">
        <v>-294.9636102598361</v>
      </c>
      <c r="M511" s="6" t="n">
        <v>-0.02085478009103556</v>
      </c>
      <c r="N511" s="7" t="n">
        <v>144.8153637147361</v>
      </c>
      <c r="O511" s="7" t="n">
        <v>-144.8153637147361</v>
      </c>
      <c r="P511" s="7" t="n">
        <v>14336.72100775887</v>
      </c>
      <c r="Q511" s="7" t="n">
        <v>14787.45986266882</v>
      </c>
      <c r="R511" s="7" t="n">
        <v>-450.7388549099469</v>
      </c>
      <c r="S511" s="6" t="n">
        <v>-0.03048115491747467</v>
      </c>
      <c r="T511" s="7" t="n">
        <v>1237.096754762608</v>
      </c>
      <c r="U511" s="7" t="n">
        <v>-1237.096754762608</v>
      </c>
      <c r="V511" s="7" t="n">
        <v>34302.30344919007</v>
      </c>
      <c r="W511" s="7" t="n">
        <v>39160.04665108251</v>
      </c>
      <c r="X511" s="7" t="n">
        <v>-4857.743201892445</v>
      </c>
      <c r="Y511" s="6" t="n">
        <v>-0.1240484528829886</v>
      </c>
      <c r="Z511" s="7" t="n">
        <v>2597.818642598937</v>
      </c>
      <c r="AA511" s="7" t="n">
        <v>-2597.818642598937</v>
      </c>
      <c r="AB511" s="7" t="n">
        <v>34717.33720158939</v>
      </c>
      <c r="AC511" s="7" t="n">
        <v>56823.93131893802</v>
      </c>
      <c r="AD511" s="7" t="n">
        <v>-22106.59411734863</v>
      </c>
      <c r="AE511" s="6" t="n">
        <v>-0.3890366893707167</v>
      </c>
    </row>
    <row r="512">
      <c r="A512" s="2" t="n">
        <v>503</v>
      </c>
      <c r="B512" s="2" t="inlineStr">
        <is>
          <t>KPROP-00503</t>
        </is>
      </c>
      <c r="C512" s="3" t="n">
        <v>46119</v>
      </c>
      <c r="D512" s="2" t="inlineStr">
        <is>
          <t>Andrew Abbott</t>
        </is>
      </c>
      <c r="E512" s="2" t="inlineStr">
        <is>
          <t>Win</t>
        </is>
      </c>
      <c r="F512" s="2" t="n">
        <v>1.19</v>
      </c>
      <c r="G512" s="6" t="n">
        <v>0.1585949333696898</v>
      </c>
      <c r="H512" s="7" t="n">
        <v>100</v>
      </c>
      <c r="I512" s="7" t="n">
        <v>119</v>
      </c>
      <c r="J512" s="7" t="n">
        <v>13967.72953693505</v>
      </c>
      <c r="K512" s="7" t="n">
        <v>14143.69314719489</v>
      </c>
      <c r="L512" s="7" t="n">
        <v>-175.9636102598361</v>
      </c>
      <c r="M512" s="6" t="n">
        <v>-0.01244113601932426</v>
      </c>
      <c r="N512" s="7" t="n">
        <v>143.3672100775887</v>
      </c>
      <c r="O512" s="7" t="n">
        <v>170.6069799923306</v>
      </c>
      <c r="P512" s="7" t="n">
        <v>14507.3279877512</v>
      </c>
      <c r="Q512" s="7" t="n">
        <v>14787.45986266882</v>
      </c>
      <c r="R512" s="7" t="n">
        <v>-280.1318749176171</v>
      </c>
      <c r="S512" s="6" t="n">
        <v>-0.01894388066099267</v>
      </c>
      <c r="T512" s="7" t="n">
        <v>1360.042882487795</v>
      </c>
      <c r="U512" s="7" t="n">
        <v>1618.451030160476</v>
      </c>
      <c r="V512" s="7" t="n">
        <v>35920.75447935054</v>
      </c>
      <c r="W512" s="7" t="n">
        <v>39160.04665108251</v>
      </c>
      <c r="X512" s="7" t="n">
        <v>-3239.29217173197</v>
      </c>
      <c r="Y512" s="6" t="n">
        <v>-0.08271931340108413</v>
      </c>
      <c r="Z512" s="7" t="n">
        <v>2752.996890129561</v>
      </c>
      <c r="AA512" s="7" t="n">
        <v>3276.066299254177</v>
      </c>
      <c r="AB512" s="7" t="n">
        <v>37993.40350084357</v>
      </c>
      <c r="AC512" s="7" t="n">
        <v>56823.93131893802</v>
      </c>
      <c r="AD512" s="7" t="n">
        <v>-18830.52781809445</v>
      </c>
      <c r="AE512" s="6" t="n">
        <v>-0.3313837564740738</v>
      </c>
    </row>
    <row r="513">
      <c r="A513" s="2" t="n">
        <v>504</v>
      </c>
      <c r="B513" s="2" t="inlineStr">
        <is>
          <t>KPROP-00504</t>
        </is>
      </c>
      <c r="C513" s="3" t="n">
        <v>46119</v>
      </c>
      <c r="D513" s="2" t="inlineStr">
        <is>
          <t>Andrew Abbott</t>
        </is>
      </c>
      <c r="E513" s="2" t="inlineStr">
        <is>
          <t>Win</t>
        </is>
      </c>
      <c r="F513" s="2" t="n">
        <v>0.625</v>
      </c>
      <c r="G513" s="6" t="n">
        <v>0.2524881038302977</v>
      </c>
      <c r="H513" s="7" t="n">
        <v>100</v>
      </c>
      <c r="I513" s="7" t="n">
        <v>62.5</v>
      </c>
      <c r="J513" s="7" t="n">
        <v>14030.22953693505</v>
      </c>
      <c r="K513" s="7" t="n">
        <v>14143.69314719489</v>
      </c>
      <c r="L513" s="7" t="n">
        <v>-113.4636102598361</v>
      </c>
      <c r="M513" s="6" t="n">
        <v>-0.008022205309391857</v>
      </c>
      <c r="N513" s="7" t="n">
        <v>145.073279877512</v>
      </c>
      <c r="O513" s="7" t="n">
        <v>90.670799923445</v>
      </c>
      <c r="P513" s="7" t="n">
        <v>14597.99878767465</v>
      </c>
      <c r="Q513" s="7" t="n">
        <v>14787.45986266882</v>
      </c>
      <c r="R513" s="7" t="n">
        <v>-189.4610749941712</v>
      </c>
      <c r="S513" s="6" t="n">
        <v>-0.01281227991512381</v>
      </c>
      <c r="T513" s="7" t="n">
        <v>2267.390796661223</v>
      </c>
      <c r="U513" s="7" t="n">
        <v>1417.119247913265</v>
      </c>
      <c r="V513" s="7" t="n">
        <v>37337.87372726381</v>
      </c>
      <c r="W513" s="7" t="n">
        <v>39160.04665108251</v>
      </c>
      <c r="X513" s="7" t="n">
        <v>-1822.172923818704</v>
      </c>
      <c r="Y513" s="6" t="n">
        <v>-0.04653142883241005</v>
      </c>
      <c r="Z513" s="7" t="n">
        <v>4796.441203993694</v>
      </c>
      <c r="AA513" s="7" t="n">
        <v>2997.775752496059</v>
      </c>
      <c r="AB513" s="7" t="n">
        <v>40991.17925333963</v>
      </c>
      <c r="AC513" s="7" t="n">
        <v>56823.93131893802</v>
      </c>
      <c r="AD513" s="7" t="n">
        <v>-15832.75206559839</v>
      </c>
      <c r="AE513" s="6" t="n">
        <v>-0.2786282416246995</v>
      </c>
    </row>
    <row r="514">
      <c r="A514" s="2" t="n">
        <v>505</v>
      </c>
      <c r="B514" s="2" t="inlineStr">
        <is>
          <t>KPROP-00505</t>
        </is>
      </c>
      <c r="C514" s="3" t="n">
        <v>46119</v>
      </c>
      <c r="D514" s="2" t="inlineStr">
        <is>
          <t>Freddy Peralta</t>
        </is>
      </c>
      <c r="E514" s="2" t="inlineStr">
        <is>
          <t>Win</t>
        </is>
      </c>
      <c r="F514" s="2" t="n">
        <v>1.2</v>
      </c>
      <c r="G514" s="6" t="n">
        <v>0.1566473624327158</v>
      </c>
      <c r="H514" s="7" t="n">
        <v>100</v>
      </c>
      <c r="I514" s="7" t="n">
        <v>120</v>
      </c>
      <c r="J514" s="7" t="n">
        <v>14150.22953693505</v>
      </c>
      <c r="K514" s="7" t="n">
        <v>14150.22953693505</v>
      </c>
      <c r="L514" s="7" t="n">
        <v>0</v>
      </c>
      <c r="M514" s="6" t="n">
        <v>0</v>
      </c>
      <c r="N514" s="7" t="n">
        <v>145.9799878767465</v>
      </c>
      <c r="O514" s="7" t="n">
        <v>175.1759854520958</v>
      </c>
      <c r="P514" s="7" t="n">
        <v>14773.17477312674</v>
      </c>
      <c r="Q514" s="7" t="n">
        <v>14787.45986266882</v>
      </c>
      <c r="R514" s="7" t="n">
        <v>-14.28508954207609</v>
      </c>
      <c r="S514" s="6" t="n">
        <v>-0.0009660272741053408</v>
      </c>
      <c r="T514" s="7" t="n">
        <v>1462.219859555418</v>
      </c>
      <c r="U514" s="7" t="n">
        <v>1754.663831466502</v>
      </c>
      <c r="V514" s="7" t="n">
        <v>39092.53755873031</v>
      </c>
      <c r="W514" s="7" t="n">
        <v>39160.04665108251</v>
      </c>
      <c r="X514" s="7" t="n">
        <v>-67.50909235220024</v>
      </c>
      <c r="Y514" s="6" t="n">
        <v>-0.00172392778164206</v>
      </c>
      <c r="Z514" s="7" t="n">
        <v>3210.580056521157</v>
      </c>
      <c r="AA514" s="7" t="n">
        <v>3852.696067825389</v>
      </c>
      <c r="AB514" s="7" t="n">
        <v>44843.87532116502</v>
      </c>
      <c r="AC514" s="7" t="n">
        <v>56823.93131893802</v>
      </c>
      <c r="AD514" s="7" t="n">
        <v>-11980.055997773</v>
      </c>
      <c r="AE514" s="6" t="n">
        <v>-0.2108276516549348</v>
      </c>
    </row>
    <row r="515">
      <c r="A515" s="2" t="n">
        <v>506</v>
      </c>
      <c r="B515" s="2" t="inlineStr">
        <is>
          <t>KPROP-00506</t>
        </is>
      </c>
      <c r="C515" s="3" t="n">
        <v>46119</v>
      </c>
      <c r="D515" s="2" t="inlineStr">
        <is>
          <t>Freddy Peralta</t>
        </is>
      </c>
      <c r="E515" s="2" t="inlineStr">
        <is>
          <t>Win</t>
        </is>
      </c>
      <c r="F515" s="2" t="n">
        <v>0.6896551724137931</v>
      </c>
      <c r="G515" s="6" t="n">
        <v>0.2555055717398214</v>
      </c>
      <c r="H515" s="7" t="n">
        <v>100</v>
      </c>
      <c r="I515" s="7" t="n">
        <v>68.96551724137932</v>
      </c>
      <c r="J515" s="7" t="n">
        <v>14219.19505417643</v>
      </c>
      <c r="K515" s="7" t="n">
        <v>14219.19505417643</v>
      </c>
      <c r="L515" s="7" t="n">
        <v>0</v>
      </c>
      <c r="M515" s="6" t="n">
        <v>0</v>
      </c>
      <c r="N515" s="7" t="n">
        <v>147.7317477312674</v>
      </c>
      <c r="O515" s="7" t="n">
        <v>101.8839639525982</v>
      </c>
      <c r="P515" s="7" t="n">
        <v>14875.05873707934</v>
      </c>
      <c r="Q515" s="7" t="n">
        <v>14875.05873707934</v>
      </c>
      <c r="R515" s="7" t="n">
        <v>0</v>
      </c>
      <c r="S515" s="6" t="n">
        <v>0</v>
      </c>
      <c r="T515" s="7" t="n">
        <v>2497.090289925958</v>
      </c>
      <c r="U515" s="7" t="n">
        <v>1722.131234431695</v>
      </c>
      <c r="V515" s="7" t="n">
        <v>40814.66879316201</v>
      </c>
      <c r="W515" s="7" t="n">
        <v>40814.66879316201</v>
      </c>
      <c r="X515" s="7" t="n">
        <v>0</v>
      </c>
      <c r="Y515" s="6" t="n">
        <v>0</v>
      </c>
      <c r="Z515" s="7" t="n">
        <v>5728.930001481768</v>
      </c>
      <c r="AA515" s="7" t="n">
        <v>3950.986207918461</v>
      </c>
      <c r="AB515" s="7" t="n">
        <v>48794.86152908348</v>
      </c>
      <c r="AC515" s="7" t="n">
        <v>56823.93131893802</v>
      </c>
      <c r="AD515" s="7" t="n">
        <v>-8029.06978985454</v>
      </c>
      <c r="AE515" s="6" t="n">
        <v>-0.1412973302531542</v>
      </c>
    </row>
    <row r="516">
      <c r="A516" s="2" t="n">
        <v>507</v>
      </c>
      <c r="B516" s="2" t="inlineStr">
        <is>
          <t>KPROP-00507</t>
        </is>
      </c>
      <c r="C516" s="3" t="n">
        <v>46119</v>
      </c>
      <c r="D516" s="2" t="inlineStr">
        <is>
          <t>Garrett Crochet</t>
        </is>
      </c>
      <c r="E516" s="2" t="inlineStr">
        <is>
          <t>Win</t>
        </is>
      </c>
      <c r="F516" s="2" t="n">
        <v>0.8333333333333335</v>
      </c>
      <c r="G516" s="6" t="n">
        <v>0.2996999432867852</v>
      </c>
      <c r="H516" s="7" t="n">
        <v>100</v>
      </c>
      <c r="I516" s="7" t="n">
        <v>83.33333333333334</v>
      </c>
      <c r="J516" s="7" t="n">
        <v>14302.52838750976</v>
      </c>
      <c r="K516" s="7" t="n">
        <v>14302.52838750976</v>
      </c>
      <c r="L516" s="7" t="n">
        <v>0</v>
      </c>
      <c r="M516" s="6" t="n">
        <v>0</v>
      </c>
      <c r="N516" s="7" t="n">
        <v>148.7505873707934</v>
      </c>
      <c r="O516" s="7" t="n">
        <v>123.9588228089945</v>
      </c>
      <c r="P516" s="7" t="n">
        <v>14999.01755988833</v>
      </c>
      <c r="Q516" s="7" t="n">
        <v>14999.01755988833</v>
      </c>
      <c r="R516" s="7" t="n">
        <v>0</v>
      </c>
      <c r="S516" s="6" t="n">
        <v>0</v>
      </c>
      <c r="T516" s="7" t="n">
        <v>3058.038480644894</v>
      </c>
      <c r="U516" s="7" t="n">
        <v>2548.365400537412</v>
      </c>
      <c r="V516" s="7" t="n">
        <v>43363.03419369942</v>
      </c>
      <c r="W516" s="7" t="n">
        <v>43363.03419369942</v>
      </c>
      <c r="X516" s="7" t="n">
        <v>0</v>
      </c>
      <c r="Y516" s="6" t="n">
        <v>0</v>
      </c>
      <c r="Z516" s="7" t="n">
        <v>7311.908616476428</v>
      </c>
      <c r="AA516" s="7" t="n">
        <v>6093.257180397024</v>
      </c>
      <c r="AB516" s="7" t="n">
        <v>54888.11870948051</v>
      </c>
      <c r="AC516" s="7" t="n">
        <v>56823.93131893802</v>
      </c>
      <c r="AD516" s="7" t="n">
        <v>-1935.812609457513</v>
      </c>
      <c r="AE516" s="6" t="n">
        <v>-0.03406685466009554</v>
      </c>
    </row>
    <row r="517">
      <c r="A517" s="2" t="n">
        <v>508</v>
      </c>
      <c r="B517" s="2" t="inlineStr">
        <is>
          <t>KPROP-00508</t>
        </is>
      </c>
      <c r="C517" s="3" t="n">
        <v>46119</v>
      </c>
      <c r="D517" s="2" t="inlineStr">
        <is>
          <t>Javier Assad</t>
        </is>
      </c>
      <c r="E517" s="2" t="inlineStr">
        <is>
          <t>Win</t>
        </is>
      </c>
      <c r="F517" s="2" t="n">
        <v>0.8333333333333335</v>
      </c>
      <c r="G517" s="6" t="n">
        <v>0.08726737846759861</v>
      </c>
      <c r="H517" s="7" t="n">
        <v>100</v>
      </c>
      <c r="I517" s="7" t="n">
        <v>83.33333333333334</v>
      </c>
      <c r="J517" s="7" t="n">
        <v>14385.8617208431</v>
      </c>
      <c r="K517" s="7" t="n">
        <v>14385.8617208431</v>
      </c>
      <c r="L517" s="7" t="n">
        <v>0</v>
      </c>
      <c r="M517" s="6" t="n">
        <v>0</v>
      </c>
      <c r="N517" s="7" t="n">
        <v>149.9901755988833</v>
      </c>
      <c r="O517" s="7" t="n">
        <v>124.9918129990695</v>
      </c>
      <c r="P517" s="7" t="n">
        <v>15124.0093728874</v>
      </c>
      <c r="Q517" s="7" t="n">
        <v>15124.0093728874</v>
      </c>
      <c r="R517" s="7" t="n">
        <v>0</v>
      </c>
      <c r="S517" s="6" t="n">
        <v>0</v>
      </c>
      <c r="T517" s="7" t="n">
        <v>946.0445791212468</v>
      </c>
      <c r="U517" s="7" t="n">
        <v>788.3704826010392</v>
      </c>
      <c r="V517" s="7" t="n">
        <v>44151.40467630046</v>
      </c>
      <c r="W517" s="7" t="n">
        <v>44151.40467630046</v>
      </c>
      <c r="X517" s="7" t="n">
        <v>0</v>
      </c>
      <c r="Y517" s="6" t="n">
        <v>0</v>
      </c>
      <c r="Z517" s="7" t="n">
        <v>2394.971114397358</v>
      </c>
      <c r="AA517" s="7" t="n">
        <v>1995.809261997799</v>
      </c>
      <c r="AB517" s="7" t="n">
        <v>56883.9279714783</v>
      </c>
      <c r="AC517" s="7" t="n">
        <v>56883.9279714783</v>
      </c>
      <c r="AD517" s="7" t="n">
        <v>0</v>
      </c>
      <c r="AE517" s="6" t="n">
        <v>0</v>
      </c>
    </row>
    <row r="518">
      <c r="A518" s="2" t="n">
        <v>509</v>
      </c>
      <c r="B518" s="2" t="inlineStr">
        <is>
          <t>KPROP-00509</t>
        </is>
      </c>
      <c r="C518" s="3" t="n">
        <v>46119</v>
      </c>
      <c r="D518" s="2" t="inlineStr">
        <is>
          <t>Matthew Liberatore</t>
        </is>
      </c>
      <c r="E518" s="2" t="inlineStr">
        <is>
          <t>Loss</t>
        </is>
      </c>
      <c r="F518" s="2" t="n">
        <v>-1</v>
      </c>
      <c r="G518" s="6" t="n">
        <v>0.2346653391999877</v>
      </c>
      <c r="H518" s="7" t="n">
        <v>100</v>
      </c>
      <c r="I518" s="7" t="n">
        <v>-100</v>
      </c>
      <c r="J518" s="7" t="n">
        <v>14285.8617208431</v>
      </c>
      <c r="K518" s="7" t="n">
        <v>14385.8617208431</v>
      </c>
      <c r="L518" s="7" t="n">
        <v>-100</v>
      </c>
      <c r="M518" s="6" t="n">
        <v>-0.006951269374090675</v>
      </c>
      <c r="N518" s="7" t="n">
        <v>151.240093728874</v>
      </c>
      <c r="O518" s="7" t="n">
        <v>-151.240093728874</v>
      </c>
      <c r="P518" s="7" t="n">
        <v>14972.76927915853</v>
      </c>
      <c r="Q518" s="7" t="n">
        <v>15124.0093728874</v>
      </c>
      <c r="R518" s="7" t="n">
        <v>-151.2400937288749</v>
      </c>
      <c r="S518" s="6" t="n">
        <v>-0.01000000000000006</v>
      </c>
      <c r="T518" s="7" t="n">
        <v>2590.201088629993</v>
      </c>
      <c r="U518" s="7" t="n">
        <v>-2590.201088629993</v>
      </c>
      <c r="V518" s="7" t="n">
        <v>41561.20358767047</v>
      </c>
      <c r="W518" s="7" t="n">
        <v>44151.40467630046</v>
      </c>
      <c r="X518" s="7" t="n">
        <v>-2590.20108862999</v>
      </c>
      <c r="Y518" s="6" t="n">
        <v>-0.05866633479999687</v>
      </c>
      <c r="Z518" s="7" t="n">
        <v>6674.343126227312</v>
      </c>
      <c r="AA518" s="7" t="n">
        <v>-6674.343126227312</v>
      </c>
      <c r="AB518" s="7" t="n">
        <v>50209.58484525099</v>
      </c>
      <c r="AC518" s="7" t="n">
        <v>56883.9279714783</v>
      </c>
      <c r="AD518" s="7" t="n">
        <v>-6674.343126227315</v>
      </c>
      <c r="AE518" s="6" t="n">
        <v>-0.1173326695999939</v>
      </c>
    </row>
    <row r="519">
      <c r="A519" s="2" t="n">
        <v>510</v>
      </c>
      <c r="B519" s="2" t="inlineStr">
        <is>
          <t>KPROP-00510</t>
        </is>
      </c>
      <c r="C519" s="3" t="n">
        <v>46119</v>
      </c>
      <c r="D519" s="2" t="inlineStr">
        <is>
          <t>Nick Pivetta</t>
        </is>
      </c>
      <c r="E519" s="2" t="inlineStr">
        <is>
          <t>Loss</t>
        </is>
      </c>
      <c r="F519" s="2" t="n">
        <v>-1</v>
      </c>
      <c r="G519" s="6" t="n">
        <v>0.2688914738017459</v>
      </c>
      <c r="H519" s="7" t="n">
        <v>100</v>
      </c>
      <c r="I519" s="7" t="n">
        <v>-100</v>
      </c>
      <c r="J519" s="7" t="n">
        <v>14185.8617208431</v>
      </c>
      <c r="K519" s="7" t="n">
        <v>14385.8617208431</v>
      </c>
      <c r="L519" s="7" t="n">
        <v>-200</v>
      </c>
      <c r="M519" s="6" t="n">
        <v>-0.01390253874818135</v>
      </c>
      <c r="N519" s="7" t="n">
        <v>149.7276927915853</v>
      </c>
      <c r="O519" s="7" t="n">
        <v>-149.7276927915853</v>
      </c>
      <c r="P519" s="7" t="n">
        <v>14823.04158636694</v>
      </c>
      <c r="Q519" s="7" t="n">
        <v>15124.0093728874</v>
      </c>
      <c r="R519" s="7" t="n">
        <v>-300.9677865204594</v>
      </c>
      <c r="S519" s="6" t="n">
        <v>-0.01990000000000001</v>
      </c>
      <c r="T519" s="7" t="n">
        <v>2793.86332141578</v>
      </c>
      <c r="U519" s="7" t="n">
        <v>-2793.86332141578</v>
      </c>
      <c r="V519" s="7" t="n">
        <v>38767.34026625469</v>
      </c>
      <c r="W519" s="7" t="n">
        <v>44151.40467630046</v>
      </c>
      <c r="X519" s="7" t="n">
        <v>-5384.064410045772</v>
      </c>
      <c r="Y519" s="6" t="n">
        <v>-0.1219454839437039</v>
      </c>
      <c r="Z519" s="7" t="n">
        <v>6750.464634006672</v>
      </c>
      <c r="AA519" s="7" t="n">
        <v>-6750.464634006672</v>
      </c>
      <c r="AB519" s="7" t="n">
        <v>43459.12021124431</v>
      </c>
      <c r="AC519" s="7" t="n">
        <v>56883.9279714783</v>
      </c>
      <c r="AD519" s="7" t="n">
        <v>-13424.80776023399</v>
      </c>
      <c r="AE519" s="6" t="n">
        <v>-0.2360035292739491</v>
      </c>
    </row>
    <row r="520">
      <c r="A520" s="2" t="n">
        <v>511</v>
      </c>
      <c r="B520" s="2" t="inlineStr">
        <is>
          <t>KPROP-00511</t>
        </is>
      </c>
      <c r="C520" s="3" t="n">
        <v>46119</v>
      </c>
      <c r="D520" s="2" t="inlineStr">
        <is>
          <t>Paul Skenes</t>
        </is>
      </c>
      <c r="E520" s="2" t="inlineStr">
        <is>
          <t>Win</t>
        </is>
      </c>
      <c r="F520" s="2" t="n">
        <v>0.9523809523809523</v>
      </c>
      <c r="G520" s="6" t="n">
        <v>0.3033368773348583</v>
      </c>
      <c r="H520" s="7" t="n">
        <v>100</v>
      </c>
      <c r="I520" s="7" t="n">
        <v>95.23809523809523</v>
      </c>
      <c r="J520" s="7" t="n">
        <v>14281.09981608119</v>
      </c>
      <c r="K520" s="7" t="n">
        <v>14385.8617208431</v>
      </c>
      <c r="L520" s="7" t="n">
        <v>-104.7619047619046</v>
      </c>
      <c r="M520" s="6" t="n">
        <v>-0.007282282201428313</v>
      </c>
      <c r="N520" s="7" t="n">
        <v>148.2304158636694</v>
      </c>
      <c r="O520" s="7" t="n">
        <v>141.1718246320661</v>
      </c>
      <c r="P520" s="7" t="n">
        <v>14964.21341099901</v>
      </c>
      <c r="Q520" s="7" t="n">
        <v>15124.0093728874</v>
      </c>
      <c r="R520" s="7" t="n">
        <v>-159.7959618883924</v>
      </c>
      <c r="S520" s="6" t="n">
        <v>-0.01056571428571424</v>
      </c>
      <c r="T520" s="7" t="n">
        <v>2939.890984735903</v>
      </c>
      <c r="U520" s="7" t="n">
        <v>2799.896175938955</v>
      </c>
      <c r="V520" s="7" t="n">
        <v>41567.23644219364</v>
      </c>
      <c r="W520" s="7" t="n">
        <v>44151.40467630046</v>
      </c>
      <c r="X520" s="7" t="n">
        <v>-2584.168234106815</v>
      </c>
      <c r="Y520" s="6" t="n">
        <v>-0.0585296946507784</v>
      </c>
      <c r="Z520" s="7" t="n">
        <v>6591.376908299539</v>
      </c>
      <c r="AA520" s="7" t="n">
        <v>6277.501817428131</v>
      </c>
      <c r="AB520" s="7" t="n">
        <v>49736.62202867244</v>
      </c>
      <c r="AC520" s="7" t="n">
        <v>56883.9279714783</v>
      </c>
      <c r="AD520" s="7" t="n">
        <v>-7147.305942805862</v>
      </c>
      <c r="AE520" s="6" t="n">
        <v>-0.1256471941668574</v>
      </c>
    </row>
    <row r="521">
      <c r="A521" s="2" t="n">
        <v>512</v>
      </c>
      <c r="B521" s="2" t="inlineStr">
        <is>
          <t>KPROP-00512</t>
        </is>
      </c>
      <c r="C521" s="3" t="n">
        <v>46119</v>
      </c>
      <c r="D521" s="2" t="inlineStr">
        <is>
          <t>Taj Bradley</t>
        </is>
      </c>
      <c r="E521" s="2" t="inlineStr">
        <is>
          <t>Loss</t>
        </is>
      </c>
      <c r="F521" s="2" t="n">
        <v>-1</v>
      </c>
      <c r="G521" s="6" t="n">
        <v>0.1700545200807265</v>
      </c>
      <c r="H521" s="7" t="n">
        <v>100</v>
      </c>
      <c r="I521" s="7" t="n">
        <v>-100</v>
      </c>
      <c r="J521" s="7" t="n">
        <v>14181.09981608119</v>
      </c>
      <c r="K521" s="7" t="n">
        <v>14385.8617208431</v>
      </c>
      <c r="L521" s="7" t="n">
        <v>-204.7619047619046</v>
      </c>
      <c r="M521" s="6" t="n">
        <v>-0.01423355157551899</v>
      </c>
      <c r="N521" s="7" t="n">
        <v>149.6421341099901</v>
      </c>
      <c r="O521" s="7" t="n">
        <v>-149.6421341099901</v>
      </c>
      <c r="P521" s="7" t="n">
        <v>14814.57127688902</v>
      </c>
      <c r="Q521" s="7" t="n">
        <v>15124.0093728874</v>
      </c>
      <c r="R521" s="7" t="n">
        <v>-309.4380959983828</v>
      </c>
      <c r="S521" s="6" t="n">
        <v>-0.02046005714285711</v>
      </c>
      <c r="T521" s="7" t="n">
        <v>1767.174111064832</v>
      </c>
      <c r="U521" s="7" t="n">
        <v>-1767.174111064832</v>
      </c>
      <c r="V521" s="7" t="n">
        <v>39800.06233112881</v>
      </c>
      <c r="W521" s="7" t="n">
        <v>44151.40467630046</v>
      </c>
      <c r="X521" s="7" t="n">
        <v>-4351.342345171644</v>
      </c>
      <c r="Y521" s="6" t="n">
        <v>-0.09855501488738258</v>
      </c>
      <c r="Z521" s="7" t="n">
        <v>4228.968694761192</v>
      </c>
      <c r="AA521" s="7" t="n">
        <v>-4228.968694761192</v>
      </c>
      <c r="AB521" s="7" t="n">
        <v>45507.65333391125</v>
      </c>
      <c r="AC521" s="7" t="n">
        <v>56883.9279714783</v>
      </c>
      <c r="AD521" s="7" t="n">
        <v>-11376.27463756705</v>
      </c>
      <c r="AE521" s="6" t="n">
        <v>-0.1999910175554532</v>
      </c>
    </row>
    <row r="522">
      <c r="A522" s="2" t="n">
        <v>513</v>
      </c>
      <c r="B522" s="2" t="inlineStr">
        <is>
          <t>KPROP-00513</t>
        </is>
      </c>
      <c r="C522" s="3" t="n">
        <v>46119</v>
      </c>
      <c r="D522" s="2" t="inlineStr">
        <is>
          <t>Taj Bradley</t>
        </is>
      </c>
      <c r="E522" s="2" t="inlineStr">
        <is>
          <t>Loss</t>
        </is>
      </c>
      <c r="F522" s="2" t="n">
        <v>-1</v>
      </c>
      <c r="G522" s="6" t="n">
        <v>0.1657786009344088</v>
      </c>
      <c r="H522" s="7" t="n">
        <v>100</v>
      </c>
      <c r="I522" s="7" t="n">
        <v>-100</v>
      </c>
      <c r="J522" s="7" t="n">
        <v>14081.09981608119</v>
      </c>
      <c r="K522" s="7" t="n">
        <v>14385.8617208431</v>
      </c>
      <c r="L522" s="7" t="n">
        <v>-304.7619047619046</v>
      </c>
      <c r="M522" s="6" t="n">
        <v>-0.02118482094960966</v>
      </c>
      <c r="N522" s="7" t="n">
        <v>148.1457127688902</v>
      </c>
      <c r="O522" s="7" t="n">
        <v>-148.1457127688902</v>
      </c>
      <c r="P522" s="7" t="n">
        <v>14666.42556412013</v>
      </c>
      <c r="Q522" s="7" t="n">
        <v>15124.0093728874</v>
      </c>
      <c r="R522" s="7" t="n">
        <v>-457.5838087672728</v>
      </c>
      <c r="S522" s="6" t="n">
        <v>-0.03025545657142853</v>
      </c>
      <c r="T522" s="7" t="n">
        <v>1649.4996625892</v>
      </c>
      <c r="U522" s="7" t="n">
        <v>-1649.4996625892</v>
      </c>
      <c r="V522" s="7" t="n">
        <v>38150.56266853961</v>
      </c>
      <c r="W522" s="7" t="n">
        <v>44151.40467630046</v>
      </c>
      <c r="X522" s="7" t="n">
        <v>-6000.842007760846</v>
      </c>
      <c r="Y522" s="6" t="n">
        <v>-0.1359150870002098</v>
      </c>
      <c r="Z522" s="7" t="n">
        <v>3772.097550751945</v>
      </c>
      <c r="AA522" s="7" t="n">
        <v>-3772.097550751945</v>
      </c>
      <c r="AB522" s="7" t="n">
        <v>41735.5557831593</v>
      </c>
      <c r="AC522" s="7" t="n">
        <v>56883.9279714783</v>
      </c>
      <c r="AD522" s="7" t="n">
        <v>-15148.372188319</v>
      </c>
      <c r="AE522" s="6" t="n">
        <v>-0.2663032024777617</v>
      </c>
    </row>
    <row r="523">
      <c r="A523" s="2" t="n">
        <v>514</v>
      </c>
      <c r="B523" s="2" t="inlineStr">
        <is>
          <t>KPROP-00514</t>
        </is>
      </c>
      <c r="C523" s="3" t="n">
        <v>46119</v>
      </c>
      <c r="D523" s="2" t="inlineStr">
        <is>
          <t>Tarik Skubal</t>
        </is>
      </c>
      <c r="E523" s="2" t="inlineStr">
        <is>
          <t>Win</t>
        </is>
      </c>
      <c r="F523" s="2" t="n">
        <v>1.15</v>
      </c>
      <c r="G523" s="6" t="n">
        <v>0.332876314911813</v>
      </c>
      <c r="H523" s="7" t="n">
        <v>100</v>
      </c>
      <c r="I523" s="7" t="n">
        <v>115</v>
      </c>
      <c r="J523" s="7" t="n">
        <v>14196.09981608119</v>
      </c>
      <c r="K523" s="7" t="n">
        <v>14385.8617208431</v>
      </c>
      <c r="L523" s="7" t="n">
        <v>-189.7619047619046</v>
      </c>
      <c r="M523" s="6" t="n">
        <v>-0.01319086116940539</v>
      </c>
      <c r="N523" s="7" t="n">
        <v>146.6642556412013</v>
      </c>
      <c r="O523" s="7" t="n">
        <v>168.6638939873815</v>
      </c>
      <c r="P523" s="7" t="n">
        <v>14835.08945810751</v>
      </c>
      <c r="Q523" s="7" t="n">
        <v>15124.0093728874</v>
      </c>
      <c r="R523" s="7" t="n">
        <v>-288.9199147798918</v>
      </c>
      <c r="S523" s="6" t="n">
        <v>-0.01910339432199999</v>
      </c>
      <c r="T523" s="7" t="n">
        <v>3174.854678228912</v>
      </c>
      <c r="U523" s="7" t="n">
        <v>3651.082879963249</v>
      </c>
      <c r="V523" s="7" t="n">
        <v>41801.64554850286</v>
      </c>
      <c r="W523" s="7" t="n">
        <v>44151.40467630046</v>
      </c>
      <c r="X523" s="7" t="n">
        <v>-2349.759127797595</v>
      </c>
      <c r="Y523" s="6" t="n">
        <v>-0.05322048403725865</v>
      </c>
      <c r="Z523" s="7" t="n">
        <v>6946.389004947237</v>
      </c>
      <c r="AA523" s="7" t="n">
        <v>7988.347355689322</v>
      </c>
      <c r="AB523" s="7" t="n">
        <v>49723.90313884863</v>
      </c>
      <c r="AC523" s="7" t="n">
        <v>56883.9279714783</v>
      </c>
      <c r="AD523" s="7" t="n">
        <v>-7160.024832629679</v>
      </c>
      <c r="AE523" s="6" t="n">
        <v>-0.125870787900226</v>
      </c>
    </row>
    <row r="524">
      <c r="A524" s="2" t="n">
        <v>515</v>
      </c>
      <c r="B524" s="2" t="inlineStr">
        <is>
          <t>KPROP-00515</t>
        </is>
      </c>
      <c r="C524" s="3" t="n">
        <v>46119</v>
      </c>
      <c r="D524" s="2" t="inlineStr">
        <is>
          <t>Tarik Skubal</t>
        </is>
      </c>
      <c r="E524" s="2" t="inlineStr">
        <is>
          <t>Win</t>
        </is>
      </c>
      <c r="F524" s="2" t="n">
        <v>0.5555555555555556</v>
      </c>
      <c r="G524" s="6" t="n">
        <v>0.3480410275783707</v>
      </c>
      <c r="H524" s="7" t="n">
        <v>100</v>
      </c>
      <c r="I524" s="7" t="n">
        <v>55.55555555555556</v>
      </c>
      <c r="J524" s="7" t="n">
        <v>14251.65537163675</v>
      </c>
      <c r="K524" s="7" t="n">
        <v>14385.8617208431</v>
      </c>
      <c r="L524" s="7" t="n">
        <v>-134.2063492063498</v>
      </c>
      <c r="M524" s="6" t="n">
        <v>-0.00932904485046618</v>
      </c>
      <c r="N524" s="7" t="n">
        <v>148.3508945810751</v>
      </c>
      <c r="O524" s="7" t="n">
        <v>82.41716365615284</v>
      </c>
      <c r="P524" s="7" t="n">
        <v>14917.50662176366</v>
      </c>
      <c r="Q524" s="7" t="n">
        <v>15124.0093728874</v>
      </c>
      <c r="R524" s="7" t="n">
        <v>-206.5027511237386</v>
      </c>
      <c r="S524" s="6" t="n">
        <v>-0.01365396873489996</v>
      </c>
      <c r="T524" s="7" t="n">
        <v>3637.17191779194</v>
      </c>
      <c r="U524" s="7" t="n">
        <v>2020.651065439967</v>
      </c>
      <c r="V524" s="7" t="n">
        <v>43822.29661394283</v>
      </c>
      <c r="W524" s="7" t="n">
        <v>44151.40467630046</v>
      </c>
      <c r="X524" s="7" t="n">
        <v>-329.1080623576272</v>
      </c>
      <c r="Y524" s="6" t="n">
        <v>-0.00745407908922738</v>
      </c>
      <c r="Z524" s="7" t="n">
        <v>8652.979171826124</v>
      </c>
      <c r="AA524" s="7" t="n">
        <v>4807.210651014513</v>
      </c>
      <c r="AB524" s="7" t="n">
        <v>54531.11378986314</v>
      </c>
      <c r="AC524" s="7" t="n">
        <v>56883.9279714783</v>
      </c>
      <c r="AD524" s="7" t="n">
        <v>-2352.814181615162</v>
      </c>
      <c r="AE524" s="6" t="n">
        <v>-0.04136166867370458</v>
      </c>
    </row>
    <row r="525">
      <c r="A525" s="2" t="n">
        <v>516</v>
      </c>
      <c r="B525" s="2" t="inlineStr">
        <is>
          <t>KPROP-00516</t>
        </is>
      </c>
      <c r="C525" s="3" t="n">
        <v>46119</v>
      </c>
      <c r="D525" s="2" t="inlineStr">
        <is>
          <t>Trevor Rogers</t>
        </is>
      </c>
      <c r="E525" s="2" t="inlineStr">
        <is>
          <t>Loss</t>
        </is>
      </c>
      <c r="F525" s="2" t="n">
        <v>-1</v>
      </c>
      <c r="G525" s="6" t="n">
        <v>0.1215470477213325</v>
      </c>
      <c r="H525" s="7" t="n">
        <v>100</v>
      </c>
      <c r="I525" s="7" t="n">
        <v>-100</v>
      </c>
      <c r="J525" s="7" t="n">
        <v>14151.65537163675</v>
      </c>
      <c r="K525" s="7" t="n">
        <v>14385.8617208431</v>
      </c>
      <c r="L525" s="7" t="n">
        <v>-234.2063492063498</v>
      </c>
      <c r="M525" s="6" t="n">
        <v>-0.01628031422455685</v>
      </c>
      <c r="N525" s="7" t="n">
        <v>149.1750662176366</v>
      </c>
      <c r="O525" s="7" t="n">
        <v>-149.1750662176366</v>
      </c>
      <c r="P525" s="7" t="n">
        <v>14768.33155554603</v>
      </c>
      <c r="Q525" s="7" t="n">
        <v>15124.0093728874</v>
      </c>
      <c r="R525" s="7" t="n">
        <v>-355.677817341375</v>
      </c>
      <c r="S525" s="6" t="n">
        <v>-0.02351742904755095</v>
      </c>
      <c r="T525" s="7" t="n">
        <v>1331.617694448324</v>
      </c>
      <c r="U525" s="7" t="n">
        <v>-1331.617694448324</v>
      </c>
      <c r="V525" s="7" t="n">
        <v>42490.67891949451</v>
      </c>
      <c r="W525" s="7" t="n">
        <v>44151.40467630046</v>
      </c>
      <c r="X525" s="7" t="n">
        <v>-1660.72575680595</v>
      </c>
      <c r="Y525" s="6" t="n">
        <v>-0.03761433569286626</v>
      </c>
      <c r="Z525" s="7" t="n">
        <v>3314.047945056954</v>
      </c>
      <c r="AA525" s="7" t="n">
        <v>-3314.047945056954</v>
      </c>
      <c r="AB525" s="7" t="n">
        <v>51217.06584480619</v>
      </c>
      <c r="AC525" s="7" t="n">
        <v>56883.9279714783</v>
      </c>
      <c r="AD525" s="7" t="n">
        <v>-5666.862126672117</v>
      </c>
      <c r="AE525" s="6" t="n">
        <v>-0.09962149817631248</v>
      </c>
    </row>
    <row r="526">
      <c r="A526" s="2" t="n">
        <v>517</v>
      </c>
      <c r="B526" s="2" t="inlineStr">
        <is>
          <t>KPROP-00517</t>
        </is>
      </c>
      <c r="C526" s="3" t="n">
        <v>46119</v>
      </c>
      <c r="D526" s="2" t="inlineStr">
        <is>
          <t>Trevor Rogers</t>
        </is>
      </c>
      <c r="E526" s="2" t="inlineStr">
        <is>
          <t>Loss</t>
        </is>
      </c>
      <c r="F526" s="2" t="n">
        <v>-1</v>
      </c>
      <c r="G526" s="6" t="n">
        <v>0.2311913684076191</v>
      </c>
      <c r="H526" s="7" t="n">
        <v>100</v>
      </c>
      <c r="I526" s="7" t="n">
        <v>-100</v>
      </c>
      <c r="J526" s="7" t="n">
        <v>14051.65537163675</v>
      </c>
      <c r="K526" s="7" t="n">
        <v>14385.8617208431</v>
      </c>
      <c r="L526" s="7" t="n">
        <v>-334.2063492063498</v>
      </c>
      <c r="M526" s="6" t="n">
        <v>-0.02323158359864753</v>
      </c>
      <c r="N526" s="7" t="n">
        <v>147.6833155554603</v>
      </c>
      <c r="O526" s="7" t="n">
        <v>-147.6833155554603</v>
      </c>
      <c r="P526" s="7" t="n">
        <v>14620.64823999057</v>
      </c>
      <c r="Q526" s="7" t="n">
        <v>15124.0093728874</v>
      </c>
      <c r="R526" s="7" t="n">
        <v>-503.3611328968345</v>
      </c>
      <c r="S526" s="6" t="n">
        <v>-0.03328225475707539</v>
      </c>
      <c r="T526" s="7" t="n">
        <v>2455.869550991677</v>
      </c>
      <c r="U526" s="7" t="n">
        <v>-2455.869550991677</v>
      </c>
      <c r="V526" s="7" t="n">
        <v>40034.80936850283</v>
      </c>
      <c r="W526" s="7" t="n">
        <v>44151.40467630046</v>
      </c>
      <c r="X526" s="7" t="n">
        <v>-4116.59530779763</v>
      </c>
      <c r="Y526" s="6" t="n">
        <v>-0.09323815035962675</v>
      </c>
      <c r="Z526" s="7" t="n">
        <v>5920.471769241936</v>
      </c>
      <c r="AA526" s="7" t="n">
        <v>-5920.471769241936</v>
      </c>
      <c r="AB526" s="7" t="n">
        <v>45296.59407556425</v>
      </c>
      <c r="AC526" s="7" t="n">
        <v>56883.9279714783</v>
      </c>
      <c r="AD526" s="7" t="n">
        <v>-11587.33389591405</v>
      </c>
      <c r="AE526" s="6" t="n">
        <v>-0.2037013671370226</v>
      </c>
    </row>
    <row r="527">
      <c r="A527" s="2" t="n">
        <v>518</v>
      </c>
      <c r="B527" s="2" t="inlineStr">
        <is>
          <t>KPROP-00518</t>
        </is>
      </c>
      <c r="C527" s="3" t="n">
        <v>46120</v>
      </c>
      <c r="D527" s="2" t="inlineStr">
        <is>
          <t>Aaron Nola</t>
        </is>
      </c>
      <c r="E527" s="2" t="inlineStr">
        <is>
          <t>Win</t>
        </is>
      </c>
      <c r="F527" s="2" t="n">
        <v>0.7407407407407407</v>
      </c>
      <c r="G527" s="6" t="n">
        <v>0.1513726588345529</v>
      </c>
      <c r="H527" s="7" t="n">
        <v>100</v>
      </c>
      <c r="I527" s="7" t="n">
        <v>74.07407407407408</v>
      </c>
      <c r="J527" s="7" t="n">
        <v>14125.72944571082</v>
      </c>
      <c r="K527" s="7" t="n">
        <v>14385.8617208431</v>
      </c>
      <c r="L527" s="7" t="n">
        <v>-260.132275132275</v>
      </c>
      <c r="M527" s="6" t="n">
        <v>-0.01808249517339513</v>
      </c>
      <c r="N527" s="7" t="n">
        <v>146.2064823999057</v>
      </c>
      <c r="O527" s="7" t="n">
        <v>108.3010980740042</v>
      </c>
      <c r="P527" s="7" t="n">
        <v>14728.94933806457</v>
      </c>
      <c r="Q527" s="7" t="n">
        <v>15124.0093728874</v>
      </c>
      <c r="R527" s="7" t="n">
        <v>-395.0600348228309</v>
      </c>
      <c r="S527" s="6" t="n">
        <v>-0.0261213825700908</v>
      </c>
      <c r="T527" s="7" t="n">
        <v>1515.043885011186</v>
      </c>
      <c r="U527" s="7" t="n">
        <v>1122.254729637915</v>
      </c>
      <c r="V527" s="7" t="n">
        <v>41157.06409814074</v>
      </c>
      <c r="W527" s="7" t="n">
        <v>44151.40467630046</v>
      </c>
      <c r="X527" s="7" t="n">
        <v>-2994.340578159718</v>
      </c>
      <c r="Y527" s="6" t="n">
        <v>-0.06781982589484896</v>
      </c>
      <c r="Z527" s="7" t="n">
        <v>3428.33294068381</v>
      </c>
      <c r="AA527" s="7" t="n">
        <v>2539.505881988007</v>
      </c>
      <c r="AB527" s="7" t="n">
        <v>47836.09995755226</v>
      </c>
      <c r="AC527" s="7" t="n">
        <v>56883.9279714783</v>
      </c>
      <c r="AD527" s="7" t="n">
        <v>-9047.828013926046</v>
      </c>
      <c r="AE527" s="6" t="n">
        <v>-0.1590577222174714</v>
      </c>
    </row>
    <row r="528">
      <c r="A528" s="2" t="n">
        <v>519</v>
      </c>
      <c r="B528" s="2" t="inlineStr">
        <is>
          <t>KPROP-00519</t>
        </is>
      </c>
      <c r="C528" s="3" t="n">
        <v>46120</v>
      </c>
      <c r="D528" s="2" t="inlineStr">
        <is>
          <t>Bailey Ober</t>
        </is>
      </c>
      <c r="E528" s="2" t="inlineStr">
        <is>
          <t>Win</t>
        </is>
      </c>
      <c r="F528" s="2" t="n">
        <v>0.900900900900901</v>
      </c>
      <c r="G528" s="6" t="n">
        <v>0.2344132801083275</v>
      </c>
      <c r="H528" s="7" t="n">
        <v>100</v>
      </c>
      <c r="I528" s="7" t="n">
        <v>90.0900900900901</v>
      </c>
      <c r="J528" s="7" t="n">
        <v>14215.81953580091</v>
      </c>
      <c r="K528" s="7" t="n">
        <v>14385.8617208431</v>
      </c>
      <c r="L528" s="7" t="n">
        <v>-170.0421850421844</v>
      </c>
      <c r="M528" s="6" t="n">
        <v>-0.01182009033187196</v>
      </c>
      <c r="N528" s="7" t="n">
        <v>147.2894933806457</v>
      </c>
      <c r="O528" s="7" t="n">
        <v>132.693237279861</v>
      </c>
      <c r="P528" s="7" t="n">
        <v>14861.64257534443</v>
      </c>
      <c r="Q528" s="7" t="n">
        <v>15124.0093728874</v>
      </c>
      <c r="R528" s="7" t="n">
        <v>-262.3667975429707</v>
      </c>
      <c r="S528" s="6" t="n">
        <v>-0.01734770133198357</v>
      </c>
      <c r="T528" s="7" t="n">
        <v>2411.940598718463</v>
      </c>
      <c r="U528" s="7" t="n">
        <v>2172.919458304922</v>
      </c>
      <c r="V528" s="7" t="n">
        <v>43329.98355644567</v>
      </c>
      <c r="W528" s="7" t="n">
        <v>44151.40467630046</v>
      </c>
      <c r="X528" s="7" t="n">
        <v>-821.4211198547928</v>
      </c>
      <c r="Y528" s="6" t="n">
        <v>-0.01860464295252002</v>
      </c>
      <c r="Z528" s="7" t="n">
        <v>5606.708549319825</v>
      </c>
      <c r="AA528" s="7" t="n">
        <v>5051.088783171014</v>
      </c>
      <c r="AB528" s="7" t="n">
        <v>52887.18874072327</v>
      </c>
      <c r="AC528" s="7" t="n">
        <v>56883.9279714783</v>
      </c>
      <c r="AD528" s="7" t="n">
        <v>-3996.739230755033</v>
      </c>
      <c r="AE528" s="6" t="n">
        <v>-0.07026130883153857</v>
      </c>
    </row>
    <row r="529">
      <c r="A529" s="2" t="n">
        <v>520</v>
      </c>
      <c r="B529" s="2" t="inlineStr">
        <is>
          <t>KPROP-00520</t>
        </is>
      </c>
      <c r="C529" s="3" t="n">
        <v>46120</v>
      </c>
      <c r="D529" s="2" t="inlineStr">
        <is>
          <t>Brady Singer</t>
        </is>
      </c>
      <c r="E529" s="2" t="inlineStr">
        <is>
          <t>Win</t>
        </is>
      </c>
      <c r="F529" s="2" t="n">
        <v>1.02</v>
      </c>
      <c r="G529" s="6" t="n">
        <v>0.09588237033338995</v>
      </c>
      <c r="H529" s="7" t="n">
        <v>100</v>
      </c>
      <c r="I529" s="7" t="n">
        <v>102</v>
      </c>
      <c r="J529" s="7" t="n">
        <v>14317.81953580091</v>
      </c>
      <c r="K529" s="7" t="n">
        <v>14385.8617208431</v>
      </c>
      <c r="L529" s="7" t="n">
        <v>-68.04218504218443</v>
      </c>
      <c r="M529" s="6" t="n">
        <v>-0.004729795570299472</v>
      </c>
      <c r="N529" s="7" t="n">
        <v>148.6164257534443</v>
      </c>
      <c r="O529" s="7" t="n">
        <v>151.5887542685132</v>
      </c>
      <c r="P529" s="7" t="n">
        <v>15013.23132961294</v>
      </c>
      <c r="Q529" s="7" t="n">
        <v>15124.0093728874</v>
      </c>
      <c r="R529" s="7" t="n">
        <v>-110.7780432744585</v>
      </c>
      <c r="S529" s="6" t="n">
        <v>-0.007324647885569861</v>
      </c>
      <c r="T529" s="7" t="n">
        <v>1038.645382474705</v>
      </c>
      <c r="U529" s="7" t="n">
        <v>1059.418290124199</v>
      </c>
      <c r="V529" s="7" t="n">
        <v>44389.40184656987</v>
      </c>
      <c r="W529" s="7" t="n">
        <v>44389.40184656987</v>
      </c>
      <c r="X529" s="7" t="n">
        <v>0</v>
      </c>
      <c r="Y529" s="6" t="n">
        <v>0</v>
      </c>
      <c r="Z529" s="7" t="n">
        <v>2535.47450836496</v>
      </c>
      <c r="AA529" s="7" t="n">
        <v>2586.183998532259</v>
      </c>
      <c r="AB529" s="7" t="n">
        <v>55473.37273925553</v>
      </c>
      <c r="AC529" s="7" t="n">
        <v>56883.9279714783</v>
      </c>
      <c r="AD529" s="7" t="n">
        <v>-1410.555232222774</v>
      </c>
      <c r="AE529" s="6" t="n">
        <v>-0.02479707858659178</v>
      </c>
    </row>
    <row r="530">
      <c r="A530" s="2" t="n">
        <v>521</v>
      </c>
      <c r="B530" s="2" t="inlineStr">
        <is>
          <t>KPROP-00521</t>
        </is>
      </c>
      <c r="C530" s="3" t="n">
        <v>46120</v>
      </c>
      <c r="D530" s="2" t="inlineStr">
        <is>
          <t>Cole Ragans</t>
        </is>
      </c>
      <c r="E530" s="2" t="inlineStr">
        <is>
          <t>Win</t>
        </is>
      </c>
      <c r="F530" s="2" t="n">
        <v>1.1</v>
      </c>
      <c r="G530" s="6" t="n">
        <v>0.3422473596192794</v>
      </c>
      <c r="H530" s="7" t="n">
        <v>100</v>
      </c>
      <c r="I530" s="7" t="n">
        <v>110</v>
      </c>
      <c r="J530" s="7" t="n">
        <v>14427.81953580091</v>
      </c>
      <c r="K530" s="7" t="n">
        <v>14427.81953580091</v>
      </c>
      <c r="L530" s="7" t="n">
        <v>0</v>
      </c>
      <c r="M530" s="6" t="n">
        <v>0</v>
      </c>
      <c r="N530" s="7" t="n">
        <v>150.1323132961294</v>
      </c>
      <c r="O530" s="7" t="n">
        <v>165.1455446257424</v>
      </c>
      <c r="P530" s="7" t="n">
        <v>15178.37687423869</v>
      </c>
      <c r="Q530" s="7" t="n">
        <v>15178.37687423869</v>
      </c>
      <c r="R530" s="7" t="n">
        <v>0</v>
      </c>
      <c r="S530" s="6" t="n">
        <v>0</v>
      </c>
      <c r="T530" s="7" t="n">
        <v>3798.038894266926</v>
      </c>
      <c r="U530" s="7" t="n">
        <v>4177.842783693619</v>
      </c>
      <c r="V530" s="7" t="n">
        <v>48567.24463026349</v>
      </c>
      <c r="W530" s="7" t="n">
        <v>48567.24463026349</v>
      </c>
      <c r="X530" s="7" t="n">
        <v>0</v>
      </c>
      <c r="Y530" s="6" t="n">
        <v>0</v>
      </c>
      <c r="Z530" s="7" t="n">
        <v>9492.807674593159</v>
      </c>
      <c r="AA530" s="7" t="n">
        <v>10442.08844205248</v>
      </c>
      <c r="AB530" s="7" t="n">
        <v>65915.46118130801</v>
      </c>
      <c r="AC530" s="7" t="n">
        <v>65915.46118130801</v>
      </c>
      <c r="AD530" s="7" t="n">
        <v>0</v>
      </c>
      <c r="AE530" s="6" t="n">
        <v>0</v>
      </c>
    </row>
    <row r="531">
      <c r="A531" s="2" t="n">
        <v>522</v>
      </c>
      <c r="B531" s="2" t="inlineStr">
        <is>
          <t>KPROP-00522</t>
        </is>
      </c>
      <c r="C531" s="3" t="n">
        <v>46120</v>
      </c>
      <c r="D531" s="2" t="inlineStr">
        <is>
          <t>David Peterson</t>
        </is>
      </c>
      <c r="E531" s="2" t="inlineStr">
        <is>
          <t>Loss</t>
        </is>
      </c>
      <c r="F531" s="2" t="n">
        <v>-1</v>
      </c>
      <c r="G531" s="6" t="n">
        <v>0.3440361052253424</v>
      </c>
      <c r="H531" s="7" t="n">
        <v>100</v>
      </c>
      <c r="I531" s="7" t="n">
        <v>-100</v>
      </c>
      <c r="J531" s="7" t="n">
        <v>14327.81953580091</v>
      </c>
      <c r="K531" s="7" t="n">
        <v>14427.81953580091</v>
      </c>
      <c r="L531" s="7" t="n">
        <v>-100</v>
      </c>
      <c r="M531" s="6" t="n">
        <v>-0.006931054256110005</v>
      </c>
      <c r="N531" s="7" t="n">
        <v>151.7837687423869</v>
      </c>
      <c r="O531" s="7" t="n">
        <v>-151.7837687423869</v>
      </c>
      <c r="P531" s="7" t="n">
        <v>15026.5931054963</v>
      </c>
      <c r="Q531" s="7" t="n">
        <v>15178.37687423869</v>
      </c>
      <c r="R531" s="7" t="n">
        <v>-151.7837687423871</v>
      </c>
      <c r="S531" s="6" t="n">
        <v>-0.01000000000000002</v>
      </c>
      <c r="T531" s="7" t="n">
        <v>4177.221421030569</v>
      </c>
      <c r="U531" s="7" t="n">
        <v>-4177.221421030569</v>
      </c>
      <c r="V531" s="7" t="n">
        <v>44390.02320923292</v>
      </c>
      <c r="W531" s="7" t="n">
        <v>48567.24463026349</v>
      </c>
      <c r="X531" s="7" t="n">
        <v>-4177.221421030568</v>
      </c>
      <c r="Y531" s="6" t="n">
        <v>-0.0860090263063356</v>
      </c>
      <c r="Z531" s="7" t="n">
        <v>11338.64926947473</v>
      </c>
      <c r="AA531" s="7" t="n">
        <v>-11338.64926947473</v>
      </c>
      <c r="AB531" s="7" t="n">
        <v>54576.81191183328</v>
      </c>
      <c r="AC531" s="7" t="n">
        <v>65915.46118130801</v>
      </c>
      <c r="AD531" s="7" t="n">
        <v>-11338.64926947473</v>
      </c>
      <c r="AE531" s="6" t="n">
        <v>-0.1720180526126712</v>
      </c>
    </row>
    <row r="532">
      <c r="A532" s="2" t="n">
        <v>523</v>
      </c>
      <c r="B532" s="2" t="inlineStr">
        <is>
          <t>KPROP-00523</t>
        </is>
      </c>
      <c r="C532" s="3" t="n">
        <v>46120</v>
      </c>
      <c r="D532" s="2" t="inlineStr">
        <is>
          <t>Dylan Cease</t>
        </is>
      </c>
      <c r="E532" s="2" t="inlineStr">
        <is>
          <t>Loss</t>
        </is>
      </c>
      <c r="F532" s="2" t="n">
        <v>-1</v>
      </c>
      <c r="G532" s="6" t="n">
        <v>0.1657103069083717</v>
      </c>
      <c r="H532" s="7" t="n">
        <v>100</v>
      </c>
      <c r="I532" s="7" t="n">
        <v>-100</v>
      </c>
      <c r="J532" s="7" t="n">
        <v>14227.81953580091</v>
      </c>
      <c r="K532" s="7" t="n">
        <v>14427.81953580091</v>
      </c>
      <c r="L532" s="7" t="n">
        <v>-200</v>
      </c>
      <c r="M532" s="6" t="n">
        <v>-0.01386210851222001</v>
      </c>
      <c r="N532" s="7" t="n">
        <v>150.265931054963</v>
      </c>
      <c r="O532" s="7" t="n">
        <v>-150.265931054963</v>
      </c>
      <c r="P532" s="7" t="n">
        <v>14876.32717444134</v>
      </c>
      <c r="Q532" s="7" t="n">
        <v>15178.37687423869</v>
      </c>
      <c r="R532" s="7" t="n">
        <v>-302.0496997973496</v>
      </c>
      <c r="S532" s="6" t="n">
        <v>-0.01989999999999998</v>
      </c>
      <c r="T532" s="7" t="n">
        <v>1838.971092417933</v>
      </c>
      <c r="U532" s="7" t="n">
        <v>-1838.971092417933</v>
      </c>
      <c r="V532" s="7" t="n">
        <v>42551.05211681499</v>
      </c>
      <c r="W532" s="7" t="n">
        <v>48567.24463026349</v>
      </c>
      <c r="X532" s="7" t="n">
        <v>-6016.192513448499</v>
      </c>
      <c r="Y532" s="6" t="n">
        <v>-0.1238734574969002</v>
      </c>
      <c r="Z532" s="7" t="n">
        <v>4521.970125995185</v>
      </c>
      <c r="AA532" s="7" t="n">
        <v>-4521.970125995185</v>
      </c>
      <c r="AB532" s="7" t="n">
        <v>50054.8417858381</v>
      </c>
      <c r="AC532" s="7" t="n">
        <v>65915.46118130801</v>
      </c>
      <c r="AD532" s="7" t="n">
        <v>-15860.61939546991</v>
      </c>
      <c r="AE532" s="6" t="n">
        <v>-0.240620623920744</v>
      </c>
    </row>
    <row r="533">
      <c r="A533" s="2" t="n">
        <v>524</v>
      </c>
      <c r="B533" s="2" t="inlineStr">
        <is>
          <t>KPROP-00524</t>
        </is>
      </c>
      <c r="C533" s="3" t="n">
        <v>46120</v>
      </c>
      <c r="D533" s="2" t="inlineStr">
        <is>
          <t>Dylan Cease</t>
        </is>
      </c>
      <c r="E533" s="2" t="inlineStr">
        <is>
          <t>Loss</t>
        </is>
      </c>
      <c r="F533" s="2" t="n">
        <v>-1</v>
      </c>
      <c r="G533" s="6" t="n">
        <v>0.1724221269013197</v>
      </c>
      <c r="H533" s="7" t="n">
        <v>100</v>
      </c>
      <c r="I533" s="7" t="n">
        <v>-100</v>
      </c>
      <c r="J533" s="7" t="n">
        <v>14127.81953580091</v>
      </c>
      <c r="K533" s="7" t="n">
        <v>14427.81953580091</v>
      </c>
      <c r="L533" s="7" t="n">
        <v>-300</v>
      </c>
      <c r="M533" s="6" t="n">
        <v>-0.02079316276833001</v>
      </c>
      <c r="N533" s="7" t="n">
        <v>148.7632717444134</v>
      </c>
      <c r="O533" s="7" t="n">
        <v>-148.7632717444134</v>
      </c>
      <c r="P533" s="7" t="n">
        <v>14727.56390269692</v>
      </c>
      <c r="Q533" s="7" t="n">
        <v>15178.37687423869</v>
      </c>
      <c r="R533" s="7" t="n">
        <v>-450.8129715417635</v>
      </c>
      <c r="S533" s="6" t="n">
        <v>-0.02970100000000002</v>
      </c>
      <c r="T533" s="7" t="n">
        <v>1834.185726967535</v>
      </c>
      <c r="U533" s="7" t="n">
        <v>-1834.185726967535</v>
      </c>
      <c r="V533" s="7" t="n">
        <v>40716.86638984745</v>
      </c>
      <c r="W533" s="7" t="n">
        <v>48567.24463026349</v>
      </c>
      <c r="X533" s="7" t="n">
        <v>-7850.378240416037</v>
      </c>
      <c r="Y533" s="6" t="n">
        <v>-0.1616393579701713</v>
      </c>
      <c r="Z533" s="7" t="n">
        <v>4315.281141211628</v>
      </c>
      <c r="AA533" s="7" t="n">
        <v>-4315.281141211628</v>
      </c>
      <c r="AB533" s="7" t="n">
        <v>45739.56064462647</v>
      </c>
      <c r="AC533" s="7" t="n">
        <v>65915.46118130801</v>
      </c>
      <c r="AD533" s="7" t="n">
        <v>-20175.90053668154</v>
      </c>
      <c r="AE533" s="6" t="n">
        <v>-0.3060875274950351</v>
      </c>
    </row>
    <row r="534">
      <c r="A534" s="2" t="n">
        <v>525</v>
      </c>
      <c r="B534" s="2" t="inlineStr">
        <is>
          <t>KPROP-00525</t>
        </is>
      </c>
      <c r="C534" s="3" t="n">
        <v>46120</v>
      </c>
      <c r="D534" s="2" t="inlineStr">
        <is>
          <t>Joey Cantillo</t>
        </is>
      </c>
      <c r="E534" s="2" t="inlineStr">
        <is>
          <t>Loss</t>
        </is>
      </c>
      <c r="F534" s="2" t="n">
        <v>-1</v>
      </c>
      <c r="G534" s="6" t="n">
        <v>0.1268622396066815</v>
      </c>
      <c r="H534" s="7" t="n">
        <v>100</v>
      </c>
      <c r="I534" s="7" t="n">
        <v>-100</v>
      </c>
      <c r="J534" s="7" t="n">
        <v>14027.81953580091</v>
      </c>
      <c r="K534" s="7" t="n">
        <v>14427.81953580091</v>
      </c>
      <c r="L534" s="7" t="n">
        <v>-400</v>
      </c>
      <c r="M534" s="6" t="n">
        <v>-0.02772421702444002</v>
      </c>
      <c r="N534" s="7" t="n">
        <v>147.2756390269692</v>
      </c>
      <c r="O534" s="7" t="n">
        <v>-147.2756390269692</v>
      </c>
      <c r="P534" s="7" t="n">
        <v>14580.28826366995</v>
      </c>
      <c r="Q534" s="7" t="n">
        <v>15178.37687423869</v>
      </c>
      <c r="R534" s="7" t="n">
        <v>-598.0886105687332</v>
      </c>
      <c r="S534" s="6" t="n">
        <v>-0.03940399000000005</v>
      </c>
      <c r="T534" s="7" t="n">
        <v>1291.358214995516</v>
      </c>
      <c r="U534" s="7" t="n">
        <v>-1291.358214995516</v>
      </c>
      <c r="V534" s="7" t="n">
        <v>39425.50817485193</v>
      </c>
      <c r="W534" s="7" t="n">
        <v>48567.24463026349</v>
      </c>
      <c r="X534" s="7" t="n">
        <v>-9141.736455411556</v>
      </c>
      <c r="Y534" s="6" t="n">
        <v>-0.1882284351316712</v>
      </c>
      <c r="Z534" s="7" t="n">
        <v>2901.311551001471</v>
      </c>
      <c r="AA534" s="7" t="n">
        <v>-2901.311551001471</v>
      </c>
      <c r="AB534" s="7" t="n">
        <v>42838.249093625</v>
      </c>
      <c r="AC534" s="7" t="n">
        <v>65915.46118130801</v>
      </c>
      <c r="AD534" s="7" t="n">
        <v>-23077.21208768301</v>
      </c>
      <c r="AE534" s="6" t="n">
        <v>-0.35010317267153</v>
      </c>
    </row>
    <row r="535">
      <c r="A535" s="2" t="n">
        <v>526</v>
      </c>
      <c r="B535" s="2" t="inlineStr">
        <is>
          <t>KPROP-00526</t>
        </is>
      </c>
      <c r="C535" s="3" t="n">
        <v>46120</v>
      </c>
      <c r="D535" s="2" t="inlineStr">
        <is>
          <t>Joey Cantillo</t>
        </is>
      </c>
      <c r="E535" s="2" t="inlineStr">
        <is>
          <t>Loss</t>
        </is>
      </c>
      <c r="F535" s="2" t="n">
        <v>-1</v>
      </c>
      <c r="G535" s="6" t="n">
        <v>0.2319161916086282</v>
      </c>
      <c r="H535" s="7" t="n">
        <v>100</v>
      </c>
      <c r="I535" s="7" t="n">
        <v>-100</v>
      </c>
      <c r="J535" s="7" t="n">
        <v>13927.81953580091</v>
      </c>
      <c r="K535" s="7" t="n">
        <v>14427.81953580091</v>
      </c>
      <c r="L535" s="7" t="n">
        <v>-500</v>
      </c>
      <c r="M535" s="6" t="n">
        <v>-0.03465527128055002</v>
      </c>
      <c r="N535" s="7" t="n">
        <v>145.8028826366995</v>
      </c>
      <c r="O535" s="7" t="n">
        <v>-145.8028826366995</v>
      </c>
      <c r="P535" s="7" t="n">
        <v>14434.48538103325</v>
      </c>
      <c r="Q535" s="7" t="n">
        <v>15178.37687423869</v>
      </c>
      <c r="R535" s="7" t="n">
        <v>-743.8914932054322</v>
      </c>
      <c r="S535" s="6" t="n">
        <v>-0.04900995010000002</v>
      </c>
      <c r="T535" s="7" t="n">
        <v>2285.853427036624</v>
      </c>
      <c r="U535" s="7" t="n">
        <v>-2285.853427036624</v>
      </c>
      <c r="V535" s="7" t="n">
        <v>37139.65474781531</v>
      </c>
      <c r="W535" s="7" t="n">
        <v>48567.24463026349</v>
      </c>
      <c r="X535" s="7" t="n">
        <v>-11427.58988244818</v>
      </c>
      <c r="Y535" s="6" t="n">
        <v>-0.2352941775767809</v>
      </c>
      <c r="Z535" s="7" t="n">
        <v>4967.44179248764</v>
      </c>
      <c r="AA535" s="7" t="n">
        <v>-4967.44179248764</v>
      </c>
      <c r="AB535" s="7" t="n">
        <v>37870.80730113736</v>
      </c>
      <c r="AC535" s="7" t="n">
        <v>65915.46118130801</v>
      </c>
      <c r="AD535" s="7" t="n">
        <v>-28044.65388017065</v>
      </c>
      <c r="AE535" s="6" t="n">
        <v>-0.4254639712378044</v>
      </c>
    </row>
    <row r="536">
      <c r="A536" s="2" t="n">
        <v>527</v>
      </c>
      <c r="B536" s="2" t="inlineStr">
        <is>
          <t>KPROP-00527</t>
        </is>
      </c>
      <c r="C536" s="3" t="n">
        <v>46120</v>
      </c>
      <c r="D536" s="2" t="inlineStr">
        <is>
          <t>MacKenzie Gore</t>
        </is>
      </c>
      <c r="E536" s="2" t="inlineStr">
        <is>
          <t>Loss</t>
        </is>
      </c>
      <c r="F536" s="2" t="n">
        <v>-1</v>
      </c>
      <c r="G536" s="6" t="n">
        <v>0.3152264587776344</v>
      </c>
      <c r="H536" s="7" t="n">
        <v>100</v>
      </c>
      <c r="I536" s="7" t="n">
        <v>-100</v>
      </c>
      <c r="J536" s="7" t="n">
        <v>13827.81953580091</v>
      </c>
      <c r="K536" s="7" t="n">
        <v>14427.81953580091</v>
      </c>
      <c r="L536" s="7" t="n">
        <v>-600</v>
      </c>
      <c r="M536" s="6" t="n">
        <v>-0.04158632553666003</v>
      </c>
      <c r="N536" s="7" t="n">
        <v>144.3448538103325</v>
      </c>
      <c r="O536" s="7" t="n">
        <v>-144.3448538103325</v>
      </c>
      <c r="P536" s="7" t="n">
        <v>14290.14052722292</v>
      </c>
      <c r="Q536" s="7" t="n">
        <v>15178.37687423869</v>
      </c>
      <c r="R536" s="7" t="n">
        <v>-888.2363470157652</v>
      </c>
      <c r="S536" s="6" t="n">
        <v>-0.05851985059900005</v>
      </c>
      <c r="T536" s="7" t="n">
        <v>2926.850461594444</v>
      </c>
      <c r="U536" s="7" t="n">
        <v>-2926.850461594444</v>
      </c>
      <c r="V536" s="7" t="n">
        <v>34212.80428622086</v>
      </c>
      <c r="W536" s="7" t="n">
        <v>48567.24463026349</v>
      </c>
      <c r="X536" s="7" t="n">
        <v>-14354.44034404262</v>
      </c>
      <c r="Y536" s="6" t="n">
        <v>-0.2955580546790585</v>
      </c>
      <c r="Z536" s="7" t="n">
        <v>5968.940238293857</v>
      </c>
      <c r="AA536" s="7" t="n">
        <v>-5968.940238293857</v>
      </c>
      <c r="AB536" s="7" t="n">
        <v>31901.86706284351</v>
      </c>
      <c r="AC536" s="7" t="n">
        <v>65915.46118130801</v>
      </c>
      <c r="AD536" s="7" t="n">
        <v>-34013.59411846451</v>
      </c>
      <c r="AE536" s="6" t="n">
        <v>-0.5160184501312405</v>
      </c>
    </row>
    <row r="537">
      <c r="A537" s="2" t="n">
        <v>528</v>
      </c>
      <c r="B537" s="2" t="inlineStr">
        <is>
          <t>KPROP-00528</t>
        </is>
      </c>
      <c r="C537" s="3" t="n">
        <v>46120</v>
      </c>
      <c r="D537" s="2" t="inlineStr">
        <is>
          <t>MacKenzie Gore</t>
        </is>
      </c>
      <c r="E537" s="2" t="inlineStr">
        <is>
          <t>Loss</t>
        </is>
      </c>
      <c r="F537" s="2" t="n">
        <v>-1</v>
      </c>
      <c r="G537" s="6" t="n">
        <v>0.410684396449524</v>
      </c>
      <c r="H537" s="7" t="n">
        <v>100</v>
      </c>
      <c r="I537" s="7" t="n">
        <v>-100</v>
      </c>
      <c r="J537" s="7" t="n">
        <v>13727.81953580091</v>
      </c>
      <c r="K537" s="7" t="n">
        <v>14427.81953580091</v>
      </c>
      <c r="L537" s="7" t="n">
        <v>-700</v>
      </c>
      <c r="M537" s="6" t="n">
        <v>-0.04851737979277004</v>
      </c>
      <c r="N537" s="7" t="n">
        <v>142.9014052722292</v>
      </c>
      <c r="O537" s="7" t="n">
        <v>-142.9014052722292</v>
      </c>
      <c r="P537" s="7" t="n">
        <v>14147.23912195069</v>
      </c>
      <c r="Q537" s="7" t="n">
        <v>15178.37687423869</v>
      </c>
      <c r="R537" s="7" t="n">
        <v>-1031.137752287994</v>
      </c>
      <c r="S537" s="6" t="n">
        <v>-0.06793465209301001</v>
      </c>
      <c r="T537" s="7" t="n">
        <v>3512.666219783075</v>
      </c>
      <c r="U537" s="7" t="n">
        <v>-3512.666219783075</v>
      </c>
      <c r="V537" s="7" t="n">
        <v>30700.13806643779</v>
      </c>
      <c r="W537" s="7" t="n">
        <v>48567.24463026349</v>
      </c>
      <c r="X537" s="7" t="n">
        <v>-17867.1065638257</v>
      </c>
      <c r="Y537" s="6" t="n">
        <v>-0.3678838834660233</v>
      </c>
      <c r="Z537" s="7" t="n">
        <v>6550.799510158417</v>
      </c>
      <c r="AA537" s="7" t="n">
        <v>-6550.799510158417</v>
      </c>
      <c r="AB537" s="7" t="n">
        <v>25351.06755268509</v>
      </c>
      <c r="AC537" s="7" t="n">
        <v>65915.46118130801</v>
      </c>
      <c r="AD537" s="7" t="n">
        <v>-40564.39362862292</v>
      </c>
      <c r="AE537" s="6" t="n">
        <v>-0.6154002854815188</v>
      </c>
    </row>
    <row r="538">
      <c r="A538" s="2" t="n">
        <v>529</v>
      </c>
      <c r="B538" s="2" t="inlineStr">
        <is>
          <t>KPROP-00529</t>
        </is>
      </c>
      <c r="C538" s="3" t="n">
        <v>46120</v>
      </c>
      <c r="D538" s="2" t="inlineStr">
        <is>
          <t>Michael King</t>
        </is>
      </c>
      <c r="E538" s="2" t="inlineStr">
        <is>
          <t>Win</t>
        </is>
      </c>
      <c r="F538" s="2" t="n">
        <v>1.1</v>
      </c>
      <c r="G538" s="6" t="n">
        <v>0.3481198275243477</v>
      </c>
      <c r="H538" s="7" t="n">
        <v>100</v>
      </c>
      <c r="I538" s="7" t="n">
        <v>110</v>
      </c>
      <c r="J538" s="7" t="n">
        <v>13837.81953580091</v>
      </c>
      <c r="K538" s="7" t="n">
        <v>14427.81953580091</v>
      </c>
      <c r="L538" s="7" t="n">
        <v>-590</v>
      </c>
      <c r="M538" s="6" t="n">
        <v>-0.04089322011104903</v>
      </c>
      <c r="N538" s="7" t="n">
        <v>141.4723912195069</v>
      </c>
      <c r="O538" s="7" t="n">
        <v>155.6196303414577</v>
      </c>
      <c r="P538" s="7" t="n">
        <v>14302.85875229215</v>
      </c>
      <c r="Q538" s="7" t="n">
        <v>15178.37687423869</v>
      </c>
      <c r="R538" s="7" t="n">
        <v>-875.5181219465358</v>
      </c>
      <c r="S538" s="6" t="n">
        <v>-0.05768193326603309</v>
      </c>
      <c r="T538" s="7" t="n">
        <v>2671.831692165495</v>
      </c>
      <c r="U538" s="7" t="n">
        <v>2939.014861382045</v>
      </c>
      <c r="V538" s="7" t="n">
        <v>33639.15292781983</v>
      </c>
      <c r="W538" s="7" t="n">
        <v>48567.24463026349</v>
      </c>
      <c r="X538" s="7" t="n">
        <v>-14928.09170244366</v>
      </c>
      <c r="Y538" s="6" t="n">
        <v>-0.3073695412636521</v>
      </c>
      <c r="Z538" s="7" t="n">
        <v>4412.60463199941</v>
      </c>
      <c r="AA538" s="7" t="n">
        <v>4853.865095199351</v>
      </c>
      <c r="AB538" s="7" t="n">
        <v>30204.93264788444</v>
      </c>
      <c r="AC538" s="7" t="n">
        <v>65915.46118130801</v>
      </c>
      <c r="AD538" s="7" t="n">
        <v>-35710.52853342357</v>
      </c>
      <c r="AE538" s="6" t="n">
        <v>-0.5417625530252709</v>
      </c>
    </row>
    <row r="539">
      <c r="A539" s="2" t="n">
        <v>530</v>
      </c>
      <c r="B539" s="2" t="inlineStr">
        <is>
          <t>KPROP-00530</t>
        </is>
      </c>
      <c r="C539" s="3" t="n">
        <v>46120</v>
      </c>
      <c r="D539" s="2" t="inlineStr">
        <is>
          <t>Reid Detmers</t>
        </is>
      </c>
      <c r="E539" s="2" t="inlineStr">
        <is>
          <t>Win</t>
        </is>
      </c>
      <c r="F539" s="2" t="n">
        <v>1.06</v>
      </c>
      <c r="G539" s="6" t="n">
        <v>0.073501457588192</v>
      </c>
      <c r="H539" s="7" t="n">
        <v>100</v>
      </c>
      <c r="I539" s="7" t="n">
        <v>106</v>
      </c>
      <c r="J539" s="7" t="n">
        <v>13943.81953580091</v>
      </c>
      <c r="K539" s="7" t="n">
        <v>14427.81953580091</v>
      </c>
      <c r="L539" s="7" t="n">
        <v>-484</v>
      </c>
      <c r="M539" s="6" t="n">
        <v>-0.03354630259957242</v>
      </c>
      <c r="N539" s="7" t="n">
        <v>143.0285875229215</v>
      </c>
      <c r="O539" s="7" t="n">
        <v>151.6103027742968</v>
      </c>
      <c r="P539" s="7" t="n">
        <v>14454.46905506645</v>
      </c>
      <c r="Q539" s="7" t="n">
        <v>15178.37687423869</v>
      </c>
      <c r="R539" s="7" t="n">
        <v>-723.9078191722383</v>
      </c>
      <c r="S539" s="6" t="n">
        <v>-0.047693361758653</v>
      </c>
      <c r="T539" s="7" t="n">
        <v>618.1316930567135</v>
      </c>
      <c r="U539" s="7" t="n">
        <v>655.2195946401164</v>
      </c>
      <c r="V539" s="7" t="n">
        <v>34294.37252245995</v>
      </c>
      <c r="W539" s="7" t="n">
        <v>48567.24463026349</v>
      </c>
      <c r="X539" s="7" t="n">
        <v>-14272.87210780354</v>
      </c>
      <c r="Y539" s="6" t="n">
        <v>-0.2938785639675706</v>
      </c>
      <c r="Z539" s="7" t="n">
        <v>1110.053287986337</v>
      </c>
      <c r="AA539" s="7" t="n">
        <v>1176.656485265517</v>
      </c>
      <c r="AB539" s="7" t="n">
        <v>31381.58913314996</v>
      </c>
      <c r="AC539" s="7" t="n">
        <v>65915.46118130801</v>
      </c>
      <c r="AD539" s="7" t="n">
        <v>-34533.87204815805</v>
      </c>
      <c r="AE539" s="6" t="n">
        <v>-0.5239115592799797</v>
      </c>
    </row>
    <row r="540">
      <c r="A540" s="2" t="n">
        <v>531</v>
      </c>
      <c r="B540" s="2" t="inlineStr">
        <is>
          <t>KPROP-00531</t>
        </is>
      </c>
      <c r="C540" s="3" t="n">
        <v>46120</v>
      </c>
      <c r="D540" s="2" t="inlineStr">
        <is>
          <t>Sean Burke</t>
        </is>
      </c>
      <c r="E540" s="2" t="inlineStr">
        <is>
          <t>Win</t>
        </is>
      </c>
      <c r="F540" s="2" t="n">
        <v>1.1</v>
      </c>
      <c r="G540" s="6" t="n">
        <v>0.08049708977076686</v>
      </c>
      <c r="H540" s="7" t="n">
        <v>100</v>
      </c>
      <c r="I540" s="7" t="n">
        <v>110</v>
      </c>
      <c r="J540" s="7" t="n">
        <v>14053.81953580091</v>
      </c>
      <c r="K540" s="7" t="n">
        <v>14427.81953580091</v>
      </c>
      <c r="L540" s="7" t="n">
        <v>-374</v>
      </c>
      <c r="M540" s="6" t="n">
        <v>-0.02592214291785142</v>
      </c>
      <c r="N540" s="7" t="n">
        <v>144.5446905506645</v>
      </c>
      <c r="O540" s="7" t="n">
        <v>158.9991596057309</v>
      </c>
      <c r="P540" s="7" t="n">
        <v>14613.46821467218</v>
      </c>
      <c r="Q540" s="7" t="n">
        <v>15178.37687423869</v>
      </c>
      <c r="R540" s="7" t="n">
        <v>-564.9086595665067</v>
      </c>
      <c r="S540" s="6" t="n">
        <v>-0.03721798873799813</v>
      </c>
      <c r="T540" s="7" t="n">
        <v>690.1492958931447</v>
      </c>
      <c r="U540" s="7" t="n">
        <v>759.1642254824592</v>
      </c>
      <c r="V540" s="7" t="n">
        <v>35053.53674794241</v>
      </c>
      <c r="W540" s="7" t="n">
        <v>48567.24463026349</v>
      </c>
      <c r="X540" s="7" t="n">
        <v>-13513.70788232108</v>
      </c>
      <c r="Y540" s="6" t="n">
        <v>-0.2782473657955951</v>
      </c>
      <c r="Z540" s="7" t="n">
        <v>1263.063298800247</v>
      </c>
      <c r="AA540" s="7" t="n">
        <v>1389.369628680272</v>
      </c>
      <c r="AB540" s="7" t="n">
        <v>32770.95876183023</v>
      </c>
      <c r="AC540" s="7" t="n">
        <v>65915.46118130801</v>
      </c>
      <c r="AD540" s="7" t="n">
        <v>-33144.50241947778</v>
      </c>
      <c r="AE540" s="6" t="n">
        <v>-0.5028335056066745</v>
      </c>
    </row>
    <row r="541">
      <c r="A541" s="2" t="n">
        <v>532</v>
      </c>
      <c r="B541" s="2" t="inlineStr">
        <is>
          <t>KPROP-00532</t>
        </is>
      </c>
      <c r="C541" s="3" t="n">
        <v>46120</v>
      </c>
      <c r="D541" s="2" t="inlineStr">
        <is>
          <t>Shohei Ohtani</t>
        </is>
      </c>
      <c r="E541" s="2" t="inlineStr">
        <is>
          <t>Win</t>
        </is>
      </c>
      <c r="F541" s="2" t="n">
        <v>1.24</v>
      </c>
      <c r="G541" s="6" t="n">
        <v>0.1121893968126844</v>
      </c>
      <c r="H541" s="7" t="n">
        <v>100</v>
      </c>
      <c r="I541" s="7" t="n">
        <v>124</v>
      </c>
      <c r="J541" s="7" t="n">
        <v>14177.81953580091</v>
      </c>
      <c r="K541" s="7" t="n">
        <v>14427.81953580091</v>
      </c>
      <c r="L541" s="7" t="n">
        <v>-250</v>
      </c>
      <c r="M541" s="6" t="n">
        <v>-0.01732763564027501</v>
      </c>
      <c r="N541" s="7" t="n">
        <v>146.1346821467218</v>
      </c>
      <c r="O541" s="7" t="n">
        <v>181.207005861935</v>
      </c>
      <c r="P541" s="7" t="n">
        <v>14794.67522053411</v>
      </c>
      <c r="Q541" s="7" t="n">
        <v>15178.37687423869</v>
      </c>
      <c r="R541" s="7" t="n">
        <v>-383.7016537045711</v>
      </c>
      <c r="S541" s="6" t="n">
        <v>-0.02527949179834927</v>
      </c>
      <c r="T541" s="7" t="n">
        <v>983.1587859757313</v>
      </c>
      <c r="U541" s="7" t="n">
        <v>1219.116894609907</v>
      </c>
      <c r="V541" s="7" t="n">
        <v>36272.65364255232</v>
      </c>
      <c r="W541" s="7" t="n">
        <v>48567.24463026349</v>
      </c>
      <c r="X541" s="7" t="n">
        <v>-12294.59098771117</v>
      </c>
      <c r="Y541" s="6" t="n">
        <v>-0.2531457380649941</v>
      </c>
      <c r="Z541" s="7" t="n">
        <v>1838.277048231544</v>
      </c>
      <c r="AA541" s="7" t="n">
        <v>2279.463539807115</v>
      </c>
      <c r="AB541" s="7" t="n">
        <v>35050.42230163734</v>
      </c>
      <c r="AC541" s="7" t="n">
        <v>65915.46118130801</v>
      </c>
      <c r="AD541" s="7" t="n">
        <v>-30865.03887967067</v>
      </c>
      <c r="AE541" s="6" t="n">
        <v>-0.4682518839513669</v>
      </c>
    </row>
    <row r="542">
      <c r="A542" s="2" t="n">
        <v>533</v>
      </c>
      <c r="B542" s="2" t="inlineStr">
        <is>
          <t>KPROP-00533</t>
        </is>
      </c>
      <c r="C542" s="3" t="n">
        <v>46120</v>
      </c>
      <c r="D542" s="2" t="inlineStr">
        <is>
          <t>Sonny Gray</t>
        </is>
      </c>
      <c r="E542" s="2" t="inlineStr">
        <is>
          <t>Win</t>
        </is>
      </c>
      <c r="F542" s="2" t="n">
        <v>1.1</v>
      </c>
      <c r="G542" s="6" t="n">
        <v>0.0950078963937707</v>
      </c>
      <c r="H542" s="7" t="n">
        <v>100</v>
      </c>
      <c r="I542" s="7" t="n">
        <v>110</v>
      </c>
      <c r="J542" s="7" t="n">
        <v>14287.81953580091</v>
      </c>
      <c r="K542" s="7" t="n">
        <v>14427.81953580091</v>
      </c>
      <c r="L542" s="7" t="n">
        <v>-140</v>
      </c>
      <c r="M542" s="6" t="n">
        <v>-0.009703475958554007</v>
      </c>
      <c r="N542" s="7" t="n">
        <v>147.9467522053411</v>
      </c>
      <c r="O542" s="7" t="n">
        <v>162.7414274258753</v>
      </c>
      <c r="P542" s="7" t="n">
        <v>14957.41664795999</v>
      </c>
      <c r="Q542" s="7" t="n">
        <v>15178.37687423869</v>
      </c>
      <c r="R542" s="7" t="n">
        <v>-220.9602262786957</v>
      </c>
      <c r="S542" s="6" t="n">
        <v>-0.0145575662081311</v>
      </c>
      <c r="T542" s="7" t="n">
        <v>861.547129799685</v>
      </c>
      <c r="U542" s="7" t="n">
        <v>947.7018427796536</v>
      </c>
      <c r="V542" s="7" t="n">
        <v>37220.35548533197</v>
      </c>
      <c r="W542" s="7" t="n">
        <v>48567.24463026349</v>
      </c>
      <c r="X542" s="7" t="n">
        <v>-11346.88914493152</v>
      </c>
      <c r="Y542" s="6" t="n">
        <v>-0.2336325486717232</v>
      </c>
      <c r="Z542" s="7" t="n">
        <v>1665.033445295936</v>
      </c>
      <c r="AA542" s="7" t="n">
        <v>1831.536789825529</v>
      </c>
      <c r="AB542" s="7" t="n">
        <v>36881.95909146287</v>
      </c>
      <c r="AC542" s="7" t="n">
        <v>65915.46118130801</v>
      </c>
      <c r="AD542" s="7" t="n">
        <v>-29033.50208984514</v>
      </c>
      <c r="AE542" s="6" t="n">
        <v>-0.4404657354969447</v>
      </c>
    </row>
    <row r="543">
      <c r="A543" s="2" t="n">
        <v>534</v>
      </c>
      <c r="B543" s="2" t="inlineStr">
        <is>
          <t>KPROP-00534</t>
        </is>
      </c>
      <c r="C543" s="3" t="n">
        <v>46120</v>
      </c>
      <c r="D543" s="2" t="inlineStr">
        <is>
          <t>Will Warren</t>
        </is>
      </c>
      <c r="E543" s="2" t="inlineStr">
        <is>
          <t>Win</t>
        </is>
      </c>
      <c r="F543" s="2" t="n">
        <v>1.05</v>
      </c>
      <c r="G543" s="6" t="n">
        <v>0.3362975249513063</v>
      </c>
      <c r="H543" s="7" t="n">
        <v>100</v>
      </c>
      <c r="I543" s="7" t="n">
        <v>105</v>
      </c>
      <c r="J543" s="7" t="n">
        <v>14392.81953580091</v>
      </c>
      <c r="K543" s="7" t="n">
        <v>14427.81953580091</v>
      </c>
      <c r="L543" s="7" t="n">
        <v>-35</v>
      </c>
      <c r="M543" s="6" t="n">
        <v>-0.002425868989638502</v>
      </c>
      <c r="N543" s="7" t="n">
        <v>149.5741664795999</v>
      </c>
      <c r="O543" s="7" t="n">
        <v>157.0528748035799</v>
      </c>
      <c r="P543" s="7" t="n">
        <v>15114.46952276357</v>
      </c>
      <c r="Q543" s="7" t="n">
        <v>15178.37687423869</v>
      </c>
      <c r="R543" s="7" t="n">
        <v>-63.90735147511623</v>
      </c>
      <c r="S543" s="6" t="n">
        <v>-0.004210420653316509</v>
      </c>
      <c r="T543" s="7" t="n">
        <v>3129.278356881229</v>
      </c>
      <c r="U543" s="7" t="n">
        <v>3285.742274725289</v>
      </c>
      <c r="V543" s="7" t="n">
        <v>40506.09776005725</v>
      </c>
      <c r="W543" s="7" t="n">
        <v>48567.24463026349</v>
      </c>
      <c r="X543" s="7" t="n">
        <v>-8061.146870206234</v>
      </c>
      <c r="Y543" s="6" t="n">
        <v>-0.1659790859369265</v>
      </c>
      <c r="Z543" s="7" t="n">
        <v>6201.655778907146</v>
      </c>
      <c r="AA543" s="7" t="n">
        <v>6511.738567852502</v>
      </c>
      <c r="AB543" s="7" t="n">
        <v>43393.69765931537</v>
      </c>
      <c r="AC543" s="7" t="n">
        <v>65915.46118130801</v>
      </c>
      <c r="AD543" s="7" t="n">
        <v>-22521.76352199264</v>
      </c>
      <c r="AE543" s="6" t="n">
        <v>-0.3416764916510855</v>
      </c>
    </row>
    <row r="544">
      <c r="A544" s="2" t="n">
        <v>535</v>
      </c>
      <c r="B544" s="2" t="inlineStr">
        <is>
          <t>KPROP-00535</t>
        </is>
      </c>
      <c r="C544" s="3" t="n">
        <v>46121</v>
      </c>
      <c r="D544" s="2" t="inlineStr">
        <is>
          <t>Jack Flaherty</t>
        </is>
      </c>
      <c r="E544" s="2" t="inlineStr">
        <is>
          <t>Loss</t>
        </is>
      </c>
      <c r="F544" s="2" t="n">
        <v>-1</v>
      </c>
      <c r="G544" s="6" t="n">
        <v>0.1341282168753441</v>
      </c>
      <c r="H544" s="7" t="n">
        <v>100</v>
      </c>
      <c r="I544" s="7" t="n">
        <v>-100</v>
      </c>
      <c r="J544" s="7" t="n">
        <v>14292.81953580091</v>
      </c>
      <c r="K544" s="7" t="n">
        <v>14427.81953580091</v>
      </c>
      <c r="L544" s="7" t="n">
        <v>-135</v>
      </c>
      <c r="M544" s="6" t="n">
        <v>-0.009356923245748506</v>
      </c>
      <c r="N544" s="7" t="n">
        <v>151.1446952276357</v>
      </c>
      <c r="O544" s="7" t="n">
        <v>-151.1446952276357</v>
      </c>
      <c r="P544" s="7" t="n">
        <v>14963.32482753593</v>
      </c>
      <c r="Q544" s="7" t="n">
        <v>15178.37687423869</v>
      </c>
      <c r="R544" s="7" t="n">
        <v>-215.0520467027527</v>
      </c>
      <c r="S544" s="6" t="n">
        <v>-0.0141683164467834</v>
      </c>
      <c r="T544" s="7" t="n">
        <v>1358.252666283712</v>
      </c>
      <c r="U544" s="7" t="n">
        <v>-1358.252666283712</v>
      </c>
      <c r="V544" s="7" t="n">
        <v>39147.84509377354</v>
      </c>
      <c r="W544" s="7" t="n">
        <v>48567.24463026349</v>
      </c>
      <c r="X544" s="7" t="n">
        <v>-9419.399536489946</v>
      </c>
      <c r="Y544" s="6" t="n">
        <v>-0.1939455204469326</v>
      </c>
      <c r="Z544" s="7" t="n">
        <v>2910.159645335882</v>
      </c>
      <c r="AA544" s="7" t="n">
        <v>-2910.159645335882</v>
      </c>
      <c r="AB544" s="7" t="n">
        <v>40483.53801397949</v>
      </c>
      <c r="AC544" s="7" t="n">
        <v>65915.46118130801</v>
      </c>
      <c r="AD544" s="7" t="n">
        <v>-25431.92316732852</v>
      </c>
      <c r="AE544" s="6" t="n">
        <v>-0.3858263708020658</v>
      </c>
    </row>
    <row r="545">
      <c r="A545" s="2" t="n">
        <v>536</v>
      </c>
      <c r="B545" s="2" t="inlineStr">
        <is>
          <t>KPROP-00536</t>
        </is>
      </c>
      <c r="C545" s="3" t="n">
        <v>46121</v>
      </c>
      <c r="D545" s="2" t="inlineStr">
        <is>
          <t>Jack Flaherty</t>
        </is>
      </c>
      <c r="E545" s="2" t="inlineStr">
        <is>
          <t>Win</t>
        </is>
      </c>
      <c r="F545" s="2" t="n">
        <v>0.625</v>
      </c>
      <c r="G545" s="6" t="n">
        <v>0.2025390313229809</v>
      </c>
      <c r="H545" s="7" t="n">
        <v>100</v>
      </c>
      <c r="I545" s="7" t="n">
        <v>62.5</v>
      </c>
      <c r="J545" s="7" t="n">
        <v>14355.31953580091</v>
      </c>
      <c r="K545" s="7" t="n">
        <v>14427.81953580091</v>
      </c>
      <c r="L545" s="7" t="n">
        <v>-72.5</v>
      </c>
      <c r="M545" s="6" t="n">
        <v>-0.005025014335679753</v>
      </c>
      <c r="N545" s="7" t="n">
        <v>149.6332482753593</v>
      </c>
      <c r="O545" s="7" t="n">
        <v>93.52078017209959</v>
      </c>
      <c r="P545" s="7" t="n">
        <v>15056.84560770803</v>
      </c>
      <c r="Q545" s="7" t="n">
        <v>15178.37687423869</v>
      </c>
      <c r="R545" s="7" t="n">
        <v>-121.5312665306537</v>
      </c>
      <c r="S545" s="6" t="n">
        <v>-0.008006868424575831</v>
      </c>
      <c r="T545" s="7" t="n">
        <v>1982.241655918751</v>
      </c>
      <c r="U545" s="7" t="n">
        <v>1238.901034949219</v>
      </c>
      <c r="V545" s="7" t="n">
        <v>40386.74612872276</v>
      </c>
      <c r="W545" s="7" t="n">
        <v>48567.24463026349</v>
      </c>
      <c r="X545" s="7" t="n">
        <v>-8180.498501540729</v>
      </c>
      <c r="Y545" s="6" t="n">
        <v>-0.1684365370903346</v>
      </c>
      <c r="Z545" s="7" t="n">
        <v>4099.748286939241</v>
      </c>
      <c r="AA545" s="7" t="n">
        <v>2562.342679337025</v>
      </c>
      <c r="AB545" s="7" t="n">
        <v>43045.88069331652</v>
      </c>
      <c r="AC545" s="7" t="n">
        <v>65915.46118130801</v>
      </c>
      <c r="AD545" s="7" t="n">
        <v>-22869.58048799149</v>
      </c>
      <c r="AE545" s="6" t="n">
        <v>-0.3469532045764817</v>
      </c>
    </row>
    <row r="546">
      <c r="A546" s="2" t="n">
        <v>537</v>
      </c>
      <c r="B546" s="2" t="inlineStr">
        <is>
          <t>KPROP-00537</t>
        </is>
      </c>
      <c r="C546" s="3" t="n">
        <v>46121</v>
      </c>
      <c r="D546" s="2" t="inlineStr">
        <is>
          <t>Max Meyer</t>
        </is>
      </c>
      <c r="E546" s="2" t="inlineStr">
        <is>
          <t>Win</t>
        </is>
      </c>
      <c r="F546" s="2" t="n">
        <v>1.15</v>
      </c>
      <c r="G546" s="6" t="n">
        <v>0.2271345560659243</v>
      </c>
      <c r="H546" s="7" t="n">
        <v>100</v>
      </c>
      <c r="I546" s="7" t="n">
        <v>115</v>
      </c>
      <c r="J546" s="7" t="n">
        <v>14470.31953580091</v>
      </c>
      <c r="K546" s="7" t="n">
        <v>14470.31953580091</v>
      </c>
      <c r="L546" s="7" t="n">
        <v>0</v>
      </c>
      <c r="M546" s="6" t="n">
        <v>0</v>
      </c>
      <c r="N546" s="7" t="n">
        <v>150.5684560770803</v>
      </c>
      <c r="O546" s="7" t="n">
        <v>173.1537244886424</v>
      </c>
      <c r="P546" s="7" t="n">
        <v>15229.99933219667</v>
      </c>
      <c r="Q546" s="7" t="n">
        <v>15229.99933219667</v>
      </c>
      <c r="R546" s="7" t="n">
        <v>0</v>
      </c>
      <c r="S546" s="6" t="n">
        <v>0</v>
      </c>
      <c r="T546" s="7" t="n">
        <v>2293.306413223657</v>
      </c>
      <c r="U546" s="7" t="n">
        <v>2637.302375207206</v>
      </c>
      <c r="V546" s="7" t="n">
        <v>43024.04850392996</v>
      </c>
      <c r="W546" s="7" t="n">
        <v>48567.24463026349</v>
      </c>
      <c r="X546" s="7" t="n">
        <v>-5543.196126333525</v>
      </c>
      <c r="Y546" s="6" t="n">
        <v>-0.1141344576686036</v>
      </c>
      <c r="Z546" s="7" t="n">
        <v>4888.603500871594</v>
      </c>
      <c r="AA546" s="7" t="n">
        <v>5621.894026002333</v>
      </c>
      <c r="AB546" s="7" t="n">
        <v>48667.77471931885</v>
      </c>
      <c r="AC546" s="7" t="n">
        <v>65915.46118130801</v>
      </c>
      <c r="AD546" s="7" t="n">
        <v>-17247.68646198916</v>
      </c>
      <c r="AE546" s="6" t="n">
        <v>-0.2616637455444244</v>
      </c>
    </row>
    <row r="547">
      <c r="A547" s="2" t="n">
        <v>538</v>
      </c>
      <c r="B547" s="2" t="inlineStr">
        <is>
          <t>KPROP-00538</t>
        </is>
      </c>
      <c r="C547" s="3" t="n">
        <v>46121</v>
      </c>
      <c r="D547" s="2" t="inlineStr">
        <is>
          <t>Max Meyer</t>
        </is>
      </c>
      <c r="E547" s="2" t="inlineStr">
        <is>
          <t>Win</t>
        </is>
      </c>
      <c r="F547" s="2" t="n">
        <v>0.5494505494505495</v>
      </c>
      <c r="G547" s="6" t="n">
        <v>0.2592214205426814</v>
      </c>
      <c r="H547" s="7" t="n">
        <v>100</v>
      </c>
      <c r="I547" s="7" t="n">
        <v>54.94505494505495</v>
      </c>
      <c r="J547" s="7" t="n">
        <v>14525.26459074597</v>
      </c>
      <c r="K547" s="7" t="n">
        <v>14525.26459074597</v>
      </c>
      <c r="L547" s="7" t="n">
        <v>0</v>
      </c>
      <c r="M547" s="6" t="n">
        <v>0</v>
      </c>
      <c r="N547" s="7" t="n">
        <v>152.2999933219668</v>
      </c>
      <c r="O547" s="7" t="n">
        <v>83.68131501206965</v>
      </c>
      <c r="P547" s="7" t="n">
        <v>15313.68064720874</v>
      </c>
      <c r="Q547" s="7" t="n">
        <v>15313.68064720874</v>
      </c>
      <c r="R547" s="7" t="n">
        <v>0</v>
      </c>
      <c r="S547" s="6" t="n">
        <v>0</v>
      </c>
      <c r="T547" s="7" t="n">
        <v>2788.188742671488</v>
      </c>
      <c r="U547" s="7" t="n">
        <v>1531.971836632686</v>
      </c>
      <c r="V547" s="7" t="n">
        <v>44556.02034056265</v>
      </c>
      <c r="W547" s="7" t="n">
        <v>48567.24463026349</v>
      </c>
      <c r="X547" s="7" t="n">
        <v>-4011.22428970084</v>
      </c>
      <c r="Y547" s="6" t="n">
        <v>-0.08259114389209851</v>
      </c>
      <c r="Z547" s="7" t="n">
        <v>6307.864848696516</v>
      </c>
      <c r="AA547" s="7" t="n">
        <v>3465.859806976108</v>
      </c>
      <c r="AB547" s="7" t="n">
        <v>52133.63452629495</v>
      </c>
      <c r="AC547" s="7" t="n">
        <v>65915.46118130801</v>
      </c>
      <c r="AD547" s="7" t="n">
        <v>-13781.82665501306</v>
      </c>
      <c r="AE547" s="6" t="n">
        <v>-0.2090833684240571</v>
      </c>
    </row>
    <row r="548">
      <c r="A548" s="2" t="n">
        <v>539</v>
      </c>
      <c r="B548" s="2" t="inlineStr">
        <is>
          <t>KPROP-00539</t>
        </is>
      </c>
      <c r="C548" s="3" t="n">
        <v>46121</v>
      </c>
      <c r="D548" s="2" t="inlineStr">
        <is>
          <t>Ryan Weathers</t>
        </is>
      </c>
      <c r="E548" s="2" t="inlineStr">
        <is>
          <t>Loss</t>
        </is>
      </c>
      <c r="F548" s="2" t="n">
        <v>-1</v>
      </c>
      <c r="G548" s="6" t="n">
        <v>0.2457330306930596</v>
      </c>
      <c r="H548" s="7" t="n">
        <v>100</v>
      </c>
      <c r="I548" s="7" t="n">
        <v>-100</v>
      </c>
      <c r="J548" s="7" t="n">
        <v>14425.26459074597</v>
      </c>
      <c r="K548" s="7" t="n">
        <v>14525.26459074597</v>
      </c>
      <c r="L548" s="7" t="n">
        <v>-100</v>
      </c>
      <c r="M548" s="6" t="n">
        <v>-0.006884556172815598</v>
      </c>
      <c r="N548" s="7" t="n">
        <v>153.1368064720874</v>
      </c>
      <c r="O548" s="7" t="n">
        <v>-153.1368064720874</v>
      </c>
      <c r="P548" s="7" t="n">
        <v>15160.54384073665</v>
      </c>
      <c r="Q548" s="7" t="n">
        <v>15313.68064720874</v>
      </c>
      <c r="R548" s="7" t="n">
        <v>-153.1368064720882</v>
      </c>
      <c r="S548" s="6" t="n">
        <v>-0.01000000000000005</v>
      </c>
      <c r="T548" s="7" t="n">
        <v>2737.221478477017</v>
      </c>
      <c r="U548" s="7" t="n">
        <v>-2737.221478477017</v>
      </c>
      <c r="V548" s="7" t="n">
        <v>41818.79886208563</v>
      </c>
      <c r="W548" s="7" t="n">
        <v>48567.24463026349</v>
      </c>
      <c r="X548" s="7" t="n">
        <v>-6748.445768177859</v>
      </c>
      <c r="Y548" s="6" t="n">
        <v>-0.1389505585411104</v>
      </c>
      <c r="Z548" s="7" t="n">
        <v>6405.478006595395</v>
      </c>
      <c r="AA548" s="7" t="n">
        <v>-6405.478006595395</v>
      </c>
      <c r="AB548" s="7" t="n">
        <v>45728.15651969956</v>
      </c>
      <c r="AC548" s="7" t="n">
        <v>65915.46118130801</v>
      </c>
      <c r="AD548" s="7" t="n">
        <v>-20187.30466160845</v>
      </c>
      <c r="AE548" s="6" t="n">
        <v>-0.3062605388754084</v>
      </c>
    </row>
    <row r="549">
      <c r="A549" s="2" t="n">
        <v>540</v>
      </c>
      <c r="B549" s="2" t="inlineStr">
        <is>
          <t>KPROP-00540</t>
        </is>
      </c>
      <c r="C549" s="3" t="n">
        <v>46121</v>
      </c>
      <c r="D549" s="2" t="inlineStr">
        <is>
          <t>Seth Lugo</t>
        </is>
      </c>
      <c r="E549" s="2" t="inlineStr">
        <is>
          <t>Win</t>
        </is>
      </c>
      <c r="F549" s="2" t="n">
        <v>1.18</v>
      </c>
      <c r="G549" s="6" t="n">
        <v>0.09106171577851398</v>
      </c>
      <c r="H549" s="7" t="n">
        <v>100</v>
      </c>
      <c r="I549" s="7" t="n">
        <v>118</v>
      </c>
      <c r="J549" s="7" t="n">
        <v>14543.26459074597</v>
      </c>
      <c r="K549" s="7" t="n">
        <v>14543.26459074597</v>
      </c>
      <c r="L549" s="7" t="n">
        <v>0</v>
      </c>
      <c r="M549" s="6" t="n">
        <v>0</v>
      </c>
      <c r="N549" s="7" t="n">
        <v>151.6054384073666</v>
      </c>
      <c r="O549" s="7" t="n">
        <v>178.8944173206925</v>
      </c>
      <c r="P549" s="7" t="n">
        <v>15339.43825805735</v>
      </c>
      <c r="Q549" s="7" t="n">
        <v>15339.43825805735</v>
      </c>
      <c r="R549" s="7" t="n">
        <v>0</v>
      </c>
      <c r="S549" s="6" t="n">
        <v>0</v>
      </c>
      <c r="T549" s="7" t="n">
        <v>952.0228940445213</v>
      </c>
      <c r="U549" s="7" t="n">
        <v>1123.387014972535</v>
      </c>
      <c r="V549" s="7" t="n">
        <v>42942.18587705816</v>
      </c>
      <c r="W549" s="7" t="n">
        <v>48567.24463026349</v>
      </c>
      <c r="X549" s="7" t="n">
        <v>-5625.058753205325</v>
      </c>
      <c r="Y549" s="6" t="n">
        <v>-0.1158200098858441</v>
      </c>
      <c r="Z549" s="7" t="n">
        <v>2082.042196036141</v>
      </c>
      <c r="AA549" s="7" t="n">
        <v>2456.809791322646</v>
      </c>
      <c r="AB549" s="7" t="n">
        <v>48184.9663110222</v>
      </c>
      <c r="AC549" s="7" t="n">
        <v>65915.46118130801</v>
      </c>
      <c r="AD549" s="7" t="n">
        <v>-17730.49487028581</v>
      </c>
      <c r="AE549" s="6" t="n">
        <v>-0.2689884065517809</v>
      </c>
    </row>
    <row r="550">
      <c r="A550" s="2" t="n">
        <v>541</v>
      </c>
      <c r="B550" s="2" t="inlineStr">
        <is>
          <t>KPROP-00541</t>
        </is>
      </c>
      <c r="C550" s="3" t="n">
        <v>46122</v>
      </c>
      <c r="D550" s="2" t="inlineStr">
        <is>
          <t>Clay Holmes</t>
        </is>
      </c>
      <c r="E550" s="2" t="inlineStr">
        <is>
          <t>Win</t>
        </is>
      </c>
      <c r="F550" s="2" t="n">
        <v>1.25</v>
      </c>
      <c r="G550" s="6" t="n">
        <v>0.1890620964404004</v>
      </c>
      <c r="H550" s="7" t="n">
        <v>100</v>
      </c>
      <c r="I550" s="7" t="n">
        <v>125</v>
      </c>
      <c r="J550" s="7" t="n">
        <v>14668.26459074597</v>
      </c>
      <c r="K550" s="7" t="n">
        <v>14668.26459074597</v>
      </c>
      <c r="L550" s="7" t="n">
        <v>0</v>
      </c>
      <c r="M550" s="6" t="n">
        <v>0</v>
      </c>
      <c r="N550" s="7" t="n">
        <v>153.3943825805735</v>
      </c>
      <c r="O550" s="7" t="n">
        <v>191.7429782257169</v>
      </c>
      <c r="P550" s="7" t="n">
        <v>15531.18123628306</v>
      </c>
      <c r="Q550" s="7" t="n">
        <v>15531.18123628306</v>
      </c>
      <c r="R550" s="7" t="n">
        <v>0</v>
      </c>
      <c r="S550" s="6" t="n">
        <v>0</v>
      </c>
      <c r="T550" s="7" t="n">
        <v>2029.684921912492</v>
      </c>
      <c r="U550" s="7" t="n">
        <v>2537.106152390616</v>
      </c>
      <c r="V550" s="7" t="n">
        <v>45479.29202944878</v>
      </c>
      <c r="W550" s="7" t="n">
        <v>48567.24463026349</v>
      </c>
      <c r="X550" s="7" t="n">
        <v>-3087.952600814708</v>
      </c>
      <c r="Y550" s="6" t="n">
        <v>-0.06358097158533317</v>
      </c>
      <c r="Z550" s="7" t="n">
        <v>4554.975373835962</v>
      </c>
      <c r="AA550" s="7" t="n">
        <v>5693.719217294953</v>
      </c>
      <c r="AB550" s="7" t="n">
        <v>53878.68552831715</v>
      </c>
      <c r="AC550" s="7" t="n">
        <v>65915.46118130801</v>
      </c>
      <c r="AD550" s="7" t="n">
        <v>-12036.77565299086</v>
      </c>
      <c r="AE550" s="6" t="n">
        <v>-0.1826092913145572</v>
      </c>
    </row>
    <row r="551">
      <c r="A551" s="2" t="n">
        <v>542</v>
      </c>
      <c r="B551" s="2" t="inlineStr">
        <is>
          <t>KPROP-00542</t>
        </is>
      </c>
      <c r="C551" s="3" t="n">
        <v>46122</v>
      </c>
      <c r="D551" s="2" t="inlineStr">
        <is>
          <t>Jesús Luzardo</t>
        </is>
      </c>
      <c r="E551" s="2" t="inlineStr">
        <is>
          <t>Loss</t>
        </is>
      </c>
      <c r="F551" s="2" t="n">
        <v>-1</v>
      </c>
      <c r="G551" s="6" t="n">
        <v>0.07167219631202414</v>
      </c>
      <c r="H551" s="7" t="n">
        <v>100</v>
      </c>
      <c r="I551" s="7" t="n">
        <v>-100</v>
      </c>
      <c r="J551" s="7" t="n">
        <v>14568.26459074597</v>
      </c>
      <c r="K551" s="7" t="n">
        <v>14668.26459074597</v>
      </c>
      <c r="L551" s="7" t="n">
        <v>-100</v>
      </c>
      <c r="M551" s="6" t="n">
        <v>-0.006817439062497467</v>
      </c>
      <c r="N551" s="7" t="n">
        <v>155.3118123628306</v>
      </c>
      <c r="O551" s="7" t="n">
        <v>-155.3118123628306</v>
      </c>
      <c r="P551" s="7" t="n">
        <v>15375.86942392023</v>
      </c>
      <c r="Q551" s="7" t="n">
        <v>15531.18123628306</v>
      </c>
      <c r="R551" s="7" t="n">
        <v>-155.3118123628301</v>
      </c>
      <c r="S551" s="6" t="n">
        <v>-0.009999999999999966</v>
      </c>
      <c r="T551" s="7" t="n">
        <v>814.9001866166318</v>
      </c>
      <c r="U551" s="7" t="n">
        <v>-814.9001866166318</v>
      </c>
      <c r="V551" s="7" t="n">
        <v>44664.39184283215</v>
      </c>
      <c r="W551" s="7" t="n">
        <v>48567.24463026349</v>
      </c>
      <c r="X551" s="7" t="n">
        <v>-3902.852787431337</v>
      </c>
      <c r="Y551" s="6" t="n">
        <v>-0.08035977369404584</v>
      </c>
      <c r="Z551" s="7" t="n">
        <v>1930.80186310968</v>
      </c>
      <c r="AA551" s="7" t="n">
        <v>-1930.80186310968</v>
      </c>
      <c r="AB551" s="7" t="n">
        <v>51947.88366520748</v>
      </c>
      <c r="AC551" s="7" t="n">
        <v>65915.46118130801</v>
      </c>
      <c r="AD551" s="7" t="n">
        <v>-13967.57751610054</v>
      </c>
      <c r="AE551" s="6" t="n">
        <v>-0.2119013849828209</v>
      </c>
    </row>
    <row r="552">
      <c r="A552" s="2" t="n">
        <v>543</v>
      </c>
      <c r="B552" s="2" t="inlineStr">
        <is>
          <t>KPROP-00543</t>
        </is>
      </c>
      <c r="C552" s="3" t="n">
        <v>46122</v>
      </c>
      <c r="D552" s="2" t="inlineStr">
        <is>
          <t>Kris Bubic</t>
        </is>
      </c>
      <c r="E552" s="2" t="inlineStr">
        <is>
          <t>Loss</t>
        </is>
      </c>
      <c r="F552" s="2" t="n">
        <v>-1</v>
      </c>
      <c r="G552" s="6" t="n">
        <v>0.4155881804079158</v>
      </c>
      <c r="H552" s="7" t="n">
        <v>100</v>
      </c>
      <c r="I552" s="7" t="n">
        <v>-100</v>
      </c>
      <c r="J552" s="7" t="n">
        <v>14468.26459074597</v>
      </c>
      <c r="K552" s="7" t="n">
        <v>14668.26459074597</v>
      </c>
      <c r="L552" s="7" t="n">
        <v>-200</v>
      </c>
      <c r="M552" s="6" t="n">
        <v>-0.01363487812499493</v>
      </c>
      <c r="N552" s="7" t="n">
        <v>153.7586942392024</v>
      </c>
      <c r="O552" s="7" t="n">
        <v>-153.7586942392024</v>
      </c>
      <c r="P552" s="7" t="n">
        <v>15222.11072968103</v>
      </c>
      <c r="Q552" s="7" t="n">
        <v>15531.18123628306</v>
      </c>
      <c r="R552" s="7" t="n">
        <v>-309.0705066020328</v>
      </c>
      <c r="S552" s="6" t="n">
        <v>-0.01989999999999999</v>
      </c>
      <c r="T552" s="7" t="n">
        <v>4640.498333747193</v>
      </c>
      <c r="U552" s="7" t="n">
        <v>-4640.498333747193</v>
      </c>
      <c r="V552" s="7" t="n">
        <v>40023.89350908496</v>
      </c>
      <c r="W552" s="7" t="n">
        <v>48567.24463026349</v>
      </c>
      <c r="X552" s="7" t="n">
        <v>-8543.35112117853</v>
      </c>
      <c r="Y552" s="6" t="n">
        <v>-0.1759076757641497</v>
      </c>
      <c r="Z552" s="7" t="n">
        <v>10794.46322423283</v>
      </c>
      <c r="AA552" s="7" t="n">
        <v>-10794.46322423283</v>
      </c>
      <c r="AB552" s="7" t="n">
        <v>41153.42044097465</v>
      </c>
      <c r="AC552" s="7" t="n">
        <v>65915.46118130801</v>
      </c>
      <c r="AD552" s="7" t="n">
        <v>-24762.04074033337</v>
      </c>
      <c r="AE552" s="6" t="n">
        <v>-0.3756636196813148</v>
      </c>
    </row>
    <row r="553">
      <c r="A553" s="2" t="n">
        <v>544</v>
      </c>
      <c r="B553" s="2" t="inlineStr">
        <is>
          <t>KPROP-00544</t>
        </is>
      </c>
      <c r="C553" s="3" t="n">
        <v>46122</v>
      </c>
      <c r="D553" s="2" t="inlineStr">
        <is>
          <t>Kris Bubic</t>
        </is>
      </c>
      <c r="E553" s="2" t="inlineStr">
        <is>
          <t>Loss</t>
        </is>
      </c>
      <c r="F553" s="2" t="n">
        <v>-1</v>
      </c>
      <c r="G553" s="6" t="n">
        <v>0.4515465897381373</v>
      </c>
      <c r="H553" s="7" t="n">
        <v>100</v>
      </c>
      <c r="I553" s="7" t="n">
        <v>-100</v>
      </c>
      <c r="J553" s="7" t="n">
        <v>14368.26459074597</v>
      </c>
      <c r="K553" s="7" t="n">
        <v>14668.26459074597</v>
      </c>
      <c r="L553" s="7" t="n">
        <v>-300</v>
      </c>
      <c r="M553" s="6" t="n">
        <v>-0.0204523171874924</v>
      </c>
      <c r="N553" s="7" t="n">
        <v>152.2211072968103</v>
      </c>
      <c r="O553" s="7" t="n">
        <v>-152.2211072968103</v>
      </c>
      <c r="P553" s="7" t="n">
        <v>15069.88962238422</v>
      </c>
      <c r="Q553" s="7" t="n">
        <v>15531.18123628306</v>
      </c>
      <c r="R553" s="7" t="n">
        <v>-461.2916138988439</v>
      </c>
      <c r="S553" s="6" t="n">
        <v>-0.02970100000000004</v>
      </c>
      <c r="T553" s="7" t="n">
        <v>4518.16315551742</v>
      </c>
      <c r="U553" s="7" t="n">
        <v>-4518.16315551742</v>
      </c>
      <c r="V553" s="7" t="n">
        <v>35505.73035356754</v>
      </c>
      <c r="W553" s="7" t="n">
        <v>48567.24463026349</v>
      </c>
      <c r="X553" s="7" t="n">
        <v>-13061.51427669595</v>
      </c>
      <c r="Y553" s="6" t="n">
        <v>-0.268936695423668</v>
      </c>
      <c r="Z553" s="7" t="n">
        <v>9291.343328090925</v>
      </c>
      <c r="AA553" s="7" t="n">
        <v>-9291.343328090925</v>
      </c>
      <c r="AB553" s="7" t="n">
        <v>31862.07711288372</v>
      </c>
      <c r="AC553" s="7" t="n">
        <v>65915.46118130801</v>
      </c>
      <c r="AD553" s="7" t="n">
        <v>-34053.38406842429</v>
      </c>
      <c r="AE553" s="6" t="n">
        <v>-0.5166221013724923</v>
      </c>
    </row>
    <row r="554">
      <c r="A554" s="2" t="n">
        <v>545</v>
      </c>
      <c r="B554" s="2" t="inlineStr">
        <is>
          <t>KPROP-00545</t>
        </is>
      </c>
      <c r="C554" s="3" t="n">
        <v>46122</v>
      </c>
      <c r="D554" s="2" t="inlineStr">
        <is>
          <t>Landen Roupp</t>
        </is>
      </c>
      <c r="E554" s="2" t="inlineStr">
        <is>
          <t>Win</t>
        </is>
      </c>
      <c r="F554" s="2" t="n">
        <v>1.1</v>
      </c>
      <c r="G554" s="6" t="n">
        <v>0.2674975646810602</v>
      </c>
      <c r="H554" s="7" t="n">
        <v>100</v>
      </c>
      <c r="I554" s="7" t="n">
        <v>110</v>
      </c>
      <c r="J554" s="7" t="n">
        <v>14478.26459074597</v>
      </c>
      <c r="K554" s="7" t="n">
        <v>14668.26459074597</v>
      </c>
      <c r="L554" s="7" t="n">
        <v>-190</v>
      </c>
      <c r="M554" s="6" t="n">
        <v>-0.01295313421874519</v>
      </c>
      <c r="N554" s="7" t="n">
        <v>150.6988962238422</v>
      </c>
      <c r="O554" s="7" t="n">
        <v>165.7687858462265</v>
      </c>
      <c r="P554" s="7" t="n">
        <v>15235.65840823045</v>
      </c>
      <c r="Q554" s="7" t="n">
        <v>15531.18123628306</v>
      </c>
      <c r="R554" s="7" t="n">
        <v>-295.5228280526171</v>
      </c>
      <c r="S554" s="6" t="n">
        <v>-0.01902771100000002</v>
      </c>
      <c r="T554" s="7" t="n">
        <v>2374.424100450428</v>
      </c>
      <c r="U554" s="7" t="n">
        <v>2611.866510495471</v>
      </c>
      <c r="V554" s="7" t="n">
        <v>38117.59686406301</v>
      </c>
      <c r="W554" s="7" t="n">
        <v>48567.24463026349</v>
      </c>
      <c r="X554" s="7" t="n">
        <v>-10449.64776620048</v>
      </c>
      <c r="Y554" s="6" t="n">
        <v>-0.2151583406831574</v>
      </c>
      <c r="Z554" s="7" t="n">
        <v>4261.51401668827</v>
      </c>
      <c r="AA554" s="7" t="n">
        <v>4687.665418357097</v>
      </c>
      <c r="AB554" s="7" t="n">
        <v>36549.74253124082</v>
      </c>
      <c r="AC554" s="7" t="n">
        <v>65915.46118130801</v>
      </c>
      <c r="AD554" s="7" t="n">
        <v>-29365.7186500672</v>
      </c>
      <c r="AE554" s="6" t="n">
        <v>-0.4455057754855637</v>
      </c>
    </row>
    <row r="555">
      <c r="A555" s="2" t="n">
        <v>546</v>
      </c>
      <c r="B555" s="2" t="inlineStr">
        <is>
          <t>KPROP-00546</t>
        </is>
      </c>
      <c r="C555" s="3" t="n">
        <v>46122</v>
      </c>
      <c r="D555" s="2" t="inlineStr">
        <is>
          <t>Michael Soroka</t>
        </is>
      </c>
      <c r="E555" s="2" t="inlineStr">
        <is>
          <t>Loss</t>
        </is>
      </c>
      <c r="F555" s="2" t="n">
        <v>-1</v>
      </c>
      <c r="G555" s="6" t="n">
        <v>0.1361558540472176</v>
      </c>
      <c r="H555" s="7" t="n">
        <v>100</v>
      </c>
      <c r="I555" s="7" t="n">
        <v>-100</v>
      </c>
      <c r="J555" s="7" t="n">
        <v>14378.26459074597</v>
      </c>
      <c r="K555" s="7" t="n">
        <v>14668.26459074597</v>
      </c>
      <c r="L555" s="7" t="n">
        <v>-290</v>
      </c>
      <c r="M555" s="6" t="n">
        <v>-0.01977057328124265</v>
      </c>
      <c r="N555" s="7" t="n">
        <v>152.3565840823045</v>
      </c>
      <c r="O555" s="7" t="n">
        <v>-152.3565840823045</v>
      </c>
      <c r="P555" s="7" t="n">
        <v>15083.30182414814</v>
      </c>
      <c r="Q555" s="7" t="n">
        <v>15531.18123628306</v>
      </c>
      <c r="R555" s="7" t="n">
        <v>-447.8794121349219</v>
      </c>
      <c r="S555" s="6" t="n">
        <v>-0.02883743389000004</v>
      </c>
      <c r="T555" s="7" t="n">
        <v>1297.483488813511</v>
      </c>
      <c r="U555" s="7" t="n">
        <v>-1297.483488813511</v>
      </c>
      <c r="V555" s="7" t="n">
        <v>36820.1133752495</v>
      </c>
      <c r="W555" s="7" t="n">
        <v>48567.24463026349</v>
      </c>
      <c r="X555" s="7" t="n">
        <v>-11747.13125501398</v>
      </c>
      <c r="Y555" s="6" t="n">
        <v>-0.2418735372871874</v>
      </c>
      <c r="Z555" s="7" t="n">
        <v>2488.230704773503</v>
      </c>
      <c r="AA555" s="7" t="n">
        <v>-2488.230704773503</v>
      </c>
      <c r="AB555" s="7" t="n">
        <v>34061.51182646731</v>
      </c>
      <c r="AC555" s="7" t="n">
        <v>65915.46118130801</v>
      </c>
      <c r="AD555" s="7" t="n">
        <v>-31853.9493548407</v>
      </c>
      <c r="AE555" s="6" t="n">
        <v>-0.48325459283707</v>
      </c>
    </row>
    <row r="556">
      <c r="A556" s="2" t="n">
        <v>547</v>
      </c>
      <c r="B556" s="2" t="inlineStr">
        <is>
          <t>KPROP-00547</t>
        </is>
      </c>
      <c r="C556" s="3" t="n">
        <v>46122</v>
      </c>
      <c r="D556" s="2" t="inlineStr">
        <is>
          <t>Patrick Corbin</t>
        </is>
      </c>
      <c r="E556" s="2" t="inlineStr">
        <is>
          <t>Win</t>
        </is>
      </c>
      <c r="F556" s="2" t="n">
        <v>0.8</v>
      </c>
      <c r="G556" s="6" t="n">
        <v>0.1429085782949966</v>
      </c>
      <c r="H556" s="7" t="n">
        <v>100</v>
      </c>
      <c r="I556" s="7" t="n">
        <v>80</v>
      </c>
      <c r="J556" s="7" t="n">
        <v>14458.26459074597</v>
      </c>
      <c r="K556" s="7" t="n">
        <v>14668.26459074597</v>
      </c>
      <c r="L556" s="7" t="n">
        <v>-210</v>
      </c>
      <c r="M556" s="6" t="n">
        <v>-0.01431662203124468</v>
      </c>
      <c r="N556" s="7" t="n">
        <v>150.8330182414814</v>
      </c>
      <c r="O556" s="7" t="n">
        <v>120.6664145931852</v>
      </c>
      <c r="P556" s="7" t="n">
        <v>15203.96823874133</v>
      </c>
      <c r="Q556" s="7" t="n">
        <v>15531.18123628306</v>
      </c>
      <c r="R556" s="7" t="n">
        <v>-327.2129975417374</v>
      </c>
      <c r="S556" s="6" t="n">
        <v>-0.02106813336112008</v>
      </c>
      <c r="T556" s="7" t="n">
        <v>1315.477513779374</v>
      </c>
      <c r="U556" s="7" t="n">
        <v>1052.382011023499</v>
      </c>
      <c r="V556" s="7" t="n">
        <v>37872.495386273</v>
      </c>
      <c r="W556" s="7" t="n">
        <v>48567.24463026349</v>
      </c>
      <c r="X556" s="7" t="n">
        <v>-10694.74924399049</v>
      </c>
      <c r="Y556" s="6" t="n">
        <v>-0.2202049822963669</v>
      </c>
      <c r="Z556" s="7" t="n">
        <v>2433.841114849328</v>
      </c>
      <c r="AA556" s="7" t="n">
        <v>1947.072891879463</v>
      </c>
      <c r="AB556" s="7" t="n">
        <v>36008.58471834678</v>
      </c>
      <c r="AC556" s="7" t="n">
        <v>65915.46118130801</v>
      </c>
      <c r="AD556" s="7" t="n">
        <v>-29906.87646296123</v>
      </c>
      <c r="AE556" s="6" t="n">
        <v>-0.4537156522458206</v>
      </c>
    </row>
    <row r="557">
      <c r="A557" s="2" t="n">
        <v>548</v>
      </c>
      <c r="B557" s="2" t="inlineStr">
        <is>
          <t>KPROP-00548</t>
        </is>
      </c>
      <c r="C557" s="3" t="n">
        <v>46122</v>
      </c>
      <c r="D557" s="2" t="inlineStr">
        <is>
          <t>Shane Baz</t>
        </is>
      </c>
      <c r="E557" s="2" t="inlineStr">
        <is>
          <t>Win</t>
        </is>
      </c>
      <c r="F557" s="2" t="n">
        <v>0.8</v>
      </c>
      <c r="G557" s="6" t="n">
        <v>0.2083421537422846</v>
      </c>
      <c r="H557" s="7" t="n">
        <v>100</v>
      </c>
      <c r="I557" s="7" t="n">
        <v>80</v>
      </c>
      <c r="J557" s="7" t="n">
        <v>14538.26459074597</v>
      </c>
      <c r="K557" s="7" t="n">
        <v>14668.26459074597</v>
      </c>
      <c r="L557" s="7" t="n">
        <v>-130</v>
      </c>
      <c r="M557" s="6" t="n">
        <v>-0.008862670781246708</v>
      </c>
      <c r="N557" s="7" t="n">
        <v>152.0396823874133</v>
      </c>
      <c r="O557" s="7" t="n">
        <v>121.6317459099306</v>
      </c>
      <c r="P557" s="7" t="n">
        <v>15325.59998465126</v>
      </c>
      <c r="Q557" s="7" t="n">
        <v>15531.18123628306</v>
      </c>
      <c r="R557" s="7" t="n">
        <v>-205.5812516318074</v>
      </c>
      <c r="S557" s="6" t="n">
        <v>-0.01323667842800908</v>
      </c>
      <c r="T557" s="7" t="n">
        <v>1972.609314092713</v>
      </c>
      <c r="U557" s="7" t="n">
        <v>1578.08745127417</v>
      </c>
      <c r="V557" s="7" t="n">
        <v>39450.58283754717</v>
      </c>
      <c r="W557" s="7" t="n">
        <v>48567.24463026349</v>
      </c>
      <c r="X557" s="7" t="n">
        <v>-9116.661792716317</v>
      </c>
      <c r="Y557" s="6" t="n">
        <v>-0.1877121476031912</v>
      </c>
      <c r="Z557" s="7" t="n">
        <v>3751.053046715941</v>
      </c>
      <c r="AA557" s="7" t="n">
        <v>3000.842437372753</v>
      </c>
      <c r="AB557" s="7" t="n">
        <v>39009.42715571953</v>
      </c>
      <c r="AC557" s="7" t="n">
        <v>65915.46118130801</v>
      </c>
      <c r="AD557" s="7" t="n">
        <v>-26906.03402558848</v>
      </c>
      <c r="AE557" s="6" t="n">
        <v>-0.4081900292190986</v>
      </c>
    </row>
    <row r="558">
      <c r="A558" s="2" t="n">
        <v>549</v>
      </c>
      <c r="B558" s="2" t="inlineStr">
        <is>
          <t>KPROP-00549</t>
        </is>
      </c>
      <c r="C558" s="3" t="n">
        <v>46122</v>
      </c>
      <c r="D558" s="2" t="inlineStr">
        <is>
          <t>Shota Imanaga</t>
        </is>
      </c>
      <c r="E558" s="2" t="inlineStr">
        <is>
          <t>Loss</t>
        </is>
      </c>
      <c r="F558" s="2" t="n">
        <v>-1</v>
      </c>
      <c r="G558" s="6" t="n">
        <v>0.2091957610392882</v>
      </c>
      <c r="H558" s="7" t="n">
        <v>100</v>
      </c>
      <c r="I558" s="7" t="n">
        <v>-100</v>
      </c>
      <c r="J558" s="7" t="n">
        <v>14438.26459074597</v>
      </c>
      <c r="K558" s="7" t="n">
        <v>14668.26459074597</v>
      </c>
      <c r="L558" s="7" t="n">
        <v>-230</v>
      </c>
      <c r="M558" s="6" t="n">
        <v>-0.01568010984374417</v>
      </c>
      <c r="N558" s="7" t="n">
        <v>153.2559998465126</v>
      </c>
      <c r="O558" s="7" t="n">
        <v>-153.2559998465126</v>
      </c>
      <c r="P558" s="7" t="n">
        <v>15172.34398480474</v>
      </c>
      <c r="Q558" s="7" t="n">
        <v>15531.18123628306</v>
      </c>
      <c r="R558" s="7" t="n">
        <v>-358.8372514783205</v>
      </c>
      <c r="S558" s="6" t="n">
        <v>-0.02310431164372902</v>
      </c>
      <c r="T558" s="7" t="n">
        <v>2063.223675036041</v>
      </c>
      <c r="U558" s="7" t="n">
        <v>-2063.223675036041</v>
      </c>
      <c r="V558" s="7" t="n">
        <v>37387.35916251113</v>
      </c>
      <c r="W558" s="7" t="n">
        <v>48567.24463026349</v>
      </c>
      <c r="X558" s="7" t="n">
        <v>-11179.88546775236</v>
      </c>
      <c r="Y558" s="6" t="n">
        <v>-0.2301939414694711</v>
      </c>
      <c r="Z558" s="7" t="n">
        <v>4080.303400773712</v>
      </c>
      <c r="AA558" s="7" t="n">
        <v>-4080.303400773712</v>
      </c>
      <c r="AB558" s="7" t="n">
        <v>34929.12375494582</v>
      </c>
      <c r="AC558" s="7" t="n">
        <v>65915.46118130801</v>
      </c>
      <c r="AD558" s="7" t="n">
        <v>-30986.3374263622</v>
      </c>
      <c r="AE558" s="6" t="n">
        <v>-0.4700920978331735</v>
      </c>
    </row>
    <row r="559">
      <c r="A559" s="2" t="n">
        <v>550</v>
      </c>
      <c r="B559" s="2" t="inlineStr">
        <is>
          <t>KPROP-00550</t>
        </is>
      </c>
      <c r="C559" s="3" t="n">
        <v>46122</v>
      </c>
      <c r="D559" s="2" t="inlineStr">
        <is>
          <t>Slade Cecconi</t>
        </is>
      </c>
      <c r="E559" s="2" t="inlineStr">
        <is>
          <t>Win</t>
        </is>
      </c>
      <c r="F559" s="2" t="n">
        <v>0.7352941176470589</v>
      </c>
      <c r="G559" s="6" t="n">
        <v>0.09859021293035647</v>
      </c>
      <c r="H559" s="7" t="n">
        <v>100</v>
      </c>
      <c r="I559" s="7" t="n">
        <v>73.52941176470588</v>
      </c>
      <c r="J559" s="7" t="n">
        <v>14511.79400251068</v>
      </c>
      <c r="K559" s="7" t="n">
        <v>14668.26459074597</v>
      </c>
      <c r="L559" s="7" t="n">
        <v>-156.4705882352937</v>
      </c>
      <c r="M559" s="6" t="n">
        <v>-0.01066728700367248</v>
      </c>
      <c r="N559" s="7" t="n">
        <v>151.7234398480474</v>
      </c>
      <c r="O559" s="7" t="n">
        <v>111.5613528294466</v>
      </c>
      <c r="P559" s="7" t="n">
        <v>15283.90533763419</v>
      </c>
      <c r="Q559" s="7" t="n">
        <v>15531.18123628306</v>
      </c>
      <c r="R559" s="7" t="n">
        <v>-247.2758986488734</v>
      </c>
      <c r="S559" s="6" t="n">
        <v>-0.01592125511169759</v>
      </c>
      <c r="T559" s="7" t="n">
        <v>921.5069251839216</v>
      </c>
      <c r="U559" s="7" t="n">
        <v>677.578621458766</v>
      </c>
      <c r="V559" s="7" t="n">
        <v>38064.93778396989</v>
      </c>
      <c r="W559" s="7" t="n">
        <v>48567.24463026349</v>
      </c>
      <c r="X559" s="7" t="n">
        <v>-10502.30684629359</v>
      </c>
      <c r="Y559" s="6" t="n">
        <v>-0.2162425916118234</v>
      </c>
      <c r="Z559" s="7" t="n">
        <v>1721.83487423544</v>
      </c>
      <c r="AA559" s="7" t="n">
        <v>1266.055054584883</v>
      </c>
      <c r="AB559" s="7" t="n">
        <v>36195.1788095307</v>
      </c>
      <c r="AC559" s="7" t="n">
        <v>65915.46118130801</v>
      </c>
      <c r="AD559" s="7" t="n">
        <v>-29720.28237177731</v>
      </c>
      <c r="AE559" s="6" t="n">
        <v>-0.4508848430875463</v>
      </c>
    </row>
    <row r="560">
      <c r="A560" s="2" t="n">
        <v>551</v>
      </c>
      <c r="B560" s="2" t="inlineStr">
        <is>
          <t>KPROP-00551</t>
        </is>
      </c>
      <c r="C560" s="3" t="n">
        <v>46122</v>
      </c>
      <c r="D560" s="2" t="inlineStr">
        <is>
          <t>Steven Matz</t>
        </is>
      </c>
      <c r="E560" s="2" t="inlineStr">
        <is>
          <t>Loss</t>
        </is>
      </c>
      <c r="F560" s="2" t="n">
        <v>-1</v>
      </c>
      <c r="G560" s="6" t="n">
        <v>0.09289614077980546</v>
      </c>
      <c r="H560" s="7" t="n">
        <v>100</v>
      </c>
      <c r="I560" s="7" t="n">
        <v>-100</v>
      </c>
      <c r="J560" s="7" t="n">
        <v>14411.79400251068</v>
      </c>
      <c r="K560" s="7" t="n">
        <v>14668.26459074597</v>
      </c>
      <c r="L560" s="7" t="n">
        <v>-256.4705882352937</v>
      </c>
      <c r="M560" s="6" t="n">
        <v>-0.01748472606616995</v>
      </c>
      <c r="N560" s="7" t="n">
        <v>152.8390533763419</v>
      </c>
      <c r="O560" s="7" t="n">
        <v>-152.8390533763419</v>
      </c>
      <c r="P560" s="7" t="n">
        <v>15131.06628425785</v>
      </c>
      <c r="Q560" s="7" t="n">
        <v>15531.18123628306</v>
      </c>
      <c r="R560" s="7" t="n">
        <v>-400.1149520252147</v>
      </c>
      <c r="S560" s="6" t="n">
        <v>-0.02576204256058057</v>
      </c>
      <c r="T560" s="7" t="n">
        <v>884.0214547885508</v>
      </c>
      <c r="U560" s="7" t="n">
        <v>-884.0214547885508</v>
      </c>
      <c r="V560" s="7" t="n">
        <v>37180.91632918135</v>
      </c>
      <c r="W560" s="7" t="n">
        <v>48567.24463026349</v>
      </c>
      <c r="X560" s="7" t="n">
        <v>-11386.32830108214</v>
      </c>
      <c r="Y560" s="6" t="n">
        <v>-0.2344446012485343</v>
      </c>
      <c r="Z560" s="7" t="n">
        <v>1681.196213120198</v>
      </c>
      <c r="AA560" s="7" t="n">
        <v>-1681.196213120198</v>
      </c>
      <c r="AB560" s="7" t="n">
        <v>34513.9825964105</v>
      </c>
      <c r="AC560" s="7" t="n">
        <v>65915.46118130801</v>
      </c>
      <c r="AD560" s="7" t="n">
        <v>-31401.47858489751</v>
      </c>
      <c r="AE560" s="6" t="n">
        <v>-0.4763901825479784</v>
      </c>
    </row>
    <row r="561">
      <c r="A561" s="2" t="n">
        <v>552</v>
      </c>
      <c r="B561" s="2" t="inlineStr">
        <is>
          <t>KPROP-00552</t>
        </is>
      </c>
      <c r="C561" s="3" t="n">
        <v>46123</v>
      </c>
      <c r="D561" s="2" t="inlineStr">
        <is>
          <t>Chris Bassitt</t>
        </is>
      </c>
      <c r="E561" s="2" t="inlineStr">
        <is>
          <t>Win</t>
        </is>
      </c>
      <c r="F561" s="2" t="n">
        <v>1.1</v>
      </c>
      <c r="G561" s="6" t="n">
        <v>0.2952408638283295</v>
      </c>
      <c r="H561" s="7" t="n">
        <v>100</v>
      </c>
      <c r="I561" s="7" t="n">
        <v>110</v>
      </c>
      <c r="J561" s="7" t="n">
        <v>14521.79400251068</v>
      </c>
      <c r="K561" s="7" t="n">
        <v>14668.26459074597</v>
      </c>
      <c r="L561" s="7" t="n">
        <v>-146.4705882352937</v>
      </c>
      <c r="M561" s="6" t="n">
        <v>-0.009985543097422731</v>
      </c>
      <c r="N561" s="7" t="n">
        <v>151.3106628425785</v>
      </c>
      <c r="O561" s="7" t="n">
        <v>166.4417291268363</v>
      </c>
      <c r="P561" s="7" t="n">
        <v>15297.50801338469</v>
      </c>
      <c r="Q561" s="7" t="n">
        <v>15531.18123628306</v>
      </c>
      <c r="R561" s="7" t="n">
        <v>-233.6732228983783</v>
      </c>
      <c r="S561" s="6" t="n">
        <v>-0.01504542502874696</v>
      </c>
      <c r="T561" s="7" t="n">
        <v>2744.331463739085</v>
      </c>
      <c r="U561" s="7" t="n">
        <v>3018.764610112994</v>
      </c>
      <c r="V561" s="7" t="n">
        <v>40199.68093929434</v>
      </c>
      <c r="W561" s="7" t="n">
        <v>48567.24463026349</v>
      </c>
      <c r="X561" s="7" t="n">
        <v>-8367.563690969146</v>
      </c>
      <c r="Y561" s="6" t="n">
        <v>-0.1722882110086827</v>
      </c>
      <c r="Z561" s="7" t="n">
        <v>5094.969017960084</v>
      </c>
      <c r="AA561" s="7" t="n">
        <v>5604.465919756092</v>
      </c>
      <c r="AB561" s="7" t="n">
        <v>40118.44851616659</v>
      </c>
      <c r="AC561" s="7" t="n">
        <v>65915.46118130801</v>
      </c>
      <c r="AD561" s="7" t="n">
        <v>-25797.01266514142</v>
      </c>
      <c r="AE561" s="6" t="n">
        <v>-0.3913651244005376</v>
      </c>
    </row>
    <row r="562">
      <c r="A562" s="2" t="n">
        <v>553</v>
      </c>
      <c r="B562" s="2" t="inlineStr">
        <is>
          <t>KPROP-00553</t>
        </is>
      </c>
      <c r="C562" s="3" t="n">
        <v>46123</v>
      </c>
      <c r="D562" s="2" t="inlineStr">
        <is>
          <t>Edward Cabrera</t>
        </is>
      </c>
      <c r="E562" s="2" t="inlineStr">
        <is>
          <t>Win</t>
        </is>
      </c>
      <c r="F562" s="2" t="n">
        <v>1.38</v>
      </c>
      <c r="G562" s="6" t="n">
        <v>0.1421626450262728</v>
      </c>
      <c r="H562" s="7" t="n">
        <v>100</v>
      </c>
      <c r="I562" s="7" t="n">
        <v>138</v>
      </c>
      <c r="J562" s="7" t="n">
        <v>14659.79400251068</v>
      </c>
      <c r="K562" s="7" t="n">
        <v>14668.26459074597</v>
      </c>
      <c r="L562" s="7" t="n">
        <v>-8.47058823529369</v>
      </c>
      <c r="M562" s="6" t="n">
        <v>-0.0005774771911762268</v>
      </c>
      <c r="N562" s="7" t="n">
        <v>152.9750801338469</v>
      </c>
      <c r="O562" s="7" t="n">
        <v>211.1056105847086</v>
      </c>
      <c r="P562" s="7" t="n">
        <v>15508.6136239694</v>
      </c>
      <c r="Q562" s="7" t="n">
        <v>15531.18123628306</v>
      </c>
      <c r="R562" s="7" t="n">
        <v>-22.56761231366909</v>
      </c>
      <c r="S562" s="6" t="n">
        <v>-0.001453051894143628</v>
      </c>
      <c r="T562" s="7" t="n">
        <v>1428.723242885581</v>
      </c>
      <c r="U562" s="7" t="n">
        <v>1971.638075182102</v>
      </c>
      <c r="V562" s="7" t="n">
        <v>42171.31901447644</v>
      </c>
      <c r="W562" s="7" t="n">
        <v>48567.24463026349</v>
      </c>
      <c r="X562" s="7" t="n">
        <v>-6395.92561578704</v>
      </c>
      <c r="Y562" s="6" t="n">
        <v>-0.1316921654600429</v>
      </c>
      <c r="Z562" s="7" t="n">
        <v>2851.672377704295</v>
      </c>
      <c r="AA562" s="7" t="n">
        <v>3935.307881231927</v>
      </c>
      <c r="AB562" s="7" t="n">
        <v>44053.75639739852</v>
      </c>
      <c r="AC562" s="7" t="n">
        <v>65915.46118130801</v>
      </c>
      <c r="AD562" s="7" t="n">
        <v>-21861.70478390949</v>
      </c>
      <c r="AE562" s="6" t="n">
        <v>-0.3316627751989229</v>
      </c>
    </row>
    <row r="563">
      <c r="A563" s="2" t="n">
        <v>554</v>
      </c>
      <c r="B563" s="2" t="inlineStr">
        <is>
          <t>KPROP-00554</t>
        </is>
      </c>
      <c r="C563" s="3" t="n">
        <v>46123</v>
      </c>
      <c r="D563" s="2" t="inlineStr">
        <is>
          <t>Edward Cabrera</t>
        </is>
      </c>
      <c r="E563" s="2" t="inlineStr">
        <is>
          <t>Win</t>
        </is>
      </c>
      <c r="F563" s="2" t="n">
        <v>0.6896551724137931</v>
      </c>
      <c r="G563" s="6" t="n">
        <v>0.1708480986803245</v>
      </c>
      <c r="H563" s="7" t="n">
        <v>100</v>
      </c>
      <c r="I563" s="7" t="n">
        <v>68.96551724137932</v>
      </c>
      <c r="J563" s="7" t="n">
        <v>14728.75951975205</v>
      </c>
      <c r="K563" s="7" t="n">
        <v>14728.75951975205</v>
      </c>
      <c r="L563" s="7" t="n">
        <v>0</v>
      </c>
      <c r="M563" s="6" t="n">
        <v>0</v>
      </c>
      <c r="N563" s="7" t="n">
        <v>155.086136239694</v>
      </c>
      <c r="O563" s="7" t="n">
        <v>106.9559560273752</v>
      </c>
      <c r="P563" s="7" t="n">
        <v>15615.56957999677</v>
      </c>
      <c r="Q563" s="7" t="n">
        <v>15615.56957999677</v>
      </c>
      <c r="R563" s="7" t="n">
        <v>0</v>
      </c>
      <c r="S563" s="6" t="n">
        <v>0</v>
      </c>
      <c r="T563" s="7" t="n">
        <v>1801.222418116179</v>
      </c>
      <c r="U563" s="7" t="n">
        <v>1242.222357321503</v>
      </c>
      <c r="V563" s="7" t="n">
        <v>43413.54137179795</v>
      </c>
      <c r="W563" s="7" t="n">
        <v>48567.24463026349</v>
      </c>
      <c r="X563" s="7" t="n">
        <v>-5153.703258465539</v>
      </c>
      <c r="Y563" s="6" t="n">
        <v>-0.1061147960461841</v>
      </c>
      <c r="Z563" s="7" t="n">
        <v>3763.250260110859</v>
      </c>
      <c r="AA563" s="7" t="n">
        <v>2595.345006973007</v>
      </c>
      <c r="AB563" s="7" t="n">
        <v>46649.10140437153</v>
      </c>
      <c r="AC563" s="7" t="n">
        <v>65915.46118130801</v>
      </c>
      <c r="AD563" s="7" t="n">
        <v>-19266.35977693648</v>
      </c>
      <c r="AE563" s="6" t="n">
        <v>-0.2922889323939061</v>
      </c>
    </row>
    <row r="564">
      <c r="A564" s="2" t="n">
        <v>555</v>
      </c>
      <c r="B564" s="2" t="inlineStr">
        <is>
          <t>KPROP-00555</t>
        </is>
      </c>
      <c r="C564" s="3" t="n">
        <v>46123</v>
      </c>
      <c r="D564" s="2" t="inlineStr">
        <is>
          <t>Eric Lauer</t>
        </is>
      </c>
      <c r="E564" s="2" t="inlineStr">
        <is>
          <t>Win</t>
        </is>
      </c>
      <c r="F564" s="2" t="n">
        <v>0.9523809523809523</v>
      </c>
      <c r="G564" s="6" t="n">
        <v>0.1652946918089755</v>
      </c>
      <c r="H564" s="7" t="n">
        <v>100</v>
      </c>
      <c r="I564" s="7" t="n">
        <v>95.23809523809523</v>
      </c>
      <c r="J564" s="7" t="n">
        <v>14823.99761499015</v>
      </c>
      <c r="K564" s="7" t="n">
        <v>14823.99761499015</v>
      </c>
      <c r="L564" s="7" t="n">
        <v>0</v>
      </c>
      <c r="M564" s="6" t="n">
        <v>0</v>
      </c>
      <c r="N564" s="7" t="n">
        <v>156.1556957999677</v>
      </c>
      <c r="O564" s="7" t="n">
        <v>148.7197102856835</v>
      </c>
      <c r="P564" s="7" t="n">
        <v>15764.28929028245</v>
      </c>
      <c r="Q564" s="7" t="n">
        <v>15764.28929028245</v>
      </c>
      <c r="R564" s="7" t="n">
        <v>0</v>
      </c>
      <c r="S564" s="6" t="n">
        <v>0</v>
      </c>
      <c r="T564" s="7" t="n">
        <v>1794.006985346887</v>
      </c>
      <c r="U564" s="7" t="n">
        <v>1708.57808128275</v>
      </c>
      <c r="V564" s="7" t="n">
        <v>45122.1194530807</v>
      </c>
      <c r="W564" s="7" t="n">
        <v>48567.24463026349</v>
      </c>
      <c r="X564" s="7" t="n">
        <v>-3445.125177182788</v>
      </c>
      <c r="Y564" s="6" t="n">
        <v>-0.07093515811757711</v>
      </c>
      <c r="Z564" s="7" t="n">
        <v>3855.42441990062</v>
      </c>
      <c r="AA564" s="7" t="n">
        <v>3671.832780857733</v>
      </c>
      <c r="AB564" s="7" t="n">
        <v>50320.93418522926</v>
      </c>
      <c r="AC564" s="7" t="n">
        <v>65915.46118130801</v>
      </c>
      <c r="AD564" s="7" t="n">
        <v>-15594.52699607875</v>
      </c>
      <c r="AE564" s="6" t="n">
        <v>-0.2365837501035488</v>
      </c>
    </row>
    <row r="565">
      <c r="A565" s="2" t="n">
        <v>556</v>
      </c>
      <c r="B565" s="2" t="inlineStr">
        <is>
          <t>KPROP-00556</t>
        </is>
      </c>
      <c r="C565" s="3" t="n">
        <v>46123</v>
      </c>
      <c r="D565" s="2" t="inlineStr">
        <is>
          <t>Kodai Senga</t>
        </is>
      </c>
      <c r="E565" s="2" t="inlineStr">
        <is>
          <t>Win</t>
        </is>
      </c>
      <c r="F565" s="2" t="n">
        <v>1.4</v>
      </c>
      <c r="G565" s="6" t="n">
        <v>0.2632101203923745</v>
      </c>
      <c r="H565" s="7" t="n">
        <v>100</v>
      </c>
      <c r="I565" s="7" t="n">
        <v>140</v>
      </c>
      <c r="J565" s="7" t="n">
        <v>14963.99761499015</v>
      </c>
      <c r="K565" s="7" t="n">
        <v>14963.99761499015</v>
      </c>
      <c r="L565" s="7" t="n">
        <v>0</v>
      </c>
      <c r="M565" s="6" t="n">
        <v>0</v>
      </c>
      <c r="N565" s="7" t="n">
        <v>157.6428929028245</v>
      </c>
      <c r="O565" s="7" t="n">
        <v>220.7000500639543</v>
      </c>
      <c r="P565" s="7" t="n">
        <v>15984.98934034641</v>
      </c>
      <c r="Q565" s="7" t="n">
        <v>15984.98934034641</v>
      </c>
      <c r="R565" s="7" t="n">
        <v>0</v>
      </c>
      <c r="S565" s="6" t="n">
        <v>0</v>
      </c>
      <c r="T565" s="7" t="n">
        <v>2969.149623401119</v>
      </c>
      <c r="U565" s="7" t="n">
        <v>4156.809472761566</v>
      </c>
      <c r="V565" s="7" t="n">
        <v>49278.92892584227</v>
      </c>
      <c r="W565" s="7" t="n">
        <v>49278.92892584227</v>
      </c>
      <c r="X565" s="7" t="n">
        <v>0</v>
      </c>
      <c r="Y565" s="6" t="n">
        <v>0</v>
      </c>
      <c r="Z565" s="7" t="n">
        <v>6622.489572575474</v>
      </c>
      <c r="AA565" s="7" t="n">
        <v>9271.485401605663</v>
      </c>
      <c r="AB565" s="7" t="n">
        <v>59592.41958683493</v>
      </c>
      <c r="AC565" s="7" t="n">
        <v>65915.46118130801</v>
      </c>
      <c r="AD565" s="7" t="n">
        <v>-6323.041594473085</v>
      </c>
      <c r="AE565" s="6" t="n">
        <v>-0.09592653197223086</v>
      </c>
    </row>
    <row r="566">
      <c r="A566" s="2" t="n">
        <v>557</v>
      </c>
      <c r="B566" s="2" t="inlineStr">
        <is>
          <t>KPROP-00557</t>
        </is>
      </c>
      <c r="C566" s="3" t="n">
        <v>46123</v>
      </c>
      <c r="D566" s="2" t="inlineStr">
        <is>
          <t>Kodai Senga</t>
        </is>
      </c>
      <c r="E566" s="2" t="inlineStr">
        <is>
          <t>Win</t>
        </is>
      </c>
      <c r="F566" s="2" t="n">
        <v>0.8333333333333335</v>
      </c>
      <c r="G566" s="6" t="n">
        <v>0.3907301260566177</v>
      </c>
      <c r="H566" s="7" t="n">
        <v>100</v>
      </c>
      <c r="I566" s="7" t="n">
        <v>83.33333333333334</v>
      </c>
      <c r="J566" s="7" t="n">
        <v>15047.33094832348</v>
      </c>
      <c r="K566" s="7" t="n">
        <v>15047.33094832348</v>
      </c>
      <c r="L566" s="7" t="n">
        <v>0</v>
      </c>
      <c r="M566" s="6" t="n">
        <v>0</v>
      </c>
      <c r="N566" s="7" t="n">
        <v>159.8498934034641</v>
      </c>
      <c r="O566" s="7" t="n">
        <v>133.2082445028867</v>
      </c>
      <c r="P566" s="7" t="n">
        <v>16118.19758484929</v>
      </c>
      <c r="Q566" s="7" t="n">
        <v>16118.19758484929</v>
      </c>
      <c r="R566" s="7" t="n">
        <v>0</v>
      </c>
      <c r="S566" s="6" t="n">
        <v>0</v>
      </c>
      <c r="T566" s="7" t="n">
        <v>4813.690527782363</v>
      </c>
      <c r="U566" s="7" t="n">
        <v>4011.408773151969</v>
      </c>
      <c r="V566" s="7" t="n">
        <v>53290.33769899423</v>
      </c>
      <c r="W566" s="7" t="n">
        <v>53290.33769899423</v>
      </c>
      <c r="X566" s="7" t="n">
        <v>0</v>
      </c>
      <c r="Y566" s="6" t="n">
        <v>0</v>
      </c>
      <c r="Z566" s="7" t="n">
        <v>11642.27680859143</v>
      </c>
      <c r="AA566" s="7" t="n">
        <v>9701.897340492862</v>
      </c>
      <c r="AB566" s="7" t="n">
        <v>69294.31692732779</v>
      </c>
      <c r="AC566" s="7" t="n">
        <v>69294.31692732779</v>
      </c>
      <c r="AD566" s="7" t="n">
        <v>0</v>
      </c>
      <c r="AE566" s="6" t="n">
        <v>0</v>
      </c>
    </row>
    <row r="567">
      <c r="A567" s="2" t="n">
        <v>558</v>
      </c>
      <c r="B567" s="2" t="inlineStr">
        <is>
          <t>KPROP-00558</t>
        </is>
      </c>
      <c r="C567" s="3" t="n">
        <v>46123</v>
      </c>
      <c r="D567" s="2" t="inlineStr">
        <is>
          <t>Kyle Harrison</t>
        </is>
      </c>
      <c r="E567" s="2" t="inlineStr">
        <is>
          <t>Win</t>
        </is>
      </c>
      <c r="F567" s="2" t="n">
        <v>1.2</v>
      </c>
      <c r="G567" s="6" t="n">
        <v>0.3130723644742016</v>
      </c>
      <c r="H567" s="7" t="n">
        <v>100</v>
      </c>
      <c r="I567" s="7" t="n">
        <v>120</v>
      </c>
      <c r="J567" s="7" t="n">
        <v>15167.33094832348</v>
      </c>
      <c r="K567" s="7" t="n">
        <v>15167.33094832348</v>
      </c>
      <c r="L567" s="7" t="n">
        <v>0</v>
      </c>
      <c r="M567" s="6" t="n">
        <v>0</v>
      </c>
      <c r="N567" s="7" t="n">
        <v>161.181975848493</v>
      </c>
      <c r="O567" s="7" t="n">
        <v>193.4183710181916</v>
      </c>
      <c r="P567" s="7" t="n">
        <v>16311.61595586749</v>
      </c>
      <c r="Q567" s="7" t="n">
        <v>16311.61595586749</v>
      </c>
      <c r="R567" s="7" t="n">
        <v>0</v>
      </c>
      <c r="S567" s="6" t="n">
        <v>0</v>
      </c>
      <c r="T567" s="7" t="n">
        <v>4170.933006763202</v>
      </c>
      <c r="U567" s="7" t="n">
        <v>5005.119608115843</v>
      </c>
      <c r="V567" s="7" t="n">
        <v>58295.45730711007</v>
      </c>
      <c r="W567" s="7" t="n">
        <v>58295.45730711007</v>
      </c>
      <c r="X567" s="7" t="n">
        <v>0</v>
      </c>
      <c r="Y567" s="6" t="n">
        <v>0</v>
      </c>
      <c r="Z567" s="7" t="n">
        <v>10847.0678225316</v>
      </c>
      <c r="AA567" s="7" t="n">
        <v>13016.48138703792</v>
      </c>
      <c r="AB567" s="7" t="n">
        <v>82310.7983143657</v>
      </c>
      <c r="AC567" s="7" t="n">
        <v>82310.7983143657</v>
      </c>
      <c r="AD567" s="7" t="n">
        <v>0</v>
      </c>
      <c r="AE567" s="6" t="n">
        <v>0</v>
      </c>
    </row>
    <row r="568">
      <c r="A568" s="2" t="n">
        <v>559</v>
      </c>
      <c r="B568" s="2" t="inlineStr">
        <is>
          <t>KPROP-00559</t>
        </is>
      </c>
      <c r="C568" s="3" t="n">
        <v>46123</v>
      </c>
      <c r="D568" s="2" t="inlineStr">
        <is>
          <t>Kyle Harrison</t>
        </is>
      </c>
      <c r="E568" s="2" t="inlineStr">
        <is>
          <t>Win</t>
        </is>
      </c>
      <c r="F568" s="2" t="n">
        <v>0.5494505494505495</v>
      </c>
      <c r="G568" s="6" t="n">
        <v>0.3512163664392162</v>
      </c>
      <c r="H568" s="7" t="n">
        <v>100</v>
      </c>
      <c r="I568" s="7" t="n">
        <v>54.94505494505495</v>
      </c>
      <c r="J568" s="7" t="n">
        <v>15222.27600326854</v>
      </c>
      <c r="K568" s="7" t="n">
        <v>15222.27600326854</v>
      </c>
      <c r="L568" s="7" t="n">
        <v>0</v>
      </c>
      <c r="M568" s="6" t="n">
        <v>0</v>
      </c>
      <c r="N568" s="7" t="n">
        <v>163.1161595586749</v>
      </c>
      <c r="O568" s="7" t="n">
        <v>89.62426349377741</v>
      </c>
      <c r="P568" s="7" t="n">
        <v>16401.24021936127</v>
      </c>
      <c r="Q568" s="7" t="n">
        <v>16401.24021936127</v>
      </c>
      <c r="R568" s="7" t="n">
        <v>0</v>
      </c>
      <c r="S568" s="6" t="n">
        <v>0</v>
      </c>
      <c r="T568" s="7" t="n">
        <v>5118.579673828914</v>
      </c>
      <c r="U568" s="7" t="n">
        <v>2812.406414191711</v>
      </c>
      <c r="V568" s="7" t="n">
        <v>61107.86372130179</v>
      </c>
      <c r="W568" s="7" t="n">
        <v>61107.86372130179</v>
      </c>
      <c r="X568" s="7" t="n">
        <v>0</v>
      </c>
      <c r="Y568" s="6" t="n">
        <v>0</v>
      </c>
      <c r="Z568" s="7" t="n">
        <v>14454.44975134134</v>
      </c>
      <c r="AA568" s="7" t="n">
        <v>7942.005357879858</v>
      </c>
      <c r="AB568" s="7" t="n">
        <v>90252.80367224556</v>
      </c>
      <c r="AC568" s="7" t="n">
        <v>90252.80367224556</v>
      </c>
      <c r="AD568" s="7" t="n">
        <v>0</v>
      </c>
      <c r="AE568" s="6" t="n">
        <v>0</v>
      </c>
    </row>
    <row r="569">
      <c r="A569" s="2" t="n">
        <v>560</v>
      </c>
      <c r="B569" s="2" t="inlineStr">
        <is>
          <t>KPROP-00560</t>
        </is>
      </c>
      <c r="C569" s="3" t="n">
        <v>46123</v>
      </c>
      <c r="D569" s="2" t="inlineStr">
        <is>
          <t>Nick Martinez</t>
        </is>
      </c>
      <c r="E569" s="2" t="inlineStr">
        <is>
          <t>Win</t>
        </is>
      </c>
      <c r="F569" s="2" t="n">
        <v>1</v>
      </c>
      <c r="G569" s="6" t="n">
        <v>0.1363645127729134</v>
      </c>
      <c r="H569" s="7" t="n">
        <v>100</v>
      </c>
      <c r="I569" s="7" t="n">
        <v>100</v>
      </c>
      <c r="J569" s="7" t="n">
        <v>15322.27600326854</v>
      </c>
      <c r="K569" s="7" t="n">
        <v>15322.27600326854</v>
      </c>
      <c r="L569" s="7" t="n">
        <v>0</v>
      </c>
      <c r="M569" s="6" t="n">
        <v>0</v>
      </c>
      <c r="N569" s="7" t="n">
        <v>164.0124021936126</v>
      </c>
      <c r="O569" s="7" t="n">
        <v>164.0124021936126</v>
      </c>
      <c r="P569" s="7" t="n">
        <v>16565.25262155488</v>
      </c>
      <c r="Q569" s="7" t="n">
        <v>16565.25262155488</v>
      </c>
      <c r="R569" s="7" t="n">
        <v>0</v>
      </c>
      <c r="S569" s="6" t="n">
        <v>0</v>
      </c>
      <c r="T569" s="7" t="n">
        <v>2083.236015737227</v>
      </c>
      <c r="U569" s="7" t="n">
        <v>2083.236015737227</v>
      </c>
      <c r="V569" s="7" t="n">
        <v>63191.09973703901</v>
      </c>
      <c r="W569" s="7" t="n">
        <v>63191.09973703901</v>
      </c>
      <c r="X569" s="7" t="n">
        <v>0</v>
      </c>
      <c r="Y569" s="6" t="n">
        <v>0</v>
      </c>
      <c r="Z569" s="7" t="n">
        <v>6153.639799577587</v>
      </c>
      <c r="AA569" s="7" t="n">
        <v>6153.639799577587</v>
      </c>
      <c r="AB569" s="7" t="n">
        <v>96406.44347182315</v>
      </c>
      <c r="AC569" s="7" t="n">
        <v>96406.44347182315</v>
      </c>
      <c r="AD569" s="7" t="n">
        <v>0</v>
      </c>
      <c r="AE569" s="6" t="n">
        <v>0</v>
      </c>
    </row>
    <row r="570">
      <c r="A570" s="2" t="n">
        <v>561</v>
      </c>
      <c r="B570" s="2" t="inlineStr">
        <is>
          <t>KPROP-00561</t>
        </is>
      </c>
      <c r="C570" s="3" t="n">
        <v>46123</v>
      </c>
      <c r="D570" s="2" t="inlineStr">
        <is>
          <t>Ranger Suarez</t>
        </is>
      </c>
      <c r="E570" s="2" t="inlineStr">
        <is>
          <t>Loss</t>
        </is>
      </c>
      <c r="F570" s="2" t="n">
        <v>-1</v>
      </c>
      <c r="G570" s="6" t="n">
        <v>0.2520718337004264</v>
      </c>
      <c r="H570" s="7" t="n">
        <v>100</v>
      </c>
      <c r="I570" s="7" t="n">
        <v>-100</v>
      </c>
      <c r="J570" s="7" t="n">
        <v>15222.27600326854</v>
      </c>
      <c r="K570" s="7" t="n">
        <v>15322.27600326854</v>
      </c>
      <c r="L570" s="7" t="n">
        <v>-100</v>
      </c>
      <c r="M570" s="6" t="n">
        <v>-0.006526445547558865</v>
      </c>
      <c r="N570" s="7" t="n">
        <v>165.6525262155488</v>
      </c>
      <c r="O570" s="7" t="n">
        <v>-165.6525262155488</v>
      </c>
      <c r="P570" s="7" t="n">
        <v>16399.60009533933</v>
      </c>
      <c r="Q570" s="7" t="n">
        <v>16565.25262155488</v>
      </c>
      <c r="R570" s="7" t="n">
        <v>-165.6525262155483</v>
      </c>
      <c r="S570" s="6" t="n">
        <v>-0.009999999999999969</v>
      </c>
      <c r="T570" s="7" t="n">
        <v>3982.174096065489</v>
      </c>
      <c r="U570" s="7" t="n">
        <v>-3982.174096065489</v>
      </c>
      <c r="V570" s="7" t="n">
        <v>59208.92564097352</v>
      </c>
      <c r="W570" s="7" t="n">
        <v>63191.09973703901</v>
      </c>
      <c r="X570" s="7" t="n">
        <v>-3982.174096065486</v>
      </c>
      <c r="Y570" s="6" t="n">
        <v>-0.06301795842510656</v>
      </c>
      <c r="Z570" s="7" t="n">
        <v>12150.67449323948</v>
      </c>
      <c r="AA570" s="7" t="n">
        <v>-12150.67449323948</v>
      </c>
      <c r="AB570" s="7" t="n">
        <v>84255.76897858367</v>
      </c>
      <c r="AC570" s="7" t="n">
        <v>96406.44347182315</v>
      </c>
      <c r="AD570" s="7" t="n">
        <v>-12150.67449323948</v>
      </c>
      <c r="AE570" s="6" t="n">
        <v>-0.1260359168502132</v>
      </c>
    </row>
    <row r="571">
      <c r="A571" s="2" t="n">
        <v>562</v>
      </c>
      <c r="B571" s="2" t="inlineStr">
        <is>
          <t>KPROP-00562</t>
        </is>
      </c>
      <c r="C571" s="3" t="n">
        <v>46124</v>
      </c>
      <c r="D571" s="2" t="inlineStr">
        <is>
          <t>Brandon Woodruff</t>
        </is>
      </c>
      <c r="E571" s="2" t="inlineStr">
        <is>
          <t>Loss</t>
        </is>
      </c>
      <c r="F571" s="2" t="n">
        <v>-1</v>
      </c>
      <c r="G571" s="6" t="n">
        <v>0.3233568642697621</v>
      </c>
      <c r="H571" s="7" t="n">
        <v>100</v>
      </c>
      <c r="I571" s="7" t="n">
        <v>-100</v>
      </c>
      <c r="J571" s="7" t="n">
        <v>15122.27600326854</v>
      </c>
      <c r="K571" s="7" t="n">
        <v>15322.27600326854</v>
      </c>
      <c r="L571" s="7" t="n">
        <v>-200</v>
      </c>
      <c r="M571" s="6" t="n">
        <v>-0.01305289109511773</v>
      </c>
      <c r="N571" s="7" t="n">
        <v>163.9960009533933</v>
      </c>
      <c r="O571" s="7" t="n">
        <v>-163.9960009533933</v>
      </c>
      <c r="P571" s="7" t="n">
        <v>16235.60409438594</v>
      </c>
      <c r="Q571" s="7" t="n">
        <v>16565.25262155488</v>
      </c>
      <c r="R571" s="7" t="n">
        <v>-329.6485271689417</v>
      </c>
      <c r="S571" s="6" t="n">
        <v>-0.01989999999999997</v>
      </c>
      <c r="T571" s="7" t="n">
        <v>4786.403133011679</v>
      </c>
      <c r="U571" s="7" t="n">
        <v>-4786.403133011679</v>
      </c>
      <c r="V571" s="7" t="n">
        <v>54422.52250796185</v>
      </c>
      <c r="W571" s="7" t="n">
        <v>63191.09973703901</v>
      </c>
      <c r="X571" s="7" t="n">
        <v>-8768.577229077164</v>
      </c>
      <c r="Y571" s="6" t="n">
        <v>-0.1387628521352909</v>
      </c>
      <c r="Z571" s="7" t="n">
        <v>13622.34062677616</v>
      </c>
      <c r="AA571" s="7" t="n">
        <v>-13622.34062677616</v>
      </c>
      <c r="AB571" s="7" t="n">
        <v>70633.42835180751</v>
      </c>
      <c r="AC571" s="7" t="n">
        <v>96406.44347182315</v>
      </c>
      <c r="AD571" s="7" t="n">
        <v>-25773.01512001564</v>
      </c>
      <c r="AE571" s="6" t="n">
        <v>-0.2673370595560696</v>
      </c>
    </row>
    <row r="572">
      <c r="A572" s="2" t="n">
        <v>563</v>
      </c>
      <c r="B572" s="2" t="inlineStr">
        <is>
          <t>KPROP-00563</t>
        </is>
      </c>
      <c r="C572" s="3" t="n">
        <v>46124</v>
      </c>
      <c r="D572" s="2" t="inlineStr">
        <is>
          <t>Brandon Woodruff</t>
        </is>
      </c>
      <c r="E572" s="2" t="inlineStr">
        <is>
          <t>Win</t>
        </is>
      </c>
      <c r="F572" s="2" t="n">
        <v>0.6711409395973154</v>
      </c>
      <c r="G572" s="6" t="n">
        <v>0.4246211950155693</v>
      </c>
      <c r="H572" s="7" t="n">
        <v>100</v>
      </c>
      <c r="I572" s="7" t="n">
        <v>67.11409395973153</v>
      </c>
      <c r="J572" s="7" t="n">
        <v>15189.39009722827</v>
      </c>
      <c r="K572" s="7" t="n">
        <v>15322.27600326854</v>
      </c>
      <c r="L572" s="7" t="n">
        <v>-132.8859060402683</v>
      </c>
      <c r="M572" s="6" t="n">
        <v>-0.008672726298098347</v>
      </c>
      <c r="N572" s="7" t="n">
        <v>162.3560409438594</v>
      </c>
      <c r="O572" s="7" t="n">
        <v>108.963785868362</v>
      </c>
      <c r="P572" s="7" t="n">
        <v>16344.5678802543</v>
      </c>
      <c r="Q572" s="7" t="n">
        <v>16565.25262155488</v>
      </c>
      <c r="R572" s="7" t="n">
        <v>-220.6847413005798</v>
      </c>
      <c r="S572" s="6" t="n">
        <v>-0.0133221476510067</v>
      </c>
      <c r="T572" s="7" t="n">
        <v>5777.239135773119</v>
      </c>
      <c r="U572" s="7" t="n">
        <v>3877.341701861154</v>
      </c>
      <c r="V572" s="7" t="n">
        <v>58299.864209823</v>
      </c>
      <c r="W572" s="7" t="n">
        <v>63191.09973703901</v>
      </c>
      <c r="X572" s="7" t="n">
        <v>-4891.235527216013</v>
      </c>
      <c r="Y572" s="6" t="n">
        <v>-0.07740386775305716</v>
      </c>
      <c r="Z572" s="7" t="n">
        <v>14996.22537739555</v>
      </c>
      <c r="AA572" s="7" t="n">
        <v>10064.58079019836</v>
      </c>
      <c r="AB572" s="7" t="n">
        <v>80698.00914200586</v>
      </c>
      <c r="AC572" s="7" t="n">
        <v>96406.44347182315</v>
      </c>
      <c r="AD572" s="7" t="n">
        <v>-15708.43432981729</v>
      </c>
      <c r="AE572" s="6" t="n">
        <v>-0.1629396725376392</v>
      </c>
    </row>
    <row r="573">
      <c r="A573" s="2" t="n">
        <v>564</v>
      </c>
      <c r="B573" s="2" t="inlineStr">
        <is>
          <t>KPROP-00564</t>
        </is>
      </c>
      <c r="C573" s="3" t="n">
        <v>46124</v>
      </c>
      <c r="D573" s="2" t="inlineStr">
        <is>
          <t>Cade Povich</t>
        </is>
      </c>
      <c r="E573" s="2" t="inlineStr">
        <is>
          <t>Win</t>
        </is>
      </c>
      <c r="F573" s="2" t="n">
        <v>0.7692307692307692</v>
      </c>
      <c r="G573" s="6" t="n">
        <v>0.3251758630172157</v>
      </c>
      <c r="H573" s="7" t="n">
        <v>100</v>
      </c>
      <c r="I573" s="7" t="n">
        <v>76.92307692307692</v>
      </c>
      <c r="J573" s="7" t="n">
        <v>15266.31317415135</v>
      </c>
      <c r="K573" s="7" t="n">
        <v>15322.27600326854</v>
      </c>
      <c r="L573" s="7" t="n">
        <v>-55.96282911719209</v>
      </c>
      <c r="M573" s="6" t="n">
        <v>-0.003652383569206959</v>
      </c>
      <c r="N573" s="7" t="n">
        <v>163.445678802543</v>
      </c>
      <c r="O573" s="7" t="n">
        <v>125.7274452327254</v>
      </c>
      <c r="P573" s="7" t="n">
        <v>16470.29532548702</v>
      </c>
      <c r="Q573" s="7" t="n">
        <v>16565.25262155488</v>
      </c>
      <c r="R573" s="7" t="n">
        <v>-94.95729606785608</v>
      </c>
      <c r="S573" s="6" t="n">
        <v>-0.005732318017552999</v>
      </c>
      <c r="T573" s="7" t="n">
        <v>4739.427164553919</v>
      </c>
      <c r="U573" s="7" t="n">
        <v>3645.713203503014</v>
      </c>
      <c r="V573" s="7" t="n">
        <v>61945.57741332601</v>
      </c>
      <c r="W573" s="7" t="n">
        <v>63191.09973703901</v>
      </c>
      <c r="X573" s="7" t="n">
        <v>-1245.522323712998</v>
      </c>
      <c r="Y573" s="6" t="n">
        <v>-0.01971040746079853</v>
      </c>
      <c r="Z573" s="7" t="n">
        <v>13120.52238326146</v>
      </c>
      <c r="AA573" s="7" t="n">
        <v>10092.70952558573</v>
      </c>
      <c r="AB573" s="7" t="n">
        <v>90790.7186675916</v>
      </c>
      <c r="AC573" s="7" t="n">
        <v>96406.44347182315</v>
      </c>
      <c r="AD573" s="7" t="n">
        <v>-5615.724804231548</v>
      </c>
      <c r="AE573" s="6" t="n">
        <v>-0.05825051316069826</v>
      </c>
    </row>
    <row r="574">
      <c r="A574" s="2" t="n">
        <v>565</v>
      </c>
      <c r="B574" s="2" t="inlineStr">
        <is>
          <t>KPROP-00565</t>
        </is>
      </c>
      <c r="C574" s="3" t="n">
        <v>46124</v>
      </c>
      <c r="D574" s="2" t="inlineStr">
        <is>
          <t>Chris Sale</t>
        </is>
      </c>
      <c r="E574" s="2" t="inlineStr">
        <is>
          <t>Win</t>
        </is>
      </c>
      <c r="F574" s="2" t="n">
        <v>1.32</v>
      </c>
      <c r="G574" s="6" t="n">
        <v>0.3071740017738077</v>
      </c>
      <c r="H574" s="7" t="n">
        <v>100</v>
      </c>
      <c r="I574" s="7" t="n">
        <v>132</v>
      </c>
      <c r="J574" s="7" t="n">
        <v>15398.31317415135</v>
      </c>
      <c r="K574" s="7" t="n">
        <v>15398.31317415135</v>
      </c>
      <c r="L574" s="7" t="n">
        <v>0</v>
      </c>
      <c r="M574" s="6" t="n">
        <v>0</v>
      </c>
      <c r="N574" s="7" t="n">
        <v>164.7029532548702</v>
      </c>
      <c r="O574" s="7" t="n">
        <v>217.4078982964288</v>
      </c>
      <c r="P574" s="7" t="n">
        <v>16687.70322378345</v>
      </c>
      <c r="Q574" s="7" t="n">
        <v>16687.70322378345</v>
      </c>
      <c r="R574" s="7" t="n">
        <v>0</v>
      </c>
      <c r="S574" s="6" t="n">
        <v>0</v>
      </c>
      <c r="T574" s="7" t="n">
        <v>4757.017726560136</v>
      </c>
      <c r="U574" s="7" t="n">
        <v>6279.263399059381</v>
      </c>
      <c r="V574" s="7" t="n">
        <v>68224.84081238539</v>
      </c>
      <c r="W574" s="7" t="n">
        <v>68224.84081238539</v>
      </c>
      <c r="X574" s="7" t="n">
        <v>0</v>
      </c>
      <c r="Y574" s="6" t="n">
        <v>0</v>
      </c>
      <c r="Z574" s="7" t="n">
        <v>13944.27418852203</v>
      </c>
      <c r="AA574" s="7" t="n">
        <v>18406.44192884908</v>
      </c>
      <c r="AB574" s="7" t="n">
        <v>109197.1605964407</v>
      </c>
      <c r="AC574" s="7" t="n">
        <v>109197.1605964407</v>
      </c>
      <c r="AD574" s="7" t="n">
        <v>0</v>
      </c>
      <c r="AE574" s="6" t="n">
        <v>0</v>
      </c>
    </row>
    <row r="575">
      <c r="A575" s="2" t="n">
        <v>566</v>
      </c>
      <c r="B575" s="2" t="inlineStr">
        <is>
          <t>KPROP-00566</t>
        </is>
      </c>
      <c r="C575" s="3" t="n">
        <v>46124</v>
      </c>
      <c r="D575" s="2" t="inlineStr">
        <is>
          <t>Chris Sale</t>
        </is>
      </c>
      <c r="E575" s="2" t="inlineStr">
        <is>
          <t>Win</t>
        </is>
      </c>
      <c r="F575" s="2" t="n">
        <v>0.6289308176100628</v>
      </c>
      <c r="G575" s="6" t="n">
        <v>0.3358042108401311</v>
      </c>
      <c r="H575" s="7" t="n">
        <v>100</v>
      </c>
      <c r="I575" s="7" t="n">
        <v>62.89308176100627</v>
      </c>
      <c r="J575" s="7" t="n">
        <v>15461.20625591236</v>
      </c>
      <c r="K575" s="7" t="n">
        <v>15461.20625591236</v>
      </c>
      <c r="L575" s="7" t="n">
        <v>0</v>
      </c>
      <c r="M575" s="6" t="n">
        <v>0</v>
      </c>
      <c r="N575" s="7" t="n">
        <v>166.8770322378345</v>
      </c>
      <c r="O575" s="7" t="n">
        <v>104.9541083256821</v>
      </c>
      <c r="P575" s="7" t="n">
        <v>16792.65733210913</v>
      </c>
      <c r="Q575" s="7" t="n">
        <v>16792.65733210913</v>
      </c>
      <c r="R575" s="7" t="n">
        <v>0</v>
      </c>
      <c r="S575" s="6" t="n">
        <v>0</v>
      </c>
      <c r="T575" s="7" t="n">
        <v>5727.547207174161</v>
      </c>
      <c r="U575" s="7" t="n">
        <v>3602.230947908276</v>
      </c>
      <c r="V575" s="7" t="n">
        <v>71827.07176029366</v>
      </c>
      <c r="W575" s="7" t="n">
        <v>71827.07176029366</v>
      </c>
      <c r="X575" s="7" t="n">
        <v>0</v>
      </c>
      <c r="Y575" s="6" t="n">
        <v>0</v>
      </c>
      <c r="Z575" s="7" t="n">
        <v>18334.43317003541</v>
      </c>
      <c r="AA575" s="7" t="n">
        <v>11531.09004404743</v>
      </c>
      <c r="AB575" s="7" t="n">
        <v>120728.2506404881</v>
      </c>
      <c r="AC575" s="7" t="n">
        <v>120728.2506404881</v>
      </c>
      <c r="AD575" s="7" t="n">
        <v>0</v>
      </c>
      <c r="AE575" s="6" t="n">
        <v>0</v>
      </c>
    </row>
    <row r="576">
      <c r="A576" s="2" t="n">
        <v>567</v>
      </c>
      <c r="B576" s="2" t="inlineStr">
        <is>
          <t>KPROP-00567</t>
        </is>
      </c>
      <c r="C576" s="3" t="n">
        <v>46124</v>
      </c>
      <c r="D576" s="2" t="inlineStr">
        <is>
          <t>Freddy Peralta</t>
        </is>
      </c>
      <c r="E576" s="2" t="inlineStr">
        <is>
          <t>Win</t>
        </is>
      </c>
      <c r="F576" s="2" t="n">
        <v>1.1</v>
      </c>
      <c r="G576" s="6" t="n">
        <v>0.1878006980627087</v>
      </c>
      <c r="H576" s="7" t="n">
        <v>100</v>
      </c>
      <c r="I576" s="7" t="n">
        <v>110</v>
      </c>
      <c r="J576" s="7" t="n">
        <v>15571.20625591236</v>
      </c>
      <c r="K576" s="7" t="n">
        <v>15571.20625591236</v>
      </c>
      <c r="L576" s="7" t="n">
        <v>0</v>
      </c>
      <c r="M576" s="6" t="n">
        <v>0</v>
      </c>
      <c r="N576" s="7" t="n">
        <v>167.9265733210913</v>
      </c>
      <c r="O576" s="7" t="n">
        <v>184.7192306532005</v>
      </c>
      <c r="P576" s="7" t="n">
        <v>16977.37656276233</v>
      </c>
      <c r="Q576" s="7" t="n">
        <v>16977.37656276233</v>
      </c>
      <c r="R576" s="7" t="n">
        <v>0</v>
      </c>
      <c r="S576" s="6" t="n">
        <v>0</v>
      </c>
      <c r="T576" s="7" t="n">
        <v>3372.293554095856</v>
      </c>
      <c r="U576" s="7" t="n">
        <v>3709.522909505441</v>
      </c>
      <c r="V576" s="7" t="n">
        <v>75536.5946697991</v>
      </c>
      <c r="W576" s="7" t="n">
        <v>75536.5946697991</v>
      </c>
      <c r="X576" s="7" t="n">
        <v>0</v>
      </c>
      <c r="Y576" s="6" t="n">
        <v>0</v>
      </c>
      <c r="Z576" s="7" t="n">
        <v>11336.42487308666</v>
      </c>
      <c r="AA576" s="7" t="n">
        <v>12470.06736039533</v>
      </c>
      <c r="AB576" s="7" t="n">
        <v>133198.3180008834</v>
      </c>
      <c r="AC576" s="7" t="n">
        <v>133198.3180008834</v>
      </c>
      <c r="AD576" s="7" t="n">
        <v>0</v>
      </c>
      <c r="AE576" s="6" t="n">
        <v>0</v>
      </c>
    </row>
    <row r="577">
      <c r="A577" s="2" t="n">
        <v>568</v>
      </c>
      <c r="B577" s="2" t="inlineStr">
        <is>
          <t>KPROP-00568</t>
        </is>
      </c>
      <c r="C577" s="3" t="n">
        <v>46124</v>
      </c>
      <c r="D577" s="2" t="inlineStr">
        <is>
          <t>Freddy Peralta</t>
        </is>
      </c>
      <c r="E577" s="2" t="inlineStr">
        <is>
          <t>Win</t>
        </is>
      </c>
      <c r="F577" s="2" t="n">
        <v>0.5376344086021505</v>
      </c>
      <c r="G577" s="6" t="n">
        <v>0.1886905095776426</v>
      </c>
      <c r="H577" s="7" t="n">
        <v>100</v>
      </c>
      <c r="I577" s="7" t="n">
        <v>53.76344086021505</v>
      </c>
      <c r="J577" s="7" t="n">
        <v>15624.96969677257</v>
      </c>
      <c r="K577" s="7" t="n">
        <v>15624.96969677257</v>
      </c>
      <c r="L577" s="7" t="n">
        <v>0</v>
      </c>
      <c r="M577" s="6" t="n">
        <v>0</v>
      </c>
      <c r="N577" s="7" t="n">
        <v>169.7737656276233</v>
      </c>
      <c r="O577" s="7" t="n">
        <v>91.27621807936738</v>
      </c>
      <c r="P577" s="7" t="n">
        <v>17068.6527808417</v>
      </c>
      <c r="Q577" s="7" t="n">
        <v>17068.6527808417</v>
      </c>
      <c r="R577" s="7" t="n">
        <v>0</v>
      </c>
      <c r="S577" s="6" t="n">
        <v>0</v>
      </c>
      <c r="T577" s="7" t="n">
        <v>3563.259635001059</v>
      </c>
      <c r="U577" s="7" t="n">
        <v>1915.730986559709</v>
      </c>
      <c r="V577" s="7" t="n">
        <v>77452.32565635881</v>
      </c>
      <c r="W577" s="7" t="n">
        <v>77452.32565635881</v>
      </c>
      <c r="X577" s="7" t="n">
        <v>0</v>
      </c>
      <c r="Y577" s="6" t="n">
        <v>0</v>
      </c>
      <c r="Z577" s="7" t="n">
        <v>12566.62924923579</v>
      </c>
      <c r="AA577" s="7" t="n">
        <v>6756.252284535371</v>
      </c>
      <c r="AB577" s="7" t="n">
        <v>139954.5702854188</v>
      </c>
      <c r="AC577" s="7" t="n">
        <v>139954.5702854188</v>
      </c>
      <c r="AD577" s="7" t="n">
        <v>0</v>
      </c>
      <c r="AE577" s="6" t="n">
        <v>0</v>
      </c>
    </row>
    <row r="578">
      <c r="A578" s="2" t="n">
        <v>569</v>
      </c>
      <c r="B578" s="2" t="inlineStr">
        <is>
          <t>KPROP-00569</t>
        </is>
      </c>
      <c r="C578" s="3" t="n">
        <v>46124</v>
      </c>
      <c r="D578" s="2" t="inlineStr">
        <is>
          <t>Jameson Taillon</t>
        </is>
      </c>
      <c r="E578" s="2" t="inlineStr">
        <is>
          <t>Loss</t>
        </is>
      </c>
      <c r="F578" s="2" t="n">
        <v>-1</v>
      </c>
      <c r="G578" s="6" t="n">
        <v>0.1269445283755936</v>
      </c>
      <c r="H578" s="7" t="n">
        <v>100</v>
      </c>
      <c r="I578" s="7" t="n">
        <v>-100</v>
      </c>
      <c r="J578" s="7" t="n">
        <v>15524.96969677257</v>
      </c>
      <c r="K578" s="7" t="n">
        <v>15624.96969677257</v>
      </c>
      <c r="L578" s="7" t="n">
        <v>-100</v>
      </c>
      <c r="M578" s="6" t="n">
        <v>-0.006400012412226028</v>
      </c>
      <c r="N578" s="7" t="n">
        <v>170.686527808417</v>
      </c>
      <c r="O578" s="7" t="n">
        <v>-170.686527808417</v>
      </c>
      <c r="P578" s="7" t="n">
        <v>16897.96625303328</v>
      </c>
      <c r="Q578" s="7" t="n">
        <v>17068.6527808417</v>
      </c>
      <c r="R578" s="7" t="n">
        <v>-170.6865278084188</v>
      </c>
      <c r="S578" s="6" t="n">
        <v>-0.0100000000000001</v>
      </c>
      <c r="T578" s="7" t="n">
        <v>2458.037238009839</v>
      </c>
      <c r="U578" s="7" t="n">
        <v>-2458.037238009839</v>
      </c>
      <c r="V578" s="7" t="n">
        <v>74994.28841834897</v>
      </c>
      <c r="W578" s="7" t="n">
        <v>77452.32565635881</v>
      </c>
      <c r="X578" s="7" t="n">
        <v>-2458.037238009842</v>
      </c>
      <c r="Y578" s="6" t="n">
        <v>-0.03173613209389843</v>
      </c>
      <c r="Z578" s="7" t="n">
        <v>8883.233459445679</v>
      </c>
      <c r="AA578" s="7" t="n">
        <v>-8883.233459445679</v>
      </c>
      <c r="AB578" s="7" t="n">
        <v>131071.3368259731</v>
      </c>
      <c r="AC578" s="7" t="n">
        <v>139954.5702854188</v>
      </c>
      <c r="AD578" s="7" t="n">
        <v>-8883.233459445677</v>
      </c>
      <c r="AE578" s="6" t="n">
        <v>-0.06347226418779679</v>
      </c>
    </row>
    <row r="579">
      <c r="A579" s="2" t="n">
        <v>570</v>
      </c>
      <c r="B579" s="2" t="inlineStr">
        <is>
          <t>KPROP-00570</t>
        </is>
      </c>
      <c r="C579" s="3" t="n">
        <v>46124</v>
      </c>
      <c r="D579" s="2" t="inlineStr">
        <is>
          <t>Logan Gilbert</t>
        </is>
      </c>
      <c r="E579" s="2" t="inlineStr">
        <is>
          <t>Loss</t>
        </is>
      </c>
      <c r="F579" s="2" t="n">
        <v>-1</v>
      </c>
      <c r="G579" s="6" t="n">
        <v>0.1593236186817792</v>
      </c>
      <c r="H579" s="7" t="n">
        <v>100</v>
      </c>
      <c r="I579" s="7" t="n">
        <v>-100</v>
      </c>
      <c r="J579" s="7" t="n">
        <v>15424.96969677257</v>
      </c>
      <c r="K579" s="7" t="n">
        <v>15624.96969677257</v>
      </c>
      <c r="L579" s="7" t="n">
        <v>-200</v>
      </c>
      <c r="M579" s="6" t="n">
        <v>-0.01280002482445206</v>
      </c>
      <c r="N579" s="7" t="n">
        <v>168.9796625303328</v>
      </c>
      <c r="O579" s="7" t="n">
        <v>-168.9796625303328</v>
      </c>
      <c r="P579" s="7" t="n">
        <v>16728.98659050295</v>
      </c>
      <c r="Q579" s="7" t="n">
        <v>17068.6527808417</v>
      </c>
      <c r="R579" s="7" t="n">
        <v>-339.6661903387503</v>
      </c>
      <c r="S579" s="6" t="n">
        <v>-0.01990000000000003</v>
      </c>
      <c r="T579" s="7" t="n">
        <v>2987.090352819099</v>
      </c>
      <c r="U579" s="7" t="n">
        <v>-2987.090352819099</v>
      </c>
      <c r="V579" s="7" t="n">
        <v>72007.19806552987</v>
      </c>
      <c r="W579" s="7" t="n">
        <v>77452.32565635881</v>
      </c>
      <c r="X579" s="7" t="n">
        <v>-5445.127590828939</v>
      </c>
      <c r="Y579" s="6" t="n">
        <v>-0.07030295791230248</v>
      </c>
      <c r="Z579" s="7" t="n">
        <v>10441.37984428619</v>
      </c>
      <c r="AA579" s="7" t="n">
        <v>-10441.37984428619</v>
      </c>
      <c r="AB579" s="7" t="n">
        <v>120629.9569816869</v>
      </c>
      <c r="AC579" s="7" t="n">
        <v>139954.5702854188</v>
      </c>
      <c r="AD579" s="7" t="n">
        <v>-19324.61330373187</v>
      </c>
      <c r="AE579" s="6" t="n">
        <v>-0.1380777581205235</v>
      </c>
    </row>
    <row r="580">
      <c r="A580" s="2" t="n">
        <v>571</v>
      </c>
      <c r="B580" s="2" t="inlineStr">
        <is>
          <t>KPROP-00571</t>
        </is>
      </c>
      <c r="C580" s="3" t="n">
        <v>46124</v>
      </c>
      <c r="D580" s="2" t="inlineStr">
        <is>
          <t>Logan Gilbert</t>
        </is>
      </c>
      <c r="E580" s="2" t="inlineStr">
        <is>
          <t>Loss</t>
        </is>
      </c>
      <c r="F580" s="2" t="n">
        <v>-1</v>
      </c>
      <c r="G580" s="6" t="n">
        <v>0.2039836609601893</v>
      </c>
      <c r="H580" s="7" t="n">
        <v>100</v>
      </c>
      <c r="I580" s="7" t="n">
        <v>-100</v>
      </c>
      <c r="J580" s="7" t="n">
        <v>15324.96969677257</v>
      </c>
      <c r="K580" s="7" t="n">
        <v>15624.96969677257</v>
      </c>
      <c r="L580" s="7" t="n">
        <v>-300</v>
      </c>
      <c r="M580" s="6" t="n">
        <v>-0.01920003723667808</v>
      </c>
      <c r="N580" s="7" t="n">
        <v>167.2898659050295</v>
      </c>
      <c r="O580" s="7" t="n">
        <v>-167.2898659050295</v>
      </c>
      <c r="P580" s="7" t="n">
        <v>16561.69672459792</v>
      </c>
      <c r="Q580" s="7" t="n">
        <v>17068.6527808417</v>
      </c>
      <c r="R580" s="7" t="n">
        <v>-506.95605624378</v>
      </c>
      <c r="S580" s="6" t="n">
        <v>-0.02970100000000004</v>
      </c>
      <c r="T580" s="7" t="n">
        <v>3672.07296922306</v>
      </c>
      <c r="U580" s="7" t="n">
        <v>-3672.07296922306</v>
      </c>
      <c r="V580" s="7" t="n">
        <v>68335.1250963068</v>
      </c>
      <c r="W580" s="7" t="n">
        <v>77452.32565635881</v>
      </c>
      <c r="X580" s="7" t="n">
        <v>-9117.200560052006</v>
      </c>
      <c r="Y580" s="6" t="n">
        <v>-0.1177137094695295</v>
      </c>
      <c r="Z580" s="7" t="n">
        <v>12303.27012329732</v>
      </c>
      <c r="AA580" s="7" t="n">
        <v>-12303.27012329732</v>
      </c>
      <c r="AB580" s="7" t="n">
        <v>108326.6868583896</v>
      </c>
      <c r="AC580" s="7" t="n">
        <v>139954.5702854188</v>
      </c>
      <c r="AD580" s="7" t="n">
        <v>-31627.88342702918</v>
      </c>
      <c r="AE580" s="6" t="n">
        <v>-0.2259867853013182</v>
      </c>
    </row>
    <row r="581">
      <c r="A581" s="2" t="n">
        <v>572</v>
      </c>
      <c r="B581" s="2" t="inlineStr">
        <is>
          <t>KPROP-00572</t>
        </is>
      </c>
      <c r="C581" s="3" t="n">
        <v>46124</v>
      </c>
      <c r="D581" s="2" t="inlineStr">
        <is>
          <t>Max Scherzer</t>
        </is>
      </c>
      <c r="E581" s="2" t="inlineStr">
        <is>
          <t>Win</t>
        </is>
      </c>
      <c r="F581" s="2" t="n">
        <v>1.3</v>
      </c>
      <c r="G581" s="6" t="n">
        <v>0.09628659391565995</v>
      </c>
      <c r="H581" s="7" t="n">
        <v>100</v>
      </c>
      <c r="I581" s="7" t="n">
        <v>130</v>
      </c>
      <c r="J581" s="7" t="n">
        <v>15454.96969677257</v>
      </c>
      <c r="K581" s="7" t="n">
        <v>15624.96969677257</v>
      </c>
      <c r="L581" s="7" t="n">
        <v>-170</v>
      </c>
      <c r="M581" s="6" t="n">
        <v>-0.01088002110078425</v>
      </c>
      <c r="N581" s="7" t="n">
        <v>165.6169672459792</v>
      </c>
      <c r="O581" s="7" t="n">
        <v>215.302057419773</v>
      </c>
      <c r="P581" s="7" t="n">
        <v>16776.99878201769</v>
      </c>
      <c r="Q581" s="7" t="n">
        <v>17068.6527808417</v>
      </c>
      <c r="R581" s="7" t="n">
        <v>-291.6539988240074</v>
      </c>
      <c r="S581" s="6" t="n">
        <v>-0.01708711300000006</v>
      </c>
      <c r="T581" s="7" t="n">
        <v>1644.939110080979</v>
      </c>
      <c r="U581" s="7" t="n">
        <v>2138.420843105273</v>
      </c>
      <c r="V581" s="7" t="n">
        <v>70473.54593941207</v>
      </c>
      <c r="W581" s="7" t="n">
        <v>77452.32565635881</v>
      </c>
      <c r="X581" s="7" t="n">
        <v>-6978.779716946738</v>
      </c>
      <c r="Y581" s="6" t="n">
        <v>-0.0901041983930896</v>
      </c>
      <c r="Z581" s="7" t="n">
        <v>5215.203853881309</v>
      </c>
      <c r="AA581" s="7" t="n">
        <v>6779.765010045701</v>
      </c>
      <c r="AB581" s="7" t="n">
        <v>115106.4518684353</v>
      </c>
      <c r="AC581" s="7" t="n">
        <v>139954.5702854188</v>
      </c>
      <c r="AD581" s="7" t="n">
        <v>-24848.11841698349</v>
      </c>
      <c r="AE581" s="6" t="n">
        <v>-0.177544172843438</v>
      </c>
    </row>
    <row r="582">
      <c r="A582" s="2" t="n">
        <v>573</v>
      </c>
      <c r="B582" s="2" t="inlineStr">
        <is>
          <t>KPROP-00573</t>
        </is>
      </c>
      <c r="C582" s="3" t="n">
        <v>46124</v>
      </c>
      <c r="D582" s="2" t="inlineStr">
        <is>
          <t>Nick Pivetta</t>
        </is>
      </c>
      <c r="E582" s="2" t="inlineStr">
        <is>
          <t>Win</t>
        </is>
      </c>
      <c r="F582" s="2" t="n">
        <v>0.8</v>
      </c>
      <c r="G582" s="6" t="n">
        <v>0.3933071911987344</v>
      </c>
      <c r="H582" s="7" t="n">
        <v>100</v>
      </c>
      <c r="I582" s="7" t="n">
        <v>80</v>
      </c>
      <c r="J582" s="7" t="n">
        <v>15534.96969677257</v>
      </c>
      <c r="K582" s="7" t="n">
        <v>15624.96969677257</v>
      </c>
      <c r="L582" s="7" t="n">
        <v>-90</v>
      </c>
      <c r="M582" s="6" t="n">
        <v>-0.005760011171003425</v>
      </c>
      <c r="N582" s="7" t="n">
        <v>167.7699878201769</v>
      </c>
      <c r="O582" s="7" t="n">
        <v>134.2159902561416</v>
      </c>
      <c r="P582" s="7" t="n">
        <v>16911.21477227383</v>
      </c>
      <c r="Q582" s="7" t="n">
        <v>17068.6527808417</v>
      </c>
      <c r="R582" s="7" t="n">
        <v>-157.4380085678677</v>
      </c>
      <c r="S582" s="6" t="n">
        <v>-0.009223809904000166</v>
      </c>
      <c r="T582" s="7" t="n">
        <v>6929.438101811284</v>
      </c>
      <c r="U582" s="7" t="n">
        <v>5543.550481449028</v>
      </c>
      <c r="V582" s="7" t="n">
        <v>76017.0964208611</v>
      </c>
      <c r="W582" s="7" t="n">
        <v>77452.32565635881</v>
      </c>
      <c r="X582" s="7" t="n">
        <v>-1435.229235497711</v>
      </c>
      <c r="Y582" s="6" t="n">
        <v>-0.01853048599038264</v>
      </c>
      <c r="Z582" s="7" t="n">
        <v>22636.0976366133</v>
      </c>
      <c r="AA582" s="7" t="n">
        <v>18108.87810929064</v>
      </c>
      <c r="AB582" s="7" t="n">
        <v>133215.329977726</v>
      </c>
      <c r="AC582" s="7" t="n">
        <v>139954.5702854188</v>
      </c>
      <c r="AD582" s="7" t="n">
        <v>-6739.240307692846</v>
      </c>
      <c r="AE582" s="6" t="n">
        <v>-0.04815305633784633</v>
      </c>
    </row>
    <row r="583">
      <c r="A583" s="2" t="n">
        <v>574</v>
      </c>
      <c r="B583" s="2" t="inlineStr">
        <is>
          <t>KPROP-00574</t>
        </is>
      </c>
      <c r="C583" s="3" t="n">
        <v>46124</v>
      </c>
      <c r="D583" s="2" t="inlineStr">
        <is>
          <t>Noah Cameron</t>
        </is>
      </c>
      <c r="E583" s="2" t="inlineStr">
        <is>
          <t>Win</t>
        </is>
      </c>
      <c r="F583" s="2" t="n">
        <v>1.18</v>
      </c>
      <c r="G583" s="6" t="n">
        <v>0.08846250945069434</v>
      </c>
      <c r="H583" s="7" t="n">
        <v>100</v>
      </c>
      <c r="I583" s="7" t="n">
        <v>118</v>
      </c>
      <c r="J583" s="7" t="n">
        <v>15652.96969677257</v>
      </c>
      <c r="K583" s="7" t="n">
        <v>15652.96969677257</v>
      </c>
      <c r="L583" s="7" t="n">
        <v>0</v>
      </c>
      <c r="M583" s="6" t="n">
        <v>0</v>
      </c>
      <c r="N583" s="7" t="n">
        <v>169.1121477227383</v>
      </c>
      <c r="O583" s="7" t="n">
        <v>199.5523343128312</v>
      </c>
      <c r="P583" s="7" t="n">
        <v>17110.76710658666</v>
      </c>
      <c r="Q583" s="7" t="n">
        <v>17110.76710658666</v>
      </c>
      <c r="R583" s="7" t="n">
        <v>0</v>
      </c>
      <c r="S583" s="6" t="n">
        <v>0</v>
      </c>
      <c r="T583" s="7" t="n">
        <v>1681.165777636192</v>
      </c>
      <c r="U583" s="7" t="n">
        <v>1983.775617610706</v>
      </c>
      <c r="V583" s="7" t="n">
        <v>78000.8720384718</v>
      </c>
      <c r="W583" s="7" t="n">
        <v>78000.8720384718</v>
      </c>
      <c r="X583" s="7" t="n">
        <v>0</v>
      </c>
      <c r="Y583" s="6" t="n">
        <v>0</v>
      </c>
      <c r="Z583" s="7" t="n">
        <v>5892.281193565974</v>
      </c>
      <c r="AA583" s="7" t="n">
        <v>6952.891808407848</v>
      </c>
      <c r="AB583" s="7" t="n">
        <v>140168.2217861338</v>
      </c>
      <c r="AC583" s="7" t="n">
        <v>140168.2217861338</v>
      </c>
      <c r="AD583" s="7" t="n">
        <v>0</v>
      </c>
      <c r="AE583" s="6" t="n">
        <v>0</v>
      </c>
    </row>
    <row r="584">
      <c r="A584" s="2" t="n">
        <v>575</v>
      </c>
      <c r="B584" s="2" t="inlineStr">
        <is>
          <t>KPROP-00575</t>
        </is>
      </c>
      <c r="C584" s="3" t="n">
        <v>46124</v>
      </c>
      <c r="D584" s="2" t="inlineStr">
        <is>
          <t>Tanner Bibee</t>
        </is>
      </c>
      <c r="E584" s="2" t="inlineStr">
        <is>
          <t>Win</t>
        </is>
      </c>
      <c r="F584" s="2" t="n">
        <v>1.04</v>
      </c>
      <c r="G584" s="6" t="n">
        <v>0.07438518725838113</v>
      </c>
      <c r="H584" s="7" t="n">
        <v>100</v>
      </c>
      <c r="I584" s="7" t="n">
        <v>104</v>
      </c>
      <c r="J584" s="7" t="n">
        <v>15756.96969677257</v>
      </c>
      <c r="K584" s="7" t="n">
        <v>15756.96969677257</v>
      </c>
      <c r="L584" s="7" t="n">
        <v>0</v>
      </c>
      <c r="M584" s="6" t="n">
        <v>0</v>
      </c>
      <c r="N584" s="7" t="n">
        <v>171.1076710658666</v>
      </c>
      <c r="O584" s="7" t="n">
        <v>177.9519779085013</v>
      </c>
      <c r="P584" s="7" t="n">
        <v>17288.71908449517</v>
      </c>
      <c r="Q584" s="7" t="n">
        <v>17288.71908449517</v>
      </c>
      <c r="R584" s="7" t="n">
        <v>0</v>
      </c>
      <c r="S584" s="6" t="n">
        <v>0</v>
      </c>
      <c r="T584" s="7" t="n">
        <v>1450.527368224687</v>
      </c>
      <c r="U584" s="7" t="n">
        <v>1508.548462953675</v>
      </c>
      <c r="V584" s="7" t="n">
        <v>79509.42050142548</v>
      </c>
      <c r="W584" s="7" t="n">
        <v>79509.42050142548</v>
      </c>
      <c r="X584" s="7" t="n">
        <v>0</v>
      </c>
      <c r="Y584" s="6" t="n">
        <v>0</v>
      </c>
      <c r="Z584" s="7" t="n">
        <v>5213.21971261793</v>
      </c>
      <c r="AA584" s="7" t="n">
        <v>5421.748501122647</v>
      </c>
      <c r="AB584" s="7" t="n">
        <v>145589.9702872564</v>
      </c>
      <c r="AC584" s="7" t="n">
        <v>145589.9702872564</v>
      </c>
      <c r="AD584" s="7" t="n">
        <v>0</v>
      </c>
      <c r="AE584" s="6" t="n">
        <v>0</v>
      </c>
    </row>
    <row r="585">
      <c r="A585" s="2" t="n">
        <v>576</v>
      </c>
      <c r="B585" s="2" t="inlineStr">
        <is>
          <t>KPROP-00576</t>
        </is>
      </c>
      <c r="C585" s="3" t="n">
        <v>46124</v>
      </c>
      <c r="D585" s="2" t="inlineStr">
        <is>
          <t>Tarik Skubal</t>
        </is>
      </c>
      <c r="E585" s="2" t="inlineStr">
        <is>
          <t>Win</t>
        </is>
      </c>
      <c r="F585" s="2" t="n">
        <v>1.05</v>
      </c>
      <c r="G585" s="6" t="n">
        <v>0.5136602906665253</v>
      </c>
      <c r="H585" s="7" t="n">
        <v>100</v>
      </c>
      <c r="I585" s="7" t="n">
        <v>105</v>
      </c>
      <c r="J585" s="7" t="n">
        <v>15861.96969677257</v>
      </c>
      <c r="K585" s="7" t="n">
        <v>15861.96969677257</v>
      </c>
      <c r="L585" s="7" t="n">
        <v>0</v>
      </c>
      <c r="M585" s="6" t="n">
        <v>0</v>
      </c>
      <c r="N585" s="7" t="n">
        <v>172.8871908449516</v>
      </c>
      <c r="O585" s="7" t="n">
        <v>181.5315503871992</v>
      </c>
      <c r="P585" s="7" t="n">
        <v>17470.25063488237</v>
      </c>
      <c r="Q585" s="7" t="n">
        <v>17470.25063488237</v>
      </c>
      <c r="R585" s="7" t="n">
        <v>0</v>
      </c>
      <c r="S585" s="6" t="n">
        <v>0</v>
      </c>
      <c r="T585" s="7" t="n">
        <v>10210.2080113723</v>
      </c>
      <c r="U585" s="7" t="n">
        <v>10720.71841194091</v>
      </c>
      <c r="V585" s="7" t="n">
        <v>90230.13891336639</v>
      </c>
      <c r="W585" s="7" t="n">
        <v>90230.13891336639</v>
      </c>
      <c r="X585" s="7" t="n">
        <v>0</v>
      </c>
      <c r="Y585" s="6" t="n">
        <v>0</v>
      </c>
      <c r="Z585" s="7" t="n">
        <v>37391.89322794146</v>
      </c>
      <c r="AA585" s="7" t="n">
        <v>39261.48788933852</v>
      </c>
      <c r="AB585" s="7" t="n">
        <v>184851.458176595</v>
      </c>
      <c r="AC585" s="7" t="n">
        <v>184851.458176595</v>
      </c>
      <c r="AD585" s="7" t="n">
        <v>0</v>
      </c>
      <c r="AE585" s="6" t="n">
        <v>0</v>
      </c>
    </row>
    <row r="586">
      <c r="A586" s="2" t="n">
        <v>577</v>
      </c>
      <c r="B586" s="2" t="inlineStr">
        <is>
          <t>KPROP-00577</t>
        </is>
      </c>
      <c r="C586" s="3" t="n">
        <v>46124</v>
      </c>
      <c r="D586" s="2" t="inlineStr">
        <is>
          <t>Zac Gallen</t>
        </is>
      </c>
      <c r="E586" s="2" t="inlineStr">
        <is>
          <t>Win</t>
        </is>
      </c>
      <c r="F586" s="2" t="n">
        <v>0.8</v>
      </c>
      <c r="G586" s="6" t="n">
        <v>0.2561908933209104</v>
      </c>
      <c r="H586" s="7" t="n">
        <v>100</v>
      </c>
      <c r="I586" s="7" t="n">
        <v>80</v>
      </c>
      <c r="J586" s="7" t="n">
        <v>15941.96969677257</v>
      </c>
      <c r="K586" s="7" t="n">
        <v>15941.96969677257</v>
      </c>
      <c r="L586" s="7" t="n">
        <v>0</v>
      </c>
      <c r="M586" s="6" t="n">
        <v>0</v>
      </c>
      <c r="N586" s="7" t="n">
        <v>174.7025063488237</v>
      </c>
      <c r="O586" s="7" t="n">
        <v>139.762005079059</v>
      </c>
      <c r="P586" s="7" t="n">
        <v>17610.01263996142</v>
      </c>
      <c r="Q586" s="7" t="n">
        <v>17610.01263996142</v>
      </c>
      <c r="R586" s="7" t="n">
        <v>0</v>
      </c>
      <c r="S586" s="6" t="n">
        <v>0</v>
      </c>
      <c r="T586" s="7" t="n">
        <v>5779.034973171295</v>
      </c>
      <c r="U586" s="7" t="n">
        <v>4623.227978537037</v>
      </c>
      <c r="V586" s="7" t="n">
        <v>94853.36689190342</v>
      </c>
      <c r="W586" s="7" t="n">
        <v>94853.36689190342</v>
      </c>
      <c r="X586" s="7" t="n">
        <v>0</v>
      </c>
      <c r="Y586" s="6" t="n">
        <v>0</v>
      </c>
      <c r="Z586" s="7" t="n">
        <v>23678.63010096739</v>
      </c>
      <c r="AA586" s="7" t="n">
        <v>18942.90408077391</v>
      </c>
      <c r="AB586" s="7" t="n">
        <v>203794.3622573689</v>
      </c>
      <c r="AC586" s="7" t="n">
        <v>203794.3622573689</v>
      </c>
      <c r="AD586" s="7" t="n">
        <v>0</v>
      </c>
      <c r="AE586" s="6" t="n">
        <v>0</v>
      </c>
    </row>
    <row r="587">
      <c r="A587" s="2" t="n">
        <v>578</v>
      </c>
      <c r="B587" s="2" t="inlineStr">
        <is>
          <t>KPROP-00578</t>
        </is>
      </c>
      <c r="C587" s="3" t="n">
        <v>46125</v>
      </c>
      <c r="D587" s="2" t="inlineStr">
        <is>
          <t>Cristopher Sánchez</t>
        </is>
      </c>
      <c r="E587" s="2" t="inlineStr">
        <is>
          <t>Loss</t>
        </is>
      </c>
      <c r="F587" s="2" t="n">
        <v>-1</v>
      </c>
      <c r="G587" s="6" t="n">
        <v>0.1758075003220654</v>
      </c>
      <c r="H587" s="7" t="n">
        <v>100</v>
      </c>
      <c r="I587" s="7" t="n">
        <v>-100</v>
      </c>
      <c r="J587" s="7" t="n">
        <v>15841.96969677257</v>
      </c>
      <c r="K587" s="7" t="n">
        <v>15941.96969677257</v>
      </c>
      <c r="L587" s="7" t="n">
        <v>-100</v>
      </c>
      <c r="M587" s="6" t="n">
        <v>-0.006272750601216163</v>
      </c>
      <c r="N587" s="7" t="n">
        <v>176.1001263996143</v>
      </c>
      <c r="O587" s="7" t="n">
        <v>-176.1001263996143</v>
      </c>
      <c r="P587" s="7" t="n">
        <v>17433.91251356181</v>
      </c>
      <c r="Q587" s="7" t="n">
        <v>17610.01263996142</v>
      </c>
      <c r="R587" s="7" t="n">
        <v>-176.100126399615</v>
      </c>
      <c r="S587" s="6" t="n">
        <v>-0.01000000000000004</v>
      </c>
      <c r="T587" s="7" t="n">
        <v>4168.983332599323</v>
      </c>
      <c r="U587" s="7" t="n">
        <v>-4168.983332599323</v>
      </c>
      <c r="V587" s="7" t="n">
        <v>90684.3835593041</v>
      </c>
      <c r="W587" s="7" t="n">
        <v>94853.36689190342</v>
      </c>
      <c r="X587" s="7" t="n">
        <v>-4168.983332599324</v>
      </c>
      <c r="Y587" s="6" t="n">
        <v>-0.04395187508051634</v>
      </c>
      <c r="Z587" s="7" t="n">
        <v>17914.28870409874</v>
      </c>
      <c r="AA587" s="7" t="n">
        <v>-17914.28870409874</v>
      </c>
      <c r="AB587" s="7" t="n">
        <v>185880.0735532701</v>
      </c>
      <c r="AC587" s="7" t="n">
        <v>203794.3622573689</v>
      </c>
      <c r="AD587" s="7" t="n">
        <v>-17914.28870409873</v>
      </c>
      <c r="AE587" s="6" t="n">
        <v>-0.08790375016103261</v>
      </c>
    </row>
    <row r="588">
      <c r="A588" s="2" t="n">
        <v>579</v>
      </c>
      <c r="B588" s="2" t="inlineStr">
        <is>
          <t>KPROP-00579</t>
        </is>
      </c>
      <c r="C588" s="3" t="n">
        <v>46125</v>
      </c>
      <c r="D588" s="2" t="inlineStr">
        <is>
          <t>Garrett Crochet</t>
        </is>
      </c>
      <c r="E588" s="2" t="inlineStr">
        <is>
          <t>Win</t>
        </is>
      </c>
      <c r="F588" s="2" t="n">
        <v>0.9090909090909092</v>
      </c>
      <c r="G588" s="6" t="n">
        <v>0.2605428139889845</v>
      </c>
      <c r="H588" s="7" t="n">
        <v>100</v>
      </c>
      <c r="I588" s="7" t="n">
        <v>90.90909090909092</v>
      </c>
      <c r="J588" s="7" t="n">
        <v>15932.87878768166</v>
      </c>
      <c r="K588" s="7" t="n">
        <v>15941.96969677257</v>
      </c>
      <c r="L588" s="7" t="n">
        <v>-9.090909090909918</v>
      </c>
      <c r="M588" s="6" t="n">
        <v>-0.0005702500546560667</v>
      </c>
      <c r="N588" s="7" t="n">
        <v>174.3391251356181</v>
      </c>
      <c r="O588" s="7" t="n">
        <v>158.4901137596528</v>
      </c>
      <c r="P588" s="7" t="n">
        <v>17592.40262732146</v>
      </c>
      <c r="Q588" s="7" t="n">
        <v>17610.01263996142</v>
      </c>
      <c r="R588" s="7" t="n">
        <v>-17.6100126399615</v>
      </c>
      <c r="S588" s="6" t="n">
        <v>-0.001000000000000004</v>
      </c>
      <c r="T588" s="7" t="n">
        <v>5906.791119349374</v>
      </c>
      <c r="U588" s="7" t="n">
        <v>5369.810108499431</v>
      </c>
      <c r="V588" s="7" t="n">
        <v>96054.19366780353</v>
      </c>
      <c r="W588" s="7" t="n">
        <v>96054.19366780353</v>
      </c>
      <c r="X588" s="7" t="n">
        <v>0</v>
      </c>
      <c r="Y588" s="6" t="n">
        <v>0</v>
      </c>
      <c r="Z588" s="7" t="n">
        <v>24214.85871402421</v>
      </c>
      <c r="AA588" s="7" t="n">
        <v>22013.5079218402</v>
      </c>
      <c r="AB588" s="7" t="n">
        <v>207893.5814751103</v>
      </c>
      <c r="AC588" s="7" t="n">
        <v>207893.5814751103</v>
      </c>
      <c r="AD588" s="7" t="n">
        <v>0</v>
      </c>
      <c r="AE588" s="6" t="n">
        <v>0</v>
      </c>
    </row>
    <row r="589">
      <c r="A589" s="2" t="n">
        <v>580</v>
      </c>
      <c r="B589" s="2" t="inlineStr">
        <is>
          <t>KPROP-00580</t>
        </is>
      </c>
      <c r="C589" s="3" t="n">
        <v>46125</v>
      </c>
      <c r="D589" s="2" t="inlineStr">
        <is>
          <t>Grant Holmes</t>
        </is>
      </c>
      <c r="E589" s="2" t="inlineStr">
        <is>
          <t>Win</t>
        </is>
      </c>
      <c r="F589" s="2" t="n">
        <v>1.45</v>
      </c>
      <c r="G589" s="6" t="n">
        <v>0.1178825404211021</v>
      </c>
      <c r="H589" s="7" t="n">
        <v>100</v>
      </c>
      <c r="I589" s="7" t="n">
        <v>145</v>
      </c>
      <c r="J589" s="7" t="n">
        <v>16077.87878768166</v>
      </c>
      <c r="K589" s="7" t="n">
        <v>16077.87878768166</v>
      </c>
      <c r="L589" s="7" t="n">
        <v>0</v>
      </c>
      <c r="M589" s="6" t="n">
        <v>0</v>
      </c>
      <c r="N589" s="7" t="n">
        <v>175.9240262732146</v>
      </c>
      <c r="O589" s="7" t="n">
        <v>255.0898380961612</v>
      </c>
      <c r="P589" s="7" t="n">
        <v>17847.49246541762</v>
      </c>
      <c r="Q589" s="7" t="n">
        <v>17847.49246541762</v>
      </c>
      <c r="R589" s="7" t="n">
        <v>0</v>
      </c>
      <c r="S589" s="6" t="n">
        <v>0</v>
      </c>
      <c r="T589" s="7" t="n">
        <v>2830.778091915306</v>
      </c>
      <c r="U589" s="7" t="n">
        <v>4104.628233277193</v>
      </c>
      <c r="V589" s="7" t="n">
        <v>100158.8219010807</v>
      </c>
      <c r="W589" s="7" t="n">
        <v>100158.8219010807</v>
      </c>
      <c r="X589" s="7" t="n">
        <v>0</v>
      </c>
      <c r="Y589" s="6" t="n">
        <v>0</v>
      </c>
      <c r="Z589" s="7" t="n">
        <v>12253.51176076369</v>
      </c>
      <c r="AA589" s="7" t="n">
        <v>17767.59205310736</v>
      </c>
      <c r="AB589" s="7" t="n">
        <v>225661.1735282177</v>
      </c>
      <c r="AC589" s="7" t="n">
        <v>225661.1735282177</v>
      </c>
      <c r="AD589" s="7" t="n">
        <v>0</v>
      </c>
      <c r="AE589" s="6" t="n">
        <v>0</v>
      </c>
    </row>
    <row r="590">
      <c r="A590" s="2" t="n">
        <v>581</v>
      </c>
      <c r="B590" s="2" t="inlineStr">
        <is>
          <t>KPROP-00581</t>
        </is>
      </c>
      <c r="C590" s="3" t="n">
        <v>46125</v>
      </c>
      <c r="D590" s="2" t="inlineStr">
        <is>
          <t>Grant Holmes</t>
        </is>
      </c>
      <c r="E590" s="2" t="inlineStr">
        <is>
          <t>Win</t>
        </is>
      </c>
      <c r="F590" s="2" t="n">
        <v>0.6993006993006992</v>
      </c>
      <c r="G590" s="6" t="n">
        <v>0.1558417242284555</v>
      </c>
      <c r="H590" s="7" t="n">
        <v>100</v>
      </c>
      <c r="I590" s="7" t="n">
        <v>69.93006993006992</v>
      </c>
      <c r="J590" s="7" t="n">
        <v>16147.80885761173</v>
      </c>
      <c r="K590" s="7" t="n">
        <v>16147.80885761173</v>
      </c>
      <c r="L590" s="7" t="n">
        <v>0</v>
      </c>
      <c r="M590" s="6" t="n">
        <v>0</v>
      </c>
      <c r="N590" s="7" t="n">
        <v>178.4749246541762</v>
      </c>
      <c r="O590" s="7" t="n">
        <v>124.807639618305</v>
      </c>
      <c r="P590" s="7" t="n">
        <v>17972.30010503593</v>
      </c>
      <c r="Q590" s="7" t="n">
        <v>17972.30010503593</v>
      </c>
      <c r="R590" s="7" t="n">
        <v>0</v>
      </c>
      <c r="S590" s="6" t="n">
        <v>0</v>
      </c>
      <c r="T590" s="7" t="n">
        <v>3902.230875438803</v>
      </c>
      <c r="U590" s="7" t="n">
        <v>2728.832780027134</v>
      </c>
      <c r="V590" s="7" t="n">
        <v>102887.6546811079</v>
      </c>
      <c r="W590" s="7" t="n">
        <v>102887.6546811079</v>
      </c>
      <c r="X590" s="7" t="n">
        <v>0</v>
      </c>
      <c r="Y590" s="6" t="n">
        <v>0</v>
      </c>
      <c r="Z590" s="7" t="n">
        <v>17583.71318702707</v>
      </c>
      <c r="AA590" s="7" t="n">
        <v>12296.30292799096</v>
      </c>
      <c r="AB590" s="7" t="n">
        <v>237957.4764562086</v>
      </c>
      <c r="AC590" s="7" t="n">
        <v>237957.4764562086</v>
      </c>
      <c r="AD590" s="7" t="n">
        <v>0</v>
      </c>
      <c r="AE590" s="6" t="n">
        <v>0</v>
      </c>
    </row>
    <row r="591">
      <c r="A591" s="2" t="n">
        <v>582</v>
      </c>
      <c r="B591" s="2" t="inlineStr">
        <is>
          <t>KPROP-00582</t>
        </is>
      </c>
      <c r="C591" s="3" t="n">
        <v>46125</v>
      </c>
      <c r="D591" s="2" t="inlineStr">
        <is>
          <t>Paul Skenes</t>
        </is>
      </c>
      <c r="E591" s="2" t="inlineStr">
        <is>
          <t>Win</t>
        </is>
      </c>
      <c r="F591" s="2" t="n">
        <v>1.09</v>
      </c>
      <c r="G591" s="6" t="n">
        <v>0.3582892214234104</v>
      </c>
      <c r="H591" s="7" t="n">
        <v>100</v>
      </c>
      <c r="I591" s="7" t="n">
        <v>109</v>
      </c>
      <c r="J591" s="7" t="n">
        <v>16256.80885761173</v>
      </c>
      <c r="K591" s="7" t="n">
        <v>16256.80885761173</v>
      </c>
      <c r="L591" s="7" t="n">
        <v>0</v>
      </c>
      <c r="M591" s="6" t="n">
        <v>0</v>
      </c>
      <c r="N591" s="7" t="n">
        <v>179.7230010503593</v>
      </c>
      <c r="O591" s="7" t="n">
        <v>195.8980711448916</v>
      </c>
      <c r="P591" s="7" t="n">
        <v>18168.19817618082</v>
      </c>
      <c r="Q591" s="7" t="n">
        <v>18168.19817618082</v>
      </c>
      <c r="R591" s="7" t="n">
        <v>0</v>
      </c>
      <c r="S591" s="6" t="n">
        <v>0</v>
      </c>
      <c r="T591" s="7" t="n">
        <v>9215.884422443709</v>
      </c>
      <c r="U591" s="7" t="n">
        <v>10045.31402046364</v>
      </c>
      <c r="V591" s="7" t="n">
        <v>112932.9687015715</v>
      </c>
      <c r="W591" s="7" t="n">
        <v>112932.9687015715</v>
      </c>
      <c r="X591" s="7" t="n">
        <v>0</v>
      </c>
      <c r="Y591" s="6" t="n">
        <v>0</v>
      </c>
      <c r="Z591" s="7" t="n">
        <v>42628.79948568725</v>
      </c>
      <c r="AA591" s="7" t="n">
        <v>46465.39143939909</v>
      </c>
      <c r="AB591" s="7" t="n">
        <v>284422.8678956077</v>
      </c>
      <c r="AC591" s="7" t="n">
        <v>284422.8678956077</v>
      </c>
      <c r="AD591" s="7" t="n">
        <v>0</v>
      </c>
      <c r="AE591" s="6" t="n">
        <v>0</v>
      </c>
    </row>
    <row r="592">
      <c r="A592" s="2" t="n">
        <v>583</v>
      </c>
      <c r="B592" s="2" t="inlineStr">
        <is>
          <t>KPROP-00583</t>
        </is>
      </c>
      <c r="C592" s="3" t="n">
        <v>46125</v>
      </c>
      <c r="D592" s="2" t="inlineStr">
        <is>
          <t>Will Warren</t>
        </is>
      </c>
      <c r="E592" s="2" t="inlineStr">
        <is>
          <t>Loss</t>
        </is>
      </c>
      <c r="F592" s="2" t="n">
        <v>-1</v>
      </c>
      <c r="G592" s="6" t="n">
        <v>0.2475561805343428</v>
      </c>
      <c r="H592" s="7" t="n">
        <v>100</v>
      </c>
      <c r="I592" s="7" t="n">
        <v>-100</v>
      </c>
      <c r="J592" s="7" t="n">
        <v>16156.80885761173</v>
      </c>
      <c r="K592" s="7" t="n">
        <v>16256.80885761173</v>
      </c>
      <c r="L592" s="7" t="n">
        <v>-100</v>
      </c>
      <c r="M592" s="6" t="n">
        <v>-0.006151268731512348</v>
      </c>
      <c r="N592" s="7" t="n">
        <v>181.6819817618082</v>
      </c>
      <c r="O592" s="7" t="n">
        <v>-181.6819817618082</v>
      </c>
      <c r="P592" s="7" t="n">
        <v>17986.51619441901</v>
      </c>
      <c r="Q592" s="7" t="n">
        <v>18168.19817618082</v>
      </c>
      <c r="R592" s="7" t="n">
        <v>-181.6819817618089</v>
      </c>
      <c r="S592" s="6" t="n">
        <v>-0.01000000000000003</v>
      </c>
      <c r="T592" s="7" t="n">
        <v>6989.31359704138</v>
      </c>
      <c r="U592" s="7" t="n">
        <v>-6989.31359704138</v>
      </c>
      <c r="V592" s="7" t="n">
        <v>105943.6551045301</v>
      </c>
      <c r="W592" s="7" t="n">
        <v>112932.9687015715</v>
      </c>
      <c r="X592" s="7" t="n">
        <v>-6989.313597041386</v>
      </c>
      <c r="Y592" s="6" t="n">
        <v>-0.06188904513358575</v>
      </c>
      <c r="Z592" s="7" t="n">
        <v>35205.3194164303</v>
      </c>
      <c r="AA592" s="7" t="n">
        <v>-35205.3194164303</v>
      </c>
      <c r="AB592" s="7" t="n">
        <v>249217.5484791774</v>
      </c>
      <c r="AC592" s="7" t="n">
        <v>284422.8678956077</v>
      </c>
      <c r="AD592" s="7" t="n">
        <v>-35205.31941643031</v>
      </c>
      <c r="AE592" s="6" t="n">
        <v>-0.1237780902671714</v>
      </c>
    </row>
    <row r="593">
      <c r="A593" s="2" t="n">
        <v>584</v>
      </c>
      <c r="B593" s="2" t="inlineStr">
        <is>
          <t>KPROP-00584</t>
        </is>
      </c>
      <c r="C593" s="3" t="n">
        <v>46125</v>
      </c>
      <c r="D593" s="2" t="inlineStr">
        <is>
          <t>Yusei Kikuchi</t>
        </is>
      </c>
      <c r="E593" s="2" t="inlineStr">
        <is>
          <t>Win</t>
        </is>
      </c>
      <c r="F593" s="2" t="n">
        <v>0.7575757575757576</v>
      </c>
      <c r="G593" s="6" t="n">
        <v>0.1171588009240864</v>
      </c>
      <c r="H593" s="7" t="n">
        <v>100</v>
      </c>
      <c r="I593" s="7" t="n">
        <v>75.75757575757575</v>
      </c>
      <c r="J593" s="7" t="n">
        <v>16232.56643336931</v>
      </c>
      <c r="K593" s="7" t="n">
        <v>16256.80885761173</v>
      </c>
      <c r="L593" s="7" t="n">
        <v>-24.24242424242402</v>
      </c>
      <c r="M593" s="6" t="n">
        <v>-0.001491216662184798</v>
      </c>
      <c r="N593" s="7" t="n">
        <v>179.8651619441902</v>
      </c>
      <c r="O593" s="7" t="n">
        <v>136.2614863213562</v>
      </c>
      <c r="P593" s="7" t="n">
        <v>18122.77768074037</v>
      </c>
      <c r="Q593" s="7" t="n">
        <v>18168.19817618082</v>
      </c>
      <c r="R593" s="7" t="n">
        <v>-45.42049544045221</v>
      </c>
      <c r="S593" s="6" t="n">
        <v>-0.002500000000000009</v>
      </c>
      <c r="T593" s="7" t="n">
        <v>3103.057899390428</v>
      </c>
      <c r="U593" s="7" t="n">
        <v>2350.801438932142</v>
      </c>
      <c r="V593" s="7" t="n">
        <v>108294.4565434623</v>
      </c>
      <c r="W593" s="7" t="n">
        <v>112932.9687015715</v>
      </c>
      <c r="X593" s="7" t="n">
        <v>-4638.512158109239</v>
      </c>
      <c r="Y593" s="6" t="n">
        <v>-0.04107314464004427</v>
      </c>
      <c r="Z593" s="7" t="n">
        <v>14599.01457453039</v>
      </c>
      <c r="AA593" s="7" t="n">
        <v>11059.85952615939</v>
      </c>
      <c r="AB593" s="7" t="n">
        <v>260277.4080053368</v>
      </c>
      <c r="AC593" s="7" t="n">
        <v>284422.8678956077</v>
      </c>
      <c r="AD593" s="7" t="n">
        <v>-24145.45989027093</v>
      </c>
      <c r="AE593" s="6" t="n">
        <v>-0.08489282197637175</v>
      </c>
    </row>
    <row r="594">
      <c r="A594" s="2" t="n">
        <v>585</v>
      </c>
      <c r="B594" s="2" t="inlineStr">
        <is>
          <t>KPROP-00585</t>
        </is>
      </c>
      <c r="C594" s="3" t="n">
        <v>46126</v>
      </c>
      <c r="D594" s="2" t="inlineStr">
        <is>
          <t>Aaron Nola</t>
        </is>
      </c>
      <c r="E594" s="2" t="inlineStr">
        <is>
          <t>Win</t>
        </is>
      </c>
      <c r="F594" s="2" t="n">
        <v>0.7407407407407407</v>
      </c>
      <c r="G594" s="6" t="n">
        <v>0.1253550508842359</v>
      </c>
      <c r="H594" s="7" t="n">
        <v>100</v>
      </c>
      <c r="I594" s="7" t="n">
        <v>74.07407407407408</v>
      </c>
      <c r="J594" s="7" t="n">
        <v>16306.64050744338</v>
      </c>
      <c r="K594" s="7" t="n">
        <v>16306.64050744338</v>
      </c>
      <c r="L594" s="7" t="n">
        <v>0</v>
      </c>
      <c r="M594" s="6" t="n">
        <v>0</v>
      </c>
      <c r="N594" s="7" t="n">
        <v>181.2277768074037</v>
      </c>
      <c r="O594" s="7" t="n">
        <v>134.2427976351139</v>
      </c>
      <c r="P594" s="7" t="n">
        <v>18257.02047837549</v>
      </c>
      <c r="Q594" s="7" t="n">
        <v>18257.02047837549</v>
      </c>
      <c r="R594" s="7" t="n">
        <v>0</v>
      </c>
      <c r="S594" s="6" t="n">
        <v>0</v>
      </c>
      <c r="T594" s="7" t="n">
        <v>3393.814277621596</v>
      </c>
      <c r="U594" s="7" t="n">
        <v>2513.936501941923</v>
      </c>
      <c r="V594" s="7" t="n">
        <v>110808.3930454042</v>
      </c>
      <c r="W594" s="7" t="n">
        <v>112932.9687015715</v>
      </c>
      <c r="X594" s="7" t="n">
        <v>-2124.575656167319</v>
      </c>
      <c r="Y594" s="6" t="n">
        <v>-0.01881271413117253</v>
      </c>
      <c r="Z594" s="7" t="n">
        <v>16313.54386226301</v>
      </c>
      <c r="AA594" s="7" t="n">
        <v>12084.10656463927</v>
      </c>
      <c r="AB594" s="7" t="n">
        <v>272361.5145699761</v>
      </c>
      <c r="AC594" s="7" t="n">
        <v>284422.8678956077</v>
      </c>
      <c r="AD594" s="7" t="n">
        <v>-12061.35332563164</v>
      </c>
      <c r="AE594" s="6" t="n">
        <v>-0.04240641202611931</v>
      </c>
    </row>
    <row r="595">
      <c r="A595" s="2" t="n">
        <v>586</v>
      </c>
      <c r="B595" s="2" t="inlineStr">
        <is>
          <t>KPROP-00586</t>
        </is>
      </c>
      <c r="C595" s="3" t="n">
        <v>46126</v>
      </c>
      <c r="D595" s="2" t="inlineStr">
        <is>
          <t>Brady Singer</t>
        </is>
      </c>
      <c r="E595" s="2" t="inlineStr">
        <is>
          <t>Win</t>
        </is>
      </c>
      <c r="F595" s="2" t="n">
        <v>0.847457627118644</v>
      </c>
      <c r="G595" s="6" t="n">
        <v>0.2512068298852833</v>
      </c>
      <c r="H595" s="7" t="n">
        <v>100</v>
      </c>
      <c r="I595" s="7" t="n">
        <v>84.7457627118644</v>
      </c>
      <c r="J595" s="7" t="n">
        <v>16391.38627015525</v>
      </c>
      <c r="K595" s="7" t="n">
        <v>16391.38627015525</v>
      </c>
      <c r="L595" s="7" t="n">
        <v>0</v>
      </c>
      <c r="M595" s="6" t="n">
        <v>0</v>
      </c>
      <c r="N595" s="7" t="n">
        <v>182.5702047837549</v>
      </c>
      <c r="O595" s="7" t="n">
        <v>154.7205125286058</v>
      </c>
      <c r="P595" s="7" t="n">
        <v>18411.74099090409</v>
      </c>
      <c r="Q595" s="7" t="n">
        <v>18411.74099090409</v>
      </c>
      <c r="R595" s="7" t="n">
        <v>0</v>
      </c>
      <c r="S595" s="6" t="n">
        <v>0</v>
      </c>
      <c r="T595" s="7" t="n">
        <v>6958.956285404614</v>
      </c>
      <c r="U595" s="7" t="n">
        <v>5897.420580851368</v>
      </c>
      <c r="V595" s="7" t="n">
        <v>116705.8136262555</v>
      </c>
      <c r="W595" s="7" t="n">
        <v>116705.8136262555</v>
      </c>
      <c r="X595" s="7" t="n">
        <v>0</v>
      </c>
      <c r="Y595" s="6" t="n">
        <v>0</v>
      </c>
      <c r="Z595" s="7" t="n">
        <v>34209.53632893904</v>
      </c>
      <c r="AA595" s="7" t="n">
        <v>28991.13248215173</v>
      </c>
      <c r="AB595" s="7" t="n">
        <v>301352.6470521278</v>
      </c>
      <c r="AC595" s="7" t="n">
        <v>301352.6470521278</v>
      </c>
      <c r="AD595" s="7" t="n">
        <v>0</v>
      </c>
      <c r="AE595" s="6" t="n">
        <v>0</v>
      </c>
    </row>
    <row r="596">
      <c r="A596" s="2" t="n">
        <v>587</v>
      </c>
      <c r="B596" s="2" t="inlineStr">
        <is>
          <t>KPROP-00587</t>
        </is>
      </c>
      <c r="C596" s="3" t="n">
        <v>46126</v>
      </c>
      <c r="D596" s="2" t="inlineStr">
        <is>
          <t>Cole Ragans</t>
        </is>
      </c>
      <c r="E596" s="2" t="inlineStr">
        <is>
          <t>Win</t>
        </is>
      </c>
      <c r="F596" s="2" t="n">
        <v>1.13</v>
      </c>
      <c r="G596" s="6" t="n">
        <v>0.2508048584010099</v>
      </c>
      <c r="H596" s="7" t="n">
        <v>100</v>
      </c>
      <c r="I596" s="7" t="n">
        <v>113</v>
      </c>
      <c r="J596" s="7" t="n">
        <v>16504.38627015525</v>
      </c>
      <c r="K596" s="7" t="n">
        <v>16504.38627015525</v>
      </c>
      <c r="L596" s="7" t="n">
        <v>0</v>
      </c>
      <c r="M596" s="6" t="n">
        <v>0</v>
      </c>
      <c r="N596" s="7" t="n">
        <v>184.1174099090409</v>
      </c>
      <c r="O596" s="7" t="n">
        <v>208.0526731972162</v>
      </c>
      <c r="P596" s="7" t="n">
        <v>18619.79366410131</v>
      </c>
      <c r="Q596" s="7" t="n">
        <v>18619.79366410131</v>
      </c>
      <c r="R596" s="7" t="n">
        <v>0</v>
      </c>
      <c r="S596" s="6" t="n">
        <v>0</v>
      </c>
      <c r="T596" s="7" t="n">
        <v>7317.596265276919</v>
      </c>
      <c r="U596" s="7" t="n">
        <v>8268.883779762918</v>
      </c>
      <c r="V596" s="7" t="n">
        <v>124974.6974060185</v>
      </c>
      <c r="W596" s="7" t="n">
        <v>124974.6974060185</v>
      </c>
      <c r="X596" s="7" t="n">
        <v>0</v>
      </c>
      <c r="Y596" s="6" t="n">
        <v>0</v>
      </c>
      <c r="Z596" s="7" t="n">
        <v>37790.35398633921</v>
      </c>
      <c r="AA596" s="7" t="n">
        <v>42703.1000045633</v>
      </c>
      <c r="AB596" s="7" t="n">
        <v>344055.7470566911</v>
      </c>
      <c r="AC596" s="7" t="n">
        <v>344055.7470566911</v>
      </c>
      <c r="AD596" s="7" t="n">
        <v>0</v>
      </c>
      <c r="AE596" s="6" t="n">
        <v>0</v>
      </c>
    </row>
    <row r="597">
      <c r="A597" s="2" t="n">
        <v>588</v>
      </c>
      <c r="B597" s="2" t="inlineStr">
        <is>
          <t>KPROP-00588</t>
        </is>
      </c>
      <c r="C597" s="3" t="n">
        <v>46126</v>
      </c>
      <c r="D597" s="2" t="inlineStr">
        <is>
          <t>Cole Ragans</t>
        </is>
      </c>
      <c r="E597" s="2" t="inlineStr">
        <is>
          <t>Win</t>
        </is>
      </c>
      <c r="F597" s="2" t="n">
        <v>0.5714285714285714</v>
      </c>
      <c r="G597" s="6" t="n">
        <v>0.2870568219479683</v>
      </c>
      <c r="H597" s="7" t="n">
        <v>100</v>
      </c>
      <c r="I597" s="7" t="n">
        <v>57.14285714285714</v>
      </c>
      <c r="J597" s="7" t="n">
        <v>16561.5291272981</v>
      </c>
      <c r="K597" s="7" t="n">
        <v>16561.5291272981</v>
      </c>
      <c r="L597" s="7" t="n">
        <v>0</v>
      </c>
      <c r="M597" s="6" t="n">
        <v>0</v>
      </c>
      <c r="N597" s="7" t="n">
        <v>186.1979366410131</v>
      </c>
      <c r="O597" s="7" t="n">
        <v>106.3988209377218</v>
      </c>
      <c r="P597" s="7" t="n">
        <v>18726.19248503903</v>
      </c>
      <c r="Q597" s="7" t="n">
        <v>18726.19248503903</v>
      </c>
      <c r="R597" s="7" t="n">
        <v>0</v>
      </c>
      <c r="S597" s="6" t="n">
        <v>0</v>
      </c>
      <c r="T597" s="7" t="n">
        <v>8968.709865320167</v>
      </c>
      <c r="U597" s="7" t="n">
        <v>5124.977065897237</v>
      </c>
      <c r="V597" s="7" t="n">
        <v>130099.6744719157</v>
      </c>
      <c r="W597" s="7" t="n">
        <v>130099.6744719157</v>
      </c>
      <c r="X597" s="7" t="n">
        <v>0</v>
      </c>
      <c r="Y597" s="6" t="n">
        <v>0</v>
      </c>
      <c r="Z597" s="7" t="n">
        <v>49381.7746615139</v>
      </c>
      <c r="AA597" s="7" t="n">
        <v>28218.15694943651</v>
      </c>
      <c r="AB597" s="7" t="n">
        <v>372273.9040061276</v>
      </c>
      <c r="AC597" s="7" t="n">
        <v>372273.9040061276</v>
      </c>
      <c r="AD597" s="7" t="n">
        <v>0</v>
      </c>
      <c r="AE597" s="6" t="n">
        <v>0</v>
      </c>
    </row>
    <row r="598">
      <c r="A598" s="2" t="n">
        <v>589</v>
      </c>
      <c r="B598" s="2" t="inlineStr">
        <is>
          <t>KPROP-00589</t>
        </is>
      </c>
      <c r="C598" s="3" t="n">
        <v>46126</v>
      </c>
      <c r="D598" s="2" t="inlineStr">
        <is>
          <t>Joey Cantillo</t>
        </is>
      </c>
      <c r="E598" s="2" t="inlineStr">
        <is>
          <t>Win</t>
        </is>
      </c>
      <c r="F598" s="2" t="n">
        <v>1.38</v>
      </c>
      <c r="G598" s="6" t="n">
        <v>0.06958311558663507</v>
      </c>
      <c r="H598" s="7" t="n">
        <v>100</v>
      </c>
      <c r="I598" s="7" t="n">
        <v>138</v>
      </c>
      <c r="J598" s="7" t="n">
        <v>16699.5291272981</v>
      </c>
      <c r="K598" s="7" t="n">
        <v>16699.5291272981</v>
      </c>
      <c r="L598" s="7" t="n">
        <v>0</v>
      </c>
      <c r="M598" s="6" t="n">
        <v>0</v>
      </c>
      <c r="N598" s="7" t="n">
        <v>187.2619248503903</v>
      </c>
      <c r="O598" s="7" t="n">
        <v>258.4214562935385</v>
      </c>
      <c r="P598" s="7" t="n">
        <v>18984.61394133257</v>
      </c>
      <c r="Q598" s="7" t="n">
        <v>18984.61394133257</v>
      </c>
      <c r="R598" s="7" t="n">
        <v>0</v>
      </c>
      <c r="S598" s="6" t="n">
        <v>0</v>
      </c>
      <c r="T598" s="7" t="n">
        <v>2263.185171640727</v>
      </c>
      <c r="U598" s="7" t="n">
        <v>3123.195536864203</v>
      </c>
      <c r="V598" s="7" t="n">
        <v>133222.8700087799</v>
      </c>
      <c r="W598" s="7" t="n">
        <v>133222.8700087799</v>
      </c>
      <c r="X598" s="7" t="n">
        <v>0</v>
      </c>
      <c r="Y598" s="6" t="n">
        <v>0</v>
      </c>
      <c r="Z598" s="7" t="n">
        <v>12951.98904617313</v>
      </c>
      <c r="AA598" s="7" t="n">
        <v>17873.74488371892</v>
      </c>
      <c r="AB598" s="7" t="n">
        <v>390147.6488898465</v>
      </c>
      <c r="AC598" s="7" t="n">
        <v>390147.6488898465</v>
      </c>
      <c r="AD598" s="7" t="n">
        <v>0</v>
      </c>
      <c r="AE598" s="6" t="n">
        <v>0</v>
      </c>
    </row>
    <row r="599">
      <c r="A599" s="2" t="n">
        <v>590</v>
      </c>
      <c r="B599" s="2" t="inlineStr">
        <is>
          <t>KPROP-00590</t>
        </is>
      </c>
      <c r="C599" s="3" t="n">
        <v>46126</v>
      </c>
      <c r="D599" s="2" t="inlineStr">
        <is>
          <t>Kevin Gausman</t>
        </is>
      </c>
      <c r="E599" s="2" t="inlineStr">
        <is>
          <t>Win</t>
        </is>
      </c>
      <c r="F599" s="2" t="n">
        <v>1.4</v>
      </c>
      <c r="G599" s="6" t="n">
        <v>0.1596492473504921</v>
      </c>
      <c r="H599" s="7" t="n">
        <v>100</v>
      </c>
      <c r="I599" s="7" t="n">
        <v>140</v>
      </c>
      <c r="J599" s="7" t="n">
        <v>16839.5291272981</v>
      </c>
      <c r="K599" s="7" t="n">
        <v>16839.5291272981</v>
      </c>
      <c r="L599" s="7" t="n">
        <v>0</v>
      </c>
      <c r="M599" s="6" t="n">
        <v>0</v>
      </c>
      <c r="N599" s="7" t="n">
        <v>189.8461394133257</v>
      </c>
      <c r="O599" s="7" t="n">
        <v>265.7845951786559</v>
      </c>
      <c r="P599" s="7" t="n">
        <v>19250.39853651122</v>
      </c>
      <c r="Q599" s="7" t="n">
        <v>19250.39853651122</v>
      </c>
      <c r="R599" s="7" t="n">
        <v>0</v>
      </c>
      <c r="S599" s="6" t="n">
        <v>0</v>
      </c>
      <c r="T599" s="7" t="n">
        <v>5317.232731693542</v>
      </c>
      <c r="U599" s="7" t="n">
        <v>7444.125824370958</v>
      </c>
      <c r="V599" s="7" t="n">
        <v>140666.9958331509</v>
      </c>
      <c r="W599" s="7" t="n">
        <v>140666.9958331509</v>
      </c>
      <c r="X599" s="7" t="n">
        <v>0</v>
      </c>
      <c r="Y599" s="6" t="n">
        <v>0</v>
      </c>
      <c r="Z599" s="7" t="n">
        <v>31143.38925041403</v>
      </c>
      <c r="AA599" s="7" t="n">
        <v>43600.74495057964</v>
      </c>
      <c r="AB599" s="7" t="n">
        <v>433748.3938404262</v>
      </c>
      <c r="AC599" s="7" t="n">
        <v>433748.3938404262</v>
      </c>
      <c r="AD599" s="7" t="n">
        <v>0</v>
      </c>
      <c r="AE599" s="6" t="n">
        <v>0</v>
      </c>
    </row>
    <row r="600">
      <c r="A600" s="2" t="n">
        <v>591</v>
      </c>
      <c r="B600" s="2" t="inlineStr">
        <is>
          <t>KPROP-00591</t>
        </is>
      </c>
      <c r="C600" s="3" t="n">
        <v>46126</v>
      </c>
      <c r="D600" s="2" t="inlineStr">
        <is>
          <t>Kevin Gausman</t>
        </is>
      </c>
      <c r="E600" s="2" t="inlineStr">
        <is>
          <t>Win</t>
        </is>
      </c>
      <c r="F600" s="2" t="n">
        <v>0.6993006993006992</v>
      </c>
      <c r="G600" s="6" t="n">
        <v>0.194036702084107</v>
      </c>
      <c r="H600" s="7" t="n">
        <v>100</v>
      </c>
      <c r="I600" s="7" t="n">
        <v>69.93006993006992</v>
      </c>
      <c r="J600" s="7" t="n">
        <v>16909.45919722817</v>
      </c>
      <c r="K600" s="7" t="n">
        <v>16909.45919722817</v>
      </c>
      <c r="L600" s="7" t="n">
        <v>0</v>
      </c>
      <c r="M600" s="6" t="n">
        <v>0</v>
      </c>
      <c r="N600" s="7" t="n">
        <v>192.5039853651122</v>
      </c>
      <c r="O600" s="7" t="n">
        <v>134.6181715839945</v>
      </c>
      <c r="P600" s="7" t="n">
        <v>19385.01670809522</v>
      </c>
      <c r="Q600" s="7" t="n">
        <v>19385.01670809522</v>
      </c>
      <c r="R600" s="7" t="n">
        <v>0</v>
      </c>
      <c r="S600" s="6" t="n">
        <v>0</v>
      </c>
      <c r="T600" s="7" t="n">
        <v>6823.639990885853</v>
      </c>
      <c r="U600" s="7" t="n">
        <v>4771.776217402693</v>
      </c>
      <c r="V600" s="7" t="n">
        <v>145438.7720505536</v>
      </c>
      <c r="W600" s="7" t="n">
        <v>145438.7720505536</v>
      </c>
      <c r="X600" s="7" t="n">
        <v>0</v>
      </c>
      <c r="Y600" s="6" t="n">
        <v>0</v>
      </c>
      <c r="Z600" s="7" t="n">
        <v>42081.55393753734</v>
      </c>
      <c r="AA600" s="7" t="n">
        <v>29427.66009617995</v>
      </c>
      <c r="AB600" s="7" t="n">
        <v>463176.0539366061</v>
      </c>
      <c r="AC600" s="7" t="n">
        <v>463176.0539366061</v>
      </c>
      <c r="AD600" s="7" t="n">
        <v>0</v>
      </c>
      <c r="AE600" s="6" t="n">
        <v>0</v>
      </c>
    </row>
    <row r="601">
      <c r="A601" s="2" t="n">
        <v>592</v>
      </c>
      <c r="B601" s="2" t="inlineStr">
        <is>
          <t>KPROP-00592</t>
        </is>
      </c>
      <c r="C601" s="3" t="n">
        <v>46126</v>
      </c>
      <c r="D601" s="2" t="inlineStr">
        <is>
          <t>Reynaldo López</t>
        </is>
      </c>
      <c r="E601" s="2" t="inlineStr">
        <is>
          <t>Loss</t>
        </is>
      </c>
      <c r="F601" s="2" t="n">
        <v>-1</v>
      </c>
      <c r="G601" s="6" t="n">
        <v>0.09919606263680537</v>
      </c>
      <c r="H601" s="7" t="n">
        <v>100</v>
      </c>
      <c r="I601" s="7" t="n">
        <v>-100</v>
      </c>
      <c r="J601" s="7" t="n">
        <v>16809.45919722817</v>
      </c>
      <c r="K601" s="7" t="n">
        <v>16909.45919722817</v>
      </c>
      <c r="L601" s="7" t="n">
        <v>-100</v>
      </c>
      <c r="M601" s="6" t="n">
        <v>-0.005913849688131491</v>
      </c>
      <c r="N601" s="7" t="n">
        <v>193.8501670809522</v>
      </c>
      <c r="O601" s="7" t="n">
        <v>-193.8501670809522</v>
      </c>
      <c r="P601" s="7" t="n">
        <v>19191.16654101426</v>
      </c>
      <c r="Q601" s="7" t="n">
        <v>19385.01670809522</v>
      </c>
      <c r="R601" s="7" t="n">
        <v>-193.8501670809528</v>
      </c>
      <c r="S601" s="6" t="n">
        <v>-0.01000000000000003</v>
      </c>
      <c r="T601" s="7" t="n">
        <v>3606.738385536692</v>
      </c>
      <c r="U601" s="7" t="n">
        <v>-3606.738385536692</v>
      </c>
      <c r="V601" s="7" t="n">
        <v>141832.0336650169</v>
      </c>
      <c r="W601" s="7" t="n">
        <v>145438.7720505536</v>
      </c>
      <c r="X601" s="7" t="n">
        <v>-3606.738385536679</v>
      </c>
      <c r="Y601" s="6" t="n">
        <v>-0.02479901565920125</v>
      </c>
      <c r="Z601" s="7" t="n">
        <v>22972.62042908196</v>
      </c>
      <c r="AA601" s="7" t="n">
        <v>-22972.62042908196</v>
      </c>
      <c r="AB601" s="7" t="n">
        <v>440203.4335075241</v>
      </c>
      <c r="AC601" s="7" t="n">
        <v>463176.0539366061</v>
      </c>
      <c r="AD601" s="7" t="n">
        <v>-22972.62042908196</v>
      </c>
      <c r="AE601" s="6" t="n">
        <v>-0.04959803131840268</v>
      </c>
    </row>
    <row r="602">
      <c r="A602" s="2" t="n">
        <v>593</v>
      </c>
      <c r="B602" s="2" t="inlineStr">
        <is>
          <t>KPROP-00593</t>
        </is>
      </c>
      <c r="C602" s="3" t="n">
        <v>46126</v>
      </c>
      <c r="D602" s="2" t="inlineStr">
        <is>
          <t>Sonny Gray</t>
        </is>
      </c>
      <c r="E602" s="2" t="inlineStr">
        <is>
          <t>Win</t>
        </is>
      </c>
      <c r="F602" s="2" t="n">
        <v>1.16</v>
      </c>
      <c r="G602" s="6" t="n">
        <v>0.1566468888394748</v>
      </c>
      <c r="H602" s="7" t="n">
        <v>100</v>
      </c>
      <c r="I602" s="7" t="n">
        <v>116</v>
      </c>
      <c r="J602" s="7" t="n">
        <v>16925.45919722817</v>
      </c>
      <c r="K602" s="7" t="n">
        <v>16925.45919722817</v>
      </c>
      <c r="L602" s="7" t="n">
        <v>0</v>
      </c>
      <c r="M602" s="6" t="n">
        <v>0</v>
      </c>
      <c r="N602" s="7" t="n">
        <v>191.9116654101426</v>
      </c>
      <c r="O602" s="7" t="n">
        <v>222.6175318757655</v>
      </c>
      <c r="P602" s="7" t="n">
        <v>19413.78407289003</v>
      </c>
      <c r="Q602" s="7" t="n">
        <v>19413.78407289003</v>
      </c>
      <c r="R602" s="7" t="n">
        <v>0</v>
      </c>
      <c r="S602" s="6" t="n">
        <v>0</v>
      </c>
      <c r="T602" s="7" t="n">
        <v>5554.386702850138</v>
      </c>
      <c r="U602" s="7" t="n">
        <v>6443.088575306161</v>
      </c>
      <c r="V602" s="7" t="n">
        <v>148275.122240323</v>
      </c>
      <c r="W602" s="7" t="n">
        <v>148275.122240323</v>
      </c>
      <c r="X602" s="7" t="n">
        <v>0</v>
      </c>
      <c r="Y602" s="6" t="n">
        <v>0</v>
      </c>
      <c r="Z602" s="7" t="n">
        <v>34478.24915770414</v>
      </c>
      <c r="AA602" s="7" t="n">
        <v>39994.76902293681</v>
      </c>
      <c r="AB602" s="7" t="n">
        <v>480198.202530461</v>
      </c>
      <c r="AC602" s="7" t="n">
        <v>480198.202530461</v>
      </c>
      <c r="AD602" s="7" t="n">
        <v>0</v>
      </c>
      <c r="AE602" s="6" t="n">
        <v>0</v>
      </c>
    </row>
    <row r="603">
      <c r="A603" s="2" t="n">
        <v>594</v>
      </c>
      <c r="B603" s="2" t="inlineStr">
        <is>
          <t>KPROP-00594</t>
        </is>
      </c>
      <c r="C603" s="3" t="n">
        <v>46126</v>
      </c>
      <c r="D603" s="2" t="inlineStr">
        <is>
          <t>Sonny Gray</t>
        </is>
      </c>
      <c r="E603" s="2" t="inlineStr">
        <is>
          <t>Win</t>
        </is>
      </c>
      <c r="F603" s="2" t="n">
        <v>0.5376344086021505</v>
      </c>
      <c r="G603" s="6" t="n">
        <v>0.1492395155387048</v>
      </c>
      <c r="H603" s="7" t="n">
        <v>100</v>
      </c>
      <c r="I603" s="7" t="n">
        <v>53.76344086021505</v>
      </c>
      <c r="J603" s="7" t="n">
        <v>16979.22263808839</v>
      </c>
      <c r="K603" s="7" t="n">
        <v>16979.22263808839</v>
      </c>
      <c r="L603" s="7" t="n">
        <v>0</v>
      </c>
      <c r="M603" s="6" t="n">
        <v>0</v>
      </c>
      <c r="N603" s="7" t="n">
        <v>194.1378407289003</v>
      </c>
      <c r="O603" s="7" t="n">
        <v>104.3751831875808</v>
      </c>
      <c r="P603" s="7" t="n">
        <v>19518.15925607761</v>
      </c>
      <c r="Q603" s="7" t="n">
        <v>19518.15925607761</v>
      </c>
      <c r="R603" s="7" t="n">
        <v>0</v>
      </c>
      <c r="S603" s="6" t="n">
        <v>0</v>
      </c>
      <c r="T603" s="7" t="n">
        <v>5532.126852397011</v>
      </c>
      <c r="U603" s="7" t="n">
        <v>2974.261748600543</v>
      </c>
      <c r="V603" s="7" t="n">
        <v>151249.3839889236</v>
      </c>
      <c r="W603" s="7" t="n">
        <v>151249.3839889236</v>
      </c>
      <c r="X603" s="7" t="n">
        <v>0</v>
      </c>
      <c r="Y603" s="6" t="n">
        <v>0</v>
      </c>
      <c r="Z603" s="7" t="n">
        <v>35832.27355410142</v>
      </c>
      <c r="AA603" s="7" t="n">
        <v>19264.6632011298</v>
      </c>
      <c r="AB603" s="7" t="n">
        <v>499462.8657315908</v>
      </c>
      <c r="AC603" s="7" t="n">
        <v>499462.8657315908</v>
      </c>
      <c r="AD603" s="7" t="n">
        <v>0</v>
      </c>
      <c r="AE603" s="6" t="n">
        <v>0</v>
      </c>
    </row>
    <row r="604">
      <c r="A604" s="2" t="n">
        <v>595</v>
      </c>
      <c r="B604" s="2" t="inlineStr">
        <is>
          <t>KPROP-00595</t>
        </is>
      </c>
      <c r="C604" s="3" t="n">
        <v>46127</v>
      </c>
      <c r="D604" s="2" t="inlineStr">
        <is>
          <t>Jack Flaherty</t>
        </is>
      </c>
      <c r="E604" s="2" t="inlineStr">
        <is>
          <t>Loss</t>
        </is>
      </c>
      <c r="F604" s="2" t="n">
        <v>-1</v>
      </c>
      <c r="G604" s="6" t="n">
        <v>0.2107867859016714</v>
      </c>
      <c r="H604" s="7" t="n">
        <v>100</v>
      </c>
      <c r="I604" s="7" t="n">
        <v>-100</v>
      </c>
      <c r="J604" s="7" t="n">
        <v>16879.22263808839</v>
      </c>
      <c r="K604" s="7" t="n">
        <v>16979.22263808839</v>
      </c>
      <c r="L604" s="7" t="n">
        <v>-100</v>
      </c>
      <c r="M604" s="6" t="n">
        <v>-0.005889551137381078</v>
      </c>
      <c r="N604" s="7" t="n">
        <v>195.1815925607761</v>
      </c>
      <c r="O604" s="7" t="n">
        <v>-195.1815925607761</v>
      </c>
      <c r="P604" s="7" t="n">
        <v>19322.97766351683</v>
      </c>
      <c r="Q604" s="7" t="n">
        <v>19518.15925607761</v>
      </c>
      <c r="R604" s="7" t="n">
        <v>-195.1815925607771</v>
      </c>
      <c r="S604" s="6" t="n">
        <v>-0.01000000000000005</v>
      </c>
      <c r="T604" s="7" t="n">
        <v>7970.342880158231</v>
      </c>
      <c r="U604" s="7" t="n">
        <v>-7970.342880158231</v>
      </c>
      <c r="V604" s="7" t="n">
        <v>143279.0411087654</v>
      </c>
      <c r="W604" s="7" t="n">
        <v>151249.3839889236</v>
      </c>
      <c r="X604" s="7" t="n">
        <v>-7970.342880158219</v>
      </c>
      <c r="Y604" s="6" t="n">
        <v>-0.05269669647541778</v>
      </c>
      <c r="Z604" s="7" t="n">
        <v>52640.08607240004</v>
      </c>
      <c r="AA604" s="7" t="n">
        <v>-52640.08607240004</v>
      </c>
      <c r="AB604" s="7" t="n">
        <v>446822.7796591907</v>
      </c>
      <c r="AC604" s="7" t="n">
        <v>499462.8657315908</v>
      </c>
      <c r="AD604" s="7" t="n">
        <v>-52640.08607240004</v>
      </c>
      <c r="AE604" s="6" t="n">
        <v>-0.1053933929508357</v>
      </c>
    </row>
    <row r="605">
      <c r="A605" s="2" t="n">
        <v>596</v>
      </c>
      <c r="B605" s="2" t="inlineStr">
        <is>
          <t>KPROP-00596</t>
        </is>
      </c>
      <c r="C605" s="3" t="n">
        <v>46127</v>
      </c>
      <c r="D605" s="2" t="inlineStr">
        <is>
          <t>Jack Flaherty</t>
        </is>
      </c>
      <c r="E605" s="2" t="inlineStr">
        <is>
          <t>Loss</t>
        </is>
      </c>
      <c r="F605" s="2" t="n">
        <v>-1</v>
      </c>
      <c r="G605" s="6" t="n">
        <v>0.2596598051922223</v>
      </c>
      <c r="H605" s="7" t="n">
        <v>100</v>
      </c>
      <c r="I605" s="7" t="n">
        <v>-100</v>
      </c>
      <c r="J605" s="7" t="n">
        <v>16779.22263808839</v>
      </c>
      <c r="K605" s="7" t="n">
        <v>16979.22263808839</v>
      </c>
      <c r="L605" s="7" t="n">
        <v>-200</v>
      </c>
      <c r="M605" s="6" t="n">
        <v>-0.01177910227476216</v>
      </c>
      <c r="N605" s="7" t="n">
        <v>193.2297766351683</v>
      </c>
      <c r="O605" s="7" t="n">
        <v>-193.2297766351683</v>
      </c>
      <c r="P605" s="7" t="n">
        <v>19129.74788688167</v>
      </c>
      <c r="Q605" s="7" t="n">
        <v>19518.15925607761</v>
      </c>
      <c r="R605" s="7" t="n">
        <v>-388.4113691959465</v>
      </c>
      <c r="S605" s="6" t="n">
        <v>-0.0199000000000001</v>
      </c>
      <c r="T605" s="7" t="n">
        <v>9300.951975607608</v>
      </c>
      <c r="U605" s="7" t="n">
        <v>-9300.951975607608</v>
      </c>
      <c r="V605" s="7" t="n">
        <v>133978.0891331578</v>
      </c>
      <c r="W605" s="7" t="n">
        <v>151249.3839889236</v>
      </c>
      <c r="X605" s="7" t="n">
        <v>-17271.29485576582</v>
      </c>
      <c r="Y605" s="6" t="n">
        <v>-0.1141908442882032</v>
      </c>
      <c r="Z605" s="7" t="n">
        <v>58010.95796087637</v>
      </c>
      <c r="AA605" s="7" t="n">
        <v>-58010.95796087637</v>
      </c>
      <c r="AB605" s="7" t="n">
        <v>388811.8216983144</v>
      </c>
      <c r="AC605" s="7" t="n">
        <v>499462.8657315908</v>
      </c>
      <c r="AD605" s="7" t="n">
        <v>-110651.0440332764</v>
      </c>
      <c r="AE605" s="6" t="n">
        <v>-0.2215400816058661</v>
      </c>
    </row>
    <row r="606">
      <c r="A606" s="2" t="n">
        <v>597</v>
      </c>
      <c r="B606" s="2" t="inlineStr">
        <is>
          <t>KPROP-00597</t>
        </is>
      </c>
      <c r="C606" s="3" t="n">
        <v>46127</v>
      </c>
      <c r="D606" s="2" t="inlineStr">
        <is>
          <t>Rhett Lowder</t>
        </is>
      </c>
      <c r="E606" s="2" t="inlineStr">
        <is>
          <t>Loss</t>
        </is>
      </c>
      <c r="F606" s="2" t="n">
        <v>-1</v>
      </c>
      <c r="G606" s="6" t="n">
        <v>0.08089547911572303</v>
      </c>
      <c r="H606" s="7" t="n">
        <v>100</v>
      </c>
      <c r="I606" s="7" t="n">
        <v>-100</v>
      </c>
      <c r="J606" s="7" t="n">
        <v>16679.22263808839</v>
      </c>
      <c r="K606" s="7" t="n">
        <v>16979.22263808839</v>
      </c>
      <c r="L606" s="7" t="n">
        <v>-300</v>
      </c>
      <c r="M606" s="6" t="n">
        <v>-0.01766865341214323</v>
      </c>
      <c r="N606" s="7" t="n">
        <v>191.2974788688167</v>
      </c>
      <c r="O606" s="7" t="n">
        <v>-191.2974788688167</v>
      </c>
      <c r="P606" s="7" t="n">
        <v>18938.45040801285</v>
      </c>
      <c r="Q606" s="7" t="n">
        <v>19518.15925607761</v>
      </c>
      <c r="R606" s="7" t="n">
        <v>-579.7088480647617</v>
      </c>
      <c r="S606" s="6" t="n">
        <v>-0.02970100000000003</v>
      </c>
      <c r="T606" s="7" t="n">
        <v>2709.555427858961</v>
      </c>
      <c r="U606" s="7" t="n">
        <v>-2709.555427858961</v>
      </c>
      <c r="V606" s="7" t="n">
        <v>131268.5337052988</v>
      </c>
      <c r="W606" s="7" t="n">
        <v>151249.3839889236</v>
      </c>
      <c r="X606" s="7" t="n">
        <v>-19980.85028362478</v>
      </c>
      <c r="Y606" s="6" t="n">
        <v>-0.1321053333023031</v>
      </c>
      <c r="Z606" s="7" t="n">
        <v>15726.55930107111</v>
      </c>
      <c r="AA606" s="7" t="n">
        <v>-15726.55930107111</v>
      </c>
      <c r="AB606" s="7" t="n">
        <v>373085.2623972433</v>
      </c>
      <c r="AC606" s="7" t="n">
        <v>499462.8657315908</v>
      </c>
      <c r="AD606" s="7" t="n">
        <v>-126377.6033343475</v>
      </c>
      <c r="AE606" s="6" t="n">
        <v>-0.2530270256413062</v>
      </c>
    </row>
    <row r="607">
      <c r="A607" s="2" t="n">
        <v>598</v>
      </c>
      <c r="B607" s="2" t="inlineStr">
        <is>
          <t>KPROP-00598</t>
        </is>
      </c>
      <c r="C607" s="3" t="n">
        <v>46127</v>
      </c>
      <c r="D607" s="2" t="inlineStr">
        <is>
          <t>Shota Imanaga</t>
        </is>
      </c>
      <c r="E607" s="2" t="inlineStr">
        <is>
          <t>Loss</t>
        </is>
      </c>
      <c r="F607" s="2" t="n">
        <v>-1</v>
      </c>
      <c r="G607" s="6" t="n">
        <v>0.1438981268707908</v>
      </c>
      <c r="H607" s="7" t="n">
        <v>100</v>
      </c>
      <c r="I607" s="7" t="n">
        <v>-100</v>
      </c>
      <c r="J607" s="7" t="n">
        <v>16579.22263808839</v>
      </c>
      <c r="K607" s="7" t="n">
        <v>16979.22263808839</v>
      </c>
      <c r="L607" s="7" t="n">
        <v>-400</v>
      </c>
      <c r="M607" s="6" t="n">
        <v>-0.02355820454952431</v>
      </c>
      <c r="N607" s="7" t="n">
        <v>189.3845040801285</v>
      </c>
      <c r="O607" s="7" t="n">
        <v>-189.3845040801285</v>
      </c>
      <c r="P607" s="7" t="n">
        <v>18749.06590393272</v>
      </c>
      <c r="Q607" s="7" t="n">
        <v>19518.15925607761</v>
      </c>
      <c r="R607" s="7" t="n">
        <v>-769.0933521448896</v>
      </c>
      <c r="S607" s="6" t="n">
        <v>-0.03940399</v>
      </c>
      <c r="T607" s="7" t="n">
        <v>4722.324029316943</v>
      </c>
      <c r="U607" s="7" t="n">
        <v>-4722.324029316943</v>
      </c>
      <c r="V607" s="7" t="n">
        <v>126546.2096759819</v>
      </c>
      <c r="W607" s="7" t="n">
        <v>151249.3839889236</v>
      </c>
      <c r="X607" s="7" t="n">
        <v>-24703.17431294172</v>
      </c>
      <c r="Y607" s="6" t="n">
        <v>-0.16332743751704</v>
      </c>
      <c r="Z607" s="7" t="n">
        <v>26843.1352110304</v>
      </c>
      <c r="AA607" s="7" t="n">
        <v>-26843.1352110304</v>
      </c>
      <c r="AB607" s="7" t="n">
        <v>346242.1271862129</v>
      </c>
      <c r="AC607" s="7" t="n">
        <v>499462.8657315908</v>
      </c>
      <c r="AD607" s="7" t="n">
        <v>-153220.7385453779</v>
      </c>
      <c r="AE607" s="6" t="n">
        <v>-0.3067710315579658</v>
      </c>
    </row>
    <row r="608">
      <c r="A608" s="2" t="n">
        <v>599</v>
      </c>
      <c r="B608" s="2" t="inlineStr">
        <is>
          <t>KPROP-00599</t>
        </is>
      </c>
      <c r="C608" s="3" t="n">
        <v>46128</v>
      </c>
      <c r="D608" s="2" t="inlineStr">
        <is>
          <t>Jacob Lopez</t>
        </is>
      </c>
      <c r="E608" s="2" t="inlineStr">
        <is>
          <t>Win</t>
        </is>
      </c>
      <c r="F608" s="2" t="n">
        <v>0.9523809523809523</v>
      </c>
      <c r="G608" s="6" t="n">
        <v>0.2720048916226883</v>
      </c>
      <c r="H608" s="7" t="n">
        <v>100</v>
      </c>
      <c r="I608" s="7" t="n">
        <v>95.23809523809523</v>
      </c>
      <c r="J608" s="7" t="n">
        <v>16674.46073332648</v>
      </c>
      <c r="K608" s="7" t="n">
        <v>16979.22263808839</v>
      </c>
      <c r="L608" s="7" t="n">
        <v>-304.7619047619046</v>
      </c>
      <c r="M608" s="6" t="n">
        <v>-0.01794910822820899</v>
      </c>
      <c r="N608" s="7" t="n">
        <v>187.4906590393272</v>
      </c>
      <c r="O608" s="7" t="n">
        <v>178.5625324184069</v>
      </c>
      <c r="P608" s="7" t="n">
        <v>18927.62843635113</v>
      </c>
      <c r="Q608" s="7" t="n">
        <v>19518.15925607761</v>
      </c>
      <c r="R608" s="7" t="n">
        <v>-590.5308197264822</v>
      </c>
      <c r="S608" s="6" t="n">
        <v>-0.03025545657142854</v>
      </c>
      <c r="T608" s="7" t="n">
        <v>8605.297012044359</v>
      </c>
      <c r="U608" s="7" t="n">
        <v>8195.52096385177</v>
      </c>
      <c r="V608" s="7" t="n">
        <v>134741.7306398337</v>
      </c>
      <c r="W608" s="7" t="n">
        <v>151249.3839889236</v>
      </c>
      <c r="X608" s="7" t="n">
        <v>-16507.65334908993</v>
      </c>
      <c r="Y608" s="6" t="n">
        <v>-0.1091419542594556</v>
      </c>
      <c r="Z608" s="7" t="n">
        <v>47089.77614024744</v>
      </c>
      <c r="AA608" s="7" t="n">
        <v>44847.4058478547</v>
      </c>
      <c r="AB608" s="7" t="n">
        <v>391089.5330340676</v>
      </c>
      <c r="AC608" s="7" t="n">
        <v>499462.8657315908</v>
      </c>
      <c r="AD608" s="7" t="n">
        <v>-108373.3326975232</v>
      </c>
      <c r="AE608" s="6" t="n">
        <v>-0.2169797599242594</v>
      </c>
    </row>
    <row r="609">
      <c r="A609" s="2" t="n">
        <v>600</v>
      </c>
      <c r="B609" s="2" t="inlineStr">
        <is>
          <t>KPROP-00600</t>
        </is>
      </c>
      <c r="C609" s="3" t="n">
        <v>46128</v>
      </c>
      <c r="D609" s="2" t="inlineStr">
        <is>
          <t>Kris Bubic</t>
        </is>
      </c>
      <c r="E609" s="2" t="inlineStr">
        <is>
          <t>Win</t>
        </is>
      </c>
      <c r="F609" s="2" t="n">
        <v>1.02</v>
      </c>
      <c r="G609" s="6" t="n">
        <v>0.2323553352591942</v>
      </c>
      <c r="H609" s="7" t="n">
        <v>100</v>
      </c>
      <c r="I609" s="7" t="n">
        <v>102</v>
      </c>
      <c r="J609" s="7" t="n">
        <v>16776.46073332648</v>
      </c>
      <c r="K609" s="7" t="n">
        <v>16979.22263808839</v>
      </c>
      <c r="L609" s="7" t="n">
        <v>-202.7619047619046</v>
      </c>
      <c r="M609" s="6" t="n">
        <v>-0.01194176606808029</v>
      </c>
      <c r="N609" s="7" t="n">
        <v>189.2762843635113</v>
      </c>
      <c r="O609" s="7" t="n">
        <v>193.0618100507815</v>
      </c>
      <c r="P609" s="7" t="n">
        <v>19120.69024640191</v>
      </c>
      <c r="Q609" s="7" t="n">
        <v>19518.15925607761</v>
      </c>
      <c r="R609" s="7" t="n">
        <v>-397.4690096757004</v>
      </c>
      <c r="S609" s="6" t="n">
        <v>-0.0203640622284571</v>
      </c>
      <c r="T609" s="7" t="n">
        <v>7826.98999905565</v>
      </c>
      <c r="U609" s="7" t="n">
        <v>7983.529799036763</v>
      </c>
      <c r="V609" s="7" t="n">
        <v>142725.2604388704</v>
      </c>
      <c r="W609" s="7" t="n">
        <v>151249.3839889236</v>
      </c>
      <c r="X609" s="7" t="n">
        <v>-8524.123550053162</v>
      </c>
      <c r="Y609" s="6" t="n">
        <v>-0.05635807118842485</v>
      </c>
      <c r="Z609" s="7" t="n">
        <v>45435.86978224625</v>
      </c>
      <c r="AA609" s="7" t="n">
        <v>46344.58717789118</v>
      </c>
      <c r="AB609" s="7" t="n">
        <v>437434.1202119588</v>
      </c>
      <c r="AC609" s="7" t="n">
        <v>499462.8657315908</v>
      </c>
      <c r="AD609" s="7" t="n">
        <v>-62028.74551963201</v>
      </c>
      <c r="AE609" s="6" t="n">
        <v>-0.1241909054215174</v>
      </c>
    </row>
    <row r="610">
      <c r="A610" s="2" t="n">
        <v>601</v>
      </c>
      <c r="B610" s="2" t="inlineStr">
        <is>
          <t>KPROP-00601</t>
        </is>
      </c>
      <c r="C610" s="3" t="n">
        <v>46128</v>
      </c>
      <c r="D610" s="2" t="inlineStr">
        <is>
          <t>Landen Roupp</t>
        </is>
      </c>
      <c r="E610" s="2" t="inlineStr">
        <is>
          <t>Loss</t>
        </is>
      </c>
      <c r="F610" s="2" t="n">
        <v>-1</v>
      </c>
      <c r="G610" s="6" t="n">
        <v>0.1481524460671607</v>
      </c>
      <c r="H610" s="7" t="n">
        <v>100</v>
      </c>
      <c r="I610" s="7" t="n">
        <v>-100</v>
      </c>
      <c r="J610" s="7" t="n">
        <v>16676.46073332648</v>
      </c>
      <c r="K610" s="7" t="n">
        <v>16979.22263808839</v>
      </c>
      <c r="L610" s="7" t="n">
        <v>-302.7619047619046</v>
      </c>
      <c r="M610" s="6" t="n">
        <v>-0.01783131720546137</v>
      </c>
      <c r="N610" s="7" t="n">
        <v>191.2069024640191</v>
      </c>
      <c r="O610" s="7" t="n">
        <v>-191.2069024640191</v>
      </c>
      <c r="P610" s="7" t="n">
        <v>18929.48334393789</v>
      </c>
      <c r="Q610" s="7" t="n">
        <v>19518.15925607761</v>
      </c>
      <c r="R610" s="7" t="n">
        <v>-588.675912139719</v>
      </c>
      <c r="S610" s="6" t="n">
        <v>-0.0301604216061725</v>
      </c>
      <c r="T610" s="7" t="n">
        <v>5286.274112397806</v>
      </c>
      <c r="U610" s="7" t="n">
        <v>-5286.274112397806</v>
      </c>
      <c r="V610" s="7" t="n">
        <v>137438.9863264726</v>
      </c>
      <c r="W610" s="7" t="n">
        <v>151249.3839889236</v>
      </c>
      <c r="X610" s="7" t="n">
        <v>-13810.39766245097</v>
      </c>
      <c r="Y610" s="6" t="n">
        <v>-0.09130878617966695</v>
      </c>
      <c r="Z610" s="7" t="n">
        <v>32403.46745131907</v>
      </c>
      <c r="AA610" s="7" t="n">
        <v>-32403.46745131907</v>
      </c>
      <c r="AB610" s="7" t="n">
        <v>405030.6527606397</v>
      </c>
      <c r="AC610" s="7" t="n">
        <v>499462.8657315908</v>
      </c>
      <c r="AD610" s="7" t="n">
        <v>-94432.21297095105</v>
      </c>
      <c r="AE610" s="6" t="n">
        <v>-0.1890675352463511</v>
      </c>
    </row>
    <row r="611">
      <c r="A611" s="2" t="n">
        <v>602</v>
      </c>
      <c r="B611" s="2" t="inlineStr">
        <is>
          <t>KPROP-00602</t>
        </is>
      </c>
      <c r="C611" s="3" t="n">
        <v>46128</v>
      </c>
      <c r="D611" s="2" t="inlineStr">
        <is>
          <t>Shane Baz</t>
        </is>
      </c>
      <c r="E611" s="2" t="inlineStr">
        <is>
          <t>Loss</t>
        </is>
      </c>
      <c r="F611" s="2" t="n">
        <v>-1</v>
      </c>
      <c r="G611" s="6" t="n">
        <v>0.1378219034646788</v>
      </c>
      <c r="H611" s="7" t="n">
        <v>100</v>
      </c>
      <c r="I611" s="7" t="n">
        <v>-100</v>
      </c>
      <c r="J611" s="7" t="n">
        <v>16576.46073332648</v>
      </c>
      <c r="K611" s="7" t="n">
        <v>16979.22263808839</v>
      </c>
      <c r="L611" s="7" t="n">
        <v>-402.7619047619046</v>
      </c>
      <c r="M611" s="6" t="n">
        <v>-0.02372086834284244</v>
      </c>
      <c r="N611" s="7" t="n">
        <v>189.2948334393789</v>
      </c>
      <c r="O611" s="7" t="n">
        <v>-189.2948334393789</v>
      </c>
      <c r="P611" s="7" t="n">
        <v>18740.18851049851</v>
      </c>
      <c r="Q611" s="7" t="n">
        <v>19518.15925607761</v>
      </c>
      <c r="R611" s="7" t="n">
        <v>-777.9707455790995</v>
      </c>
      <c r="S611" s="6" t="n">
        <v>-0.03985881739011086</v>
      </c>
      <c r="T611" s="7" t="n">
        <v>4735.525676442607</v>
      </c>
      <c r="U611" s="7" t="n">
        <v>-4735.525676442607</v>
      </c>
      <c r="V611" s="7" t="n">
        <v>132703.46065003</v>
      </c>
      <c r="W611" s="7" t="n">
        <v>151249.3839889236</v>
      </c>
      <c r="X611" s="7" t="n">
        <v>-18545.92333889357</v>
      </c>
      <c r="Y611" s="6" t="n">
        <v>-0.1226181743672539</v>
      </c>
      <c r="Z611" s="7" t="n">
        <v>27911.04776250637</v>
      </c>
      <c r="AA611" s="7" t="n">
        <v>-27911.04776250637</v>
      </c>
      <c r="AB611" s="7" t="n">
        <v>377119.6049981334</v>
      </c>
      <c r="AC611" s="7" t="n">
        <v>499462.8657315908</v>
      </c>
      <c r="AD611" s="7" t="n">
        <v>-122343.2607334574</v>
      </c>
      <c r="AE611" s="6" t="n">
        <v>-0.2449496631831768</v>
      </c>
    </row>
    <row r="612">
      <c r="A612" s="2" t="n">
        <v>603</v>
      </c>
      <c r="B612" s="2" t="inlineStr">
        <is>
          <t>KPROP-00603</t>
        </is>
      </c>
      <c r="C612" s="3" t="n">
        <v>46128</v>
      </c>
      <c r="D612" s="2" t="inlineStr">
        <is>
          <t>Steven Matz</t>
        </is>
      </c>
      <c r="E612" s="2" t="inlineStr">
        <is>
          <t>Win</t>
        </is>
      </c>
      <c r="F612" s="2" t="n">
        <v>1.2</v>
      </c>
      <c r="G612" s="6" t="n">
        <v>0.3194155765916768</v>
      </c>
      <c r="H612" s="7" t="n">
        <v>100</v>
      </c>
      <c r="I612" s="7" t="n">
        <v>120</v>
      </c>
      <c r="J612" s="7" t="n">
        <v>16696.46073332648</v>
      </c>
      <c r="K612" s="7" t="n">
        <v>16979.22263808839</v>
      </c>
      <c r="L612" s="7" t="n">
        <v>-282.7619047619046</v>
      </c>
      <c r="M612" s="6" t="n">
        <v>-0.01665340697798515</v>
      </c>
      <c r="N612" s="7" t="n">
        <v>187.4018851049851</v>
      </c>
      <c r="O612" s="7" t="n">
        <v>224.8822621259822</v>
      </c>
      <c r="P612" s="7" t="n">
        <v>18965.07077262449</v>
      </c>
      <c r="Q612" s="7" t="n">
        <v>19518.15925607761</v>
      </c>
      <c r="R612" s="7" t="n">
        <v>-553.0884834531171</v>
      </c>
      <c r="S612" s="6" t="n">
        <v>-0.02833712319879217</v>
      </c>
      <c r="T612" s="7" t="n">
        <v>10596.88809981006</v>
      </c>
      <c r="U612" s="7" t="n">
        <v>12716.26571977207</v>
      </c>
      <c r="V612" s="7" t="n">
        <v>145419.7263698021</v>
      </c>
      <c r="W612" s="7" t="n">
        <v>151249.3839889236</v>
      </c>
      <c r="X612" s="7" t="n">
        <v>-5829.657619121484</v>
      </c>
      <c r="Y612" s="6" t="n">
        <v>-0.03854334784959128</v>
      </c>
      <c r="Z612" s="7" t="n">
        <v>60228.93803725208</v>
      </c>
      <c r="AA612" s="7" t="n">
        <v>72274.72564470251</v>
      </c>
      <c r="AB612" s="7" t="n">
        <v>449394.3306428359</v>
      </c>
      <c r="AC612" s="7" t="n">
        <v>499462.8657315908</v>
      </c>
      <c r="AD612" s="7" t="n">
        <v>-50068.5350887549</v>
      </c>
      <c r="AE612" s="6" t="n">
        <v>-0.1002447599691255</v>
      </c>
    </row>
    <row r="613">
      <c r="A613" s="2" t="n">
        <v>604</v>
      </c>
      <c r="B613" s="2" t="inlineStr">
        <is>
          <t>KPROP-00604</t>
        </is>
      </c>
      <c r="C613" s="3" t="n">
        <v>46128</v>
      </c>
      <c r="D613" s="2" t="inlineStr">
        <is>
          <t>Steven Matz</t>
        </is>
      </c>
      <c r="E613" s="2" t="inlineStr">
        <is>
          <t>Win</t>
        </is>
      </c>
      <c r="F613" s="2" t="n">
        <v>0.606060606060606</v>
      </c>
      <c r="G613" s="6" t="n">
        <v>0.4304581386482326</v>
      </c>
      <c r="H613" s="7" t="n">
        <v>100</v>
      </c>
      <c r="I613" s="7" t="n">
        <v>60.60606060606059</v>
      </c>
      <c r="J613" s="7" t="n">
        <v>16757.06679393254</v>
      </c>
      <c r="K613" s="7" t="n">
        <v>16979.22263808839</v>
      </c>
      <c r="L613" s="7" t="n">
        <v>-222.1558441558445</v>
      </c>
      <c r="M613" s="6" t="n">
        <v>-0.01308398204623908</v>
      </c>
      <c r="N613" s="7" t="n">
        <v>189.6507077262449</v>
      </c>
      <c r="O613" s="7" t="n">
        <v>114.9398228643909</v>
      </c>
      <c r="P613" s="7" t="n">
        <v>19080.01059548889</v>
      </c>
      <c r="Q613" s="7" t="n">
        <v>19518.15925607761</v>
      </c>
      <c r="R613" s="7" t="n">
        <v>-438.1486605887258</v>
      </c>
      <c r="S613" s="6" t="n">
        <v>-0.02244825727878483</v>
      </c>
      <c r="T613" s="7" t="n">
        <v>15649.27618397008</v>
      </c>
      <c r="U613" s="7" t="n">
        <v>9484.409808466715</v>
      </c>
      <c r="V613" s="7" t="n">
        <v>154904.1361782688</v>
      </c>
      <c r="W613" s="7" t="n">
        <v>154904.1361782688</v>
      </c>
      <c r="X613" s="7" t="n">
        <v>0</v>
      </c>
      <c r="Y613" s="6" t="n">
        <v>0</v>
      </c>
      <c r="Z613" s="7" t="n">
        <v>96722.72354379177</v>
      </c>
      <c r="AA613" s="7" t="n">
        <v>58619.83245078288</v>
      </c>
      <c r="AB613" s="7" t="n">
        <v>508014.1630936188</v>
      </c>
      <c r="AC613" s="7" t="n">
        <v>508014.1630936188</v>
      </c>
      <c r="AD613" s="7" t="n">
        <v>0</v>
      </c>
      <c r="AE613" s="6" t="n">
        <v>0</v>
      </c>
    </row>
    <row r="614">
      <c r="A614" s="2" t="n">
        <v>605</v>
      </c>
      <c r="B614" s="2" t="inlineStr">
        <is>
          <t>KPROP-00605</t>
        </is>
      </c>
      <c r="C614" s="3" t="n">
        <v>46129</v>
      </c>
      <c r="D614" s="2" t="inlineStr">
        <is>
          <t>Edward Cabrera</t>
        </is>
      </c>
      <c r="E614" s="2" t="inlineStr">
        <is>
          <t>Win</t>
        </is>
      </c>
      <c r="F614" s="2" t="n">
        <v>1.21</v>
      </c>
      <c r="G614" s="6" t="n">
        <v>0.1176513940182418</v>
      </c>
      <c r="H614" s="7" t="n">
        <v>100</v>
      </c>
      <c r="I614" s="7" t="n">
        <v>121</v>
      </c>
      <c r="J614" s="7" t="n">
        <v>16878.06679393254</v>
      </c>
      <c r="K614" s="7" t="n">
        <v>16979.22263808839</v>
      </c>
      <c r="L614" s="7" t="n">
        <v>-101.1558441558445</v>
      </c>
      <c r="M614" s="6" t="n">
        <v>-0.005957625170007971</v>
      </c>
      <c r="N614" s="7" t="n">
        <v>190.8001059548889</v>
      </c>
      <c r="O614" s="7" t="n">
        <v>230.8681282054155</v>
      </c>
      <c r="P614" s="7" t="n">
        <v>19310.8787236943</v>
      </c>
      <c r="Q614" s="7" t="n">
        <v>19518.15925607761</v>
      </c>
      <c r="R614" s="7" t="n">
        <v>-207.280532383309</v>
      </c>
      <c r="S614" s="6" t="n">
        <v>-0.01061988119185807</v>
      </c>
      <c r="T614" s="7" t="n">
        <v>4556.171890141222</v>
      </c>
      <c r="U614" s="7" t="n">
        <v>5512.967987070879</v>
      </c>
      <c r="V614" s="7" t="n">
        <v>160417.1041653397</v>
      </c>
      <c r="W614" s="7" t="n">
        <v>160417.1041653397</v>
      </c>
      <c r="X614" s="7" t="n">
        <v>0</v>
      </c>
      <c r="Y614" s="6" t="n">
        <v>0</v>
      </c>
      <c r="Z614" s="7" t="n">
        <v>29884.28723448734</v>
      </c>
      <c r="AA614" s="7" t="n">
        <v>36159.98755372968</v>
      </c>
      <c r="AB614" s="7" t="n">
        <v>544174.1506473485</v>
      </c>
      <c r="AC614" s="7" t="n">
        <v>544174.1506473485</v>
      </c>
      <c r="AD614" s="7" t="n">
        <v>0</v>
      </c>
      <c r="AE614" s="6" t="n">
        <v>0</v>
      </c>
    </row>
    <row r="615">
      <c r="A615" s="2" t="n">
        <v>606</v>
      </c>
      <c r="B615" s="2" t="inlineStr">
        <is>
          <t>KPROP-00606</t>
        </is>
      </c>
      <c r="C615" s="3" t="n">
        <v>46129</v>
      </c>
      <c r="D615" s="2" t="inlineStr">
        <is>
          <t>Kodai Senga</t>
        </is>
      </c>
      <c r="E615" s="2" t="inlineStr">
        <is>
          <t>Win</t>
        </is>
      </c>
      <c r="F615" s="2" t="n">
        <v>1.17</v>
      </c>
      <c r="G615" s="6" t="n">
        <v>0.07512063937551315</v>
      </c>
      <c r="H615" s="7" t="n">
        <v>100</v>
      </c>
      <c r="I615" s="7" t="n">
        <v>117</v>
      </c>
      <c r="J615" s="7" t="n">
        <v>16995.06679393254</v>
      </c>
      <c r="K615" s="7" t="n">
        <v>16995.06679393254</v>
      </c>
      <c r="L615" s="7" t="n">
        <v>0</v>
      </c>
      <c r="M615" s="6" t="n">
        <v>0</v>
      </c>
      <c r="N615" s="7" t="n">
        <v>193.108787236943</v>
      </c>
      <c r="O615" s="7" t="n">
        <v>225.9372810672234</v>
      </c>
      <c r="P615" s="7" t="n">
        <v>19536.81600476153</v>
      </c>
      <c r="Q615" s="7" t="n">
        <v>19536.81600476153</v>
      </c>
      <c r="R615" s="7" t="n">
        <v>0</v>
      </c>
      <c r="S615" s="6" t="n">
        <v>0</v>
      </c>
      <c r="T615" s="7" t="n">
        <v>3012.658857917153</v>
      </c>
      <c r="U615" s="7" t="n">
        <v>3524.810863763069</v>
      </c>
      <c r="V615" s="7" t="n">
        <v>163941.9150291028</v>
      </c>
      <c r="W615" s="7" t="n">
        <v>163941.9150291028</v>
      </c>
      <c r="X615" s="7" t="n">
        <v>0</v>
      </c>
      <c r="Y615" s="6" t="n">
        <v>0</v>
      </c>
      <c r="Z615" s="7" t="n">
        <v>20439.35506412782</v>
      </c>
      <c r="AA615" s="7" t="n">
        <v>23914.04542502954</v>
      </c>
      <c r="AB615" s="7" t="n">
        <v>568088.1960723781</v>
      </c>
      <c r="AC615" s="7" t="n">
        <v>568088.1960723781</v>
      </c>
      <c r="AD615" s="7" t="n">
        <v>0</v>
      </c>
      <c r="AE615" s="6" t="n">
        <v>0</v>
      </c>
    </row>
    <row r="616">
      <c r="A616" s="2" t="n">
        <v>607</v>
      </c>
      <c r="B616" s="2" t="inlineStr">
        <is>
          <t>KPROP-00607</t>
        </is>
      </c>
      <c r="C616" s="3" t="n">
        <v>46129</v>
      </c>
      <c r="D616" s="2" t="inlineStr">
        <is>
          <t>Kodai Senga</t>
        </is>
      </c>
      <c r="E616" s="2" t="inlineStr">
        <is>
          <t>Win</t>
        </is>
      </c>
      <c r="F616" s="2" t="n">
        <v>0.6666666666666665</v>
      </c>
      <c r="G616" s="6" t="n">
        <v>0.1868355276627405</v>
      </c>
      <c r="H616" s="7" t="n">
        <v>100</v>
      </c>
      <c r="I616" s="7" t="n">
        <v>66.66666666666666</v>
      </c>
      <c r="J616" s="7" t="n">
        <v>17061.73346059921</v>
      </c>
      <c r="K616" s="7" t="n">
        <v>17061.73346059921</v>
      </c>
      <c r="L616" s="7" t="n">
        <v>0</v>
      </c>
      <c r="M616" s="6" t="n">
        <v>0</v>
      </c>
      <c r="N616" s="7" t="n">
        <v>195.3681600476153</v>
      </c>
      <c r="O616" s="7" t="n">
        <v>130.2454400317435</v>
      </c>
      <c r="P616" s="7" t="n">
        <v>19667.06144479327</v>
      </c>
      <c r="Q616" s="7" t="n">
        <v>19667.06144479327</v>
      </c>
      <c r="R616" s="7" t="n">
        <v>0</v>
      </c>
      <c r="S616" s="6" t="n">
        <v>0</v>
      </c>
      <c r="T616" s="7" t="n">
        <v>7657.543550125645</v>
      </c>
      <c r="U616" s="7" t="n">
        <v>5105.029033417096</v>
      </c>
      <c r="V616" s="7" t="n">
        <v>169046.9440625198</v>
      </c>
      <c r="W616" s="7" t="n">
        <v>169046.9440625198</v>
      </c>
      <c r="X616" s="7" t="n">
        <v>0</v>
      </c>
      <c r="Y616" s="6" t="n">
        <v>0</v>
      </c>
      <c r="Z616" s="7" t="n">
        <v>53069.52893607858</v>
      </c>
      <c r="AA616" s="7" t="n">
        <v>35379.68595738571</v>
      </c>
      <c r="AB616" s="7" t="n">
        <v>603467.8820297638</v>
      </c>
      <c r="AC616" s="7" t="n">
        <v>603467.8820297638</v>
      </c>
      <c r="AD616" s="7" t="n">
        <v>0</v>
      </c>
      <c r="AE616" s="6" t="n">
        <v>0</v>
      </c>
    </row>
    <row r="617">
      <c r="A617" s="2" t="n">
        <v>608</v>
      </c>
      <c r="B617" s="2" t="inlineStr">
        <is>
          <t>KPROP-00608</t>
        </is>
      </c>
      <c r="C617" s="3" t="n">
        <v>46129</v>
      </c>
      <c r="D617" s="2" t="inlineStr">
        <is>
          <t>Ranger Suarez</t>
        </is>
      </c>
      <c r="E617" s="2" t="inlineStr">
        <is>
          <t>Win</t>
        </is>
      </c>
      <c r="F617" s="2" t="n">
        <v>1.05</v>
      </c>
      <c r="G617" s="6" t="n">
        <v>0.221459235582411</v>
      </c>
      <c r="H617" s="7" t="n">
        <v>100</v>
      </c>
      <c r="I617" s="7" t="n">
        <v>105</v>
      </c>
      <c r="J617" s="7" t="n">
        <v>17166.73346059921</v>
      </c>
      <c r="K617" s="7" t="n">
        <v>17166.73346059921</v>
      </c>
      <c r="L617" s="7" t="n">
        <v>0</v>
      </c>
      <c r="M617" s="6" t="n">
        <v>0</v>
      </c>
      <c r="N617" s="7" t="n">
        <v>196.6706144479327</v>
      </c>
      <c r="O617" s="7" t="n">
        <v>206.5041451703293</v>
      </c>
      <c r="P617" s="7" t="n">
        <v>19873.5655899636</v>
      </c>
      <c r="Q617" s="7" t="n">
        <v>19873.5655899636</v>
      </c>
      <c r="R617" s="7" t="n">
        <v>0</v>
      </c>
      <c r="S617" s="6" t="n">
        <v>0</v>
      </c>
      <c r="T617" s="7" t="n">
        <v>9359.251752407059</v>
      </c>
      <c r="U617" s="7" t="n">
        <v>9827.214340027411</v>
      </c>
      <c r="V617" s="7" t="n">
        <v>178874.1584025473</v>
      </c>
      <c r="W617" s="7" t="n">
        <v>178874.1584025473</v>
      </c>
      <c r="X617" s="7" t="n">
        <v>0</v>
      </c>
      <c r="Y617" s="6" t="n">
        <v>0</v>
      </c>
      <c r="Z617" s="7" t="n">
        <v>66821.76792642404</v>
      </c>
      <c r="AA617" s="7" t="n">
        <v>70162.85632274524</v>
      </c>
      <c r="AB617" s="7" t="n">
        <v>673630.738352509</v>
      </c>
      <c r="AC617" s="7" t="n">
        <v>673630.738352509</v>
      </c>
      <c r="AD617" s="7" t="n">
        <v>0</v>
      </c>
      <c r="AE617" s="6" t="n">
        <v>0</v>
      </c>
    </row>
    <row r="618">
      <c r="A618" s="2" t="n">
        <v>609</v>
      </c>
      <c r="B618" s="2" t="inlineStr">
        <is>
          <t>KPROP-00609</t>
        </is>
      </c>
      <c r="C618" s="3" t="n">
        <v>46129</v>
      </c>
      <c r="D618" s="2" t="inlineStr">
        <is>
          <t>Tanner Bibee</t>
        </is>
      </c>
      <c r="E618" s="2" t="inlineStr">
        <is>
          <t>Win</t>
        </is>
      </c>
      <c r="F618" s="2" t="n">
        <v>1.08</v>
      </c>
      <c r="G618" s="6" t="n">
        <v>0.07982886352992523</v>
      </c>
      <c r="H618" s="7" t="n">
        <v>100</v>
      </c>
      <c r="I618" s="7" t="n">
        <v>108</v>
      </c>
      <c r="J618" s="7" t="n">
        <v>17274.73346059921</v>
      </c>
      <c r="K618" s="7" t="n">
        <v>17274.73346059921</v>
      </c>
      <c r="L618" s="7" t="n">
        <v>0</v>
      </c>
      <c r="M618" s="6" t="n">
        <v>0</v>
      </c>
      <c r="N618" s="7" t="n">
        <v>198.735655899636</v>
      </c>
      <c r="O618" s="7" t="n">
        <v>214.6345083716069</v>
      </c>
      <c r="P618" s="7" t="n">
        <v>20088.20009833521</v>
      </c>
      <c r="Q618" s="7" t="n">
        <v>20088.20009833521</v>
      </c>
      <c r="R618" s="7" t="n">
        <v>0</v>
      </c>
      <c r="S618" s="6" t="n">
        <v>0</v>
      </c>
      <c r="T618" s="7" t="n">
        <v>3569.830195036794</v>
      </c>
      <c r="U618" s="7" t="n">
        <v>3855.416610639737</v>
      </c>
      <c r="V618" s="7" t="n">
        <v>182729.575013187</v>
      </c>
      <c r="W618" s="7" t="n">
        <v>182729.575013187</v>
      </c>
      <c r="X618" s="7" t="n">
        <v>0</v>
      </c>
      <c r="Y618" s="6" t="n">
        <v>0</v>
      </c>
      <c r="Z618" s="7" t="n">
        <v>26887.5881407526</v>
      </c>
      <c r="AA618" s="7" t="n">
        <v>29038.59519201281</v>
      </c>
      <c r="AB618" s="7" t="n">
        <v>702669.3335445218</v>
      </c>
      <c r="AC618" s="7" t="n">
        <v>702669.3335445218</v>
      </c>
      <c r="AD618" s="7" t="n">
        <v>0</v>
      </c>
      <c r="AE618" s="6" t="n">
        <v>0</v>
      </c>
    </row>
    <row r="619">
      <c r="A619" s="2" t="n">
        <v>610</v>
      </c>
      <c r="B619" s="2" t="inlineStr">
        <is>
          <t>KPROP-00610</t>
        </is>
      </c>
      <c r="C619" s="3" t="n">
        <v>46130</v>
      </c>
      <c r="D619" s="2" t="inlineStr">
        <is>
          <t>Chris Sale</t>
        </is>
      </c>
      <c r="E619" s="2" t="inlineStr">
        <is>
          <t>Win</t>
        </is>
      </c>
      <c r="F619" s="2" t="n">
        <v>1</v>
      </c>
      <c r="G619" s="6" t="n">
        <v>0.2704473775389591</v>
      </c>
      <c r="H619" s="7" t="n">
        <v>100</v>
      </c>
      <c r="I619" s="7" t="n">
        <v>100</v>
      </c>
      <c r="J619" s="7" t="n">
        <v>17374.73346059921</v>
      </c>
      <c r="K619" s="7" t="n">
        <v>17374.73346059921</v>
      </c>
      <c r="L619" s="7" t="n">
        <v>0</v>
      </c>
      <c r="M619" s="6" t="n">
        <v>0</v>
      </c>
      <c r="N619" s="7" t="n">
        <v>200.8820009833521</v>
      </c>
      <c r="O619" s="7" t="n">
        <v>200.8820009833521</v>
      </c>
      <c r="P619" s="7" t="n">
        <v>20289.08209931856</v>
      </c>
      <c r="Q619" s="7" t="n">
        <v>20289.08209931856</v>
      </c>
      <c r="R619" s="7" t="n">
        <v>0</v>
      </c>
      <c r="S619" s="6" t="n">
        <v>0</v>
      </c>
      <c r="T619" s="7" t="n">
        <v>12354.68359028123</v>
      </c>
      <c r="U619" s="7" t="n">
        <v>12354.68359028123</v>
      </c>
      <c r="V619" s="7" t="n">
        <v>195084.2586034682</v>
      </c>
      <c r="W619" s="7" t="n">
        <v>195084.2586034682</v>
      </c>
      <c r="X619" s="7" t="n">
        <v>0</v>
      </c>
      <c r="Y619" s="6" t="n">
        <v>0</v>
      </c>
      <c r="Z619" s="7" t="n">
        <v>95017.53926708203</v>
      </c>
      <c r="AA619" s="7" t="n">
        <v>95017.53926708203</v>
      </c>
      <c r="AB619" s="7" t="n">
        <v>797686.8728116038</v>
      </c>
      <c r="AC619" s="7" t="n">
        <v>797686.8728116038</v>
      </c>
      <c r="AD619" s="7" t="n">
        <v>0</v>
      </c>
      <c r="AE619" s="6" t="n">
        <v>0</v>
      </c>
    </row>
    <row r="620">
      <c r="A620" s="2" t="n">
        <v>611</v>
      </c>
      <c r="B620" s="2" t="inlineStr">
        <is>
          <t>KPROP-00611</t>
        </is>
      </c>
      <c r="C620" s="3" t="n">
        <v>46130</v>
      </c>
      <c r="D620" s="2" t="inlineStr">
        <is>
          <t>Cristopher Sánchez</t>
        </is>
      </c>
      <c r="E620" s="2" t="inlineStr">
        <is>
          <t>Loss</t>
        </is>
      </c>
      <c r="F620" s="2" t="n">
        <v>-1</v>
      </c>
      <c r="G620" s="6" t="n">
        <v>0.1918597089327294</v>
      </c>
      <c r="H620" s="7" t="n">
        <v>100</v>
      </c>
      <c r="I620" s="7" t="n">
        <v>-100</v>
      </c>
      <c r="J620" s="7" t="n">
        <v>17274.73346059921</v>
      </c>
      <c r="K620" s="7" t="n">
        <v>17374.73346059921</v>
      </c>
      <c r="L620" s="7" t="n">
        <v>-100</v>
      </c>
      <c r="M620" s="6" t="n">
        <v>-0.005755483974863304</v>
      </c>
      <c r="N620" s="7" t="n">
        <v>202.8908209931856</v>
      </c>
      <c r="O620" s="7" t="n">
        <v>-202.8908209931856</v>
      </c>
      <c r="P620" s="7" t="n">
        <v>20086.19127832537</v>
      </c>
      <c r="Q620" s="7" t="n">
        <v>20289.08209931856</v>
      </c>
      <c r="R620" s="7" t="n">
        <v>-202.8908209931869</v>
      </c>
      <c r="S620" s="6" t="n">
        <v>-0.01000000000000007</v>
      </c>
      <c r="T620" s="7" t="n">
        <v>9357.202268254685</v>
      </c>
      <c r="U620" s="7" t="n">
        <v>-9357.202268254685</v>
      </c>
      <c r="V620" s="7" t="n">
        <v>185727.0563352136</v>
      </c>
      <c r="W620" s="7" t="n">
        <v>195084.2586034682</v>
      </c>
      <c r="X620" s="7" t="n">
        <v>-9357.202268254681</v>
      </c>
      <c r="Y620" s="6" t="n">
        <v>-0.04796492723318235</v>
      </c>
      <c r="Z620" s="7" t="n">
        <v>76521.98561854674</v>
      </c>
      <c r="AA620" s="7" t="n">
        <v>-76521.98561854674</v>
      </c>
      <c r="AB620" s="7" t="n">
        <v>721164.8871930571</v>
      </c>
      <c r="AC620" s="7" t="n">
        <v>797686.8728116038</v>
      </c>
      <c r="AD620" s="7" t="n">
        <v>-76521.98561854672</v>
      </c>
      <c r="AE620" s="6" t="n">
        <v>-0.09592985446636469</v>
      </c>
    </row>
    <row r="621">
      <c r="A621" s="2" t="n">
        <v>612</v>
      </c>
      <c r="B621" s="2" t="inlineStr">
        <is>
          <t>KPROP-00612</t>
        </is>
      </c>
      <c r="C621" s="3" t="n">
        <v>46130</v>
      </c>
      <c r="D621" s="2" t="inlineStr">
        <is>
          <t>Cristopher Sánchez</t>
        </is>
      </c>
      <c r="E621" s="2" t="inlineStr">
        <is>
          <t>Loss</t>
        </is>
      </c>
      <c r="F621" s="2" t="n">
        <v>-1</v>
      </c>
      <c r="G621" s="6" t="n">
        <v>0.2360538672090095</v>
      </c>
      <c r="H621" s="7" t="n">
        <v>100</v>
      </c>
      <c r="I621" s="7" t="n">
        <v>-100</v>
      </c>
      <c r="J621" s="7" t="n">
        <v>17174.73346059921</v>
      </c>
      <c r="K621" s="7" t="n">
        <v>17374.73346059921</v>
      </c>
      <c r="L621" s="7" t="n">
        <v>-200</v>
      </c>
      <c r="M621" s="6" t="n">
        <v>-0.01151096794972661</v>
      </c>
      <c r="N621" s="7" t="n">
        <v>200.8619127832537</v>
      </c>
      <c r="O621" s="7" t="n">
        <v>-200.8619127832537</v>
      </c>
      <c r="P621" s="7" t="n">
        <v>19885.32936554212</v>
      </c>
      <c r="Q621" s="7" t="n">
        <v>20289.08209931856</v>
      </c>
      <c r="R621" s="7" t="n">
        <v>-403.7527337764404</v>
      </c>
      <c r="S621" s="6" t="n">
        <v>-0.01990000000000006</v>
      </c>
      <c r="T621" s="7" t="n">
        <v>10960.39747331818</v>
      </c>
      <c r="U621" s="7" t="n">
        <v>-10960.39747331818</v>
      </c>
      <c r="V621" s="7" t="n">
        <v>174766.6588618954</v>
      </c>
      <c r="W621" s="7" t="n">
        <v>195084.2586034682</v>
      </c>
      <c r="X621" s="7" t="n">
        <v>-20317.59974157286</v>
      </c>
      <c r="Y621" s="6" t="n">
        <v>-0.1041478173944869</v>
      </c>
      <c r="Z621" s="7" t="n">
        <v>85116.88025863512</v>
      </c>
      <c r="AA621" s="7" t="n">
        <v>-85116.88025863512</v>
      </c>
      <c r="AB621" s="7" t="n">
        <v>636048.006934422</v>
      </c>
      <c r="AC621" s="7" t="n">
        <v>797686.8728116038</v>
      </c>
      <c r="AD621" s="7" t="n">
        <v>-161638.8658771819</v>
      </c>
      <c r="AE621" s="6" t="n">
        <v>-0.2026344815070781</v>
      </c>
    </row>
    <row r="622">
      <c r="A622" s="2" t="n">
        <v>613</v>
      </c>
      <c r="B622" s="2" t="inlineStr">
        <is>
          <t>KPROP-00613</t>
        </is>
      </c>
      <c r="C622" s="3" t="n">
        <v>46130</v>
      </c>
      <c r="D622" s="2" t="inlineStr">
        <is>
          <t>Freddy Peralta</t>
        </is>
      </c>
      <c r="E622" s="2" t="inlineStr">
        <is>
          <t>Win</t>
        </is>
      </c>
      <c r="F622" s="2" t="n">
        <v>1.06</v>
      </c>
      <c r="G622" s="6" t="n">
        <v>0.07092909524187557</v>
      </c>
      <c r="H622" s="7" t="n">
        <v>100</v>
      </c>
      <c r="I622" s="7" t="n">
        <v>106</v>
      </c>
      <c r="J622" s="7" t="n">
        <v>17280.73346059921</v>
      </c>
      <c r="K622" s="7" t="n">
        <v>17374.73346059921</v>
      </c>
      <c r="L622" s="7" t="n">
        <v>-94</v>
      </c>
      <c r="M622" s="6" t="n">
        <v>-0.005410154936371506</v>
      </c>
      <c r="N622" s="7" t="n">
        <v>198.8532936554212</v>
      </c>
      <c r="O622" s="7" t="n">
        <v>210.7844912747465</v>
      </c>
      <c r="P622" s="7" t="n">
        <v>20096.11385681686</v>
      </c>
      <c r="Q622" s="7" t="n">
        <v>20289.08209931856</v>
      </c>
      <c r="R622" s="7" t="n">
        <v>-192.9682425016945</v>
      </c>
      <c r="S622" s="6" t="n">
        <v>-0.009510940000000081</v>
      </c>
      <c r="T622" s="7" t="n">
        <v>3099.010247879939</v>
      </c>
      <c r="U622" s="7" t="n">
        <v>3284.950862752736</v>
      </c>
      <c r="V622" s="7" t="n">
        <v>178051.6097246481</v>
      </c>
      <c r="W622" s="7" t="n">
        <v>195084.2586034682</v>
      </c>
      <c r="X622" s="7" t="n">
        <v>-17032.64887882012</v>
      </c>
      <c r="Y622" s="6" t="n">
        <v>-0.08730919142707967</v>
      </c>
      <c r="Z622" s="7" t="n">
        <v>22557.15483112837</v>
      </c>
      <c r="AA622" s="7" t="n">
        <v>23910.58412099608</v>
      </c>
      <c r="AB622" s="7" t="n">
        <v>659958.591055418</v>
      </c>
      <c r="AC622" s="7" t="n">
        <v>797686.8728116038</v>
      </c>
      <c r="AD622" s="7" t="n">
        <v>-137728.2817561858</v>
      </c>
      <c r="AE622" s="6" t="n">
        <v>-0.1726595816610789</v>
      </c>
    </row>
    <row r="623">
      <c r="A623" s="2" t="n">
        <v>614</v>
      </c>
      <c r="B623" s="2" t="inlineStr">
        <is>
          <t>KPROP-00614</t>
        </is>
      </c>
      <c r="C623" s="3" t="n">
        <v>46130</v>
      </c>
      <c r="D623" s="2" t="inlineStr">
        <is>
          <t>Lance McCullers Jr.</t>
        </is>
      </c>
      <c r="E623" s="2" t="inlineStr">
        <is>
          <t>Win</t>
        </is>
      </c>
      <c r="F623" s="2" t="n">
        <v>1.18</v>
      </c>
      <c r="G623" s="6" t="n">
        <v>0.09533497549198394</v>
      </c>
      <c r="H623" s="7" t="n">
        <v>100</v>
      </c>
      <c r="I623" s="7" t="n">
        <v>118</v>
      </c>
      <c r="J623" s="7" t="n">
        <v>17398.73346059921</v>
      </c>
      <c r="K623" s="7" t="n">
        <v>17398.73346059921</v>
      </c>
      <c r="L623" s="7" t="n">
        <v>0</v>
      </c>
      <c r="M623" s="6" t="n">
        <v>0</v>
      </c>
      <c r="N623" s="7" t="n">
        <v>200.9611385681686</v>
      </c>
      <c r="O623" s="7" t="n">
        <v>237.1341435104389</v>
      </c>
      <c r="P623" s="7" t="n">
        <v>20333.2480003273</v>
      </c>
      <c r="Q623" s="7" t="n">
        <v>20333.2480003273</v>
      </c>
      <c r="R623" s="7" t="n">
        <v>0</v>
      </c>
      <c r="S623" s="6" t="n">
        <v>0</v>
      </c>
      <c r="T623" s="7" t="n">
        <v>4243.636462351905</v>
      </c>
      <c r="U623" s="7" t="n">
        <v>5007.491025575247</v>
      </c>
      <c r="V623" s="7" t="n">
        <v>183059.1007502234</v>
      </c>
      <c r="W623" s="7" t="n">
        <v>195084.2586034682</v>
      </c>
      <c r="X623" s="7" t="n">
        <v>-12025.15785324489</v>
      </c>
      <c r="Y623" s="6" t="n">
        <v>-0.06164084144629753</v>
      </c>
      <c r="Z623" s="7" t="n">
        <v>31458.56805199627</v>
      </c>
      <c r="AA623" s="7" t="n">
        <v>37121.11030135558</v>
      </c>
      <c r="AB623" s="7" t="n">
        <v>697079.7013567736</v>
      </c>
      <c r="AC623" s="7" t="n">
        <v>797686.8728116038</v>
      </c>
      <c r="AD623" s="7" t="n">
        <v>-100607.1714548302</v>
      </c>
      <c r="AE623" s="6" t="n">
        <v>-0.1261236393426164</v>
      </c>
    </row>
    <row r="624">
      <c r="A624" s="2" t="n">
        <v>615</v>
      </c>
      <c r="B624" s="2" t="inlineStr">
        <is>
          <t>KPROP-00615</t>
        </is>
      </c>
      <c r="C624" s="3" t="n">
        <v>46130</v>
      </c>
      <c r="D624" s="2" t="inlineStr">
        <is>
          <t>Nathan Eovaldi</t>
        </is>
      </c>
      <c r="E624" s="2" t="inlineStr">
        <is>
          <t>Win</t>
        </is>
      </c>
      <c r="F624" s="2" t="n">
        <v>1.14</v>
      </c>
      <c r="G624" s="6" t="n">
        <v>0.2049726216601619</v>
      </c>
      <c r="H624" s="7" t="n">
        <v>100</v>
      </c>
      <c r="I624" s="7" t="n">
        <v>114</v>
      </c>
      <c r="J624" s="7" t="n">
        <v>17512.73346059921</v>
      </c>
      <c r="K624" s="7" t="n">
        <v>17512.73346059921</v>
      </c>
      <c r="L624" s="7" t="n">
        <v>0</v>
      </c>
      <c r="M624" s="6" t="n">
        <v>0</v>
      </c>
      <c r="N624" s="7" t="n">
        <v>203.332480003273</v>
      </c>
      <c r="O624" s="7" t="n">
        <v>231.7990272037312</v>
      </c>
      <c r="P624" s="7" t="n">
        <v>20565.04702753104</v>
      </c>
      <c r="Q624" s="7" t="n">
        <v>20565.04702753104</v>
      </c>
      <c r="R624" s="7" t="n">
        <v>0</v>
      </c>
      <c r="S624" s="6" t="n">
        <v>0</v>
      </c>
      <c r="T624" s="7" t="n">
        <v>9380.52594988125</v>
      </c>
      <c r="U624" s="7" t="n">
        <v>10693.79958286462</v>
      </c>
      <c r="V624" s="7" t="n">
        <v>193752.900333088</v>
      </c>
      <c r="W624" s="7" t="n">
        <v>195084.2586034682</v>
      </c>
      <c r="X624" s="7" t="n">
        <v>-1331.358270380268</v>
      </c>
      <c r="Y624" s="6" t="n">
        <v>-0.006824529461838385</v>
      </c>
      <c r="Z624" s="7" t="n">
        <v>71441.12694659032</v>
      </c>
      <c r="AA624" s="7" t="n">
        <v>81442.88471911293</v>
      </c>
      <c r="AB624" s="7" t="n">
        <v>778522.5860758865</v>
      </c>
      <c r="AC624" s="7" t="n">
        <v>797686.8728116038</v>
      </c>
      <c r="AD624" s="7" t="n">
        <v>-19164.28673571732</v>
      </c>
      <c r="AE624" s="6" t="n">
        <v>-0.02402482401166894</v>
      </c>
    </row>
    <row r="625">
      <c r="A625" s="2" t="n">
        <v>616</v>
      </c>
      <c r="B625" s="2" t="inlineStr">
        <is>
          <t>KPROP-00616</t>
        </is>
      </c>
      <c r="C625" s="3" t="n">
        <v>46130</v>
      </c>
      <c r="D625" s="2" t="inlineStr">
        <is>
          <t>Nathan Eovaldi</t>
        </is>
      </c>
      <c r="E625" s="2" t="inlineStr">
        <is>
          <t>Win</t>
        </is>
      </c>
      <c r="F625" s="2" t="n">
        <v>0.5263157894736841</v>
      </c>
      <c r="G625" s="6" t="n">
        <v>0.2127737638381393</v>
      </c>
      <c r="H625" s="7" t="n">
        <v>100</v>
      </c>
      <c r="I625" s="7" t="n">
        <v>52.63157894736841</v>
      </c>
      <c r="J625" s="7" t="n">
        <v>17565.36503954658</v>
      </c>
      <c r="K625" s="7" t="n">
        <v>17565.36503954658</v>
      </c>
      <c r="L625" s="7" t="n">
        <v>0</v>
      </c>
      <c r="M625" s="6" t="n">
        <v>0</v>
      </c>
      <c r="N625" s="7" t="n">
        <v>205.6504702753104</v>
      </c>
      <c r="O625" s="7" t="n">
        <v>108.2370896185844</v>
      </c>
      <c r="P625" s="7" t="n">
        <v>20673.28411714962</v>
      </c>
      <c r="Q625" s="7" t="n">
        <v>20673.28411714962</v>
      </c>
      <c r="R625" s="7" t="n">
        <v>0</v>
      </c>
      <c r="S625" s="6" t="n">
        <v>0</v>
      </c>
      <c r="T625" s="7" t="n">
        <v>10306.38346460675</v>
      </c>
      <c r="U625" s="7" t="n">
        <v>5424.412349793025</v>
      </c>
      <c r="V625" s="7" t="n">
        <v>199177.312682881</v>
      </c>
      <c r="W625" s="7" t="n">
        <v>199177.312682881</v>
      </c>
      <c r="X625" s="7" t="n">
        <v>0</v>
      </c>
      <c r="Y625" s="6" t="n">
        <v>0</v>
      </c>
      <c r="Z625" s="7" t="n">
        <v>82824.59043618407</v>
      </c>
      <c r="AA625" s="7" t="n">
        <v>43591.88970325476</v>
      </c>
      <c r="AB625" s="7" t="n">
        <v>822114.4757791413</v>
      </c>
      <c r="AC625" s="7" t="n">
        <v>822114.4757791413</v>
      </c>
      <c r="AD625" s="7" t="n">
        <v>0</v>
      </c>
      <c r="AE625" s="6" t="n">
        <v>0</v>
      </c>
    </row>
    <row r="626">
      <c r="A626" s="2" t="n">
        <v>617</v>
      </c>
      <c r="B626" s="2" t="inlineStr">
        <is>
          <t>KPROP-00617</t>
        </is>
      </c>
      <c r="C626" s="3" t="n">
        <v>46130</v>
      </c>
      <c r="D626" s="2" t="inlineStr">
        <is>
          <t>Paul Skenes</t>
        </is>
      </c>
      <c r="E626" s="2" t="inlineStr">
        <is>
          <t>Win</t>
        </is>
      </c>
      <c r="F626" s="2" t="n">
        <v>0.7407407407407407</v>
      </c>
      <c r="G626" s="6" t="n">
        <v>0.2385671441723873</v>
      </c>
      <c r="H626" s="7" t="n">
        <v>100</v>
      </c>
      <c r="I626" s="7" t="n">
        <v>74.07407407407408</v>
      </c>
      <c r="J626" s="7" t="n">
        <v>17639.43911362065</v>
      </c>
      <c r="K626" s="7" t="n">
        <v>17639.43911362065</v>
      </c>
      <c r="L626" s="7" t="n">
        <v>0</v>
      </c>
      <c r="M626" s="6" t="n">
        <v>0</v>
      </c>
      <c r="N626" s="7" t="n">
        <v>206.7328411714962</v>
      </c>
      <c r="O626" s="7" t="n">
        <v>153.135437904812</v>
      </c>
      <c r="P626" s="7" t="n">
        <v>20826.41955505444</v>
      </c>
      <c r="Q626" s="7" t="n">
        <v>20826.41955505444</v>
      </c>
      <c r="R626" s="7" t="n">
        <v>0</v>
      </c>
      <c r="S626" s="6" t="n">
        <v>0</v>
      </c>
      <c r="T626" s="7" t="n">
        <v>11879.29066767138</v>
      </c>
      <c r="U626" s="7" t="n">
        <v>8799.47456864547</v>
      </c>
      <c r="V626" s="7" t="n">
        <v>207976.7872515265</v>
      </c>
      <c r="W626" s="7" t="n">
        <v>207976.7872515265</v>
      </c>
      <c r="X626" s="7" t="n">
        <v>0</v>
      </c>
      <c r="Y626" s="6" t="n">
        <v>0</v>
      </c>
      <c r="Z626" s="7" t="n">
        <v>98064.75133470452</v>
      </c>
      <c r="AA626" s="7" t="n">
        <v>72640.55654422556</v>
      </c>
      <c r="AB626" s="7" t="n">
        <v>894755.0323233668</v>
      </c>
      <c r="AC626" s="7" t="n">
        <v>894755.0323233668</v>
      </c>
      <c r="AD626" s="7" t="n">
        <v>0</v>
      </c>
      <c r="AE626" s="6" t="n">
        <v>0</v>
      </c>
    </row>
    <row r="627">
      <c r="A627" s="2" t="n">
        <v>618</v>
      </c>
      <c r="B627" s="2" t="inlineStr">
        <is>
          <t>KPROP-00618</t>
        </is>
      </c>
      <c r="C627" s="3" t="n">
        <v>46130</v>
      </c>
      <c r="D627" s="2" t="inlineStr">
        <is>
          <t>Tarik Skubal</t>
        </is>
      </c>
      <c r="E627" s="2" t="inlineStr">
        <is>
          <t>Loss</t>
        </is>
      </c>
      <c r="F627" s="2" t="n">
        <v>-1</v>
      </c>
      <c r="G627" s="6" t="n">
        <v>0.2061385948092355</v>
      </c>
      <c r="H627" s="7" t="n">
        <v>100</v>
      </c>
      <c r="I627" s="7" t="n">
        <v>-100</v>
      </c>
      <c r="J627" s="7" t="n">
        <v>17539.43911362065</v>
      </c>
      <c r="K627" s="7" t="n">
        <v>17639.43911362065</v>
      </c>
      <c r="L627" s="7" t="n">
        <v>-100</v>
      </c>
      <c r="M627" s="6" t="n">
        <v>-0.005669114497114761</v>
      </c>
      <c r="N627" s="7" t="n">
        <v>208.2641955505444</v>
      </c>
      <c r="O627" s="7" t="n">
        <v>-208.2641955505444</v>
      </c>
      <c r="P627" s="7" t="n">
        <v>20618.15535950389</v>
      </c>
      <c r="Q627" s="7" t="n">
        <v>20826.41955505444</v>
      </c>
      <c r="R627" s="7" t="n">
        <v>-208.264195550546</v>
      </c>
      <c r="S627" s="6" t="n">
        <v>-0.01000000000000008</v>
      </c>
      <c r="T627" s="7" t="n">
        <v>10718.01066924225</v>
      </c>
      <c r="U627" s="7" t="n">
        <v>-10718.01066924225</v>
      </c>
      <c r="V627" s="7" t="n">
        <v>197258.7765822842</v>
      </c>
      <c r="W627" s="7" t="n">
        <v>207976.7872515265</v>
      </c>
      <c r="X627" s="7" t="n">
        <v>-10718.01066924224</v>
      </c>
      <c r="Y627" s="6" t="n">
        <v>-0.05153464870230885</v>
      </c>
      <c r="Z627" s="7" t="n">
        <v>92221.77253081546</v>
      </c>
      <c r="AA627" s="7" t="n">
        <v>-92221.77253081546</v>
      </c>
      <c r="AB627" s="7" t="n">
        <v>802533.2597925514</v>
      </c>
      <c r="AC627" s="7" t="n">
        <v>894755.0323233668</v>
      </c>
      <c r="AD627" s="7" t="n">
        <v>-92221.77253081545</v>
      </c>
      <c r="AE627" s="6" t="n">
        <v>-0.1030692974046177</v>
      </c>
    </row>
    <row r="628">
      <c r="A628" s="2" t="n">
        <v>619</v>
      </c>
      <c r="B628" s="2" t="inlineStr">
        <is>
          <t>KPROP-00619</t>
        </is>
      </c>
      <c r="C628" s="3" t="n">
        <v>46130</v>
      </c>
      <c r="D628" s="2" t="inlineStr">
        <is>
          <t>Will Warren</t>
        </is>
      </c>
      <c r="E628" s="2" t="inlineStr">
        <is>
          <t>Loss</t>
        </is>
      </c>
      <c r="F628" s="2" t="n">
        <v>-1</v>
      </c>
      <c r="G628" s="6" t="n">
        <v>0.1818240623971581</v>
      </c>
      <c r="H628" s="7" t="n">
        <v>100</v>
      </c>
      <c r="I628" s="7" t="n">
        <v>-100</v>
      </c>
      <c r="J628" s="7" t="n">
        <v>17439.43911362065</v>
      </c>
      <c r="K628" s="7" t="n">
        <v>17639.43911362065</v>
      </c>
      <c r="L628" s="7" t="n">
        <v>-200</v>
      </c>
      <c r="M628" s="6" t="n">
        <v>-0.01133822899422952</v>
      </c>
      <c r="N628" s="7" t="n">
        <v>206.1815535950389</v>
      </c>
      <c r="O628" s="7" t="n">
        <v>-206.1815535950389</v>
      </c>
      <c r="P628" s="7" t="n">
        <v>20411.97380590885</v>
      </c>
      <c r="Q628" s="7" t="n">
        <v>20826.41955505444</v>
      </c>
      <c r="R628" s="7" t="n">
        <v>-414.4457491455832</v>
      </c>
      <c r="S628" s="6" t="n">
        <v>-0.0199</v>
      </c>
      <c r="T628" s="7" t="n">
        <v>8966.598025421079</v>
      </c>
      <c r="U628" s="7" t="n">
        <v>-8966.598025421079</v>
      </c>
      <c r="V628" s="7" t="n">
        <v>188292.1785568631</v>
      </c>
      <c r="W628" s="7" t="n">
        <v>207976.7872515265</v>
      </c>
      <c r="X628" s="7" t="n">
        <v>-19684.60869466333</v>
      </c>
      <c r="Y628" s="6" t="n">
        <v>-0.09464810450628236</v>
      </c>
      <c r="Z628" s="7" t="n">
        <v>72959.92875215779</v>
      </c>
      <c r="AA628" s="7" t="n">
        <v>-72959.92875215779</v>
      </c>
      <c r="AB628" s="7" t="n">
        <v>729573.3310403936</v>
      </c>
      <c r="AC628" s="7" t="n">
        <v>894755.0323233668</v>
      </c>
      <c r="AD628" s="7" t="n">
        <v>-165181.7012829733</v>
      </c>
      <c r="AE628" s="6" t="n">
        <v>-0.1846110894219326</v>
      </c>
    </row>
    <row r="629">
      <c r="A629" s="2" t="n">
        <v>620</v>
      </c>
      <c r="B629" s="2" t="inlineStr">
        <is>
          <t>KPROP-00620</t>
        </is>
      </c>
      <c r="C629" s="3" t="n">
        <v>46131</v>
      </c>
      <c r="D629" s="2" t="inlineStr">
        <is>
          <t>Andrew Painter</t>
        </is>
      </c>
      <c r="E629" s="2" t="inlineStr">
        <is>
          <t>Win</t>
        </is>
      </c>
      <c r="F629" s="2" t="n">
        <v>0.9090909090909092</v>
      </c>
      <c r="G629" s="6" t="n">
        <v>0.09645227847943512</v>
      </c>
      <c r="H629" s="7" t="n">
        <v>100</v>
      </c>
      <c r="I629" s="7" t="n">
        <v>90.90909090909092</v>
      </c>
      <c r="J629" s="7" t="n">
        <v>17530.34820452975</v>
      </c>
      <c r="K629" s="7" t="n">
        <v>17639.43911362065</v>
      </c>
      <c r="L629" s="7" t="n">
        <v>-109.0909090909081</v>
      </c>
      <c r="M629" s="6" t="n">
        <v>-0.006184488542306956</v>
      </c>
      <c r="N629" s="7" t="n">
        <v>204.1197380590885</v>
      </c>
      <c r="O629" s="7" t="n">
        <v>185.563398235535</v>
      </c>
      <c r="P629" s="7" t="n">
        <v>20597.53720414439</v>
      </c>
      <c r="Q629" s="7" t="n">
        <v>20826.41955505444</v>
      </c>
      <c r="R629" s="7" t="n">
        <v>-228.8823509100475</v>
      </c>
      <c r="S629" s="6" t="n">
        <v>-0.01098999999999997</v>
      </c>
      <c r="T629" s="7" t="n">
        <v>4540.302410416522</v>
      </c>
      <c r="U629" s="7" t="n">
        <v>4127.547645833201</v>
      </c>
      <c r="V629" s="7" t="n">
        <v>192419.7262026963</v>
      </c>
      <c r="W629" s="7" t="n">
        <v>207976.7872515265</v>
      </c>
      <c r="X629" s="7" t="n">
        <v>-15557.06104883013</v>
      </c>
      <c r="Y629" s="6" t="n">
        <v>-0.07480191060945408</v>
      </c>
      <c r="Z629" s="7" t="n">
        <v>35184.50504833857</v>
      </c>
      <c r="AA629" s="7" t="n">
        <v>31985.9136803078</v>
      </c>
      <c r="AB629" s="7" t="n">
        <v>761559.2447207014</v>
      </c>
      <c r="AC629" s="7" t="n">
        <v>894755.0323233668</v>
      </c>
      <c r="AD629" s="7" t="n">
        <v>-133195.7876026655</v>
      </c>
      <c r="AE629" s="6" t="n">
        <v>-0.1488628538436967</v>
      </c>
    </row>
    <row r="630">
      <c r="A630" s="2" t="n">
        <v>621</v>
      </c>
      <c r="B630" s="2" t="inlineStr">
        <is>
          <t>KPROP-00621</t>
        </is>
      </c>
      <c r="C630" s="3" t="n">
        <v>46131</v>
      </c>
      <c r="D630" s="2" t="inlineStr">
        <is>
          <t>Bailey Ober</t>
        </is>
      </c>
      <c r="E630" s="2" t="inlineStr">
        <is>
          <t>Loss</t>
        </is>
      </c>
      <c r="F630" s="2" t="n">
        <v>-1</v>
      </c>
      <c r="G630" s="6" t="n">
        <v>0.1084424208342955</v>
      </c>
      <c r="H630" s="7" t="n">
        <v>100</v>
      </c>
      <c r="I630" s="7" t="n">
        <v>-100</v>
      </c>
      <c r="J630" s="7" t="n">
        <v>17430.34820452975</v>
      </c>
      <c r="K630" s="7" t="n">
        <v>17639.43911362065</v>
      </c>
      <c r="L630" s="7" t="n">
        <v>-209.0909090909081</v>
      </c>
      <c r="M630" s="6" t="n">
        <v>-0.01185360303942172</v>
      </c>
      <c r="N630" s="7" t="n">
        <v>205.9753720414439</v>
      </c>
      <c r="O630" s="7" t="n">
        <v>-205.9753720414439</v>
      </c>
      <c r="P630" s="7" t="n">
        <v>20391.56183210294</v>
      </c>
      <c r="Q630" s="7" t="n">
        <v>20826.41955505444</v>
      </c>
      <c r="R630" s="7" t="n">
        <v>-434.8577229514922</v>
      </c>
      <c r="S630" s="6" t="n">
        <v>-0.0208801</v>
      </c>
      <c r="T630" s="7" t="n">
        <v>5216.615231423179</v>
      </c>
      <c r="U630" s="7" t="n">
        <v>-5216.615231423179</v>
      </c>
      <c r="V630" s="7" t="n">
        <v>187203.1109712732</v>
      </c>
      <c r="W630" s="7" t="n">
        <v>207976.7872515265</v>
      </c>
      <c r="X630" s="7" t="n">
        <v>-20773.6762802533</v>
      </c>
      <c r="Y630" s="6" t="n">
        <v>-0.099884590750648</v>
      </c>
      <c r="Z630" s="7" t="n">
        <v>41292.66405312528</v>
      </c>
      <c r="AA630" s="7" t="n">
        <v>-41292.66405312528</v>
      </c>
      <c r="AB630" s="7" t="n">
        <v>720266.5806675761</v>
      </c>
      <c r="AC630" s="7" t="n">
        <v>894755.0323233668</v>
      </c>
      <c r="AD630" s="7" t="n">
        <v>-174488.4516557908</v>
      </c>
      <c r="AE630" s="6" t="n">
        <v>-0.1950125401392883</v>
      </c>
    </row>
    <row r="631">
      <c r="A631" s="2" t="n">
        <v>622</v>
      </c>
      <c r="B631" s="2" t="inlineStr">
        <is>
          <t>KPROP-00622</t>
        </is>
      </c>
      <c r="C631" s="3" t="n">
        <v>46131</v>
      </c>
      <c r="D631" s="2" t="inlineStr">
        <is>
          <t>Bailey Ober</t>
        </is>
      </c>
      <c r="E631" s="2" t="inlineStr">
        <is>
          <t>Loss</t>
        </is>
      </c>
      <c r="F631" s="2" t="n">
        <v>-1</v>
      </c>
      <c r="G631" s="6" t="n">
        <v>0.1872173455767217</v>
      </c>
      <c r="H631" s="7" t="n">
        <v>100</v>
      </c>
      <c r="I631" s="7" t="n">
        <v>-100</v>
      </c>
      <c r="J631" s="7" t="n">
        <v>17330.34820452975</v>
      </c>
      <c r="K631" s="7" t="n">
        <v>17639.43911362065</v>
      </c>
      <c r="L631" s="7" t="n">
        <v>-309.0909090909081</v>
      </c>
      <c r="M631" s="6" t="n">
        <v>-0.01752271753653648</v>
      </c>
      <c r="N631" s="7" t="n">
        <v>203.9156183210294</v>
      </c>
      <c r="O631" s="7" t="n">
        <v>-203.9156183210294</v>
      </c>
      <c r="P631" s="7" t="n">
        <v>20187.64621378191</v>
      </c>
      <c r="Q631" s="7" t="n">
        <v>20826.41955505444</v>
      </c>
      <c r="R631" s="7" t="n">
        <v>-638.7733412725211</v>
      </c>
      <c r="S631" s="6" t="n">
        <v>-0.03067129899999998</v>
      </c>
      <c r="T631" s="7" t="n">
        <v>8761.917379936558</v>
      </c>
      <c r="U631" s="7" t="n">
        <v>-8761.917379936558</v>
      </c>
      <c r="V631" s="7" t="n">
        <v>178441.1935913366</v>
      </c>
      <c r="W631" s="7" t="n">
        <v>207976.7872515265</v>
      </c>
      <c r="X631" s="7" t="n">
        <v>-29535.59366018986</v>
      </c>
      <c r="Y631" s="6" t="n">
        <v>-0.14201389515874</v>
      </c>
      <c r="Z631" s="7" t="n">
        <v>67423.19867010265</v>
      </c>
      <c r="AA631" s="7" t="n">
        <v>-67423.19867010265</v>
      </c>
      <c r="AB631" s="7" t="n">
        <v>652843.3819974734</v>
      </c>
      <c r="AC631" s="7" t="n">
        <v>894755.0323233668</v>
      </c>
      <c r="AD631" s="7" t="n">
        <v>-241911.6503258934</v>
      </c>
      <c r="AE631" s="6" t="n">
        <v>-0.2703663478681234</v>
      </c>
    </row>
    <row r="632">
      <c r="A632" s="2" t="n">
        <v>623</v>
      </c>
      <c r="B632" s="2" t="inlineStr">
        <is>
          <t>KPROP-00623</t>
        </is>
      </c>
      <c r="C632" s="3" t="n">
        <v>46131</v>
      </c>
      <c r="D632" s="2" t="inlineStr">
        <is>
          <t>Brady Singer</t>
        </is>
      </c>
      <c r="E632" s="2" t="inlineStr">
        <is>
          <t>Win</t>
        </is>
      </c>
      <c r="F632" s="2" t="n">
        <v>1.05</v>
      </c>
      <c r="G632" s="6" t="n">
        <v>0.08089080577498074</v>
      </c>
      <c r="H632" s="7" t="n">
        <v>100</v>
      </c>
      <c r="I632" s="7" t="n">
        <v>105</v>
      </c>
      <c r="J632" s="7" t="n">
        <v>17435.34820452975</v>
      </c>
      <c r="K632" s="7" t="n">
        <v>17639.43911362065</v>
      </c>
      <c r="L632" s="7" t="n">
        <v>-204.0909090909081</v>
      </c>
      <c r="M632" s="6" t="n">
        <v>-0.01157014731456598</v>
      </c>
      <c r="N632" s="7" t="n">
        <v>201.8764621378191</v>
      </c>
      <c r="O632" s="7" t="n">
        <v>211.9702852447101</v>
      </c>
      <c r="P632" s="7" t="n">
        <v>20399.61649902663</v>
      </c>
      <c r="Q632" s="7" t="n">
        <v>20826.41955505444</v>
      </c>
      <c r="R632" s="7" t="n">
        <v>-426.8030560278094</v>
      </c>
      <c r="S632" s="6" t="n">
        <v>-0.0204933476394999</v>
      </c>
      <c r="T632" s="7" t="n">
        <v>3608.562983263137</v>
      </c>
      <c r="U632" s="7" t="n">
        <v>3788.991132426293</v>
      </c>
      <c r="V632" s="7" t="n">
        <v>182230.1847237629</v>
      </c>
      <c r="W632" s="7" t="n">
        <v>207976.7872515265</v>
      </c>
      <c r="X632" s="7" t="n">
        <v>-25746.60252776358</v>
      </c>
      <c r="Y632" s="6" t="n">
        <v>-0.1237955584755991</v>
      </c>
      <c r="Z632" s="7" t="n">
        <v>26404.51360731959</v>
      </c>
      <c r="AA632" s="7" t="n">
        <v>27724.73928768557</v>
      </c>
      <c r="AB632" s="7" t="n">
        <v>680568.121285159</v>
      </c>
      <c r="AC632" s="7" t="n">
        <v>894755.0323233668</v>
      </c>
      <c r="AD632" s="7" t="n">
        <v>-214186.9110382078</v>
      </c>
      <c r="AE632" s="6" t="n">
        <v>-0.2393805044963414</v>
      </c>
    </row>
    <row r="633">
      <c r="A633" s="2" t="n">
        <v>624</v>
      </c>
      <c r="B633" s="2" t="inlineStr">
        <is>
          <t>KPROP-00624</t>
        </is>
      </c>
      <c r="C633" s="3" t="n">
        <v>46131</v>
      </c>
      <c r="D633" s="2" t="inlineStr">
        <is>
          <t>Cole Ragans</t>
        </is>
      </c>
      <c r="E633" s="2" t="inlineStr">
        <is>
          <t>Win</t>
        </is>
      </c>
      <c r="F633" s="2" t="n">
        <v>0.8547008547008548</v>
      </c>
      <c r="G633" s="6" t="n">
        <v>0.1040963215734313</v>
      </c>
      <c r="H633" s="7" t="n">
        <v>100</v>
      </c>
      <c r="I633" s="7" t="n">
        <v>85.47008547008548</v>
      </c>
      <c r="J633" s="7" t="n">
        <v>17520.81828999983</v>
      </c>
      <c r="K633" s="7" t="n">
        <v>17639.43911362065</v>
      </c>
      <c r="L633" s="7" t="n">
        <v>-118.6208236208222</v>
      </c>
      <c r="M633" s="6" t="n">
        <v>-0.006724750308484961</v>
      </c>
      <c r="N633" s="7" t="n">
        <v>203.9961649902663</v>
      </c>
      <c r="O633" s="7" t="n">
        <v>174.3556965728772</v>
      </c>
      <c r="P633" s="7" t="n">
        <v>20573.9721955995</v>
      </c>
      <c r="Q633" s="7" t="n">
        <v>20826.41955505444</v>
      </c>
      <c r="R633" s="7" t="n">
        <v>-252.4473594549308</v>
      </c>
      <c r="S633" s="6" t="n">
        <v>-0.01212149590992291</v>
      </c>
      <c r="T633" s="7" t="n">
        <v>4742.372977347654</v>
      </c>
      <c r="U633" s="7" t="n">
        <v>4053.310237049277</v>
      </c>
      <c r="V633" s="7" t="n">
        <v>186283.4949608122</v>
      </c>
      <c r="W633" s="7" t="n">
        <v>207976.7872515265</v>
      </c>
      <c r="X633" s="7" t="n">
        <v>-21693.29229071431</v>
      </c>
      <c r="Y633" s="6" t="n">
        <v>-0.1043063150335066</v>
      </c>
      <c r="Z633" s="7" t="n">
        <v>35422.31900296297</v>
      </c>
      <c r="AA633" s="7" t="n">
        <v>30275.48632731878</v>
      </c>
      <c r="AB633" s="7" t="n">
        <v>710843.6076124778</v>
      </c>
      <c r="AC633" s="7" t="n">
        <v>894755.0323233668</v>
      </c>
      <c r="AD633" s="7" t="n">
        <v>-183911.424710889</v>
      </c>
      <c r="AE633" s="6" t="n">
        <v>-0.2055438841549012</v>
      </c>
    </row>
    <row r="634">
      <c r="A634" s="2" t="n">
        <v>625</v>
      </c>
      <c r="B634" s="2" t="inlineStr">
        <is>
          <t>KPROP-00625</t>
        </is>
      </c>
      <c r="C634" s="3" t="n">
        <v>46131</v>
      </c>
      <c r="D634" s="2" t="inlineStr">
        <is>
          <t>Garrett Crochet</t>
        </is>
      </c>
      <c r="E634" s="2" t="inlineStr">
        <is>
          <t>Loss</t>
        </is>
      </c>
      <c r="F634" s="2" t="n">
        <v>-1</v>
      </c>
      <c r="G634" s="6" t="n">
        <v>0.2130345861836291</v>
      </c>
      <c r="H634" s="7" t="n">
        <v>100</v>
      </c>
      <c r="I634" s="7" t="n">
        <v>-100</v>
      </c>
      <c r="J634" s="7" t="n">
        <v>17420.81828999983</v>
      </c>
      <c r="K634" s="7" t="n">
        <v>17639.43911362065</v>
      </c>
      <c r="L634" s="7" t="n">
        <v>-218.6208236208222</v>
      </c>
      <c r="M634" s="6" t="n">
        <v>-0.01239386480559972</v>
      </c>
      <c r="N634" s="7" t="n">
        <v>205.739721955995</v>
      </c>
      <c r="O634" s="7" t="n">
        <v>-205.739721955995</v>
      </c>
      <c r="P634" s="7" t="n">
        <v>20368.23247364351</v>
      </c>
      <c r="Q634" s="7" t="n">
        <v>20826.41955505444</v>
      </c>
      <c r="R634" s="7" t="n">
        <v>-458.1870814109243</v>
      </c>
      <c r="S634" s="6" t="n">
        <v>-0.0220002809508236</v>
      </c>
      <c r="T634" s="7" t="n">
        <v>9921.206815454196</v>
      </c>
      <c r="U634" s="7" t="n">
        <v>-9921.206815454196</v>
      </c>
      <c r="V634" s="7" t="n">
        <v>176362.2881453579</v>
      </c>
      <c r="W634" s="7" t="n">
        <v>207976.7872515265</v>
      </c>
      <c r="X634" s="7" t="n">
        <v>-31614.49910616851</v>
      </c>
      <c r="Y634" s="6" t="n">
        <v>-0.1520097484145384</v>
      </c>
      <c r="Z634" s="7" t="n">
        <v>75717.13689450113</v>
      </c>
      <c r="AA634" s="7" t="n">
        <v>-75717.13689450113</v>
      </c>
      <c r="AB634" s="7" t="n">
        <v>635126.4707179767</v>
      </c>
      <c r="AC634" s="7" t="n">
        <v>894755.0323233668</v>
      </c>
      <c r="AD634" s="7" t="n">
        <v>-259628.5616053902</v>
      </c>
      <c r="AE634" s="6" t="n">
        <v>-0.2901671990949582</v>
      </c>
    </row>
    <row r="635">
      <c r="A635" s="2" t="n">
        <v>626</v>
      </c>
      <c r="B635" s="2" t="inlineStr">
        <is>
          <t>KPROP-00626</t>
        </is>
      </c>
      <c r="C635" s="3" t="n">
        <v>46131</v>
      </c>
      <c r="D635" s="2" t="inlineStr">
        <is>
          <t>Garrett Crochet</t>
        </is>
      </c>
      <c r="E635" s="2" t="inlineStr">
        <is>
          <t>Loss</t>
        </is>
      </c>
      <c r="F635" s="2" t="n">
        <v>-1</v>
      </c>
      <c r="G635" s="6" t="n">
        <v>0.3146224315612223</v>
      </c>
      <c r="H635" s="7" t="n">
        <v>100</v>
      </c>
      <c r="I635" s="7" t="n">
        <v>-100</v>
      </c>
      <c r="J635" s="7" t="n">
        <v>17320.81828999983</v>
      </c>
      <c r="K635" s="7" t="n">
        <v>17639.43911362065</v>
      </c>
      <c r="L635" s="7" t="n">
        <v>-318.6208236208222</v>
      </c>
      <c r="M635" s="6" t="n">
        <v>-0.01806297930271449</v>
      </c>
      <c r="N635" s="7" t="n">
        <v>203.6823247364351</v>
      </c>
      <c r="O635" s="7" t="n">
        <v>-203.6823247364351</v>
      </c>
      <c r="P635" s="7" t="n">
        <v>20164.55014890708</v>
      </c>
      <c r="Q635" s="7" t="n">
        <v>20826.41955505444</v>
      </c>
      <c r="R635" s="7" t="n">
        <v>-661.8694061473579</v>
      </c>
      <c r="S635" s="6" t="n">
        <v>-0.03178027814131529</v>
      </c>
      <c r="T635" s="7" t="n">
        <v>13871.88298299836</v>
      </c>
      <c r="U635" s="7" t="n">
        <v>-13871.88298299836</v>
      </c>
      <c r="V635" s="7" t="n">
        <v>162490.4051623596</v>
      </c>
      <c r="W635" s="7" t="n">
        <v>207976.7872515265</v>
      </c>
      <c r="X635" s="7" t="n">
        <v>-45486.38208916687</v>
      </c>
      <c r="Y635" s="6" t="n">
        <v>-0.218708937138046</v>
      </c>
      <c r="Z635" s="7" t="n">
        <v>99912.51728309365</v>
      </c>
      <c r="AA635" s="7" t="n">
        <v>-99912.51728309365</v>
      </c>
      <c r="AB635" s="7" t="n">
        <v>535213.953434883</v>
      </c>
      <c r="AC635" s="7" t="n">
        <v>894755.0323233668</v>
      </c>
      <c r="AD635" s="7" t="n">
        <v>-359541.0788884838</v>
      </c>
      <c r="AE635" s="6" t="n">
        <v>-0.4018318600062868</v>
      </c>
    </row>
    <row r="636">
      <c r="A636" s="2" t="n">
        <v>627</v>
      </c>
      <c r="B636" s="2" t="inlineStr">
        <is>
          <t>KPROP-00627</t>
        </is>
      </c>
      <c r="C636" s="3" t="n">
        <v>46131</v>
      </c>
      <c r="D636" s="2" t="inlineStr">
        <is>
          <t>Jeffrey Springs</t>
        </is>
      </c>
      <c r="E636" s="2" t="inlineStr">
        <is>
          <t>Loss</t>
        </is>
      </c>
      <c r="F636" s="2" t="n">
        <v>-1</v>
      </c>
      <c r="G636" s="6" t="n">
        <v>0.133487691502014</v>
      </c>
      <c r="H636" s="7" t="n">
        <v>100</v>
      </c>
      <c r="I636" s="7" t="n">
        <v>-100</v>
      </c>
      <c r="J636" s="7" t="n">
        <v>17220.81828999983</v>
      </c>
      <c r="K636" s="7" t="n">
        <v>17639.43911362065</v>
      </c>
      <c r="L636" s="7" t="n">
        <v>-418.6208236208222</v>
      </c>
      <c r="M636" s="6" t="n">
        <v>-0.02373209379982924</v>
      </c>
      <c r="N636" s="7" t="n">
        <v>201.6455014890708</v>
      </c>
      <c r="O636" s="7" t="n">
        <v>-201.6455014890708</v>
      </c>
      <c r="P636" s="7" t="n">
        <v>19962.90464741801</v>
      </c>
      <c r="Q636" s="7" t="n">
        <v>20826.41955505444</v>
      </c>
      <c r="R636" s="7" t="n">
        <v>-863.5149076364287</v>
      </c>
      <c r="S636" s="6" t="n">
        <v>-0.04146247535990214</v>
      </c>
      <c r="T636" s="7" t="n">
        <v>5422.617269087581</v>
      </c>
      <c r="U636" s="7" t="n">
        <v>-5422.617269087581</v>
      </c>
      <c r="V636" s="7" t="n">
        <v>157067.787893272</v>
      </c>
      <c r="W636" s="7" t="n">
        <v>207976.7872515265</v>
      </c>
      <c r="X636" s="7" t="n">
        <v>-50908.99935825446</v>
      </c>
      <c r="Y636" s="6" t="n">
        <v>-0.2447821222311953</v>
      </c>
      <c r="Z636" s="7" t="n">
        <v>35722.23755184448</v>
      </c>
      <c r="AA636" s="7" t="n">
        <v>-35722.23755184448</v>
      </c>
      <c r="AB636" s="7" t="n">
        <v>499491.7158830385</v>
      </c>
      <c r="AC636" s="7" t="n">
        <v>894755.0323233668</v>
      </c>
      <c r="AD636" s="7" t="n">
        <v>-395263.3164403283</v>
      </c>
      <c r="AE636" s="6" t="n">
        <v>-0.4417559020751941</v>
      </c>
    </row>
    <row r="637">
      <c r="A637" s="2" t="n">
        <v>628</v>
      </c>
      <c r="B637" s="2" t="inlineStr">
        <is>
          <t>KPROP-00628</t>
        </is>
      </c>
      <c r="C637" s="3" t="n">
        <v>46131</v>
      </c>
      <c r="D637" s="2" t="inlineStr">
        <is>
          <t>MacKenzie Gore</t>
        </is>
      </c>
      <c r="E637" s="2" t="inlineStr">
        <is>
          <t>Win</t>
        </is>
      </c>
      <c r="F637" s="2" t="n">
        <v>0.9090909090909092</v>
      </c>
      <c r="G637" s="6" t="n">
        <v>0.2504094319490789</v>
      </c>
      <c r="H637" s="7" t="n">
        <v>100</v>
      </c>
      <c r="I637" s="7" t="n">
        <v>90.90909090909092</v>
      </c>
      <c r="J637" s="7" t="n">
        <v>17311.72738090892</v>
      </c>
      <c r="K637" s="7" t="n">
        <v>17639.43911362065</v>
      </c>
      <c r="L637" s="7" t="n">
        <v>-327.7117327117303</v>
      </c>
      <c r="M637" s="6" t="n">
        <v>-0.01857835334790668</v>
      </c>
      <c r="N637" s="7" t="n">
        <v>199.6290464741801</v>
      </c>
      <c r="O637" s="7" t="n">
        <v>181.4809513401637</v>
      </c>
      <c r="P637" s="7" t="n">
        <v>20144.38559875817</v>
      </c>
      <c r="Q637" s="7" t="n">
        <v>20826.41955505444</v>
      </c>
      <c r="R637" s="7" t="n">
        <v>-682.0339562962654</v>
      </c>
      <c r="S637" s="6" t="n">
        <v>-0.032748497863174</v>
      </c>
      <c r="T637" s="7" t="n">
        <v>9832.813885963165</v>
      </c>
      <c r="U637" s="7" t="n">
        <v>8938.921714511969</v>
      </c>
      <c r="V637" s="7" t="n">
        <v>166006.709607784</v>
      </c>
      <c r="W637" s="7" t="n">
        <v>207976.7872515265</v>
      </c>
      <c r="X637" s="7" t="n">
        <v>-41970.07764374249</v>
      </c>
      <c r="Y637" s="6" t="n">
        <v>-0.2018017404653146</v>
      </c>
      <c r="Z637" s="7" t="n">
        <v>62538.7184187712</v>
      </c>
      <c r="AA637" s="7" t="n">
        <v>56853.3803807011</v>
      </c>
      <c r="AB637" s="7" t="n">
        <v>556345.0962637396</v>
      </c>
      <c r="AC637" s="7" t="n">
        <v>894755.0323233668</v>
      </c>
      <c r="AD637" s="7" t="n">
        <v>-338409.9360596272</v>
      </c>
      <c r="AE637" s="6" t="n">
        <v>-0.3782151805068865</v>
      </c>
    </row>
    <row r="638">
      <c r="A638" s="2" t="n">
        <v>629</v>
      </c>
      <c r="B638" s="2" t="inlineStr">
        <is>
          <t>KPROP-00629</t>
        </is>
      </c>
      <c r="C638" s="3" t="n">
        <v>46131</v>
      </c>
      <c r="D638" s="2" t="inlineStr">
        <is>
          <t>Robbie Ray</t>
        </is>
      </c>
      <c r="E638" s="2" t="inlineStr">
        <is>
          <t>Loss</t>
        </is>
      </c>
      <c r="F638" s="2" t="n">
        <v>-1</v>
      </c>
      <c r="G638" s="6" t="n">
        <v>0.1907392040805124</v>
      </c>
      <c r="H638" s="7" t="n">
        <v>100</v>
      </c>
      <c r="I638" s="7" t="n">
        <v>-100</v>
      </c>
      <c r="J638" s="7" t="n">
        <v>17211.72738090892</v>
      </c>
      <c r="K638" s="7" t="n">
        <v>17639.43911362065</v>
      </c>
      <c r="L638" s="7" t="n">
        <v>-427.7117327117303</v>
      </c>
      <c r="M638" s="6" t="n">
        <v>-0.02424746784502144</v>
      </c>
      <c r="N638" s="7" t="n">
        <v>201.4438559875817</v>
      </c>
      <c r="O638" s="7" t="n">
        <v>-201.4438559875817</v>
      </c>
      <c r="P638" s="7" t="n">
        <v>19942.94174277059</v>
      </c>
      <c r="Q638" s="7" t="n">
        <v>20826.41955505444</v>
      </c>
      <c r="R638" s="7" t="n">
        <v>-883.477812283847</v>
      </c>
      <c r="S638" s="6" t="n">
        <v>-0.04242101288454226</v>
      </c>
      <c r="T638" s="7" t="n">
        <v>7915.996915653367</v>
      </c>
      <c r="U638" s="7" t="n">
        <v>-7915.996915653367</v>
      </c>
      <c r="V638" s="7" t="n">
        <v>158090.7126921306</v>
      </c>
      <c r="W638" s="7" t="n">
        <v>207976.7872515265</v>
      </c>
      <c r="X638" s="7" t="n">
        <v>-49886.07455939587</v>
      </c>
      <c r="Y638" s="6" t="n">
        <v>-0.2398636656458387</v>
      </c>
      <c r="Z638" s="7" t="n">
        <v>53058.41042772088</v>
      </c>
      <c r="AA638" s="7" t="n">
        <v>-53058.41042772088</v>
      </c>
      <c r="AB638" s="7" t="n">
        <v>503286.6858360188</v>
      </c>
      <c r="AC638" s="7" t="n">
        <v>894755.0323233668</v>
      </c>
      <c r="AD638" s="7" t="n">
        <v>-391468.3464873481</v>
      </c>
      <c r="AE638" s="6" t="n">
        <v>-0.4375145512966172</v>
      </c>
    </row>
    <row r="639">
      <c r="A639" s="2" t="n">
        <v>630</v>
      </c>
      <c r="B639" s="2" t="inlineStr">
        <is>
          <t>KPROP-00630</t>
        </is>
      </c>
      <c r="C639" s="3" t="n">
        <v>46131</v>
      </c>
      <c r="D639" s="2" t="inlineStr">
        <is>
          <t>Robbie Ray</t>
        </is>
      </c>
      <c r="E639" s="2" t="inlineStr">
        <is>
          <t>Loss</t>
        </is>
      </c>
      <c r="F639" s="2" t="n">
        <v>-1</v>
      </c>
      <c r="G639" s="6" t="n">
        <v>0.2963704847680618</v>
      </c>
      <c r="H639" s="7" t="n">
        <v>100</v>
      </c>
      <c r="I639" s="7" t="n">
        <v>-100</v>
      </c>
      <c r="J639" s="7" t="n">
        <v>17111.72738090892</v>
      </c>
      <c r="K639" s="7" t="n">
        <v>17639.43911362065</v>
      </c>
      <c r="L639" s="7" t="n">
        <v>-527.7117327117303</v>
      </c>
      <c r="M639" s="6" t="n">
        <v>-0.0299165823421362</v>
      </c>
      <c r="N639" s="7" t="n">
        <v>199.4294174277059</v>
      </c>
      <c r="O639" s="7" t="n">
        <v>-199.4294174277059</v>
      </c>
      <c r="P639" s="7" t="n">
        <v>19743.51232534288</v>
      </c>
      <c r="Q639" s="7" t="n">
        <v>20826.41955505444</v>
      </c>
      <c r="R639" s="7" t="n">
        <v>-1082.907229711553</v>
      </c>
      <c r="S639" s="6" t="n">
        <v>-0.05199680275569682</v>
      </c>
      <c r="T639" s="7" t="n">
        <v>11713.35528947378</v>
      </c>
      <c r="U639" s="7" t="n">
        <v>-11713.35528947378</v>
      </c>
      <c r="V639" s="7" t="n">
        <v>146377.3574026568</v>
      </c>
      <c r="W639" s="7" t="n">
        <v>207976.7872515265</v>
      </c>
      <c r="X639" s="7" t="n">
        <v>-61599.42984886965</v>
      </c>
      <c r="Y639" s="6" t="n">
        <v>-0.2961841591214288</v>
      </c>
      <c r="Z639" s="7" t="n">
        <v>74579.65952926605</v>
      </c>
      <c r="AA639" s="7" t="n">
        <v>-74579.65952926605</v>
      </c>
      <c r="AB639" s="7" t="n">
        <v>428707.0263067527</v>
      </c>
      <c r="AC639" s="7" t="n">
        <v>894755.0323233668</v>
      </c>
      <c r="AD639" s="7" t="n">
        <v>-466048.0060166141</v>
      </c>
      <c r="AE639" s="6" t="n">
        <v>-0.5208665938502184</v>
      </c>
    </row>
    <row r="640">
      <c r="A640" s="2" t="n">
        <v>631</v>
      </c>
      <c r="B640" s="2" t="inlineStr">
        <is>
          <t>KPROP-00631</t>
        </is>
      </c>
      <c r="C640" s="3" t="n">
        <v>46131</v>
      </c>
      <c r="D640" s="2" t="inlineStr">
        <is>
          <t>Ryan Weathers</t>
        </is>
      </c>
      <c r="E640" s="2" t="inlineStr">
        <is>
          <t>Loss</t>
        </is>
      </c>
      <c r="F640" s="2" t="n">
        <v>-1</v>
      </c>
      <c r="G640" s="6" t="n">
        <v>0.1588198218911377</v>
      </c>
      <c r="H640" s="7" t="n">
        <v>100</v>
      </c>
      <c r="I640" s="7" t="n">
        <v>-100</v>
      </c>
      <c r="J640" s="7" t="n">
        <v>17011.72738090892</v>
      </c>
      <c r="K640" s="7" t="n">
        <v>17639.43911362065</v>
      </c>
      <c r="L640" s="7" t="n">
        <v>-627.7117327117303</v>
      </c>
      <c r="M640" s="6" t="n">
        <v>-0.03558569683925096</v>
      </c>
      <c r="N640" s="7" t="n">
        <v>197.4351232534288</v>
      </c>
      <c r="O640" s="7" t="n">
        <v>-197.4351232534288</v>
      </c>
      <c r="P640" s="7" t="n">
        <v>19546.07720208945</v>
      </c>
      <c r="Q640" s="7" t="n">
        <v>20826.41955505444</v>
      </c>
      <c r="R640" s="7" t="n">
        <v>-1280.342352964981</v>
      </c>
      <c r="S640" s="6" t="n">
        <v>-0.06147683472813982</v>
      </c>
      <c r="T640" s="7" t="n">
        <v>5811.90645789634</v>
      </c>
      <c r="U640" s="7" t="n">
        <v>-5811.90645789634</v>
      </c>
      <c r="V640" s="7" t="n">
        <v>140565.4509447605</v>
      </c>
      <c r="W640" s="7" t="n">
        <v>207976.7872515265</v>
      </c>
      <c r="X640" s="7" t="n">
        <v>-67411.336306766</v>
      </c>
      <c r="Y640" s="6" t="n">
        <v>-0.3241291357445528</v>
      </c>
      <c r="Z640" s="7" t="n">
        <v>34043.58678075887</v>
      </c>
      <c r="AA640" s="7" t="n">
        <v>-34043.58678075887</v>
      </c>
      <c r="AB640" s="7" t="n">
        <v>394663.4395259938</v>
      </c>
      <c r="AC640" s="7" t="n">
        <v>894755.0323233668</v>
      </c>
      <c r="AD640" s="7" t="n">
        <v>-500091.592797373</v>
      </c>
      <c r="AE640" s="6" t="n">
        <v>-0.5589145349636196</v>
      </c>
    </row>
    <row r="641">
      <c r="A641" s="2" t="n">
        <v>632</v>
      </c>
      <c r="B641" s="2" t="inlineStr">
        <is>
          <t>KPROP-00632</t>
        </is>
      </c>
      <c r="C641" s="3" t="n">
        <v>46132</v>
      </c>
      <c r="D641" s="2" t="inlineStr">
        <is>
          <t>Aaron Nola</t>
        </is>
      </c>
      <c r="E641" s="2" t="inlineStr">
        <is>
          <t>Win</t>
        </is>
      </c>
      <c r="F641" s="2" t="n">
        <v>0.7407407407407407</v>
      </c>
      <c r="G641" s="6" t="n">
        <v>0.1405082582425432</v>
      </c>
      <c r="H641" s="7" t="n">
        <v>100</v>
      </c>
      <c r="I641" s="7" t="n">
        <v>74.07407407407408</v>
      </c>
      <c r="J641" s="7" t="n">
        <v>17085.801454983</v>
      </c>
      <c r="K641" s="7" t="n">
        <v>17639.43911362065</v>
      </c>
      <c r="L641" s="7" t="n">
        <v>-553.6376586376573</v>
      </c>
      <c r="M641" s="6" t="n">
        <v>-0.03138635276731416</v>
      </c>
      <c r="N641" s="7" t="n">
        <v>195.4607720208946</v>
      </c>
      <c r="O641" s="7" t="n">
        <v>144.7857570525145</v>
      </c>
      <c r="P641" s="7" t="n">
        <v>19690.86295914197</v>
      </c>
      <c r="Q641" s="7" t="n">
        <v>20826.41955505444</v>
      </c>
      <c r="R641" s="7" t="n">
        <v>-1135.556595912465</v>
      </c>
      <c r="S641" s="6" t="n">
        <v>-0.05452481128168154</v>
      </c>
      <c r="T641" s="7" t="n">
        <v>4937.651670331485</v>
      </c>
      <c r="U641" s="7" t="n">
        <v>3657.5197558011</v>
      </c>
      <c r="V641" s="7" t="n">
        <v>144222.9707005616</v>
      </c>
      <c r="W641" s="7" t="n">
        <v>207976.7872515265</v>
      </c>
      <c r="X641" s="7" t="n">
        <v>-63753.8165509649</v>
      </c>
      <c r="Y641" s="6" t="n">
        <v>-0.3065429435346611</v>
      </c>
      <c r="Z641" s="7" t="n">
        <v>27726.73623990433</v>
      </c>
      <c r="AA641" s="7" t="n">
        <v>20538.32314066987</v>
      </c>
      <c r="AB641" s="7" t="n">
        <v>415201.7626666637</v>
      </c>
      <c r="AC641" s="7" t="n">
        <v>894755.0323233668</v>
      </c>
      <c r="AD641" s="7" t="n">
        <v>-479553.2696567032</v>
      </c>
      <c r="AE641" s="6" t="n">
        <v>-0.5359604051753367</v>
      </c>
    </row>
    <row r="642">
      <c r="A642" s="2" t="n">
        <v>633</v>
      </c>
      <c r="B642" s="2" t="inlineStr">
        <is>
          <t>KPROP-00633</t>
        </is>
      </c>
      <c r="C642" s="3" t="n">
        <v>46132</v>
      </c>
      <c r="D642" s="2" t="inlineStr">
        <is>
          <t>Jack Flaherty</t>
        </is>
      </c>
      <c r="E642" s="2" t="inlineStr">
        <is>
          <t>Win</t>
        </is>
      </c>
      <c r="F642" s="2" t="n">
        <v>1.26</v>
      </c>
      <c r="G642" s="6" t="n">
        <v>0.2755740213726164</v>
      </c>
      <c r="H642" s="7" t="n">
        <v>100</v>
      </c>
      <c r="I642" s="7" t="n">
        <v>126</v>
      </c>
      <c r="J642" s="7" t="n">
        <v>17211.801454983</v>
      </c>
      <c r="K642" s="7" t="n">
        <v>17639.43911362065</v>
      </c>
      <c r="L642" s="7" t="n">
        <v>-427.6376586376573</v>
      </c>
      <c r="M642" s="6" t="n">
        <v>-0.02424326850094956</v>
      </c>
      <c r="N642" s="7" t="n">
        <v>196.9086295914197</v>
      </c>
      <c r="O642" s="7" t="n">
        <v>248.1048732851888</v>
      </c>
      <c r="P642" s="7" t="n">
        <v>19938.96783242716</v>
      </c>
      <c r="Q642" s="7" t="n">
        <v>20826.41955505444</v>
      </c>
      <c r="R642" s="7" t="n">
        <v>-887.4517226272765</v>
      </c>
      <c r="S642" s="6" t="n">
        <v>-0.04261182390383073</v>
      </c>
      <c r="T642" s="7" t="n">
        <v>9936.026002564697</v>
      </c>
      <c r="U642" s="7" t="n">
        <v>12519.39276323152</v>
      </c>
      <c r="V642" s="7" t="n">
        <v>156742.3634637931</v>
      </c>
      <c r="W642" s="7" t="n">
        <v>207976.7872515265</v>
      </c>
      <c r="X642" s="7" t="n">
        <v>-51234.42378773339</v>
      </c>
      <c r="Y642" s="6" t="n">
        <v>-0.2463468373793593</v>
      </c>
      <c r="Z642" s="7" t="n">
        <v>57209.4097095256</v>
      </c>
      <c r="AA642" s="7" t="n">
        <v>72083.85623400225</v>
      </c>
      <c r="AB642" s="7" t="n">
        <v>487285.6189006659</v>
      </c>
      <c r="AC642" s="7" t="n">
        <v>894755.0323233668</v>
      </c>
      <c r="AD642" s="7" t="n">
        <v>-407469.4134227009</v>
      </c>
      <c r="AE642" s="6" t="n">
        <v>-0.455397733125507</v>
      </c>
    </row>
    <row r="643">
      <c r="A643" s="2" t="n">
        <v>634</v>
      </c>
      <c r="B643" s="2" t="inlineStr">
        <is>
          <t>KPROP-00634</t>
        </is>
      </c>
      <c r="C643" s="3" t="n">
        <v>46132</v>
      </c>
      <c r="D643" s="2" t="inlineStr">
        <is>
          <t>Jack Flaherty</t>
        </is>
      </c>
      <c r="E643" s="2" t="inlineStr">
        <is>
          <t>Win</t>
        </is>
      </c>
      <c r="F643" s="2" t="n">
        <v>0.7142857142857144</v>
      </c>
      <c r="G643" s="6" t="n">
        <v>0.3891030381769962</v>
      </c>
      <c r="H643" s="7" t="n">
        <v>100</v>
      </c>
      <c r="I643" s="7" t="n">
        <v>71.42857142857144</v>
      </c>
      <c r="J643" s="7" t="n">
        <v>17283.23002641157</v>
      </c>
      <c r="K643" s="7" t="n">
        <v>17639.43911362065</v>
      </c>
      <c r="L643" s="7" t="n">
        <v>-356.2090872090848</v>
      </c>
      <c r="M643" s="6" t="n">
        <v>-0.02019390100301039</v>
      </c>
      <c r="N643" s="7" t="n">
        <v>199.3896783242716</v>
      </c>
      <c r="O643" s="7" t="n">
        <v>142.4211988030512</v>
      </c>
      <c r="P643" s="7" t="n">
        <v>20081.38903123021</v>
      </c>
      <c r="Q643" s="7" t="n">
        <v>20826.41955505444</v>
      </c>
      <c r="R643" s="7" t="n">
        <v>-745.0305238242254</v>
      </c>
      <c r="S643" s="6" t="n">
        <v>-0.03577333693171524</v>
      </c>
      <c r="T643" s="7" t="n">
        <v>15247.23245870122</v>
      </c>
      <c r="U643" s="7" t="n">
        <v>10890.88032764373</v>
      </c>
      <c r="V643" s="7" t="n">
        <v>167633.2437914368</v>
      </c>
      <c r="W643" s="7" t="n">
        <v>207976.7872515265</v>
      </c>
      <c r="X643" s="7" t="n">
        <v>-40343.54346008966</v>
      </c>
      <c r="Y643" s="6" t="n">
        <v>-0.1939809917887533</v>
      </c>
      <c r="Z643" s="7" t="n">
        <v>94802.15738710351</v>
      </c>
      <c r="AA643" s="7" t="n">
        <v>67715.82670507395</v>
      </c>
      <c r="AB643" s="7" t="n">
        <v>555001.4456057398</v>
      </c>
      <c r="AC643" s="7" t="n">
        <v>894755.0323233668</v>
      </c>
      <c r="AD643" s="7" t="n">
        <v>-339753.586717627</v>
      </c>
      <c r="AE643" s="6" t="n">
        <v>-0.3797168771830268</v>
      </c>
    </row>
    <row r="644">
      <c r="A644" s="2" t="n">
        <v>635</v>
      </c>
      <c r="B644" s="2" t="inlineStr">
        <is>
          <t>KPROP-00635</t>
        </is>
      </c>
      <c r="C644" s="3" t="n">
        <v>46133</v>
      </c>
      <c r="D644" s="2" t="inlineStr">
        <is>
          <t>Foster Griffin</t>
        </is>
      </c>
      <c r="E644" s="2" t="inlineStr">
        <is>
          <t>Win</t>
        </is>
      </c>
      <c r="F644" s="2" t="n">
        <v>1.55</v>
      </c>
      <c r="G644" s="6" t="n">
        <v>0.1293560246064316</v>
      </c>
      <c r="H644" s="7" t="n">
        <v>100</v>
      </c>
      <c r="I644" s="7" t="n">
        <v>155</v>
      </c>
      <c r="J644" s="7" t="n">
        <v>17438.23002641157</v>
      </c>
      <c r="K644" s="7" t="n">
        <v>17639.43911362065</v>
      </c>
      <c r="L644" s="7" t="n">
        <v>-201.2090872090848</v>
      </c>
      <c r="M644" s="6" t="n">
        <v>-0.01140677353248251</v>
      </c>
      <c r="N644" s="7" t="n">
        <v>200.8138903123021</v>
      </c>
      <c r="O644" s="7" t="n">
        <v>311.2615299840682</v>
      </c>
      <c r="P644" s="7" t="n">
        <v>20392.65056121428</v>
      </c>
      <c r="Q644" s="7" t="n">
        <v>20826.41955505444</v>
      </c>
      <c r="R644" s="7" t="n">
        <v>-433.7689938401563</v>
      </c>
      <c r="S644" s="6" t="n">
        <v>-0.02082782365415679</v>
      </c>
      <c r="T644" s="7" t="n">
        <v>5421.092502185264</v>
      </c>
      <c r="U644" s="7" t="n">
        <v>8402.693378387157</v>
      </c>
      <c r="V644" s="7" t="n">
        <v>176035.937169824</v>
      </c>
      <c r="W644" s="7" t="n">
        <v>207976.7872515265</v>
      </c>
      <c r="X644" s="7" t="n">
        <v>-31940.85008170249</v>
      </c>
      <c r="Y644" s="6" t="n">
        <v>-0.1535789186082259</v>
      </c>
      <c r="Z644" s="7" t="n">
        <v>35896.39032719061</v>
      </c>
      <c r="AA644" s="7" t="n">
        <v>55639.40500714544</v>
      </c>
      <c r="AB644" s="7" t="n">
        <v>610640.8506128853</v>
      </c>
      <c r="AC644" s="7" t="n">
        <v>894755.0323233668</v>
      </c>
      <c r="AD644" s="7" t="n">
        <v>-284114.1817104815</v>
      </c>
      <c r="AE644" s="6" t="n">
        <v>-0.317532924037025</v>
      </c>
    </row>
    <row r="645">
      <c r="A645" s="2" t="n">
        <v>636</v>
      </c>
      <c r="B645" s="2" t="inlineStr">
        <is>
          <t>KPROP-00636</t>
        </is>
      </c>
      <c r="C645" s="3" t="n">
        <v>46133</v>
      </c>
      <c r="D645" s="2" t="inlineStr">
        <is>
          <t>Foster Griffin</t>
        </is>
      </c>
      <c r="E645" s="2" t="inlineStr">
        <is>
          <t>Win</t>
        </is>
      </c>
      <c r="F645" s="2" t="n">
        <v>0.7692307692307692</v>
      </c>
      <c r="G645" s="6" t="n">
        <v>0.2301309467834775</v>
      </c>
      <c r="H645" s="7" t="n">
        <v>100</v>
      </c>
      <c r="I645" s="7" t="n">
        <v>76.92307692307692</v>
      </c>
      <c r="J645" s="7" t="n">
        <v>17515.15310333465</v>
      </c>
      <c r="K645" s="7" t="n">
        <v>17639.43911362065</v>
      </c>
      <c r="L645" s="7" t="n">
        <v>-124.2860102860068</v>
      </c>
      <c r="M645" s="6" t="n">
        <v>-0.007045916227009554</v>
      </c>
      <c r="N645" s="7" t="n">
        <v>203.9265056121428</v>
      </c>
      <c r="O645" s="7" t="n">
        <v>156.8665427785714</v>
      </c>
      <c r="P645" s="7" t="n">
        <v>20549.51710399285</v>
      </c>
      <c r="Q645" s="7" t="n">
        <v>20826.41955505444</v>
      </c>
      <c r="R645" s="7" t="n">
        <v>-276.9024510615855</v>
      </c>
      <c r="S645" s="6" t="n">
        <v>-0.01329572998995802</v>
      </c>
      <c r="T645" s="7" t="n">
        <v>10127.82922220209</v>
      </c>
      <c r="U645" s="7" t="n">
        <v>7790.637863232375</v>
      </c>
      <c r="V645" s="7" t="n">
        <v>183826.5750330563</v>
      </c>
      <c r="W645" s="7" t="n">
        <v>207976.7872515265</v>
      </c>
      <c r="X645" s="7" t="n">
        <v>-24150.21221847011</v>
      </c>
      <c r="Y645" s="6" t="n">
        <v>-0.1161197484470367</v>
      </c>
      <c r="Z645" s="7" t="n">
        <v>70263.67854810567</v>
      </c>
      <c r="AA645" s="7" t="n">
        <v>54048.98349854282</v>
      </c>
      <c r="AB645" s="7" t="n">
        <v>664689.8341114281</v>
      </c>
      <c r="AC645" s="7" t="n">
        <v>894755.0323233668</v>
      </c>
      <c r="AD645" s="7" t="n">
        <v>-230065.1982119387</v>
      </c>
      <c r="AE645" s="6" t="n">
        <v>-0.2571264646755209</v>
      </c>
    </row>
    <row r="646">
      <c r="A646" s="2" t="n">
        <v>637</v>
      </c>
      <c r="B646" s="2" t="inlineStr">
        <is>
          <t>KPROP-00637</t>
        </is>
      </c>
      <c r="C646" s="3" t="n">
        <v>46133</v>
      </c>
      <c r="D646" s="2" t="inlineStr">
        <is>
          <t>Kris Bubic</t>
        </is>
      </c>
      <c r="E646" s="2" t="inlineStr">
        <is>
          <t>Win</t>
        </is>
      </c>
      <c r="F646" s="2" t="n">
        <v>0.8333333333333335</v>
      </c>
      <c r="G646" s="6" t="n">
        <v>0.2838414848362941</v>
      </c>
      <c r="H646" s="7" t="n">
        <v>100</v>
      </c>
      <c r="I646" s="7" t="n">
        <v>83.33333333333334</v>
      </c>
      <c r="J646" s="7" t="n">
        <v>17598.48643666798</v>
      </c>
      <c r="K646" s="7" t="n">
        <v>17639.43911362065</v>
      </c>
      <c r="L646" s="7" t="n">
        <v>-40.95267695267466</v>
      </c>
      <c r="M646" s="6" t="n">
        <v>-0.002321654146080655</v>
      </c>
      <c r="N646" s="7" t="n">
        <v>205.4951710399285</v>
      </c>
      <c r="O646" s="7" t="n">
        <v>171.2459758666071</v>
      </c>
      <c r="P646" s="7" t="n">
        <v>20720.76307985946</v>
      </c>
      <c r="Q646" s="7" t="n">
        <v>20826.41955505444</v>
      </c>
      <c r="R646" s="7" t="n">
        <v>-105.6564751949772</v>
      </c>
      <c r="S646" s="6" t="n">
        <v>-0.005073194406540952</v>
      </c>
      <c r="T646" s="7" t="n">
        <v>13044.40200243828</v>
      </c>
      <c r="U646" s="7" t="n">
        <v>10870.3350020319</v>
      </c>
      <c r="V646" s="7" t="n">
        <v>194696.9100350883</v>
      </c>
      <c r="W646" s="7" t="n">
        <v>207976.7872515265</v>
      </c>
      <c r="X646" s="7" t="n">
        <v>-13279.87721643821</v>
      </c>
      <c r="Y646" s="6" t="n">
        <v>-0.06385268948489703</v>
      </c>
      <c r="Z646" s="7" t="n">
        <v>94333.27473488887</v>
      </c>
      <c r="AA646" s="7" t="n">
        <v>78611.06227907407</v>
      </c>
      <c r="AB646" s="7" t="n">
        <v>743300.8963905022</v>
      </c>
      <c r="AC646" s="7" t="n">
        <v>894755.0323233668</v>
      </c>
      <c r="AD646" s="7" t="n">
        <v>-151454.1359328646</v>
      </c>
      <c r="AE646" s="6" t="n">
        <v>-0.1692688282954845</v>
      </c>
    </row>
    <row r="647">
      <c r="A647" s="2" t="n">
        <v>638</v>
      </c>
      <c r="B647" s="2" t="inlineStr">
        <is>
          <t>KPROP-00638</t>
        </is>
      </c>
      <c r="C647" s="3" t="n">
        <v>46133</v>
      </c>
      <c r="D647" s="2" t="inlineStr">
        <is>
          <t>Shota Imanaga</t>
        </is>
      </c>
      <c r="E647" s="2" t="inlineStr">
        <is>
          <t>Win</t>
        </is>
      </c>
      <c r="F647" s="2" t="n">
        <v>1.35</v>
      </c>
      <c r="G647" s="6" t="n">
        <v>0.1036196818551425</v>
      </c>
      <c r="H647" s="7" t="n">
        <v>100</v>
      </c>
      <c r="I647" s="7" t="n">
        <v>135</v>
      </c>
      <c r="J647" s="7" t="n">
        <v>17733.48643666798</v>
      </c>
      <c r="K647" s="7" t="n">
        <v>17733.48643666798</v>
      </c>
      <c r="L647" s="7" t="n">
        <v>0</v>
      </c>
      <c r="M647" s="6" t="n">
        <v>0</v>
      </c>
      <c r="N647" s="7" t="n">
        <v>207.2076307985946</v>
      </c>
      <c r="O647" s="7" t="n">
        <v>279.7303015781027</v>
      </c>
      <c r="P647" s="7" t="n">
        <v>21000.49338143756</v>
      </c>
      <c r="Q647" s="7" t="n">
        <v>21000.49338143756</v>
      </c>
      <c r="R647" s="7" t="n">
        <v>0</v>
      </c>
      <c r="S647" s="6" t="n">
        <v>0</v>
      </c>
      <c r="T647" s="7" t="n">
        <v>5043.607969003788</v>
      </c>
      <c r="U647" s="7" t="n">
        <v>6808.870758155113</v>
      </c>
      <c r="V647" s="7" t="n">
        <v>201505.7807932434</v>
      </c>
      <c r="W647" s="7" t="n">
        <v>207976.7872515265</v>
      </c>
      <c r="X647" s="7" t="n">
        <v>-6471.006458283082</v>
      </c>
      <c r="Y647" s="6" t="n">
        <v>-0.03111408029616819</v>
      </c>
      <c r="Z647" s="7" t="n">
        <v>38510.30120331305</v>
      </c>
      <c r="AA647" s="7" t="n">
        <v>51988.90662447262</v>
      </c>
      <c r="AB647" s="7" t="n">
        <v>795289.8030149748</v>
      </c>
      <c r="AC647" s="7" t="n">
        <v>894755.0323233668</v>
      </c>
      <c r="AD647" s="7" t="n">
        <v>-99465.22930839204</v>
      </c>
      <c r="AE647" s="6" t="n">
        <v>-0.1111647609850436</v>
      </c>
    </row>
    <row r="648">
      <c r="A648" s="2" t="n">
        <v>639</v>
      </c>
      <c r="B648" s="2" t="inlineStr">
        <is>
          <t>KPROP-00639</t>
        </is>
      </c>
      <c r="C648" s="3" t="n">
        <v>46133</v>
      </c>
      <c r="D648" s="2" t="inlineStr">
        <is>
          <t>Shota Imanaga</t>
        </is>
      </c>
      <c r="E648" s="2" t="inlineStr">
        <is>
          <t>Win</t>
        </is>
      </c>
      <c r="F648" s="2" t="n">
        <v>0.8</v>
      </c>
      <c r="G648" s="6" t="n">
        <v>0.2009956418999041</v>
      </c>
      <c r="H648" s="7" t="n">
        <v>100</v>
      </c>
      <c r="I648" s="7" t="n">
        <v>80</v>
      </c>
      <c r="J648" s="7" t="n">
        <v>17813.48643666798</v>
      </c>
      <c r="K648" s="7" t="n">
        <v>17813.48643666798</v>
      </c>
      <c r="L648" s="7" t="n">
        <v>0</v>
      </c>
      <c r="M648" s="6" t="n">
        <v>0</v>
      </c>
      <c r="N648" s="7" t="n">
        <v>210.0049338143756</v>
      </c>
      <c r="O648" s="7" t="n">
        <v>168.0039470515005</v>
      </c>
      <c r="P648" s="7" t="n">
        <v>21168.49732848906</v>
      </c>
      <c r="Q648" s="7" t="n">
        <v>21168.49732848906</v>
      </c>
      <c r="R648" s="7" t="n">
        <v>0</v>
      </c>
      <c r="S648" s="6" t="n">
        <v>0</v>
      </c>
      <c r="T648" s="7" t="n">
        <v>10125.44593926983</v>
      </c>
      <c r="U648" s="7" t="n">
        <v>8100.356751415866</v>
      </c>
      <c r="V648" s="7" t="n">
        <v>209606.1375446593</v>
      </c>
      <c r="W648" s="7" t="n">
        <v>209606.1375446593</v>
      </c>
      <c r="X648" s="7" t="n">
        <v>0</v>
      </c>
      <c r="Y648" s="6" t="n">
        <v>0</v>
      </c>
      <c r="Z648" s="7" t="n">
        <v>79924.89222672158</v>
      </c>
      <c r="AA648" s="7" t="n">
        <v>63939.91378137727</v>
      </c>
      <c r="AB648" s="7" t="n">
        <v>859229.7167963521</v>
      </c>
      <c r="AC648" s="7" t="n">
        <v>894755.0323233668</v>
      </c>
      <c r="AD648" s="7" t="n">
        <v>-35525.31552701478</v>
      </c>
      <c r="AE648" s="6" t="n">
        <v>-0.03970395722141727</v>
      </c>
    </row>
    <row r="649">
      <c r="A649" s="2" t="n">
        <v>640</v>
      </c>
      <c r="B649" s="2" t="inlineStr">
        <is>
          <t>KPROP-00640</t>
        </is>
      </c>
      <c r="C649" s="3" t="n">
        <v>46133</v>
      </c>
      <c r="D649" s="2" t="inlineStr">
        <is>
          <t>Steven Matz</t>
        </is>
      </c>
      <c r="E649" s="2" t="inlineStr">
        <is>
          <t>Win</t>
        </is>
      </c>
      <c r="F649" s="2" t="n">
        <v>1.4</v>
      </c>
      <c r="G649" s="6" t="n">
        <v>0.1018895796753755</v>
      </c>
      <c r="H649" s="7" t="n">
        <v>100</v>
      </c>
      <c r="I649" s="7" t="n">
        <v>140</v>
      </c>
      <c r="J649" s="7" t="n">
        <v>17953.48643666798</v>
      </c>
      <c r="K649" s="7" t="n">
        <v>17953.48643666798</v>
      </c>
      <c r="L649" s="7" t="n">
        <v>0</v>
      </c>
      <c r="M649" s="6" t="n">
        <v>0</v>
      </c>
      <c r="N649" s="7" t="n">
        <v>211.6849732848906</v>
      </c>
      <c r="O649" s="7" t="n">
        <v>296.3589625988469</v>
      </c>
      <c r="P649" s="7" t="n">
        <v>21464.85629108791</v>
      </c>
      <c r="Q649" s="7" t="n">
        <v>21464.85629108791</v>
      </c>
      <c r="R649" s="7" t="n">
        <v>0</v>
      </c>
      <c r="S649" s="6" t="n">
        <v>0</v>
      </c>
      <c r="T649" s="7" t="n">
        <v>5339.170312951068</v>
      </c>
      <c r="U649" s="7" t="n">
        <v>7474.838438131495</v>
      </c>
      <c r="V649" s="7" t="n">
        <v>217080.9759827908</v>
      </c>
      <c r="W649" s="7" t="n">
        <v>217080.9759827908</v>
      </c>
      <c r="X649" s="7" t="n">
        <v>0</v>
      </c>
      <c r="Y649" s="6" t="n">
        <v>0</v>
      </c>
      <c r="Z649" s="7" t="n">
        <v>43773.27734448612</v>
      </c>
      <c r="AA649" s="7" t="n">
        <v>61282.58828228056</v>
      </c>
      <c r="AB649" s="7" t="n">
        <v>920512.3050786327</v>
      </c>
      <c r="AC649" s="7" t="n">
        <v>920512.3050786327</v>
      </c>
      <c r="AD649" s="7" t="n">
        <v>0</v>
      </c>
      <c r="AE649" s="6" t="n">
        <v>0</v>
      </c>
    </row>
    <row r="650">
      <c r="A650" s="2" t="n">
        <v>641</v>
      </c>
      <c r="B650" s="2" t="inlineStr">
        <is>
          <t>KPROP-00641</t>
        </is>
      </c>
      <c r="C650" s="3" t="n">
        <v>46133</v>
      </c>
      <c r="D650" s="2" t="inlineStr">
        <is>
          <t>Steven Matz</t>
        </is>
      </c>
      <c r="E650" s="2" t="inlineStr">
        <is>
          <t>Win</t>
        </is>
      </c>
      <c r="F650" s="2" t="n">
        <v>0.7692307692307692</v>
      </c>
      <c r="G650" s="6" t="n">
        <v>0.1969692253885209</v>
      </c>
      <c r="H650" s="7" t="n">
        <v>100</v>
      </c>
      <c r="I650" s="7" t="n">
        <v>76.92307692307692</v>
      </c>
      <c r="J650" s="7" t="n">
        <v>18030.40951359106</v>
      </c>
      <c r="K650" s="7" t="n">
        <v>18030.40951359106</v>
      </c>
      <c r="L650" s="7" t="n">
        <v>0</v>
      </c>
      <c r="M650" s="6" t="n">
        <v>0</v>
      </c>
      <c r="N650" s="7" t="n">
        <v>214.6485629108791</v>
      </c>
      <c r="O650" s="7" t="n">
        <v>165.1142791622147</v>
      </c>
      <c r="P650" s="7" t="n">
        <v>21629.97057025012</v>
      </c>
      <c r="Q650" s="7" t="n">
        <v>21629.97057025012</v>
      </c>
      <c r="R650" s="7" t="n">
        <v>0</v>
      </c>
      <c r="S650" s="6" t="n">
        <v>0</v>
      </c>
      <c r="T650" s="7" t="n">
        <v>10689.5679214786</v>
      </c>
      <c r="U650" s="7" t="n">
        <v>8222.744554983541</v>
      </c>
      <c r="V650" s="7" t="n">
        <v>225303.7205377743</v>
      </c>
      <c r="W650" s="7" t="n">
        <v>225303.7205377743</v>
      </c>
      <c r="X650" s="7" t="n">
        <v>0</v>
      </c>
      <c r="Y650" s="6" t="n">
        <v>0</v>
      </c>
      <c r="Z650" s="7" t="n">
        <v>90656.29784597007</v>
      </c>
      <c r="AA650" s="7" t="n">
        <v>69735.61372766928</v>
      </c>
      <c r="AB650" s="7" t="n">
        <v>990247.9188063019</v>
      </c>
      <c r="AC650" s="7" t="n">
        <v>990247.9188063019</v>
      </c>
      <c r="AD650" s="7" t="n">
        <v>0</v>
      </c>
      <c r="AE650" s="6" t="n">
        <v>0</v>
      </c>
    </row>
    <row r="651">
      <c r="A651" s="2" t="n">
        <v>642</v>
      </c>
      <c r="B651" s="2" t="inlineStr">
        <is>
          <t>KPROP-00642</t>
        </is>
      </c>
      <c r="C651" s="3" t="n">
        <v>46134</v>
      </c>
      <c r="D651" s="2" t="inlineStr">
        <is>
          <t>Aaron Civale</t>
        </is>
      </c>
      <c r="E651" s="2" t="inlineStr">
        <is>
          <t>Loss</t>
        </is>
      </c>
      <c r="F651" s="2" t="n">
        <v>-1</v>
      </c>
      <c r="G651" s="6" t="n">
        <v>0.1191870052589106</v>
      </c>
      <c r="H651" s="7" t="n">
        <v>100</v>
      </c>
      <c r="I651" s="7" t="n">
        <v>-100</v>
      </c>
      <c r="J651" s="7" t="n">
        <v>17930.40951359106</v>
      </c>
      <c r="K651" s="7" t="n">
        <v>18030.40951359106</v>
      </c>
      <c r="L651" s="7" t="n">
        <v>-100</v>
      </c>
      <c r="M651" s="6" t="n">
        <v>-0.005546185732754515</v>
      </c>
      <c r="N651" s="7" t="n">
        <v>216.2997057025012</v>
      </c>
      <c r="O651" s="7" t="n">
        <v>-216.2997057025012</v>
      </c>
      <c r="P651" s="7" t="n">
        <v>21413.67086454762</v>
      </c>
      <c r="Q651" s="7" t="n">
        <v>21629.97057025012</v>
      </c>
      <c r="R651" s="7" t="n">
        <v>-216.2997057025023</v>
      </c>
      <c r="S651" s="6" t="n">
        <v>-0.01000000000000005</v>
      </c>
      <c r="T651" s="7" t="n">
        <v>6713.318931146955</v>
      </c>
      <c r="U651" s="7" t="n">
        <v>-6713.318931146955</v>
      </c>
      <c r="V651" s="7" t="n">
        <v>218590.4016066273</v>
      </c>
      <c r="W651" s="7" t="n">
        <v>225303.7205377743</v>
      </c>
      <c r="X651" s="7" t="n">
        <v>-6713.318931146961</v>
      </c>
      <c r="Y651" s="6" t="n">
        <v>-0.02979675131472767</v>
      </c>
      <c r="Z651" s="7" t="n">
        <v>59012.34195319597</v>
      </c>
      <c r="AA651" s="7" t="n">
        <v>-59012.34195319597</v>
      </c>
      <c r="AB651" s="7" t="n">
        <v>931235.5768531059</v>
      </c>
      <c r="AC651" s="7" t="n">
        <v>990247.9188063019</v>
      </c>
      <c r="AD651" s="7" t="n">
        <v>-59012.34195319598</v>
      </c>
      <c r="AE651" s="6" t="n">
        <v>-0.05959350262945529</v>
      </c>
    </row>
    <row r="652">
      <c r="A652" s="2" t="n">
        <v>643</v>
      </c>
      <c r="B652" s="2" t="inlineStr">
        <is>
          <t>KPROP-00643</t>
        </is>
      </c>
      <c r="C652" s="3" t="n">
        <v>46134</v>
      </c>
      <c r="D652" s="2" t="inlineStr">
        <is>
          <t>Clay Holmes</t>
        </is>
      </c>
      <c r="E652" s="2" t="inlineStr">
        <is>
          <t>Win</t>
        </is>
      </c>
      <c r="F652" s="2" t="n">
        <v>0.9090909090909092</v>
      </c>
      <c r="G652" s="6" t="n">
        <v>0.1379335920878981</v>
      </c>
      <c r="H652" s="7" t="n">
        <v>100</v>
      </c>
      <c r="I652" s="7" t="n">
        <v>90.90909090909092</v>
      </c>
      <c r="J652" s="7" t="n">
        <v>18021.31860450015</v>
      </c>
      <c r="K652" s="7" t="n">
        <v>18030.40951359106</v>
      </c>
      <c r="L652" s="7" t="n">
        <v>-9.090909090908099</v>
      </c>
      <c r="M652" s="6" t="n">
        <v>-0.0005041987029776281</v>
      </c>
      <c r="N652" s="7" t="n">
        <v>214.1367086454762</v>
      </c>
      <c r="O652" s="7" t="n">
        <v>194.6697351322511</v>
      </c>
      <c r="P652" s="7" t="n">
        <v>21608.34059967987</v>
      </c>
      <c r="Q652" s="7" t="n">
        <v>21629.97057025012</v>
      </c>
      <c r="R652" s="7" t="n">
        <v>-21.62997057025132</v>
      </c>
      <c r="S652" s="6" t="n">
        <v>-0.001000000000000055</v>
      </c>
      <c r="T652" s="7" t="n">
        <v>7537.739822384591</v>
      </c>
      <c r="U652" s="7" t="n">
        <v>6852.490747622356</v>
      </c>
      <c r="V652" s="7" t="n">
        <v>225442.8923542497</v>
      </c>
      <c r="W652" s="7" t="n">
        <v>225442.8923542497</v>
      </c>
      <c r="X652" s="7" t="n">
        <v>0</v>
      </c>
      <c r="Y652" s="6" t="n">
        <v>0</v>
      </c>
      <c r="Z652" s="7" t="n">
        <v>64224.33409769741</v>
      </c>
      <c r="AA652" s="7" t="n">
        <v>58385.75827063401</v>
      </c>
      <c r="AB652" s="7" t="n">
        <v>989621.3351237399</v>
      </c>
      <c r="AC652" s="7" t="n">
        <v>990247.9188063019</v>
      </c>
      <c r="AD652" s="7" t="n">
        <v>-626.5836825619917</v>
      </c>
      <c r="AE652" s="6" t="n">
        <v>-0.000632754354401784</v>
      </c>
    </row>
    <row r="653">
      <c r="A653" s="2" t="n">
        <v>644</v>
      </c>
      <c r="B653" s="2" t="inlineStr">
        <is>
          <t>KPROP-00644</t>
        </is>
      </c>
      <c r="C653" s="3" t="n">
        <v>46134</v>
      </c>
      <c r="D653" s="2" t="inlineStr">
        <is>
          <t>Kyle Leahy</t>
        </is>
      </c>
      <c r="E653" s="2" t="inlineStr">
        <is>
          <t>Win</t>
        </is>
      </c>
      <c r="F653" s="2" t="n">
        <v>1.05</v>
      </c>
      <c r="G653" s="6" t="n">
        <v>0.212609151292481</v>
      </c>
      <c r="H653" s="7" t="n">
        <v>100</v>
      </c>
      <c r="I653" s="7" t="n">
        <v>105</v>
      </c>
      <c r="J653" s="7" t="n">
        <v>18126.31860450015</v>
      </c>
      <c r="K653" s="7" t="n">
        <v>18126.31860450015</v>
      </c>
      <c r="L653" s="7" t="n">
        <v>0</v>
      </c>
      <c r="M653" s="6" t="n">
        <v>0</v>
      </c>
      <c r="N653" s="7" t="n">
        <v>216.0834059967987</v>
      </c>
      <c r="O653" s="7" t="n">
        <v>226.8875762966386</v>
      </c>
      <c r="P653" s="7" t="n">
        <v>21835.22817597651</v>
      </c>
      <c r="Q653" s="7" t="n">
        <v>21835.22817597651</v>
      </c>
      <c r="R653" s="7" t="n">
        <v>0</v>
      </c>
      <c r="S653" s="6" t="n">
        <v>0</v>
      </c>
      <c r="T653" s="7" t="n">
        <v>11982.8055020898</v>
      </c>
      <c r="U653" s="7" t="n">
        <v>12581.94577719428</v>
      </c>
      <c r="V653" s="7" t="n">
        <v>238024.838131444</v>
      </c>
      <c r="W653" s="7" t="n">
        <v>238024.838131444</v>
      </c>
      <c r="X653" s="7" t="n">
        <v>0</v>
      </c>
      <c r="Y653" s="6" t="n">
        <v>0</v>
      </c>
      <c r="Z653" s="7" t="n">
        <v>105201.2760807951</v>
      </c>
      <c r="AA653" s="7" t="n">
        <v>110461.3398848349</v>
      </c>
      <c r="AB653" s="7" t="n">
        <v>1100082.675008575</v>
      </c>
      <c r="AC653" s="7" t="n">
        <v>1100082.675008575</v>
      </c>
      <c r="AD653" s="7" t="n">
        <v>0</v>
      </c>
      <c r="AE653" s="6" t="n">
        <v>0</v>
      </c>
    </row>
    <row r="654">
      <c r="A654" s="2" t="n">
        <v>645</v>
      </c>
      <c r="B654" s="2" t="inlineStr">
        <is>
          <t>KPROP-00645</t>
        </is>
      </c>
      <c r="C654" s="3" t="n">
        <v>46134</v>
      </c>
      <c r="D654" s="2" t="inlineStr">
        <is>
          <t>Logan Gilbert</t>
        </is>
      </c>
      <c r="E654" s="2" t="inlineStr">
        <is>
          <t>Win</t>
        </is>
      </c>
      <c r="F654" s="2" t="n">
        <v>1.11</v>
      </c>
      <c r="G654" s="6" t="n">
        <v>0.3047932390760104</v>
      </c>
      <c r="H654" s="7" t="n">
        <v>100</v>
      </c>
      <c r="I654" s="7" t="n">
        <v>111</v>
      </c>
      <c r="J654" s="7" t="n">
        <v>18237.31860450015</v>
      </c>
      <c r="K654" s="7" t="n">
        <v>18237.31860450015</v>
      </c>
      <c r="L654" s="7" t="n">
        <v>0</v>
      </c>
      <c r="M654" s="6" t="n">
        <v>0</v>
      </c>
      <c r="N654" s="7" t="n">
        <v>218.3522817597651</v>
      </c>
      <c r="O654" s="7" t="n">
        <v>242.3710327533393</v>
      </c>
      <c r="P654" s="7" t="n">
        <v>22077.59920872985</v>
      </c>
      <c r="Q654" s="7" t="n">
        <v>22077.59920872985</v>
      </c>
      <c r="R654" s="7" t="n">
        <v>0</v>
      </c>
      <c r="S654" s="6" t="n">
        <v>0</v>
      </c>
      <c r="T654" s="7" t="n">
        <v>18137.09034865647</v>
      </c>
      <c r="U654" s="7" t="n">
        <v>20132.17028700868</v>
      </c>
      <c r="V654" s="7" t="n">
        <v>258157.0084184527</v>
      </c>
      <c r="W654" s="7" t="n">
        <v>258157.0084184527</v>
      </c>
      <c r="X654" s="7" t="n">
        <v>0</v>
      </c>
      <c r="Y654" s="6" t="n">
        <v>0</v>
      </c>
      <c r="Z654" s="7" t="n">
        <v>167648.8808836328</v>
      </c>
      <c r="AA654" s="7" t="n">
        <v>186090.2577808324</v>
      </c>
      <c r="AB654" s="7" t="n">
        <v>1286172.932789407</v>
      </c>
      <c r="AC654" s="7" t="n">
        <v>1286172.932789407</v>
      </c>
      <c r="AD654" s="7" t="n">
        <v>0</v>
      </c>
      <c r="AE654" s="6" t="n">
        <v>0</v>
      </c>
    </row>
    <row r="655">
      <c r="A655" s="2" t="n">
        <v>646</v>
      </c>
      <c r="B655" s="2" t="inlineStr">
        <is>
          <t>KPROP-00646</t>
        </is>
      </c>
      <c r="C655" s="3" t="n">
        <v>46134</v>
      </c>
      <c r="D655" s="2" t="inlineStr">
        <is>
          <t>Matthew Boyd</t>
        </is>
      </c>
      <c r="E655" s="2" t="inlineStr">
        <is>
          <t>Loss</t>
        </is>
      </c>
      <c r="F655" s="2" t="n">
        <v>-1</v>
      </c>
      <c r="G655" s="6" t="n">
        <v>0.1359882928318328</v>
      </c>
      <c r="H655" s="7" t="n">
        <v>100</v>
      </c>
      <c r="I655" s="7" t="n">
        <v>-100</v>
      </c>
      <c r="J655" s="7" t="n">
        <v>18137.31860450015</v>
      </c>
      <c r="K655" s="7" t="n">
        <v>18237.31860450015</v>
      </c>
      <c r="L655" s="7" t="n">
        <v>-100</v>
      </c>
      <c r="M655" s="6" t="n">
        <v>-0.005483262214617696</v>
      </c>
      <c r="N655" s="7" t="n">
        <v>220.7759920872985</v>
      </c>
      <c r="O655" s="7" t="n">
        <v>-220.7759920872985</v>
      </c>
      <c r="P655" s="7" t="n">
        <v>21856.82321664255</v>
      </c>
      <c r="Q655" s="7" t="n">
        <v>22077.59920872985</v>
      </c>
      <c r="R655" s="7" t="n">
        <v>-220.7759920872995</v>
      </c>
      <c r="S655" s="6" t="n">
        <v>-0.01000000000000005</v>
      </c>
      <c r="T655" s="7" t="n">
        <v>8776.582714349617</v>
      </c>
      <c r="U655" s="7" t="n">
        <v>-8776.582714349617</v>
      </c>
      <c r="V655" s="7" t="n">
        <v>249380.4257041031</v>
      </c>
      <c r="W655" s="7" t="n">
        <v>258157.0084184527</v>
      </c>
      <c r="X655" s="7" t="n">
        <v>-8776.582714349614</v>
      </c>
      <c r="Y655" s="6" t="n">
        <v>-0.03399707320795819</v>
      </c>
      <c r="Z655" s="7" t="n">
        <v>87452.23070827156</v>
      </c>
      <c r="AA655" s="7" t="n">
        <v>-87452.23070827156</v>
      </c>
      <c r="AB655" s="7" t="n">
        <v>1198720.702081136</v>
      </c>
      <c r="AC655" s="7" t="n">
        <v>1286172.932789407</v>
      </c>
      <c r="AD655" s="7" t="n">
        <v>-87452.2307082715</v>
      </c>
      <c r="AE655" s="6" t="n">
        <v>-0.06799414641591635</v>
      </c>
    </row>
    <row r="656">
      <c r="A656" s="2" t="n">
        <v>647</v>
      </c>
      <c r="B656" s="2" t="inlineStr">
        <is>
          <t>KPROP-00647</t>
        </is>
      </c>
      <c r="C656" s="3" t="n">
        <v>46134</v>
      </c>
      <c r="D656" s="2" t="inlineStr">
        <is>
          <t>Matthew Boyd</t>
        </is>
      </c>
      <c r="E656" s="2" t="inlineStr">
        <is>
          <t>Win</t>
        </is>
      </c>
      <c r="F656" s="2" t="n">
        <v>0.6666666666666665</v>
      </c>
      <c r="G656" s="6" t="n">
        <v>0.1922394462222397</v>
      </c>
      <c r="H656" s="7" t="n">
        <v>100</v>
      </c>
      <c r="I656" s="7" t="n">
        <v>66.66666666666666</v>
      </c>
      <c r="J656" s="7" t="n">
        <v>18203.98527116682</v>
      </c>
      <c r="K656" s="7" t="n">
        <v>18237.31860450015</v>
      </c>
      <c r="L656" s="7" t="n">
        <v>-33.33333333333212</v>
      </c>
      <c r="M656" s="6" t="n">
        <v>-0.001827754071539165</v>
      </c>
      <c r="N656" s="7" t="n">
        <v>218.5682321664255</v>
      </c>
      <c r="O656" s="7" t="n">
        <v>145.712154777617</v>
      </c>
      <c r="P656" s="7" t="n">
        <v>22002.53537142017</v>
      </c>
      <c r="Q656" s="7" t="n">
        <v>22077.59920872985</v>
      </c>
      <c r="R656" s="7" t="n">
        <v>-75.06383730968082</v>
      </c>
      <c r="S656" s="6" t="n">
        <v>-0.003399999999999969</v>
      </c>
      <c r="T656" s="7" t="n">
        <v>11985.18873400579</v>
      </c>
      <c r="U656" s="7" t="n">
        <v>7990.125822670527</v>
      </c>
      <c r="V656" s="7" t="n">
        <v>257370.5515267736</v>
      </c>
      <c r="W656" s="7" t="n">
        <v>258157.0084184527</v>
      </c>
      <c r="X656" s="7" t="n">
        <v>-786.4568916790886</v>
      </c>
      <c r="Y656" s="6" t="n">
        <v>-0.003046428592030716</v>
      </c>
      <c r="Z656" s="7" t="n">
        <v>115220.701971606</v>
      </c>
      <c r="AA656" s="7" t="n">
        <v>76813.80131440396</v>
      </c>
      <c r="AB656" s="7" t="n">
        <v>1275534.50339554</v>
      </c>
      <c r="AC656" s="7" t="n">
        <v>1286172.932789407</v>
      </c>
      <c r="AD656" s="7" t="n">
        <v>-10638.4293938675</v>
      </c>
      <c r="AE656" s="6" t="n">
        <v>-0.008271383359619643</v>
      </c>
    </row>
    <row r="657">
      <c r="A657" s="2" t="n">
        <v>648</v>
      </c>
      <c r="B657" s="2" t="inlineStr">
        <is>
          <t>KPROP-00648</t>
        </is>
      </c>
      <c r="C657" s="3" t="n">
        <v>46134</v>
      </c>
      <c r="D657" s="2" t="inlineStr">
        <is>
          <t>Peter Lambert</t>
        </is>
      </c>
      <c r="E657" s="2" t="inlineStr">
        <is>
          <t>Loss</t>
        </is>
      </c>
      <c r="F657" s="2" t="n">
        <v>-1</v>
      </c>
      <c r="G657" s="6" t="n">
        <v>0.1249097219252349</v>
      </c>
      <c r="H657" s="7" t="n">
        <v>100</v>
      </c>
      <c r="I657" s="7" t="n">
        <v>-100</v>
      </c>
      <c r="J657" s="7" t="n">
        <v>18103.98527116682</v>
      </c>
      <c r="K657" s="7" t="n">
        <v>18237.31860450015</v>
      </c>
      <c r="L657" s="7" t="n">
        <v>-133.3333333333321</v>
      </c>
      <c r="M657" s="6" t="n">
        <v>-0.007311016286156861</v>
      </c>
      <c r="N657" s="7" t="n">
        <v>220.0253537142017</v>
      </c>
      <c r="O657" s="7" t="n">
        <v>-220.0253537142017</v>
      </c>
      <c r="P657" s="7" t="n">
        <v>21782.51001770597</v>
      </c>
      <c r="Q657" s="7" t="n">
        <v>22077.59920872985</v>
      </c>
      <c r="R657" s="7" t="n">
        <v>-295.0891910238824</v>
      </c>
      <c r="S657" s="6" t="n">
        <v>-0.01336599999999997</v>
      </c>
      <c r="T657" s="7" t="n">
        <v>8037.021005738407</v>
      </c>
      <c r="U657" s="7" t="n">
        <v>-8037.021005738407</v>
      </c>
      <c r="V657" s="7" t="n">
        <v>249333.5305210352</v>
      </c>
      <c r="W657" s="7" t="n">
        <v>258157.0084184527</v>
      </c>
      <c r="X657" s="7" t="n">
        <v>-8823.477897417499</v>
      </c>
      <c r="Y657" s="6" t="n">
        <v>-0.03417872693626554</v>
      </c>
      <c r="Z657" s="7" t="n">
        <v>79663.33006258972</v>
      </c>
      <c r="AA657" s="7" t="n">
        <v>-79663.33006258972</v>
      </c>
      <c r="AB657" s="7" t="n">
        <v>1195871.17333295</v>
      </c>
      <c r="AC657" s="7" t="n">
        <v>1286172.932789407</v>
      </c>
      <c r="AD657" s="7" t="n">
        <v>-90301.7594564571</v>
      </c>
      <c r="AE657" s="6" t="n">
        <v>-0.07020965622454345</v>
      </c>
    </row>
    <row r="658">
      <c r="A658" s="2" t="n">
        <v>649</v>
      </c>
      <c r="B658" s="2" t="inlineStr">
        <is>
          <t>KPROP-00649</t>
        </is>
      </c>
      <c r="C658" s="3" t="n">
        <v>46134</v>
      </c>
      <c r="D658" s="2" t="inlineStr">
        <is>
          <t>Peter Lambert</t>
        </is>
      </c>
      <c r="E658" s="2" t="inlineStr">
        <is>
          <t>Loss</t>
        </is>
      </c>
      <c r="F658" s="2" t="n">
        <v>-1</v>
      </c>
      <c r="G658" s="6" t="n">
        <v>0.2274659893140588</v>
      </c>
      <c r="H658" s="7" t="n">
        <v>100</v>
      </c>
      <c r="I658" s="7" t="n">
        <v>-100</v>
      </c>
      <c r="J658" s="7" t="n">
        <v>18003.98527116682</v>
      </c>
      <c r="K658" s="7" t="n">
        <v>18237.31860450015</v>
      </c>
      <c r="L658" s="7" t="n">
        <v>-233.3333333333321</v>
      </c>
      <c r="M658" s="6" t="n">
        <v>-0.01279427850077456</v>
      </c>
      <c r="N658" s="7" t="n">
        <v>217.8251001770597</v>
      </c>
      <c r="O658" s="7" t="n">
        <v>-217.8251001770597</v>
      </c>
      <c r="P658" s="7" t="n">
        <v>21564.68491752891</v>
      </c>
      <c r="Q658" s="7" t="n">
        <v>22077.59920872985</v>
      </c>
      <c r="R658" s="7" t="n">
        <v>-512.9142912009411</v>
      </c>
      <c r="S658" s="6" t="n">
        <v>-0.02323233999999992</v>
      </c>
      <c r="T658" s="7" t="n">
        <v>14178.72454728359</v>
      </c>
      <c r="U658" s="7" t="n">
        <v>-14178.72454728359</v>
      </c>
      <c r="V658" s="7" t="n">
        <v>235154.8059737516</v>
      </c>
      <c r="W658" s="7" t="n">
        <v>258157.0084184527</v>
      </c>
      <c r="X658" s="7" t="n">
        <v>-23002.20244470108</v>
      </c>
      <c r="Y658" s="6" t="n">
        <v>-0.08910159978076704</v>
      </c>
      <c r="Z658" s="7" t="n">
        <v>136010.0097671719</v>
      </c>
      <c r="AA658" s="7" t="n">
        <v>-136010.0097671719</v>
      </c>
      <c r="AB658" s="7" t="n">
        <v>1059861.163565778</v>
      </c>
      <c r="AC658" s="7" t="n">
        <v>1286172.932789407</v>
      </c>
      <c r="AD658" s="7" t="n">
        <v>-226311.769223629</v>
      </c>
      <c r="AE658" s="6" t="n">
        <v>-0.175957496425315</v>
      </c>
    </row>
    <row r="659">
      <c r="A659" s="2" t="n">
        <v>650</v>
      </c>
      <c r="B659" s="2" t="inlineStr">
        <is>
          <t>KPROP-00650</t>
        </is>
      </c>
      <c r="C659" s="3" t="n">
        <v>46134</v>
      </c>
      <c r="D659" s="2" t="inlineStr">
        <is>
          <t>Ranger Suarez</t>
        </is>
      </c>
      <c r="E659" s="2" t="inlineStr">
        <is>
          <t>Win</t>
        </is>
      </c>
      <c r="F659" s="2" t="n">
        <v>1.32</v>
      </c>
      <c r="G659" s="6" t="n">
        <v>0.1401800525627064</v>
      </c>
      <c r="H659" s="7" t="n">
        <v>100</v>
      </c>
      <c r="I659" s="7" t="n">
        <v>132</v>
      </c>
      <c r="J659" s="7" t="n">
        <v>18135.98527116682</v>
      </c>
      <c r="K659" s="7" t="n">
        <v>18237.31860450015</v>
      </c>
      <c r="L659" s="7" t="n">
        <v>-101.3333333333321</v>
      </c>
      <c r="M659" s="6" t="n">
        <v>-0.005556372377479198</v>
      </c>
      <c r="N659" s="7" t="n">
        <v>215.6468491752891</v>
      </c>
      <c r="O659" s="7" t="n">
        <v>284.6538409113817</v>
      </c>
      <c r="P659" s="7" t="n">
        <v>21849.33875844029</v>
      </c>
      <c r="Q659" s="7" t="n">
        <v>22077.59920872985</v>
      </c>
      <c r="R659" s="7" t="n">
        <v>-228.2604502895592</v>
      </c>
      <c r="S659" s="6" t="n">
        <v>-0.01033900688799991</v>
      </c>
      <c r="T659" s="7" t="n">
        <v>8241.003265443378</v>
      </c>
      <c r="U659" s="7" t="n">
        <v>10878.12431038526</v>
      </c>
      <c r="V659" s="7" t="n">
        <v>246032.9302841368</v>
      </c>
      <c r="W659" s="7" t="n">
        <v>258157.0084184527</v>
      </c>
      <c r="X659" s="7" t="n">
        <v>-12124.07813431582</v>
      </c>
      <c r="Y659" s="6" t="n">
        <v>-0.04696397052550135</v>
      </c>
      <c r="Z659" s="7" t="n">
        <v>74285.69680891094</v>
      </c>
      <c r="AA659" s="7" t="n">
        <v>98057.11978776247</v>
      </c>
      <c r="AB659" s="7" t="n">
        <v>1157918.283353541</v>
      </c>
      <c r="AC659" s="7" t="n">
        <v>1286172.932789407</v>
      </c>
      <c r="AD659" s="7" t="n">
        <v>-128254.6494358666</v>
      </c>
      <c r="AE659" s="6" t="n">
        <v>-0.09971804425841274</v>
      </c>
    </row>
    <row r="660">
      <c r="A660" s="2" t="n">
        <v>651</v>
      </c>
      <c r="B660" s="2" t="inlineStr">
        <is>
          <t>KPROP-00651</t>
        </is>
      </c>
      <c r="C660" s="3" t="n">
        <v>46134</v>
      </c>
      <c r="D660" s="2" t="inlineStr">
        <is>
          <t>Ranger Suarez</t>
        </is>
      </c>
      <c r="E660" s="2" t="inlineStr">
        <is>
          <t>Win</t>
        </is>
      </c>
      <c r="F660" s="2" t="n">
        <v>0.6289308176100628</v>
      </c>
      <c r="G660" s="6" t="n">
        <v>0.1802903038663805</v>
      </c>
      <c r="H660" s="7" t="n">
        <v>100</v>
      </c>
      <c r="I660" s="7" t="n">
        <v>62.89308176100627</v>
      </c>
      <c r="J660" s="7" t="n">
        <v>18198.87835292782</v>
      </c>
      <c r="K660" s="7" t="n">
        <v>18237.31860450015</v>
      </c>
      <c r="L660" s="7" t="n">
        <v>-38.44025157232682</v>
      </c>
      <c r="M660" s="6" t="n">
        <v>-0.002107779789669381</v>
      </c>
      <c r="N660" s="7" t="n">
        <v>218.4933875844029</v>
      </c>
      <c r="O660" s="7" t="n">
        <v>137.4172248958509</v>
      </c>
      <c r="P660" s="7" t="n">
        <v>21986.75598333614</v>
      </c>
      <c r="Q660" s="7" t="n">
        <v>22077.59920872985</v>
      </c>
      <c r="R660" s="7" t="n">
        <v>-90.84322539370987</v>
      </c>
      <c r="S660" s="6" t="n">
        <v>-0.004114723912452806</v>
      </c>
      <c r="T660" s="7" t="n">
        <v>11089.33794051576</v>
      </c>
      <c r="U660" s="7" t="n">
        <v>6974.426377682866</v>
      </c>
      <c r="V660" s="7" t="n">
        <v>253007.3566618197</v>
      </c>
      <c r="W660" s="7" t="n">
        <v>258157.0084184527</v>
      </c>
      <c r="X660" s="7" t="n">
        <v>-5149.651756632957</v>
      </c>
      <c r="Y660" s="6" t="n">
        <v>-0.01994775113091552</v>
      </c>
      <c r="Z660" s="7" t="n">
        <v>104380.7195791237</v>
      </c>
      <c r="AA660" s="7" t="n">
        <v>65648.25130762499</v>
      </c>
      <c r="AB660" s="7" t="n">
        <v>1223566.534661166</v>
      </c>
      <c r="AC660" s="7" t="n">
        <v>1286172.932789407</v>
      </c>
      <c r="AD660" s="7" t="n">
        <v>-62606.39812824153</v>
      </c>
      <c r="AE660" s="6" t="n">
        <v>-0.04867650106153529</v>
      </c>
    </row>
    <row r="661">
      <c r="A661" s="2" t="n">
        <v>652</v>
      </c>
      <c r="B661" s="2" t="inlineStr">
        <is>
          <t>KPROP-00652</t>
        </is>
      </c>
      <c r="C661" s="3" t="n">
        <v>46135</v>
      </c>
      <c r="D661" s="2" t="inlineStr">
        <is>
          <t>Joe Ryan</t>
        </is>
      </c>
      <c r="E661" s="2" t="inlineStr">
        <is>
          <t>Win</t>
        </is>
      </c>
      <c r="F661" s="2" t="n">
        <v>1.25</v>
      </c>
      <c r="G661" s="6" t="n">
        <v>0.05825483975335812</v>
      </c>
      <c r="H661" s="7" t="n">
        <v>100</v>
      </c>
      <c r="I661" s="7" t="n">
        <v>125</v>
      </c>
      <c r="J661" s="7" t="n">
        <v>18323.87835292782</v>
      </c>
      <c r="K661" s="7" t="n">
        <v>18323.87835292782</v>
      </c>
      <c r="L661" s="7" t="n">
        <v>0</v>
      </c>
      <c r="M661" s="6" t="n">
        <v>0</v>
      </c>
      <c r="N661" s="7" t="n">
        <v>219.8675598333614</v>
      </c>
      <c r="O661" s="7" t="n">
        <v>274.8344497917018</v>
      </c>
      <c r="P661" s="7" t="n">
        <v>22261.59043312784</v>
      </c>
      <c r="Q661" s="7" t="n">
        <v>22261.59043312784</v>
      </c>
      <c r="R661" s="7" t="n">
        <v>0</v>
      </c>
      <c r="S661" s="6" t="n">
        <v>0</v>
      </c>
      <c r="T661" s="7" t="n">
        <v>3684.725754688758</v>
      </c>
      <c r="U661" s="7" t="n">
        <v>4605.907193360947</v>
      </c>
      <c r="V661" s="7" t="n">
        <v>257613.2638551806</v>
      </c>
      <c r="W661" s="7" t="n">
        <v>258157.0084184527</v>
      </c>
      <c r="X661" s="7" t="n">
        <v>-543.7445632720191</v>
      </c>
      <c r="Y661" s="6" t="n">
        <v>-0.002106255284732193</v>
      </c>
      <c r="Z661" s="7" t="n">
        <v>35639.33620212896</v>
      </c>
      <c r="AA661" s="7" t="n">
        <v>44549.1702526612</v>
      </c>
      <c r="AB661" s="7" t="n">
        <v>1268115.704913827</v>
      </c>
      <c r="AC661" s="7" t="n">
        <v>1286172.932789407</v>
      </c>
      <c r="AD661" s="7" t="n">
        <v>-18057.22787558031</v>
      </c>
      <c r="AE661" s="6" t="n">
        <v>-0.01403950232137013</v>
      </c>
    </row>
    <row r="662">
      <c r="A662" s="2" t="n">
        <v>653</v>
      </c>
      <c r="B662" s="2" t="inlineStr">
        <is>
          <t>KPROP-00653</t>
        </is>
      </c>
      <c r="C662" s="3" t="n">
        <v>46135</v>
      </c>
      <c r="D662" s="2" t="inlineStr">
        <is>
          <t>Logan Webb</t>
        </is>
      </c>
      <c r="E662" s="2" t="inlineStr">
        <is>
          <t>Win</t>
        </is>
      </c>
      <c r="F662" s="2" t="n">
        <v>1.18</v>
      </c>
      <c r="G662" s="6" t="n">
        <v>0.1205322080157298</v>
      </c>
      <c r="H662" s="7" t="n">
        <v>100</v>
      </c>
      <c r="I662" s="7" t="n">
        <v>118</v>
      </c>
      <c r="J662" s="7" t="n">
        <v>18441.87835292782</v>
      </c>
      <c r="K662" s="7" t="n">
        <v>18441.87835292782</v>
      </c>
      <c r="L662" s="7" t="n">
        <v>0</v>
      </c>
      <c r="M662" s="6" t="n">
        <v>0</v>
      </c>
      <c r="N662" s="7" t="n">
        <v>222.6159043312784</v>
      </c>
      <c r="O662" s="7" t="n">
        <v>262.6867671109085</v>
      </c>
      <c r="P662" s="7" t="n">
        <v>22524.27720023875</v>
      </c>
      <c r="Q662" s="7" t="n">
        <v>22524.27720023875</v>
      </c>
      <c r="R662" s="7" t="n">
        <v>0</v>
      </c>
      <c r="S662" s="6" t="n">
        <v>0</v>
      </c>
      <c r="T662" s="7" t="n">
        <v>7762.673876650932</v>
      </c>
      <c r="U662" s="7" t="n">
        <v>9159.955174448098</v>
      </c>
      <c r="V662" s="7" t="n">
        <v>266773.2190296287</v>
      </c>
      <c r="W662" s="7" t="n">
        <v>266773.2190296287</v>
      </c>
      <c r="X662" s="7" t="n">
        <v>0</v>
      </c>
      <c r="Y662" s="6" t="n">
        <v>0</v>
      </c>
      <c r="Z662" s="7" t="n">
        <v>76424.39296634363</v>
      </c>
      <c r="AA662" s="7" t="n">
        <v>90180.78370028546</v>
      </c>
      <c r="AB662" s="7" t="n">
        <v>1358296.488614112</v>
      </c>
      <c r="AC662" s="7" t="n">
        <v>1358296.488614112</v>
      </c>
      <c r="AD662" s="7" t="n">
        <v>0</v>
      </c>
      <c r="AE662" s="6" t="n">
        <v>0</v>
      </c>
    </row>
    <row r="663">
      <c r="A663" s="2" t="n">
        <v>654</v>
      </c>
      <c r="B663" s="2" t="inlineStr">
        <is>
          <t>KPROP-00654</t>
        </is>
      </c>
      <c r="C663" s="3" t="n">
        <v>46135</v>
      </c>
      <c r="D663" s="2" t="inlineStr">
        <is>
          <t>Michael Soroka</t>
        </is>
      </c>
      <c r="E663" s="2" t="inlineStr">
        <is>
          <t>Loss</t>
        </is>
      </c>
      <c r="F663" s="2" t="n">
        <v>-1</v>
      </c>
      <c r="G663" s="6" t="n">
        <v>0.1176531644176402</v>
      </c>
      <c r="H663" s="7" t="n">
        <v>100</v>
      </c>
      <c r="I663" s="7" t="n">
        <v>-100</v>
      </c>
      <c r="J663" s="7" t="n">
        <v>18341.87835292782</v>
      </c>
      <c r="K663" s="7" t="n">
        <v>18441.87835292782</v>
      </c>
      <c r="L663" s="7" t="n">
        <v>-100</v>
      </c>
      <c r="M663" s="6" t="n">
        <v>-0.005422441146518248</v>
      </c>
      <c r="N663" s="7" t="n">
        <v>225.2427720023875</v>
      </c>
      <c r="O663" s="7" t="n">
        <v>-225.2427720023875</v>
      </c>
      <c r="P663" s="7" t="n">
        <v>22299.03442823636</v>
      </c>
      <c r="Q663" s="7" t="n">
        <v>22524.27720023875</v>
      </c>
      <c r="R663" s="7" t="n">
        <v>-225.2427720023879</v>
      </c>
      <c r="S663" s="6" t="n">
        <v>-0.01000000000000002</v>
      </c>
      <c r="T663" s="7" t="n">
        <v>7846.678350179012</v>
      </c>
      <c r="U663" s="7" t="n">
        <v>-7846.678350179012</v>
      </c>
      <c r="V663" s="7" t="n">
        <v>258926.5406794497</v>
      </c>
      <c r="W663" s="7" t="n">
        <v>266773.2190296287</v>
      </c>
      <c r="X663" s="7" t="n">
        <v>-7846.67835017902</v>
      </c>
      <c r="Y663" s="6" t="n">
        <v>-0.02941329110441008</v>
      </c>
      <c r="Z663" s="7" t="n">
        <v>79903.94005140975</v>
      </c>
      <c r="AA663" s="7" t="n">
        <v>-79903.94005140975</v>
      </c>
      <c r="AB663" s="7" t="n">
        <v>1278392.548562703</v>
      </c>
      <c r="AC663" s="7" t="n">
        <v>1358296.488614112</v>
      </c>
      <c r="AD663" s="7" t="n">
        <v>-79903.94005140965</v>
      </c>
      <c r="AE663" s="6" t="n">
        <v>-0.05882658220882002</v>
      </c>
    </row>
    <row r="664">
      <c r="A664" s="2" t="n">
        <v>655</v>
      </c>
      <c r="B664" s="2" t="inlineStr">
        <is>
          <t>KPROP-00655</t>
        </is>
      </c>
      <c r="C664" s="3" t="n">
        <v>46135</v>
      </c>
      <c r="D664" s="2" t="inlineStr">
        <is>
          <t>Tarik Skubal</t>
        </is>
      </c>
      <c r="E664" s="2" t="inlineStr">
        <is>
          <t>Win</t>
        </is>
      </c>
      <c r="F664" s="2" t="n">
        <v>1.48</v>
      </c>
      <c r="G664" s="6" t="n">
        <v>0.2103727860828885</v>
      </c>
      <c r="H664" s="7" t="n">
        <v>100</v>
      </c>
      <c r="I664" s="7" t="n">
        <v>148</v>
      </c>
      <c r="J664" s="7" t="n">
        <v>18489.87835292782</v>
      </c>
      <c r="K664" s="7" t="n">
        <v>18489.87835292782</v>
      </c>
      <c r="L664" s="7" t="n">
        <v>0</v>
      </c>
      <c r="M664" s="6" t="n">
        <v>0</v>
      </c>
      <c r="N664" s="7" t="n">
        <v>222.9903442823636</v>
      </c>
      <c r="O664" s="7" t="n">
        <v>330.0257095378981</v>
      </c>
      <c r="P664" s="7" t="n">
        <v>22629.06013777426</v>
      </c>
      <c r="Q664" s="7" t="n">
        <v>22629.06013777426</v>
      </c>
      <c r="R664" s="7" t="n">
        <v>0</v>
      </c>
      <c r="S664" s="6" t="n">
        <v>0</v>
      </c>
      <c r="T664" s="7" t="n">
        <v>13617.77443838505</v>
      </c>
      <c r="U664" s="7" t="n">
        <v>20154.30616880987</v>
      </c>
      <c r="V664" s="7" t="n">
        <v>279080.8468482596</v>
      </c>
      <c r="W664" s="7" t="n">
        <v>279080.8468482596</v>
      </c>
      <c r="X664" s="7" t="n">
        <v>0</v>
      </c>
      <c r="Y664" s="6" t="n">
        <v>0</v>
      </c>
      <c r="Z664" s="7" t="n">
        <v>134469.50107437</v>
      </c>
      <c r="AA664" s="7" t="n">
        <v>199014.8615900676</v>
      </c>
      <c r="AB664" s="7" t="n">
        <v>1477407.41015277</v>
      </c>
      <c r="AC664" s="7" t="n">
        <v>1477407.41015277</v>
      </c>
      <c r="AD664" s="7" t="n">
        <v>0</v>
      </c>
      <c r="AE664" s="6" t="n">
        <v>0</v>
      </c>
    </row>
    <row r="665">
      <c r="A665" s="2" t="n">
        <v>656</v>
      </c>
      <c r="B665" s="2" t="inlineStr">
        <is>
          <t>KPROP-00656</t>
        </is>
      </c>
      <c r="C665" s="3" t="n">
        <v>46135</v>
      </c>
      <c r="D665" s="2" t="inlineStr">
        <is>
          <t>Tarik Skubal</t>
        </is>
      </c>
      <c r="E665" s="2" t="inlineStr">
        <is>
          <t>Win</t>
        </is>
      </c>
      <c r="F665" s="2" t="n">
        <v>0.7299270072992701</v>
      </c>
      <c r="G665" s="6" t="n">
        <v>0.2293760316296141</v>
      </c>
      <c r="H665" s="7" t="n">
        <v>100</v>
      </c>
      <c r="I665" s="7" t="n">
        <v>72.99270072992701</v>
      </c>
      <c r="J665" s="7" t="n">
        <v>18562.87105365775</v>
      </c>
      <c r="K665" s="7" t="n">
        <v>18562.87105365775</v>
      </c>
      <c r="L665" s="7" t="n">
        <v>0</v>
      </c>
      <c r="M665" s="6" t="n">
        <v>0</v>
      </c>
      <c r="N665" s="7" t="n">
        <v>226.2906013777426</v>
      </c>
      <c r="O665" s="7" t="n">
        <v>165.1756214436078</v>
      </c>
      <c r="P665" s="7" t="n">
        <v>22794.23575921787</v>
      </c>
      <c r="Q665" s="7" t="n">
        <v>22794.23575921787</v>
      </c>
      <c r="R665" s="7" t="n">
        <v>0</v>
      </c>
      <c r="S665" s="6" t="n">
        <v>0</v>
      </c>
      <c r="T665" s="7" t="n">
        <v>16003.61428847147</v>
      </c>
      <c r="U665" s="7" t="n">
        <v>11681.47028355582</v>
      </c>
      <c r="V665" s="7" t="n">
        <v>290762.3171318154</v>
      </c>
      <c r="W665" s="7" t="n">
        <v>290762.3171318154</v>
      </c>
      <c r="X665" s="7" t="n">
        <v>0</v>
      </c>
      <c r="Y665" s="6" t="n">
        <v>0</v>
      </c>
      <c r="Z665" s="7" t="n">
        <v>169440.9244205141</v>
      </c>
      <c r="AA665" s="7" t="n">
        <v>123679.5068762876</v>
      </c>
      <c r="AB665" s="7" t="n">
        <v>1601086.917029058</v>
      </c>
      <c r="AC665" s="7" t="n">
        <v>1601086.917029058</v>
      </c>
      <c r="AD665" s="7" t="n">
        <v>0</v>
      </c>
      <c r="AE665" s="6" t="n">
        <v>0</v>
      </c>
    </row>
    <row r="666">
      <c r="A666" s="2" t="n">
        <v>657</v>
      </c>
      <c r="B666" s="2" t="inlineStr">
        <is>
          <t>KPROP-00657</t>
        </is>
      </c>
      <c r="C666" s="3" t="n">
        <v>46135</v>
      </c>
      <c r="D666" s="2" t="inlineStr">
        <is>
          <t>Tyler Glasnow</t>
        </is>
      </c>
      <c r="E666" s="2" t="inlineStr">
        <is>
          <t>Loss</t>
        </is>
      </c>
      <c r="F666" s="2" t="n">
        <v>-1</v>
      </c>
      <c r="G666" s="6" t="n">
        <v>0.1953896014596501</v>
      </c>
      <c r="H666" s="7" t="n">
        <v>100</v>
      </c>
      <c r="I666" s="7" t="n">
        <v>-100</v>
      </c>
      <c r="J666" s="7" t="n">
        <v>18462.87105365775</v>
      </c>
      <c r="K666" s="7" t="n">
        <v>18562.87105365775</v>
      </c>
      <c r="L666" s="7" t="n">
        <v>-100</v>
      </c>
      <c r="M666" s="6" t="n">
        <v>-0.005387097702232616</v>
      </c>
      <c r="N666" s="7" t="n">
        <v>227.9423575921787</v>
      </c>
      <c r="O666" s="7" t="n">
        <v>-227.9423575921787</v>
      </c>
      <c r="P666" s="7" t="n">
        <v>22566.29340162569</v>
      </c>
      <c r="Q666" s="7" t="n">
        <v>22794.23575921787</v>
      </c>
      <c r="R666" s="7" t="n">
        <v>-227.9423575921792</v>
      </c>
      <c r="S666" s="6" t="n">
        <v>-0.01000000000000002</v>
      </c>
      <c r="T666" s="7" t="n">
        <v>14202.98331596745</v>
      </c>
      <c r="U666" s="7" t="n">
        <v>-14202.98331596745</v>
      </c>
      <c r="V666" s="7" t="n">
        <v>276559.3338158479</v>
      </c>
      <c r="W666" s="7" t="n">
        <v>290762.3171318154</v>
      </c>
      <c r="X666" s="7" t="n">
        <v>-14202.98331596743</v>
      </c>
      <c r="Y666" s="6" t="n">
        <v>-0.04884740036491246</v>
      </c>
      <c r="Z666" s="7" t="n">
        <v>156417.8673102838</v>
      </c>
      <c r="AA666" s="7" t="n">
        <v>-156417.8673102838</v>
      </c>
      <c r="AB666" s="7" t="n">
        <v>1444669.049718774</v>
      </c>
      <c r="AC666" s="7" t="n">
        <v>1601086.917029058</v>
      </c>
      <c r="AD666" s="7" t="n">
        <v>-156417.8673102837</v>
      </c>
      <c r="AE666" s="6" t="n">
        <v>-0.09769480072982502</v>
      </c>
    </row>
    <row r="667">
      <c r="A667" s="2" t="n">
        <v>658</v>
      </c>
      <c r="B667" s="2" t="inlineStr">
        <is>
          <t>KPROP-00658</t>
        </is>
      </c>
      <c r="C667" s="3" t="n">
        <v>46136</v>
      </c>
      <c r="D667" s="2" t="inlineStr">
        <is>
          <t>Freddy Peralta</t>
        </is>
      </c>
      <c r="E667" s="2" t="inlineStr">
        <is>
          <t>Loss</t>
        </is>
      </c>
      <c r="F667" s="2" t="n">
        <v>-1</v>
      </c>
      <c r="G667" s="6" t="n">
        <v>0.250598842080653</v>
      </c>
      <c r="H667" s="7" t="n">
        <v>100</v>
      </c>
      <c r="I667" s="7" t="n">
        <v>-100</v>
      </c>
      <c r="J667" s="7" t="n">
        <v>18362.87105365775</v>
      </c>
      <c r="K667" s="7" t="n">
        <v>18562.87105365775</v>
      </c>
      <c r="L667" s="7" t="n">
        <v>-200</v>
      </c>
      <c r="M667" s="6" t="n">
        <v>-0.01077419540446523</v>
      </c>
      <c r="N667" s="7" t="n">
        <v>225.6629340162569</v>
      </c>
      <c r="O667" s="7" t="n">
        <v>-225.6629340162569</v>
      </c>
      <c r="P667" s="7" t="n">
        <v>22340.63046760943</v>
      </c>
      <c r="Q667" s="7" t="n">
        <v>22794.23575921787</v>
      </c>
      <c r="R667" s="7" t="n">
        <v>-453.6052916084373</v>
      </c>
      <c r="S667" s="6" t="n">
        <v>-0.01990000000000007</v>
      </c>
      <c r="T667" s="7" t="n">
        <v>17326.36220521207</v>
      </c>
      <c r="U667" s="7" t="n">
        <v>-17326.36220521207</v>
      </c>
      <c r="V667" s="7" t="n">
        <v>259232.9716106359</v>
      </c>
      <c r="W667" s="7" t="n">
        <v>290762.3171318154</v>
      </c>
      <c r="X667" s="7" t="n">
        <v>-31529.34552117949</v>
      </c>
      <c r="Y667" s="6" t="n">
        <v>-0.1084368353925514</v>
      </c>
      <c r="Z667" s="7" t="n">
        <v>181016.1955246411</v>
      </c>
      <c r="AA667" s="7" t="n">
        <v>-181016.1955246411</v>
      </c>
      <c r="AB667" s="7" t="n">
        <v>1263652.854194133</v>
      </c>
      <c r="AC667" s="7" t="n">
        <v>1601086.917029058</v>
      </c>
      <c r="AD667" s="7" t="n">
        <v>-337434.0628349248</v>
      </c>
      <c r="AE667" s="6" t="n">
        <v>-0.2107531198000544</v>
      </c>
    </row>
    <row r="668">
      <c r="A668" s="2" t="n">
        <v>659</v>
      </c>
      <c r="B668" s="2" t="inlineStr">
        <is>
          <t>KPROP-00659</t>
        </is>
      </c>
      <c r="C668" s="3" t="n">
        <v>46136</v>
      </c>
      <c r="D668" s="2" t="inlineStr">
        <is>
          <t>Freddy Peralta</t>
        </is>
      </c>
      <c r="E668" s="2" t="inlineStr">
        <is>
          <t>Loss</t>
        </is>
      </c>
      <c r="F668" s="2" t="n">
        <v>-1</v>
      </c>
      <c r="G668" s="6" t="n">
        <v>0.3402716671389932</v>
      </c>
      <c r="H668" s="7" t="n">
        <v>100</v>
      </c>
      <c r="I668" s="7" t="n">
        <v>-100</v>
      </c>
      <c r="J668" s="7" t="n">
        <v>18262.87105365775</v>
      </c>
      <c r="K668" s="7" t="n">
        <v>18562.87105365775</v>
      </c>
      <c r="L668" s="7" t="n">
        <v>-300</v>
      </c>
      <c r="M668" s="6" t="n">
        <v>-0.01616129310669785</v>
      </c>
      <c r="N668" s="7" t="n">
        <v>223.4063046760943</v>
      </c>
      <c r="O668" s="7" t="n">
        <v>-223.4063046760943</v>
      </c>
      <c r="P668" s="7" t="n">
        <v>22117.22416293334</v>
      </c>
      <c r="Q668" s="7" t="n">
        <v>22794.23575921787</v>
      </c>
      <c r="R668" s="7" t="n">
        <v>-677.0115962845302</v>
      </c>
      <c r="S668" s="6" t="n">
        <v>-0.02970100000000002</v>
      </c>
      <c r="T668" s="7" t="n">
        <v>22052.40885683659</v>
      </c>
      <c r="U668" s="7" t="n">
        <v>-22052.40885683659</v>
      </c>
      <c r="V668" s="7" t="n">
        <v>237180.5627537993</v>
      </c>
      <c r="W668" s="7" t="n">
        <v>290762.3171318154</v>
      </c>
      <c r="X668" s="7" t="n">
        <v>-53581.75437801608</v>
      </c>
      <c r="Y668" s="6" t="n">
        <v>-0.1842802564877247</v>
      </c>
      <c r="Z668" s="7" t="n">
        <v>214992.6316907924</v>
      </c>
      <c r="AA668" s="7" t="n">
        <v>-214992.6316907924</v>
      </c>
      <c r="AB668" s="7" t="n">
        <v>1048660.222503341</v>
      </c>
      <c r="AC668" s="7" t="n">
        <v>1601086.917029058</v>
      </c>
      <c r="AD668" s="7" t="n">
        <v>-552426.6945257173</v>
      </c>
      <c r="AE668" s="6" t="n">
        <v>-0.3450322956549968</v>
      </c>
    </row>
    <row r="669">
      <c r="A669" s="2" t="n">
        <v>660</v>
      </c>
      <c r="B669" s="2" t="inlineStr">
        <is>
          <t>KPROP-00660</t>
        </is>
      </c>
      <c r="C669" s="3" t="n">
        <v>46136</v>
      </c>
      <c r="D669" s="2" t="inlineStr">
        <is>
          <t>Taj Bradley</t>
        </is>
      </c>
      <c r="E669" s="2" t="inlineStr">
        <is>
          <t>Win</t>
        </is>
      </c>
      <c r="F669" s="2" t="n">
        <v>1.35</v>
      </c>
      <c r="G669" s="6" t="n">
        <v>0.08127473411142069</v>
      </c>
      <c r="H669" s="7" t="n">
        <v>100</v>
      </c>
      <c r="I669" s="7" t="n">
        <v>135</v>
      </c>
      <c r="J669" s="7" t="n">
        <v>18397.87105365775</v>
      </c>
      <c r="K669" s="7" t="n">
        <v>18562.87105365775</v>
      </c>
      <c r="L669" s="7" t="n">
        <v>-165</v>
      </c>
      <c r="M669" s="6" t="n">
        <v>-0.008888711208683816</v>
      </c>
      <c r="N669" s="7" t="n">
        <v>221.1722416293334</v>
      </c>
      <c r="O669" s="7" t="n">
        <v>298.5825261996001</v>
      </c>
      <c r="P669" s="7" t="n">
        <v>22415.80668913294</v>
      </c>
      <c r="Q669" s="7" t="n">
        <v>22794.23575921787</v>
      </c>
      <c r="R669" s="7" t="n">
        <v>-378.4290700849306</v>
      </c>
      <c r="S669" s="6" t="n">
        <v>-0.01660196350000003</v>
      </c>
      <c r="T669" s="7" t="n">
        <v>4819.196793553042</v>
      </c>
      <c r="U669" s="7" t="n">
        <v>6505.915671296607</v>
      </c>
      <c r="V669" s="7" t="n">
        <v>243686.4784250959</v>
      </c>
      <c r="W669" s="7" t="n">
        <v>290762.3171318154</v>
      </c>
      <c r="X669" s="7" t="n">
        <v>-47075.83870671946</v>
      </c>
      <c r="Y669" s="6" t="n">
        <v>-0.1619048822113283</v>
      </c>
      <c r="Z669" s="7" t="n">
        <v>42614.79037859114</v>
      </c>
      <c r="AA669" s="7" t="n">
        <v>57529.96701109804</v>
      </c>
      <c r="AB669" s="7" t="n">
        <v>1106190.189514439</v>
      </c>
      <c r="AC669" s="7" t="n">
        <v>1601086.917029058</v>
      </c>
      <c r="AD669" s="7" t="n">
        <v>-494896.7275146192</v>
      </c>
      <c r="AE669" s="6" t="n">
        <v>-0.3091004755900066</v>
      </c>
    </row>
    <row r="670">
      <c r="A670" s="2" t="n">
        <v>661</v>
      </c>
      <c r="B670" s="2" t="inlineStr">
        <is>
          <t>KPROP-00661</t>
        </is>
      </c>
      <c r="C670" s="3" t="n">
        <v>46136</v>
      </c>
      <c r="D670" s="2" t="inlineStr">
        <is>
          <t>Yusei Kikuchi</t>
        </is>
      </c>
      <c r="E670" s="2" t="inlineStr">
        <is>
          <t>Loss</t>
        </is>
      </c>
      <c r="F670" s="2" t="n">
        <v>-1</v>
      </c>
      <c r="G670" s="6" t="n">
        <v>0.1268098860957595</v>
      </c>
      <c r="H670" s="7" t="n">
        <v>100</v>
      </c>
      <c r="I670" s="7" t="n">
        <v>-100</v>
      </c>
      <c r="J670" s="7" t="n">
        <v>18297.87105365775</v>
      </c>
      <c r="K670" s="7" t="n">
        <v>18562.87105365775</v>
      </c>
      <c r="L670" s="7" t="n">
        <v>-265</v>
      </c>
      <c r="M670" s="6" t="n">
        <v>-0.01427580891091643</v>
      </c>
      <c r="N670" s="7" t="n">
        <v>224.1580668913294</v>
      </c>
      <c r="O670" s="7" t="n">
        <v>-224.1580668913294</v>
      </c>
      <c r="P670" s="7" t="n">
        <v>22191.64862224161</v>
      </c>
      <c r="Q670" s="7" t="n">
        <v>22794.23575921787</v>
      </c>
      <c r="R670" s="7" t="n">
        <v>-602.5871369762608</v>
      </c>
      <c r="S670" s="6" t="n">
        <v>-0.02643594386500007</v>
      </c>
      <c r="T670" s="7" t="n">
        <v>7725.463643040793</v>
      </c>
      <c r="U670" s="7" t="n">
        <v>-7725.463643040793</v>
      </c>
      <c r="V670" s="7" t="n">
        <v>235961.0147820551</v>
      </c>
      <c r="W670" s="7" t="n">
        <v>290762.3171318154</v>
      </c>
      <c r="X670" s="7" t="n">
        <v>-54801.30234976026</v>
      </c>
      <c r="Y670" s="6" t="n">
        <v>-0.1884745688173767</v>
      </c>
      <c r="Z670" s="7" t="n">
        <v>70137.92596628632</v>
      </c>
      <c r="AA670" s="7" t="n">
        <v>-70137.92596628632</v>
      </c>
      <c r="AB670" s="7" t="n">
        <v>1036052.263548153</v>
      </c>
      <c r="AC670" s="7" t="n">
        <v>1601086.917029058</v>
      </c>
      <c r="AD670" s="7" t="n">
        <v>-565034.6534809056</v>
      </c>
      <c r="AE670" s="6" t="n">
        <v>-0.3529069205870294</v>
      </c>
    </row>
    <row r="671">
      <c r="A671" s="2" t="n">
        <v>662</v>
      </c>
      <c r="B671" s="2" t="inlineStr">
        <is>
          <t>KPROP-00662</t>
        </is>
      </c>
      <c r="C671" s="3" t="n">
        <v>46136</v>
      </c>
      <c r="D671" s="2" t="inlineStr">
        <is>
          <t>Yusei Kikuchi</t>
        </is>
      </c>
      <c r="E671" s="2" t="inlineStr">
        <is>
          <t>Win</t>
        </is>
      </c>
      <c r="F671" s="2" t="n">
        <v>0.625</v>
      </c>
      <c r="G671" s="6" t="n">
        <v>0.1869425120075034</v>
      </c>
      <c r="H671" s="7" t="n">
        <v>100</v>
      </c>
      <c r="I671" s="7" t="n">
        <v>62.5</v>
      </c>
      <c r="J671" s="7" t="n">
        <v>18360.37105365775</v>
      </c>
      <c r="K671" s="7" t="n">
        <v>18562.87105365775</v>
      </c>
      <c r="L671" s="7" t="n">
        <v>-202.5</v>
      </c>
      <c r="M671" s="6" t="n">
        <v>-0.01090887284702105</v>
      </c>
      <c r="N671" s="7" t="n">
        <v>221.9164862224161</v>
      </c>
      <c r="O671" s="7" t="n">
        <v>138.69780388901</v>
      </c>
      <c r="P671" s="7" t="n">
        <v>22330.34642613061</v>
      </c>
      <c r="Q671" s="7" t="n">
        <v>22794.23575921787</v>
      </c>
      <c r="R671" s="7" t="n">
        <v>-463.8893330872525</v>
      </c>
      <c r="S671" s="6" t="n">
        <v>-0.02035116851415639</v>
      </c>
      <c r="T671" s="7" t="n">
        <v>11027.78620979925</v>
      </c>
      <c r="U671" s="7" t="n">
        <v>6892.366381124534</v>
      </c>
      <c r="V671" s="7" t="n">
        <v>242853.3811631796</v>
      </c>
      <c r="W671" s="7" t="n">
        <v>290762.3171318154</v>
      </c>
      <c r="X671" s="7" t="n">
        <v>-47908.93596863572</v>
      </c>
      <c r="Y671" s="6" t="n">
        <v>-0.1647700996512436</v>
      </c>
      <c r="Z671" s="7" t="n">
        <v>96841.10635937579</v>
      </c>
      <c r="AA671" s="7" t="n">
        <v>60525.69147460986</v>
      </c>
      <c r="AB671" s="7" t="n">
        <v>1096577.955022762</v>
      </c>
      <c r="AC671" s="7" t="n">
        <v>1601086.917029058</v>
      </c>
      <c r="AD671" s="7" t="n">
        <v>-504508.9620062958</v>
      </c>
      <c r="AE671" s="6" t="n">
        <v>-0.3151040437844884</v>
      </c>
    </row>
    <row r="672">
      <c r="A672" s="2" t="n">
        <v>663</v>
      </c>
      <c r="B672" s="2" t="inlineStr">
        <is>
          <t>KPROP-00663</t>
        </is>
      </c>
      <c r="C672" s="3" t="n">
        <v>46137</v>
      </c>
      <c r="D672" s="2" t="inlineStr">
        <is>
          <t>Bailey Ober</t>
        </is>
      </c>
      <c r="E672" s="2" t="inlineStr">
        <is>
          <t>Win</t>
        </is>
      </c>
      <c r="F672" s="2" t="n">
        <v>1.43</v>
      </c>
      <c r="G672" s="6" t="n">
        <v>0.1405906337680943</v>
      </c>
      <c r="H672" s="7" t="n">
        <v>100</v>
      </c>
      <c r="I672" s="7" t="n">
        <v>143</v>
      </c>
      <c r="J672" s="7" t="n">
        <v>18503.37105365775</v>
      </c>
      <c r="K672" s="7" t="n">
        <v>18562.87105365775</v>
      </c>
      <c r="L672" s="7" t="n">
        <v>-59.5</v>
      </c>
      <c r="M672" s="6" t="n">
        <v>-0.003205323132828407</v>
      </c>
      <c r="N672" s="7" t="n">
        <v>223.3034642613061</v>
      </c>
      <c r="O672" s="7" t="n">
        <v>319.3239538936677</v>
      </c>
      <c r="P672" s="7" t="n">
        <v>22649.67038002428</v>
      </c>
      <c r="Q672" s="7" t="n">
        <v>22794.23575921787</v>
      </c>
      <c r="R672" s="7" t="n">
        <v>-144.5653791935838</v>
      </c>
      <c r="S672" s="6" t="n">
        <v>-0.006342190223908794</v>
      </c>
      <c r="T672" s="7" t="n">
        <v>8535.727692614002</v>
      </c>
      <c r="U672" s="7" t="n">
        <v>12206.09060043802</v>
      </c>
      <c r="V672" s="7" t="n">
        <v>255059.4717636177</v>
      </c>
      <c r="W672" s="7" t="n">
        <v>290762.3171318154</v>
      </c>
      <c r="X672" s="7" t="n">
        <v>-35702.84536819771</v>
      </c>
      <c r="Y672" s="6" t="n">
        <v>-0.1227904830322701</v>
      </c>
      <c r="Z672" s="7" t="n">
        <v>77084.2948363855</v>
      </c>
      <c r="AA672" s="7" t="n">
        <v>110230.5416160312</v>
      </c>
      <c r="AB672" s="7" t="n">
        <v>1206808.496638793</v>
      </c>
      <c r="AC672" s="7" t="n">
        <v>1601086.917029058</v>
      </c>
      <c r="AD672" s="7" t="n">
        <v>-394278.4203902646</v>
      </c>
      <c r="AE672" s="6" t="n">
        <v>-0.2462567248515646</v>
      </c>
    </row>
    <row r="673">
      <c r="A673" s="2" t="n">
        <v>664</v>
      </c>
      <c r="B673" s="2" t="inlineStr">
        <is>
          <t>KPROP-00664</t>
        </is>
      </c>
      <c r="C673" s="3" t="n">
        <v>46137</v>
      </c>
      <c r="D673" s="2" t="inlineStr">
        <is>
          <t>Bailey Ober</t>
        </is>
      </c>
      <c r="E673" s="2" t="inlineStr">
        <is>
          <t>Win</t>
        </is>
      </c>
      <c r="F673" s="2" t="n">
        <v>0.606060606060606</v>
      </c>
      <c r="G673" s="6" t="n">
        <v>0.1713857297948851</v>
      </c>
      <c r="H673" s="7" t="n">
        <v>100</v>
      </c>
      <c r="I673" s="7" t="n">
        <v>60.60606060606059</v>
      </c>
      <c r="J673" s="7" t="n">
        <v>18563.97711426381</v>
      </c>
      <c r="K673" s="7" t="n">
        <v>18563.97711426381</v>
      </c>
      <c r="L673" s="7" t="n">
        <v>0</v>
      </c>
      <c r="M673" s="6" t="n">
        <v>0</v>
      </c>
      <c r="N673" s="7" t="n">
        <v>226.4967038002428</v>
      </c>
      <c r="O673" s="7" t="n">
        <v>137.2707295759047</v>
      </c>
      <c r="P673" s="7" t="n">
        <v>22786.94110960019</v>
      </c>
      <c r="Q673" s="7" t="n">
        <v>22794.23575921787</v>
      </c>
      <c r="R673" s="7" t="n">
        <v>-7.294649617677351</v>
      </c>
      <c r="S673" s="6" t="n">
        <v>-0.0003200216798111967</v>
      </c>
      <c r="T673" s="7" t="n">
        <v>10928.38842732637</v>
      </c>
      <c r="U673" s="7" t="n">
        <v>6623.265713531134</v>
      </c>
      <c r="V673" s="7" t="n">
        <v>261682.7374771488</v>
      </c>
      <c r="W673" s="7" t="n">
        <v>290762.3171318154</v>
      </c>
      <c r="X673" s="7" t="n">
        <v>-29079.57965466657</v>
      </c>
      <c r="Y673" s="6" t="n">
        <v>-0.1000115143582499</v>
      </c>
      <c r="Z673" s="7" t="n">
        <v>103414.8774595539</v>
      </c>
      <c r="AA673" s="7" t="n">
        <v>62675.68330882051</v>
      </c>
      <c r="AB673" s="7" t="n">
        <v>1269484.179947614</v>
      </c>
      <c r="AC673" s="7" t="n">
        <v>1601086.917029058</v>
      </c>
      <c r="AD673" s="7" t="n">
        <v>-331602.7370814441</v>
      </c>
      <c r="AE673" s="6" t="n">
        <v>-0.2071110153699581</v>
      </c>
    </row>
    <row r="674">
      <c r="A674" s="2" t="n">
        <v>665</v>
      </c>
      <c r="B674" s="2" t="inlineStr">
        <is>
          <t>KPROP-00665</t>
        </is>
      </c>
      <c r="C674" s="3" t="n">
        <v>46137</v>
      </c>
      <c r="D674" s="2" t="inlineStr">
        <is>
          <t>Brady Singer</t>
        </is>
      </c>
      <c r="E674" s="2" t="inlineStr">
        <is>
          <t>Win</t>
        </is>
      </c>
      <c r="F674" s="2" t="n">
        <v>1.15</v>
      </c>
      <c r="G674" s="6" t="n">
        <v>0.1912933158098399</v>
      </c>
      <c r="H674" s="7" t="n">
        <v>100</v>
      </c>
      <c r="I674" s="7" t="n">
        <v>115</v>
      </c>
      <c r="J674" s="7" t="n">
        <v>18678.97711426381</v>
      </c>
      <c r="K674" s="7" t="n">
        <v>18678.97711426381</v>
      </c>
      <c r="L674" s="7" t="n">
        <v>0</v>
      </c>
      <c r="M674" s="6" t="n">
        <v>0</v>
      </c>
      <c r="N674" s="7" t="n">
        <v>227.8694110960019</v>
      </c>
      <c r="O674" s="7" t="n">
        <v>262.0498227604022</v>
      </c>
      <c r="P674" s="7" t="n">
        <v>23048.99093236059</v>
      </c>
      <c r="Q674" s="7" t="n">
        <v>23048.99093236059</v>
      </c>
      <c r="R674" s="7" t="n">
        <v>0</v>
      </c>
      <c r="S674" s="6" t="n">
        <v>0</v>
      </c>
      <c r="T674" s="7" t="n">
        <v>12514.53963554991</v>
      </c>
      <c r="U674" s="7" t="n">
        <v>14391.7205808824</v>
      </c>
      <c r="V674" s="7" t="n">
        <v>276074.4580580312</v>
      </c>
      <c r="W674" s="7" t="n">
        <v>290762.3171318154</v>
      </c>
      <c r="X674" s="7" t="n">
        <v>-14687.85907378414</v>
      </c>
      <c r="Y674" s="6" t="n">
        <v>-0.05051500214563736</v>
      </c>
      <c r="Z674" s="7" t="n">
        <v>121421.9190751572</v>
      </c>
      <c r="AA674" s="7" t="n">
        <v>139635.2069364308</v>
      </c>
      <c r="AB674" s="7" t="n">
        <v>1409119.386884045</v>
      </c>
      <c r="AC674" s="7" t="n">
        <v>1601086.917029058</v>
      </c>
      <c r="AD674" s="7" t="n">
        <v>-191967.5301450132</v>
      </c>
      <c r="AE674" s="6" t="n">
        <v>-0.1198982566800458</v>
      </c>
    </row>
    <row r="675">
      <c r="A675" s="2" t="n">
        <v>666</v>
      </c>
      <c r="B675" s="2" t="inlineStr">
        <is>
          <t>KPROP-00666</t>
        </is>
      </c>
      <c r="C675" s="3" t="n">
        <v>46137</v>
      </c>
      <c r="D675" s="2" t="inlineStr">
        <is>
          <t>Garrett Crochet</t>
        </is>
      </c>
      <c r="E675" s="2" t="inlineStr">
        <is>
          <t>Win</t>
        </is>
      </c>
      <c r="F675" s="2" t="n">
        <v>0.9345794392523366</v>
      </c>
      <c r="G675" s="6" t="n">
        <v>0.3222442366899564</v>
      </c>
      <c r="H675" s="7" t="n">
        <v>100</v>
      </c>
      <c r="I675" s="7" t="n">
        <v>93.45794392523365</v>
      </c>
      <c r="J675" s="7" t="n">
        <v>18772.43505818904</v>
      </c>
      <c r="K675" s="7" t="n">
        <v>18772.43505818904</v>
      </c>
      <c r="L675" s="7" t="n">
        <v>0</v>
      </c>
      <c r="M675" s="6" t="n">
        <v>0</v>
      </c>
      <c r="N675" s="7" t="n">
        <v>230.4899093236059</v>
      </c>
      <c r="O675" s="7" t="n">
        <v>215.4111302089775</v>
      </c>
      <c r="P675" s="7" t="n">
        <v>23264.40206256957</v>
      </c>
      <c r="Q675" s="7" t="n">
        <v>23264.40206256957</v>
      </c>
      <c r="R675" s="7" t="n">
        <v>0</v>
      </c>
      <c r="S675" s="6" t="n">
        <v>0</v>
      </c>
      <c r="T675" s="7" t="n">
        <v>22240.85075162592</v>
      </c>
      <c r="U675" s="7" t="n">
        <v>20785.84182394946</v>
      </c>
      <c r="V675" s="7" t="n">
        <v>296860.2998819807</v>
      </c>
      <c r="W675" s="7" t="n">
        <v>296860.2998819807</v>
      </c>
      <c r="X675" s="7" t="n">
        <v>0</v>
      </c>
      <c r="Y675" s="6" t="n">
        <v>0</v>
      </c>
      <c r="Z675" s="7" t="n">
        <v>227040.3006157342</v>
      </c>
      <c r="AA675" s="7" t="n">
        <v>212187.1968371348</v>
      </c>
      <c r="AB675" s="7" t="n">
        <v>1621306.58372118</v>
      </c>
      <c r="AC675" s="7" t="n">
        <v>1621306.58372118</v>
      </c>
      <c r="AD675" s="7" t="n">
        <v>0</v>
      </c>
      <c r="AE675" s="6" t="n">
        <v>0</v>
      </c>
    </row>
    <row r="676">
      <c r="A676" s="2" t="n">
        <v>667</v>
      </c>
      <c r="B676" s="2" t="inlineStr">
        <is>
          <t>KPROP-00667</t>
        </is>
      </c>
      <c r="C676" s="3" t="n">
        <v>46137</v>
      </c>
      <c r="D676" s="2" t="inlineStr">
        <is>
          <t>Jack Flaherty</t>
        </is>
      </c>
      <c r="E676" s="2" t="inlineStr">
        <is>
          <t>Win</t>
        </is>
      </c>
      <c r="F676" s="2" t="n">
        <v>1.07</v>
      </c>
      <c r="G676" s="6" t="n">
        <v>0.1584870477584604</v>
      </c>
      <c r="H676" s="7" t="n">
        <v>100</v>
      </c>
      <c r="I676" s="7" t="n">
        <v>107</v>
      </c>
      <c r="J676" s="7" t="n">
        <v>18879.43505818904</v>
      </c>
      <c r="K676" s="7" t="n">
        <v>18879.43505818904</v>
      </c>
      <c r="L676" s="7" t="n">
        <v>0</v>
      </c>
      <c r="M676" s="6" t="n">
        <v>0</v>
      </c>
      <c r="N676" s="7" t="n">
        <v>232.6440206256957</v>
      </c>
      <c r="O676" s="7" t="n">
        <v>248.9291020694945</v>
      </c>
      <c r="P676" s="7" t="n">
        <v>23513.33116463906</v>
      </c>
      <c r="Q676" s="7" t="n">
        <v>23513.33116463906</v>
      </c>
      <c r="R676" s="7" t="n">
        <v>0</v>
      </c>
      <c r="S676" s="6" t="n">
        <v>0</v>
      </c>
      <c r="T676" s="7" t="n">
        <v>11762.12813124659</v>
      </c>
      <c r="U676" s="7" t="n">
        <v>12585.47710043385</v>
      </c>
      <c r="V676" s="7" t="n">
        <v>309445.7769824145</v>
      </c>
      <c r="W676" s="7" t="n">
        <v>309445.7769824145</v>
      </c>
      <c r="X676" s="7" t="n">
        <v>0</v>
      </c>
      <c r="Y676" s="6" t="n">
        <v>0</v>
      </c>
      <c r="Z676" s="7" t="n">
        <v>128478.0469826624</v>
      </c>
      <c r="AA676" s="7" t="n">
        <v>137471.5102714488</v>
      </c>
      <c r="AB676" s="7" t="n">
        <v>1758778.093992629</v>
      </c>
      <c r="AC676" s="7" t="n">
        <v>1758778.093992629</v>
      </c>
      <c r="AD676" s="7" t="n">
        <v>0</v>
      </c>
      <c r="AE676" s="6" t="n">
        <v>0</v>
      </c>
    </row>
    <row r="677">
      <c r="A677" s="2" t="n">
        <v>668</v>
      </c>
      <c r="B677" s="2" t="inlineStr">
        <is>
          <t>KPROP-00668</t>
        </is>
      </c>
      <c r="C677" s="3" t="n">
        <v>46137</v>
      </c>
      <c r="D677" s="2" t="inlineStr">
        <is>
          <t>Jack Flaherty</t>
        </is>
      </c>
      <c r="E677" s="2" t="inlineStr">
        <is>
          <t>Win</t>
        </is>
      </c>
      <c r="F677" s="2" t="n">
        <v>0.5263157894736841</v>
      </c>
      <c r="G677" s="6" t="n">
        <v>0.1836339021060432</v>
      </c>
      <c r="H677" s="7" t="n">
        <v>100</v>
      </c>
      <c r="I677" s="7" t="n">
        <v>52.63157894736841</v>
      </c>
      <c r="J677" s="7" t="n">
        <v>18932.06663713641</v>
      </c>
      <c r="K677" s="7" t="n">
        <v>18932.06663713641</v>
      </c>
      <c r="L677" s="7" t="n">
        <v>0</v>
      </c>
      <c r="M677" s="6" t="n">
        <v>0</v>
      </c>
      <c r="N677" s="7" t="n">
        <v>235.1333116463907</v>
      </c>
      <c r="O677" s="7" t="n">
        <v>123.7543745507319</v>
      </c>
      <c r="P677" s="7" t="n">
        <v>23637.0855391898</v>
      </c>
      <c r="Q677" s="7" t="n">
        <v>23637.0855391898</v>
      </c>
      <c r="R677" s="7" t="n">
        <v>0</v>
      </c>
      <c r="S677" s="6" t="n">
        <v>0</v>
      </c>
      <c r="T677" s="7" t="n">
        <v>14206.1838793793</v>
      </c>
      <c r="U677" s="7" t="n">
        <v>7476.938883883839</v>
      </c>
      <c r="V677" s="7" t="n">
        <v>316922.7158662984</v>
      </c>
      <c r="W677" s="7" t="n">
        <v>316922.7158662984</v>
      </c>
      <c r="X677" s="7" t="n">
        <v>0</v>
      </c>
      <c r="Y677" s="6" t="n">
        <v>0</v>
      </c>
      <c r="Z677" s="7" t="n">
        <v>161485.6421692478</v>
      </c>
      <c r="AA677" s="7" t="n">
        <v>84992.44324697253</v>
      </c>
      <c r="AB677" s="7" t="n">
        <v>1843770.537239601</v>
      </c>
      <c r="AC677" s="7" t="n">
        <v>1843770.537239601</v>
      </c>
      <c r="AD677" s="7" t="n">
        <v>0</v>
      </c>
      <c r="AE677" s="6" t="n">
        <v>0</v>
      </c>
    </row>
    <row r="678">
      <c r="A678" s="2" t="n">
        <v>669</v>
      </c>
      <c r="B678" s="2" t="inlineStr">
        <is>
          <t>KPROP-00669</t>
        </is>
      </c>
      <c r="C678" s="3" t="n">
        <v>46137</v>
      </c>
      <c r="D678" s="2" t="inlineStr">
        <is>
          <t>Jeffrey Springs</t>
        </is>
      </c>
      <c r="E678" s="2" t="inlineStr">
        <is>
          <t>Win</t>
        </is>
      </c>
      <c r="F678" s="2" t="n">
        <v>1.15</v>
      </c>
      <c r="G678" s="6" t="n">
        <v>0.06963162934676721</v>
      </c>
      <c r="H678" s="7" t="n">
        <v>100</v>
      </c>
      <c r="I678" s="7" t="n">
        <v>115</v>
      </c>
      <c r="J678" s="7" t="n">
        <v>19047.06663713641</v>
      </c>
      <c r="K678" s="7" t="n">
        <v>19047.06663713641</v>
      </c>
      <c r="L678" s="7" t="n">
        <v>0</v>
      </c>
      <c r="M678" s="6" t="n">
        <v>0</v>
      </c>
      <c r="N678" s="7" t="n">
        <v>236.370855391898</v>
      </c>
      <c r="O678" s="7" t="n">
        <v>271.8264837006827</v>
      </c>
      <c r="P678" s="7" t="n">
        <v>23908.91202289048</v>
      </c>
      <c r="Q678" s="7" t="n">
        <v>23908.91202289048</v>
      </c>
      <c r="R678" s="7" t="n">
        <v>0</v>
      </c>
      <c r="S678" s="6" t="n">
        <v>0</v>
      </c>
      <c r="T678" s="7" t="n">
        <v>5516.961270693227</v>
      </c>
      <c r="U678" s="7" t="n">
        <v>6344.50546129721</v>
      </c>
      <c r="V678" s="7" t="n">
        <v>323267.2213275956</v>
      </c>
      <c r="W678" s="7" t="n">
        <v>323267.2213275956</v>
      </c>
      <c r="X678" s="7" t="n">
        <v>0</v>
      </c>
      <c r="Y678" s="6" t="n">
        <v>0</v>
      </c>
      <c r="Z678" s="7" t="n">
        <v>64192.37332477888</v>
      </c>
      <c r="AA678" s="7" t="n">
        <v>73821.2293234957</v>
      </c>
      <c r="AB678" s="7" t="n">
        <v>1917591.766563097</v>
      </c>
      <c r="AC678" s="7" t="n">
        <v>1917591.766563097</v>
      </c>
      <c r="AD678" s="7" t="n">
        <v>0</v>
      </c>
      <c r="AE678" s="6" t="n">
        <v>0</v>
      </c>
    </row>
    <row r="679">
      <c r="A679" s="2" t="n">
        <v>670</v>
      </c>
      <c r="B679" s="2" t="inlineStr">
        <is>
          <t>KPROP-00670</t>
        </is>
      </c>
      <c r="C679" s="3" t="n">
        <v>46137</v>
      </c>
      <c r="D679" s="2" t="inlineStr">
        <is>
          <t>Jeffrey Springs</t>
        </is>
      </c>
      <c r="E679" s="2" t="inlineStr">
        <is>
          <t>Win</t>
        </is>
      </c>
      <c r="F679" s="2" t="n">
        <v>0.6451612903225805</v>
      </c>
      <c r="G679" s="6" t="n">
        <v>0.1730177415841462</v>
      </c>
      <c r="H679" s="7" t="n">
        <v>100</v>
      </c>
      <c r="I679" s="7" t="n">
        <v>64.51612903225805</v>
      </c>
      <c r="J679" s="7" t="n">
        <v>19111.58276616867</v>
      </c>
      <c r="K679" s="7" t="n">
        <v>19111.58276616867</v>
      </c>
      <c r="L679" s="7" t="n">
        <v>0</v>
      </c>
      <c r="M679" s="6" t="n">
        <v>0</v>
      </c>
      <c r="N679" s="7" t="n">
        <v>239.0891202289048</v>
      </c>
      <c r="O679" s="7" t="n">
        <v>154.2510453089708</v>
      </c>
      <c r="P679" s="7" t="n">
        <v>24063.16306819945</v>
      </c>
      <c r="Q679" s="7" t="n">
        <v>24063.16306819945</v>
      </c>
      <c r="R679" s="7" t="n">
        <v>0</v>
      </c>
      <c r="S679" s="6" t="n">
        <v>0</v>
      </c>
      <c r="T679" s="7" t="n">
        <v>13982.74114057073</v>
      </c>
      <c r="U679" s="7" t="n">
        <v>9021.123316497242</v>
      </c>
      <c r="V679" s="7" t="n">
        <v>332288.3446440928</v>
      </c>
      <c r="W679" s="7" t="n">
        <v>332288.3446440928</v>
      </c>
      <c r="X679" s="7" t="n">
        <v>0</v>
      </c>
      <c r="Y679" s="6" t="n">
        <v>0</v>
      </c>
      <c r="Z679" s="7" t="n">
        <v>165888.6983655501</v>
      </c>
      <c r="AA679" s="7" t="n">
        <v>107024.9666874516</v>
      </c>
      <c r="AB679" s="7" t="n">
        <v>2024616.733250548</v>
      </c>
      <c r="AC679" s="7" t="n">
        <v>2024616.733250548</v>
      </c>
      <c r="AD679" s="7" t="n">
        <v>0</v>
      </c>
      <c r="AE679" s="6" t="n">
        <v>0</v>
      </c>
    </row>
    <row r="680">
      <c r="A680" s="2" t="n">
        <v>671</v>
      </c>
      <c r="B680" s="2" t="inlineStr">
        <is>
          <t>KPROP-00671</t>
        </is>
      </c>
      <c r="C680" s="3" t="n">
        <v>46137</v>
      </c>
      <c r="D680" s="2" t="inlineStr">
        <is>
          <t>Kevin Gausman</t>
        </is>
      </c>
      <c r="E680" s="2" t="inlineStr">
        <is>
          <t>Win</t>
        </is>
      </c>
      <c r="F680" s="2" t="n">
        <v>1</v>
      </c>
      <c r="G680" s="6" t="n">
        <v>0.08626920872532029</v>
      </c>
      <c r="H680" s="7" t="n">
        <v>100</v>
      </c>
      <c r="I680" s="7" t="n">
        <v>100</v>
      </c>
      <c r="J680" s="7" t="n">
        <v>19211.58276616867</v>
      </c>
      <c r="K680" s="7" t="n">
        <v>19211.58276616867</v>
      </c>
      <c r="L680" s="7" t="n">
        <v>0</v>
      </c>
      <c r="M680" s="6" t="n">
        <v>0</v>
      </c>
      <c r="N680" s="7" t="n">
        <v>240.6316306819945</v>
      </c>
      <c r="O680" s="7" t="n">
        <v>240.6316306819945</v>
      </c>
      <c r="P680" s="7" t="n">
        <v>24303.79469888144</v>
      </c>
      <c r="Q680" s="7" t="n">
        <v>24303.79469888144</v>
      </c>
      <c r="R680" s="7" t="n">
        <v>0</v>
      </c>
      <c r="S680" s="6" t="n">
        <v>0</v>
      </c>
      <c r="T680" s="7" t="n">
        <v>7166.563140273102</v>
      </c>
      <c r="U680" s="7" t="n">
        <v>7166.563140273102</v>
      </c>
      <c r="V680" s="7" t="n">
        <v>339454.9077843659</v>
      </c>
      <c r="W680" s="7" t="n">
        <v>339454.9077843659</v>
      </c>
      <c r="X680" s="7" t="n">
        <v>0</v>
      </c>
      <c r="Y680" s="6" t="n">
        <v>0</v>
      </c>
      <c r="Z680" s="7" t="n">
        <v>87331.04177478384</v>
      </c>
      <c r="AA680" s="7" t="n">
        <v>87331.04177478384</v>
      </c>
      <c r="AB680" s="7" t="n">
        <v>2111947.775025332</v>
      </c>
      <c r="AC680" s="7" t="n">
        <v>2111947.775025332</v>
      </c>
      <c r="AD680" s="7" t="n">
        <v>0</v>
      </c>
      <c r="AE680" s="6" t="n">
        <v>0</v>
      </c>
    </row>
    <row r="681">
      <c r="A681" s="2" t="n">
        <v>672</v>
      </c>
      <c r="B681" s="2" t="inlineStr">
        <is>
          <t>KPROP-00672</t>
        </is>
      </c>
      <c r="C681" s="3" t="n">
        <v>46137</v>
      </c>
      <c r="D681" s="2" t="inlineStr">
        <is>
          <t>MacKenzie Gore</t>
        </is>
      </c>
      <c r="E681" s="2" t="inlineStr">
        <is>
          <t>Loss</t>
        </is>
      </c>
      <c r="F681" s="2" t="n">
        <v>-1</v>
      </c>
      <c r="G681" s="6" t="n">
        <v>0.3319383998828956</v>
      </c>
      <c r="H681" s="7" t="n">
        <v>100</v>
      </c>
      <c r="I681" s="7" t="n">
        <v>-100</v>
      </c>
      <c r="J681" s="7" t="n">
        <v>19111.58276616867</v>
      </c>
      <c r="K681" s="7" t="n">
        <v>19211.58276616867</v>
      </c>
      <c r="L681" s="7" t="n">
        <v>-100</v>
      </c>
      <c r="M681" s="6" t="n">
        <v>-0.005205193201264948</v>
      </c>
      <c r="N681" s="7" t="n">
        <v>243.0379469888144</v>
      </c>
      <c r="O681" s="7" t="n">
        <v>-243.0379469888144</v>
      </c>
      <c r="P681" s="7" t="n">
        <v>24060.75675189263</v>
      </c>
      <c r="Q681" s="7" t="n">
        <v>24303.79469888144</v>
      </c>
      <c r="R681" s="7" t="n">
        <v>-243.0379469888139</v>
      </c>
      <c r="S681" s="6" t="n">
        <v>-0.009999999999999979</v>
      </c>
      <c r="T681" s="7" t="n">
        <v>28169.52973058458</v>
      </c>
      <c r="U681" s="7" t="n">
        <v>-28169.52973058458</v>
      </c>
      <c r="V681" s="7" t="n">
        <v>311285.3780537813</v>
      </c>
      <c r="W681" s="7" t="n">
        <v>339454.9077843659</v>
      </c>
      <c r="X681" s="7" t="n">
        <v>-28169.52973058459</v>
      </c>
      <c r="Y681" s="6" t="n">
        <v>-0.08298459997072394</v>
      </c>
      <c r="Z681" s="7" t="n">
        <v>350518.2825390752</v>
      </c>
      <c r="AA681" s="7" t="n">
        <v>-350518.2825390752</v>
      </c>
      <c r="AB681" s="7" t="n">
        <v>1761429.492486257</v>
      </c>
      <c r="AC681" s="7" t="n">
        <v>2111947.775025332</v>
      </c>
      <c r="AD681" s="7" t="n">
        <v>-350518.2825390752</v>
      </c>
      <c r="AE681" s="6" t="n">
        <v>-0.1659691999414478</v>
      </c>
    </row>
    <row r="682">
      <c r="A682" s="2" t="n">
        <v>673</v>
      </c>
      <c r="B682" s="2" t="inlineStr">
        <is>
          <t>KPROP-00673</t>
        </is>
      </c>
      <c r="C682" s="3" t="n">
        <v>46137</v>
      </c>
      <c r="D682" s="2" t="inlineStr">
        <is>
          <t>Noah Schultz</t>
        </is>
      </c>
      <c r="E682" s="2" t="inlineStr">
        <is>
          <t>Loss</t>
        </is>
      </c>
      <c r="F682" s="2" t="n">
        <v>-1</v>
      </c>
      <c r="G682" s="6" t="n">
        <v>0.05711182972048923</v>
      </c>
      <c r="H682" s="7" t="n">
        <v>100</v>
      </c>
      <c r="I682" s="7" t="n">
        <v>-100</v>
      </c>
      <c r="J682" s="7" t="n">
        <v>19011.58276616867</v>
      </c>
      <c r="K682" s="7" t="n">
        <v>19211.58276616867</v>
      </c>
      <c r="L682" s="7" t="n">
        <v>-200</v>
      </c>
      <c r="M682" s="6" t="n">
        <v>-0.0104103864025299</v>
      </c>
      <c r="N682" s="7" t="n">
        <v>240.6075675189263</v>
      </c>
      <c r="O682" s="7" t="n">
        <v>-240.6075675189263</v>
      </c>
      <c r="P682" s="7" t="n">
        <v>23820.1491843737</v>
      </c>
      <c r="Q682" s="7" t="n">
        <v>24303.79469888144</v>
      </c>
      <c r="R682" s="7" t="n">
        <v>-483.6455145077416</v>
      </c>
      <c r="S682" s="6" t="n">
        <v>-0.01990000000000004</v>
      </c>
      <c r="T682" s="7" t="n">
        <v>4444.519376471419</v>
      </c>
      <c r="U682" s="7" t="n">
        <v>-4444.519376471419</v>
      </c>
      <c r="V682" s="7" t="n">
        <v>306840.8586773099</v>
      </c>
      <c r="W682" s="7" t="n">
        <v>339454.9077843659</v>
      </c>
      <c r="X682" s="7" t="n">
        <v>-32614.04910705599</v>
      </c>
      <c r="Y682" s="6" t="n">
        <v>-0.09607770681510848</v>
      </c>
      <c r="Z682" s="7" t="n">
        <v>50299.23061976145</v>
      </c>
      <c r="AA682" s="7" t="n">
        <v>-50299.23061976145</v>
      </c>
      <c r="AB682" s="7" t="n">
        <v>1711130.261866496</v>
      </c>
      <c r="AC682" s="7" t="n">
        <v>2111947.775025332</v>
      </c>
      <c r="AD682" s="7" t="n">
        <v>-400817.5131588366</v>
      </c>
      <c r="AE682" s="6" t="n">
        <v>-0.1897857124587415</v>
      </c>
    </row>
    <row r="683">
      <c r="A683" s="2" t="n">
        <v>674</v>
      </c>
      <c r="B683" s="2" t="inlineStr">
        <is>
          <t>KPROP-00674</t>
        </is>
      </c>
      <c r="C683" s="3" t="n">
        <v>46137</v>
      </c>
      <c r="D683" s="2" t="inlineStr">
        <is>
          <t>Robbie Ray</t>
        </is>
      </c>
      <c r="E683" s="2" t="inlineStr">
        <is>
          <t>Win</t>
        </is>
      </c>
      <c r="F683" s="2" t="n">
        <v>1.2</v>
      </c>
      <c r="G683" s="6" t="n">
        <v>0.1873772675365599</v>
      </c>
      <c r="H683" s="7" t="n">
        <v>100</v>
      </c>
      <c r="I683" s="7" t="n">
        <v>120</v>
      </c>
      <c r="J683" s="7" t="n">
        <v>19131.58276616867</v>
      </c>
      <c r="K683" s="7" t="n">
        <v>19211.58276616867</v>
      </c>
      <c r="L683" s="7" t="n">
        <v>-80</v>
      </c>
      <c r="M683" s="6" t="n">
        <v>-0.004164154561011958</v>
      </c>
      <c r="N683" s="7" t="n">
        <v>238.201491843737</v>
      </c>
      <c r="O683" s="7" t="n">
        <v>285.8417902124845</v>
      </c>
      <c r="P683" s="7" t="n">
        <v>24105.99097458619</v>
      </c>
      <c r="Q683" s="7" t="n">
        <v>24303.79469888144</v>
      </c>
      <c r="R683" s="7" t="n">
        <v>-197.803724295256</v>
      </c>
      <c r="S683" s="6" t="n">
        <v>-0.008138799999999986</v>
      </c>
      <c r="T683" s="7" t="n">
        <v>14373.75041688152</v>
      </c>
      <c r="U683" s="7" t="n">
        <v>17248.50050025782</v>
      </c>
      <c r="V683" s="7" t="n">
        <v>324089.3591775678</v>
      </c>
      <c r="W683" s="7" t="n">
        <v>339454.9077843659</v>
      </c>
      <c r="X683" s="7" t="n">
        <v>-15365.54860679817</v>
      </c>
      <c r="Y683" s="6" t="n">
        <v>-0.04526536000639862</v>
      </c>
      <c r="Z683" s="7" t="n">
        <v>160313.456433831</v>
      </c>
      <c r="AA683" s="7" t="n">
        <v>192376.1477205973</v>
      </c>
      <c r="AB683" s="7" t="n">
        <v>1903506.409587093</v>
      </c>
      <c r="AC683" s="7" t="n">
        <v>2111947.775025332</v>
      </c>
      <c r="AD683" s="7" t="n">
        <v>-208441.3654382394</v>
      </c>
      <c r="AE683" s="6" t="n">
        <v>-0.09869626886760455</v>
      </c>
    </row>
    <row r="684">
      <c r="A684" s="2" t="n">
        <v>675</v>
      </c>
      <c r="B684" s="2" t="inlineStr">
        <is>
          <t>KPROP-00675</t>
        </is>
      </c>
      <c r="C684" s="3" t="n">
        <v>46137</v>
      </c>
      <c r="D684" s="2" t="inlineStr">
        <is>
          <t>Robbie Ray</t>
        </is>
      </c>
      <c r="E684" s="2" t="inlineStr">
        <is>
          <t>Win</t>
        </is>
      </c>
      <c r="F684" s="2" t="n">
        <v>0.5555555555555556</v>
      </c>
      <c r="G684" s="6" t="n">
        <v>0.1912878375961227</v>
      </c>
      <c r="H684" s="7" t="n">
        <v>100</v>
      </c>
      <c r="I684" s="7" t="n">
        <v>55.55555555555556</v>
      </c>
      <c r="J684" s="7" t="n">
        <v>19187.13832172423</v>
      </c>
      <c r="K684" s="7" t="n">
        <v>19211.58276616867</v>
      </c>
      <c r="L684" s="7" t="n">
        <v>-24.44444444444525</v>
      </c>
      <c r="M684" s="6" t="n">
        <v>-0.001272380560309252</v>
      </c>
      <c r="N684" s="7" t="n">
        <v>241.0599097458619</v>
      </c>
      <c r="O684" s="7" t="n">
        <v>133.9221720810344</v>
      </c>
      <c r="P684" s="7" t="n">
        <v>24239.91314666722</v>
      </c>
      <c r="Q684" s="7" t="n">
        <v>24303.79469888144</v>
      </c>
      <c r="R684" s="7" t="n">
        <v>-63.8815522142213</v>
      </c>
      <c r="S684" s="6" t="n">
        <v>-0.002628459999999974</v>
      </c>
      <c r="T684" s="7" t="n">
        <v>15498.58817624752</v>
      </c>
      <c r="U684" s="7" t="n">
        <v>8610.326764581954</v>
      </c>
      <c r="V684" s="7" t="n">
        <v>332699.6859421497</v>
      </c>
      <c r="W684" s="7" t="n">
        <v>339454.9077843659</v>
      </c>
      <c r="X684" s="7" t="n">
        <v>-6755.221842216211</v>
      </c>
      <c r="Y684" s="6" t="n">
        <v>-0.01990020378938629</v>
      </c>
      <c r="Z684" s="7" t="n">
        <v>182058.8124701373</v>
      </c>
      <c r="AA684" s="7" t="n">
        <v>101143.7847056318</v>
      </c>
      <c r="AB684" s="7" t="n">
        <v>2004650.194292725</v>
      </c>
      <c r="AC684" s="7" t="n">
        <v>2111947.775025332</v>
      </c>
      <c r="AD684" s="7" t="n">
        <v>-107297.5807326075</v>
      </c>
      <c r="AE684" s="6" t="n">
        <v>-0.05080503504937309</v>
      </c>
    </row>
    <row r="685">
      <c r="A685" s="2" t="n">
        <v>676</v>
      </c>
      <c r="B685" s="2" t="inlineStr">
        <is>
          <t>KPROP-00676</t>
        </is>
      </c>
      <c r="C685" s="3" t="n">
        <v>46137</v>
      </c>
      <c r="D685" s="2" t="inlineStr">
        <is>
          <t>Trevor Rogers</t>
        </is>
      </c>
      <c r="E685" s="2" t="inlineStr">
        <is>
          <t>Win</t>
        </is>
      </c>
      <c r="F685" s="2" t="n">
        <v>0.8</v>
      </c>
      <c r="G685" s="6" t="n">
        <v>0.09564720344012956</v>
      </c>
      <c r="H685" s="7" t="n">
        <v>100</v>
      </c>
      <c r="I685" s="7" t="n">
        <v>80</v>
      </c>
      <c r="J685" s="7" t="n">
        <v>19267.13832172423</v>
      </c>
      <c r="K685" s="7" t="n">
        <v>19267.13832172423</v>
      </c>
      <c r="L685" s="7" t="n">
        <v>0</v>
      </c>
      <c r="M685" s="6" t="n">
        <v>0</v>
      </c>
      <c r="N685" s="7" t="n">
        <v>242.3991314666722</v>
      </c>
      <c r="O685" s="7" t="n">
        <v>193.9193051733378</v>
      </c>
      <c r="P685" s="7" t="n">
        <v>24433.83245184056</v>
      </c>
      <c r="Q685" s="7" t="n">
        <v>24433.83245184056</v>
      </c>
      <c r="R685" s="7" t="n">
        <v>0</v>
      </c>
      <c r="S685" s="6" t="n">
        <v>0</v>
      </c>
      <c r="T685" s="7" t="n">
        <v>7955.448636444002</v>
      </c>
      <c r="U685" s="7" t="n">
        <v>6364.358909155202</v>
      </c>
      <c r="V685" s="7" t="n">
        <v>339064.0448513049</v>
      </c>
      <c r="W685" s="7" t="n">
        <v>339454.9077843659</v>
      </c>
      <c r="X685" s="7" t="n">
        <v>-390.8629330610274</v>
      </c>
      <c r="Y685" s="6" t="n">
        <v>-0.001151442869429119</v>
      </c>
      <c r="Z685" s="7" t="n">
        <v>95869.59247990575</v>
      </c>
      <c r="AA685" s="7" t="n">
        <v>76695.6739839246</v>
      </c>
      <c r="AB685" s="7" t="n">
        <v>2081345.868276649</v>
      </c>
      <c r="AC685" s="7" t="n">
        <v>2111947.775025332</v>
      </c>
      <c r="AD685" s="7" t="n">
        <v>-30601.90674868296</v>
      </c>
      <c r="AE685" s="6" t="n">
        <v>-0.0144898974825814</v>
      </c>
    </row>
    <row r="686">
      <c r="A686" s="2" t="n">
        <v>677</v>
      </c>
      <c r="B686" s="2" t="inlineStr">
        <is>
          <t>KPROP-00677</t>
        </is>
      </c>
      <c r="C686" s="3" t="n">
        <v>46138</v>
      </c>
      <c r="D686" s="2" t="inlineStr">
        <is>
          <t>Aaron Nola</t>
        </is>
      </c>
      <c r="E686" s="2" t="inlineStr">
        <is>
          <t>Loss</t>
        </is>
      </c>
      <c r="F686" s="2" t="n">
        <v>-1</v>
      </c>
      <c r="G686" s="6" t="n">
        <v>0.08068755279154746</v>
      </c>
      <c r="H686" s="7" t="n">
        <v>100</v>
      </c>
      <c r="I686" s="7" t="n">
        <v>-100</v>
      </c>
      <c r="J686" s="7" t="n">
        <v>19167.13832172423</v>
      </c>
      <c r="K686" s="7" t="n">
        <v>19267.13832172423</v>
      </c>
      <c r="L686" s="7" t="n">
        <v>-100</v>
      </c>
      <c r="M686" s="6" t="n">
        <v>-0.005190184361070749</v>
      </c>
      <c r="N686" s="7" t="n">
        <v>244.3383245184056</v>
      </c>
      <c r="O686" s="7" t="n">
        <v>-244.3383245184056</v>
      </c>
      <c r="P686" s="7" t="n">
        <v>24189.49412732216</v>
      </c>
      <c r="Q686" s="7" t="n">
        <v>24433.83245184056</v>
      </c>
      <c r="R686" s="7" t="n">
        <v>-244.338324518405</v>
      </c>
      <c r="S686" s="6" t="n">
        <v>-0.009999999999999974</v>
      </c>
      <c r="T686" s="7" t="n">
        <v>6839.562004663821</v>
      </c>
      <c r="U686" s="7" t="n">
        <v>-6839.562004663821</v>
      </c>
      <c r="V686" s="7" t="n">
        <v>332224.4828466411</v>
      </c>
      <c r="W686" s="7" t="n">
        <v>339454.9077843659</v>
      </c>
      <c r="X686" s="7" t="n">
        <v>-7230.424937724834</v>
      </c>
      <c r="Y686" s="6" t="n">
        <v>-0.02130010429048757</v>
      </c>
      <c r="Z686" s="7" t="n">
        <v>83969.35231202067</v>
      </c>
      <c r="AA686" s="7" t="n">
        <v>-83969.35231202067</v>
      </c>
      <c r="AB686" s="7" t="n">
        <v>1997376.515964629</v>
      </c>
      <c r="AC686" s="7" t="n">
        <v>2111947.775025332</v>
      </c>
      <c r="AD686" s="7" t="n">
        <v>-114571.2590607037</v>
      </c>
      <c r="AE686" s="6" t="n">
        <v>-0.05424909669432021</v>
      </c>
    </row>
    <row r="687">
      <c r="A687" s="2" t="n">
        <v>678</v>
      </c>
      <c r="B687" s="2" t="inlineStr">
        <is>
          <t>KPROP-00678</t>
        </is>
      </c>
      <c r="C687" s="3" t="n">
        <v>46138</v>
      </c>
      <c r="D687" s="2" t="inlineStr">
        <is>
          <t>Carmen Mlodzinski</t>
        </is>
      </c>
      <c r="E687" s="2" t="inlineStr">
        <is>
          <t>Win</t>
        </is>
      </c>
      <c r="F687" s="2" t="n">
        <v>1.08</v>
      </c>
      <c r="G687" s="6" t="n">
        <v>0.07263605965230284</v>
      </c>
      <c r="H687" s="7" t="n">
        <v>100</v>
      </c>
      <c r="I687" s="7" t="n">
        <v>108</v>
      </c>
      <c r="J687" s="7" t="n">
        <v>19275.13832172423</v>
      </c>
      <c r="K687" s="7" t="n">
        <v>19275.13832172423</v>
      </c>
      <c r="L687" s="7" t="n">
        <v>0</v>
      </c>
      <c r="M687" s="6" t="n">
        <v>0</v>
      </c>
      <c r="N687" s="7" t="n">
        <v>241.8949412732215</v>
      </c>
      <c r="O687" s="7" t="n">
        <v>261.2465365750793</v>
      </c>
      <c r="P687" s="7" t="n">
        <v>24450.74066389724</v>
      </c>
      <c r="Q687" s="7" t="n">
        <v>24450.74066389724</v>
      </c>
      <c r="R687" s="7" t="n">
        <v>0</v>
      </c>
      <c r="S687" s="6" t="n">
        <v>0</v>
      </c>
      <c r="T687" s="7" t="n">
        <v>6032.869338501021</v>
      </c>
      <c r="U687" s="7" t="n">
        <v>6515.498885581103</v>
      </c>
      <c r="V687" s="7" t="n">
        <v>338739.9817322222</v>
      </c>
      <c r="W687" s="7" t="n">
        <v>339454.9077843659</v>
      </c>
      <c r="X687" s="7" t="n">
        <v>-714.9260521437391</v>
      </c>
      <c r="Y687" s="6" t="n">
        <v>-0.002106100208743737</v>
      </c>
      <c r="Z687" s="7" t="n">
        <v>72540.77988085779</v>
      </c>
      <c r="AA687" s="7" t="n">
        <v>78344.04227132643</v>
      </c>
      <c r="AB687" s="7" t="n">
        <v>2075720.558235955</v>
      </c>
      <c r="AC687" s="7" t="n">
        <v>2111947.775025332</v>
      </c>
      <c r="AD687" s="7" t="n">
        <v>-36227.21678937715</v>
      </c>
      <c r="AE687" s="6" t="n">
        <v>-0.01715346241880561</v>
      </c>
    </row>
    <row r="688">
      <c r="A688" s="2" t="n">
        <v>679</v>
      </c>
      <c r="B688" s="2" t="inlineStr">
        <is>
          <t>KPROP-00679</t>
        </is>
      </c>
      <c r="C688" s="3" t="n">
        <v>46138</v>
      </c>
      <c r="D688" s="2" t="inlineStr">
        <is>
          <t>Chris Sale</t>
        </is>
      </c>
      <c r="E688" s="2" t="inlineStr">
        <is>
          <t>Loss</t>
        </is>
      </c>
      <c r="F688" s="2" t="n">
        <v>-1</v>
      </c>
      <c r="G688" s="6" t="n">
        <v>0.1422760976462554</v>
      </c>
      <c r="H688" s="7" t="n">
        <v>100</v>
      </c>
      <c r="I688" s="7" t="n">
        <v>-100</v>
      </c>
      <c r="J688" s="7" t="n">
        <v>19175.13832172423</v>
      </c>
      <c r="K688" s="7" t="n">
        <v>19275.13832172423</v>
      </c>
      <c r="L688" s="7" t="n">
        <v>-100</v>
      </c>
      <c r="M688" s="6" t="n">
        <v>-0.005188030214408063</v>
      </c>
      <c r="N688" s="7" t="n">
        <v>244.5074066389724</v>
      </c>
      <c r="O688" s="7" t="n">
        <v>-244.5074066389724</v>
      </c>
      <c r="P688" s="7" t="n">
        <v>24206.23325725826</v>
      </c>
      <c r="Q688" s="7" t="n">
        <v>24450.74066389724</v>
      </c>
      <c r="R688" s="7" t="n">
        <v>-244.5074066389716</v>
      </c>
      <c r="S688" s="6" t="n">
        <v>-0.009999999999999969</v>
      </c>
      <c r="T688" s="7" t="n">
        <v>12048.6506794061</v>
      </c>
      <c r="U688" s="7" t="n">
        <v>-12048.6506794061</v>
      </c>
      <c r="V688" s="7" t="n">
        <v>326691.3310528161</v>
      </c>
      <c r="W688" s="7" t="n">
        <v>339454.9077843659</v>
      </c>
      <c r="X688" s="7" t="n">
        <v>-12763.57673154987</v>
      </c>
      <c r="Y688" s="6" t="n">
        <v>-0.03760021269056965</v>
      </c>
      <c r="Z688" s="7" t="n">
        <v>147662.7104149592</v>
      </c>
      <c r="AA688" s="7" t="n">
        <v>-147662.7104149592</v>
      </c>
      <c r="AB688" s="7" t="n">
        <v>1928057.847820996</v>
      </c>
      <c r="AC688" s="7" t="n">
        <v>2111947.775025332</v>
      </c>
      <c r="AD688" s="7" t="n">
        <v>-183889.9272043365</v>
      </c>
      <c r="AE688" s="6" t="n">
        <v>-0.08707124739489867</v>
      </c>
    </row>
    <row r="689">
      <c r="A689" s="2" t="n">
        <v>680</v>
      </c>
      <c r="B689" s="2" t="inlineStr">
        <is>
          <t>KPROP-00680</t>
        </is>
      </c>
      <c r="C689" s="3" t="n">
        <v>46138</v>
      </c>
      <c r="D689" s="2" t="inlineStr">
        <is>
          <t>Chris Sale</t>
        </is>
      </c>
      <c r="E689" s="2" t="inlineStr">
        <is>
          <t>Loss</t>
        </is>
      </c>
      <c r="F689" s="2" t="n">
        <v>-1</v>
      </c>
      <c r="G689" s="6" t="n">
        <v>0.1299091615331512</v>
      </c>
      <c r="H689" s="7" t="n">
        <v>100</v>
      </c>
      <c r="I689" s="7" t="n">
        <v>-100</v>
      </c>
      <c r="J689" s="7" t="n">
        <v>19075.13832172423</v>
      </c>
      <c r="K689" s="7" t="n">
        <v>19275.13832172423</v>
      </c>
      <c r="L689" s="7" t="n">
        <v>-200</v>
      </c>
      <c r="M689" s="6" t="n">
        <v>-0.01037606042881613</v>
      </c>
      <c r="N689" s="7" t="n">
        <v>242.0623325725826</v>
      </c>
      <c r="O689" s="7" t="n">
        <v>-242.0623325725826</v>
      </c>
      <c r="P689" s="7" t="n">
        <v>23964.17092468568</v>
      </c>
      <c r="Q689" s="7" t="n">
        <v>24450.74066389724</v>
      </c>
      <c r="R689" s="7" t="n">
        <v>-486.5697392115544</v>
      </c>
      <c r="S689" s="6" t="n">
        <v>-0.01989999999999998</v>
      </c>
      <c r="T689" s="7" t="n">
        <v>10610.04922430511</v>
      </c>
      <c r="U689" s="7" t="n">
        <v>-10610.04922430511</v>
      </c>
      <c r="V689" s="7" t="n">
        <v>316081.2818285109</v>
      </c>
      <c r="W689" s="7" t="n">
        <v>339454.9077843659</v>
      </c>
      <c r="X689" s="7" t="n">
        <v>-23373.62595585501</v>
      </c>
      <c r="Y689" s="6" t="n">
        <v>-0.06885635004783251</v>
      </c>
      <c r="Z689" s="7" t="n">
        <v>125236.1891989188</v>
      </c>
      <c r="AA689" s="7" t="n">
        <v>-125236.1891989188</v>
      </c>
      <c r="AB689" s="7" t="n">
        <v>1802821.658622077</v>
      </c>
      <c r="AC689" s="7" t="n">
        <v>2111947.775025332</v>
      </c>
      <c r="AD689" s="7" t="n">
        <v>-309126.1164032554</v>
      </c>
      <c r="AE689" s="6" t="n">
        <v>-0.1463701517901159</v>
      </c>
    </row>
    <row r="690">
      <c r="A690" s="2" t="n">
        <v>681</v>
      </c>
      <c r="B690" s="2" t="inlineStr">
        <is>
          <t>KPROP-00681</t>
        </is>
      </c>
      <c r="C690" s="3" t="n">
        <v>46138</v>
      </c>
      <c r="D690" s="2" t="inlineStr">
        <is>
          <t>Kodai Senga</t>
        </is>
      </c>
      <c r="E690" s="2" t="inlineStr">
        <is>
          <t>Win</t>
        </is>
      </c>
      <c r="F690" s="2" t="n">
        <v>1.1</v>
      </c>
      <c r="G690" s="6" t="n">
        <v>0.1522542216907574</v>
      </c>
      <c r="H690" s="7" t="n">
        <v>100</v>
      </c>
      <c r="I690" s="7" t="n">
        <v>110</v>
      </c>
      <c r="J690" s="7" t="n">
        <v>19185.13832172423</v>
      </c>
      <c r="K690" s="7" t="n">
        <v>19275.13832172423</v>
      </c>
      <c r="L690" s="7" t="n">
        <v>-90</v>
      </c>
      <c r="M690" s="6" t="n">
        <v>-0.004669227192967257</v>
      </c>
      <c r="N690" s="7" t="n">
        <v>239.6417092468568</v>
      </c>
      <c r="O690" s="7" t="n">
        <v>263.6058801715425</v>
      </c>
      <c r="P690" s="7" t="n">
        <v>24227.77680485722</v>
      </c>
      <c r="Q690" s="7" t="n">
        <v>24450.74066389724</v>
      </c>
      <c r="R690" s="7" t="n">
        <v>-222.9638590400136</v>
      </c>
      <c r="S690" s="6" t="n">
        <v>-0.009118900000000046</v>
      </c>
      <c r="T690" s="7" t="n">
        <v>12031.17738895422</v>
      </c>
      <c r="U690" s="7" t="n">
        <v>13234.29512784964</v>
      </c>
      <c r="V690" s="7" t="n">
        <v>329315.5769563605</v>
      </c>
      <c r="W690" s="7" t="n">
        <v>339454.9077843659</v>
      </c>
      <c r="X690" s="7" t="n">
        <v>-10139.33082800539</v>
      </c>
      <c r="Y690" s="6" t="n">
        <v>-0.02986944832874905</v>
      </c>
      <c r="Z690" s="7" t="n">
        <v>137243.6042403723</v>
      </c>
      <c r="AA690" s="7" t="n">
        <v>150967.9646644096</v>
      </c>
      <c r="AB690" s="7" t="n">
        <v>1953789.623286487</v>
      </c>
      <c r="AC690" s="7" t="n">
        <v>2111947.775025332</v>
      </c>
      <c r="AD690" s="7" t="n">
        <v>-158158.1517388457</v>
      </c>
      <c r="AE690" s="6" t="n">
        <v>-0.07488734030695843</v>
      </c>
    </row>
    <row r="691">
      <c r="A691" s="2" t="n">
        <v>682</v>
      </c>
      <c r="B691" s="2" t="inlineStr">
        <is>
          <t>KPROP-00682</t>
        </is>
      </c>
      <c r="C691" s="3" t="n">
        <v>46138</v>
      </c>
      <c r="D691" s="2" t="inlineStr">
        <is>
          <t>Kumar Rocker</t>
        </is>
      </c>
      <c r="E691" s="2" t="inlineStr">
        <is>
          <t>Win</t>
        </is>
      </c>
      <c r="F691" s="2" t="n">
        <v>0.925925925925926</v>
      </c>
      <c r="G691" s="6" t="n">
        <v>0.1020903804768396</v>
      </c>
      <c r="H691" s="7" t="n">
        <v>100</v>
      </c>
      <c r="I691" s="7" t="n">
        <v>92.59259259259261</v>
      </c>
      <c r="J691" s="7" t="n">
        <v>19277.73091431682</v>
      </c>
      <c r="K691" s="7" t="n">
        <v>19277.73091431682</v>
      </c>
      <c r="L691" s="7" t="n">
        <v>0</v>
      </c>
      <c r="M691" s="6" t="n">
        <v>0</v>
      </c>
      <c r="N691" s="7" t="n">
        <v>242.2777680485722</v>
      </c>
      <c r="O691" s="7" t="n">
        <v>224.331266711641</v>
      </c>
      <c r="P691" s="7" t="n">
        <v>24452.10807156886</v>
      </c>
      <c r="Q691" s="7" t="n">
        <v>24452.10807156886</v>
      </c>
      <c r="R691" s="7" t="n">
        <v>0</v>
      </c>
      <c r="S691" s="6" t="n">
        <v>0</v>
      </c>
      <c r="T691" s="7" t="n">
        <v>8404.9881371062</v>
      </c>
      <c r="U691" s="7" t="n">
        <v>7782.396423246482</v>
      </c>
      <c r="V691" s="7" t="n">
        <v>337097.973379607</v>
      </c>
      <c r="W691" s="7" t="n">
        <v>339454.9077843659</v>
      </c>
      <c r="X691" s="7" t="n">
        <v>-2356.934404758911</v>
      </c>
      <c r="Y691" s="6" t="n">
        <v>-0.006943291585155461</v>
      </c>
      <c r="Z691" s="7" t="n">
        <v>99731.56300650927</v>
      </c>
      <c r="AA691" s="7" t="n">
        <v>92344.03982084192</v>
      </c>
      <c r="AB691" s="7" t="n">
        <v>2046133.663107329</v>
      </c>
      <c r="AC691" s="7" t="n">
        <v>2111947.775025332</v>
      </c>
      <c r="AD691" s="7" t="n">
        <v>-65814.11191800376</v>
      </c>
      <c r="AE691" s="6" t="n">
        <v>-0.03116275539399374</v>
      </c>
    </row>
    <row r="692">
      <c r="A692" s="2" t="n">
        <v>683</v>
      </c>
      <c r="B692" s="2" t="inlineStr">
        <is>
          <t>KPROP-00683</t>
        </is>
      </c>
      <c r="C692" s="3" t="n">
        <v>46138</v>
      </c>
      <c r="D692" s="2" t="inlineStr">
        <is>
          <t>Kyle Harrison</t>
        </is>
      </c>
      <c r="E692" s="2" t="inlineStr">
        <is>
          <t>Loss</t>
        </is>
      </c>
      <c r="F692" s="2" t="n">
        <v>-1</v>
      </c>
      <c r="G692" s="6" t="n">
        <v>0.2440142120293795</v>
      </c>
      <c r="H692" s="7" t="n">
        <v>100</v>
      </c>
      <c r="I692" s="7" t="n">
        <v>-100</v>
      </c>
      <c r="J692" s="7" t="n">
        <v>19177.73091431682</v>
      </c>
      <c r="K692" s="7" t="n">
        <v>19277.73091431682</v>
      </c>
      <c r="L692" s="7" t="n">
        <v>-100</v>
      </c>
      <c r="M692" s="6" t="n">
        <v>-0.005187332494911728</v>
      </c>
      <c r="N692" s="7" t="n">
        <v>244.5210807156886</v>
      </c>
      <c r="O692" s="7" t="n">
        <v>-244.5210807156886</v>
      </c>
      <c r="P692" s="7" t="n">
        <v>24207.58699085317</v>
      </c>
      <c r="Q692" s="7" t="n">
        <v>24452.10807156886</v>
      </c>
      <c r="R692" s="7" t="n">
        <v>-244.5210807156873</v>
      </c>
      <c r="S692" s="6" t="n">
        <v>-0.009999999999999945</v>
      </c>
      <c r="T692" s="7" t="n">
        <v>20564.17408773139</v>
      </c>
      <c r="U692" s="7" t="n">
        <v>-20564.17408773139</v>
      </c>
      <c r="V692" s="7" t="n">
        <v>316533.7992918756</v>
      </c>
      <c r="W692" s="7" t="n">
        <v>339454.9077843659</v>
      </c>
      <c r="X692" s="7" t="n">
        <v>-22921.10849249031</v>
      </c>
      <c r="Y692" s="6" t="n">
        <v>-0.06752327913623989</v>
      </c>
      <c r="Z692" s="7" t="n">
        <v>249642.8467549614</v>
      </c>
      <c r="AA692" s="7" t="n">
        <v>-249642.8467549614</v>
      </c>
      <c r="AB692" s="7" t="n">
        <v>1796490.816352367</v>
      </c>
      <c r="AC692" s="7" t="n">
        <v>2111947.775025332</v>
      </c>
      <c r="AD692" s="7" t="n">
        <v>-315456.9586729652</v>
      </c>
      <c r="AE692" s="6" t="n">
        <v>-0.1493677838076187</v>
      </c>
    </row>
    <row r="693">
      <c r="A693" s="2" t="n">
        <v>684</v>
      </c>
      <c r="B693" s="2" t="inlineStr">
        <is>
          <t>KPROP-00684</t>
        </is>
      </c>
      <c r="C693" s="3" t="n">
        <v>46139</v>
      </c>
      <c r="D693" s="2" t="inlineStr">
        <is>
          <t>Steven Matz</t>
        </is>
      </c>
      <c r="E693" s="2" t="inlineStr">
        <is>
          <t>Win</t>
        </is>
      </c>
      <c r="F693" s="2" t="n">
        <v>1.45</v>
      </c>
      <c r="G693" s="6" t="n">
        <v>0.127085276332606</v>
      </c>
      <c r="H693" s="7" t="n">
        <v>100</v>
      </c>
      <c r="I693" s="7" t="n">
        <v>145</v>
      </c>
      <c r="J693" s="7" t="n">
        <v>19322.73091431682</v>
      </c>
      <c r="K693" s="7" t="n">
        <v>19322.73091431682</v>
      </c>
      <c r="L693" s="7" t="n">
        <v>0</v>
      </c>
      <c r="M693" s="6" t="n">
        <v>0</v>
      </c>
      <c r="N693" s="7" t="n">
        <v>242.0758699085318</v>
      </c>
      <c r="O693" s="7" t="n">
        <v>351.0100113673711</v>
      </c>
      <c r="P693" s="7" t="n">
        <v>24558.59700222055</v>
      </c>
      <c r="Q693" s="7" t="n">
        <v>24558.59700222055</v>
      </c>
      <c r="R693" s="7" t="n">
        <v>0</v>
      </c>
      <c r="S693" s="6" t="n">
        <v>0</v>
      </c>
      <c r="T693" s="7" t="n">
        <v>10056.69633790442</v>
      </c>
      <c r="U693" s="7" t="n">
        <v>14582.20968996141</v>
      </c>
      <c r="V693" s="7" t="n">
        <v>331116.008981837</v>
      </c>
      <c r="W693" s="7" t="n">
        <v>339454.9077843659</v>
      </c>
      <c r="X693" s="7" t="n">
        <v>-8338.898802528915</v>
      </c>
      <c r="Y693" s="6" t="n">
        <v>-0.02456555675378859</v>
      </c>
      <c r="Z693" s="7" t="n">
        <v>114153.7659125648</v>
      </c>
      <c r="AA693" s="7" t="n">
        <v>165522.9605732189</v>
      </c>
      <c r="AB693" s="7" t="n">
        <v>1962013.776925586</v>
      </c>
      <c r="AC693" s="7" t="n">
        <v>2111947.775025332</v>
      </c>
      <c r="AD693" s="7" t="n">
        <v>-149933.9980997462</v>
      </c>
      <c r="AE693" s="6" t="n">
        <v>-0.07099323187475493</v>
      </c>
    </row>
    <row r="694">
      <c r="A694" s="2" t="n">
        <v>685</v>
      </c>
      <c r="B694" s="2" t="inlineStr">
        <is>
          <t>KPROP-00685</t>
        </is>
      </c>
      <c r="C694" s="3" t="n">
        <v>46139</v>
      </c>
      <c r="D694" s="2" t="inlineStr">
        <is>
          <t>Steven Matz</t>
        </is>
      </c>
      <c r="E694" s="2" t="inlineStr">
        <is>
          <t>Win</t>
        </is>
      </c>
      <c r="F694" s="2" t="n">
        <v>0.6666666666666665</v>
      </c>
      <c r="G694" s="6" t="n">
        <v>0.1929539037147131</v>
      </c>
      <c r="H694" s="7" t="n">
        <v>100</v>
      </c>
      <c r="I694" s="7" t="n">
        <v>66.66666666666666</v>
      </c>
      <c r="J694" s="7" t="n">
        <v>19389.39758098348</v>
      </c>
      <c r="K694" s="7" t="n">
        <v>19389.39758098348</v>
      </c>
      <c r="L694" s="7" t="n">
        <v>0</v>
      </c>
      <c r="M694" s="6" t="n">
        <v>0</v>
      </c>
      <c r="N694" s="7" t="n">
        <v>245.5859700222055</v>
      </c>
      <c r="O694" s="7" t="n">
        <v>163.7239800148036</v>
      </c>
      <c r="P694" s="7" t="n">
        <v>24722.32098223535</v>
      </c>
      <c r="Q694" s="7" t="n">
        <v>24722.32098223535</v>
      </c>
      <c r="R694" s="7" t="n">
        <v>0</v>
      </c>
      <c r="S694" s="6" t="n">
        <v>0</v>
      </c>
      <c r="T694" s="7" t="n">
        <v>15972.53162887037</v>
      </c>
      <c r="U694" s="7" t="n">
        <v>10648.35441924691</v>
      </c>
      <c r="V694" s="7" t="n">
        <v>341764.3634010839</v>
      </c>
      <c r="W694" s="7" t="n">
        <v>341764.3634010839</v>
      </c>
      <c r="X694" s="7" t="n">
        <v>0</v>
      </c>
      <c r="Y694" s="6" t="n">
        <v>0</v>
      </c>
      <c r="Z694" s="7" t="n">
        <v>189289.1086999201</v>
      </c>
      <c r="AA694" s="7" t="n">
        <v>126192.73913328</v>
      </c>
      <c r="AB694" s="7" t="n">
        <v>2088206.516058866</v>
      </c>
      <c r="AC694" s="7" t="n">
        <v>2111947.775025332</v>
      </c>
      <c r="AD694" s="7" t="n">
        <v>-23741.25896646618</v>
      </c>
      <c r="AE694" s="6" t="n">
        <v>-0.01124140437903651</v>
      </c>
    </row>
    <row r="695">
      <c r="A695" s="2" t="n">
        <v>686</v>
      </c>
      <c r="B695" s="2" t="inlineStr">
        <is>
          <t>KPROP-00686</t>
        </is>
      </c>
      <c r="C695" s="3" t="n">
        <v>46140</v>
      </c>
      <c r="D695" s="2" t="inlineStr">
        <is>
          <t>Braxton Ashcraft</t>
        </is>
      </c>
      <c r="E695" s="2" t="inlineStr">
        <is>
          <t>Loss</t>
        </is>
      </c>
      <c r="F695" s="2" t="n">
        <v>-1</v>
      </c>
      <c r="G695" s="6" t="n">
        <v>0.06906626594634903</v>
      </c>
      <c r="H695" s="7" t="n">
        <v>100</v>
      </c>
      <c r="I695" s="7" t="n">
        <v>-100</v>
      </c>
      <c r="J695" s="7" t="n">
        <v>19289.39758098348</v>
      </c>
      <c r="K695" s="7" t="n">
        <v>19389.39758098348</v>
      </c>
      <c r="L695" s="7" t="n">
        <v>-100</v>
      </c>
      <c r="M695" s="6" t="n">
        <v>-0.005157457810761324</v>
      </c>
      <c r="N695" s="7" t="n">
        <v>247.2232098223535</v>
      </c>
      <c r="O695" s="7" t="n">
        <v>-247.2232098223535</v>
      </c>
      <c r="P695" s="7" t="n">
        <v>24475.097772413</v>
      </c>
      <c r="Q695" s="7" t="n">
        <v>24722.32098223535</v>
      </c>
      <c r="R695" s="7" t="n">
        <v>-247.223209822354</v>
      </c>
      <c r="S695" s="6" t="n">
        <v>-0.01000000000000002</v>
      </c>
      <c r="T695" s="7" t="n">
        <v>5901.097103410984</v>
      </c>
      <c r="U695" s="7" t="n">
        <v>-5901.097103410984</v>
      </c>
      <c r="V695" s="7" t="n">
        <v>335863.2662976729</v>
      </c>
      <c r="W695" s="7" t="n">
        <v>341764.3634010839</v>
      </c>
      <c r="X695" s="7" t="n">
        <v>-5901.097103410983</v>
      </c>
      <c r="Y695" s="6" t="n">
        <v>-0.01726656648658725</v>
      </c>
      <c r="Z695" s="7" t="n">
        <v>72112.31329451031</v>
      </c>
      <c r="AA695" s="7" t="n">
        <v>-72112.31329451031</v>
      </c>
      <c r="AB695" s="7" t="n">
        <v>2016094.202764356</v>
      </c>
      <c r="AC695" s="7" t="n">
        <v>2111947.775025332</v>
      </c>
      <c r="AD695" s="7" t="n">
        <v>-95853.57226097654</v>
      </c>
      <c r="AE695" s="6" t="n">
        <v>-0.04538633643998455</v>
      </c>
    </row>
    <row r="696">
      <c r="A696" s="2" t="n">
        <v>687</v>
      </c>
      <c r="B696" s="2" t="inlineStr">
        <is>
          <t>KPROP-00687</t>
        </is>
      </c>
      <c r="C696" s="3" t="n">
        <v>46140</v>
      </c>
      <c r="D696" s="2" t="inlineStr">
        <is>
          <t>Casey Mize</t>
        </is>
      </c>
      <c r="E696" s="2" t="inlineStr">
        <is>
          <t>Win</t>
        </is>
      </c>
      <c r="F696" s="2" t="n">
        <v>1</v>
      </c>
      <c r="G696" s="6" t="n">
        <v>0.07576244553955513</v>
      </c>
      <c r="H696" s="7" t="n">
        <v>100</v>
      </c>
      <c r="I696" s="7" t="n">
        <v>100</v>
      </c>
      <c r="J696" s="7" t="n">
        <v>19389.39758098348</v>
      </c>
      <c r="K696" s="7" t="n">
        <v>19389.39758098348</v>
      </c>
      <c r="L696" s="7" t="n">
        <v>0</v>
      </c>
      <c r="M696" s="6" t="n">
        <v>0</v>
      </c>
      <c r="N696" s="7" t="n">
        <v>244.75097772413</v>
      </c>
      <c r="O696" s="7" t="n">
        <v>244.75097772413</v>
      </c>
      <c r="P696" s="7" t="n">
        <v>24719.84875013713</v>
      </c>
      <c r="Q696" s="7" t="n">
        <v>24722.32098223535</v>
      </c>
      <c r="R696" s="7" t="n">
        <v>-2.472232098225504</v>
      </c>
      <c r="S696" s="6" t="n">
        <v>-0.0001000000000000796</v>
      </c>
      <c r="T696" s="7" t="n">
        <v>6361.455605403637</v>
      </c>
      <c r="U696" s="7" t="n">
        <v>6361.455605403637</v>
      </c>
      <c r="V696" s="7" t="n">
        <v>342224.7219030766</v>
      </c>
      <c r="W696" s="7" t="n">
        <v>342224.7219030766</v>
      </c>
      <c r="X696" s="7" t="n">
        <v>0</v>
      </c>
      <c r="Y696" s="6" t="n">
        <v>0</v>
      </c>
      <c r="Z696" s="7" t="n">
        <v>76372.11361977366</v>
      </c>
      <c r="AA696" s="7" t="n">
        <v>76372.11361977366</v>
      </c>
      <c r="AB696" s="7" t="n">
        <v>2092466.316384129</v>
      </c>
      <c r="AC696" s="7" t="n">
        <v>2111947.775025332</v>
      </c>
      <c r="AD696" s="7" t="n">
        <v>-19481.45864120289</v>
      </c>
      <c r="AE696" s="6" t="n">
        <v>-0.00922440359159412</v>
      </c>
    </row>
    <row r="697">
      <c r="A697" s="2" t="n">
        <v>688</v>
      </c>
      <c r="B697" s="2" t="inlineStr">
        <is>
          <t>KPROP-00688</t>
        </is>
      </c>
      <c r="C697" s="3" t="n">
        <v>46140</v>
      </c>
      <c r="D697" s="2" t="inlineStr">
        <is>
          <t>Clay Holmes</t>
        </is>
      </c>
      <c r="E697" s="2" t="inlineStr">
        <is>
          <t>Loss</t>
        </is>
      </c>
      <c r="F697" s="2" t="n">
        <v>-1</v>
      </c>
      <c r="G697" s="6" t="n">
        <v>0.1170299079357202</v>
      </c>
      <c r="H697" s="7" t="n">
        <v>100</v>
      </c>
      <c r="I697" s="7" t="n">
        <v>-100</v>
      </c>
      <c r="J697" s="7" t="n">
        <v>19289.39758098348</v>
      </c>
      <c r="K697" s="7" t="n">
        <v>19389.39758098348</v>
      </c>
      <c r="L697" s="7" t="n">
        <v>-100</v>
      </c>
      <c r="M697" s="6" t="n">
        <v>-0.005157457810761324</v>
      </c>
      <c r="N697" s="7" t="n">
        <v>247.1984875013713</v>
      </c>
      <c r="O697" s="7" t="n">
        <v>-247.1984875013713</v>
      </c>
      <c r="P697" s="7" t="n">
        <v>24472.65026263576</v>
      </c>
      <c r="Q697" s="7" t="n">
        <v>24722.32098223535</v>
      </c>
      <c r="R697" s="7" t="n">
        <v>-249.670719599595</v>
      </c>
      <c r="S697" s="6" t="n">
        <v>-0.01009900000000001</v>
      </c>
      <c r="T697" s="7" t="n">
        <v>10012.63192441113</v>
      </c>
      <c r="U697" s="7" t="n">
        <v>-10012.63192441113</v>
      </c>
      <c r="V697" s="7" t="n">
        <v>332212.0899786655</v>
      </c>
      <c r="W697" s="7" t="n">
        <v>342224.7219030766</v>
      </c>
      <c r="X697" s="7" t="n">
        <v>-10012.63192441111</v>
      </c>
      <c r="Y697" s="6" t="n">
        <v>-0.02925747698393</v>
      </c>
      <c r="Z697" s="7" t="n">
        <v>122440.5701825152</v>
      </c>
      <c r="AA697" s="7" t="n">
        <v>-122440.5701825152</v>
      </c>
      <c r="AB697" s="7" t="n">
        <v>1970025.746201614</v>
      </c>
      <c r="AC697" s="7" t="n">
        <v>2111947.775025332</v>
      </c>
      <c r="AD697" s="7" t="n">
        <v>-141922.028823718</v>
      </c>
      <c r="AE697" s="6" t="n">
        <v>-0.0671995920079111</v>
      </c>
    </row>
    <row r="698">
      <c r="A698" s="2" t="n">
        <v>689</v>
      </c>
      <c r="B698" s="2" t="inlineStr">
        <is>
          <t>KPROP-00689</t>
        </is>
      </c>
      <c r="C698" s="3" t="n">
        <v>46140</v>
      </c>
      <c r="D698" s="2" t="inlineStr">
        <is>
          <t>Jesús Luzardo</t>
        </is>
      </c>
      <c r="E698" s="2" t="inlineStr">
        <is>
          <t>Loss</t>
        </is>
      </c>
      <c r="F698" s="2" t="n">
        <v>-1</v>
      </c>
      <c r="G698" s="6" t="n">
        <v>0.2291041919229102</v>
      </c>
      <c r="H698" s="7" t="n">
        <v>100</v>
      </c>
      <c r="I698" s="7" t="n">
        <v>-100</v>
      </c>
      <c r="J698" s="7" t="n">
        <v>19189.39758098348</v>
      </c>
      <c r="K698" s="7" t="n">
        <v>19389.39758098348</v>
      </c>
      <c r="L698" s="7" t="n">
        <v>-200</v>
      </c>
      <c r="M698" s="6" t="n">
        <v>-0.01031491562152265</v>
      </c>
      <c r="N698" s="7" t="n">
        <v>244.7265026263576</v>
      </c>
      <c r="O698" s="7" t="n">
        <v>-244.7265026263576</v>
      </c>
      <c r="P698" s="7" t="n">
        <v>24227.9237600094</v>
      </c>
      <c r="Q698" s="7" t="n">
        <v>24722.32098223535</v>
      </c>
      <c r="R698" s="7" t="n">
        <v>-494.3972222259508</v>
      </c>
      <c r="S698" s="6" t="n">
        <v>-0.01999800999999994</v>
      </c>
      <c r="T698" s="7" t="n">
        <v>19027.79560539582</v>
      </c>
      <c r="U698" s="7" t="n">
        <v>-19027.79560539582</v>
      </c>
      <c r="V698" s="7" t="n">
        <v>313184.2943732697</v>
      </c>
      <c r="W698" s="7" t="n">
        <v>342224.7219030766</v>
      </c>
      <c r="X698" s="7" t="n">
        <v>-29040.42752980691</v>
      </c>
      <c r="Y698" s="6" t="n">
        <v>-0.0848577723091309</v>
      </c>
      <c r="Z698" s="7" t="n">
        <v>225670.5783254245</v>
      </c>
      <c r="AA698" s="7" t="n">
        <v>-225670.5783254245</v>
      </c>
      <c r="AB698" s="7" t="n">
        <v>1744355.16787619</v>
      </c>
      <c r="AC698" s="7" t="n">
        <v>2111947.775025332</v>
      </c>
      <c r="AD698" s="7" t="n">
        <v>-367592.6071491425</v>
      </c>
      <c r="AE698" s="6" t="n">
        <v>-0.1740538338571054</v>
      </c>
    </row>
    <row r="699">
      <c r="A699" s="2" t="n">
        <v>690</v>
      </c>
      <c r="B699" s="2" t="inlineStr">
        <is>
          <t>KPROP-00690</t>
        </is>
      </c>
      <c r="C699" s="3" t="n">
        <v>46140</v>
      </c>
      <c r="D699" s="2" t="inlineStr">
        <is>
          <t>Kyle Leahy</t>
        </is>
      </c>
      <c r="E699" s="2" t="inlineStr">
        <is>
          <t>Loss</t>
        </is>
      </c>
      <c r="F699" s="2" t="n">
        <v>-1</v>
      </c>
      <c r="G699" s="6" t="n">
        <v>0.07832721709974</v>
      </c>
      <c r="H699" s="7" t="n">
        <v>100</v>
      </c>
      <c r="I699" s="7" t="n">
        <v>-100</v>
      </c>
      <c r="J699" s="7" t="n">
        <v>19089.39758098348</v>
      </c>
      <c r="K699" s="7" t="n">
        <v>19389.39758098348</v>
      </c>
      <c r="L699" s="7" t="n">
        <v>-300</v>
      </c>
      <c r="M699" s="6" t="n">
        <v>-0.01547237343228397</v>
      </c>
      <c r="N699" s="7" t="n">
        <v>242.279237600094</v>
      </c>
      <c r="O699" s="7" t="n">
        <v>-242.279237600094</v>
      </c>
      <c r="P699" s="7" t="n">
        <v>23985.64452240931</v>
      </c>
      <c r="Q699" s="7" t="n">
        <v>24722.32098223535</v>
      </c>
      <c r="R699" s="7" t="n">
        <v>-736.6764598260452</v>
      </c>
      <c r="S699" s="6" t="n">
        <v>-0.02979802989999995</v>
      </c>
      <c r="T699" s="7" t="n">
        <v>6132.713554400993</v>
      </c>
      <c r="U699" s="7" t="n">
        <v>-6132.713554400993</v>
      </c>
      <c r="V699" s="7" t="n">
        <v>307051.5808188686</v>
      </c>
      <c r="W699" s="7" t="n">
        <v>342224.7219030766</v>
      </c>
      <c r="X699" s="7" t="n">
        <v>-35173.14108420792</v>
      </c>
      <c r="Y699" s="6" t="n">
        <v>-0.1027779082955015</v>
      </c>
      <c r="Z699" s="7" t="n">
        <v>68315.24296664586</v>
      </c>
      <c r="AA699" s="7" t="n">
        <v>-68315.24296664586</v>
      </c>
      <c r="AB699" s="7" t="n">
        <v>1676039.924909544</v>
      </c>
      <c r="AC699" s="7" t="n">
        <v>2111947.775025332</v>
      </c>
      <c r="AD699" s="7" t="n">
        <v>-435907.8501157884</v>
      </c>
      <c r="AE699" s="6" t="n">
        <v>-0.2064008661911916</v>
      </c>
    </row>
    <row r="700">
      <c r="A700" s="2" t="n">
        <v>691</v>
      </c>
      <c r="B700" s="2" t="inlineStr">
        <is>
          <t>KPROP-00691</t>
        </is>
      </c>
      <c r="C700" s="3" t="n">
        <v>46140</v>
      </c>
      <c r="D700" s="2" t="inlineStr">
        <is>
          <t>Kyle Leahy</t>
        </is>
      </c>
      <c r="E700" s="2" t="inlineStr">
        <is>
          <t>Loss</t>
        </is>
      </c>
      <c r="F700" s="2" t="n">
        <v>-1</v>
      </c>
      <c r="G700" s="6" t="n">
        <v>0.1337570558934215</v>
      </c>
      <c r="H700" s="7" t="n">
        <v>100</v>
      </c>
      <c r="I700" s="7" t="n">
        <v>-100</v>
      </c>
      <c r="J700" s="7" t="n">
        <v>18989.39758098348</v>
      </c>
      <c r="K700" s="7" t="n">
        <v>19389.39758098348</v>
      </c>
      <c r="L700" s="7" t="n">
        <v>-400</v>
      </c>
      <c r="M700" s="6" t="n">
        <v>-0.0206298312430453</v>
      </c>
      <c r="N700" s="7" t="n">
        <v>239.8564452240931</v>
      </c>
      <c r="O700" s="7" t="n">
        <v>-239.8564452240931</v>
      </c>
      <c r="P700" s="7" t="n">
        <v>23745.78807718521</v>
      </c>
      <c r="Q700" s="7" t="n">
        <v>24722.32098223535</v>
      </c>
      <c r="R700" s="7" t="n">
        <v>-976.5329050501387</v>
      </c>
      <c r="S700" s="6" t="n">
        <v>-0.03950004960099997</v>
      </c>
      <c r="T700" s="7" t="n">
        <v>10267.57886443821</v>
      </c>
      <c r="U700" s="7" t="n">
        <v>-10267.57886443821</v>
      </c>
      <c r="V700" s="7" t="n">
        <v>296784.0019544304</v>
      </c>
      <c r="W700" s="7" t="n">
        <v>342224.7219030766</v>
      </c>
      <c r="X700" s="7" t="n">
        <v>-45440.71994864615</v>
      </c>
      <c r="Y700" s="6" t="n">
        <v>-0.1327803546627344</v>
      </c>
      <c r="Z700" s="7" t="n">
        <v>112091.0829578659</v>
      </c>
      <c r="AA700" s="7" t="n">
        <v>-112091.0829578659</v>
      </c>
      <c r="AB700" s="7" t="n">
        <v>1563948.841951678</v>
      </c>
      <c r="AC700" s="7" t="n">
        <v>2111947.775025332</v>
      </c>
      <c r="AD700" s="7" t="n">
        <v>-547998.9330736543</v>
      </c>
      <c r="AE700" s="6" t="n">
        <v>-0.2594756080401094</v>
      </c>
    </row>
    <row r="701">
      <c r="A701" s="2" t="n">
        <v>692</v>
      </c>
      <c r="B701" s="2" t="inlineStr">
        <is>
          <t>KPROP-00692</t>
        </is>
      </c>
      <c r="C701" s="3" t="n">
        <v>46140</v>
      </c>
      <c r="D701" s="2" t="inlineStr">
        <is>
          <t>Logan Gilbert</t>
        </is>
      </c>
      <c r="E701" s="2" t="inlineStr">
        <is>
          <t>Win</t>
        </is>
      </c>
      <c r="F701" s="2" t="n">
        <v>1.05</v>
      </c>
      <c r="G701" s="6" t="n">
        <v>0.0703886633422207</v>
      </c>
      <c r="H701" s="7" t="n">
        <v>100</v>
      </c>
      <c r="I701" s="7" t="n">
        <v>105</v>
      </c>
      <c r="J701" s="7" t="n">
        <v>19094.39758098348</v>
      </c>
      <c r="K701" s="7" t="n">
        <v>19389.39758098348</v>
      </c>
      <c r="L701" s="7" t="n">
        <v>-295</v>
      </c>
      <c r="M701" s="6" t="n">
        <v>-0.01521450054174591</v>
      </c>
      <c r="N701" s="7" t="n">
        <v>237.4578807718522</v>
      </c>
      <c r="O701" s="7" t="n">
        <v>249.3307748104447</v>
      </c>
      <c r="P701" s="7" t="n">
        <v>23995.11885199566</v>
      </c>
      <c r="Q701" s="7" t="n">
        <v>24722.32098223535</v>
      </c>
      <c r="R701" s="7" t="n">
        <v>-727.2021302396934</v>
      </c>
      <c r="S701" s="6" t="n">
        <v>-0.02941480012181045</v>
      </c>
      <c r="T701" s="7" t="n">
        <v>5222.557299731843</v>
      </c>
      <c r="U701" s="7" t="n">
        <v>5483.685164718434</v>
      </c>
      <c r="V701" s="7" t="n">
        <v>302267.6871191488</v>
      </c>
      <c r="W701" s="7" t="n">
        <v>342224.7219030766</v>
      </c>
      <c r="X701" s="7" t="n">
        <v>-39957.03478392772</v>
      </c>
      <c r="Y701" s="6" t="n">
        <v>-0.1167567163521406</v>
      </c>
      <c r="Z701" s="7" t="n">
        <v>55042.1342602963</v>
      </c>
      <c r="AA701" s="7" t="n">
        <v>57794.24097331111</v>
      </c>
      <c r="AB701" s="7" t="n">
        <v>1621743.082924989</v>
      </c>
      <c r="AC701" s="7" t="n">
        <v>2111947.775025332</v>
      </c>
      <c r="AD701" s="7" t="n">
        <v>-490204.6921003433</v>
      </c>
      <c r="AE701" s="6" t="n">
        <v>-0.2321102339258665</v>
      </c>
    </row>
    <row r="702">
      <c r="A702" s="2" t="n">
        <v>693</v>
      </c>
      <c r="B702" s="2" t="inlineStr">
        <is>
          <t>KPROP-00693</t>
        </is>
      </c>
      <c r="C702" s="3" t="n">
        <v>46140</v>
      </c>
      <c r="D702" s="2" t="inlineStr">
        <is>
          <t>Merrill Kelly</t>
        </is>
      </c>
      <c r="E702" s="2" t="inlineStr">
        <is>
          <t>Win</t>
        </is>
      </c>
      <c r="F702" s="2" t="n">
        <v>1.01</v>
      </c>
      <c r="G702" s="6" t="n">
        <v>0.104244968191499</v>
      </c>
      <c r="H702" s="7" t="n">
        <v>100</v>
      </c>
      <c r="I702" s="7" t="n">
        <v>101</v>
      </c>
      <c r="J702" s="7" t="n">
        <v>19195.39758098348</v>
      </c>
      <c r="K702" s="7" t="n">
        <v>19389.39758098348</v>
      </c>
      <c r="L702" s="7" t="n">
        <v>-194</v>
      </c>
      <c r="M702" s="6" t="n">
        <v>-0.01000546815287697</v>
      </c>
      <c r="N702" s="7" t="n">
        <v>239.9511885199566</v>
      </c>
      <c r="O702" s="7" t="n">
        <v>242.3507004051561</v>
      </c>
      <c r="P702" s="7" t="n">
        <v>24237.46955240082</v>
      </c>
      <c r="Q702" s="7" t="n">
        <v>24722.32098223535</v>
      </c>
      <c r="R702" s="7" t="n">
        <v>-484.8514298345362</v>
      </c>
      <c r="S702" s="6" t="n">
        <v>-0.01961188960304069</v>
      </c>
      <c r="T702" s="7" t="n">
        <v>7877.471357263414</v>
      </c>
      <c r="U702" s="7" t="n">
        <v>7956.246070836046</v>
      </c>
      <c r="V702" s="7" t="n">
        <v>310223.9331899849</v>
      </c>
      <c r="W702" s="7" t="n">
        <v>342224.7219030766</v>
      </c>
      <c r="X702" s="7" t="n">
        <v>-32000.78871309169</v>
      </c>
      <c r="Y702" s="6" t="n">
        <v>-0.09350811517981106</v>
      </c>
      <c r="Z702" s="7" t="n">
        <v>84529.27804714954</v>
      </c>
      <c r="AA702" s="7" t="n">
        <v>85374.57082762101</v>
      </c>
      <c r="AB702" s="7" t="n">
        <v>1707117.65375261</v>
      </c>
      <c r="AC702" s="7" t="n">
        <v>2111947.775025332</v>
      </c>
      <c r="AD702" s="7" t="n">
        <v>-404830.1212727223</v>
      </c>
      <c r="AE702" s="6" t="n">
        <v>-0.1916856685851838</v>
      </c>
    </row>
    <row r="703">
      <c r="A703" s="2" t="n">
        <v>694</v>
      </c>
      <c r="B703" s="2" t="inlineStr">
        <is>
          <t>KPROP-00694</t>
        </is>
      </c>
      <c r="C703" s="3" t="n">
        <v>46140</v>
      </c>
      <c r="D703" s="2" t="inlineStr">
        <is>
          <t>Tanner Bibee</t>
        </is>
      </c>
      <c r="E703" s="2" t="inlineStr">
        <is>
          <t>Loss</t>
        </is>
      </c>
      <c r="F703" s="2" t="n">
        <v>-1</v>
      </c>
      <c r="G703" s="6" t="n">
        <v>0.1630277739601265</v>
      </c>
      <c r="H703" s="7" t="n">
        <v>100</v>
      </c>
      <c r="I703" s="7" t="n">
        <v>-100</v>
      </c>
      <c r="J703" s="7" t="n">
        <v>19095.39758098348</v>
      </c>
      <c r="K703" s="7" t="n">
        <v>19389.39758098348</v>
      </c>
      <c r="L703" s="7" t="n">
        <v>-294</v>
      </c>
      <c r="M703" s="6" t="n">
        <v>-0.01516292596363829</v>
      </c>
      <c r="N703" s="7" t="n">
        <v>242.3746955240082</v>
      </c>
      <c r="O703" s="7" t="n">
        <v>-242.3746955240082</v>
      </c>
      <c r="P703" s="7" t="n">
        <v>23995.09485687681</v>
      </c>
      <c r="Q703" s="7" t="n">
        <v>24722.32098223535</v>
      </c>
      <c r="R703" s="7" t="n">
        <v>-727.2261253585457</v>
      </c>
      <c r="S703" s="6" t="n">
        <v>-0.02941577070701034</v>
      </c>
      <c r="T703" s="7" t="n">
        <v>12643.77931427956</v>
      </c>
      <c r="U703" s="7" t="n">
        <v>-12643.77931427956</v>
      </c>
      <c r="V703" s="7" t="n">
        <v>297580.1538757053</v>
      </c>
      <c r="W703" s="7" t="n">
        <v>342224.7219030766</v>
      </c>
      <c r="X703" s="7" t="n">
        <v>-44644.56802737125</v>
      </c>
      <c r="Y703" s="6" t="n">
        <v>-0.1304539537035997</v>
      </c>
      <c r="Z703" s="7" t="n">
        <v>139153.795489661</v>
      </c>
      <c r="AA703" s="7" t="n">
        <v>-139153.795489661</v>
      </c>
      <c r="AB703" s="7" t="n">
        <v>1567963.858262949</v>
      </c>
      <c r="AC703" s="7" t="n">
        <v>2111947.775025332</v>
      </c>
      <c r="AD703" s="7" t="n">
        <v>-543983.9167623832</v>
      </c>
      <c r="AE703" s="6" t="n">
        <v>-0.2575745116404965</v>
      </c>
    </row>
    <row r="704">
      <c r="A704" s="2" t="n">
        <v>695</v>
      </c>
      <c r="B704" s="2" t="inlineStr">
        <is>
          <t>KPROP-00695</t>
        </is>
      </c>
      <c r="C704" s="3" t="n">
        <v>46141</v>
      </c>
      <c r="D704" s="2" t="inlineStr">
        <is>
          <t>David Peterson</t>
        </is>
      </c>
      <c r="E704" s="2" t="inlineStr">
        <is>
          <t>Loss</t>
        </is>
      </c>
      <c r="F704" s="2" t="n">
        <v>-1</v>
      </c>
      <c r="G704" s="6" t="n">
        <v>0.3470179841969468</v>
      </c>
      <c r="H704" s="7" t="n">
        <v>100</v>
      </c>
      <c r="I704" s="7" t="n">
        <v>-100</v>
      </c>
      <c r="J704" s="7" t="n">
        <v>18995.39758098348</v>
      </c>
      <c r="K704" s="7" t="n">
        <v>19389.39758098348</v>
      </c>
      <c r="L704" s="7" t="n">
        <v>-394</v>
      </c>
      <c r="M704" s="6" t="n">
        <v>-0.02032038377439962</v>
      </c>
      <c r="N704" s="7" t="n">
        <v>239.9509485687681</v>
      </c>
      <c r="O704" s="7" t="n">
        <v>-239.9509485687681</v>
      </c>
      <c r="P704" s="7" t="n">
        <v>23755.14390830804</v>
      </c>
      <c r="Q704" s="7" t="n">
        <v>24722.32098223535</v>
      </c>
      <c r="R704" s="7" t="n">
        <v>-967.1770739273124</v>
      </c>
      <c r="S704" s="6" t="n">
        <v>-0.03912161299994018</v>
      </c>
      <c r="T704" s="7" t="n">
        <v>25816.41628374113</v>
      </c>
      <c r="U704" s="7" t="n">
        <v>-25816.41628374113</v>
      </c>
      <c r="V704" s="7" t="n">
        <v>271763.7375919642</v>
      </c>
      <c r="W704" s="7" t="n">
        <v>342224.7219030766</v>
      </c>
      <c r="X704" s="7" t="n">
        <v>-70460.98431111238</v>
      </c>
      <c r="Y704" s="6" t="n">
        <v>-0.2058909827416502</v>
      </c>
      <c r="Z704" s="7" t="n">
        <v>272055.8286940379</v>
      </c>
      <c r="AA704" s="7" t="n">
        <v>-272055.8286940379</v>
      </c>
      <c r="AB704" s="7" t="n">
        <v>1295908.029568911</v>
      </c>
      <c r="AC704" s="7" t="n">
        <v>2111947.775025332</v>
      </c>
      <c r="AD704" s="7" t="n">
        <v>-816039.745456421</v>
      </c>
      <c r="AE704" s="6" t="n">
        <v>-0.3863920098339708</v>
      </c>
    </row>
    <row r="705">
      <c r="A705" s="2" t="n">
        <v>696</v>
      </c>
      <c r="B705" s="2" t="inlineStr">
        <is>
          <t>KPROP-00696</t>
        </is>
      </c>
      <c r="C705" s="3" t="n">
        <v>46141</v>
      </c>
      <c r="D705" s="2" t="inlineStr">
        <is>
          <t>David Peterson</t>
        </is>
      </c>
      <c r="E705" s="2" t="inlineStr">
        <is>
          <t>Win</t>
        </is>
      </c>
      <c r="F705" s="2" t="n">
        <v>0.6896551724137931</v>
      </c>
      <c r="G705" s="6" t="n">
        <v>0.4588844682163438</v>
      </c>
      <c r="H705" s="7" t="n">
        <v>100</v>
      </c>
      <c r="I705" s="7" t="n">
        <v>68.96551724137932</v>
      </c>
      <c r="J705" s="7" t="n">
        <v>19064.36309822487</v>
      </c>
      <c r="K705" s="7" t="n">
        <v>19389.39758098348</v>
      </c>
      <c r="L705" s="7" t="n">
        <v>-325.0344827586196</v>
      </c>
      <c r="M705" s="6" t="n">
        <v>-0.0167635163187021</v>
      </c>
      <c r="N705" s="7" t="n">
        <v>237.5514390830804</v>
      </c>
      <c r="O705" s="7" t="n">
        <v>163.8285786779865</v>
      </c>
      <c r="P705" s="7" t="n">
        <v>23918.97248698603</v>
      </c>
      <c r="Q705" s="7" t="n">
        <v>24722.32098223535</v>
      </c>
      <c r="R705" s="7" t="n">
        <v>-803.3484952493272</v>
      </c>
      <c r="S705" s="6" t="n">
        <v>-0.03249486550338809</v>
      </c>
      <c r="T705" s="7" t="n">
        <v>31177.03955134362</v>
      </c>
      <c r="U705" s="7" t="n">
        <v>21501.40658713353</v>
      </c>
      <c r="V705" s="7" t="n">
        <v>293265.1441790977</v>
      </c>
      <c r="W705" s="7" t="n">
        <v>342224.7219030766</v>
      </c>
      <c r="X705" s="7" t="n">
        <v>-48959.57772397884</v>
      </c>
      <c r="Y705" s="6" t="n">
        <v>-0.1430626561743396</v>
      </c>
      <c r="Z705" s="7" t="n">
        <v>297336.0335030099</v>
      </c>
      <c r="AA705" s="7" t="n">
        <v>205059.3334503517</v>
      </c>
      <c r="AB705" s="7" t="n">
        <v>1500967.363019263</v>
      </c>
      <c r="AC705" s="7" t="n">
        <v>2111947.775025332</v>
      </c>
      <c r="AD705" s="7" t="n">
        <v>-610980.4120060694</v>
      </c>
      <c r="AE705" s="6" t="n">
        <v>-0.2892971214682337</v>
      </c>
    </row>
    <row r="706">
      <c r="A706" s="2" t="n">
        <v>697</v>
      </c>
      <c r="B706" s="2" t="inlineStr">
        <is>
          <t>KPROP-00697</t>
        </is>
      </c>
      <c r="C706" s="3" t="n">
        <v>46141</v>
      </c>
      <c r="D706" s="2" t="inlineStr">
        <is>
          <t>Nathan Eovaldi</t>
        </is>
      </c>
      <c r="E706" s="2" t="inlineStr">
        <is>
          <t>Loss</t>
        </is>
      </c>
      <c r="F706" s="2" t="n">
        <v>-1</v>
      </c>
      <c r="G706" s="6" t="n">
        <v>0.08416159989402344</v>
      </c>
      <c r="H706" s="7" t="n">
        <v>100</v>
      </c>
      <c r="I706" s="7" t="n">
        <v>-100</v>
      </c>
      <c r="J706" s="7" t="n">
        <v>18964.36309822487</v>
      </c>
      <c r="K706" s="7" t="n">
        <v>19389.39758098348</v>
      </c>
      <c r="L706" s="7" t="n">
        <v>-425.0344827586196</v>
      </c>
      <c r="M706" s="6" t="n">
        <v>-0.02192097412946342</v>
      </c>
      <c r="N706" s="7" t="n">
        <v>239.1897248698603</v>
      </c>
      <c r="O706" s="7" t="n">
        <v>-239.1897248698603</v>
      </c>
      <c r="P706" s="7" t="n">
        <v>23679.78276211617</v>
      </c>
      <c r="Q706" s="7" t="n">
        <v>24722.32098223535</v>
      </c>
      <c r="R706" s="7" t="n">
        <v>-1042.538220119186</v>
      </c>
      <c r="S706" s="6" t="n">
        <v>-0.04216991684835415</v>
      </c>
      <c r="T706" s="7" t="n">
        <v>6170.41593181608</v>
      </c>
      <c r="U706" s="7" t="n">
        <v>-6170.41593181608</v>
      </c>
      <c r="V706" s="7" t="n">
        <v>287094.7282472816</v>
      </c>
      <c r="W706" s="7" t="n">
        <v>342224.7219030766</v>
      </c>
      <c r="X706" s="7" t="n">
        <v>-55129.99365579494</v>
      </c>
      <c r="Y706" s="6" t="n">
        <v>-0.1610929606406653</v>
      </c>
      <c r="Z706" s="7" t="n">
        <v>63161.90733020732</v>
      </c>
      <c r="AA706" s="7" t="n">
        <v>-63161.90733020732</v>
      </c>
      <c r="AB706" s="7" t="n">
        <v>1437805.455689056</v>
      </c>
      <c r="AC706" s="7" t="n">
        <v>2111947.775025332</v>
      </c>
      <c r="AD706" s="7" t="n">
        <v>-674142.3193362767</v>
      </c>
      <c r="AE706" s="6" t="n">
        <v>-0.3192040671214943</v>
      </c>
    </row>
    <row r="707">
      <c r="A707" s="2" t="n">
        <v>698</v>
      </c>
      <c r="B707" s="2" t="inlineStr">
        <is>
          <t>KPROP-00698</t>
        </is>
      </c>
      <c r="C707" s="3" t="n">
        <v>46141</v>
      </c>
      <c r="D707" s="2" t="inlineStr">
        <is>
          <t>Tyler Glasnow</t>
        </is>
      </c>
      <c r="E707" s="2" t="inlineStr">
        <is>
          <t>Loss</t>
        </is>
      </c>
      <c r="F707" s="2" t="n">
        <v>-1</v>
      </c>
      <c r="G707" s="6" t="n">
        <v>0.08300064140743237</v>
      </c>
      <c r="H707" s="7" t="n">
        <v>100</v>
      </c>
      <c r="I707" s="7" t="n">
        <v>-100</v>
      </c>
      <c r="J707" s="7" t="n">
        <v>18864.36309822487</v>
      </c>
      <c r="K707" s="7" t="n">
        <v>19389.39758098348</v>
      </c>
      <c r="L707" s="7" t="n">
        <v>-525.0344827586196</v>
      </c>
      <c r="M707" s="6" t="n">
        <v>-0.02707843194022474</v>
      </c>
      <c r="N707" s="7" t="n">
        <v>236.7978276211617</v>
      </c>
      <c r="O707" s="7" t="n">
        <v>-236.7978276211617</v>
      </c>
      <c r="P707" s="7" t="n">
        <v>23442.98493449501</v>
      </c>
      <c r="Q707" s="7" t="n">
        <v>24722.32098223535</v>
      </c>
      <c r="R707" s="7" t="n">
        <v>-1279.336047740348</v>
      </c>
      <c r="S707" s="6" t="n">
        <v>-0.05174821767987061</v>
      </c>
      <c r="T707" s="7" t="n">
        <v>5957.261647304216</v>
      </c>
      <c r="U707" s="7" t="n">
        <v>-5957.261647304216</v>
      </c>
      <c r="V707" s="7" t="n">
        <v>281137.4665999774</v>
      </c>
      <c r="W707" s="7" t="n">
        <v>342224.7219030766</v>
      </c>
      <c r="X707" s="7" t="n">
        <v>-61087.25530309917</v>
      </c>
      <c r="Y707" s="6" t="n">
        <v>-0.178500416227674</v>
      </c>
      <c r="Z707" s="7" t="n">
        <v>59669.3875206486</v>
      </c>
      <c r="AA707" s="7" t="n">
        <v>-59669.3875206486</v>
      </c>
      <c r="AB707" s="7" t="n">
        <v>1378136.068168407</v>
      </c>
      <c r="AC707" s="7" t="n">
        <v>2111947.775025332</v>
      </c>
      <c r="AD707" s="7" t="n">
        <v>-733811.7068569253</v>
      </c>
      <c r="AE707" s="6" t="n">
        <v>-0.3474573166697379</v>
      </c>
    </row>
    <row r="708">
      <c r="A708" s="2" t="n">
        <v>699</v>
      </c>
      <c r="B708" s="2" t="inlineStr">
        <is>
          <t>KPROP-00699</t>
        </is>
      </c>
      <c r="C708" s="3" t="n">
        <v>46141</v>
      </c>
      <c r="D708" s="2" t="inlineStr">
        <is>
          <t>Tyler Glasnow</t>
        </is>
      </c>
      <c r="E708" s="2" t="inlineStr">
        <is>
          <t>Loss</t>
        </is>
      </c>
      <c r="F708" s="2" t="n">
        <v>-1</v>
      </c>
      <c r="G708" s="6" t="n">
        <v>0.1133095340005733</v>
      </c>
      <c r="H708" s="7" t="n">
        <v>100</v>
      </c>
      <c r="I708" s="7" t="n">
        <v>-100</v>
      </c>
      <c r="J708" s="7" t="n">
        <v>18764.36309822487</v>
      </c>
      <c r="K708" s="7" t="n">
        <v>19389.39758098348</v>
      </c>
      <c r="L708" s="7" t="n">
        <v>-625.0344827586196</v>
      </c>
      <c r="M708" s="6" t="n">
        <v>-0.03223588975098607</v>
      </c>
      <c r="N708" s="7" t="n">
        <v>234.4298493449501</v>
      </c>
      <c r="O708" s="7" t="n">
        <v>-234.4298493449501</v>
      </c>
      <c r="P708" s="7" t="n">
        <v>23208.55508515006</v>
      </c>
      <c r="Q708" s="7" t="n">
        <v>24722.32098223535</v>
      </c>
      <c r="R708" s="7" t="n">
        <v>-1513.765897085297</v>
      </c>
      <c r="S708" s="6" t="n">
        <v>-0.06123073550307188</v>
      </c>
      <c r="T708" s="7" t="n">
        <v>7963.888832636293</v>
      </c>
      <c r="U708" s="7" t="n">
        <v>-7963.888832636293</v>
      </c>
      <c r="V708" s="7" t="n">
        <v>273173.5777673411</v>
      </c>
      <c r="W708" s="7" t="n">
        <v>342224.7219030766</v>
      </c>
      <c r="X708" s="7" t="n">
        <v>-69051.14413573546</v>
      </c>
      <c r="Y708" s="6" t="n">
        <v>-0.2017713499824008</v>
      </c>
      <c r="Z708" s="7" t="n">
        <v>78077.97783677225</v>
      </c>
      <c r="AA708" s="7" t="n">
        <v>-78077.97783677225</v>
      </c>
      <c r="AB708" s="7" t="n">
        <v>1300058.090331635</v>
      </c>
      <c r="AC708" s="7" t="n">
        <v>2111947.775025332</v>
      </c>
      <c r="AD708" s="7" t="n">
        <v>-811889.6846936976</v>
      </c>
      <c r="AE708" s="6" t="n">
        <v>-0.3844269703515558</v>
      </c>
    </row>
    <row r="709">
      <c r="A709" s="2" t="n">
        <v>700</v>
      </c>
      <c r="B709" s="2" t="inlineStr">
        <is>
          <t>KPROP-00700</t>
        </is>
      </c>
      <c r="C709" s="3" t="n">
        <v>46141</v>
      </c>
      <c r="D709" s="2" t="inlineStr">
        <is>
          <t>Yusei Kikuchi</t>
        </is>
      </c>
      <c r="E709" s="2" t="inlineStr">
        <is>
          <t>Win</t>
        </is>
      </c>
      <c r="F709" s="2" t="n">
        <v>1.15</v>
      </c>
      <c r="G709" s="6" t="n">
        <v>0.3827007826400062</v>
      </c>
      <c r="H709" s="7" t="n">
        <v>100</v>
      </c>
      <c r="I709" s="7" t="n">
        <v>115</v>
      </c>
      <c r="J709" s="7" t="n">
        <v>18879.36309822487</v>
      </c>
      <c r="K709" s="7" t="n">
        <v>19389.39758098348</v>
      </c>
      <c r="L709" s="7" t="n">
        <v>-510.0344827586196</v>
      </c>
      <c r="M709" s="6" t="n">
        <v>-0.02630481326861054</v>
      </c>
      <c r="N709" s="7" t="n">
        <v>232.0855508515006</v>
      </c>
      <c r="O709" s="7" t="n">
        <v>266.8983834792256</v>
      </c>
      <c r="P709" s="7" t="n">
        <v>23475.45346862928</v>
      </c>
      <c r="Q709" s="7" t="n">
        <v>24722.32098223535</v>
      </c>
      <c r="R709" s="7" t="n">
        <v>-1246.86751360607</v>
      </c>
      <c r="S709" s="6" t="n">
        <v>-0.05043488896135715</v>
      </c>
      <c r="T709" s="7" t="n">
        <v>26135.93550203301</v>
      </c>
      <c r="U709" s="7" t="n">
        <v>30056.32582733796</v>
      </c>
      <c r="V709" s="7" t="n">
        <v>303229.9035946791</v>
      </c>
      <c r="W709" s="7" t="n">
        <v>342224.7219030766</v>
      </c>
      <c r="X709" s="7" t="n">
        <v>-38994.81830839749</v>
      </c>
      <c r="Y709" s="6" t="n">
        <v>-0.1139450653697702</v>
      </c>
      <c r="Z709" s="7" t="n">
        <v>248766.6243236943</v>
      </c>
      <c r="AA709" s="7" t="n">
        <v>286081.6179722484</v>
      </c>
      <c r="AB709" s="7" t="n">
        <v>1586139.708303883</v>
      </c>
      <c r="AC709" s="7" t="n">
        <v>2111947.775025332</v>
      </c>
      <c r="AD709" s="7" t="n">
        <v>-525808.0667214491</v>
      </c>
      <c r="AE709" s="6" t="n">
        <v>-0.2489683092258956</v>
      </c>
    </row>
    <row r="710">
      <c r="A710" s="2" t="n">
        <v>701</v>
      </c>
      <c r="B710" s="2" t="inlineStr">
        <is>
          <t>KPROP-00701</t>
        </is>
      </c>
      <c r="C710" s="3" t="n">
        <v>46142</v>
      </c>
      <c r="D710" s="2" t="inlineStr">
        <is>
          <t>Andrew Abbott</t>
        </is>
      </c>
      <c r="E710" s="2" t="inlineStr">
        <is>
          <t>Loss</t>
        </is>
      </c>
      <c r="F710" s="2" t="n">
        <v>-1</v>
      </c>
      <c r="G710" s="6" t="n">
        <v>0.1795483460270941</v>
      </c>
      <c r="H710" s="7" t="n">
        <v>100</v>
      </c>
      <c r="I710" s="7" t="n">
        <v>-100</v>
      </c>
      <c r="J710" s="7" t="n">
        <v>18779.36309822487</v>
      </c>
      <c r="K710" s="7" t="n">
        <v>19389.39758098348</v>
      </c>
      <c r="L710" s="7" t="n">
        <v>-610.0344827586196</v>
      </c>
      <c r="M710" s="6" t="n">
        <v>-0.03146227107937187</v>
      </c>
      <c r="N710" s="7" t="n">
        <v>234.7545346862928</v>
      </c>
      <c r="O710" s="7" t="n">
        <v>-234.7545346862928</v>
      </c>
      <c r="P710" s="7" t="n">
        <v>23240.69893394299</v>
      </c>
      <c r="Q710" s="7" t="n">
        <v>24722.32098223535</v>
      </c>
      <c r="R710" s="7" t="n">
        <v>-1481.622048292364</v>
      </c>
      <c r="S710" s="6" t="n">
        <v>-0.05993054007174361</v>
      </c>
      <c r="T710" s="7" t="n">
        <v>13611.10691409496</v>
      </c>
      <c r="U710" s="7" t="n">
        <v>-13611.10691409496</v>
      </c>
      <c r="V710" s="7" t="n">
        <v>289618.7966805841</v>
      </c>
      <c r="W710" s="7" t="n">
        <v>342224.7219030766</v>
      </c>
      <c r="X710" s="7" t="n">
        <v>-52605.92522249243</v>
      </c>
      <c r="Y710" s="6" t="n">
        <v>-0.1537174898702708</v>
      </c>
      <c r="Z710" s="7" t="n">
        <v>142394.3805969299</v>
      </c>
      <c r="AA710" s="7" t="n">
        <v>-142394.3805969299</v>
      </c>
      <c r="AB710" s="7" t="n">
        <v>1443745.327706953</v>
      </c>
      <c r="AC710" s="7" t="n">
        <v>2111947.775025332</v>
      </c>
      <c r="AD710" s="7" t="n">
        <v>-668202.4473183791</v>
      </c>
      <c r="AE710" s="6" t="n">
        <v>-0.3163915581721068</v>
      </c>
    </row>
    <row r="711">
      <c r="A711" s="2" t="n">
        <v>702</v>
      </c>
      <c r="B711" s="2" t="inlineStr">
        <is>
          <t>KPROP-00702</t>
        </is>
      </c>
      <c r="C711" s="3" t="n">
        <v>46142</v>
      </c>
      <c r="D711" s="2" t="inlineStr">
        <is>
          <t>Brandon Woodruff</t>
        </is>
      </c>
      <c r="E711" s="2" t="inlineStr">
        <is>
          <t>Win</t>
        </is>
      </c>
      <c r="F711" s="2" t="n">
        <v>1.3</v>
      </c>
      <c r="G711" s="6" t="n">
        <v>0.06766060297936156</v>
      </c>
      <c r="H711" s="7" t="n">
        <v>100</v>
      </c>
      <c r="I711" s="7" t="n">
        <v>130</v>
      </c>
      <c r="J711" s="7" t="n">
        <v>18909.36309822487</v>
      </c>
      <c r="K711" s="7" t="n">
        <v>19389.39758098348</v>
      </c>
      <c r="L711" s="7" t="n">
        <v>-480.0344827586196</v>
      </c>
      <c r="M711" s="6" t="n">
        <v>-0.02475757592538215</v>
      </c>
      <c r="N711" s="7" t="n">
        <v>232.4069893394299</v>
      </c>
      <c r="O711" s="7" t="n">
        <v>302.1290861412588</v>
      </c>
      <c r="P711" s="7" t="n">
        <v>23542.82802008425</v>
      </c>
      <c r="Q711" s="7" t="n">
        <v>24722.32098223535</v>
      </c>
      <c r="R711" s="7" t="n">
        <v>-1179.492962151104</v>
      </c>
      <c r="S711" s="6" t="n">
        <v>-0.04770963709267623</v>
      </c>
      <c r="T711" s="7" t="n">
        <v>4898.945604391361</v>
      </c>
      <c r="U711" s="7" t="n">
        <v>6368.629285708768</v>
      </c>
      <c r="V711" s="7" t="n">
        <v>295987.4259662929</v>
      </c>
      <c r="W711" s="7" t="n">
        <v>342224.7219030766</v>
      </c>
      <c r="X711" s="7" t="n">
        <v>-46237.29593678366</v>
      </c>
      <c r="Y711" s="6" t="n">
        <v>-0.1351079947692347</v>
      </c>
      <c r="Z711" s="7" t="n">
        <v>48842.33971064421</v>
      </c>
      <c r="AA711" s="7" t="n">
        <v>63495.04162383747</v>
      </c>
      <c r="AB711" s="7" t="n">
        <v>1507240.369330791</v>
      </c>
      <c r="AC711" s="7" t="n">
        <v>2111947.775025332</v>
      </c>
      <c r="AD711" s="7" t="n">
        <v>-604707.4056945415</v>
      </c>
      <c r="AE711" s="6" t="n">
        <v>-0.2863268745777997</v>
      </c>
    </row>
    <row r="712">
      <c r="A712" s="2" t="n">
        <v>703</v>
      </c>
      <c r="B712" s="2" t="inlineStr">
        <is>
          <t>KPROP-00703</t>
        </is>
      </c>
      <c r="C712" s="3" t="n">
        <v>46142</v>
      </c>
      <c r="D712" s="2" t="inlineStr">
        <is>
          <t>Cristopher Sánchez</t>
        </is>
      </c>
      <c r="E712" s="2" t="inlineStr">
        <is>
          <t>Loss</t>
        </is>
      </c>
      <c r="F712" s="2" t="n">
        <v>-1</v>
      </c>
      <c r="G712" s="6" t="n">
        <v>0.1326201138802403</v>
      </c>
      <c r="H712" s="7" t="n">
        <v>100</v>
      </c>
      <c r="I712" s="7" t="n">
        <v>-100</v>
      </c>
      <c r="J712" s="7" t="n">
        <v>18809.36309822487</v>
      </c>
      <c r="K712" s="7" t="n">
        <v>19389.39758098348</v>
      </c>
      <c r="L712" s="7" t="n">
        <v>-580.0344827586196</v>
      </c>
      <c r="M712" s="6" t="n">
        <v>-0.02991503373614347</v>
      </c>
      <c r="N712" s="7" t="n">
        <v>235.4282802008425</v>
      </c>
      <c r="O712" s="7" t="n">
        <v>-235.4282802008425</v>
      </c>
      <c r="P712" s="7" t="n">
        <v>23307.39973988341</v>
      </c>
      <c r="Q712" s="7" t="n">
        <v>24722.32098223535</v>
      </c>
      <c r="R712" s="7" t="n">
        <v>-1414.921242351946</v>
      </c>
      <c r="S712" s="6" t="n">
        <v>-0.05723254072174945</v>
      </c>
      <c r="T712" s="7" t="n">
        <v>9813.471534692237</v>
      </c>
      <c r="U712" s="7" t="n">
        <v>-9813.471534692237</v>
      </c>
      <c r="V712" s="7" t="n">
        <v>286173.9544316007</v>
      </c>
      <c r="W712" s="7" t="n">
        <v>342224.7219030766</v>
      </c>
      <c r="X712" s="7" t="n">
        <v>-56050.76747147588</v>
      </c>
      <c r="Y712" s="6" t="n">
        <v>-0.163783513826188</v>
      </c>
      <c r="Z712" s="7" t="n">
        <v>99945.19471277243</v>
      </c>
      <c r="AA712" s="7" t="n">
        <v>-99945.19471277243</v>
      </c>
      <c r="AB712" s="7" t="n">
        <v>1407295.174618018</v>
      </c>
      <c r="AC712" s="7" t="n">
        <v>2111947.775025332</v>
      </c>
      <c r="AD712" s="7" t="n">
        <v>-704652.600407314</v>
      </c>
      <c r="AE712" s="6" t="n">
        <v>-0.3336505801611793</v>
      </c>
    </row>
    <row r="713">
      <c r="A713" s="2" t="n">
        <v>704</v>
      </c>
      <c r="B713" s="2" t="inlineStr">
        <is>
          <t>KPROP-00704</t>
        </is>
      </c>
      <c r="C713" s="3" t="n">
        <v>46142</v>
      </c>
      <c r="D713" s="2" t="inlineStr">
        <is>
          <t>Freddy Peralta</t>
        </is>
      </c>
      <c r="E713" s="2" t="inlineStr">
        <is>
          <t>Loss</t>
        </is>
      </c>
      <c r="F713" s="2" t="n">
        <v>-1</v>
      </c>
      <c r="G713" s="6" t="n">
        <v>0.1702234358265285</v>
      </c>
      <c r="H713" s="7" t="n">
        <v>100</v>
      </c>
      <c r="I713" s="7" t="n">
        <v>-100</v>
      </c>
      <c r="J713" s="7" t="n">
        <v>18709.36309822487</v>
      </c>
      <c r="K713" s="7" t="n">
        <v>19389.39758098348</v>
      </c>
      <c r="L713" s="7" t="n">
        <v>-680.0344827586196</v>
      </c>
      <c r="M713" s="6" t="n">
        <v>-0.0350724915469048</v>
      </c>
      <c r="N713" s="7" t="n">
        <v>233.0739973988341</v>
      </c>
      <c r="O713" s="7" t="n">
        <v>-233.0739973988341</v>
      </c>
      <c r="P713" s="7" t="n">
        <v>23074.32574248457</v>
      </c>
      <c r="Q713" s="7" t="n">
        <v>24722.32098223535</v>
      </c>
      <c r="R713" s="7" t="n">
        <v>-1647.99523975078</v>
      </c>
      <c r="S713" s="6" t="n">
        <v>-0.06666021531453198</v>
      </c>
      <c r="T713" s="7" t="n">
        <v>12178.37844185287</v>
      </c>
      <c r="U713" s="7" t="n">
        <v>-12178.37844185287</v>
      </c>
      <c r="V713" s="7" t="n">
        <v>273995.5759897478</v>
      </c>
      <c r="W713" s="7" t="n">
        <v>342224.7219030766</v>
      </c>
      <c r="X713" s="7" t="n">
        <v>-68229.14591332874</v>
      </c>
      <c r="Y713" s="6" t="n">
        <v>-0.1993694246690112</v>
      </c>
      <c r="Z713" s="7" t="n">
        <v>119777.3099227867</v>
      </c>
      <c r="AA713" s="7" t="n">
        <v>-119777.3099227867</v>
      </c>
      <c r="AB713" s="7" t="n">
        <v>1287517.864695232</v>
      </c>
      <c r="AC713" s="7" t="n">
        <v>2111947.775025332</v>
      </c>
      <c r="AD713" s="7" t="n">
        <v>-824429.9103301007</v>
      </c>
      <c r="AE713" s="6" t="n">
        <v>-0.3903647240141683</v>
      </c>
    </row>
    <row r="714">
      <c r="A714" s="2" t="n">
        <v>705</v>
      </c>
      <c r="B714" s="2" t="inlineStr">
        <is>
          <t>KPROP-00705</t>
        </is>
      </c>
      <c r="C714" s="3" t="n">
        <v>46142</v>
      </c>
      <c r="D714" s="2" t="inlineStr">
        <is>
          <t>Kevin Gausman</t>
        </is>
      </c>
      <c r="E714" s="2" t="inlineStr">
        <is>
          <t>Win</t>
        </is>
      </c>
      <c r="F714" s="2" t="n">
        <v>1.1</v>
      </c>
      <c r="G714" s="6" t="n">
        <v>0.1620980557408289</v>
      </c>
      <c r="H714" s="7" t="n">
        <v>100</v>
      </c>
      <c r="I714" s="7" t="n">
        <v>110</v>
      </c>
      <c r="J714" s="7" t="n">
        <v>18819.36309822487</v>
      </c>
      <c r="K714" s="7" t="n">
        <v>19389.39758098348</v>
      </c>
      <c r="L714" s="7" t="n">
        <v>-570.0344827586196</v>
      </c>
      <c r="M714" s="6" t="n">
        <v>-0.02939928795506734</v>
      </c>
      <c r="N714" s="7" t="n">
        <v>230.7432574248457</v>
      </c>
      <c r="O714" s="7" t="n">
        <v>253.8175831673303</v>
      </c>
      <c r="P714" s="7" t="n">
        <v>23328.1433256519</v>
      </c>
      <c r="Q714" s="7" t="n">
        <v>24722.32098223535</v>
      </c>
      <c r="R714" s="7" t="n">
        <v>-1394.177656583452</v>
      </c>
      <c r="S714" s="6" t="n">
        <v>-0.0563934776829919</v>
      </c>
      <c r="T714" s="7" t="n">
        <v>11103.53753738167</v>
      </c>
      <c r="U714" s="7" t="n">
        <v>12213.89129111983</v>
      </c>
      <c r="V714" s="7" t="n">
        <v>286209.4672808677</v>
      </c>
      <c r="W714" s="7" t="n">
        <v>342224.7219030766</v>
      </c>
      <c r="X714" s="7" t="n">
        <v>-56015.25462220889</v>
      </c>
      <c r="Y714" s="6" t="n">
        <v>-0.1636797432713622</v>
      </c>
      <c r="Z714" s="7" t="n">
        <v>104352.0712993403</v>
      </c>
      <c r="AA714" s="7" t="n">
        <v>114787.2784292744</v>
      </c>
      <c r="AB714" s="7" t="n">
        <v>1402305.143124506</v>
      </c>
      <c r="AC714" s="7" t="n">
        <v>2111947.775025332</v>
      </c>
      <c r="AD714" s="7" t="n">
        <v>-709642.6319008262</v>
      </c>
      <c r="AE714" s="6" t="n">
        <v>-0.3360133428925884</v>
      </c>
    </row>
    <row r="715">
      <c r="A715" s="2" t="n">
        <v>706</v>
      </c>
      <c r="B715" s="2" t="inlineStr">
        <is>
          <t>KPROP-00706</t>
        </is>
      </c>
      <c r="C715" s="3" t="n">
        <v>46142</v>
      </c>
      <c r="D715" s="2" t="inlineStr">
        <is>
          <t>Logan Webb</t>
        </is>
      </c>
      <c r="E715" s="2" t="inlineStr">
        <is>
          <t>Loss</t>
        </is>
      </c>
      <c r="F715" s="2" t="n">
        <v>-1</v>
      </c>
      <c r="G715" s="6" t="n">
        <v>0.1034588282988947</v>
      </c>
      <c r="H715" s="7" t="n">
        <v>100</v>
      </c>
      <c r="I715" s="7" t="n">
        <v>-100</v>
      </c>
      <c r="J715" s="7" t="n">
        <v>18719.36309822487</v>
      </c>
      <c r="K715" s="7" t="n">
        <v>19389.39758098348</v>
      </c>
      <c r="L715" s="7" t="n">
        <v>-670.0344827586196</v>
      </c>
      <c r="M715" s="6" t="n">
        <v>-0.03455674576582866</v>
      </c>
      <c r="N715" s="7" t="n">
        <v>233.281433256519</v>
      </c>
      <c r="O715" s="7" t="n">
        <v>-233.281433256519</v>
      </c>
      <c r="P715" s="7" t="n">
        <v>23094.86189239538</v>
      </c>
      <c r="Q715" s="7" t="n">
        <v>24722.32098223535</v>
      </c>
      <c r="R715" s="7" t="n">
        <v>-1627.459089839969</v>
      </c>
      <c r="S715" s="6" t="n">
        <v>-0.06582954290616191</v>
      </c>
      <c r="T715" s="7" t="n">
        <v>7402.724033232351</v>
      </c>
      <c r="U715" s="7" t="n">
        <v>-7402.724033232351</v>
      </c>
      <c r="V715" s="7" t="n">
        <v>278806.7432476353</v>
      </c>
      <c r="W715" s="7" t="n">
        <v>342224.7219030766</v>
      </c>
      <c r="X715" s="7" t="n">
        <v>-63417.97865544126</v>
      </c>
      <c r="Y715" s="6" t="n">
        <v>-0.1853109217323061</v>
      </c>
      <c r="Z715" s="7" t="n">
        <v>72540.4235125876</v>
      </c>
      <c r="AA715" s="7" t="n">
        <v>-72540.4235125876</v>
      </c>
      <c r="AB715" s="7" t="n">
        <v>1329764.719611919</v>
      </c>
      <c r="AC715" s="7" t="n">
        <v>2111947.775025332</v>
      </c>
      <c r="AD715" s="7" t="n">
        <v>-782183.0554134138</v>
      </c>
      <c r="AE715" s="6" t="n">
        <v>-0.3703609836678048</v>
      </c>
    </row>
    <row r="716">
      <c r="A716" s="2" t="n">
        <v>707</v>
      </c>
      <c r="B716" s="2" t="inlineStr">
        <is>
          <t>KPROP-00707</t>
        </is>
      </c>
      <c r="C716" s="3" t="n">
        <v>46142</v>
      </c>
      <c r="D716" s="2" t="inlineStr">
        <is>
          <t>Noah Cameron</t>
        </is>
      </c>
      <c r="E716" s="2" t="inlineStr">
        <is>
          <t>Loss</t>
        </is>
      </c>
      <c r="F716" s="2" t="n">
        <v>-1</v>
      </c>
      <c r="G716" s="6" t="n">
        <v>0.08271551635147878</v>
      </c>
      <c r="H716" s="7" t="n">
        <v>100</v>
      </c>
      <c r="I716" s="7" t="n">
        <v>-100</v>
      </c>
      <c r="J716" s="7" t="n">
        <v>18619.36309822487</v>
      </c>
      <c r="K716" s="7" t="n">
        <v>19389.39758098348</v>
      </c>
      <c r="L716" s="7" t="n">
        <v>-770.0344827586196</v>
      </c>
      <c r="M716" s="6" t="n">
        <v>-0.03971420357658999</v>
      </c>
      <c r="N716" s="7" t="n">
        <v>230.9486189239538</v>
      </c>
      <c r="O716" s="7" t="n">
        <v>-230.9486189239538</v>
      </c>
      <c r="P716" s="7" t="n">
        <v>22863.91327347143</v>
      </c>
      <c r="Q716" s="7" t="n">
        <v>24722.32098223535</v>
      </c>
      <c r="R716" s="7" t="n">
        <v>-1858.407708763923</v>
      </c>
      <c r="S716" s="6" t="n">
        <v>-0.07517124747710031</v>
      </c>
      <c r="T716" s="7" t="n">
        <v>5765.410932500581</v>
      </c>
      <c r="U716" s="7" t="n">
        <v>-5765.410932500581</v>
      </c>
      <c r="V716" s="7" t="n">
        <v>273041.3323151348</v>
      </c>
      <c r="W716" s="7" t="n">
        <v>342224.7219030766</v>
      </c>
      <c r="X716" s="7" t="n">
        <v>-69183.38958794181</v>
      </c>
      <c r="Y716" s="6" t="n">
        <v>-0.2021577786760117</v>
      </c>
      <c r="Z716" s="7" t="n">
        <v>54996.08770433962</v>
      </c>
      <c r="AA716" s="7" t="n">
        <v>-54996.08770433962</v>
      </c>
      <c r="AB716" s="7" t="n">
        <v>1274768.631907579</v>
      </c>
      <c r="AC716" s="7" t="n">
        <v>2111947.775025332</v>
      </c>
      <c r="AD716" s="7" t="n">
        <v>-837179.1431177533</v>
      </c>
      <c r="AE716" s="6" t="n">
        <v>-0.3964014418432821</v>
      </c>
    </row>
    <row r="717">
      <c r="A717" s="2" t="n">
        <v>708</v>
      </c>
      <c r="B717" s="2" t="inlineStr">
        <is>
          <t>KPROP-00708</t>
        </is>
      </c>
      <c r="C717" s="3" t="n">
        <v>46143</v>
      </c>
      <c r="D717" s="2" t="inlineStr">
        <is>
          <t>Robbie Ray</t>
        </is>
      </c>
      <c r="E717" s="2" t="inlineStr">
        <is>
          <t>Loss</t>
        </is>
      </c>
      <c r="F717" s="2" t="n">
        <v>-1</v>
      </c>
      <c r="G717" s="6" t="n">
        <v>0.09737249478168843</v>
      </c>
      <c r="H717" s="7" t="n">
        <v>100</v>
      </c>
      <c r="I717" s="7" t="n">
        <v>-100</v>
      </c>
      <c r="J717" s="7" t="n">
        <v>18519.36309822487</v>
      </c>
      <c r="K717" s="7" t="n">
        <v>19389.39758098348</v>
      </c>
      <c r="L717" s="7" t="n">
        <v>-870.0344827586196</v>
      </c>
      <c r="M717" s="6" t="n">
        <v>-0.04487166138735131</v>
      </c>
      <c r="N717" s="7" t="n">
        <v>228.6391327347143</v>
      </c>
      <c r="O717" s="7" t="n">
        <v>-228.6391327347143</v>
      </c>
      <c r="P717" s="7" t="n">
        <v>22635.27414073671</v>
      </c>
      <c r="Q717" s="7" t="n">
        <v>24722.32098223535</v>
      </c>
      <c r="R717" s="7" t="n">
        <v>-2087.046841498639</v>
      </c>
      <c r="S717" s="6" t="n">
        <v>-0.08441953500232936</v>
      </c>
      <c r="T717" s="7" t="n">
        <v>6646.678926510179</v>
      </c>
      <c r="U717" s="7" t="n">
        <v>-6646.678926510179</v>
      </c>
      <c r="V717" s="7" t="n">
        <v>266394.6533886246</v>
      </c>
      <c r="W717" s="7" t="n">
        <v>342224.7219030766</v>
      </c>
      <c r="X717" s="7" t="n">
        <v>-75830.06851445197</v>
      </c>
      <c r="Y717" s="6" t="n">
        <v>-0.2215797505591318</v>
      </c>
      <c r="Z717" s="7" t="n">
        <v>62063.70097914042</v>
      </c>
      <c r="AA717" s="7" t="n">
        <v>-62063.70097914042</v>
      </c>
      <c r="AB717" s="7" t="n">
        <v>1212704.930928439</v>
      </c>
      <c r="AC717" s="7" t="n">
        <v>2111947.775025332</v>
      </c>
      <c r="AD717" s="7" t="n">
        <v>-899242.8440968937</v>
      </c>
      <c r="AE717" s="6" t="n">
        <v>-0.4257883905704569</v>
      </c>
    </row>
    <row r="718">
      <c r="A718" s="2" t="n">
        <v>709</v>
      </c>
      <c r="B718" s="2" t="inlineStr">
        <is>
          <t>KPROP-00709</t>
        </is>
      </c>
      <c r="C718" s="3" t="n">
        <v>46143</v>
      </c>
      <c r="D718" s="2" t="inlineStr">
        <is>
          <t>Robbie Ray</t>
        </is>
      </c>
      <c r="E718" s="2" t="inlineStr">
        <is>
          <t>Win</t>
        </is>
      </c>
      <c r="F718" s="2" t="n">
        <v>0.65359477124183</v>
      </c>
      <c r="G718" s="6" t="n">
        <v>0.1789783943397794</v>
      </c>
      <c r="H718" s="7" t="n">
        <v>100</v>
      </c>
      <c r="I718" s="7" t="n">
        <v>65.359477124183</v>
      </c>
      <c r="J718" s="7" t="n">
        <v>18584.72257534905</v>
      </c>
      <c r="K718" s="7" t="n">
        <v>19389.39758098348</v>
      </c>
      <c r="L718" s="7" t="n">
        <v>-804.6750056344354</v>
      </c>
      <c r="M718" s="6" t="n">
        <v>-0.04150077392933731</v>
      </c>
      <c r="N718" s="7" t="n">
        <v>226.3527414073671</v>
      </c>
      <c r="O718" s="7" t="n">
        <v>147.9429682401092</v>
      </c>
      <c r="P718" s="7" t="n">
        <v>22783.21710897682</v>
      </c>
      <c r="Q718" s="7" t="n">
        <v>24722.32098223535</v>
      </c>
      <c r="R718" s="7" t="n">
        <v>-1939.103873258529</v>
      </c>
      <c r="S718" s="6" t="n">
        <v>-0.07843534895659293</v>
      </c>
      <c r="T718" s="7" t="n">
        <v>11919.72183104953</v>
      </c>
      <c r="U718" s="7" t="n">
        <v>7790.667863431063</v>
      </c>
      <c r="V718" s="7" t="n">
        <v>274185.3212520556</v>
      </c>
      <c r="W718" s="7" t="n">
        <v>342224.7219030766</v>
      </c>
      <c r="X718" s="7" t="n">
        <v>-68039.40065102093</v>
      </c>
      <c r="Y718" s="6" t="n">
        <v>-0.1988149782770245</v>
      </c>
      <c r="Z718" s="7" t="n">
        <v>108523.9906727525</v>
      </c>
      <c r="AA718" s="7" t="n">
        <v>70930.71285800818</v>
      </c>
      <c r="AB718" s="7" t="n">
        <v>1283635.643786447</v>
      </c>
      <c r="AC718" s="7" t="n">
        <v>2111947.775025332</v>
      </c>
      <c r="AD718" s="7" t="n">
        <v>-828312.1312388855</v>
      </c>
      <c r="AE718" s="6" t="n">
        <v>-0.3922029422479209</v>
      </c>
    </row>
    <row r="719">
      <c r="A719" s="2" t="n">
        <v>710</v>
      </c>
      <c r="B719" s="2" t="inlineStr">
        <is>
          <t>KPROP-00710</t>
        </is>
      </c>
      <c r="C719" s="3" t="n">
        <v>46143</v>
      </c>
      <c r="D719" s="2" t="inlineStr">
        <is>
          <t>Shane McClanahan</t>
        </is>
      </c>
      <c r="E719" s="2" t="inlineStr">
        <is>
          <t>Win</t>
        </is>
      </c>
      <c r="F719" s="2" t="n">
        <v>0.7407407407407407</v>
      </c>
      <c r="G719" s="6" t="n">
        <v>0.1283427789734026</v>
      </c>
      <c r="H719" s="7" t="n">
        <v>100</v>
      </c>
      <c r="I719" s="7" t="n">
        <v>74.07407407407408</v>
      </c>
      <c r="J719" s="7" t="n">
        <v>18658.79664942312</v>
      </c>
      <c r="K719" s="7" t="n">
        <v>19389.39758098348</v>
      </c>
      <c r="L719" s="7" t="n">
        <v>-730.6009315603624</v>
      </c>
      <c r="M719" s="6" t="n">
        <v>-0.0376804348102549</v>
      </c>
      <c r="N719" s="7" t="n">
        <v>227.8321710897683</v>
      </c>
      <c r="O719" s="7" t="n">
        <v>168.7645711776061</v>
      </c>
      <c r="P719" s="7" t="n">
        <v>22951.98168015443</v>
      </c>
      <c r="Q719" s="7" t="n">
        <v>24722.32098223535</v>
      </c>
      <c r="R719" s="7" t="n">
        <v>-1770.339302080924</v>
      </c>
      <c r="S719" s="6" t="n">
        <v>-0.0716089441340492</v>
      </c>
      <c r="T719" s="7" t="n">
        <v>8797.426520800993</v>
      </c>
      <c r="U719" s="7" t="n">
        <v>6516.612237630365</v>
      </c>
      <c r="V719" s="7" t="n">
        <v>280701.933489686</v>
      </c>
      <c r="W719" s="7" t="n">
        <v>342224.7219030766</v>
      </c>
      <c r="X719" s="7" t="n">
        <v>-61522.78841339058</v>
      </c>
      <c r="Y719" s="6" t="n">
        <v>-0.1797730686178037</v>
      </c>
      <c r="Z719" s="7" t="n">
        <v>82372.68285643267</v>
      </c>
      <c r="AA719" s="7" t="n">
        <v>61016.80211587605</v>
      </c>
      <c r="AB719" s="7" t="n">
        <v>1344652.445902323</v>
      </c>
      <c r="AC719" s="7" t="n">
        <v>2111947.775025332</v>
      </c>
      <c r="AD719" s="7" t="n">
        <v>-767295.3291230095</v>
      </c>
      <c r="AE719" s="6" t="n">
        <v>-0.36331169652801</v>
      </c>
    </row>
    <row r="720">
      <c r="A720" s="2" t="n">
        <v>711</v>
      </c>
      <c r="B720" s="2" t="inlineStr">
        <is>
          <t>KPROP-00711</t>
        </is>
      </c>
      <c r="C720" s="3" t="n">
        <v>46144</v>
      </c>
      <c r="D720" s="2" t="inlineStr">
        <is>
          <t>Foster Griffin</t>
        </is>
      </c>
      <c r="E720" s="2" t="inlineStr">
        <is>
          <t>Win</t>
        </is>
      </c>
      <c r="F720" s="2" t="n">
        <v>1.26</v>
      </c>
      <c r="G720" s="6" t="n">
        <v>0.0954186737409502</v>
      </c>
      <c r="H720" s="7" t="n">
        <v>100</v>
      </c>
      <c r="I720" s="7" t="n">
        <v>126</v>
      </c>
      <c r="J720" s="7" t="n">
        <v>18784.79664942312</v>
      </c>
      <c r="K720" s="7" t="n">
        <v>19389.39758098348</v>
      </c>
      <c r="L720" s="7" t="n">
        <v>-604.6009315603624</v>
      </c>
      <c r="M720" s="6" t="n">
        <v>-0.03118203796869564</v>
      </c>
      <c r="N720" s="7" t="n">
        <v>229.5198168015443</v>
      </c>
      <c r="O720" s="7" t="n">
        <v>289.1949691699458</v>
      </c>
      <c r="P720" s="7" t="n">
        <v>23241.17664932437</v>
      </c>
      <c r="Q720" s="7" t="n">
        <v>24722.32098223535</v>
      </c>
      <c r="R720" s="7" t="n">
        <v>-1481.144332910979</v>
      </c>
      <c r="S720" s="6" t="n">
        <v>-0.05991121683013826</v>
      </c>
      <c r="T720" s="7" t="n">
        <v>6696.051552526563</v>
      </c>
      <c r="U720" s="7" t="n">
        <v>8437.024956183468</v>
      </c>
      <c r="V720" s="7" t="n">
        <v>289138.9584458694</v>
      </c>
      <c r="W720" s="7" t="n">
        <v>342224.7219030766</v>
      </c>
      <c r="X720" s="7" t="n">
        <v>-53085.76345720713</v>
      </c>
      <c r="Y720" s="6" t="n">
        <v>-0.1551196043406877</v>
      </c>
      <c r="Z720" s="7" t="n">
        <v>64152.47651526222</v>
      </c>
      <c r="AA720" s="7" t="n">
        <v>80832.12040923038</v>
      </c>
      <c r="AB720" s="7" t="n">
        <v>1425484.566311553</v>
      </c>
      <c r="AC720" s="7" t="n">
        <v>2111947.775025332</v>
      </c>
      <c r="AD720" s="7" t="n">
        <v>-686463.208713779</v>
      </c>
      <c r="AE720" s="6" t="n">
        <v>-0.3250379658206961</v>
      </c>
    </row>
    <row r="721">
      <c r="A721" s="2" t="n">
        <v>712</v>
      </c>
      <c r="B721" s="2" t="inlineStr">
        <is>
          <t>KPROP-00712</t>
        </is>
      </c>
      <c r="C721" s="3" t="n">
        <v>46144</v>
      </c>
      <c r="D721" s="2" t="inlineStr">
        <is>
          <t>Jacob Lopez</t>
        </is>
      </c>
      <c r="E721" s="2" t="inlineStr">
        <is>
          <t>Loss</t>
        </is>
      </c>
      <c r="F721" s="2" t="n">
        <v>-1</v>
      </c>
      <c r="G721" s="6" t="n">
        <v>0.1984326257670778</v>
      </c>
      <c r="H721" s="7" t="n">
        <v>100</v>
      </c>
      <c r="I721" s="7" t="n">
        <v>-100</v>
      </c>
      <c r="J721" s="7" t="n">
        <v>18684.79664942312</v>
      </c>
      <c r="K721" s="7" t="n">
        <v>19389.39758098348</v>
      </c>
      <c r="L721" s="7" t="n">
        <v>-704.6009315603624</v>
      </c>
      <c r="M721" s="6" t="n">
        <v>-0.03633949577945696</v>
      </c>
      <c r="N721" s="7" t="n">
        <v>232.4117664932437</v>
      </c>
      <c r="O721" s="7" t="n">
        <v>-232.4117664932437</v>
      </c>
      <c r="P721" s="7" t="n">
        <v>23008.76488283113</v>
      </c>
      <c r="Q721" s="7" t="n">
        <v>24722.32098223535</v>
      </c>
      <c r="R721" s="7" t="n">
        <v>-1713.556099404224</v>
      </c>
      <c r="S721" s="6" t="n">
        <v>-0.06931210466183695</v>
      </c>
      <c r="T721" s="7" t="n">
        <v>14343.65068399297</v>
      </c>
      <c r="U721" s="7" t="n">
        <v>-14343.65068399297</v>
      </c>
      <c r="V721" s="7" t="n">
        <v>274795.3077618765</v>
      </c>
      <c r="W721" s="7" t="n">
        <v>342224.7219030766</v>
      </c>
      <c r="X721" s="7" t="n">
        <v>-67429.41414120008</v>
      </c>
      <c r="Y721" s="6" t="n">
        <v>-0.1970325631831389</v>
      </c>
      <c r="Z721" s="7" t="n">
        <v>141431.3227418228</v>
      </c>
      <c r="AA721" s="7" t="n">
        <v>-141431.3227418228</v>
      </c>
      <c r="AB721" s="7" t="n">
        <v>1284053.243569731</v>
      </c>
      <c r="AC721" s="7" t="n">
        <v>2111947.775025332</v>
      </c>
      <c r="AD721" s="7" t="n">
        <v>-827894.5314556018</v>
      </c>
      <c r="AE721" s="6" t="n">
        <v>-0.3920052101883397</v>
      </c>
    </row>
    <row r="722">
      <c r="A722" s="2" t="n">
        <v>713</v>
      </c>
      <c r="B722" s="2" t="inlineStr">
        <is>
          <t>KPROP-00713</t>
        </is>
      </c>
      <c r="C722" s="3" t="n">
        <v>46144</v>
      </c>
      <c r="D722" s="2" t="inlineStr">
        <is>
          <t>Landen Roupp</t>
        </is>
      </c>
      <c r="E722" s="2" t="inlineStr">
        <is>
          <t>Loss</t>
        </is>
      </c>
      <c r="F722" s="2" t="n">
        <v>-1</v>
      </c>
      <c r="G722" s="6" t="n">
        <v>0.1051686571196104</v>
      </c>
      <c r="H722" s="7" t="n">
        <v>100</v>
      </c>
      <c r="I722" s="7" t="n">
        <v>-100</v>
      </c>
      <c r="J722" s="7" t="n">
        <v>18584.79664942312</v>
      </c>
      <c r="K722" s="7" t="n">
        <v>19389.39758098348</v>
      </c>
      <c r="L722" s="7" t="n">
        <v>-804.6009315603624</v>
      </c>
      <c r="M722" s="6" t="n">
        <v>-0.04149695359021829</v>
      </c>
      <c r="N722" s="7" t="n">
        <v>230.0876488283113</v>
      </c>
      <c r="O722" s="7" t="n">
        <v>-230.0876488283113</v>
      </c>
      <c r="P722" s="7" t="n">
        <v>22778.67723400282</v>
      </c>
      <c r="Q722" s="7" t="n">
        <v>24722.32098223535</v>
      </c>
      <c r="R722" s="7" t="n">
        <v>-1943.643748232535</v>
      </c>
      <c r="S722" s="6" t="n">
        <v>-0.07861898361521853</v>
      </c>
      <c r="T722" s="7" t="n">
        <v>7224.963375021652</v>
      </c>
      <c r="U722" s="7" t="n">
        <v>-7224.963375021652</v>
      </c>
      <c r="V722" s="7" t="n">
        <v>267570.3443868548</v>
      </c>
      <c r="W722" s="7" t="n">
        <v>342224.7219030766</v>
      </c>
      <c r="X722" s="7" t="n">
        <v>-74654.37751622172</v>
      </c>
      <c r="Y722" s="6" t="n">
        <v>-0.2181443149433401</v>
      </c>
      <c r="Z722" s="7" t="n">
        <v>67521.0776481543</v>
      </c>
      <c r="AA722" s="7" t="n">
        <v>-67521.0776481543</v>
      </c>
      <c r="AB722" s="7" t="n">
        <v>1216532.165921576</v>
      </c>
      <c r="AC722" s="7" t="n">
        <v>2111947.775025332</v>
      </c>
      <c r="AD722" s="7" t="n">
        <v>-895415.609103756</v>
      </c>
      <c r="AE722" s="6" t="n">
        <v>-0.4239762079784457</v>
      </c>
    </row>
    <row r="723">
      <c r="A723" s="2" t="n">
        <v>714</v>
      </c>
      <c r="B723" s="2" t="inlineStr">
        <is>
          <t>KPROP-00714</t>
        </is>
      </c>
      <c r="C723" s="3" t="n">
        <v>46144</v>
      </c>
      <c r="D723" s="2" t="inlineStr">
        <is>
          <t>Landen Roupp</t>
        </is>
      </c>
      <c r="E723" s="2" t="inlineStr">
        <is>
          <t>Loss</t>
        </is>
      </c>
      <c r="F723" s="2" t="n">
        <v>-1</v>
      </c>
      <c r="G723" s="6" t="n">
        <v>0.1963360486712685</v>
      </c>
      <c r="H723" s="7" t="n">
        <v>100</v>
      </c>
      <c r="I723" s="7" t="n">
        <v>-100</v>
      </c>
      <c r="J723" s="7" t="n">
        <v>18484.79664942312</v>
      </c>
      <c r="K723" s="7" t="n">
        <v>19389.39758098348</v>
      </c>
      <c r="L723" s="7" t="n">
        <v>-904.6009315603624</v>
      </c>
      <c r="M723" s="6" t="n">
        <v>-0.04665441140097961</v>
      </c>
      <c r="N723" s="7" t="n">
        <v>227.7867723400282</v>
      </c>
      <c r="O723" s="7" t="n">
        <v>-227.7867723400282</v>
      </c>
      <c r="P723" s="7" t="n">
        <v>22550.89046166279</v>
      </c>
      <c r="Q723" s="7" t="n">
        <v>24722.32098223535</v>
      </c>
      <c r="R723" s="7" t="n">
        <v>-2171.430520572561</v>
      </c>
      <c r="S723" s="6" t="n">
        <v>-0.08783279377906629</v>
      </c>
      <c r="T723" s="7" t="n">
        <v>13133.4260396314</v>
      </c>
      <c r="U723" s="7" t="n">
        <v>-13133.4260396314</v>
      </c>
      <c r="V723" s="7" t="n">
        <v>254436.9183472235</v>
      </c>
      <c r="W723" s="7" t="n">
        <v>342224.7219030766</v>
      </c>
      <c r="X723" s="7" t="n">
        <v>-87787.80355585311</v>
      </c>
      <c r="Y723" s="6" t="n">
        <v>-0.2565209289021382</v>
      </c>
      <c r="Z723" s="7" t="n">
        <v>119424.5592692711</v>
      </c>
      <c r="AA723" s="7" t="n">
        <v>-119424.5592692711</v>
      </c>
      <c r="AB723" s="7" t="n">
        <v>1097107.606652305</v>
      </c>
      <c r="AC723" s="7" t="n">
        <v>2111947.775025332</v>
      </c>
      <c r="AD723" s="7" t="n">
        <v>-1014840.168373027</v>
      </c>
      <c r="AE723" s="6" t="n">
        <v>-0.4805233256115219</v>
      </c>
    </row>
    <row r="724">
      <c r="A724" s="2" t="n">
        <v>715</v>
      </c>
      <c r="B724" s="2" t="inlineStr">
        <is>
          <t>KPROP-00715</t>
        </is>
      </c>
      <c r="C724" s="3" t="n">
        <v>46144</v>
      </c>
      <c r="D724" s="2" t="inlineStr">
        <is>
          <t>Ryan Weathers</t>
        </is>
      </c>
      <c r="E724" s="2" t="inlineStr">
        <is>
          <t>Win</t>
        </is>
      </c>
      <c r="F724" s="2" t="n">
        <v>1.4</v>
      </c>
      <c r="G724" s="6" t="n">
        <v>0.09334485519819707</v>
      </c>
      <c r="H724" s="7" t="n">
        <v>100</v>
      </c>
      <c r="I724" s="7" t="n">
        <v>140</v>
      </c>
      <c r="J724" s="7" t="n">
        <v>18624.79664942312</v>
      </c>
      <c r="K724" s="7" t="n">
        <v>19389.39758098348</v>
      </c>
      <c r="L724" s="7" t="n">
        <v>-764.6009315603624</v>
      </c>
      <c r="M724" s="6" t="n">
        <v>-0.03943397046591376</v>
      </c>
      <c r="N724" s="7" t="n">
        <v>225.5089046166279</v>
      </c>
      <c r="O724" s="7" t="n">
        <v>315.712466463279</v>
      </c>
      <c r="P724" s="7" t="n">
        <v>22866.60292812607</v>
      </c>
      <c r="Q724" s="7" t="n">
        <v>24722.32098223535</v>
      </c>
      <c r="R724" s="7" t="n">
        <v>-1855.718054109282</v>
      </c>
      <c r="S724" s="6" t="n">
        <v>-0.07506245289197322</v>
      </c>
      <c r="T724" s="7" t="n">
        <v>5937.594325049266</v>
      </c>
      <c r="U724" s="7" t="n">
        <v>8312.632055068972</v>
      </c>
      <c r="V724" s="7" t="n">
        <v>262749.5504022925</v>
      </c>
      <c r="W724" s="7" t="n">
        <v>342224.7219030766</v>
      </c>
      <c r="X724" s="7" t="n">
        <v>-79475.17150078411</v>
      </c>
      <c r="Y724" s="6" t="n">
        <v>-0.2322309477200561</v>
      </c>
      <c r="Z724" s="7" t="n">
        <v>51204.67533989999</v>
      </c>
      <c r="AA724" s="7" t="n">
        <v>71686.54547585998</v>
      </c>
      <c r="AB724" s="7" t="n">
        <v>1168794.152128165</v>
      </c>
      <c r="AC724" s="7" t="n">
        <v>2111947.775025332</v>
      </c>
      <c r="AD724" s="7" t="n">
        <v>-943153.6228971672</v>
      </c>
      <c r="AE724" s="6" t="n">
        <v>-0.4465799931467786</v>
      </c>
    </row>
    <row r="725">
      <c r="A725" s="2" t="n">
        <v>716</v>
      </c>
      <c r="B725" s="2" t="inlineStr">
        <is>
          <t>KPROP-00716</t>
        </is>
      </c>
      <c r="C725" s="3" t="n">
        <v>46144</v>
      </c>
      <c r="D725" s="2" t="inlineStr">
        <is>
          <t>Ryan Weathers</t>
        </is>
      </c>
      <c r="E725" s="2" t="inlineStr">
        <is>
          <t>Win</t>
        </is>
      </c>
      <c r="F725" s="2" t="n">
        <v>0.6993006993006992</v>
      </c>
      <c r="G725" s="6" t="n">
        <v>0.1043216080496357</v>
      </c>
      <c r="H725" s="7" t="n">
        <v>100</v>
      </c>
      <c r="I725" s="7" t="n">
        <v>69.93006993006992</v>
      </c>
      <c r="J725" s="7" t="n">
        <v>18694.72671935319</v>
      </c>
      <c r="K725" s="7" t="n">
        <v>19389.39758098348</v>
      </c>
      <c r="L725" s="7" t="n">
        <v>-694.6708616302931</v>
      </c>
      <c r="M725" s="6" t="n">
        <v>-0.03582735661223454</v>
      </c>
      <c r="N725" s="7" t="n">
        <v>228.6660292812607</v>
      </c>
      <c r="O725" s="7" t="n">
        <v>159.9063141826998</v>
      </c>
      <c r="P725" s="7" t="n">
        <v>23026.50924230877</v>
      </c>
      <c r="Q725" s="7" t="n">
        <v>24722.32098223535</v>
      </c>
      <c r="R725" s="7" t="n">
        <v>-1695.811739926583</v>
      </c>
      <c r="S725" s="6" t="n">
        <v>-0.06859435815695207</v>
      </c>
      <c r="T725" s="7" t="n">
        <v>6852.613903071488</v>
      </c>
      <c r="U725" s="7" t="n">
        <v>4792.037694455586</v>
      </c>
      <c r="V725" s="7" t="n">
        <v>267541.588096748</v>
      </c>
      <c r="W725" s="7" t="n">
        <v>342224.7219030766</v>
      </c>
      <c r="X725" s="7" t="n">
        <v>-74683.13380632852</v>
      </c>
      <c r="Y725" s="6" t="n">
        <v>-0.2182283424500231</v>
      </c>
      <c r="Z725" s="7" t="n">
        <v>60965.24271451036</v>
      </c>
      <c r="AA725" s="7" t="n">
        <v>42633.03686329395</v>
      </c>
      <c r="AB725" s="7" t="n">
        <v>1211427.188991459</v>
      </c>
      <c r="AC725" s="7" t="n">
        <v>2111947.775025332</v>
      </c>
      <c r="AD725" s="7" t="n">
        <v>-900520.5860338733</v>
      </c>
      <c r="AE725" s="6" t="n">
        <v>-0.4263933969783281</v>
      </c>
    </row>
    <row r="726">
      <c r="A726" s="2" t="n">
        <v>717</v>
      </c>
      <c r="B726" s="2" t="inlineStr">
        <is>
          <t>KPROP-00717</t>
        </is>
      </c>
      <c r="C726" s="3" t="n">
        <v>46144</v>
      </c>
      <c r="D726" s="2" t="inlineStr">
        <is>
          <t>Shota Imanaga</t>
        </is>
      </c>
      <c r="E726" s="2" t="inlineStr">
        <is>
          <t>Loss</t>
        </is>
      </c>
      <c r="F726" s="2" t="n">
        <v>-1</v>
      </c>
      <c r="G726" s="6" t="n">
        <v>0.187987039811517</v>
      </c>
      <c r="H726" s="7" t="n">
        <v>100</v>
      </c>
      <c r="I726" s="7" t="n">
        <v>-100</v>
      </c>
      <c r="J726" s="7" t="n">
        <v>18594.72671935319</v>
      </c>
      <c r="K726" s="7" t="n">
        <v>19389.39758098348</v>
      </c>
      <c r="L726" s="7" t="n">
        <v>-794.6708616302931</v>
      </c>
      <c r="M726" s="6" t="n">
        <v>-0.04098481442299587</v>
      </c>
      <c r="N726" s="7" t="n">
        <v>230.2650924230877</v>
      </c>
      <c r="O726" s="7" t="n">
        <v>-230.2650924230877</v>
      </c>
      <c r="P726" s="7" t="n">
        <v>22796.24414988568</v>
      </c>
      <c r="Q726" s="7" t="n">
        <v>24722.32098223535</v>
      </c>
      <c r="R726" s="7" t="n">
        <v>-1926.07683234967</v>
      </c>
      <c r="S726" s="6" t="n">
        <v>-0.07790841457538254</v>
      </c>
      <c r="T726" s="7" t="n">
        <v>12573.58779319497</v>
      </c>
      <c r="U726" s="7" t="n">
        <v>-12573.58779319497</v>
      </c>
      <c r="V726" s="7" t="n">
        <v>254968.0003035531</v>
      </c>
      <c r="W726" s="7" t="n">
        <v>342224.7219030766</v>
      </c>
      <c r="X726" s="7" t="n">
        <v>-87256.7215995235</v>
      </c>
      <c r="Y726" s="6" t="n">
        <v>-0.254969077377864</v>
      </c>
      <c r="Z726" s="7" t="n">
        <v>113866.3056028458</v>
      </c>
      <c r="AA726" s="7" t="n">
        <v>-113866.3056028458</v>
      </c>
      <c r="AB726" s="7" t="n">
        <v>1097560.883388613</v>
      </c>
      <c r="AC726" s="7" t="n">
        <v>2111947.775025332</v>
      </c>
      <c r="AD726" s="7" t="n">
        <v>-1014386.891636719</v>
      </c>
      <c r="AE726" s="6" t="n">
        <v>-0.4803087006375201</v>
      </c>
    </row>
    <row r="727">
      <c r="A727" s="2" t="n">
        <v>718</v>
      </c>
      <c r="B727" s="2" t="inlineStr">
        <is>
          <t>KPROP-00718</t>
        </is>
      </c>
      <c r="C727" s="3" t="n">
        <v>46145</v>
      </c>
      <c r="D727" s="2" t="inlineStr">
        <is>
          <t>Joe Ryan</t>
        </is>
      </c>
      <c r="E727" s="2" t="inlineStr">
        <is>
          <t>Win</t>
        </is>
      </c>
      <c r="F727" s="2" t="n">
        <v>0.7407407407407407</v>
      </c>
      <c r="G727" s="6" t="n">
        <v>0.1925591893877188</v>
      </c>
      <c r="H727" s="7" t="n">
        <v>100</v>
      </c>
      <c r="I727" s="7" t="n">
        <v>74.07407407407408</v>
      </c>
      <c r="J727" s="7" t="n">
        <v>18668.80079342726</v>
      </c>
      <c r="K727" s="7" t="n">
        <v>19389.39758098348</v>
      </c>
      <c r="L727" s="7" t="n">
        <v>-720.5967875562201</v>
      </c>
      <c r="M727" s="6" t="n">
        <v>-0.03716447530391346</v>
      </c>
      <c r="N727" s="7" t="n">
        <v>227.9624414988568</v>
      </c>
      <c r="O727" s="7" t="n">
        <v>168.861067776931</v>
      </c>
      <c r="P727" s="7" t="n">
        <v>22965.10521766261</v>
      </c>
      <c r="Q727" s="7" t="n">
        <v>24722.32098223535</v>
      </c>
      <c r="R727" s="7" t="n">
        <v>-1757.215764572738</v>
      </c>
      <c r="S727" s="6" t="n">
        <v>-0.07107810653520015</v>
      </c>
      <c r="T727" s="7" t="n">
        <v>12274.10786456495</v>
      </c>
      <c r="U727" s="7" t="n">
        <v>9091.931751529595</v>
      </c>
      <c r="V727" s="7" t="n">
        <v>264059.9320550826</v>
      </c>
      <c r="W727" s="7" t="n">
        <v>342224.7219030766</v>
      </c>
      <c r="X727" s="7" t="n">
        <v>-78164.78984799393</v>
      </c>
      <c r="Y727" s="6" t="n">
        <v>-0.2284019383910302</v>
      </c>
      <c r="Z727" s="7" t="n">
        <v>105672.71700449</v>
      </c>
      <c r="AA727" s="7" t="n">
        <v>78276.08666999257</v>
      </c>
      <c r="AB727" s="7" t="n">
        <v>1175836.970058606</v>
      </c>
      <c r="AC727" s="7" t="n">
        <v>2111947.775025332</v>
      </c>
      <c r="AD727" s="7" t="n">
        <v>-936110.8049667263</v>
      </c>
      <c r="AE727" s="6" t="n">
        <v>-0.4432452431052647</v>
      </c>
    </row>
    <row r="728">
      <c r="A728" s="2" t="n">
        <v>719</v>
      </c>
      <c r="B728" s="2" t="inlineStr">
        <is>
          <t>KPROP-00719</t>
        </is>
      </c>
      <c r="C728" s="3" t="n">
        <v>46145</v>
      </c>
      <c r="D728" s="2" t="inlineStr">
        <is>
          <t>Kris Bubic</t>
        </is>
      </c>
      <c r="E728" s="2" t="inlineStr">
        <is>
          <t>Loss</t>
        </is>
      </c>
      <c r="F728" s="2" t="n">
        <v>-1</v>
      </c>
      <c r="G728" s="6" t="n">
        <v>0.08729399998924565</v>
      </c>
      <c r="H728" s="7" t="n">
        <v>100</v>
      </c>
      <c r="I728" s="7" t="n">
        <v>-100</v>
      </c>
      <c r="J728" s="7" t="n">
        <v>18568.80079342726</v>
      </c>
      <c r="K728" s="7" t="n">
        <v>19389.39758098348</v>
      </c>
      <c r="L728" s="7" t="n">
        <v>-820.5967875562201</v>
      </c>
      <c r="M728" s="6" t="n">
        <v>-0.04232193311467478</v>
      </c>
      <c r="N728" s="7" t="n">
        <v>229.6510521766261</v>
      </c>
      <c r="O728" s="7" t="n">
        <v>-229.6510521766261</v>
      </c>
      <c r="P728" s="7" t="n">
        <v>22735.45416548599</v>
      </c>
      <c r="Q728" s="7" t="n">
        <v>24722.32098223535</v>
      </c>
      <c r="R728" s="7" t="n">
        <v>-1986.866816749363</v>
      </c>
      <c r="S728" s="6" t="n">
        <v>-0.08036732546984809</v>
      </c>
      <c r="T728" s="7" t="n">
        <v>5762.711926494148</v>
      </c>
      <c r="U728" s="7" t="n">
        <v>-5762.711926494148</v>
      </c>
      <c r="V728" s="7" t="n">
        <v>258297.2201285885</v>
      </c>
      <c r="W728" s="7" t="n">
        <v>342224.7219030766</v>
      </c>
      <c r="X728" s="7" t="n">
        <v>-83927.50177448808</v>
      </c>
      <c r="Y728" s="6" t="n">
        <v>-0.245240908686479</v>
      </c>
      <c r="Z728" s="7" t="n">
        <v>51321.75622582529</v>
      </c>
      <c r="AA728" s="7" t="n">
        <v>-51321.75622582529</v>
      </c>
      <c r="AB728" s="7" t="n">
        <v>1124515.213832781</v>
      </c>
      <c r="AC728" s="7" t="n">
        <v>2111947.775025332</v>
      </c>
      <c r="AD728" s="7" t="n">
        <v>-987432.5611925516</v>
      </c>
      <c r="AE728" s="6" t="n">
        <v>-0.4675459179764554</v>
      </c>
    </row>
    <row r="729">
      <c r="A729" s="2" t="n">
        <v>720</v>
      </c>
      <c r="B729" s="2" t="inlineStr">
        <is>
          <t>KPROP-00720</t>
        </is>
      </c>
      <c r="C729" s="3" t="n">
        <v>46145</v>
      </c>
      <c r="D729" s="2" t="inlineStr">
        <is>
          <t>Ranger Suarez</t>
        </is>
      </c>
      <c r="E729" s="2" t="inlineStr">
        <is>
          <t>Win</t>
        </is>
      </c>
      <c r="F729" s="2" t="n">
        <v>1.18</v>
      </c>
      <c r="G729" s="6" t="n">
        <v>0.09342700792355531</v>
      </c>
      <c r="H729" s="7" t="n">
        <v>100</v>
      </c>
      <c r="I729" s="7" t="n">
        <v>118</v>
      </c>
      <c r="J729" s="7" t="n">
        <v>18686.80079342726</v>
      </c>
      <c r="K729" s="7" t="n">
        <v>19389.39758098348</v>
      </c>
      <c r="L729" s="7" t="n">
        <v>-702.5967875562201</v>
      </c>
      <c r="M729" s="6" t="n">
        <v>-0.03623613289797642</v>
      </c>
      <c r="N729" s="7" t="n">
        <v>227.3545416548599</v>
      </c>
      <c r="O729" s="7" t="n">
        <v>268.2783591527346</v>
      </c>
      <c r="P729" s="7" t="n">
        <v>23003.73252463872</v>
      </c>
      <c r="Q729" s="7" t="n">
        <v>24722.32098223535</v>
      </c>
      <c r="R729" s="7" t="n">
        <v>-1718.58845759663</v>
      </c>
      <c r="S729" s="6" t="n">
        <v>-0.06951565991039237</v>
      </c>
      <c r="T729" s="7" t="n">
        <v>6032.984107896486</v>
      </c>
      <c r="U729" s="7" t="n">
        <v>7118.921247317852</v>
      </c>
      <c r="V729" s="7" t="n">
        <v>265416.1413759064</v>
      </c>
      <c r="W729" s="7" t="n">
        <v>342224.7219030766</v>
      </c>
      <c r="X729" s="7" t="n">
        <v>-76808.58052717021</v>
      </c>
      <c r="Y729" s="6" t="n">
        <v>-0.2244390180231445</v>
      </c>
      <c r="Z729" s="7" t="n">
        <v>52530.04589645685</v>
      </c>
      <c r="AA729" s="7" t="n">
        <v>61985.45415781906</v>
      </c>
      <c r="AB729" s="7" t="n">
        <v>1186500.6679906</v>
      </c>
      <c r="AC729" s="7" t="n">
        <v>2111947.775025332</v>
      </c>
      <c r="AD729" s="7" t="n">
        <v>-925447.1070347326</v>
      </c>
      <c r="AE729" s="6" t="n">
        <v>-0.4381960188497711</v>
      </c>
    </row>
    <row r="730">
      <c r="A730" s="2" t="n">
        <v>721</v>
      </c>
      <c r="B730" s="2" t="inlineStr">
        <is>
          <t>KPROP-00721</t>
        </is>
      </c>
      <c r="C730" s="3" t="n">
        <v>46145</v>
      </c>
      <c r="D730" s="2" t="inlineStr">
        <is>
          <t>Steven Matz</t>
        </is>
      </c>
      <c r="E730" s="2" t="inlineStr">
        <is>
          <t>Win</t>
        </is>
      </c>
      <c r="F730" s="2" t="n">
        <v>0.7407407407407407</v>
      </c>
      <c r="G730" s="6" t="n">
        <v>0.1116141967815088</v>
      </c>
      <c r="H730" s="7" t="n">
        <v>100</v>
      </c>
      <c r="I730" s="7" t="n">
        <v>74.07407407407408</v>
      </c>
      <c r="J730" s="7" t="n">
        <v>18760.87486750134</v>
      </c>
      <c r="K730" s="7" t="n">
        <v>19389.39758098348</v>
      </c>
      <c r="L730" s="7" t="n">
        <v>-628.5227134821471</v>
      </c>
      <c r="M730" s="6" t="n">
        <v>-0.03241579377889402</v>
      </c>
      <c r="N730" s="7" t="n">
        <v>230.0373252463872</v>
      </c>
      <c r="O730" s="7" t="n">
        <v>170.3980187010276</v>
      </c>
      <c r="P730" s="7" t="n">
        <v>23174.13054333975</v>
      </c>
      <c r="Q730" s="7" t="n">
        <v>24722.32098223535</v>
      </c>
      <c r="R730" s="7" t="n">
        <v>-1548.190438895603</v>
      </c>
      <c r="S730" s="6" t="n">
        <v>-0.06262318331713602</v>
      </c>
      <c r="T730" s="7" t="n">
        <v>7406.052358129794</v>
      </c>
      <c r="U730" s="7" t="n">
        <v>5485.964709725773</v>
      </c>
      <c r="V730" s="7" t="n">
        <v>270902.1060856321</v>
      </c>
      <c r="W730" s="7" t="n">
        <v>342224.7219030766</v>
      </c>
      <c r="X730" s="7" t="n">
        <v>-71322.61581744446</v>
      </c>
      <c r="Y730" s="6" t="n">
        <v>-0.2084087187530659</v>
      </c>
      <c r="Z730" s="7" t="n">
        <v>66215.15951924723</v>
      </c>
      <c r="AA730" s="7" t="n">
        <v>49048.2663105535</v>
      </c>
      <c r="AB730" s="7" t="n">
        <v>1235548.934301153</v>
      </c>
      <c r="AC730" s="7" t="n">
        <v>2111947.775025332</v>
      </c>
      <c r="AD730" s="7" t="n">
        <v>-876398.8407241791</v>
      </c>
      <c r="AE730" s="6" t="n">
        <v>-0.4149718336257945</v>
      </c>
    </row>
    <row r="731">
      <c r="A731" s="2" t="n">
        <v>722</v>
      </c>
      <c r="B731" s="2" t="inlineStr">
        <is>
          <t>KPROP-00722</t>
        </is>
      </c>
      <c r="C731" s="3" t="n">
        <v>46145</v>
      </c>
      <c r="D731" s="2" t="inlineStr">
        <is>
          <t>Trey Yesavage</t>
        </is>
      </c>
      <c r="E731" s="2" t="inlineStr">
        <is>
          <t>Loss</t>
        </is>
      </c>
      <c r="F731" s="2" t="n">
        <v>-1</v>
      </c>
      <c r="G731" s="6" t="n">
        <v>0.1697837675768676</v>
      </c>
      <c r="H731" s="7" t="n">
        <v>100</v>
      </c>
      <c r="I731" s="7" t="n">
        <v>-100</v>
      </c>
      <c r="J731" s="7" t="n">
        <v>18660.87486750134</v>
      </c>
      <c r="K731" s="7" t="n">
        <v>19389.39758098348</v>
      </c>
      <c r="L731" s="7" t="n">
        <v>-728.5227134821471</v>
      </c>
      <c r="M731" s="6" t="n">
        <v>-0.03757325158965534</v>
      </c>
      <c r="N731" s="7" t="n">
        <v>231.7413054333975</v>
      </c>
      <c r="O731" s="7" t="n">
        <v>-231.7413054333975</v>
      </c>
      <c r="P731" s="7" t="n">
        <v>22942.38923790635</v>
      </c>
      <c r="Q731" s="7" t="n">
        <v>24722.32098223535</v>
      </c>
      <c r="R731" s="7" t="n">
        <v>-1779.931744329002</v>
      </c>
      <c r="S731" s="6" t="n">
        <v>-0.07199695148396473</v>
      </c>
      <c r="T731" s="7" t="n">
        <v>11498.69505393172</v>
      </c>
      <c r="U731" s="7" t="n">
        <v>-11498.69505393172</v>
      </c>
      <c r="V731" s="7" t="n">
        <v>259403.4110317004</v>
      </c>
      <c r="W731" s="7" t="n">
        <v>342224.7219030766</v>
      </c>
      <c r="X731" s="7" t="n">
        <v>-82821.31087137619</v>
      </c>
      <c r="Y731" s="6" t="n">
        <v>-0.2420085562808419</v>
      </c>
      <c r="Z731" s="7" t="n">
        <v>104888.0765456167</v>
      </c>
      <c r="AA731" s="7" t="n">
        <v>-104888.0765456167</v>
      </c>
      <c r="AB731" s="7" t="n">
        <v>1130660.857755537</v>
      </c>
      <c r="AC731" s="7" t="n">
        <v>2111947.775025332</v>
      </c>
      <c r="AD731" s="7" t="n">
        <v>-981286.9172697957</v>
      </c>
      <c r="AE731" s="6" t="n">
        <v>-0.464635976738594</v>
      </c>
    </row>
    <row r="732">
      <c r="A732" s="2" t="n">
        <v>723</v>
      </c>
      <c r="B732" s="2" t="inlineStr">
        <is>
          <t>KPROP-00723</t>
        </is>
      </c>
      <c r="C732" s="3" t="n">
        <v>46145</v>
      </c>
      <c r="D732" s="2" t="inlineStr">
        <is>
          <t>Trey Yesavage</t>
        </is>
      </c>
      <c r="E732" s="2" t="inlineStr">
        <is>
          <t>Loss</t>
        </is>
      </c>
      <c r="F732" s="2" t="n">
        <v>-1</v>
      </c>
      <c r="G732" s="6" t="n">
        <v>0.2111693664919889</v>
      </c>
      <c r="H732" s="7" t="n">
        <v>100</v>
      </c>
      <c r="I732" s="7" t="n">
        <v>-100</v>
      </c>
      <c r="J732" s="7" t="n">
        <v>18560.87486750134</v>
      </c>
      <c r="K732" s="7" t="n">
        <v>19389.39758098348</v>
      </c>
      <c r="L732" s="7" t="n">
        <v>-828.5227134821471</v>
      </c>
      <c r="M732" s="6" t="n">
        <v>-0.04273070940041666</v>
      </c>
      <c r="N732" s="7" t="n">
        <v>229.4238923790635</v>
      </c>
      <c r="O732" s="7" t="n">
        <v>-229.4238923790635</v>
      </c>
      <c r="P732" s="7" t="n">
        <v>22712.96534552729</v>
      </c>
      <c r="Q732" s="7" t="n">
        <v>24722.32098223535</v>
      </c>
      <c r="R732" s="7" t="n">
        <v>-2009.355636708064</v>
      </c>
      <c r="S732" s="6" t="n">
        <v>-0.08127698196912501</v>
      </c>
      <c r="T732" s="7" t="n">
        <v>13694.51349335629</v>
      </c>
      <c r="U732" s="7" t="n">
        <v>-13694.51349335629</v>
      </c>
      <c r="V732" s="7" t="n">
        <v>245708.8975383441</v>
      </c>
      <c r="W732" s="7" t="n">
        <v>342224.7219030766</v>
      </c>
      <c r="X732" s="7" t="n">
        <v>-96515.82436473249</v>
      </c>
      <c r="Y732" s="6" t="n">
        <v>-0.2820246995249726</v>
      </c>
      <c r="Z732" s="7" t="n">
        <v>119380.4685247627</v>
      </c>
      <c r="AA732" s="7" t="n">
        <v>-119380.4685247627</v>
      </c>
      <c r="AB732" s="7" t="n">
        <v>1011280.389230774</v>
      </c>
      <c r="AC732" s="7" t="n">
        <v>2111947.775025332</v>
      </c>
      <c r="AD732" s="7" t="n">
        <v>-1100667.385794558</v>
      </c>
      <c r="AE732" s="6" t="n">
        <v>-0.5211622175559507</v>
      </c>
    </row>
    <row r="733">
      <c r="A733" s="2" t="n">
        <v>724</v>
      </c>
      <c r="B733" s="2" t="inlineStr">
        <is>
          <t>KPROP-00724</t>
        </is>
      </c>
      <c r="C733" s="3" t="n">
        <v>46147</v>
      </c>
      <c r="D733" s="2" t="inlineStr">
        <is>
          <t>Jameson Taillon</t>
        </is>
      </c>
      <c r="E733" s="2" t="inlineStr">
        <is>
          <t>Loss</t>
        </is>
      </c>
      <c r="F733" s="2" t="n">
        <v>-1</v>
      </c>
      <c r="G733" s="6" t="n">
        <v>0.1406020904176316</v>
      </c>
      <c r="H733" s="7" t="n">
        <v>100</v>
      </c>
      <c r="I733" s="7" t="n">
        <v>-100</v>
      </c>
      <c r="J733" s="7" t="n">
        <v>18460.87486750134</v>
      </c>
      <c r="K733" s="7" t="n">
        <v>19389.39758098348</v>
      </c>
      <c r="L733" s="7" t="n">
        <v>-928.5227134821471</v>
      </c>
      <c r="M733" s="6" t="n">
        <v>-0.04788816721117799</v>
      </c>
      <c r="N733" s="7" t="n">
        <v>227.1296534552729</v>
      </c>
      <c r="O733" s="7" t="n">
        <v>-227.1296534552729</v>
      </c>
      <c r="P733" s="7" t="n">
        <v>22485.83569207202</v>
      </c>
      <c r="Q733" s="7" t="n">
        <v>24722.32098223535</v>
      </c>
      <c r="R733" s="7" t="n">
        <v>-2236.485290163335</v>
      </c>
      <c r="S733" s="6" t="n">
        <v>-0.09046421214943369</v>
      </c>
      <c r="T733" s="7" t="n">
        <v>8636.796157025708</v>
      </c>
      <c r="U733" s="7" t="n">
        <v>-8636.796157025708</v>
      </c>
      <c r="V733" s="7" t="n">
        <v>237072.1013813184</v>
      </c>
      <c r="W733" s="7" t="n">
        <v>342224.7219030766</v>
      </c>
      <c r="X733" s="7" t="n">
        <v>-105152.6205217582</v>
      </c>
      <c r="Y733" s="6" t="n">
        <v>-0.3072619065537266</v>
      </c>
      <c r="Z733" s="7" t="n">
        <v>71094.06836210149</v>
      </c>
      <c r="AA733" s="7" t="n">
        <v>-71094.06836210149</v>
      </c>
      <c r="AB733" s="7" t="n">
        <v>940186.3208686726</v>
      </c>
      <c r="AC733" s="7" t="n">
        <v>2111947.775025332</v>
      </c>
      <c r="AD733" s="7" t="n">
        <v>-1171761.45415666</v>
      </c>
      <c r="AE733" s="6" t="n">
        <v>-0.5548250141472389</v>
      </c>
    </row>
    <row r="734">
      <c r="A734" s="2" t="n">
        <v>725</v>
      </c>
      <c r="B734" s="2" t="inlineStr">
        <is>
          <t>KPROP-00725</t>
        </is>
      </c>
      <c r="C734" s="3" t="n">
        <v>46147</v>
      </c>
      <c r="D734" s="2" t="inlineStr">
        <is>
          <t>Jameson Taillon</t>
        </is>
      </c>
      <c r="E734" s="2" t="inlineStr">
        <is>
          <t>Win</t>
        </is>
      </c>
      <c r="F734" s="2" t="n">
        <v>0.6849315068493151</v>
      </c>
      <c r="G734" s="6" t="n">
        <v>0.22927401353035</v>
      </c>
      <c r="H734" s="7" t="n">
        <v>100</v>
      </c>
      <c r="I734" s="7" t="n">
        <v>68.49315068493152</v>
      </c>
      <c r="J734" s="7" t="n">
        <v>18529.36801818627</v>
      </c>
      <c r="K734" s="7" t="n">
        <v>19389.39758098348</v>
      </c>
      <c r="L734" s="7" t="n">
        <v>-860.0295627972155</v>
      </c>
      <c r="M734" s="6" t="n">
        <v>-0.04435566186134146</v>
      </c>
      <c r="N734" s="7" t="n">
        <v>224.8583569207202</v>
      </c>
      <c r="O734" s="7" t="n">
        <v>154.01257323337</v>
      </c>
      <c r="P734" s="7" t="n">
        <v>22639.84826530539</v>
      </c>
      <c r="Q734" s="7" t="n">
        <v>24722.32098223535</v>
      </c>
      <c r="R734" s="7" t="n">
        <v>-2082.472716929966</v>
      </c>
      <c r="S734" s="6" t="n">
        <v>-0.08423451497237505</v>
      </c>
      <c r="T734" s="7" t="n">
        <v>13588.61804494222</v>
      </c>
      <c r="U734" s="7" t="n">
        <v>9307.272633522072</v>
      </c>
      <c r="V734" s="7" t="n">
        <v>246379.3740148405</v>
      </c>
      <c r="W734" s="7" t="n">
        <v>342224.7219030766</v>
      </c>
      <c r="X734" s="7" t="n">
        <v>-95845.34788823611</v>
      </c>
      <c r="Y734" s="6" t="n">
        <v>-0.2800655293260229</v>
      </c>
      <c r="Z734" s="7" t="n">
        <v>107780.145625947</v>
      </c>
      <c r="AA734" s="7" t="n">
        <v>73822.01755201851</v>
      </c>
      <c r="AB734" s="7" t="n">
        <v>1014008.338420691</v>
      </c>
      <c r="AC734" s="7" t="n">
        <v>2111947.775025332</v>
      </c>
      <c r="AD734" s="7" t="n">
        <v>-1097939.436604641</v>
      </c>
      <c r="AE734" s="6" t="n">
        <v>-0.5198705430069036</v>
      </c>
    </row>
    <row r="735">
      <c r="A735" s="2" t="n">
        <v>726</v>
      </c>
      <c r="B735" s="2" t="inlineStr">
        <is>
          <t>KPROP-00726</t>
        </is>
      </c>
      <c r="C735" s="3" t="n">
        <v>46147</v>
      </c>
      <c r="D735" s="2" t="inlineStr">
        <is>
          <t>Kevin Gausman</t>
        </is>
      </c>
      <c r="E735" s="2" t="inlineStr">
        <is>
          <t>Win</t>
        </is>
      </c>
      <c r="F735" s="2" t="n">
        <v>0.7092198581560285</v>
      </c>
      <c r="G735" s="6" t="n">
        <v>0.2143573411493834</v>
      </c>
      <c r="H735" s="7" t="n">
        <v>100</v>
      </c>
      <c r="I735" s="7" t="n">
        <v>70.92198581560285</v>
      </c>
      <c r="J735" s="7" t="n">
        <v>18600.29000400187</v>
      </c>
      <c r="K735" s="7" t="n">
        <v>19389.39758098348</v>
      </c>
      <c r="L735" s="7" t="n">
        <v>-789.1075769816125</v>
      </c>
      <c r="M735" s="6" t="n">
        <v>-0.0406978903643476</v>
      </c>
      <c r="N735" s="7" t="n">
        <v>226.3984826530539</v>
      </c>
      <c r="O735" s="7" t="n">
        <v>160.5662997539389</v>
      </c>
      <c r="P735" s="7" t="n">
        <v>22800.41456505933</v>
      </c>
      <c r="Q735" s="7" t="n">
        <v>24722.32098223535</v>
      </c>
      <c r="R735" s="7" t="n">
        <v>-1921.906417176026</v>
      </c>
      <c r="S735" s="6" t="n">
        <v>-0.07773972429842022</v>
      </c>
      <c r="T735" s="7" t="n">
        <v>13203.30688196767</v>
      </c>
      <c r="U735" s="7" t="n">
        <v>9364.047434019625</v>
      </c>
      <c r="V735" s="7" t="n">
        <v>255743.4214488601</v>
      </c>
      <c r="W735" s="7" t="n">
        <v>342224.7219030766</v>
      </c>
      <c r="X735" s="7" t="n">
        <v>-86481.30045421649</v>
      </c>
      <c r="Y735" s="6" t="n">
        <v>-0.252703252919026</v>
      </c>
      <c r="Z735" s="7" t="n">
        <v>108680.0656635817</v>
      </c>
      <c r="AA735" s="7" t="n">
        <v>77078.06075431329</v>
      </c>
      <c r="AB735" s="7" t="n">
        <v>1091086.399175004</v>
      </c>
      <c r="AC735" s="7" t="n">
        <v>2111947.775025332</v>
      </c>
      <c r="AD735" s="7" t="n">
        <v>-1020861.375850328</v>
      </c>
      <c r="AE735" s="6" t="n">
        <v>-0.4833743466208974</v>
      </c>
    </row>
    <row r="736">
      <c r="A736" s="2" t="n">
        <v>727</v>
      </c>
      <c r="B736" s="2" t="inlineStr">
        <is>
          <t>KPROP-00727</t>
        </is>
      </c>
      <c r="C736" s="3" t="n">
        <v>46148</v>
      </c>
      <c r="D736" s="2" t="inlineStr">
        <is>
          <t>Bryan Woo</t>
        </is>
      </c>
      <c r="E736" s="2" t="inlineStr">
        <is>
          <t>Loss</t>
        </is>
      </c>
      <c r="F736" s="2" t="n">
        <v>-1</v>
      </c>
      <c r="G736" s="6" t="n">
        <v>0.1077852084751438</v>
      </c>
      <c r="H736" s="7" t="n">
        <v>100</v>
      </c>
      <c r="I736" s="7" t="n">
        <v>-100</v>
      </c>
      <c r="J736" s="7" t="n">
        <v>18500.29000400187</v>
      </c>
      <c r="K736" s="7" t="n">
        <v>19389.39758098348</v>
      </c>
      <c r="L736" s="7" t="n">
        <v>-889.1075769816125</v>
      </c>
      <c r="M736" s="6" t="n">
        <v>-0.04585534817510893</v>
      </c>
      <c r="N736" s="7" t="n">
        <v>228.0041456505933</v>
      </c>
      <c r="O736" s="7" t="n">
        <v>-228.0041456505933</v>
      </c>
      <c r="P736" s="7" t="n">
        <v>22572.41041940873</v>
      </c>
      <c r="Q736" s="7" t="n">
        <v>24722.32098223535</v>
      </c>
      <c r="R736" s="7" t="n">
        <v>-2149.910562826619</v>
      </c>
      <c r="S736" s="6" t="n">
        <v>-0.08696232705543601</v>
      </c>
      <c r="T736" s="7" t="n">
        <v>6891.339499252986</v>
      </c>
      <c r="U736" s="7" t="n">
        <v>-6891.339499252986</v>
      </c>
      <c r="V736" s="7" t="n">
        <v>248852.0819496071</v>
      </c>
      <c r="W736" s="7" t="n">
        <v>342224.7219030766</v>
      </c>
      <c r="X736" s="7" t="n">
        <v>-93372.63995346948</v>
      </c>
      <c r="Y736" s="6" t="n">
        <v>-0.2728401368382559</v>
      </c>
      <c r="Z736" s="7" t="n">
        <v>58801.48749973589</v>
      </c>
      <c r="AA736" s="7" t="n">
        <v>-58801.48749973589</v>
      </c>
      <c r="AB736" s="7" t="n">
        <v>1032284.911675268</v>
      </c>
      <c r="AC736" s="7" t="n">
        <v>2111947.775025332</v>
      </c>
      <c r="AD736" s="7" t="n">
        <v>-1079662.863350064</v>
      </c>
      <c r="AE736" s="6" t="n">
        <v>-0.5112166484974344</v>
      </c>
    </row>
    <row r="737">
      <c r="A737" s="2" t="n">
        <v>728</v>
      </c>
      <c r="B737" s="2" t="inlineStr">
        <is>
          <t>KPROP-00728</t>
        </is>
      </c>
      <c r="C737" s="3" t="n">
        <v>46148</v>
      </c>
      <c r="D737" s="2" t="inlineStr">
        <is>
          <t>Bryan Woo</t>
        </is>
      </c>
      <c r="E737" s="2" t="inlineStr">
        <is>
          <t>Loss</t>
        </is>
      </c>
      <c r="F737" s="2" t="n">
        <v>-1</v>
      </c>
      <c r="G737" s="6" t="n">
        <v>0.1411581941565182</v>
      </c>
      <c r="H737" s="7" t="n">
        <v>100</v>
      </c>
      <c r="I737" s="7" t="n">
        <v>-100</v>
      </c>
      <c r="J737" s="7" t="n">
        <v>18400.29000400187</v>
      </c>
      <c r="K737" s="7" t="n">
        <v>19389.39758098348</v>
      </c>
      <c r="L737" s="7" t="n">
        <v>-989.1075769816125</v>
      </c>
      <c r="M737" s="6" t="n">
        <v>-0.05101280598587025</v>
      </c>
      <c r="N737" s="7" t="n">
        <v>225.7241041940873</v>
      </c>
      <c r="O737" s="7" t="n">
        <v>-225.7241041940873</v>
      </c>
      <c r="P737" s="7" t="n">
        <v>22346.68631521465</v>
      </c>
      <c r="Q737" s="7" t="n">
        <v>24722.32098223535</v>
      </c>
      <c r="R737" s="7" t="n">
        <v>-2375.634667020706</v>
      </c>
      <c r="S737" s="6" t="n">
        <v>-0.09609270378488163</v>
      </c>
      <c r="T737" s="7" t="n">
        <v>8781.877625024104</v>
      </c>
      <c r="U737" s="7" t="n">
        <v>-8781.877625024104</v>
      </c>
      <c r="V737" s="7" t="n">
        <v>240070.204324583</v>
      </c>
      <c r="W737" s="7" t="n">
        <v>342224.7219030766</v>
      </c>
      <c r="X737" s="7" t="n">
        <v>-102154.5175784936</v>
      </c>
      <c r="Y737" s="6" t="n">
        <v>-0.298501280125009</v>
      </c>
      <c r="Z737" s="7" t="n">
        <v>72857.73699355089</v>
      </c>
      <c r="AA737" s="7" t="n">
        <v>-72857.73699355089</v>
      </c>
      <c r="AB737" s="7" t="n">
        <v>959427.1746817175</v>
      </c>
      <c r="AC737" s="7" t="n">
        <v>2111947.775025332</v>
      </c>
      <c r="AD737" s="7" t="n">
        <v>-1152520.600343615</v>
      </c>
      <c r="AE737" s="6" t="n">
        <v>-0.5457145361133708</v>
      </c>
    </row>
    <row r="738">
      <c r="A738" s="2" t="n">
        <v>729</v>
      </c>
      <c r="B738" s="2" t="inlineStr">
        <is>
          <t>KPROP-00729</t>
        </is>
      </c>
      <c r="C738" s="3" t="n">
        <v>46148</v>
      </c>
      <c r="D738" s="2" t="inlineStr">
        <is>
          <t>Jack Flaherty</t>
        </is>
      </c>
      <c r="E738" s="2" t="inlineStr">
        <is>
          <t>Loss</t>
        </is>
      </c>
      <c r="F738" s="2" t="n">
        <v>-1</v>
      </c>
      <c r="G738" s="6" t="n">
        <v>0.2290721961274818</v>
      </c>
      <c r="H738" s="7" t="n">
        <v>100</v>
      </c>
      <c r="I738" s="7" t="n">
        <v>-100</v>
      </c>
      <c r="J738" s="7" t="n">
        <v>18300.29000400187</v>
      </c>
      <c r="K738" s="7" t="n">
        <v>19389.39758098348</v>
      </c>
      <c r="L738" s="7" t="n">
        <v>-1089.107576981613</v>
      </c>
      <c r="M738" s="6" t="n">
        <v>-0.05617026379663158</v>
      </c>
      <c r="N738" s="7" t="n">
        <v>223.4668631521465</v>
      </c>
      <c r="O738" s="7" t="n">
        <v>-223.4668631521465</v>
      </c>
      <c r="P738" s="7" t="n">
        <v>22123.2194520625</v>
      </c>
      <c r="Q738" s="7" t="n">
        <v>24722.32098223535</v>
      </c>
      <c r="R738" s="7" t="n">
        <v>-2599.101530172851</v>
      </c>
      <c r="S738" s="6" t="n">
        <v>-0.1051317767470328</v>
      </c>
      <c r="T738" s="7" t="n">
        <v>13748.35223235138</v>
      </c>
      <c r="U738" s="7" t="n">
        <v>-13748.35223235138</v>
      </c>
      <c r="V738" s="7" t="n">
        <v>226321.8520922316</v>
      </c>
      <c r="W738" s="7" t="n">
        <v>342224.7219030766</v>
      </c>
      <c r="X738" s="7" t="n">
        <v>-115902.8698108449</v>
      </c>
      <c r="Y738" s="6" t="n">
        <v>-0.3386747432106044</v>
      </c>
      <c r="Z738" s="7" t="n">
        <v>109889.0449643631</v>
      </c>
      <c r="AA738" s="7" t="n">
        <v>-109889.0449643631</v>
      </c>
      <c r="AB738" s="7" t="n">
        <v>849538.1297173544</v>
      </c>
      <c r="AC738" s="7" t="n">
        <v>2111947.775025332</v>
      </c>
      <c r="AD738" s="7" t="n">
        <v>-1262409.645307978</v>
      </c>
      <c r="AE738" s="6" t="n">
        <v>-0.5977466205540218</v>
      </c>
    </row>
    <row r="739">
      <c r="A739" s="2" t="n">
        <v>730</v>
      </c>
      <c r="B739" s="2" t="inlineStr">
        <is>
          <t>KPROP-00730</t>
        </is>
      </c>
      <c r="C739" s="3" t="n">
        <v>46148</v>
      </c>
      <c r="D739" s="2" t="inlineStr">
        <is>
          <t>Lance McCullers Jr.</t>
        </is>
      </c>
      <c r="E739" s="2" t="inlineStr">
        <is>
          <t>Win</t>
        </is>
      </c>
      <c r="F739" s="2" t="n">
        <v>1.25</v>
      </c>
      <c r="G739" s="6" t="n">
        <v>0.05865591027095078</v>
      </c>
      <c r="H739" s="7" t="n">
        <v>100</v>
      </c>
      <c r="I739" s="7" t="n">
        <v>125</v>
      </c>
      <c r="J739" s="7" t="n">
        <v>18425.29000400187</v>
      </c>
      <c r="K739" s="7" t="n">
        <v>19389.39758098348</v>
      </c>
      <c r="L739" s="7" t="n">
        <v>-964.1075769816125</v>
      </c>
      <c r="M739" s="6" t="n">
        <v>-0.04972344153317992</v>
      </c>
      <c r="N739" s="7" t="n">
        <v>221.232194520625</v>
      </c>
      <c r="O739" s="7" t="n">
        <v>276.5402431507813</v>
      </c>
      <c r="P739" s="7" t="n">
        <v>22399.75969521328</v>
      </c>
      <c r="Q739" s="7" t="n">
        <v>24722.32098223535</v>
      </c>
      <c r="R739" s="7" t="n">
        <v>-2322.561287022068</v>
      </c>
      <c r="S739" s="6" t="n">
        <v>-0.09394592395637062</v>
      </c>
      <c r="T739" s="7" t="n">
        <v>3318.778562169333</v>
      </c>
      <c r="U739" s="7" t="n">
        <v>4148.473202711667</v>
      </c>
      <c r="V739" s="7" t="n">
        <v>230470.3252949433</v>
      </c>
      <c r="W739" s="7" t="n">
        <v>342224.7219030766</v>
      </c>
      <c r="X739" s="7" t="n">
        <v>-111754.3966081333</v>
      </c>
      <c r="Y739" s="6" t="n">
        <v>-0.3265526697974317</v>
      </c>
      <c r="Z739" s="7" t="n">
        <v>24915.21615422624</v>
      </c>
      <c r="AA739" s="7" t="n">
        <v>31144.02019278281</v>
      </c>
      <c r="AB739" s="7" t="n">
        <v>880682.1499101373</v>
      </c>
      <c r="AC739" s="7" t="n">
        <v>2111947.775025332</v>
      </c>
      <c r="AD739" s="7" t="n">
        <v>-1231265.625115195</v>
      </c>
      <c r="AE739" s="6" t="n">
        <v>-0.5830000342221655</v>
      </c>
    </row>
    <row r="740">
      <c r="A740" s="2" t="n">
        <v>731</v>
      </c>
      <c r="B740" s="2" t="inlineStr">
        <is>
          <t>KPROP-00731</t>
        </is>
      </c>
      <c r="C740" s="3" t="n">
        <v>46148</v>
      </c>
      <c r="D740" s="2" t="inlineStr">
        <is>
          <t>Lance McCullers Jr.</t>
        </is>
      </c>
      <c r="E740" s="2" t="inlineStr">
        <is>
          <t>Win</t>
        </is>
      </c>
      <c r="F740" s="2" t="n">
        <v>0.7194244604316546</v>
      </c>
      <c r="G740" s="6" t="n">
        <v>0.1676765847603982</v>
      </c>
      <c r="H740" s="7" t="n">
        <v>100</v>
      </c>
      <c r="I740" s="7" t="n">
        <v>71.94244604316546</v>
      </c>
      <c r="J740" s="7" t="n">
        <v>18497.23245004504</v>
      </c>
      <c r="K740" s="7" t="n">
        <v>19389.39758098348</v>
      </c>
      <c r="L740" s="7" t="n">
        <v>-892.165130938447</v>
      </c>
      <c r="M740" s="6" t="n">
        <v>-0.04601304023047393</v>
      </c>
      <c r="N740" s="7" t="n">
        <v>223.9975969521329</v>
      </c>
      <c r="O740" s="7" t="n">
        <v>161.1493503252754</v>
      </c>
      <c r="P740" s="7" t="n">
        <v>22560.90904553856</v>
      </c>
      <c r="Q740" s="7" t="n">
        <v>24722.32098223535</v>
      </c>
      <c r="R740" s="7" t="n">
        <v>-2161.411936696793</v>
      </c>
      <c r="S740" s="6" t="n">
        <v>-0.08742754930857474</v>
      </c>
      <c r="T740" s="7" t="n">
        <v>9661.119258518527</v>
      </c>
      <c r="U740" s="7" t="n">
        <v>6950.445509725559</v>
      </c>
      <c r="V740" s="7" t="n">
        <v>237420.7708046689</v>
      </c>
      <c r="W740" s="7" t="n">
        <v>342224.7219030766</v>
      </c>
      <c r="X740" s="7" t="n">
        <v>-104803.9510984077</v>
      </c>
      <c r="Y740" s="6" t="n">
        <v>-0.3062430747714651</v>
      </c>
      <c r="Z740" s="7" t="n">
        <v>73834.88757818844</v>
      </c>
      <c r="AA740" s="7" t="n">
        <v>53118.6241569701</v>
      </c>
      <c r="AB740" s="7" t="n">
        <v>933800.7740671074</v>
      </c>
      <c r="AC740" s="7" t="n">
        <v>2111947.775025332</v>
      </c>
      <c r="AD740" s="7" t="n">
        <v>-1178147.000958225</v>
      </c>
      <c r="AE740" s="6" t="n">
        <v>-0.5578485485722265</v>
      </c>
    </row>
    <row r="741">
      <c r="A741" s="2" t="n">
        <v>732</v>
      </c>
      <c r="B741" s="2" t="inlineStr">
        <is>
          <t>KPROP-00732</t>
        </is>
      </c>
      <c r="C741" s="3" t="n">
        <v>46148</v>
      </c>
      <c r="D741" s="2" t="inlineStr">
        <is>
          <t>Patrick Corbin</t>
        </is>
      </c>
      <c r="E741" s="2" t="inlineStr">
        <is>
          <t>Win</t>
        </is>
      </c>
      <c r="F741" s="2" t="n">
        <v>1.05</v>
      </c>
      <c r="G741" s="6" t="n">
        <v>0.1087659119077432</v>
      </c>
      <c r="H741" s="7" t="n">
        <v>100</v>
      </c>
      <c r="I741" s="7" t="n">
        <v>105</v>
      </c>
      <c r="J741" s="7" t="n">
        <v>18602.23245004504</v>
      </c>
      <c r="K741" s="7" t="n">
        <v>19389.39758098348</v>
      </c>
      <c r="L741" s="7" t="n">
        <v>-787.165130938447</v>
      </c>
      <c r="M741" s="6" t="n">
        <v>-0.04059770952917454</v>
      </c>
      <c r="N741" s="7" t="n">
        <v>225.6090904553856</v>
      </c>
      <c r="O741" s="7" t="n">
        <v>236.8895449781548</v>
      </c>
      <c r="P741" s="7" t="n">
        <v>22797.79859051672</v>
      </c>
      <c r="Q741" s="7" t="n">
        <v>24722.32098223535</v>
      </c>
      <c r="R741" s="7" t="n">
        <v>-1924.522391718638</v>
      </c>
      <c r="S741" s="6" t="n">
        <v>-0.07784553857631475</v>
      </c>
      <c r="T741" s="7" t="n">
        <v>6455.821660602274</v>
      </c>
      <c r="U741" s="7" t="n">
        <v>6778.612743632387</v>
      </c>
      <c r="V741" s="7" t="n">
        <v>244199.3835483012</v>
      </c>
      <c r="W741" s="7" t="n">
        <v>342224.7219030766</v>
      </c>
      <c r="X741" s="7" t="n">
        <v>-98025.33835477533</v>
      </c>
      <c r="Y741" s="6" t="n">
        <v>-0.2864355848100817</v>
      </c>
      <c r="Z741" s="7" t="n">
        <v>50782.84636578269</v>
      </c>
      <c r="AA741" s="7" t="n">
        <v>53321.98868407182</v>
      </c>
      <c r="AB741" s="7" t="n">
        <v>987122.7627511792</v>
      </c>
      <c r="AC741" s="7" t="n">
        <v>2111947.775025332</v>
      </c>
      <c r="AD741" s="7" t="n">
        <v>-1124825.012274153</v>
      </c>
      <c r="AE741" s="6" t="n">
        <v>-0.5326007705188927</v>
      </c>
    </row>
    <row r="742">
      <c r="A742" s="2" t="n">
        <v>733</v>
      </c>
      <c r="B742" s="2" t="inlineStr">
        <is>
          <t>KPROP-00733</t>
        </is>
      </c>
      <c r="C742" s="3" t="n">
        <v>46148</v>
      </c>
      <c r="D742" s="2" t="inlineStr">
        <is>
          <t>Shane McClanahan</t>
        </is>
      </c>
      <c r="E742" s="2" t="inlineStr">
        <is>
          <t>Win</t>
        </is>
      </c>
      <c r="F742" s="2" t="n">
        <v>1.25</v>
      </c>
      <c r="G742" s="6" t="n">
        <v>0.1279871993771499</v>
      </c>
      <c r="H742" s="7" t="n">
        <v>100</v>
      </c>
      <c r="I742" s="7" t="n">
        <v>125</v>
      </c>
      <c r="J742" s="7" t="n">
        <v>18727.23245004504</v>
      </c>
      <c r="K742" s="7" t="n">
        <v>19389.39758098348</v>
      </c>
      <c r="L742" s="7" t="n">
        <v>-662.165130938447</v>
      </c>
      <c r="M742" s="6" t="n">
        <v>-0.03415088726572289</v>
      </c>
      <c r="N742" s="7" t="n">
        <v>227.9779859051671</v>
      </c>
      <c r="O742" s="7" t="n">
        <v>284.9724823814589</v>
      </c>
      <c r="P742" s="7" t="n">
        <v>23082.77107289817</v>
      </c>
      <c r="Q742" s="7" t="n">
        <v>24722.32098223535</v>
      </c>
      <c r="R742" s="7" t="n">
        <v>-1639.54990933718</v>
      </c>
      <c r="S742" s="6" t="n">
        <v>-0.06631860780851874</v>
      </c>
      <c r="T742" s="7" t="n">
        <v>7813.598797493381</v>
      </c>
      <c r="U742" s="7" t="n">
        <v>9766.998496866727</v>
      </c>
      <c r="V742" s="7" t="n">
        <v>253966.382045168</v>
      </c>
      <c r="W742" s="7" t="n">
        <v>342224.7219030766</v>
      </c>
      <c r="X742" s="7" t="n">
        <v>-88258.33985790861</v>
      </c>
      <c r="Y742" s="6" t="n">
        <v>-0.2578958625990345</v>
      </c>
      <c r="Z742" s="7" t="n">
        <v>63169.5389229791</v>
      </c>
      <c r="AA742" s="7" t="n">
        <v>78961.92365372388</v>
      </c>
      <c r="AB742" s="7" t="n">
        <v>1066084.686404903</v>
      </c>
      <c r="AC742" s="7" t="n">
        <v>2111947.775025332</v>
      </c>
      <c r="AD742" s="7" t="n">
        <v>-1045863.088620429</v>
      </c>
      <c r="AE742" s="6" t="n">
        <v>-0.4952125715361899</v>
      </c>
    </row>
    <row r="743">
      <c r="A743" s="2" t="n">
        <v>734</v>
      </c>
      <c r="B743" s="2" t="inlineStr">
        <is>
          <t>KPROP-00734</t>
        </is>
      </c>
      <c r="C743" s="3" t="n">
        <v>46148</v>
      </c>
      <c r="D743" s="2" t="inlineStr">
        <is>
          <t>Shane McClanahan</t>
        </is>
      </c>
      <c r="E743" s="2" t="inlineStr">
        <is>
          <t>Win</t>
        </is>
      </c>
      <c r="F743" s="2" t="n">
        <v>0.625</v>
      </c>
      <c r="G743" s="6" t="n">
        <v>0.1885034285421371</v>
      </c>
      <c r="H743" s="7" t="n">
        <v>100</v>
      </c>
      <c r="I743" s="7" t="n">
        <v>62.5</v>
      </c>
      <c r="J743" s="7" t="n">
        <v>18789.73245004504</v>
      </c>
      <c r="K743" s="7" t="n">
        <v>19389.39758098348</v>
      </c>
      <c r="L743" s="7" t="n">
        <v>-599.665130938447</v>
      </c>
      <c r="M743" s="6" t="n">
        <v>-0.03092747613399706</v>
      </c>
      <c r="N743" s="7" t="n">
        <v>230.8277107289817</v>
      </c>
      <c r="O743" s="7" t="n">
        <v>144.2673192056136</v>
      </c>
      <c r="P743" s="7" t="n">
        <v>23227.03839210379</v>
      </c>
      <c r="Q743" s="7" t="n">
        <v>24722.32098223535</v>
      </c>
      <c r="R743" s="7" t="n">
        <v>-1495.282590131566</v>
      </c>
      <c r="S743" s="6" t="n">
        <v>-0.06048309910732198</v>
      </c>
      <c r="T743" s="7" t="n">
        <v>11968.3834374891</v>
      </c>
      <c r="U743" s="7" t="n">
        <v>7480.239648430689</v>
      </c>
      <c r="V743" s="7" t="n">
        <v>261446.6216935987</v>
      </c>
      <c r="W743" s="7" t="n">
        <v>342224.7219030766</v>
      </c>
      <c r="X743" s="7" t="n">
        <v>-80778.10020947791</v>
      </c>
      <c r="Y743" s="6" t="n">
        <v>-0.2360381791247552</v>
      </c>
      <c r="Z743" s="7" t="n">
        <v>100480.3092517966</v>
      </c>
      <c r="AA743" s="7" t="n">
        <v>62800.1932823729</v>
      </c>
      <c r="AB743" s="7" t="n">
        <v>1128884.879687276</v>
      </c>
      <c r="AC743" s="7" t="n">
        <v>2111947.775025332</v>
      </c>
      <c r="AD743" s="7" t="n">
        <v>-983062.8953380566</v>
      </c>
      <c r="AE743" s="6" t="n">
        <v>-0.4654768962391909</v>
      </c>
    </row>
    <row r="744">
      <c r="A744" s="2" t="n">
        <v>735</v>
      </c>
      <c r="B744" s="2" t="inlineStr">
        <is>
          <t>KPROP-00735</t>
        </is>
      </c>
      <c r="C744" s="3" t="n">
        <v>46148</v>
      </c>
      <c r="D744" s="2" t="inlineStr">
        <is>
          <t>Will Warren</t>
        </is>
      </c>
      <c r="E744" s="2" t="inlineStr">
        <is>
          <t>Loss</t>
        </is>
      </c>
      <c r="F744" s="2" t="n">
        <v>-1</v>
      </c>
      <c r="G744" s="6" t="n">
        <v>0.09451581486130019</v>
      </c>
      <c r="H744" s="7" t="n">
        <v>100</v>
      </c>
      <c r="I744" s="7" t="n">
        <v>-100</v>
      </c>
      <c r="J744" s="7" t="n">
        <v>18689.73245004504</v>
      </c>
      <c r="K744" s="7" t="n">
        <v>19389.39758098348</v>
      </c>
      <c r="L744" s="7" t="n">
        <v>-699.665130938447</v>
      </c>
      <c r="M744" s="6" t="n">
        <v>-0.03608493394475838</v>
      </c>
      <c r="N744" s="7" t="n">
        <v>232.2703839210379</v>
      </c>
      <c r="O744" s="7" t="n">
        <v>-232.2703839210379</v>
      </c>
      <c r="P744" s="7" t="n">
        <v>22994.76800818275</v>
      </c>
      <c r="Q744" s="7" t="n">
        <v>24722.32098223535</v>
      </c>
      <c r="R744" s="7" t="n">
        <v>-1727.552974052604</v>
      </c>
      <c r="S744" s="6" t="n">
        <v>-0.06987826811624873</v>
      </c>
      <c r="T744" s="7" t="n">
        <v>6177.71012302614</v>
      </c>
      <c r="U744" s="7" t="n">
        <v>-6177.71012302614</v>
      </c>
      <c r="V744" s="7" t="n">
        <v>255268.9115705725</v>
      </c>
      <c r="W744" s="7" t="n">
        <v>342224.7219030766</v>
      </c>
      <c r="X744" s="7" t="n">
        <v>-86955.81033250404</v>
      </c>
      <c r="Y744" s="6" t="n">
        <v>-0.2540897976304918</v>
      </c>
      <c r="Z744" s="7" t="n">
        <v>53348.73714412184</v>
      </c>
      <c r="AA744" s="7" t="n">
        <v>-53348.73714412184</v>
      </c>
      <c r="AB744" s="7" t="n">
        <v>1075536.142543154</v>
      </c>
      <c r="AC744" s="7" t="n">
        <v>2111947.775025332</v>
      </c>
      <c r="AD744" s="7" t="n">
        <v>-1036411.632482179</v>
      </c>
      <c r="AE744" s="6" t="n">
        <v>-0.490737339596263</v>
      </c>
    </row>
    <row r="745">
      <c r="A745" s="2" t="n">
        <v>736</v>
      </c>
      <c r="B745" s="2" t="inlineStr">
        <is>
          <t>KPROP-00736</t>
        </is>
      </c>
      <c r="C745" s="3" t="n">
        <v>46149</v>
      </c>
      <c r="D745" s="2" t="inlineStr">
        <is>
          <t>Cade Povich</t>
        </is>
      </c>
      <c r="E745" s="2" t="inlineStr">
        <is>
          <t>Win</t>
        </is>
      </c>
      <c r="F745" s="2" t="n">
        <v>1.1</v>
      </c>
      <c r="G745" s="6" t="n">
        <v>0.06924932705312641</v>
      </c>
      <c r="H745" s="7" t="n">
        <v>100</v>
      </c>
      <c r="I745" s="7" t="n">
        <v>110</v>
      </c>
      <c r="J745" s="7" t="n">
        <v>18799.73245004504</v>
      </c>
      <c r="K745" s="7" t="n">
        <v>19389.39758098348</v>
      </c>
      <c r="L745" s="7" t="n">
        <v>-589.665130938447</v>
      </c>
      <c r="M745" s="6" t="n">
        <v>-0.03041173035292092</v>
      </c>
      <c r="N745" s="7" t="n">
        <v>229.9476800818275</v>
      </c>
      <c r="O745" s="7" t="n">
        <v>252.9424480900103</v>
      </c>
      <c r="P745" s="7" t="n">
        <v>23247.71045627276</v>
      </c>
      <c r="Q745" s="7" t="n">
        <v>24722.32098223535</v>
      </c>
      <c r="R745" s="7" t="n">
        <v>-1474.610525962595</v>
      </c>
      <c r="S745" s="6" t="n">
        <v>-0.05964692906552752</v>
      </c>
      <c r="T745" s="7" t="n">
        <v>4419.300085961545</v>
      </c>
      <c r="U745" s="7" t="n">
        <v>4861.2300945577</v>
      </c>
      <c r="V745" s="7" t="n">
        <v>260130.1416651302</v>
      </c>
      <c r="W745" s="7" t="n">
        <v>342224.7219030766</v>
      </c>
      <c r="X745" s="7" t="n">
        <v>-82094.58023794636</v>
      </c>
      <c r="Y745" s="6" t="n">
        <v>-0.2398850082525506</v>
      </c>
      <c r="Z745" s="7" t="n">
        <v>37240.07704621442</v>
      </c>
      <c r="AA745" s="7" t="n">
        <v>40964.08475083586</v>
      </c>
      <c r="AB745" s="7" t="n">
        <v>1116500.22729399</v>
      </c>
      <c r="AC745" s="7" t="n">
        <v>2111947.775025332</v>
      </c>
      <c r="AD745" s="7" t="n">
        <v>-995447.5477313427</v>
      </c>
      <c r="AE745" s="6" t="n">
        <v>-0.471340986506829</v>
      </c>
    </row>
    <row r="746">
      <c r="A746" s="2" t="n">
        <v>737</v>
      </c>
      <c r="B746" s="2" t="inlineStr">
        <is>
          <t>KPROP-00737</t>
        </is>
      </c>
      <c r="C746" s="3" t="n">
        <v>46149</v>
      </c>
      <c r="D746" s="2" t="inlineStr">
        <is>
          <t>Griffin Jax</t>
        </is>
      </c>
      <c r="E746" s="2" t="inlineStr">
        <is>
          <t>Win</t>
        </is>
      </c>
      <c r="F746" s="2" t="n">
        <v>0.8695652173913042</v>
      </c>
      <c r="G746" s="6" t="n">
        <v>0.09483127886357311</v>
      </c>
      <c r="H746" s="7" t="n">
        <v>100</v>
      </c>
      <c r="I746" s="7" t="n">
        <v>86.95652173913042</v>
      </c>
      <c r="J746" s="7" t="n">
        <v>18886.68897178417</v>
      </c>
      <c r="K746" s="7" t="n">
        <v>19389.39758098348</v>
      </c>
      <c r="L746" s="7" t="n">
        <v>-502.7086091993151</v>
      </c>
      <c r="M746" s="6" t="n">
        <v>-0.0259269844305197</v>
      </c>
      <c r="N746" s="7" t="n">
        <v>232.4771045627276</v>
      </c>
      <c r="O746" s="7" t="n">
        <v>202.1540039675892</v>
      </c>
      <c r="P746" s="7" t="n">
        <v>23449.86446024035</v>
      </c>
      <c r="Q746" s="7" t="n">
        <v>24722.32098223535</v>
      </c>
      <c r="R746" s="7" t="n">
        <v>-1272.456521995005</v>
      </c>
      <c r="S746" s="6" t="n">
        <v>-0.05146994584001036</v>
      </c>
      <c r="T746" s="7" t="n">
        <v>6167.118501266686</v>
      </c>
      <c r="U746" s="7" t="n">
        <v>5362.7117402319</v>
      </c>
      <c r="V746" s="7" t="n">
        <v>265492.8534053621</v>
      </c>
      <c r="W746" s="7" t="n">
        <v>342224.7219030766</v>
      </c>
      <c r="X746" s="7" t="n">
        <v>-76731.86849771446</v>
      </c>
      <c r="Y746" s="6" t="n">
        <v>-0.2242148611328147</v>
      </c>
      <c r="Z746" s="7" t="n">
        <v>52939.57220287954</v>
      </c>
      <c r="AA746" s="7" t="n">
        <v>46034.41061119959</v>
      </c>
      <c r="AB746" s="7" t="n">
        <v>1162534.637905189</v>
      </c>
      <c r="AC746" s="7" t="n">
        <v>2111947.775025332</v>
      </c>
      <c r="AD746" s="7" t="n">
        <v>-949413.137120143</v>
      </c>
      <c r="AE746" s="6" t="n">
        <v>-0.4495438515797366</v>
      </c>
    </row>
    <row r="747">
      <c r="A747" s="2" t="n">
        <v>738</v>
      </c>
      <c r="B747" s="2" t="inlineStr">
        <is>
          <t>KPROP-00738</t>
        </is>
      </c>
      <c r="C747" s="3" t="n">
        <v>46149</v>
      </c>
      <c r="D747" s="2" t="inlineStr">
        <is>
          <t>MacKenzie Gore</t>
        </is>
      </c>
      <c r="E747" s="2" t="inlineStr">
        <is>
          <t>Win</t>
        </is>
      </c>
      <c r="F747" s="2" t="n">
        <v>1.2</v>
      </c>
      <c r="G747" s="6" t="n">
        <v>0.09175570253463872</v>
      </c>
      <c r="H747" s="7" t="n">
        <v>100</v>
      </c>
      <c r="I747" s="7" t="n">
        <v>120</v>
      </c>
      <c r="J747" s="7" t="n">
        <v>19006.68897178417</v>
      </c>
      <c r="K747" s="7" t="n">
        <v>19389.39758098348</v>
      </c>
      <c r="L747" s="7" t="n">
        <v>-382.7086091993151</v>
      </c>
      <c r="M747" s="6" t="n">
        <v>-0.01973803505760611</v>
      </c>
      <c r="N747" s="7" t="n">
        <v>234.4986446024035</v>
      </c>
      <c r="O747" s="7" t="n">
        <v>281.3983735228842</v>
      </c>
      <c r="P747" s="7" t="n">
        <v>23731.26283376323</v>
      </c>
      <c r="Q747" s="7" t="n">
        <v>24722.32098223535</v>
      </c>
      <c r="R747" s="7" t="n">
        <v>-991.0581484721224</v>
      </c>
      <c r="S747" s="6" t="n">
        <v>-0.04008758519009054</v>
      </c>
      <c r="T747" s="7" t="n">
        <v>6090.120820533713</v>
      </c>
      <c r="U747" s="7" t="n">
        <v>7308.144984640456</v>
      </c>
      <c r="V747" s="7" t="n">
        <v>272800.9983900026</v>
      </c>
      <c r="W747" s="7" t="n">
        <v>342224.7219030766</v>
      </c>
      <c r="X747" s="7" t="n">
        <v>-69423.72351307399</v>
      </c>
      <c r="Y747" s="6" t="n">
        <v>-0.2028600480030074</v>
      </c>
      <c r="Z747" s="7" t="n">
        <v>53334.59121092124</v>
      </c>
      <c r="AA747" s="7" t="n">
        <v>64001.50945310549</v>
      </c>
      <c r="AB747" s="7" t="n">
        <v>1226536.147358295</v>
      </c>
      <c r="AC747" s="7" t="n">
        <v>2111947.775025332</v>
      </c>
      <c r="AD747" s="7" t="n">
        <v>-885411.6276670375</v>
      </c>
      <c r="AE747" s="6" t="n">
        <v>-0.4192393572120491</v>
      </c>
    </row>
    <row r="748">
      <c r="A748" s="2" t="n">
        <v>739</v>
      </c>
      <c r="B748" s="2" t="inlineStr">
        <is>
          <t>KPROP-00739</t>
        </is>
      </c>
      <c r="C748" s="3" t="n">
        <v>46149</v>
      </c>
      <c r="D748" s="2" t="inlineStr">
        <is>
          <t>MacKenzie Gore</t>
        </is>
      </c>
      <c r="E748" s="2" t="inlineStr">
        <is>
          <t>Win</t>
        </is>
      </c>
      <c r="F748" s="2" t="n">
        <v>0.6451612903225805</v>
      </c>
      <c r="G748" s="6" t="n">
        <v>0.1417958925207234</v>
      </c>
      <c r="H748" s="7" t="n">
        <v>100</v>
      </c>
      <c r="I748" s="7" t="n">
        <v>64.51612903225805</v>
      </c>
      <c r="J748" s="7" t="n">
        <v>19071.20510081643</v>
      </c>
      <c r="K748" s="7" t="n">
        <v>19389.39758098348</v>
      </c>
      <c r="L748" s="7" t="n">
        <v>-318.1924801670575</v>
      </c>
      <c r="M748" s="6" t="n">
        <v>-0.01641064292163109</v>
      </c>
      <c r="N748" s="7" t="n">
        <v>237.3126283376323</v>
      </c>
      <c r="O748" s="7" t="n">
        <v>153.1049215081499</v>
      </c>
      <c r="P748" s="7" t="n">
        <v>23884.36775527138</v>
      </c>
      <c r="Q748" s="7" t="n">
        <v>24722.32098223535</v>
      </c>
      <c r="R748" s="7" t="n">
        <v>-837.9532269639712</v>
      </c>
      <c r="S748" s="6" t="n">
        <v>-0.03389460186873623</v>
      </c>
      <c r="T748" s="7" t="n">
        <v>9670.515261813714</v>
      </c>
      <c r="U748" s="7" t="n">
        <v>6239.042104395943</v>
      </c>
      <c r="V748" s="7" t="n">
        <v>279040.0404943985</v>
      </c>
      <c r="W748" s="7" t="n">
        <v>342224.7219030766</v>
      </c>
      <c r="X748" s="7" t="n">
        <v>-63184.68140867807</v>
      </c>
      <c r="Y748" s="6" t="n">
        <v>-0.1846292139776301</v>
      </c>
      <c r="Z748" s="7" t="n">
        <v>86958.89386179949</v>
      </c>
      <c r="AA748" s="7" t="n">
        <v>56102.51216890288</v>
      </c>
      <c r="AB748" s="7" t="n">
        <v>1282638.659527198</v>
      </c>
      <c r="AC748" s="7" t="n">
        <v>2111947.775025332</v>
      </c>
      <c r="AD748" s="7" t="n">
        <v>-829309.1154981346</v>
      </c>
      <c r="AE748" s="6" t="n">
        <v>-0.3926750108620405</v>
      </c>
    </row>
    <row r="749">
      <c r="A749" s="2" t="n">
        <v>740</v>
      </c>
      <c r="B749" s="2" t="inlineStr">
        <is>
          <t>KPROP-00740</t>
        </is>
      </c>
      <c r="C749" s="3" t="n">
        <v>46149</v>
      </c>
      <c r="D749" s="2" t="inlineStr">
        <is>
          <t>Shota Imanaga</t>
        </is>
      </c>
      <c r="E749" s="2" t="inlineStr">
        <is>
          <t>Loss</t>
        </is>
      </c>
      <c r="F749" s="2" t="n">
        <v>-1</v>
      </c>
      <c r="G749" s="6" t="n">
        <v>0.06730743624218305</v>
      </c>
      <c r="H749" s="7" t="n">
        <v>100</v>
      </c>
      <c r="I749" s="7" t="n">
        <v>-100</v>
      </c>
      <c r="J749" s="7" t="n">
        <v>18971.20510081643</v>
      </c>
      <c r="K749" s="7" t="n">
        <v>19389.39758098348</v>
      </c>
      <c r="L749" s="7" t="n">
        <v>-418.1924801670575</v>
      </c>
      <c r="M749" s="6" t="n">
        <v>-0.02156810073239241</v>
      </c>
      <c r="N749" s="7" t="n">
        <v>238.8436775527138</v>
      </c>
      <c r="O749" s="7" t="n">
        <v>-238.8436775527138</v>
      </c>
      <c r="P749" s="7" t="n">
        <v>23645.52407771867</v>
      </c>
      <c r="Q749" s="7" t="n">
        <v>24722.32098223535</v>
      </c>
      <c r="R749" s="7" t="n">
        <v>-1076.796904516686</v>
      </c>
      <c r="S749" s="6" t="n">
        <v>-0.04355565585004893</v>
      </c>
      <c r="T749" s="7" t="n">
        <v>4695.367433648226</v>
      </c>
      <c r="U749" s="7" t="n">
        <v>-4695.367433648226</v>
      </c>
      <c r="V749" s="7" t="n">
        <v>274344.6730607503</v>
      </c>
      <c r="W749" s="7" t="n">
        <v>342224.7219030766</v>
      </c>
      <c r="X749" s="7" t="n">
        <v>-67880.04884232627</v>
      </c>
      <c r="Y749" s="6" t="n">
        <v>-0.1983493432761148</v>
      </c>
      <c r="Z749" s="7" t="n">
        <v>43165.55989894299</v>
      </c>
      <c r="AA749" s="7" t="n">
        <v>-43165.55989894299</v>
      </c>
      <c r="AB749" s="7" t="n">
        <v>1239473.099628255</v>
      </c>
      <c r="AC749" s="7" t="n">
        <v>2111947.775025332</v>
      </c>
      <c r="AD749" s="7" t="n">
        <v>-872474.6753970776</v>
      </c>
      <c r="AE749" s="6" t="n">
        <v>-0.4131137548543843</v>
      </c>
    </row>
    <row r="750">
      <c r="A750" s="2" t="n">
        <v>741</v>
      </c>
      <c r="B750" s="2" t="inlineStr">
        <is>
          <t>KPROP-00741</t>
        </is>
      </c>
      <c r="C750" s="3" t="n">
        <v>46149</v>
      </c>
      <c r="D750" s="2" t="inlineStr">
        <is>
          <t>Shota Imanaga</t>
        </is>
      </c>
      <c r="E750" s="2" t="inlineStr">
        <is>
          <t>Loss</t>
        </is>
      </c>
      <c r="F750" s="2" t="n">
        <v>-1</v>
      </c>
      <c r="G750" s="6" t="n">
        <v>0.1753413788699768</v>
      </c>
      <c r="H750" s="7" t="n">
        <v>100</v>
      </c>
      <c r="I750" s="7" t="n">
        <v>-100</v>
      </c>
      <c r="J750" s="7" t="n">
        <v>18871.20510081643</v>
      </c>
      <c r="K750" s="7" t="n">
        <v>19389.39758098348</v>
      </c>
      <c r="L750" s="7" t="n">
        <v>-518.1924801670575</v>
      </c>
      <c r="M750" s="6" t="n">
        <v>-0.02672555854315373</v>
      </c>
      <c r="N750" s="7" t="n">
        <v>236.4552407771867</v>
      </c>
      <c r="O750" s="7" t="n">
        <v>-236.4552407771867</v>
      </c>
      <c r="P750" s="7" t="n">
        <v>23409.06883694148</v>
      </c>
      <c r="Q750" s="7" t="n">
        <v>24722.32098223535</v>
      </c>
      <c r="R750" s="7" t="n">
        <v>-1313.252145293874</v>
      </c>
      <c r="S750" s="6" t="n">
        <v>-0.05312009929154849</v>
      </c>
      <c r="T750" s="7" t="n">
        <v>12025.99331502623</v>
      </c>
      <c r="U750" s="7" t="n">
        <v>-12025.99331502623</v>
      </c>
      <c r="V750" s="7" t="n">
        <v>262318.6797457241</v>
      </c>
      <c r="W750" s="7" t="n">
        <v>342224.7219030766</v>
      </c>
      <c r="X750" s="7" t="n">
        <v>-79906.04215735249</v>
      </c>
      <c r="Y750" s="6" t="n">
        <v>-0.2334899761566119</v>
      </c>
      <c r="Z750" s="7" t="n">
        <v>108665.4611805312</v>
      </c>
      <c r="AA750" s="7" t="n">
        <v>-108665.4611805312</v>
      </c>
      <c r="AB750" s="7" t="n">
        <v>1130807.638447724</v>
      </c>
      <c r="AC750" s="7" t="n">
        <v>2111947.775025332</v>
      </c>
      <c r="AD750" s="7" t="n">
        <v>-981140.1365776088</v>
      </c>
      <c r="AE750" s="6" t="n">
        <v>-0.4645664765862121</v>
      </c>
    </row>
    <row r="751">
      <c r="A751" s="2" t="n">
        <v>742</v>
      </c>
      <c r="B751" s="2" t="inlineStr">
        <is>
          <t>KPROP-00742</t>
        </is>
      </c>
      <c r="C751" s="3" t="n">
        <v>46150</v>
      </c>
      <c r="D751" s="2" t="inlineStr">
        <is>
          <t>Jesús Luzardo</t>
        </is>
      </c>
      <c r="E751" s="2" t="inlineStr">
        <is>
          <t>Win</t>
        </is>
      </c>
      <c r="F751" s="2" t="n">
        <v>1.15</v>
      </c>
      <c r="G751" s="6" t="n">
        <v>0.2192942567683171</v>
      </c>
      <c r="H751" s="7" t="n">
        <v>100</v>
      </c>
      <c r="I751" s="7" t="n">
        <v>115</v>
      </c>
      <c r="J751" s="7" t="n">
        <v>18986.20510081643</v>
      </c>
      <c r="K751" s="7" t="n">
        <v>19389.39758098348</v>
      </c>
      <c r="L751" s="7" t="n">
        <v>-403.1924801670575</v>
      </c>
      <c r="M751" s="6" t="n">
        <v>-0.02079448206077821</v>
      </c>
      <c r="N751" s="7" t="n">
        <v>234.0906883694148</v>
      </c>
      <c r="O751" s="7" t="n">
        <v>269.204291624827</v>
      </c>
      <c r="P751" s="7" t="n">
        <v>23678.27312856631</v>
      </c>
      <c r="Q751" s="7" t="n">
        <v>24722.32098223535</v>
      </c>
      <c r="R751" s="7" t="n">
        <v>-1044.047853669046</v>
      </c>
      <c r="S751" s="6" t="n">
        <v>-0.04223098043340124</v>
      </c>
      <c r="T751" s="7" t="n">
        <v>14381.24497782119</v>
      </c>
      <c r="U751" s="7" t="n">
        <v>16538.43172449436</v>
      </c>
      <c r="V751" s="7" t="n">
        <v>278857.1114702185</v>
      </c>
      <c r="W751" s="7" t="n">
        <v>342224.7219030766</v>
      </c>
      <c r="X751" s="7" t="n">
        <v>-63367.61043285811</v>
      </c>
      <c r="Y751" s="6" t="n">
        <v>-0.1851637429361541</v>
      </c>
      <c r="Z751" s="7" t="n">
        <v>123989.8103106647</v>
      </c>
      <c r="AA751" s="7" t="n">
        <v>142588.2818572644</v>
      </c>
      <c r="AB751" s="7" t="n">
        <v>1273395.920304988</v>
      </c>
      <c r="AC751" s="7" t="n">
        <v>2111947.775025332</v>
      </c>
      <c r="AD751" s="7" t="n">
        <v>-838551.8547203443</v>
      </c>
      <c r="AE751" s="6" t="n">
        <v>-0.397051416060838</v>
      </c>
    </row>
    <row r="752">
      <c r="A752" s="2" t="n">
        <v>743</v>
      </c>
      <c r="B752" s="2" t="inlineStr">
        <is>
          <t>KPROP-00743</t>
        </is>
      </c>
      <c r="C752" s="3" t="n">
        <v>46150</v>
      </c>
      <c r="D752" s="2" t="inlineStr">
        <is>
          <t>Max Fried</t>
        </is>
      </c>
      <c r="E752" s="2" t="inlineStr">
        <is>
          <t>Win</t>
        </is>
      </c>
      <c r="F752" s="2" t="n">
        <v>0.9090909090909092</v>
      </c>
      <c r="G752" s="6" t="n">
        <v>0.1304644030935556</v>
      </c>
      <c r="H752" s="7" t="n">
        <v>100</v>
      </c>
      <c r="I752" s="7" t="n">
        <v>90.90909090909092</v>
      </c>
      <c r="J752" s="7" t="n">
        <v>19077.11419172552</v>
      </c>
      <c r="K752" s="7" t="n">
        <v>19389.39758098348</v>
      </c>
      <c r="L752" s="7" t="n">
        <v>-312.2833892579656</v>
      </c>
      <c r="M752" s="6" t="n">
        <v>-0.01610588405099514</v>
      </c>
      <c r="N752" s="7" t="n">
        <v>236.7827312856631</v>
      </c>
      <c r="O752" s="7" t="n">
        <v>215.2570284415119</v>
      </c>
      <c r="P752" s="7" t="n">
        <v>23893.53015700782</v>
      </c>
      <c r="Q752" s="7" t="n">
        <v>24722.32098223535</v>
      </c>
      <c r="R752" s="7" t="n">
        <v>-828.7908252275338</v>
      </c>
      <c r="S752" s="6" t="n">
        <v>-0.03352398934643214</v>
      </c>
      <c r="T752" s="7" t="n">
        <v>9095.231649088788</v>
      </c>
      <c r="U752" s="7" t="n">
        <v>8268.392408262534</v>
      </c>
      <c r="V752" s="7" t="n">
        <v>287125.503878481</v>
      </c>
      <c r="W752" s="7" t="n">
        <v>342224.7219030766</v>
      </c>
      <c r="X752" s="7" t="n">
        <v>-55099.21802459558</v>
      </c>
      <c r="Y752" s="6" t="n">
        <v>-0.1610030325050583</v>
      </c>
      <c r="Z752" s="7" t="n">
        <v>83066.41932217959</v>
      </c>
      <c r="AA752" s="7" t="n">
        <v>75514.92665652691</v>
      </c>
      <c r="AB752" s="7" t="n">
        <v>1348910.846961515</v>
      </c>
      <c r="AC752" s="7" t="n">
        <v>2111947.775025332</v>
      </c>
      <c r="AD752" s="7" t="n">
        <v>-763036.9280638173</v>
      </c>
      <c r="AE752" s="6" t="n">
        <v>-0.3612953582882346</v>
      </c>
    </row>
    <row r="753">
      <c r="A753" s="2" t="n">
        <v>744</v>
      </c>
      <c r="B753" s="2" t="inlineStr">
        <is>
          <t>KPROP-00744</t>
        </is>
      </c>
      <c r="C753" s="3" t="n">
        <v>46150</v>
      </c>
      <c r="D753" s="2" t="inlineStr">
        <is>
          <t>Parker Messick</t>
        </is>
      </c>
      <c r="E753" s="2" t="inlineStr">
        <is>
          <t>Loss</t>
        </is>
      </c>
      <c r="F753" s="2" t="n">
        <v>-1</v>
      </c>
      <c r="G753" s="6" t="n">
        <v>0.1032316936061801</v>
      </c>
      <c r="H753" s="7" t="n">
        <v>100</v>
      </c>
      <c r="I753" s="7" t="n">
        <v>-100</v>
      </c>
      <c r="J753" s="7" t="n">
        <v>18977.11419172552</v>
      </c>
      <c r="K753" s="7" t="n">
        <v>19389.39758098348</v>
      </c>
      <c r="L753" s="7" t="n">
        <v>-412.2833892579656</v>
      </c>
      <c r="M753" s="6" t="n">
        <v>-0.02126334186175646</v>
      </c>
      <c r="N753" s="7" t="n">
        <v>238.9353015700782</v>
      </c>
      <c r="O753" s="7" t="n">
        <v>-238.9353015700782</v>
      </c>
      <c r="P753" s="7" t="n">
        <v>23654.59485543774</v>
      </c>
      <c r="Q753" s="7" t="n">
        <v>24722.32098223535</v>
      </c>
      <c r="R753" s="7" t="n">
        <v>-1067.726126797614</v>
      </c>
      <c r="S753" s="6" t="n">
        <v>-0.04318874945296789</v>
      </c>
      <c r="T753" s="7" t="n">
        <v>7410.113010725858</v>
      </c>
      <c r="U753" s="7" t="n">
        <v>-7410.113010725858</v>
      </c>
      <c r="V753" s="7" t="n">
        <v>279715.3908677551</v>
      </c>
      <c r="W753" s="7" t="n">
        <v>342224.7219030766</v>
      </c>
      <c r="X753" s="7" t="n">
        <v>-62509.33103532146</v>
      </c>
      <c r="Y753" s="6" t="n">
        <v>-0.1826558019762964</v>
      </c>
      <c r="Z753" s="7" t="n">
        <v>69625.17562779202</v>
      </c>
      <c r="AA753" s="7" t="n">
        <v>-69625.17562779202</v>
      </c>
      <c r="AB753" s="7" t="n">
        <v>1279285.671333723</v>
      </c>
      <c r="AC753" s="7" t="n">
        <v>2111947.775025332</v>
      </c>
      <c r="AD753" s="7" t="n">
        <v>-832662.1036916093</v>
      </c>
      <c r="AE753" s="6" t="n">
        <v>-0.3942626392272516</v>
      </c>
    </row>
    <row r="754">
      <c r="A754" s="2" t="n">
        <v>745</v>
      </c>
      <c r="B754" s="2" t="inlineStr">
        <is>
          <t>KPROP-00745</t>
        </is>
      </c>
      <c r="C754" s="3" t="n">
        <v>46151</v>
      </c>
      <c r="D754" s="2" t="inlineStr">
        <is>
          <t>Aaron Nola</t>
        </is>
      </c>
      <c r="E754" s="2" t="inlineStr">
        <is>
          <t>Win</t>
        </is>
      </c>
      <c r="F754" s="2" t="n">
        <v>1.4</v>
      </c>
      <c r="G754" s="6" t="n">
        <v>0.2692862185286485</v>
      </c>
      <c r="H754" s="7" t="n">
        <v>100</v>
      </c>
      <c r="I754" s="7" t="n">
        <v>140</v>
      </c>
      <c r="J754" s="7" t="n">
        <v>19117.11419172552</v>
      </c>
      <c r="K754" s="7" t="n">
        <v>19389.39758098348</v>
      </c>
      <c r="L754" s="7" t="n">
        <v>-272.2833892579656</v>
      </c>
      <c r="M754" s="6" t="n">
        <v>-0.01404290092669061</v>
      </c>
      <c r="N754" s="7" t="n">
        <v>236.5459485543774</v>
      </c>
      <c r="O754" s="7" t="n">
        <v>331.1643279761283</v>
      </c>
      <c r="P754" s="7" t="n">
        <v>23985.75918341387</v>
      </c>
      <c r="Q754" s="7" t="n">
        <v>24722.32098223535</v>
      </c>
      <c r="R754" s="7" t="n">
        <v>-736.5617988214872</v>
      </c>
      <c r="S754" s="6" t="n">
        <v>-0.02979339194530951</v>
      </c>
      <c r="T754" s="7" t="n">
        <v>18830.87496776016</v>
      </c>
      <c r="U754" s="7" t="n">
        <v>26363.22495486422</v>
      </c>
      <c r="V754" s="7" t="n">
        <v>306078.6158226194</v>
      </c>
      <c r="W754" s="7" t="n">
        <v>342224.7219030766</v>
      </c>
      <c r="X754" s="7" t="n">
        <v>-36146.10608045722</v>
      </c>
      <c r="Y754" s="6" t="n">
        <v>-0.1056209670635494</v>
      </c>
      <c r="Z754" s="7" t="n">
        <v>172247.0004256709</v>
      </c>
      <c r="AA754" s="7" t="n">
        <v>241145.8005959392</v>
      </c>
      <c r="AB754" s="7" t="n">
        <v>1520431.471929662</v>
      </c>
      <c r="AC754" s="7" t="n">
        <v>2111947.775025332</v>
      </c>
      <c r="AD754" s="7" t="n">
        <v>-591516.3030956702</v>
      </c>
      <c r="AE754" s="6" t="n">
        <v>-0.2800809329144396</v>
      </c>
    </row>
    <row r="755">
      <c r="A755" s="2" t="n">
        <v>746</v>
      </c>
      <c r="B755" s="2" t="inlineStr">
        <is>
          <t>KPROP-00746</t>
        </is>
      </c>
      <c r="C755" s="3" t="n">
        <v>46151</v>
      </c>
      <c r="D755" s="2" t="inlineStr">
        <is>
          <t>Aaron Nola</t>
        </is>
      </c>
      <c r="E755" s="2" t="inlineStr">
        <is>
          <t>Win</t>
        </is>
      </c>
      <c r="F755" s="2" t="n">
        <v>0.6802721088435373</v>
      </c>
      <c r="G755" s="6" t="n">
        <v>0.3236181241697194</v>
      </c>
      <c r="H755" s="7" t="n">
        <v>100</v>
      </c>
      <c r="I755" s="7" t="n">
        <v>68.02721088435374</v>
      </c>
      <c r="J755" s="7" t="n">
        <v>19185.14140260987</v>
      </c>
      <c r="K755" s="7" t="n">
        <v>19389.39758098348</v>
      </c>
      <c r="L755" s="7" t="n">
        <v>-204.2561783736128</v>
      </c>
      <c r="M755" s="6" t="n">
        <v>-0.01053442622549247</v>
      </c>
      <c r="N755" s="7" t="n">
        <v>239.8575918341387</v>
      </c>
      <c r="O755" s="7" t="n">
        <v>163.1684298191419</v>
      </c>
      <c r="P755" s="7" t="n">
        <v>24148.92761323301</v>
      </c>
      <c r="Q755" s="7" t="n">
        <v>24722.32098223535</v>
      </c>
      <c r="R755" s="7" t="n">
        <v>-573.3933690023441</v>
      </c>
      <c r="S755" s="6" t="n">
        <v>-0.02319334699255647</v>
      </c>
      <c r="T755" s="7" t="n">
        <v>24763.14687524506</v>
      </c>
      <c r="U755" s="7" t="n">
        <v>16845.67814642521</v>
      </c>
      <c r="V755" s="7" t="n">
        <v>322924.2939690446</v>
      </c>
      <c r="W755" s="7" t="n">
        <v>342224.7219030766</v>
      </c>
      <c r="X755" s="7" t="n">
        <v>-19300.42793403199</v>
      </c>
      <c r="Y755" s="6" t="n">
        <v>-0.05639694241463414</v>
      </c>
      <c r="Z755" s="7" t="n">
        <v>246019.5904372413</v>
      </c>
      <c r="AA755" s="7" t="n">
        <v>167360.2656035655</v>
      </c>
      <c r="AB755" s="7" t="n">
        <v>1687791.737533228</v>
      </c>
      <c r="AC755" s="7" t="n">
        <v>2111947.775025332</v>
      </c>
      <c r="AD755" s="7" t="n">
        <v>-424156.0374921048</v>
      </c>
      <c r="AE755" s="6" t="n">
        <v>-0.2008364233755814</v>
      </c>
    </row>
    <row r="756">
      <c r="A756" s="2" t="n">
        <v>747</v>
      </c>
      <c r="B756" s="2" t="inlineStr">
        <is>
          <t>KPROP-00747</t>
        </is>
      </c>
      <c r="C756" s="3" t="n">
        <v>46151</v>
      </c>
      <c r="D756" s="2" t="inlineStr">
        <is>
          <t>Janson Junk</t>
        </is>
      </c>
      <c r="E756" s="2" t="inlineStr">
        <is>
          <t>Loss</t>
        </is>
      </c>
      <c r="F756" s="2" t="n">
        <v>-1</v>
      </c>
      <c r="G756" s="6" t="n">
        <v>0.06745883595311639</v>
      </c>
      <c r="H756" s="7" t="n">
        <v>100</v>
      </c>
      <c r="I756" s="7" t="n">
        <v>-100</v>
      </c>
      <c r="J756" s="7" t="n">
        <v>19085.14140260987</v>
      </c>
      <c r="K756" s="7" t="n">
        <v>19389.39758098348</v>
      </c>
      <c r="L756" s="7" t="n">
        <v>-304.2561783736128</v>
      </c>
      <c r="M756" s="6" t="n">
        <v>-0.0156918840362538</v>
      </c>
      <c r="N756" s="7" t="n">
        <v>241.4892761323301</v>
      </c>
      <c r="O756" s="7" t="n">
        <v>-241.4892761323301</v>
      </c>
      <c r="P756" s="7" t="n">
        <v>23907.43833710068</v>
      </c>
      <c r="Q756" s="7" t="n">
        <v>24722.32098223535</v>
      </c>
      <c r="R756" s="7" t="n">
        <v>-814.8826451346758</v>
      </c>
      <c r="S756" s="6" t="n">
        <v>-0.03296141352263098</v>
      </c>
      <c r="T756" s="7" t="n">
        <v>5446.024243033427</v>
      </c>
      <c r="U756" s="7" t="n">
        <v>-5446.024243033427</v>
      </c>
      <c r="V756" s="7" t="n">
        <v>317478.2697260111</v>
      </c>
      <c r="W756" s="7" t="n">
        <v>342224.7219030766</v>
      </c>
      <c r="X756" s="7" t="n">
        <v>-24746.45217706542</v>
      </c>
      <c r="Y756" s="6" t="n">
        <v>-0.07231053338126171</v>
      </c>
      <c r="Z756" s="7" t="n">
        <v>56928.23297263963</v>
      </c>
      <c r="AA756" s="7" t="n">
        <v>-56928.23297263963</v>
      </c>
      <c r="AB756" s="7" t="n">
        <v>1630863.504560588</v>
      </c>
      <c r="AC756" s="7" t="n">
        <v>2111947.775025332</v>
      </c>
      <c r="AD756" s="7" t="n">
        <v>-481084.2704647444</v>
      </c>
      <c r="AE756" s="6" t="n">
        <v>-0.2277917456831876</v>
      </c>
    </row>
    <row r="757">
      <c r="A757" s="2" t="n">
        <v>748</v>
      </c>
      <c r="B757" s="2" t="inlineStr">
        <is>
          <t>KPROP-00748</t>
        </is>
      </c>
      <c r="C757" s="3" t="n">
        <v>46151</v>
      </c>
      <c r="D757" s="2" t="inlineStr">
        <is>
          <t>Kyle Freeland</t>
        </is>
      </c>
      <c r="E757" s="2" t="inlineStr">
        <is>
          <t>Win</t>
        </is>
      </c>
      <c r="F757" s="2" t="n">
        <v>1.1</v>
      </c>
      <c r="G757" s="6" t="n">
        <v>0.2384991090414855</v>
      </c>
      <c r="H757" s="7" t="n">
        <v>100</v>
      </c>
      <c r="I757" s="7" t="n">
        <v>110</v>
      </c>
      <c r="J757" s="7" t="n">
        <v>19195.14140260987</v>
      </c>
      <c r="K757" s="7" t="n">
        <v>19389.39758098348</v>
      </c>
      <c r="L757" s="7" t="n">
        <v>-194.2561783736128</v>
      </c>
      <c r="M757" s="6" t="n">
        <v>-0.01001868044441634</v>
      </c>
      <c r="N757" s="7" t="n">
        <v>239.0743833710068</v>
      </c>
      <c r="O757" s="7" t="n">
        <v>262.9818217081075</v>
      </c>
      <c r="P757" s="7" t="n">
        <v>24170.42015880879</v>
      </c>
      <c r="Q757" s="7" t="n">
        <v>24722.32098223535</v>
      </c>
      <c r="R757" s="7" t="n">
        <v>-551.9008234265675</v>
      </c>
      <c r="S757" s="6" t="n">
        <v>-0.02232398907137988</v>
      </c>
      <c r="T757" s="7" t="n">
        <v>18929.57111742152</v>
      </c>
      <c r="U757" s="7" t="n">
        <v>20822.52822916368</v>
      </c>
      <c r="V757" s="7" t="n">
        <v>338300.7979551748</v>
      </c>
      <c r="W757" s="7" t="n">
        <v>342224.7219030766</v>
      </c>
      <c r="X757" s="7" t="n">
        <v>-3923.923947901756</v>
      </c>
      <c r="Y757" s="6" t="n">
        <v>-0.01146592778593322</v>
      </c>
      <c r="Z757" s="7" t="n">
        <v>194479.7464029875</v>
      </c>
      <c r="AA757" s="7" t="n">
        <v>213927.7210432862</v>
      </c>
      <c r="AB757" s="7" t="n">
        <v>1844791.225603874</v>
      </c>
      <c r="AC757" s="7" t="n">
        <v>2111947.775025332</v>
      </c>
      <c r="AD757" s="7" t="n">
        <v>-267156.5494214583</v>
      </c>
      <c r="AE757" s="6" t="n">
        <v>-0.1264977063262153</v>
      </c>
    </row>
    <row r="758">
      <c r="A758" s="2" t="n">
        <v>749</v>
      </c>
      <c r="B758" s="2" t="inlineStr">
        <is>
          <t>KPROP-00749</t>
        </is>
      </c>
      <c r="C758" s="3" t="n">
        <v>46151</v>
      </c>
      <c r="D758" s="2" t="inlineStr">
        <is>
          <t>Tanner Bibee</t>
        </is>
      </c>
      <c r="E758" s="2" t="inlineStr">
        <is>
          <t>Loss</t>
        </is>
      </c>
      <c r="F758" s="2" t="n">
        <v>-1</v>
      </c>
      <c r="G758" s="6" t="n">
        <v>0.1718269834666433</v>
      </c>
      <c r="H758" s="7" t="n">
        <v>100</v>
      </c>
      <c r="I758" s="7" t="n">
        <v>-100</v>
      </c>
      <c r="J758" s="7" t="n">
        <v>19095.14140260987</v>
      </c>
      <c r="K758" s="7" t="n">
        <v>19389.39758098348</v>
      </c>
      <c r="L758" s="7" t="n">
        <v>-294.2561783736128</v>
      </c>
      <c r="M758" s="6" t="n">
        <v>-0.01517613825517767</v>
      </c>
      <c r="N758" s="7" t="n">
        <v>241.7042015880879</v>
      </c>
      <c r="O758" s="7" t="n">
        <v>-241.7042015880879</v>
      </c>
      <c r="P758" s="7" t="n">
        <v>23928.7159572207</v>
      </c>
      <c r="Q758" s="7" t="n">
        <v>24722.32098223535</v>
      </c>
      <c r="R758" s="7" t="n">
        <v>-793.6050250146545</v>
      </c>
      <c r="S758" s="6" t="n">
        <v>-0.03210074918066605</v>
      </c>
      <c r="T758" s="7" t="n">
        <v>14532.30140424901</v>
      </c>
      <c r="U758" s="7" t="n">
        <v>-14532.30140424901</v>
      </c>
      <c r="V758" s="7" t="n">
        <v>323768.4965509258</v>
      </c>
      <c r="W758" s="7" t="n">
        <v>342224.7219030766</v>
      </c>
      <c r="X758" s="7" t="n">
        <v>-18456.2253521508</v>
      </c>
      <c r="Y758" s="6" t="n">
        <v>-0.0539301347065683</v>
      </c>
      <c r="Z758" s="7" t="n">
        <v>158492.4557106227</v>
      </c>
      <c r="AA758" s="7" t="n">
        <v>-158492.4557106227</v>
      </c>
      <c r="AB758" s="7" t="n">
        <v>1686298.769893251</v>
      </c>
      <c r="AC758" s="7" t="n">
        <v>2111947.775025332</v>
      </c>
      <c r="AD758" s="7" t="n">
        <v>-425649.005132081</v>
      </c>
      <c r="AE758" s="6" t="n">
        <v>-0.2015433384127955</v>
      </c>
    </row>
    <row r="759">
      <c r="A759" s="2" t="n">
        <v>750</v>
      </c>
      <c r="B759" s="2" t="inlineStr">
        <is>
          <t>KPROP-00750</t>
        </is>
      </c>
      <c r="C759" s="3" t="n">
        <v>46152</v>
      </c>
      <c r="D759" s="2" t="inlineStr">
        <is>
          <t>Gavin Williams</t>
        </is>
      </c>
      <c r="E759" s="2" t="inlineStr">
        <is>
          <t>Win</t>
        </is>
      </c>
      <c r="F759" s="2" t="n">
        <v>1.25</v>
      </c>
      <c r="G759" s="6" t="n">
        <v>0.2427114545510639</v>
      </c>
      <c r="H759" s="7" t="n">
        <v>100</v>
      </c>
      <c r="I759" s="7" t="n">
        <v>125</v>
      </c>
      <c r="J759" s="7" t="n">
        <v>19220.14140260987</v>
      </c>
      <c r="K759" s="7" t="n">
        <v>19389.39758098348</v>
      </c>
      <c r="L759" s="7" t="n">
        <v>-169.2561783736128</v>
      </c>
      <c r="M759" s="6" t="n">
        <v>-0.008729315991726012</v>
      </c>
      <c r="N759" s="7" t="n">
        <v>239.287159572207</v>
      </c>
      <c r="O759" s="7" t="n">
        <v>299.1089494652587</v>
      </c>
      <c r="P759" s="7" t="n">
        <v>24227.82490668596</v>
      </c>
      <c r="Q759" s="7" t="n">
        <v>24722.32098223535</v>
      </c>
      <c r="R759" s="7" t="n">
        <v>-494.4960755493958</v>
      </c>
      <c r="S759" s="6" t="n">
        <v>-0.02000200854542437</v>
      </c>
      <c r="T759" s="7" t="n">
        <v>19645.58068392158</v>
      </c>
      <c r="U759" s="7" t="n">
        <v>24556.97585490197</v>
      </c>
      <c r="V759" s="7" t="n">
        <v>348325.4724058277</v>
      </c>
      <c r="W759" s="7" t="n">
        <v>348325.4724058277</v>
      </c>
      <c r="X759" s="7" t="n">
        <v>0</v>
      </c>
      <c r="Y759" s="6" t="n">
        <v>0</v>
      </c>
      <c r="Z759" s="7" t="n">
        <v>204642.0136242304</v>
      </c>
      <c r="AA759" s="7" t="n">
        <v>255802.517030288</v>
      </c>
      <c r="AB759" s="7" t="n">
        <v>1942101.286923539</v>
      </c>
      <c r="AC759" s="7" t="n">
        <v>2111947.775025332</v>
      </c>
      <c r="AD759" s="7" t="n">
        <v>-169846.488101793</v>
      </c>
      <c r="AE759" s="6" t="n">
        <v>-0.08042172733165985</v>
      </c>
    </row>
    <row r="760">
      <c r="A760" s="2" t="n">
        <v>751</v>
      </c>
      <c r="B760" s="2" t="inlineStr">
        <is>
          <t>KPROP-00751</t>
        </is>
      </c>
      <c r="C760" s="3" t="n">
        <v>46152</v>
      </c>
      <c r="D760" s="2" t="inlineStr">
        <is>
          <t>Gavin Williams</t>
        </is>
      </c>
      <c r="E760" s="2" t="inlineStr">
        <is>
          <t>Win</t>
        </is>
      </c>
      <c r="F760" s="2" t="n">
        <v>0.6289308176100628</v>
      </c>
      <c r="G760" s="6" t="n">
        <v>0.2760850734853739</v>
      </c>
      <c r="H760" s="7" t="n">
        <v>100</v>
      </c>
      <c r="I760" s="7" t="n">
        <v>62.89308176100627</v>
      </c>
      <c r="J760" s="7" t="n">
        <v>19283.03448437088</v>
      </c>
      <c r="K760" s="7" t="n">
        <v>19389.39758098348</v>
      </c>
      <c r="L760" s="7" t="n">
        <v>-106.3630966126075</v>
      </c>
      <c r="M760" s="6" t="n">
        <v>-0.005485631834014538</v>
      </c>
      <c r="N760" s="7" t="n">
        <v>242.2782490668596</v>
      </c>
      <c r="O760" s="7" t="n">
        <v>152.3762572747544</v>
      </c>
      <c r="P760" s="7" t="n">
        <v>24380.20116396071</v>
      </c>
      <c r="Q760" s="7" t="n">
        <v>24722.32098223535</v>
      </c>
      <c r="R760" s="7" t="n">
        <v>-342.1198182746411</v>
      </c>
      <c r="S760" s="6" t="n">
        <v>-0.01383849916520691</v>
      </c>
      <c r="T760" s="7" t="n">
        <v>24041.86591149763</v>
      </c>
      <c r="U760" s="7" t="n">
        <v>15120.6703845897</v>
      </c>
      <c r="V760" s="7" t="n">
        <v>363446.1427904174</v>
      </c>
      <c r="W760" s="7" t="n">
        <v>363446.1427904174</v>
      </c>
      <c r="X760" s="7" t="n">
        <v>0</v>
      </c>
      <c r="Y760" s="6" t="n">
        <v>0</v>
      </c>
      <c r="Z760" s="7" t="n">
        <v>268092.5882581623</v>
      </c>
      <c r="AA760" s="7" t="n">
        <v>168611.6907284039</v>
      </c>
      <c r="AB760" s="7" t="n">
        <v>2110712.977651943</v>
      </c>
      <c r="AC760" s="7" t="n">
        <v>2111947.775025332</v>
      </c>
      <c r="AD760" s="7" t="n">
        <v>-1234.797373388894</v>
      </c>
      <c r="AE760" s="6" t="n">
        <v>-0.0005846723048698885</v>
      </c>
    </row>
    <row r="761">
      <c r="A761" s="2" t="n">
        <v>752</v>
      </c>
      <c r="B761" s="2" t="inlineStr">
        <is>
          <t>KPROP-00752</t>
        </is>
      </c>
      <c r="C761" s="3" t="n">
        <v>46152</v>
      </c>
      <c r="D761" s="2" t="inlineStr">
        <is>
          <t>Jacob deGrom</t>
        </is>
      </c>
      <c r="E761" s="2" t="inlineStr">
        <is>
          <t>Loss</t>
        </is>
      </c>
      <c r="F761" s="2" t="n">
        <v>-1</v>
      </c>
      <c r="G761" s="6" t="n">
        <v>0.1097687590860177</v>
      </c>
      <c r="H761" s="7" t="n">
        <v>100</v>
      </c>
      <c r="I761" s="7" t="n">
        <v>-100</v>
      </c>
      <c r="J761" s="7" t="n">
        <v>19183.03448437088</v>
      </c>
      <c r="K761" s="7" t="n">
        <v>19389.39758098348</v>
      </c>
      <c r="L761" s="7" t="n">
        <v>-206.3630966126075</v>
      </c>
      <c r="M761" s="6" t="n">
        <v>-0.01064308964477586</v>
      </c>
      <c r="N761" s="7" t="n">
        <v>243.8020116396071</v>
      </c>
      <c r="O761" s="7" t="n">
        <v>-243.8020116396071</v>
      </c>
      <c r="P761" s="7" t="n">
        <v>24136.3991523211</v>
      </c>
      <c r="Q761" s="7" t="n">
        <v>24722.32098223535</v>
      </c>
      <c r="R761" s="7" t="n">
        <v>-585.9218299142485</v>
      </c>
      <c r="S761" s="6" t="n">
        <v>-0.02370011417355485</v>
      </c>
      <c r="T761" s="7" t="n">
        <v>9973.758022175925</v>
      </c>
      <c r="U761" s="7" t="n">
        <v>-9973.758022175925</v>
      </c>
      <c r="V761" s="7" t="n">
        <v>353472.3847682415</v>
      </c>
      <c r="W761" s="7" t="n">
        <v>363446.1427904174</v>
      </c>
      <c r="X761" s="7" t="n">
        <v>-9973.758022175927</v>
      </c>
      <c r="Y761" s="6" t="n">
        <v>-0.02744218977150442</v>
      </c>
      <c r="Z761" s="7" t="n">
        <v>115845.1721718036</v>
      </c>
      <c r="AA761" s="7" t="n">
        <v>-115845.1721718036</v>
      </c>
      <c r="AB761" s="7" t="n">
        <v>1994867.80548014</v>
      </c>
      <c r="AC761" s="7" t="n">
        <v>2111947.775025332</v>
      </c>
      <c r="AD761" s="7" t="n">
        <v>-117079.9695451926</v>
      </c>
      <c r="AE761" s="6" t="n">
        <v>-0.05543696247118999</v>
      </c>
    </row>
    <row r="762">
      <c r="A762" s="2" t="n">
        <v>753</v>
      </c>
      <c r="B762" s="2" t="inlineStr">
        <is>
          <t>KPROP-00753</t>
        </is>
      </c>
      <c r="C762" s="3" t="n">
        <v>46152</v>
      </c>
      <c r="D762" s="2" t="inlineStr">
        <is>
          <t>Jameson Taillon</t>
        </is>
      </c>
      <c r="E762" s="2" t="inlineStr">
        <is>
          <t>Win</t>
        </is>
      </c>
      <c r="F762" s="2" t="n">
        <v>1.01</v>
      </c>
      <c r="G762" s="6" t="n">
        <v>0.07309194534392223</v>
      </c>
      <c r="H762" s="7" t="n">
        <v>100</v>
      </c>
      <c r="I762" s="7" t="n">
        <v>101</v>
      </c>
      <c r="J762" s="7" t="n">
        <v>19284.03448437088</v>
      </c>
      <c r="K762" s="7" t="n">
        <v>19389.39758098348</v>
      </c>
      <c r="L762" s="7" t="n">
        <v>-105.3630966126075</v>
      </c>
      <c r="M762" s="6" t="n">
        <v>-0.005434057255906925</v>
      </c>
      <c r="N762" s="7" t="n">
        <v>241.363991523211</v>
      </c>
      <c r="O762" s="7" t="n">
        <v>243.7776314384431</v>
      </c>
      <c r="P762" s="7" t="n">
        <v>24380.17678375955</v>
      </c>
      <c r="Q762" s="7" t="n">
        <v>24722.32098223535</v>
      </c>
      <c r="R762" s="7" t="n">
        <v>-342.1441984758058</v>
      </c>
      <c r="S762" s="6" t="n">
        <v>-0.01383948532670777</v>
      </c>
      <c r="T762" s="7" t="n">
        <v>6458.996057016539</v>
      </c>
      <c r="U762" s="7" t="n">
        <v>6523.586017586703</v>
      </c>
      <c r="V762" s="7" t="n">
        <v>359995.9707858282</v>
      </c>
      <c r="W762" s="7" t="n">
        <v>363446.1427904174</v>
      </c>
      <c r="X762" s="7" t="n">
        <v>-3450.172004589229</v>
      </c>
      <c r="Y762" s="6" t="n">
        <v>-0.009492938838475398</v>
      </c>
      <c r="Z762" s="7" t="n">
        <v>72904.38430325223</v>
      </c>
      <c r="AA762" s="7" t="n">
        <v>73633.42814628473</v>
      </c>
      <c r="AB762" s="7" t="n">
        <v>2068501.233626425</v>
      </c>
      <c r="AC762" s="7" t="n">
        <v>2111947.775025332</v>
      </c>
      <c r="AD762" s="7" t="n">
        <v>-43446.54139890778</v>
      </c>
      <c r="AE762" s="6" t="n">
        <v>-0.02057178776515279</v>
      </c>
    </row>
    <row r="763">
      <c r="A763" s="2" t="n">
        <v>754</v>
      </c>
      <c r="B763" s="2" t="inlineStr">
        <is>
          <t>KPROP-00754</t>
        </is>
      </c>
      <c r="C763" s="3" t="n">
        <v>46152</v>
      </c>
      <c r="D763" s="2" t="inlineStr">
        <is>
          <t>José Soriano</t>
        </is>
      </c>
      <c r="E763" s="2" t="inlineStr">
        <is>
          <t>Loss</t>
        </is>
      </c>
      <c r="F763" s="2" t="n">
        <v>-1</v>
      </c>
      <c r="G763" s="6" t="n">
        <v>0.1646354044590217</v>
      </c>
      <c r="H763" s="7" t="n">
        <v>100</v>
      </c>
      <c r="I763" s="7" t="n">
        <v>-100</v>
      </c>
      <c r="J763" s="7" t="n">
        <v>19184.03448437088</v>
      </c>
      <c r="K763" s="7" t="n">
        <v>19389.39758098348</v>
      </c>
      <c r="L763" s="7" t="n">
        <v>-205.3630966126075</v>
      </c>
      <c r="M763" s="6" t="n">
        <v>-0.01059151506666825</v>
      </c>
      <c r="N763" s="7" t="n">
        <v>243.8017678375955</v>
      </c>
      <c r="O763" s="7" t="n">
        <v>-243.8017678375955</v>
      </c>
      <c r="P763" s="7" t="n">
        <v>24136.37501592195</v>
      </c>
      <c r="Q763" s="7" t="n">
        <v>24722.32098223535</v>
      </c>
      <c r="R763" s="7" t="n">
        <v>-585.9459663134003</v>
      </c>
      <c r="S763" s="6" t="n">
        <v>-0.02370109047344065</v>
      </c>
      <c r="T763" s="7" t="n">
        <v>14817.02056348574</v>
      </c>
      <c r="U763" s="7" t="n">
        <v>-14817.02056348574</v>
      </c>
      <c r="V763" s="7" t="n">
        <v>345178.9502223424</v>
      </c>
      <c r="W763" s="7" t="n">
        <v>363446.1427904174</v>
      </c>
      <c r="X763" s="7" t="n">
        <v>-18267.19256807497</v>
      </c>
      <c r="Y763" s="6" t="n">
        <v>-0.05026107149693652</v>
      </c>
      <c r="Z763" s="7" t="n">
        <v>170274.2686110358</v>
      </c>
      <c r="AA763" s="7" t="n">
        <v>-170274.2686110358</v>
      </c>
      <c r="AB763" s="7" t="n">
        <v>1898226.965015389</v>
      </c>
      <c r="AC763" s="7" t="n">
        <v>2111947.775025332</v>
      </c>
      <c r="AD763" s="7" t="n">
        <v>-213720.8100099436</v>
      </c>
      <c r="AE763" s="6" t="n">
        <v>-0.101196067695083</v>
      </c>
    </row>
    <row r="764">
      <c r="A764" s="2" t="n">
        <v>755</v>
      </c>
      <c r="B764" s="2" t="inlineStr">
        <is>
          <t>KPROP-00755</t>
        </is>
      </c>
      <c r="C764" s="3" t="n">
        <v>46152</v>
      </c>
      <c r="D764" s="2" t="inlineStr">
        <is>
          <t>Kyle Leahy</t>
        </is>
      </c>
      <c r="E764" s="2" t="inlineStr">
        <is>
          <t>Loss</t>
        </is>
      </c>
      <c r="F764" s="2" t="n">
        <v>-1</v>
      </c>
      <c r="G764" s="6" t="n">
        <v>0.1835030384808689</v>
      </c>
      <c r="H764" s="7" t="n">
        <v>100</v>
      </c>
      <c r="I764" s="7" t="n">
        <v>-100</v>
      </c>
      <c r="J764" s="7" t="n">
        <v>19084.03448437088</v>
      </c>
      <c r="K764" s="7" t="n">
        <v>19389.39758098348</v>
      </c>
      <c r="L764" s="7" t="n">
        <v>-305.3630966126075</v>
      </c>
      <c r="M764" s="6" t="n">
        <v>-0.01574897287742957</v>
      </c>
      <c r="N764" s="7" t="n">
        <v>241.3637501592195</v>
      </c>
      <c r="O764" s="7" t="n">
        <v>-241.3637501592195</v>
      </c>
      <c r="P764" s="7" t="n">
        <v>23895.01126576273</v>
      </c>
      <c r="Q764" s="7" t="n">
        <v>24722.32098223535</v>
      </c>
      <c r="R764" s="7" t="n">
        <v>-827.3097164726205</v>
      </c>
      <c r="S764" s="6" t="n">
        <v>-0.03346407956870628</v>
      </c>
      <c r="T764" s="7" t="n">
        <v>15835.34654635911</v>
      </c>
      <c r="U764" s="7" t="n">
        <v>-15835.34654635911</v>
      </c>
      <c r="V764" s="7" t="n">
        <v>329343.6036759833</v>
      </c>
      <c r="W764" s="7" t="n">
        <v>363446.1427904174</v>
      </c>
      <c r="X764" s="7" t="n">
        <v>-34102.5391144341</v>
      </c>
      <c r="Y764" s="6" t="n">
        <v>-0.09383106628290579</v>
      </c>
      <c r="Z764" s="7" t="n">
        <v>174165.2079033209</v>
      </c>
      <c r="AA764" s="7" t="n">
        <v>-174165.2079033209</v>
      </c>
      <c r="AB764" s="7" t="n">
        <v>1724061.757112068</v>
      </c>
      <c r="AC764" s="7" t="n">
        <v>2111947.775025332</v>
      </c>
      <c r="AD764" s="7" t="n">
        <v>-387886.0179132645</v>
      </c>
      <c r="AE764" s="6" t="n">
        <v>-0.1836626939833358</v>
      </c>
    </row>
    <row r="765">
      <c r="A765" s="2" t="n">
        <v>756</v>
      </c>
      <c r="B765" s="2" t="inlineStr">
        <is>
          <t>KPROP-00756</t>
        </is>
      </c>
      <c r="C765" s="3" t="n">
        <v>46152</v>
      </c>
      <c r="D765" s="2" t="inlineStr">
        <is>
          <t>Logan Gilbert</t>
        </is>
      </c>
      <c r="E765" s="2" t="inlineStr">
        <is>
          <t>Loss</t>
        </is>
      </c>
      <c r="F765" s="2" t="n">
        <v>-1</v>
      </c>
      <c r="G765" s="6" t="n">
        <v>0.09551662352464636</v>
      </c>
      <c r="H765" s="7" t="n">
        <v>100</v>
      </c>
      <c r="I765" s="7" t="n">
        <v>-100</v>
      </c>
      <c r="J765" s="7" t="n">
        <v>18984.03448437088</v>
      </c>
      <c r="K765" s="7" t="n">
        <v>19389.39758098348</v>
      </c>
      <c r="L765" s="7" t="n">
        <v>-405.3630966126075</v>
      </c>
      <c r="M765" s="6" t="n">
        <v>-0.0209064306881909</v>
      </c>
      <c r="N765" s="7" t="n">
        <v>238.9501126576273</v>
      </c>
      <c r="O765" s="7" t="n">
        <v>-238.9501126576273</v>
      </c>
      <c r="P765" s="7" t="n">
        <v>23656.0611531051</v>
      </c>
      <c r="Q765" s="7" t="n">
        <v>24722.32098223535</v>
      </c>
      <c r="R765" s="7" t="n">
        <v>-1066.259829130249</v>
      </c>
      <c r="S765" s="6" t="n">
        <v>-0.04312943877301927</v>
      </c>
      <c r="T765" s="7" t="n">
        <v>7864.447250642309</v>
      </c>
      <c r="U765" s="7" t="n">
        <v>-7864.447250642309</v>
      </c>
      <c r="V765" s="7" t="n">
        <v>321479.156425341</v>
      </c>
      <c r="W765" s="7" t="n">
        <v>363446.1427904174</v>
      </c>
      <c r="X765" s="7" t="n">
        <v>-41966.98636507639</v>
      </c>
      <c r="Y765" s="6" t="n">
        <v>-0.1154696155058022</v>
      </c>
      <c r="Z765" s="7" t="n">
        <v>82338.27889365684</v>
      </c>
      <c r="AA765" s="7" t="n">
        <v>-82338.27889365684</v>
      </c>
      <c r="AB765" s="7" t="n">
        <v>1641723.478218411</v>
      </c>
      <c r="AC765" s="7" t="n">
        <v>2111947.775025332</v>
      </c>
      <c r="AD765" s="7" t="n">
        <v>-470224.2968069213</v>
      </c>
      <c r="AE765" s="6" t="n">
        <v>-0.2226495855472946</v>
      </c>
    </row>
    <row r="766">
      <c r="A766" s="2" t="n">
        <v>757</v>
      </c>
      <c r="B766" s="2" t="inlineStr">
        <is>
          <t>KPROP-00757</t>
        </is>
      </c>
      <c r="C766" s="3" t="n">
        <v>46152</v>
      </c>
      <c r="D766" s="2" t="inlineStr">
        <is>
          <t>Logan Gilbert</t>
        </is>
      </c>
      <c r="E766" s="2" t="inlineStr">
        <is>
          <t>Loss</t>
        </is>
      </c>
      <c r="F766" s="2" t="n">
        <v>-1</v>
      </c>
      <c r="G766" s="6" t="n">
        <v>0.133921323468548</v>
      </c>
      <c r="H766" s="7" t="n">
        <v>100</v>
      </c>
      <c r="I766" s="7" t="n">
        <v>-100</v>
      </c>
      <c r="J766" s="7" t="n">
        <v>18884.03448437088</v>
      </c>
      <c r="K766" s="7" t="n">
        <v>19389.39758098348</v>
      </c>
      <c r="L766" s="7" t="n">
        <v>-505.3630966126075</v>
      </c>
      <c r="M766" s="6" t="n">
        <v>-0.02606388849895222</v>
      </c>
      <c r="N766" s="7" t="n">
        <v>236.5606115310511</v>
      </c>
      <c r="O766" s="7" t="n">
        <v>-236.5606115310511</v>
      </c>
      <c r="P766" s="7" t="n">
        <v>23419.50054157405</v>
      </c>
      <c r="Q766" s="7" t="n">
        <v>24722.32098223535</v>
      </c>
      <c r="R766" s="7" t="n">
        <v>-1302.8204406613</v>
      </c>
      <c r="S766" s="6" t="n">
        <v>-0.05269814438528908</v>
      </c>
      <c r="T766" s="7" t="n">
        <v>10763.22852400851</v>
      </c>
      <c r="U766" s="7" t="n">
        <v>-10763.22852400851</v>
      </c>
      <c r="V766" s="7" t="n">
        <v>310715.9279013325</v>
      </c>
      <c r="W766" s="7" t="n">
        <v>363446.1427904174</v>
      </c>
      <c r="X766" s="7" t="n">
        <v>-52730.21488908492</v>
      </c>
      <c r="Y766" s="6" t="n">
        <v>-0.1450839854407039</v>
      </c>
      <c r="Z766" s="7" t="n">
        <v>109930.8904861988</v>
      </c>
      <c r="AA766" s="7" t="n">
        <v>-109930.8904861988</v>
      </c>
      <c r="AB766" s="7" t="n">
        <v>1531792.587732212</v>
      </c>
      <c r="AC766" s="7" t="n">
        <v>2111947.775025332</v>
      </c>
      <c r="AD766" s="7" t="n">
        <v>-580155.18729312</v>
      </c>
      <c r="AE766" s="6" t="n">
        <v>-0.2747014836984599</v>
      </c>
    </row>
    <row r="767">
      <c r="A767" s="2" t="n">
        <v>758</v>
      </c>
      <c r="B767" s="2" t="inlineStr">
        <is>
          <t>KPROP-00758</t>
        </is>
      </c>
      <c r="C767" s="3" t="n">
        <v>46153</v>
      </c>
      <c r="D767" s="2" t="inlineStr">
        <is>
          <t>Kevin Gausman</t>
        </is>
      </c>
      <c r="E767" s="2" t="inlineStr">
        <is>
          <t>Loss</t>
        </is>
      </c>
      <c r="F767" s="2" t="n">
        <v>-1</v>
      </c>
      <c r="G767" s="6" t="n">
        <v>0.1018290602657833</v>
      </c>
      <c r="H767" s="7" t="n">
        <v>100</v>
      </c>
      <c r="I767" s="7" t="n">
        <v>-100</v>
      </c>
      <c r="J767" s="7" t="n">
        <v>18784.03448437088</v>
      </c>
      <c r="K767" s="7" t="n">
        <v>19389.39758098348</v>
      </c>
      <c r="L767" s="7" t="n">
        <v>-605.3630966126075</v>
      </c>
      <c r="M767" s="6" t="n">
        <v>-0.03122134630971355</v>
      </c>
      <c r="N767" s="7" t="n">
        <v>234.1950054157405</v>
      </c>
      <c r="O767" s="7" t="n">
        <v>-234.1950054157405</v>
      </c>
      <c r="P767" s="7" t="n">
        <v>23185.30553615831</v>
      </c>
      <c r="Q767" s="7" t="n">
        <v>24722.32098223535</v>
      </c>
      <c r="R767" s="7" t="n">
        <v>-1537.015446077043</v>
      </c>
      <c r="S767" s="6" t="n">
        <v>-0.06217116294143626</v>
      </c>
      <c r="T767" s="7" t="n">
        <v>7909.977736950891</v>
      </c>
      <c r="U767" s="7" t="n">
        <v>-7909.977736950891</v>
      </c>
      <c r="V767" s="7" t="n">
        <v>302805.9501643816</v>
      </c>
      <c r="W767" s="7" t="n">
        <v>363446.1427904174</v>
      </c>
      <c r="X767" s="7" t="n">
        <v>-60640.19262603583</v>
      </c>
      <c r="Y767" s="6" t="n">
        <v>-0.1668478090328894</v>
      </c>
      <c r="Z767" s="7" t="n">
        <v>77990.4998654318</v>
      </c>
      <c r="AA767" s="7" t="n">
        <v>-77990.4998654318</v>
      </c>
      <c r="AB767" s="7" t="n">
        <v>1453802.087866781</v>
      </c>
      <c r="AC767" s="7" t="n">
        <v>2111947.775025332</v>
      </c>
      <c r="AD767" s="7" t="n">
        <v>-658145.6871585518</v>
      </c>
      <c r="AE767" s="6" t="n">
        <v>-0.3116297168620363</v>
      </c>
    </row>
    <row r="768">
      <c r="A768" s="2" t="n">
        <v>759</v>
      </c>
      <c r="B768" s="2" t="inlineStr">
        <is>
          <t>KPROP-00759</t>
        </is>
      </c>
      <c r="C768" s="3" t="n">
        <v>46153</v>
      </c>
      <c r="D768" s="2" t="inlineStr">
        <is>
          <t>Kevin Gausman</t>
        </is>
      </c>
      <c r="E768" s="2" t="inlineStr">
        <is>
          <t>Win</t>
        </is>
      </c>
      <c r="F768" s="2" t="n">
        <v>0.625</v>
      </c>
      <c r="G768" s="6" t="n">
        <v>0.1407607550387097</v>
      </c>
      <c r="H768" s="7" t="n">
        <v>100</v>
      </c>
      <c r="I768" s="7" t="n">
        <v>62.5</v>
      </c>
      <c r="J768" s="7" t="n">
        <v>18846.53448437088</v>
      </c>
      <c r="K768" s="7" t="n">
        <v>19389.39758098348</v>
      </c>
      <c r="L768" s="7" t="n">
        <v>-542.8630966126075</v>
      </c>
      <c r="M768" s="6" t="n">
        <v>-0.02799793517798772</v>
      </c>
      <c r="N768" s="7" t="n">
        <v>231.8530553615831</v>
      </c>
      <c r="O768" s="7" t="n">
        <v>144.9081596009894</v>
      </c>
      <c r="P768" s="7" t="n">
        <v>23330.2136957593</v>
      </c>
      <c r="Q768" s="7" t="n">
        <v>24722.32098223535</v>
      </c>
      <c r="R768" s="7" t="n">
        <v>-1392.107286476054</v>
      </c>
      <c r="S768" s="6" t="n">
        <v>-0.05630973270982025</v>
      </c>
      <c r="T768" s="7" t="n">
        <v>10655.79854383807</v>
      </c>
      <c r="U768" s="7" t="n">
        <v>6659.874089898791</v>
      </c>
      <c r="V768" s="7" t="n">
        <v>309465.8242542804</v>
      </c>
      <c r="W768" s="7" t="n">
        <v>363446.1427904174</v>
      </c>
      <c r="X768" s="7" t="n">
        <v>-53980.31853613706</v>
      </c>
      <c r="Y768" s="6" t="n">
        <v>-0.1485235697418448</v>
      </c>
      <c r="Z768" s="7" t="n">
        <v>102319.1397824903</v>
      </c>
      <c r="AA768" s="7" t="n">
        <v>63949.46236405645</v>
      </c>
      <c r="AB768" s="7" t="n">
        <v>1517751.550230837</v>
      </c>
      <c r="AC768" s="7" t="n">
        <v>2111947.775025332</v>
      </c>
      <c r="AD768" s="7" t="n">
        <v>-594196.2247944954</v>
      </c>
      <c r="AE768" s="6" t="n">
        <v>-0.2813498666118144</v>
      </c>
    </row>
    <row r="769">
      <c r="A769" s="2" t="n">
        <v>760</v>
      </c>
      <c r="B769" s="2" t="inlineStr">
        <is>
          <t>KPROP-00760</t>
        </is>
      </c>
      <c r="C769" s="3" t="n">
        <v>46154</v>
      </c>
      <c r="D769" s="2" t="inlineStr">
        <is>
          <t>Brady Singer</t>
        </is>
      </c>
      <c r="E769" s="2" t="inlineStr">
        <is>
          <t>Win</t>
        </is>
      </c>
      <c r="F769" s="2" t="n">
        <v>0.9523809523809523</v>
      </c>
      <c r="G769" s="6" t="n">
        <v>0.3228605057110425</v>
      </c>
      <c r="H769" s="7" t="n">
        <v>100</v>
      </c>
      <c r="I769" s="7" t="n">
        <v>95.23809523809523</v>
      </c>
      <c r="J769" s="7" t="n">
        <v>18941.77257960897</v>
      </c>
      <c r="K769" s="7" t="n">
        <v>19389.39758098348</v>
      </c>
      <c r="L769" s="7" t="n">
        <v>-447.6250013745121</v>
      </c>
      <c r="M769" s="6" t="n">
        <v>-0.02308607059631026</v>
      </c>
      <c r="N769" s="7" t="n">
        <v>233.302136957593</v>
      </c>
      <c r="O769" s="7" t="n">
        <v>222.1925113881838</v>
      </c>
      <c r="P769" s="7" t="n">
        <v>23552.40620714748</v>
      </c>
      <c r="Q769" s="7" t="n">
        <v>24722.32098223535</v>
      </c>
      <c r="R769" s="7" t="n">
        <v>-1169.914775087869</v>
      </c>
      <c r="S769" s="6" t="n">
        <v>-0.04732220635467566</v>
      </c>
      <c r="T769" s="7" t="n">
        <v>24978.57312975539</v>
      </c>
      <c r="U769" s="7" t="n">
        <v>23789.1172664337</v>
      </c>
      <c r="V769" s="7" t="n">
        <v>333254.9415207141</v>
      </c>
      <c r="W769" s="7" t="n">
        <v>363446.1427904174</v>
      </c>
      <c r="X769" s="7" t="n">
        <v>-30191.20126970334</v>
      </c>
      <c r="Y769" s="6" t="n">
        <v>-0.0830692576289445</v>
      </c>
      <c r="Z769" s="7" t="n">
        <v>245011.0165256234</v>
      </c>
      <c r="AA769" s="7" t="n">
        <v>233343.8252624985</v>
      </c>
      <c r="AB769" s="7" t="n">
        <v>1751095.375493336</v>
      </c>
      <c r="AC769" s="7" t="n">
        <v>2111947.775025332</v>
      </c>
      <c r="AD769" s="7" t="n">
        <v>-360852.3995319968</v>
      </c>
      <c r="AE769" s="6" t="n">
        <v>-0.1708623687570439</v>
      </c>
    </row>
    <row r="770">
      <c r="A770" s="2" t="n">
        <v>761</v>
      </c>
      <c r="B770" s="2" t="inlineStr">
        <is>
          <t>KPROP-00761</t>
        </is>
      </c>
      <c r="C770" s="3" t="n">
        <v>46154</v>
      </c>
      <c r="D770" s="2" t="inlineStr">
        <is>
          <t>Jack Flaherty</t>
        </is>
      </c>
      <c r="E770" s="2" t="inlineStr">
        <is>
          <t>Win</t>
        </is>
      </c>
      <c r="F770" s="2" t="n">
        <v>0.9615384615384617</v>
      </c>
      <c r="G770" s="6" t="n">
        <v>0.1749688578774664</v>
      </c>
      <c r="H770" s="7" t="n">
        <v>100</v>
      </c>
      <c r="I770" s="7" t="n">
        <v>96.15384615384616</v>
      </c>
      <c r="J770" s="7" t="n">
        <v>19037.92642576282</v>
      </c>
      <c r="K770" s="7" t="n">
        <v>19389.39758098348</v>
      </c>
      <c r="L770" s="7" t="n">
        <v>-351.4711552206645</v>
      </c>
      <c r="M770" s="6" t="n">
        <v>-0.01812697654750122</v>
      </c>
      <c r="N770" s="7" t="n">
        <v>235.5240620714748</v>
      </c>
      <c r="O770" s="7" t="n">
        <v>226.4654442994951</v>
      </c>
      <c r="P770" s="7" t="n">
        <v>23778.87165144698</v>
      </c>
      <c r="Q770" s="7" t="n">
        <v>24722.32098223535</v>
      </c>
      <c r="R770" s="7" t="n">
        <v>-943.4493307883749</v>
      </c>
      <c r="S770" s="6" t="n">
        <v>-0.03816184295423988</v>
      </c>
      <c r="T770" s="7" t="n">
        <v>14577.3091249753</v>
      </c>
      <c r="U770" s="7" t="n">
        <v>14016.64338939933</v>
      </c>
      <c r="V770" s="7" t="n">
        <v>347271.5849101134</v>
      </c>
      <c r="W770" s="7" t="n">
        <v>363446.1427904174</v>
      </c>
      <c r="X770" s="7" t="n">
        <v>-16174.557880304</v>
      </c>
      <c r="Y770" s="6" t="n">
        <v>-0.04450331418053078</v>
      </c>
      <c r="Z770" s="7" t="n">
        <v>153193.578942291</v>
      </c>
      <c r="AA770" s="7" t="n">
        <v>147301.5182137414</v>
      </c>
      <c r="AB770" s="7" t="n">
        <v>1898396.893707077</v>
      </c>
      <c r="AC770" s="7" t="n">
        <v>2111947.775025332</v>
      </c>
      <c r="AD770" s="7" t="n">
        <v>-213550.8813182553</v>
      </c>
      <c r="AE770" s="6" t="n">
        <v>-0.1011156070446362</v>
      </c>
    </row>
    <row r="771">
      <c r="A771" s="2" t="n">
        <v>762</v>
      </c>
      <c r="B771" s="2" t="inlineStr">
        <is>
          <t>KPROP-00762</t>
        </is>
      </c>
      <c r="C771" s="3" t="n">
        <v>46154</v>
      </c>
      <c r="D771" s="2" t="inlineStr">
        <is>
          <t>Paul Skenes</t>
        </is>
      </c>
      <c r="E771" s="2" t="inlineStr">
        <is>
          <t>Loss</t>
        </is>
      </c>
      <c r="F771" s="2" t="n">
        <v>-1</v>
      </c>
      <c r="G771" s="6" t="n">
        <v>0.2560547631337119</v>
      </c>
      <c r="H771" s="7" t="n">
        <v>100</v>
      </c>
      <c r="I771" s="7" t="n">
        <v>-100</v>
      </c>
      <c r="J771" s="7" t="n">
        <v>18937.92642576282</v>
      </c>
      <c r="K771" s="7" t="n">
        <v>19389.39758098348</v>
      </c>
      <c r="L771" s="7" t="n">
        <v>-451.4711552206645</v>
      </c>
      <c r="M771" s="6" t="n">
        <v>-0.02328443435826254</v>
      </c>
      <c r="N771" s="7" t="n">
        <v>237.7887165144698</v>
      </c>
      <c r="O771" s="7" t="n">
        <v>-237.7887165144698</v>
      </c>
      <c r="P771" s="7" t="n">
        <v>23541.08293493251</v>
      </c>
      <c r="Q771" s="7" t="n">
        <v>24722.32098223535</v>
      </c>
      <c r="R771" s="7" t="n">
        <v>-1181.238047302846</v>
      </c>
      <c r="S771" s="6" t="n">
        <v>-0.04778022452469754</v>
      </c>
      <c r="T771" s="7" t="n">
        <v>22230.13585430696</v>
      </c>
      <c r="U771" s="7" t="n">
        <v>-22230.13585430696</v>
      </c>
      <c r="V771" s="7" t="n">
        <v>325041.4490558064</v>
      </c>
      <c r="W771" s="7" t="n">
        <v>363446.1427904174</v>
      </c>
      <c r="X771" s="7" t="n">
        <v>-38404.69373461098</v>
      </c>
      <c r="Y771" s="6" t="n">
        <v>-0.1056681835711686</v>
      </c>
      <c r="Z771" s="7" t="n">
        <v>243046.7834759701</v>
      </c>
      <c r="AA771" s="7" t="n">
        <v>-243046.7834759701</v>
      </c>
      <c r="AB771" s="7" t="n">
        <v>1655350.110231107</v>
      </c>
      <c r="AC771" s="7" t="n">
        <v>2111947.775025332</v>
      </c>
      <c r="AD771" s="7" t="n">
        <v>-456597.6647942255</v>
      </c>
      <c r="AE771" s="6" t="n">
        <v>-0.2161974222060243</v>
      </c>
    </row>
    <row r="772">
      <c r="A772" s="2" t="n">
        <v>763</v>
      </c>
      <c r="B772" s="2" t="inlineStr">
        <is>
          <t>KPROP-00763</t>
        </is>
      </c>
      <c r="C772" s="3" t="n">
        <v>46155</v>
      </c>
      <c r="D772" s="2" t="inlineStr">
        <is>
          <t>Christian Scott</t>
        </is>
      </c>
      <c r="E772" s="2" t="inlineStr">
        <is>
          <t>Loss</t>
        </is>
      </c>
      <c r="F772" s="2" t="n">
        <v>-1</v>
      </c>
      <c r="G772" s="6" t="n">
        <v>0.1886969100714482</v>
      </c>
      <c r="H772" s="7" t="n">
        <v>100</v>
      </c>
      <c r="I772" s="7" t="n">
        <v>-100</v>
      </c>
      <c r="J772" s="7" t="n">
        <v>18837.92642576282</v>
      </c>
      <c r="K772" s="7" t="n">
        <v>19389.39758098348</v>
      </c>
      <c r="L772" s="7" t="n">
        <v>-551.4711552206645</v>
      </c>
      <c r="M772" s="6" t="n">
        <v>-0.02844189216902387</v>
      </c>
      <c r="N772" s="7" t="n">
        <v>235.4108293493251</v>
      </c>
      <c r="O772" s="7" t="n">
        <v>-235.4108293493251</v>
      </c>
      <c r="P772" s="7" t="n">
        <v>23305.67210558318</v>
      </c>
      <c r="Q772" s="7" t="n">
        <v>24722.32098223535</v>
      </c>
      <c r="R772" s="7" t="n">
        <v>-1416.648876652172</v>
      </c>
      <c r="S772" s="6" t="n">
        <v>-0.05730242227945061</v>
      </c>
      <c r="T772" s="7" t="n">
        <v>15333.57927049418</v>
      </c>
      <c r="U772" s="7" t="n">
        <v>-15333.57927049418</v>
      </c>
      <c r="V772" s="7" t="n">
        <v>309707.8697853123</v>
      </c>
      <c r="W772" s="7" t="n">
        <v>363446.1427904174</v>
      </c>
      <c r="X772" s="7" t="n">
        <v>-53738.27300510515</v>
      </c>
      <c r="Y772" s="6" t="n">
        <v>-0.1478575961558451</v>
      </c>
      <c r="Z772" s="7" t="n">
        <v>156179.7254435206</v>
      </c>
      <c r="AA772" s="7" t="n">
        <v>-156179.7254435206</v>
      </c>
      <c r="AB772" s="7" t="n">
        <v>1499170.384787586</v>
      </c>
      <c r="AC772" s="7" t="n">
        <v>2111947.775025332</v>
      </c>
      <c r="AD772" s="7" t="n">
        <v>-612777.3902377461</v>
      </c>
      <c r="AE772" s="6" t="n">
        <v>-0.2901479844739039</v>
      </c>
    </row>
    <row r="773">
      <c r="A773" s="2" t="n">
        <v>764</v>
      </c>
      <c r="B773" s="2" t="inlineStr">
        <is>
          <t>KPROP-00764</t>
        </is>
      </c>
      <c r="C773" s="3" t="n">
        <v>46155</v>
      </c>
      <c r="D773" s="2" t="inlineStr">
        <is>
          <t>Christian Scott</t>
        </is>
      </c>
      <c r="E773" s="2" t="inlineStr">
        <is>
          <t>Win</t>
        </is>
      </c>
      <c r="F773" s="2" t="n">
        <v>0.5714285714285714</v>
      </c>
      <c r="G773" s="6" t="n">
        <v>0.244915144410066</v>
      </c>
      <c r="H773" s="7" t="n">
        <v>100</v>
      </c>
      <c r="I773" s="7" t="n">
        <v>57.14285714285714</v>
      </c>
      <c r="J773" s="7" t="n">
        <v>18895.06928290568</v>
      </c>
      <c r="K773" s="7" t="n">
        <v>19389.39758098348</v>
      </c>
      <c r="L773" s="7" t="n">
        <v>-494.3282980778058</v>
      </c>
      <c r="M773" s="6" t="n">
        <v>-0.02549477342001732</v>
      </c>
      <c r="N773" s="7" t="n">
        <v>233.0567210558318</v>
      </c>
      <c r="O773" s="7" t="n">
        <v>133.175269174761</v>
      </c>
      <c r="P773" s="7" t="n">
        <v>23438.84737475794</v>
      </c>
      <c r="Q773" s="7" t="n">
        <v>24722.32098223535</v>
      </c>
      <c r="R773" s="7" t="n">
        <v>-1283.473607477412</v>
      </c>
      <c r="S773" s="6" t="n">
        <v>-0.05191557897819035</v>
      </c>
      <c r="T773" s="7" t="n">
        <v>18963.03691335092</v>
      </c>
      <c r="U773" s="7" t="n">
        <v>10836.02109334338</v>
      </c>
      <c r="V773" s="7" t="n">
        <v>320543.8908786557</v>
      </c>
      <c r="W773" s="7" t="n">
        <v>363446.1427904174</v>
      </c>
      <c r="X773" s="7" t="n">
        <v>-42902.25191176176</v>
      </c>
      <c r="Y773" s="6" t="n">
        <v>-0.1180429418850691</v>
      </c>
      <c r="Z773" s="7" t="n">
        <v>183584.7656427729</v>
      </c>
      <c r="AA773" s="7" t="n">
        <v>104905.5803672988</v>
      </c>
      <c r="AB773" s="7" t="n">
        <v>1604075.965154885</v>
      </c>
      <c r="AC773" s="7" t="n">
        <v>2111947.775025332</v>
      </c>
      <c r="AD773" s="7" t="n">
        <v>-507871.8098704473</v>
      </c>
      <c r="AE773" s="6" t="n">
        <v>-0.2404755533618039</v>
      </c>
    </row>
    <row r="774">
      <c r="A774" s="2" t="n">
        <v>765</v>
      </c>
      <c r="B774" s="2" t="inlineStr">
        <is>
          <t>KPROP-00765</t>
        </is>
      </c>
      <c r="C774" s="3" t="n">
        <v>46155</v>
      </c>
      <c r="D774" s="2" t="inlineStr">
        <is>
          <t>Framber Valdez</t>
        </is>
      </c>
      <c r="E774" s="2" t="inlineStr">
        <is>
          <t>Loss</t>
        </is>
      </c>
      <c r="F774" s="2" t="n">
        <v>-1</v>
      </c>
      <c r="G774" s="6" t="n">
        <v>0.09711997698350608</v>
      </c>
      <c r="H774" s="7" t="n">
        <v>100</v>
      </c>
      <c r="I774" s="7" t="n">
        <v>-100</v>
      </c>
      <c r="J774" s="7" t="n">
        <v>18795.06928290568</v>
      </c>
      <c r="K774" s="7" t="n">
        <v>19389.39758098348</v>
      </c>
      <c r="L774" s="7" t="n">
        <v>-594.3282980778058</v>
      </c>
      <c r="M774" s="6" t="n">
        <v>-0.03065223123077864</v>
      </c>
      <c r="N774" s="7" t="n">
        <v>234.3884737475794</v>
      </c>
      <c r="O774" s="7" t="n">
        <v>-234.3884737475794</v>
      </c>
      <c r="P774" s="7" t="n">
        <v>23204.45890101036</v>
      </c>
      <c r="Q774" s="7" t="n">
        <v>24722.32098223535</v>
      </c>
      <c r="R774" s="7" t="n">
        <v>-1517.86208122499</v>
      </c>
      <c r="S774" s="6" t="n">
        <v>-0.0613964231884084</v>
      </c>
      <c r="T774" s="7" t="n">
        <v>7782.803826084631</v>
      </c>
      <c r="U774" s="7" t="n">
        <v>-7782.803826084631</v>
      </c>
      <c r="V774" s="7" t="n">
        <v>312761.087052571</v>
      </c>
      <c r="W774" s="7" t="n">
        <v>363446.1427904174</v>
      </c>
      <c r="X774" s="7" t="n">
        <v>-50685.05573784641</v>
      </c>
      <c r="Y774" s="6" t="n">
        <v>-0.1394568541812098</v>
      </c>
      <c r="Z774" s="7" t="n">
        <v>77893.91040781887</v>
      </c>
      <c r="AA774" s="7" t="n">
        <v>-77893.91040781887</v>
      </c>
      <c r="AB774" s="7" t="n">
        <v>1526182.054747066</v>
      </c>
      <c r="AC774" s="7" t="n">
        <v>2111947.775025332</v>
      </c>
      <c r="AD774" s="7" t="n">
        <v>-585765.7202782661</v>
      </c>
      <c r="AE774" s="6" t="n">
        <v>-0.2773580517497597</v>
      </c>
    </row>
    <row r="775">
      <c r="A775" s="2" t="n">
        <v>766</v>
      </c>
      <c r="B775" s="2" t="inlineStr">
        <is>
          <t>KPROP-00766</t>
        </is>
      </c>
      <c r="C775" s="3" t="n">
        <v>46155</v>
      </c>
      <c r="D775" s="2" t="inlineStr">
        <is>
          <t>Framber Valdez</t>
        </is>
      </c>
      <c r="E775" s="2" t="inlineStr">
        <is>
          <t>Loss</t>
        </is>
      </c>
      <c r="F775" s="2" t="n">
        <v>-1</v>
      </c>
      <c r="G775" s="6" t="n">
        <v>0.217188678178723</v>
      </c>
      <c r="H775" s="7" t="n">
        <v>100</v>
      </c>
      <c r="I775" s="7" t="n">
        <v>-100</v>
      </c>
      <c r="J775" s="7" t="n">
        <v>18695.06928290568</v>
      </c>
      <c r="K775" s="7" t="n">
        <v>19389.39758098348</v>
      </c>
      <c r="L775" s="7" t="n">
        <v>-694.3282980778058</v>
      </c>
      <c r="M775" s="6" t="n">
        <v>-0.03580968904153996</v>
      </c>
      <c r="N775" s="7" t="n">
        <v>232.0445890101036</v>
      </c>
      <c r="O775" s="7" t="n">
        <v>-232.0445890101036</v>
      </c>
      <c r="P775" s="7" t="n">
        <v>22972.41431200026</v>
      </c>
      <c r="Q775" s="7" t="n">
        <v>24722.32098223535</v>
      </c>
      <c r="R775" s="7" t="n">
        <v>-1749.906670235094</v>
      </c>
      <c r="S775" s="6" t="n">
        <v>-0.07078245895652431</v>
      </c>
      <c r="T775" s="7" t="n">
        <v>16982.0417706721</v>
      </c>
      <c r="U775" s="7" t="n">
        <v>-16982.0417706721</v>
      </c>
      <c r="V775" s="7" t="n">
        <v>295779.0452818989</v>
      </c>
      <c r="W775" s="7" t="n">
        <v>363446.1427904174</v>
      </c>
      <c r="X775" s="7" t="n">
        <v>-67667.09750851849</v>
      </c>
      <c r="Y775" s="6" t="n">
        <v>-0.1861819112702456</v>
      </c>
      <c r="Z775" s="7" t="n">
        <v>165734.7315653014</v>
      </c>
      <c r="AA775" s="7" t="n">
        <v>-165734.7315653014</v>
      </c>
      <c r="AB775" s="7" t="n">
        <v>1360447.323181765</v>
      </c>
      <c r="AC775" s="7" t="n">
        <v>2111947.775025332</v>
      </c>
      <c r="AD775" s="7" t="n">
        <v>-751500.4518435674</v>
      </c>
      <c r="AE775" s="6" t="n">
        <v>-0.3558328765182431</v>
      </c>
    </row>
    <row r="776">
      <c r="A776" s="2" t="n">
        <v>767</v>
      </c>
      <c r="B776" s="2" t="inlineStr">
        <is>
          <t>KPROP-00767</t>
        </is>
      </c>
      <c r="C776" s="3" t="n">
        <v>46155</v>
      </c>
      <c r="D776" s="2" t="inlineStr">
        <is>
          <t>Griffin Jax</t>
        </is>
      </c>
      <c r="E776" s="2" t="inlineStr">
        <is>
          <t>Win</t>
        </is>
      </c>
      <c r="F776" s="2" t="n">
        <v>1.2</v>
      </c>
      <c r="G776" s="6" t="n">
        <v>0.2582786896952987</v>
      </c>
      <c r="H776" s="7" t="n">
        <v>100</v>
      </c>
      <c r="I776" s="7" t="n">
        <v>120</v>
      </c>
      <c r="J776" s="7" t="n">
        <v>18815.06928290568</v>
      </c>
      <c r="K776" s="7" t="n">
        <v>19389.39758098348</v>
      </c>
      <c r="L776" s="7" t="n">
        <v>-574.3282980778058</v>
      </c>
      <c r="M776" s="6" t="n">
        <v>-0.02962073966862638</v>
      </c>
      <c r="N776" s="7" t="n">
        <v>229.7241431200026</v>
      </c>
      <c r="O776" s="7" t="n">
        <v>275.6689717440032</v>
      </c>
      <c r="P776" s="7" t="n">
        <v>23248.08328374426</v>
      </c>
      <c r="Q776" s="7" t="n">
        <v>24722.32098223535</v>
      </c>
      <c r="R776" s="7" t="n">
        <v>-1474.237698491092</v>
      </c>
      <c r="S776" s="6" t="n">
        <v>-0.05963184846400264</v>
      </c>
      <c r="T776" s="7" t="n">
        <v>19098.35606368382</v>
      </c>
      <c r="U776" s="7" t="n">
        <v>22918.02727642059</v>
      </c>
      <c r="V776" s="7" t="n">
        <v>318697.0725583195</v>
      </c>
      <c r="W776" s="7" t="n">
        <v>363446.1427904174</v>
      </c>
      <c r="X776" s="7" t="n">
        <v>-44749.07023209787</v>
      </c>
      <c r="Y776" s="6" t="n">
        <v>-0.1231243503880095</v>
      </c>
      <c r="Z776" s="7" t="n">
        <v>175687.2760154314</v>
      </c>
      <c r="AA776" s="7" t="n">
        <v>210824.7312185177</v>
      </c>
      <c r="AB776" s="7" t="n">
        <v>1571272.054400283</v>
      </c>
      <c r="AC776" s="7" t="n">
        <v>2111947.775025332</v>
      </c>
      <c r="AD776" s="7" t="n">
        <v>-540675.7206250497</v>
      </c>
      <c r="AE776" s="6" t="n">
        <v>-0.2560080921596484</v>
      </c>
    </row>
    <row r="777">
      <c r="A777" s="2" t="n">
        <v>768</v>
      </c>
      <c r="B777" s="2" t="inlineStr">
        <is>
          <t>KPROP-00768</t>
        </is>
      </c>
      <c r="C777" s="3" t="n">
        <v>46155</v>
      </c>
      <c r="D777" s="2" t="inlineStr">
        <is>
          <t>Nick Lodolo</t>
        </is>
      </c>
      <c r="E777" s="2" t="inlineStr">
        <is>
          <t>Loss</t>
        </is>
      </c>
      <c r="F777" s="2" t="n">
        <v>-1</v>
      </c>
      <c r="G777" s="6" t="n">
        <v>0.1581504860505197</v>
      </c>
      <c r="H777" s="7" t="n">
        <v>100</v>
      </c>
      <c r="I777" s="7" t="n">
        <v>-100</v>
      </c>
      <c r="J777" s="7" t="n">
        <v>18715.06928290568</v>
      </c>
      <c r="K777" s="7" t="n">
        <v>19389.39758098348</v>
      </c>
      <c r="L777" s="7" t="n">
        <v>-674.3282980778058</v>
      </c>
      <c r="M777" s="6" t="n">
        <v>-0.0347781974793877</v>
      </c>
      <c r="N777" s="7" t="n">
        <v>232.4808328374426</v>
      </c>
      <c r="O777" s="7" t="n">
        <v>-232.4808328374426</v>
      </c>
      <c r="P777" s="7" t="n">
        <v>23015.60245090682</v>
      </c>
      <c r="Q777" s="7" t="n">
        <v>24722.32098223535</v>
      </c>
      <c r="R777" s="7" t="n">
        <v>-1706.718531328534</v>
      </c>
      <c r="S777" s="6" t="n">
        <v>-0.06903552997936259</v>
      </c>
      <c r="T777" s="7" t="n">
        <v>12600.52423199399</v>
      </c>
      <c r="U777" s="7" t="n">
        <v>-12600.52423199399</v>
      </c>
      <c r="V777" s="7" t="n">
        <v>306096.5483263255</v>
      </c>
      <c r="W777" s="7" t="n">
        <v>363446.1427904174</v>
      </c>
      <c r="X777" s="7" t="n">
        <v>-57349.59446409188</v>
      </c>
      <c r="Y777" s="6" t="n">
        <v>-0.1577939279360099</v>
      </c>
      <c r="Z777" s="7" t="n">
        <v>124248.7195605016</v>
      </c>
      <c r="AA777" s="7" t="n">
        <v>-124248.7195605016</v>
      </c>
      <c r="AB777" s="7" t="n">
        <v>1447023.334839781</v>
      </c>
      <c r="AC777" s="7" t="n">
        <v>2111947.775025332</v>
      </c>
      <c r="AD777" s="7" t="n">
        <v>-664924.4401855513</v>
      </c>
      <c r="AE777" s="6" t="n">
        <v>-0.3148394330809509</v>
      </c>
    </row>
    <row r="778">
      <c r="A778" s="2" t="n">
        <v>769</v>
      </c>
      <c r="B778" s="2" t="inlineStr">
        <is>
          <t>KPROP-00769</t>
        </is>
      </c>
      <c r="C778" s="3" t="n">
        <v>46155</v>
      </c>
      <c r="D778" s="2" t="inlineStr">
        <is>
          <t>Seth Lugo</t>
        </is>
      </c>
      <c r="E778" s="2" t="inlineStr">
        <is>
          <t>Win</t>
        </is>
      </c>
      <c r="F778" s="2" t="n">
        <v>0.8</v>
      </c>
      <c r="G778" s="6" t="n">
        <v>0.1092430173056097</v>
      </c>
      <c r="H778" s="7" t="n">
        <v>100</v>
      </c>
      <c r="I778" s="7" t="n">
        <v>80</v>
      </c>
      <c r="J778" s="7" t="n">
        <v>18795.06928290568</v>
      </c>
      <c r="K778" s="7" t="n">
        <v>19389.39758098348</v>
      </c>
      <c r="L778" s="7" t="n">
        <v>-594.3282980778058</v>
      </c>
      <c r="M778" s="6" t="n">
        <v>-0.03065223123077864</v>
      </c>
      <c r="N778" s="7" t="n">
        <v>230.1560245090682</v>
      </c>
      <c r="O778" s="7" t="n">
        <v>184.1248196072546</v>
      </c>
      <c r="P778" s="7" t="n">
        <v>23199.72727051407</v>
      </c>
      <c r="Q778" s="7" t="n">
        <v>24722.32098223535</v>
      </c>
      <c r="R778" s="7" t="n">
        <v>-1522.593711721278</v>
      </c>
      <c r="S778" s="6" t="n">
        <v>-0.06158781421919745</v>
      </c>
      <c r="T778" s="7" t="n">
        <v>8359.727631500045</v>
      </c>
      <c r="U778" s="7" t="n">
        <v>6687.782105200036</v>
      </c>
      <c r="V778" s="7" t="n">
        <v>312784.3304315256</v>
      </c>
      <c r="W778" s="7" t="n">
        <v>363446.1427904174</v>
      </c>
      <c r="X778" s="7" t="n">
        <v>-50661.81235889182</v>
      </c>
      <c r="Y778" s="6" t="n">
        <v>-0.1393929014349346</v>
      </c>
      <c r="Z778" s="7" t="n">
        <v>79038.59760476163</v>
      </c>
      <c r="AA778" s="7" t="n">
        <v>63230.87808380931</v>
      </c>
      <c r="AB778" s="7" t="n">
        <v>1510254.21292359</v>
      </c>
      <c r="AC778" s="7" t="n">
        <v>2111947.775025332</v>
      </c>
      <c r="AD778" s="7" t="n">
        <v>-601693.562101742</v>
      </c>
      <c r="AE778" s="6" t="n">
        <v>-0.2848998300133273</v>
      </c>
    </row>
    <row r="779">
      <c r="A779" s="2" t="n">
        <v>770</v>
      </c>
      <c r="B779" s="2" t="inlineStr">
        <is>
          <t>KPROP-00770</t>
        </is>
      </c>
      <c r="C779" s="3" t="n">
        <v>46155</v>
      </c>
      <c r="D779" s="2" t="inlineStr">
        <is>
          <t>Shota Imanaga</t>
        </is>
      </c>
      <c r="E779" s="2" t="inlineStr">
        <is>
          <t>Loss</t>
        </is>
      </c>
      <c r="F779" s="2" t="n">
        <v>-1</v>
      </c>
      <c r="G779" s="6" t="n">
        <v>0.1698137185078367</v>
      </c>
      <c r="H779" s="7" t="n">
        <v>100</v>
      </c>
      <c r="I779" s="7" t="n">
        <v>-100</v>
      </c>
      <c r="J779" s="7" t="n">
        <v>18695.06928290568</v>
      </c>
      <c r="K779" s="7" t="n">
        <v>19389.39758098348</v>
      </c>
      <c r="L779" s="7" t="n">
        <v>-694.3282980778058</v>
      </c>
      <c r="M779" s="6" t="n">
        <v>-0.03580968904153996</v>
      </c>
      <c r="N779" s="7" t="n">
        <v>231.9972727051407</v>
      </c>
      <c r="O779" s="7" t="n">
        <v>-231.9972727051407</v>
      </c>
      <c r="P779" s="7" t="n">
        <v>22967.72999780894</v>
      </c>
      <c r="Q779" s="7" t="n">
        <v>24722.32098223535</v>
      </c>
      <c r="R779" s="7" t="n">
        <v>-1754.590984426417</v>
      </c>
      <c r="S779" s="6" t="n">
        <v>-0.0709719360770054</v>
      </c>
      <c r="T779" s="7" t="n">
        <v>13278.76756039032</v>
      </c>
      <c r="U779" s="7" t="n">
        <v>-13278.76756039032</v>
      </c>
      <c r="V779" s="7" t="n">
        <v>299505.5628711353</v>
      </c>
      <c r="W779" s="7" t="n">
        <v>363446.1427904174</v>
      </c>
      <c r="X779" s="7" t="n">
        <v>-63940.57991928211</v>
      </c>
      <c r="Y779" s="6" t="n">
        <v>-0.175928624330328</v>
      </c>
      <c r="Z779" s="7" t="n">
        <v>128230.9418943405</v>
      </c>
      <c r="AA779" s="7" t="n">
        <v>-128230.9418943405</v>
      </c>
      <c r="AB779" s="7" t="n">
        <v>1382023.27102925</v>
      </c>
      <c r="AC779" s="7" t="n">
        <v>2111947.775025332</v>
      </c>
      <c r="AD779" s="7" t="n">
        <v>-729924.5039960826</v>
      </c>
      <c r="AE779" s="6" t="n">
        <v>-0.3456167394988389</v>
      </c>
    </row>
    <row r="780">
      <c r="A780" s="2" t="n">
        <v>771</v>
      </c>
      <c r="B780" s="2" t="inlineStr">
        <is>
          <t>KPROP-00771</t>
        </is>
      </c>
      <c r="C780" s="3" t="n">
        <v>46156</v>
      </c>
      <c r="D780" s="2" t="inlineStr">
        <is>
          <t>Chase Burns</t>
        </is>
      </c>
      <c r="E780" s="2" t="inlineStr">
        <is>
          <t>Loss</t>
        </is>
      </c>
      <c r="F780" s="2" t="n">
        <v>-1</v>
      </c>
      <c r="G780" s="6" t="n">
        <v>0.1058331328867099</v>
      </c>
      <c r="H780" s="7" t="n">
        <v>100</v>
      </c>
      <c r="I780" s="7" t="n">
        <v>-100</v>
      </c>
      <c r="J780" s="7" t="n">
        <v>18595.06928290568</v>
      </c>
      <c r="K780" s="7" t="n">
        <v>19389.39758098348</v>
      </c>
      <c r="L780" s="7" t="n">
        <v>-794.3282980778058</v>
      </c>
      <c r="M780" s="6" t="n">
        <v>-0.04096714685230129</v>
      </c>
      <c r="N780" s="7" t="n">
        <v>229.6772999780894</v>
      </c>
      <c r="O780" s="7" t="n">
        <v>-229.6772999780894</v>
      </c>
      <c r="P780" s="7" t="n">
        <v>22738.05269783085</v>
      </c>
      <c r="Q780" s="7" t="n">
        <v>24722.32098223535</v>
      </c>
      <c r="R780" s="7" t="n">
        <v>-1984.268284404505</v>
      </c>
      <c r="S780" s="6" t="n">
        <v>-0.08026221671623529</v>
      </c>
      <c r="T780" s="7" t="n">
        <v>7924.403008912424</v>
      </c>
      <c r="U780" s="7" t="n">
        <v>-7924.403008912424</v>
      </c>
      <c r="V780" s="7" t="n">
        <v>291581.1598622229</v>
      </c>
      <c r="W780" s="7" t="n">
        <v>363446.1427904174</v>
      </c>
      <c r="X780" s="7" t="n">
        <v>-71864.98292819451</v>
      </c>
      <c r="Y780" s="6" t="n">
        <v>-0.1977321381826735</v>
      </c>
      <c r="Z780" s="7" t="n">
        <v>73131.92624768201</v>
      </c>
      <c r="AA780" s="7" t="n">
        <v>-73131.92624768201</v>
      </c>
      <c r="AB780" s="7" t="n">
        <v>1308891.344781568</v>
      </c>
      <c r="AC780" s="7" t="n">
        <v>2111947.775025332</v>
      </c>
      <c r="AD780" s="7" t="n">
        <v>-803056.4302437645</v>
      </c>
      <c r="AE780" s="6" t="n">
        <v>-0.3802444547825677</v>
      </c>
    </row>
    <row r="781">
      <c r="A781" s="2" t="n">
        <v>772</v>
      </c>
      <c r="B781" s="2" t="inlineStr">
        <is>
          <t>KPROP-00772</t>
        </is>
      </c>
      <c r="C781" s="3" t="n">
        <v>46156</v>
      </c>
      <c r="D781" s="2" t="inlineStr">
        <is>
          <t>Chris Sale</t>
        </is>
      </c>
      <c r="E781" s="2" t="inlineStr">
        <is>
          <t>Loss</t>
        </is>
      </c>
      <c r="F781" s="2" t="n">
        <v>-1</v>
      </c>
      <c r="G781" s="6" t="n">
        <v>0.1816653664006772</v>
      </c>
      <c r="H781" s="7" t="n">
        <v>100</v>
      </c>
      <c r="I781" s="7" t="n">
        <v>-100</v>
      </c>
      <c r="J781" s="7" t="n">
        <v>18495.06928290568</v>
      </c>
      <c r="K781" s="7" t="n">
        <v>19389.39758098348</v>
      </c>
      <c r="L781" s="7" t="n">
        <v>-894.3282980778058</v>
      </c>
      <c r="M781" s="6" t="n">
        <v>-0.04612460466306261</v>
      </c>
      <c r="N781" s="7" t="n">
        <v>227.3805269783085</v>
      </c>
      <c r="O781" s="7" t="n">
        <v>-227.3805269783085</v>
      </c>
      <c r="P781" s="7" t="n">
        <v>22510.67217085254</v>
      </c>
      <c r="Q781" s="7" t="n">
        <v>24722.32098223535</v>
      </c>
      <c r="R781" s="7" t="n">
        <v>-2211.648811382813</v>
      </c>
      <c r="S781" s="6" t="n">
        <v>-0.08945959454907292</v>
      </c>
      <c r="T781" s="7" t="n">
        <v>13242.54956047629</v>
      </c>
      <c r="U781" s="7" t="n">
        <v>-13242.54956047629</v>
      </c>
      <c r="V781" s="7" t="n">
        <v>278338.6103017466</v>
      </c>
      <c r="W781" s="7" t="n">
        <v>363446.1427904174</v>
      </c>
      <c r="X781" s="7" t="n">
        <v>-85107.53248867078</v>
      </c>
      <c r="Y781" s="6" t="n">
        <v>-0.2341682094498066</v>
      </c>
      <c r="Z781" s="7" t="n">
        <v>118890.1128642093</v>
      </c>
      <c r="AA781" s="7" t="n">
        <v>-118890.1128642093</v>
      </c>
      <c r="AB781" s="7" t="n">
        <v>1190001.231917358</v>
      </c>
      <c r="AC781" s="7" t="n">
        <v>2111947.775025332</v>
      </c>
      <c r="AD781" s="7" t="n">
        <v>-921946.5431079739</v>
      </c>
      <c r="AE781" s="6" t="n">
        <v>-0.4365385138829559</v>
      </c>
    </row>
    <row r="782">
      <c r="A782" s="2" t="n">
        <v>773</v>
      </c>
      <c r="B782" s="2" t="inlineStr">
        <is>
          <t>KPROP-00773</t>
        </is>
      </c>
      <c r="C782" s="3" t="n">
        <v>46156</v>
      </c>
      <c r="D782" s="2" t="inlineStr">
        <is>
          <t>Chris Sale</t>
        </is>
      </c>
      <c r="E782" s="2" t="inlineStr">
        <is>
          <t>Loss</t>
        </is>
      </c>
      <c r="F782" s="2" t="n">
        <v>-1</v>
      </c>
      <c r="G782" s="6" t="n">
        <v>0.2060037014637043</v>
      </c>
      <c r="H782" s="7" t="n">
        <v>100</v>
      </c>
      <c r="I782" s="7" t="n">
        <v>-100</v>
      </c>
      <c r="J782" s="7" t="n">
        <v>18395.06928290568</v>
      </c>
      <c r="K782" s="7" t="n">
        <v>19389.39758098348</v>
      </c>
      <c r="L782" s="7" t="n">
        <v>-994.3282980778058</v>
      </c>
      <c r="M782" s="6" t="n">
        <v>-0.05128206247382394</v>
      </c>
      <c r="N782" s="7" t="n">
        <v>225.1067217085254</v>
      </c>
      <c r="O782" s="7" t="n">
        <v>-225.1067217085254</v>
      </c>
      <c r="P782" s="7" t="n">
        <v>22285.56544914401</v>
      </c>
      <c r="Q782" s="7" t="n">
        <v>24722.32098223535</v>
      </c>
      <c r="R782" s="7" t="n">
        <v>-2436.755533091338</v>
      </c>
      <c r="S782" s="6" t="n">
        <v>-0.0985649986035822</v>
      </c>
      <c r="T782" s="7" t="n">
        <v>14334.69599560583</v>
      </c>
      <c r="U782" s="7" t="n">
        <v>-14334.69599560583</v>
      </c>
      <c r="V782" s="7" t="n">
        <v>264003.9143061408</v>
      </c>
      <c r="W782" s="7" t="n">
        <v>363446.1427904174</v>
      </c>
      <c r="X782" s="7" t="n">
        <v>-99442.22848427662</v>
      </c>
      <c r="Y782" s="6" t="n">
        <v>-0.2736092553377856</v>
      </c>
      <c r="Z782" s="7" t="n">
        <v>122572.3292606719</v>
      </c>
      <c r="AA782" s="7" t="n">
        <v>-122572.3292606719</v>
      </c>
      <c r="AB782" s="7" t="n">
        <v>1067428.902656686</v>
      </c>
      <c r="AC782" s="7" t="n">
        <v>2111947.775025332</v>
      </c>
      <c r="AD782" s="7" t="n">
        <v>-1044518.872368646</v>
      </c>
      <c r="AE782" s="6" t="n">
        <v>-0.4945760897691313</v>
      </c>
    </row>
    <row r="783">
      <c r="A783" s="2" t="n">
        <v>774</v>
      </c>
      <c r="B783" s="2" t="inlineStr">
        <is>
          <t>KPROP-00774</t>
        </is>
      </c>
      <c r="C783" s="3" t="n">
        <v>46156</v>
      </c>
      <c r="D783" s="2" t="inlineStr">
        <is>
          <t>Griffin Canning</t>
        </is>
      </c>
      <c r="E783" s="2" t="inlineStr">
        <is>
          <t>Win</t>
        </is>
      </c>
      <c r="F783" s="2" t="n">
        <v>0.8</v>
      </c>
      <c r="G783" s="6" t="n">
        <v>0.1078591239286165</v>
      </c>
      <c r="H783" s="7" t="n">
        <v>100</v>
      </c>
      <c r="I783" s="7" t="n">
        <v>80</v>
      </c>
      <c r="J783" s="7" t="n">
        <v>18475.06928290568</v>
      </c>
      <c r="K783" s="7" t="n">
        <v>19389.39758098348</v>
      </c>
      <c r="L783" s="7" t="n">
        <v>-914.3282980778058</v>
      </c>
      <c r="M783" s="6" t="n">
        <v>-0.04715609622521488</v>
      </c>
      <c r="N783" s="7" t="n">
        <v>222.8556544914402</v>
      </c>
      <c r="O783" s="7" t="n">
        <v>178.2845235931521</v>
      </c>
      <c r="P783" s="7" t="n">
        <v>22463.84997273717</v>
      </c>
      <c r="Q783" s="7" t="n">
        <v>24722.32098223535</v>
      </c>
      <c r="R783" s="7" t="n">
        <v>-2258.471009498186</v>
      </c>
      <c r="S783" s="6" t="n">
        <v>-0.09135351859241082</v>
      </c>
      <c r="T783" s="7" t="n">
        <v>7118.807727696476</v>
      </c>
      <c r="U783" s="7" t="n">
        <v>5695.046182157181</v>
      </c>
      <c r="V783" s="7" t="n">
        <v>269698.960488298</v>
      </c>
      <c r="W783" s="7" t="n">
        <v>363446.1427904174</v>
      </c>
      <c r="X783" s="7" t="n">
        <v>-93747.18230211944</v>
      </c>
      <c r="Y783" s="6" t="n">
        <v>-0.2579396814679613</v>
      </c>
      <c r="Z783" s="7" t="n">
        <v>57565.97314831736</v>
      </c>
      <c r="AA783" s="7" t="n">
        <v>46052.77851865389</v>
      </c>
      <c r="AB783" s="7" t="n">
        <v>1113481.68117534</v>
      </c>
      <c r="AC783" s="7" t="n">
        <v>2111947.775025332</v>
      </c>
      <c r="AD783" s="7" t="n">
        <v>-998466.0938499919</v>
      </c>
      <c r="AE783" s="6" t="n">
        <v>-0.4727702577011004</v>
      </c>
    </row>
    <row r="784">
      <c r="A784" s="2" t="n">
        <v>775</v>
      </c>
      <c r="B784" s="2" t="inlineStr">
        <is>
          <t>KPROP-00775</t>
        </is>
      </c>
      <c r="C784" s="3" t="n">
        <v>46156</v>
      </c>
      <c r="D784" s="2" t="inlineStr">
        <is>
          <t>Jacob Lopez</t>
        </is>
      </c>
      <c r="E784" s="2" t="inlineStr">
        <is>
          <t>Win</t>
        </is>
      </c>
      <c r="F784" s="2" t="n">
        <v>1.1</v>
      </c>
      <c r="G784" s="6" t="n">
        <v>0.2771901732366999</v>
      </c>
      <c r="H784" s="7" t="n">
        <v>100</v>
      </c>
      <c r="I784" s="7" t="n">
        <v>110</v>
      </c>
      <c r="J784" s="7" t="n">
        <v>18585.06928290568</v>
      </c>
      <c r="K784" s="7" t="n">
        <v>19389.39758098348</v>
      </c>
      <c r="L784" s="7" t="n">
        <v>-804.3282980778058</v>
      </c>
      <c r="M784" s="6" t="n">
        <v>-0.04148289263337742</v>
      </c>
      <c r="N784" s="7" t="n">
        <v>224.6384997273717</v>
      </c>
      <c r="O784" s="7" t="n">
        <v>247.1023497001089</v>
      </c>
      <c r="P784" s="7" t="n">
        <v>22710.95232243728</v>
      </c>
      <c r="Q784" s="7" t="n">
        <v>24722.32098223535</v>
      </c>
      <c r="R784" s="7" t="n">
        <v>-2011.368659798078</v>
      </c>
      <c r="S784" s="6" t="n">
        <v>-0.08135840729692738</v>
      </c>
      <c r="T784" s="7" t="n">
        <v>18689.4753948773</v>
      </c>
      <c r="U784" s="7" t="n">
        <v>20558.42293436503</v>
      </c>
      <c r="V784" s="7" t="n">
        <v>290257.383422663</v>
      </c>
      <c r="W784" s="7" t="n">
        <v>363446.1427904174</v>
      </c>
      <c r="X784" s="7" t="n">
        <v>-73188.75936775439</v>
      </c>
      <c r="Y784" s="6" t="n">
        <v>-0.2013744287003177</v>
      </c>
      <c r="Z784" s="7" t="n">
        <v>154323.0900504422</v>
      </c>
      <c r="AA784" s="7" t="n">
        <v>169755.3990554865</v>
      </c>
      <c r="AB784" s="7" t="n">
        <v>1283237.080230827</v>
      </c>
      <c r="AC784" s="7" t="n">
        <v>2111947.775025332</v>
      </c>
      <c r="AD784" s="7" t="n">
        <v>-828710.6947945054</v>
      </c>
      <c r="AE784" s="6" t="n">
        <v>-0.3923916607192454</v>
      </c>
    </row>
    <row r="785">
      <c r="A785" s="2" t="n">
        <v>776</v>
      </c>
      <c r="B785" s="2" t="inlineStr">
        <is>
          <t>KPROP-00776</t>
        </is>
      </c>
      <c r="C785" s="3" t="n">
        <v>46156</v>
      </c>
      <c r="D785" s="2" t="inlineStr">
        <is>
          <t>Jesús Luzardo</t>
        </is>
      </c>
      <c r="E785" s="2" t="inlineStr">
        <is>
          <t>Win</t>
        </is>
      </c>
      <c r="F785" s="2" t="n">
        <v>1.15</v>
      </c>
      <c r="G785" s="6" t="n">
        <v>0.0786120372614082</v>
      </c>
      <c r="H785" s="7" t="n">
        <v>100</v>
      </c>
      <c r="I785" s="7" t="n">
        <v>115</v>
      </c>
      <c r="J785" s="7" t="n">
        <v>18700.06928290568</v>
      </c>
      <c r="K785" s="7" t="n">
        <v>19389.39758098348</v>
      </c>
      <c r="L785" s="7" t="n">
        <v>-689.3282980778058</v>
      </c>
      <c r="M785" s="6" t="n">
        <v>-0.0355518161510019</v>
      </c>
      <c r="N785" s="7" t="n">
        <v>227.1095232243728</v>
      </c>
      <c r="O785" s="7" t="n">
        <v>261.1759517080287</v>
      </c>
      <c r="P785" s="7" t="n">
        <v>22972.1282741453</v>
      </c>
      <c r="Q785" s="7" t="n">
        <v>24722.32098223535</v>
      </c>
      <c r="R785" s="7" t="n">
        <v>-1750.19270809005</v>
      </c>
      <c r="S785" s="6" t="n">
        <v>-0.07079402898084207</v>
      </c>
      <c r="T785" s="7" t="n">
        <v>5704.431060255308</v>
      </c>
      <c r="U785" s="7" t="n">
        <v>6560.095719293603</v>
      </c>
      <c r="V785" s="7" t="n">
        <v>296817.4791419566</v>
      </c>
      <c r="W785" s="7" t="n">
        <v>363446.1427904174</v>
      </c>
      <c r="X785" s="7" t="n">
        <v>-66628.66364846082</v>
      </c>
      <c r="Y785" s="6" t="n">
        <v>-0.1833247235392521</v>
      </c>
      <c r="Z785" s="7" t="n">
        <v>50438.94058316322</v>
      </c>
      <c r="AA785" s="7" t="n">
        <v>58004.7816706377</v>
      </c>
      <c r="AB785" s="7" t="n">
        <v>1341241.861901465</v>
      </c>
      <c r="AC785" s="7" t="n">
        <v>2111947.775025332</v>
      </c>
      <c r="AD785" s="7" t="n">
        <v>-770705.9131238677</v>
      </c>
      <c r="AE785" s="6" t="n">
        <v>-0.3649265963097138</v>
      </c>
    </row>
    <row r="786">
      <c r="A786" s="2" t="n">
        <v>777</v>
      </c>
      <c r="B786" s="2" t="inlineStr">
        <is>
          <t>KPROP-00777</t>
        </is>
      </c>
      <c r="C786" s="3" t="n">
        <v>46156</v>
      </c>
      <c r="D786" s="2" t="inlineStr">
        <is>
          <t>Kris Bubic</t>
        </is>
      </c>
      <c r="E786" s="2" t="inlineStr">
        <is>
          <t>Win</t>
        </is>
      </c>
      <c r="F786" s="2" t="n">
        <v>0.9090909090909092</v>
      </c>
      <c r="G786" s="6" t="n">
        <v>0.1892186398464449</v>
      </c>
      <c r="H786" s="7" t="n">
        <v>100</v>
      </c>
      <c r="I786" s="7" t="n">
        <v>90.90909090909092</v>
      </c>
      <c r="J786" s="7" t="n">
        <v>18790.97837381477</v>
      </c>
      <c r="K786" s="7" t="n">
        <v>19389.39758098348</v>
      </c>
      <c r="L786" s="7" t="n">
        <v>-598.4192071687139</v>
      </c>
      <c r="M786" s="6" t="n">
        <v>-0.03086321814121883</v>
      </c>
      <c r="N786" s="7" t="n">
        <v>229.721282741453</v>
      </c>
      <c r="O786" s="7" t="n">
        <v>208.8375297649573</v>
      </c>
      <c r="P786" s="7" t="n">
        <v>23180.96580391026</v>
      </c>
      <c r="Q786" s="7" t="n">
        <v>24722.32098223535</v>
      </c>
      <c r="R786" s="7" t="n">
        <v>-1541.355178325091</v>
      </c>
      <c r="S786" s="6" t="n">
        <v>-0.06234670197157696</v>
      </c>
      <c r="T786" s="7" t="n">
        <v>14040.84992147289</v>
      </c>
      <c r="U786" s="7" t="n">
        <v>12764.40901952081</v>
      </c>
      <c r="V786" s="7" t="n">
        <v>309581.8881614774</v>
      </c>
      <c r="W786" s="7" t="n">
        <v>363446.1427904174</v>
      </c>
      <c r="X786" s="7" t="n">
        <v>-53864.25462894002</v>
      </c>
      <c r="Y786" s="6" t="n">
        <v>-0.1482042269464971</v>
      </c>
      <c r="Z786" s="7" t="n">
        <v>126893.9804070542</v>
      </c>
      <c r="AA786" s="7" t="n">
        <v>115358.1640064129</v>
      </c>
      <c r="AB786" s="7" t="n">
        <v>1456600.025907878</v>
      </c>
      <c r="AC786" s="7" t="n">
        <v>2111947.775025332</v>
      </c>
      <c r="AD786" s="7" t="n">
        <v>-655347.7491174547</v>
      </c>
      <c r="AE786" s="6" t="n">
        <v>-0.3103049028329282</v>
      </c>
    </row>
    <row r="787">
      <c r="A787" s="2" t="n">
        <v>778</v>
      </c>
      <c r="B787" s="2" t="inlineStr">
        <is>
          <t>KPROP-00778</t>
        </is>
      </c>
      <c r="C787" s="3" t="n">
        <v>46156</v>
      </c>
      <c r="D787" s="2" t="inlineStr">
        <is>
          <t>Kyle Harrison</t>
        </is>
      </c>
      <c r="E787" s="2" t="inlineStr">
        <is>
          <t>Loss</t>
        </is>
      </c>
      <c r="F787" s="2" t="n">
        <v>-1</v>
      </c>
      <c r="G787" s="6" t="n">
        <v>0.1966082234581494</v>
      </c>
      <c r="H787" s="7" t="n">
        <v>100</v>
      </c>
      <c r="I787" s="7" t="n">
        <v>-100</v>
      </c>
      <c r="J787" s="7" t="n">
        <v>18690.97837381477</v>
      </c>
      <c r="K787" s="7" t="n">
        <v>19389.39758098348</v>
      </c>
      <c r="L787" s="7" t="n">
        <v>-698.4192071687139</v>
      </c>
      <c r="M787" s="6" t="n">
        <v>-0.03602067595198015</v>
      </c>
      <c r="N787" s="7" t="n">
        <v>231.8096580391026</v>
      </c>
      <c r="O787" s="7" t="n">
        <v>-231.8096580391026</v>
      </c>
      <c r="P787" s="7" t="n">
        <v>22949.15614587116</v>
      </c>
      <c r="Q787" s="7" t="n">
        <v>24722.32098223535</v>
      </c>
      <c r="R787" s="7" t="n">
        <v>-1773.164836364194</v>
      </c>
      <c r="S787" s="6" t="n">
        <v>-0.07172323495186121</v>
      </c>
      <c r="T787" s="7" t="n">
        <v>15216.58626156189</v>
      </c>
      <c r="U787" s="7" t="n">
        <v>-15216.58626156189</v>
      </c>
      <c r="V787" s="7" t="n">
        <v>294365.3018999155</v>
      </c>
      <c r="W787" s="7" t="n">
        <v>363446.1427904174</v>
      </c>
      <c r="X787" s="7" t="n">
        <v>-69080.84089050192</v>
      </c>
      <c r="Y787" s="6" t="n">
        <v>-0.1900717403687997</v>
      </c>
      <c r="Z787" s="7" t="n">
        <v>143189.7716914211</v>
      </c>
      <c r="AA787" s="7" t="n">
        <v>-143189.7716914211</v>
      </c>
      <c r="AB787" s="7" t="n">
        <v>1313410.254216457</v>
      </c>
      <c r="AC787" s="7" t="n">
        <v>2111947.775025332</v>
      </c>
      <c r="AD787" s="7" t="n">
        <v>-798537.5208088758</v>
      </c>
      <c r="AE787" s="6" t="n">
        <v>-0.3781047667238351</v>
      </c>
    </row>
    <row r="788">
      <c r="A788" s="2" t="n">
        <v>779</v>
      </c>
      <c r="B788" s="2" t="inlineStr">
        <is>
          <t>KPROP-00779</t>
        </is>
      </c>
      <c r="C788" s="3" t="n">
        <v>46156</v>
      </c>
      <c r="D788" s="2" t="inlineStr">
        <is>
          <t>Ranger Suarez</t>
        </is>
      </c>
      <c r="E788" s="2" t="inlineStr">
        <is>
          <t>Loss</t>
        </is>
      </c>
      <c r="F788" s="2" t="n">
        <v>-1</v>
      </c>
      <c r="G788" s="6" t="n">
        <v>0.07255134909624252</v>
      </c>
      <c r="H788" s="7" t="n">
        <v>100</v>
      </c>
      <c r="I788" s="7" t="n">
        <v>-100</v>
      </c>
      <c r="J788" s="7" t="n">
        <v>18590.97837381477</v>
      </c>
      <c r="K788" s="7" t="n">
        <v>19389.39758098348</v>
      </c>
      <c r="L788" s="7" t="n">
        <v>-798.4192071687139</v>
      </c>
      <c r="M788" s="6" t="n">
        <v>-0.04117813376274147</v>
      </c>
      <c r="N788" s="7" t="n">
        <v>229.4915614587116</v>
      </c>
      <c r="O788" s="7" t="n">
        <v>-229.4915614587116</v>
      </c>
      <c r="P788" s="7" t="n">
        <v>22719.66458441245</v>
      </c>
      <c r="Q788" s="7" t="n">
        <v>24722.32098223535</v>
      </c>
      <c r="R788" s="7" t="n">
        <v>-2002.656397822906</v>
      </c>
      <c r="S788" s="6" t="n">
        <v>-0.0810060026023426</v>
      </c>
      <c r="T788" s="7" t="n">
        <v>5339.149944990398</v>
      </c>
      <c r="U788" s="7" t="n">
        <v>-5339.149944990398</v>
      </c>
      <c r="V788" s="7" t="n">
        <v>289026.1519549251</v>
      </c>
      <c r="W788" s="7" t="n">
        <v>363446.1427904174</v>
      </c>
      <c r="X788" s="7" t="n">
        <v>-74419.99083549232</v>
      </c>
      <c r="Y788" s="6" t="n">
        <v>-0.2047620873456535</v>
      </c>
      <c r="Z788" s="7" t="n">
        <v>47644.84293012138</v>
      </c>
      <c r="AA788" s="7" t="n">
        <v>-47644.84293012138</v>
      </c>
      <c r="AB788" s="7" t="n">
        <v>1265765.411286335</v>
      </c>
      <c r="AC788" s="7" t="n">
        <v>2111947.775025332</v>
      </c>
      <c r="AD788" s="7" t="n">
        <v>-846182.3637389971</v>
      </c>
      <c r="AE788" s="6" t="n">
        <v>-0.4006644358091891</v>
      </c>
    </row>
    <row r="789">
      <c r="A789" s="2" t="n">
        <v>780</v>
      </c>
      <c r="B789" s="2" t="inlineStr">
        <is>
          <t>KPROP-00780</t>
        </is>
      </c>
      <c r="C789" s="3" t="n">
        <v>46156</v>
      </c>
      <c r="D789" s="2" t="inlineStr">
        <is>
          <t>Ranger Suarez</t>
        </is>
      </c>
      <c r="E789" s="2" t="inlineStr">
        <is>
          <t>Loss</t>
        </is>
      </c>
      <c r="F789" s="2" t="n">
        <v>-1</v>
      </c>
      <c r="G789" s="6" t="n">
        <v>0.1234616011459281</v>
      </c>
      <c r="H789" s="7" t="n">
        <v>100</v>
      </c>
      <c r="I789" s="7" t="n">
        <v>-100</v>
      </c>
      <c r="J789" s="7" t="n">
        <v>18490.97837381477</v>
      </c>
      <c r="K789" s="7" t="n">
        <v>19389.39758098348</v>
      </c>
      <c r="L789" s="7" t="n">
        <v>-898.4192071687139</v>
      </c>
      <c r="M789" s="6" t="n">
        <v>-0.0463355915735028</v>
      </c>
      <c r="N789" s="7" t="n">
        <v>227.1966458441245</v>
      </c>
      <c r="O789" s="7" t="n">
        <v>-227.1966458441245</v>
      </c>
      <c r="P789" s="7" t="n">
        <v>22492.46793856832</v>
      </c>
      <c r="Q789" s="7" t="n">
        <v>24722.32098223535</v>
      </c>
      <c r="R789" s="7" t="n">
        <v>-2229.85304366703</v>
      </c>
      <c r="S789" s="6" t="n">
        <v>-0.09019594257631915</v>
      </c>
      <c r="T789" s="7" t="n">
        <v>8920.907873350339</v>
      </c>
      <c r="U789" s="7" t="n">
        <v>-8920.907873350339</v>
      </c>
      <c r="V789" s="7" t="n">
        <v>280105.2440815748</v>
      </c>
      <c r="W789" s="7" t="n">
        <v>363446.1427904174</v>
      </c>
      <c r="X789" s="7" t="n">
        <v>-83340.89870884264</v>
      </c>
      <c r="Y789" s="6" t="n">
        <v>-0.2293074238427163</v>
      </c>
      <c r="Z789" s="7" t="n">
        <v>78136.71217627254</v>
      </c>
      <c r="AA789" s="7" t="n">
        <v>-78136.71217627254</v>
      </c>
      <c r="AB789" s="7" t="n">
        <v>1187628.699110063</v>
      </c>
      <c r="AC789" s="7" t="n">
        <v>2111947.775025332</v>
      </c>
      <c r="AD789" s="7" t="n">
        <v>-924319.0759152698</v>
      </c>
      <c r="AE789" s="6" t="n">
        <v>-0.4376618999985371</v>
      </c>
    </row>
    <row r="790">
      <c r="A790" s="2" t="n">
        <v>781</v>
      </c>
      <c r="B790" s="2" t="inlineStr">
        <is>
          <t>KPROP-00781</t>
        </is>
      </c>
      <c r="C790" s="3" t="n">
        <v>46157</v>
      </c>
      <c r="D790" s="2" t="inlineStr">
        <is>
          <t>Andrew Abbott</t>
        </is>
      </c>
      <c r="E790" s="2" t="inlineStr">
        <is>
          <t>Win</t>
        </is>
      </c>
      <c r="F790" s="2" t="n">
        <v>1.55</v>
      </c>
      <c r="G790" s="6" t="n">
        <v>0.07796810005719201</v>
      </c>
      <c r="H790" s="7" t="n">
        <v>100</v>
      </c>
      <c r="I790" s="7" t="n">
        <v>155</v>
      </c>
      <c r="J790" s="7" t="n">
        <v>18645.97837381477</v>
      </c>
      <c r="K790" s="7" t="n">
        <v>19389.39758098348</v>
      </c>
      <c r="L790" s="7" t="n">
        <v>-743.4192071687139</v>
      </c>
      <c r="M790" s="6" t="n">
        <v>-0.03834153196682275</v>
      </c>
      <c r="N790" s="7" t="n">
        <v>224.9246793856832</v>
      </c>
      <c r="O790" s="7" t="n">
        <v>348.633253047809</v>
      </c>
      <c r="P790" s="7" t="n">
        <v>22841.10119161613</v>
      </c>
      <c r="Q790" s="7" t="n">
        <v>24722.32098223535</v>
      </c>
      <c r="R790" s="7" t="n">
        <v>-1881.21979061922</v>
      </c>
      <c r="S790" s="6" t="n">
        <v>-0.07609397968625205</v>
      </c>
      <c r="T790" s="7" t="n">
        <v>5459.818424274104</v>
      </c>
      <c r="U790" s="7" t="n">
        <v>8462.718557624859</v>
      </c>
      <c r="V790" s="7" t="n">
        <v>288567.9626391996</v>
      </c>
      <c r="W790" s="7" t="n">
        <v>363446.1427904174</v>
      </c>
      <c r="X790" s="7" t="n">
        <v>-74878.18015121779</v>
      </c>
      <c r="Y790" s="6" t="n">
        <v>-0.2060227674348895</v>
      </c>
      <c r="Z790" s="7" t="n">
        <v>46298.57662150307</v>
      </c>
      <c r="AA790" s="7" t="n">
        <v>71762.79376332976</v>
      </c>
      <c r="AB790" s="7" t="n">
        <v>1259391.492873392</v>
      </c>
      <c r="AC790" s="7" t="n">
        <v>2111947.775025332</v>
      </c>
      <c r="AD790" s="7" t="n">
        <v>-852556.28215194</v>
      </c>
      <c r="AE790" s="6" t="n">
        <v>-0.4036824642322009</v>
      </c>
    </row>
    <row r="791">
      <c r="A791" s="2" t="n">
        <v>782</v>
      </c>
      <c r="B791" s="2" t="inlineStr">
        <is>
          <t>KPROP-00782</t>
        </is>
      </c>
      <c r="C791" s="3" t="n">
        <v>46157</v>
      </c>
      <c r="D791" s="2" t="inlineStr">
        <is>
          <t>Andrew Abbott</t>
        </is>
      </c>
      <c r="E791" s="2" t="inlineStr">
        <is>
          <t>Win</t>
        </is>
      </c>
      <c r="F791" s="2" t="n">
        <v>0.6993006993006992</v>
      </c>
      <c r="G791" s="6" t="n">
        <v>0.1127886966917739</v>
      </c>
      <c r="H791" s="7" t="n">
        <v>100</v>
      </c>
      <c r="I791" s="7" t="n">
        <v>69.93006993006992</v>
      </c>
      <c r="J791" s="7" t="n">
        <v>18715.90844374484</v>
      </c>
      <c r="K791" s="7" t="n">
        <v>19389.39758098348</v>
      </c>
      <c r="L791" s="7" t="n">
        <v>-673.4891372386446</v>
      </c>
      <c r="M791" s="6" t="n">
        <v>-0.03473491811314353</v>
      </c>
      <c r="N791" s="7" t="n">
        <v>228.4110119161613</v>
      </c>
      <c r="O791" s="7" t="n">
        <v>159.7279803609519</v>
      </c>
      <c r="P791" s="7" t="n">
        <v>23000.82917197709</v>
      </c>
      <c r="Q791" s="7" t="n">
        <v>24722.32098223535</v>
      </c>
      <c r="R791" s="7" t="n">
        <v>-1721.491810258267</v>
      </c>
      <c r="S791" s="6" t="n">
        <v>-0.06963309842531672</v>
      </c>
      <c r="T791" s="7" t="n">
        <v>8136.801103268954</v>
      </c>
      <c r="U791" s="7" t="n">
        <v>5690.07070158668</v>
      </c>
      <c r="V791" s="7" t="n">
        <v>294258.0333407863</v>
      </c>
      <c r="W791" s="7" t="n">
        <v>363446.1427904174</v>
      </c>
      <c r="X791" s="7" t="n">
        <v>-69188.10944963113</v>
      </c>
      <c r="Y791" s="6" t="n">
        <v>-0.1903668832978335</v>
      </c>
      <c r="Z791" s="7" t="n">
        <v>71022.56255294866</v>
      </c>
      <c r="AA791" s="7" t="n">
        <v>49666.12765940464</v>
      </c>
      <c r="AB791" s="7" t="n">
        <v>1309057.620532797</v>
      </c>
      <c r="AC791" s="7" t="n">
        <v>2111947.775025332</v>
      </c>
      <c r="AD791" s="7" t="n">
        <v>-802890.1544925354</v>
      </c>
      <c r="AE791" s="6" t="n">
        <v>-0.3801657237868512</v>
      </c>
    </row>
    <row r="792">
      <c r="A792" s="2" t="n">
        <v>783</v>
      </c>
      <c r="B792" s="2" t="inlineStr">
        <is>
          <t>KPROP-00783</t>
        </is>
      </c>
      <c r="C792" s="3" t="n">
        <v>46157</v>
      </c>
      <c r="D792" s="2" t="inlineStr">
        <is>
          <t>Joe Ryan</t>
        </is>
      </c>
      <c r="E792" s="2" t="inlineStr">
        <is>
          <t>Loss</t>
        </is>
      </c>
      <c r="F792" s="2" t="n">
        <v>-1</v>
      </c>
      <c r="G792" s="6" t="n">
        <v>0.08876625646041435</v>
      </c>
      <c r="H792" s="7" t="n">
        <v>100</v>
      </c>
      <c r="I792" s="7" t="n">
        <v>-100</v>
      </c>
      <c r="J792" s="7" t="n">
        <v>18615.90844374484</v>
      </c>
      <c r="K792" s="7" t="n">
        <v>19389.39758098348</v>
      </c>
      <c r="L792" s="7" t="n">
        <v>-773.4891372386446</v>
      </c>
      <c r="M792" s="6" t="n">
        <v>-0.03989237592390486</v>
      </c>
      <c r="N792" s="7" t="n">
        <v>230.0082917197709</v>
      </c>
      <c r="O792" s="7" t="n">
        <v>-230.0082917197709</v>
      </c>
      <c r="P792" s="7" t="n">
        <v>22770.82088025731</v>
      </c>
      <c r="Q792" s="7" t="n">
        <v>24722.32098223535</v>
      </c>
      <c r="R792" s="7" t="n">
        <v>-1951.500101978039</v>
      </c>
      <c r="S792" s="6" t="n">
        <v>-0.07893676744106361</v>
      </c>
      <c r="T792" s="7" t="n">
        <v>6530.046013266347</v>
      </c>
      <c r="U792" s="7" t="n">
        <v>-6530.046013266347</v>
      </c>
      <c r="V792" s="7" t="n">
        <v>287727.9873275199</v>
      </c>
      <c r="W792" s="7" t="n">
        <v>363446.1427904174</v>
      </c>
      <c r="X792" s="7" t="n">
        <v>-75718.1554628975</v>
      </c>
      <c r="Y792" s="6" t="n">
        <v>-0.2083339085168409</v>
      </c>
      <c r="Z792" s="7" t="n">
        <v>58100.07223283701</v>
      </c>
      <c r="AA792" s="7" t="n">
        <v>-58100.07223283701</v>
      </c>
      <c r="AB792" s="7" t="n">
        <v>1250957.54829996</v>
      </c>
      <c r="AC792" s="7" t="n">
        <v>2111947.775025332</v>
      </c>
      <c r="AD792" s="7" t="n">
        <v>-860990.2267253725</v>
      </c>
      <c r="AE792" s="6" t="n">
        <v>-0.407675907949497</v>
      </c>
    </row>
    <row r="793">
      <c r="A793" s="2" t="n">
        <v>784</v>
      </c>
      <c r="B793" s="2" t="inlineStr">
        <is>
          <t>KPROP-00784</t>
        </is>
      </c>
      <c r="C793" s="3" t="n">
        <v>46157</v>
      </c>
      <c r="D793" s="2" t="inlineStr">
        <is>
          <t>Shane Baz</t>
        </is>
      </c>
      <c r="E793" s="2" t="inlineStr">
        <is>
          <t>Win</t>
        </is>
      </c>
      <c r="F793" s="2" t="n">
        <v>0.6451612903225805</v>
      </c>
      <c r="G793" s="6" t="n">
        <v>0.1201322251055235</v>
      </c>
      <c r="H793" s="7" t="n">
        <v>100</v>
      </c>
      <c r="I793" s="7" t="n">
        <v>64.51612903225805</v>
      </c>
      <c r="J793" s="7" t="n">
        <v>18680.4245727771</v>
      </c>
      <c r="K793" s="7" t="n">
        <v>19389.39758098348</v>
      </c>
      <c r="L793" s="7" t="n">
        <v>-708.973008206387</v>
      </c>
      <c r="M793" s="6" t="n">
        <v>-0.03656498378792983</v>
      </c>
      <c r="N793" s="7" t="n">
        <v>227.7082088025732</v>
      </c>
      <c r="O793" s="7" t="n">
        <v>146.9085218081117</v>
      </c>
      <c r="P793" s="7" t="n">
        <v>22917.72940206543</v>
      </c>
      <c r="Q793" s="7" t="n">
        <v>24722.32098223535</v>
      </c>
      <c r="R793" s="7" t="n">
        <v>-1804.591580169927</v>
      </c>
      <c r="S793" s="6" t="n">
        <v>-0.07299442400519947</v>
      </c>
      <c r="T793" s="7" t="n">
        <v>8641.350835697207</v>
      </c>
      <c r="U793" s="7" t="n">
        <v>5575.06505528852</v>
      </c>
      <c r="V793" s="7" t="n">
        <v>293303.0523828084</v>
      </c>
      <c r="W793" s="7" t="n">
        <v>363446.1427904174</v>
      </c>
      <c r="X793" s="7" t="n">
        <v>-70143.09040760901</v>
      </c>
      <c r="Y793" s="6" t="n">
        <v>-0.1929944554345079</v>
      </c>
      <c r="Z793" s="7" t="n">
        <v>75140.15689491226</v>
      </c>
      <c r="AA793" s="7" t="n">
        <v>48477.52057736274</v>
      </c>
      <c r="AB793" s="7" t="n">
        <v>1299435.068877323</v>
      </c>
      <c r="AC793" s="7" t="n">
        <v>2111947.775025332</v>
      </c>
      <c r="AD793" s="7" t="n">
        <v>-812512.7061480097</v>
      </c>
      <c r="AE793" s="6" t="n">
        <v>-0.3847219688650984</v>
      </c>
    </row>
    <row r="794">
      <c r="A794" s="2" t="n">
        <v>785</v>
      </c>
      <c r="B794" s="2" t="inlineStr">
        <is>
          <t>KPROP-00785</t>
        </is>
      </c>
      <c r="C794" s="3" t="n">
        <v>46157</v>
      </c>
      <c r="D794" s="2" t="inlineStr">
        <is>
          <t>Spencer Strider</t>
        </is>
      </c>
      <c r="E794" s="2" t="inlineStr">
        <is>
          <t>Win</t>
        </is>
      </c>
      <c r="F794" s="2" t="n">
        <v>0.8</v>
      </c>
      <c r="G794" s="6" t="n">
        <v>0.2068493707781562</v>
      </c>
      <c r="H794" s="7" t="n">
        <v>100</v>
      </c>
      <c r="I794" s="7" t="n">
        <v>80</v>
      </c>
      <c r="J794" s="7" t="n">
        <v>18760.4245727771</v>
      </c>
      <c r="K794" s="7" t="n">
        <v>19389.39758098348</v>
      </c>
      <c r="L794" s="7" t="n">
        <v>-628.973008206387</v>
      </c>
      <c r="M794" s="6" t="n">
        <v>-0.03243901753932078</v>
      </c>
      <c r="N794" s="7" t="n">
        <v>229.1772940206543</v>
      </c>
      <c r="O794" s="7" t="n">
        <v>183.3418352165234</v>
      </c>
      <c r="P794" s="7" t="n">
        <v>23101.07123728195</v>
      </c>
      <c r="Q794" s="7" t="n">
        <v>24722.32098223535</v>
      </c>
      <c r="R794" s="7" t="n">
        <v>-1621.249744953402</v>
      </c>
      <c r="S794" s="6" t="n">
        <v>-0.06557837939724101</v>
      </c>
      <c r="T794" s="7" t="n">
        <v>15167.38795817412</v>
      </c>
      <c r="U794" s="7" t="n">
        <v>12133.9103665393</v>
      </c>
      <c r="V794" s="7" t="n">
        <v>305436.9627493477</v>
      </c>
      <c r="W794" s="7" t="n">
        <v>363446.1427904174</v>
      </c>
      <c r="X794" s="7" t="n">
        <v>-58009.18004106969</v>
      </c>
      <c r="Y794" s="6" t="n">
        <v>-0.1596087376129368</v>
      </c>
      <c r="Z794" s="7" t="n">
        <v>134393.6631821721</v>
      </c>
      <c r="AA794" s="7" t="n">
        <v>107514.9305457377</v>
      </c>
      <c r="AB794" s="7" t="n">
        <v>1406949.99942306</v>
      </c>
      <c r="AC794" s="7" t="n">
        <v>2111947.775025332</v>
      </c>
      <c r="AD794" s="7" t="n">
        <v>-704997.775602272</v>
      </c>
      <c r="AE794" s="6" t="n">
        <v>-0.3338140194275475</v>
      </c>
    </row>
    <row r="795">
      <c r="A795" s="2" t="n">
        <v>786</v>
      </c>
      <c r="B795" s="2" t="inlineStr">
        <is>
          <t>KPROP-00786</t>
        </is>
      </c>
      <c r="C795" s="3" t="n">
        <v>46157</v>
      </c>
      <c r="D795" s="2" t="inlineStr">
        <is>
          <t>Tanner Bibee</t>
        </is>
      </c>
      <c r="E795" s="2" t="inlineStr">
        <is>
          <t>Win</t>
        </is>
      </c>
      <c r="F795" s="2" t="n">
        <v>1.32</v>
      </c>
      <c r="G795" s="6" t="n">
        <v>0.1501053767044865</v>
      </c>
      <c r="H795" s="7" t="n">
        <v>100</v>
      </c>
      <c r="I795" s="7" t="n">
        <v>132</v>
      </c>
      <c r="J795" s="7" t="n">
        <v>18892.4245727771</v>
      </c>
      <c r="K795" s="7" t="n">
        <v>19389.39758098348</v>
      </c>
      <c r="L795" s="7" t="n">
        <v>-496.973008206387</v>
      </c>
      <c r="M795" s="6" t="n">
        <v>-0.02563117322911582</v>
      </c>
      <c r="N795" s="7" t="n">
        <v>231.0107123728195</v>
      </c>
      <c r="O795" s="7" t="n">
        <v>304.9341403321218</v>
      </c>
      <c r="P795" s="7" t="n">
        <v>23406.00537761407</v>
      </c>
      <c r="Q795" s="7" t="n">
        <v>24722.32098223535</v>
      </c>
      <c r="R795" s="7" t="n">
        <v>-1316.315604621279</v>
      </c>
      <c r="S795" s="6" t="n">
        <v>-0.05324401400528454</v>
      </c>
      <c r="T795" s="7" t="n">
        <v>11461.93258824126</v>
      </c>
      <c r="U795" s="7" t="n">
        <v>15129.75101647847</v>
      </c>
      <c r="V795" s="7" t="n">
        <v>320566.7137658262</v>
      </c>
      <c r="W795" s="7" t="n">
        <v>363446.1427904174</v>
      </c>
      <c r="X795" s="7" t="n">
        <v>-42879.42902459123</v>
      </c>
      <c r="Y795" s="6" t="n">
        <v>-0.117980146096413</v>
      </c>
      <c r="Z795" s="7" t="n">
        <v>105595.3798338878</v>
      </c>
      <c r="AA795" s="7" t="n">
        <v>139385.9013807319</v>
      </c>
      <c r="AB795" s="7" t="n">
        <v>1546335.900803792</v>
      </c>
      <c r="AC795" s="7" t="n">
        <v>2111947.775025332</v>
      </c>
      <c r="AD795" s="7" t="n">
        <v>-565611.8742215401</v>
      </c>
      <c r="AE795" s="6" t="n">
        <v>-0.2678152750319575</v>
      </c>
    </row>
    <row r="796">
      <c r="A796" s="2" t="n">
        <v>787</v>
      </c>
      <c r="B796" s="2" t="inlineStr">
        <is>
          <t>KPROP-00787</t>
        </is>
      </c>
      <c r="C796" s="3" t="n">
        <v>46157</v>
      </c>
      <c r="D796" s="2" t="inlineStr">
        <is>
          <t>Tanner Bibee</t>
        </is>
      </c>
      <c r="E796" s="2" t="inlineStr">
        <is>
          <t>Win</t>
        </is>
      </c>
      <c r="F796" s="2" t="n">
        <v>0.6666666666666665</v>
      </c>
      <c r="G796" s="6" t="n">
        <v>0.1863015526723367</v>
      </c>
      <c r="H796" s="7" t="n">
        <v>100</v>
      </c>
      <c r="I796" s="7" t="n">
        <v>66.66666666666666</v>
      </c>
      <c r="J796" s="7" t="n">
        <v>18959.09123944377</v>
      </c>
      <c r="K796" s="7" t="n">
        <v>19389.39758098348</v>
      </c>
      <c r="L796" s="7" t="n">
        <v>-430.3063415397191</v>
      </c>
      <c r="M796" s="6" t="n">
        <v>-0.02219286802194155</v>
      </c>
      <c r="N796" s="7" t="n">
        <v>234.0600537761407</v>
      </c>
      <c r="O796" s="7" t="n">
        <v>156.0400358507605</v>
      </c>
      <c r="P796" s="7" t="n">
        <v>23562.04541346484</v>
      </c>
      <c r="Q796" s="7" t="n">
        <v>24722.32098223535</v>
      </c>
      <c r="R796" s="7" t="n">
        <v>-1160.275568770518</v>
      </c>
      <c r="S796" s="6" t="n">
        <v>-0.0469323074319864</v>
      </c>
      <c r="T796" s="7" t="n">
        <v>14930.51912741049</v>
      </c>
      <c r="U796" s="7" t="n">
        <v>9953.679418273656</v>
      </c>
      <c r="V796" s="7" t="n">
        <v>330520.3931840999</v>
      </c>
      <c r="W796" s="7" t="n">
        <v>363446.1427904174</v>
      </c>
      <c r="X796" s="7" t="n">
        <v>-32925.74960631755</v>
      </c>
      <c r="Y796" s="6" t="n">
        <v>-0.09059320138473531</v>
      </c>
      <c r="Z796" s="7" t="n">
        <v>144042.3896363614</v>
      </c>
      <c r="AA796" s="7" t="n">
        <v>96028.25975757428</v>
      </c>
      <c r="AB796" s="7" t="n">
        <v>1642364.160561366</v>
      </c>
      <c r="AC796" s="7" t="n">
        <v>2111947.775025332</v>
      </c>
      <c r="AD796" s="7" t="n">
        <v>-469583.6144639659</v>
      </c>
      <c r="AE796" s="6" t="n">
        <v>-0.2223462246637862</v>
      </c>
    </row>
    <row r="797">
      <c r="A797" s="2" t="n">
        <v>788</v>
      </c>
      <c r="B797" s="2" t="inlineStr">
        <is>
          <t>KPROP-00788</t>
        </is>
      </c>
      <c r="C797" s="3" t="n">
        <v>46157</v>
      </c>
      <c r="D797" s="2" t="inlineStr">
        <is>
          <t>Trey Yesavage</t>
        </is>
      </c>
      <c r="E797" s="2" t="inlineStr">
        <is>
          <t>Loss</t>
        </is>
      </c>
      <c r="F797" s="2" t="n">
        <v>-1</v>
      </c>
      <c r="G797" s="6" t="n">
        <v>0.1325318583820852</v>
      </c>
      <c r="H797" s="7" t="n">
        <v>100</v>
      </c>
      <c r="I797" s="7" t="n">
        <v>-100</v>
      </c>
      <c r="J797" s="7" t="n">
        <v>18859.09123944377</v>
      </c>
      <c r="K797" s="7" t="n">
        <v>19389.39758098348</v>
      </c>
      <c r="L797" s="7" t="n">
        <v>-530.3063415397191</v>
      </c>
      <c r="M797" s="6" t="n">
        <v>-0.02735032583270287</v>
      </c>
      <c r="N797" s="7" t="n">
        <v>235.6204541346484</v>
      </c>
      <c r="O797" s="7" t="n">
        <v>-235.6204541346484</v>
      </c>
      <c r="P797" s="7" t="n">
        <v>23326.42495933019</v>
      </c>
      <c r="Q797" s="7" t="n">
        <v>24722.32098223535</v>
      </c>
      <c r="R797" s="7" t="n">
        <v>-1395.896022905166</v>
      </c>
      <c r="S797" s="6" t="n">
        <v>-0.05646298435766655</v>
      </c>
      <c r="T797" s="7" t="n">
        <v>10951.12048546656</v>
      </c>
      <c r="U797" s="7" t="n">
        <v>-10951.12048546656</v>
      </c>
      <c r="V797" s="7" t="n">
        <v>319569.2726986333</v>
      </c>
      <c r="W797" s="7" t="n">
        <v>363446.1427904174</v>
      </c>
      <c r="X797" s="7" t="n">
        <v>-43876.87009178411</v>
      </c>
      <c r="Y797" s="6" t="n">
        <v>-0.1207245446461812</v>
      </c>
      <c r="Z797" s="7" t="n">
        <v>108832.7871696656</v>
      </c>
      <c r="AA797" s="7" t="n">
        <v>-108832.7871696656</v>
      </c>
      <c r="AB797" s="7" t="n">
        <v>1533531.373391701</v>
      </c>
      <c r="AC797" s="7" t="n">
        <v>2111947.775025332</v>
      </c>
      <c r="AD797" s="7" t="n">
        <v>-578416.4016336314</v>
      </c>
      <c r="AE797" s="6" t="n">
        <v>-0.2738781746753626</v>
      </c>
    </row>
    <row r="798">
      <c r="A798" s="2" t="n">
        <v>789</v>
      </c>
      <c r="B798" s="2" t="inlineStr">
        <is>
          <t>KPROP-00789</t>
        </is>
      </c>
      <c r="C798" s="3" t="n">
        <v>46158</v>
      </c>
      <c r="D798" s="2" t="inlineStr">
        <is>
          <t>Bryce Elder</t>
        </is>
      </c>
      <c r="E798" s="2" t="inlineStr">
        <is>
          <t>Win</t>
        </is>
      </c>
      <c r="F798" s="2" t="n">
        <v>1.3</v>
      </c>
      <c r="G798" s="6" t="n">
        <v>0.1569922368104721</v>
      </c>
      <c r="H798" s="7" t="n">
        <v>100</v>
      </c>
      <c r="I798" s="7" t="n">
        <v>130</v>
      </c>
      <c r="J798" s="7" t="n">
        <v>18989.09123944377</v>
      </c>
      <c r="K798" s="7" t="n">
        <v>19389.39758098348</v>
      </c>
      <c r="L798" s="7" t="n">
        <v>-400.3063415397191</v>
      </c>
      <c r="M798" s="6" t="n">
        <v>-0.02064563067871315</v>
      </c>
      <c r="N798" s="7" t="n">
        <v>233.2642495933019</v>
      </c>
      <c r="O798" s="7" t="n">
        <v>303.2435244712924</v>
      </c>
      <c r="P798" s="7" t="n">
        <v>23629.66848380148</v>
      </c>
      <c r="Q798" s="7" t="n">
        <v>24722.32098223535</v>
      </c>
      <c r="R798" s="7" t="n">
        <v>-1092.652498433876</v>
      </c>
      <c r="S798" s="6" t="n">
        <v>-0.04419700315431629</v>
      </c>
      <c r="T798" s="7" t="n">
        <v>12542.47373421354</v>
      </c>
      <c r="U798" s="7" t="n">
        <v>16305.2158544776</v>
      </c>
      <c r="V798" s="7" t="n">
        <v>335874.4885531109</v>
      </c>
      <c r="W798" s="7" t="n">
        <v>363446.1427904174</v>
      </c>
      <c r="X798" s="7" t="n">
        <v>-27571.6542373065</v>
      </c>
      <c r="Y798" s="6" t="n">
        <v>-0.07586173298090496</v>
      </c>
      <c r="Z798" s="7" t="n">
        <v>120376.2602638992</v>
      </c>
      <c r="AA798" s="7" t="n">
        <v>156489.1383430689</v>
      </c>
      <c r="AB798" s="7" t="n">
        <v>1690020.51173477</v>
      </c>
      <c r="AC798" s="7" t="n">
        <v>2111947.775025332</v>
      </c>
      <c r="AD798" s="7" t="n">
        <v>-421927.2632905624</v>
      </c>
      <c r="AE798" s="6" t="n">
        <v>-0.1997811064648611</v>
      </c>
    </row>
    <row r="799">
      <c r="A799" s="2" t="n">
        <v>790</v>
      </c>
      <c r="B799" s="2" t="inlineStr">
        <is>
          <t>KPROP-00790</t>
        </is>
      </c>
      <c r="C799" s="3" t="n">
        <v>46158</v>
      </c>
      <c r="D799" s="2" t="inlineStr">
        <is>
          <t>Bryce Elder</t>
        </is>
      </c>
      <c r="E799" s="2" t="inlineStr">
        <is>
          <t>Win</t>
        </is>
      </c>
      <c r="F799" s="2" t="n">
        <v>0.6666666666666665</v>
      </c>
      <c r="G799" s="6" t="n">
        <v>0.2379098116103991</v>
      </c>
      <c r="H799" s="7" t="n">
        <v>100</v>
      </c>
      <c r="I799" s="7" t="n">
        <v>66.66666666666666</v>
      </c>
      <c r="J799" s="7" t="n">
        <v>19055.75790611043</v>
      </c>
      <c r="K799" s="7" t="n">
        <v>19389.39758098348</v>
      </c>
      <c r="L799" s="7" t="n">
        <v>-333.6396748730513</v>
      </c>
      <c r="M799" s="6" t="n">
        <v>-0.01720732547153887</v>
      </c>
      <c r="N799" s="7" t="n">
        <v>236.2966848380148</v>
      </c>
      <c r="O799" s="7" t="n">
        <v>157.5311232253432</v>
      </c>
      <c r="P799" s="7" t="n">
        <v>23787.19960702682</v>
      </c>
      <c r="Q799" s="7" t="n">
        <v>24722.32098223535</v>
      </c>
      <c r="R799" s="7" t="n">
        <v>-935.1213752085314</v>
      </c>
      <c r="S799" s="6" t="n">
        <v>-0.03782498317534502</v>
      </c>
      <c r="T799" s="7" t="n">
        <v>19976.95907410244</v>
      </c>
      <c r="U799" s="7" t="n">
        <v>13317.97271606829</v>
      </c>
      <c r="V799" s="7" t="n">
        <v>349192.4612691792</v>
      </c>
      <c r="W799" s="7" t="n">
        <v>363446.1427904174</v>
      </c>
      <c r="X799" s="7" t="n">
        <v>-14253.68152123824</v>
      </c>
      <c r="Y799" s="6" t="n">
        <v>-0.03921813947949277</v>
      </c>
      <c r="Z799" s="7" t="n">
        <v>201036.2307822647</v>
      </c>
      <c r="AA799" s="7" t="n">
        <v>134024.1538548431</v>
      </c>
      <c r="AB799" s="7" t="n">
        <v>1824044.665589613</v>
      </c>
      <c r="AC799" s="7" t="n">
        <v>2111947.775025332</v>
      </c>
      <c r="AD799" s="7" t="n">
        <v>-287903.1094357194</v>
      </c>
      <c r="AE799" s="6" t="n">
        <v>-0.1363211310621855</v>
      </c>
    </row>
    <row r="800">
      <c r="A800" s="2" t="n">
        <v>791</v>
      </c>
      <c r="B800" s="2" t="inlineStr">
        <is>
          <t>KPROP-00791</t>
        </is>
      </c>
      <c r="C800" s="3" t="n">
        <v>46158</v>
      </c>
      <c r="D800" s="2" t="inlineStr">
        <is>
          <t>Connor Prielipp</t>
        </is>
      </c>
      <c r="E800" s="2" t="inlineStr">
        <is>
          <t>Loss</t>
        </is>
      </c>
      <c r="F800" s="2" t="n">
        <v>-1</v>
      </c>
      <c r="G800" s="6" t="n">
        <v>0.1032887260972905</v>
      </c>
      <c r="H800" s="7" t="n">
        <v>100</v>
      </c>
      <c r="I800" s="7" t="n">
        <v>-100</v>
      </c>
      <c r="J800" s="7" t="n">
        <v>18955.75790611043</v>
      </c>
      <c r="K800" s="7" t="n">
        <v>19389.39758098348</v>
      </c>
      <c r="L800" s="7" t="n">
        <v>-433.6396748730513</v>
      </c>
      <c r="M800" s="6" t="n">
        <v>-0.02236478328230019</v>
      </c>
      <c r="N800" s="7" t="n">
        <v>237.8719960702682</v>
      </c>
      <c r="O800" s="7" t="n">
        <v>-237.8719960702682</v>
      </c>
      <c r="P800" s="7" t="n">
        <v>23549.32761095655</v>
      </c>
      <c r="Q800" s="7" t="n">
        <v>24722.32098223535</v>
      </c>
      <c r="R800" s="7" t="n">
        <v>-1172.993371278801</v>
      </c>
      <c r="S800" s="6" t="n">
        <v>-0.04744673334359161</v>
      </c>
      <c r="T800" s="7" t="n">
        <v>9016.911121817742</v>
      </c>
      <c r="U800" s="7" t="n">
        <v>-9016.911121817742</v>
      </c>
      <c r="V800" s="7" t="n">
        <v>340175.5501473615</v>
      </c>
      <c r="W800" s="7" t="n">
        <v>363446.1427904174</v>
      </c>
      <c r="X800" s="7" t="n">
        <v>-23270.59264305595</v>
      </c>
      <c r="Y800" s="6" t="n">
        <v>-0.06402762308712964</v>
      </c>
      <c r="Z800" s="7" t="n">
        <v>94201.62492665469</v>
      </c>
      <c r="AA800" s="7" t="n">
        <v>-94201.62492665469</v>
      </c>
      <c r="AB800" s="7" t="n">
        <v>1729843.040662958</v>
      </c>
      <c r="AC800" s="7" t="n">
        <v>2111947.775025332</v>
      </c>
      <c r="AD800" s="7" t="n">
        <v>-382104.7343623741</v>
      </c>
      <c r="AE800" s="6" t="n">
        <v>-0.1809252761270533</v>
      </c>
    </row>
    <row r="801">
      <c r="A801" s="2" t="n">
        <v>792</v>
      </c>
      <c r="B801" s="2" t="inlineStr">
        <is>
          <t>KPROP-00792</t>
        </is>
      </c>
      <c r="C801" s="3" t="n">
        <v>46158</v>
      </c>
      <c r="D801" s="2" t="inlineStr">
        <is>
          <t>Eduardo Rodriguez</t>
        </is>
      </c>
      <c r="E801" s="2" t="inlineStr">
        <is>
          <t>Loss</t>
        </is>
      </c>
      <c r="F801" s="2" t="n">
        <v>-1</v>
      </c>
      <c r="G801" s="6" t="n">
        <v>0.05809181300795562</v>
      </c>
      <c r="H801" s="7" t="n">
        <v>100</v>
      </c>
      <c r="I801" s="7" t="n">
        <v>-100</v>
      </c>
      <c r="J801" s="7" t="n">
        <v>18855.75790611043</v>
      </c>
      <c r="K801" s="7" t="n">
        <v>19389.39758098348</v>
      </c>
      <c r="L801" s="7" t="n">
        <v>-533.6396748730513</v>
      </c>
      <c r="M801" s="6" t="n">
        <v>-0.02752224109306152</v>
      </c>
      <c r="N801" s="7" t="n">
        <v>235.4932761095655</v>
      </c>
      <c r="O801" s="7" t="n">
        <v>-235.4932761095655</v>
      </c>
      <c r="P801" s="7" t="n">
        <v>23313.83433484699</v>
      </c>
      <c r="Q801" s="7" t="n">
        <v>24722.32098223535</v>
      </c>
      <c r="R801" s="7" t="n">
        <v>-1408.486647388367</v>
      </c>
      <c r="S801" s="6" t="n">
        <v>-0.05697226601015572</v>
      </c>
      <c r="T801" s="7" t="n">
        <v>4940.353612259738</v>
      </c>
      <c r="U801" s="7" t="n">
        <v>-4940.353612259738</v>
      </c>
      <c r="V801" s="7" t="n">
        <v>335235.1965351017</v>
      </c>
      <c r="W801" s="7" t="n">
        <v>363446.1427904174</v>
      </c>
      <c r="X801" s="7" t="n">
        <v>-28210.94625531568</v>
      </c>
      <c r="Y801" s="6" t="n">
        <v>-0.07762070616218818</v>
      </c>
      <c r="Z801" s="7" t="n">
        <v>50244.85922565297</v>
      </c>
      <c r="AA801" s="7" t="n">
        <v>-50244.85922565297</v>
      </c>
      <c r="AB801" s="7" t="n">
        <v>1679598.181437305</v>
      </c>
      <c r="AC801" s="7" t="n">
        <v>2111947.775025332</v>
      </c>
      <c r="AD801" s="7" t="n">
        <v>-432349.5935880269</v>
      </c>
      <c r="AE801" s="6" t="n">
        <v>-0.2047160439764383</v>
      </c>
    </row>
    <row r="802">
      <c r="A802" s="2" t="n">
        <v>793</v>
      </c>
      <c r="B802" s="2" t="inlineStr">
        <is>
          <t>KPROP-00793</t>
        </is>
      </c>
      <c r="C802" s="3" t="n">
        <v>46158</v>
      </c>
      <c r="D802" s="2" t="inlineStr">
        <is>
          <t>Jameson Taillon</t>
        </is>
      </c>
      <c r="E802" s="2" t="inlineStr">
        <is>
          <t>Win</t>
        </is>
      </c>
      <c r="F802" s="2" t="n">
        <v>1.2</v>
      </c>
      <c r="G802" s="6" t="n">
        <v>0.06152141428551397</v>
      </c>
      <c r="H802" s="7" t="n">
        <v>100</v>
      </c>
      <c r="I802" s="7" t="n">
        <v>120</v>
      </c>
      <c r="J802" s="7" t="n">
        <v>18975.75790611043</v>
      </c>
      <c r="K802" s="7" t="n">
        <v>19389.39758098348</v>
      </c>
      <c r="L802" s="7" t="n">
        <v>-413.6396748730513</v>
      </c>
      <c r="M802" s="6" t="n">
        <v>-0.02133329172014793</v>
      </c>
      <c r="N802" s="7" t="n">
        <v>233.1383433484699</v>
      </c>
      <c r="O802" s="7" t="n">
        <v>279.7660120181639</v>
      </c>
      <c r="P802" s="7" t="n">
        <v>23593.60034686515</v>
      </c>
      <c r="Q802" s="7" t="n">
        <v>24722.32098223535</v>
      </c>
      <c r="R802" s="7" t="n">
        <v>-1128.720635370202</v>
      </c>
      <c r="S802" s="6" t="n">
        <v>-0.04565593320227756</v>
      </c>
      <c r="T802" s="7" t="n">
        <v>5156.035852280423</v>
      </c>
      <c r="U802" s="7" t="n">
        <v>6187.243022736508</v>
      </c>
      <c r="V802" s="7" t="n">
        <v>341422.4395578383</v>
      </c>
      <c r="W802" s="7" t="n">
        <v>363446.1427904174</v>
      </c>
      <c r="X802" s="7" t="n">
        <v>-22023.70323257917</v>
      </c>
      <c r="Y802" s="6" t="n">
        <v>-0.06059688256281541</v>
      </c>
      <c r="Z802" s="7" t="n">
        <v>51665.62777670017</v>
      </c>
      <c r="AA802" s="7" t="n">
        <v>61998.75333204021</v>
      </c>
      <c r="AB802" s="7" t="n">
        <v>1741596.934769346</v>
      </c>
      <c r="AC802" s="7" t="n">
        <v>2111947.775025332</v>
      </c>
      <c r="AD802" s="7" t="n">
        <v>-370350.8402559867</v>
      </c>
      <c r="AE802" s="6" t="n">
        <v>-0.1753598477365494</v>
      </c>
    </row>
    <row r="803">
      <c r="A803" s="2" t="n">
        <v>794</v>
      </c>
      <c r="B803" s="2" t="inlineStr">
        <is>
          <t>KPROP-00794</t>
        </is>
      </c>
      <c r="C803" s="3" t="n">
        <v>46158</v>
      </c>
      <c r="D803" s="2" t="inlineStr">
        <is>
          <t>Logan Gilbert</t>
        </is>
      </c>
      <c r="E803" s="2" t="inlineStr">
        <is>
          <t>Win</t>
        </is>
      </c>
      <c r="F803" s="2" t="n">
        <v>1.38</v>
      </c>
      <c r="G803" s="6" t="n">
        <v>0.2198475874241103</v>
      </c>
      <c r="H803" s="7" t="n">
        <v>100</v>
      </c>
      <c r="I803" s="7" t="n">
        <v>138</v>
      </c>
      <c r="J803" s="7" t="n">
        <v>19113.75790611043</v>
      </c>
      <c r="K803" s="7" t="n">
        <v>19389.39758098348</v>
      </c>
      <c r="L803" s="7" t="n">
        <v>-275.6396748730513</v>
      </c>
      <c r="M803" s="6" t="n">
        <v>-0.0142159999412973</v>
      </c>
      <c r="N803" s="7" t="n">
        <v>235.9360034686515</v>
      </c>
      <c r="O803" s="7" t="n">
        <v>325.5916847867391</v>
      </c>
      <c r="P803" s="7" t="n">
        <v>23919.19203165189</v>
      </c>
      <c r="Q803" s="7" t="n">
        <v>24722.32098223535</v>
      </c>
      <c r="R803" s="7" t="n">
        <v>-803.1289505834648</v>
      </c>
      <c r="S803" s="6" t="n">
        <v>-0.03248598508046906</v>
      </c>
      <c r="T803" s="7" t="n">
        <v>18765.22490731122</v>
      </c>
      <c r="U803" s="7" t="n">
        <v>25896.01037208948</v>
      </c>
      <c r="V803" s="7" t="n">
        <v>367318.4499299277</v>
      </c>
      <c r="W803" s="7" t="n">
        <v>367318.4499299277</v>
      </c>
      <c r="X803" s="7" t="n">
        <v>0</v>
      </c>
      <c r="Y803" s="6" t="n">
        <v>0</v>
      </c>
      <c r="Z803" s="7" t="n">
        <v>191442.9421871331</v>
      </c>
      <c r="AA803" s="7" t="n">
        <v>264191.2602182437</v>
      </c>
      <c r="AB803" s="7" t="n">
        <v>2005788.194987589</v>
      </c>
      <c r="AC803" s="7" t="n">
        <v>2111947.775025332</v>
      </c>
      <c r="AD803" s="7" t="n">
        <v>-106159.5800377429</v>
      </c>
      <c r="AE803" s="6" t="n">
        <v>-0.0502661956385117</v>
      </c>
    </row>
    <row r="804">
      <c r="A804" s="2" t="n">
        <v>795</v>
      </c>
      <c r="B804" s="2" t="inlineStr">
        <is>
          <t>KPROP-00795</t>
        </is>
      </c>
      <c r="C804" s="3" t="n">
        <v>46158</v>
      </c>
      <c r="D804" s="2" t="inlineStr">
        <is>
          <t>Logan Gilbert</t>
        </is>
      </c>
      <c r="E804" s="2" t="inlineStr">
        <is>
          <t>Win</t>
        </is>
      </c>
      <c r="F804" s="2" t="n">
        <v>0.8333333333333335</v>
      </c>
      <c r="G804" s="6" t="n">
        <v>0.3466654653531949</v>
      </c>
      <c r="H804" s="7" t="n">
        <v>100</v>
      </c>
      <c r="I804" s="7" t="n">
        <v>83.33333333333334</v>
      </c>
      <c r="J804" s="7" t="n">
        <v>19197.09123944377</v>
      </c>
      <c r="K804" s="7" t="n">
        <v>19389.39758098348</v>
      </c>
      <c r="L804" s="7" t="n">
        <v>-192.3063415397191</v>
      </c>
      <c r="M804" s="6" t="n">
        <v>-0.009918118432329594</v>
      </c>
      <c r="N804" s="7" t="n">
        <v>239.1919203165189</v>
      </c>
      <c r="O804" s="7" t="n">
        <v>199.3266002637658</v>
      </c>
      <c r="P804" s="7" t="n">
        <v>24118.51863191565</v>
      </c>
      <c r="Q804" s="7" t="n">
        <v>24722.32098223535</v>
      </c>
      <c r="R804" s="7" t="n">
        <v>-603.8023503197001</v>
      </c>
      <c r="S804" s="6" t="n">
        <v>-0.02442336828947301</v>
      </c>
      <c r="T804" s="7" t="n">
        <v>31834.15534444316</v>
      </c>
      <c r="U804" s="7" t="n">
        <v>26528.46278703597</v>
      </c>
      <c r="V804" s="7" t="n">
        <v>393846.9127169637</v>
      </c>
      <c r="W804" s="7" t="n">
        <v>393846.9127169637</v>
      </c>
      <c r="X804" s="7" t="n">
        <v>0</v>
      </c>
      <c r="Y804" s="6" t="n">
        <v>0</v>
      </c>
      <c r="Z804" s="7" t="n">
        <v>347668.7490076588</v>
      </c>
      <c r="AA804" s="7" t="n">
        <v>289723.9575063824</v>
      </c>
      <c r="AB804" s="7" t="n">
        <v>2295512.152493972</v>
      </c>
      <c r="AC804" s="7" t="n">
        <v>2295512.152493972</v>
      </c>
      <c r="AD804" s="7" t="n">
        <v>0</v>
      </c>
      <c r="AE804" s="6" t="n">
        <v>0</v>
      </c>
    </row>
    <row r="805">
      <c r="A805" s="2" t="n">
        <v>796</v>
      </c>
      <c r="B805" s="2" t="inlineStr">
        <is>
          <t>KPROP-00796</t>
        </is>
      </c>
      <c r="C805" s="3" t="n">
        <v>46159</v>
      </c>
      <c r="D805" s="2" t="inlineStr">
        <is>
          <t>Brady Singer</t>
        </is>
      </c>
      <c r="E805" s="2" t="inlineStr">
        <is>
          <t>Loss</t>
        </is>
      </c>
      <c r="F805" s="2" t="n">
        <v>-1</v>
      </c>
      <c r="G805" s="6" t="n">
        <v>0.1186072262161354</v>
      </c>
      <c r="H805" s="7" t="n">
        <v>100</v>
      </c>
      <c r="I805" s="7" t="n">
        <v>-100</v>
      </c>
      <c r="J805" s="7" t="n">
        <v>19097.09123944377</v>
      </c>
      <c r="K805" s="7" t="n">
        <v>19389.39758098348</v>
      </c>
      <c r="L805" s="7" t="n">
        <v>-292.3063415397191</v>
      </c>
      <c r="M805" s="6" t="n">
        <v>-0.01507557624309092</v>
      </c>
      <c r="N805" s="7" t="n">
        <v>241.1851863191565</v>
      </c>
      <c r="O805" s="7" t="n">
        <v>-241.1851863191565</v>
      </c>
      <c r="P805" s="7" t="n">
        <v>23877.3334455965</v>
      </c>
      <c r="Q805" s="7" t="n">
        <v>24722.32098223535</v>
      </c>
      <c r="R805" s="7" t="n">
        <v>-844.9875366388551</v>
      </c>
      <c r="S805" s="6" t="n">
        <v>-0.03417913460657822</v>
      </c>
      <c r="T805" s="7" t="n">
        <v>11678.27246778686</v>
      </c>
      <c r="U805" s="7" t="n">
        <v>-11678.27246778686</v>
      </c>
      <c r="V805" s="7" t="n">
        <v>382168.6402491768</v>
      </c>
      <c r="W805" s="7" t="n">
        <v>393846.9127169637</v>
      </c>
      <c r="X805" s="7" t="n">
        <v>-11678.27246778685</v>
      </c>
      <c r="Y805" s="6" t="n">
        <v>-0.02965180655403383</v>
      </c>
      <c r="Z805" s="7" t="n">
        <v>136132.1645763703</v>
      </c>
      <c r="AA805" s="7" t="n">
        <v>-136132.1645763703</v>
      </c>
      <c r="AB805" s="7" t="n">
        <v>2159379.987917602</v>
      </c>
      <c r="AC805" s="7" t="n">
        <v>2295512.152493972</v>
      </c>
      <c r="AD805" s="7" t="n">
        <v>-136132.1645763703</v>
      </c>
      <c r="AE805" s="6" t="n">
        <v>-0.05930361310806773</v>
      </c>
    </row>
    <row r="806">
      <c r="A806" s="2" t="n">
        <v>797</v>
      </c>
      <c r="B806" s="2" t="inlineStr">
        <is>
          <t>KPROP-00797</t>
        </is>
      </c>
      <c r="C806" s="3" t="n">
        <v>46159</v>
      </c>
      <c r="D806" s="2" t="inlineStr">
        <is>
          <t>Drew Rasmussen</t>
        </is>
      </c>
      <c r="E806" s="2" t="inlineStr">
        <is>
          <t>Win</t>
        </is>
      </c>
      <c r="F806" s="2" t="n">
        <v>0.7575757575757576</v>
      </c>
      <c r="G806" s="6" t="n">
        <v>0.1362718718743021</v>
      </c>
      <c r="H806" s="7" t="n">
        <v>100</v>
      </c>
      <c r="I806" s="7" t="n">
        <v>75.75757575757575</v>
      </c>
      <c r="J806" s="7" t="n">
        <v>19172.84881520134</v>
      </c>
      <c r="K806" s="7" t="n">
        <v>19389.39758098348</v>
      </c>
      <c r="L806" s="7" t="n">
        <v>-216.5487657821432</v>
      </c>
      <c r="M806" s="6" t="n">
        <v>-0.01116841123493839</v>
      </c>
      <c r="N806" s="7" t="n">
        <v>238.773334455965</v>
      </c>
      <c r="O806" s="7" t="n">
        <v>180.8888897393674</v>
      </c>
      <c r="P806" s="7" t="n">
        <v>24058.22233533586</v>
      </c>
      <c r="Q806" s="7" t="n">
        <v>24722.32098223535</v>
      </c>
      <c r="R806" s="7" t="n">
        <v>-664.0986468994888</v>
      </c>
      <c r="S806" s="6" t="n">
        <v>-0.02686230986874931</v>
      </c>
      <c r="T806" s="7" t="n">
        <v>13019.70899460302</v>
      </c>
      <c r="U806" s="7" t="n">
        <v>9863.415905002286</v>
      </c>
      <c r="V806" s="7" t="n">
        <v>392032.0561541791</v>
      </c>
      <c r="W806" s="7" t="n">
        <v>393846.9127169637</v>
      </c>
      <c r="X806" s="7" t="n">
        <v>-1814.856562784582</v>
      </c>
      <c r="Y806" s="6" t="n">
        <v>-0.004608025362607883</v>
      </c>
      <c r="Z806" s="7" t="n">
        <v>147131.3765207197</v>
      </c>
      <c r="AA806" s="7" t="n">
        <v>111463.1640308483</v>
      </c>
      <c r="AB806" s="7" t="n">
        <v>2270843.15194845</v>
      </c>
      <c r="AC806" s="7" t="n">
        <v>2295512.152493972</v>
      </c>
      <c r="AD806" s="7" t="n">
        <v>-24669.0005455222</v>
      </c>
      <c r="AE806" s="6" t="n">
        <v>-0.01074662162808436</v>
      </c>
    </row>
    <row r="807">
      <c r="A807" s="2" t="n">
        <v>798</v>
      </c>
      <c r="B807" s="2" t="inlineStr">
        <is>
          <t>KPROP-00798</t>
        </is>
      </c>
      <c r="C807" s="3" t="n">
        <v>46159</v>
      </c>
      <c r="D807" s="2" t="inlineStr">
        <is>
          <t>George Kirby</t>
        </is>
      </c>
      <c r="E807" s="2" t="inlineStr">
        <is>
          <t>Loss</t>
        </is>
      </c>
      <c r="F807" s="2" t="n">
        <v>-1</v>
      </c>
      <c r="G807" s="6" t="n">
        <v>0.1489555181854575</v>
      </c>
      <c r="H807" s="7" t="n">
        <v>100</v>
      </c>
      <c r="I807" s="7" t="n">
        <v>-100</v>
      </c>
      <c r="J807" s="7" t="n">
        <v>19072.84881520134</v>
      </c>
      <c r="K807" s="7" t="n">
        <v>19389.39758098348</v>
      </c>
      <c r="L807" s="7" t="n">
        <v>-316.5487657821432</v>
      </c>
      <c r="M807" s="6" t="n">
        <v>-0.01632586904569971</v>
      </c>
      <c r="N807" s="7" t="n">
        <v>240.5822233533586</v>
      </c>
      <c r="O807" s="7" t="n">
        <v>-240.5822233533586</v>
      </c>
      <c r="P807" s="7" t="n">
        <v>23817.64011198251</v>
      </c>
      <c r="Q807" s="7" t="n">
        <v>24722.32098223535</v>
      </c>
      <c r="R807" s="7" t="n">
        <v>-904.6808702528469</v>
      </c>
      <c r="S807" s="6" t="n">
        <v>-0.03659368677006179</v>
      </c>
      <c r="T807" s="7" t="n">
        <v>14598.83451743903</v>
      </c>
      <c r="U807" s="7" t="n">
        <v>-14598.83451743903</v>
      </c>
      <c r="V807" s="7" t="n">
        <v>377433.2216367401</v>
      </c>
      <c r="W807" s="7" t="n">
        <v>393846.9127169637</v>
      </c>
      <c r="X807" s="7" t="n">
        <v>-16413.69108022359</v>
      </c>
      <c r="Y807" s="6" t="n">
        <v>-0.04167530720754747</v>
      </c>
      <c r="Z807" s="7" t="n">
        <v>169127.3092081894</v>
      </c>
      <c r="AA807" s="7" t="n">
        <v>-169127.3092081894</v>
      </c>
      <c r="AB807" s="7" t="n">
        <v>2101715.84274026</v>
      </c>
      <c r="AC807" s="7" t="n">
        <v>2295512.152493972</v>
      </c>
      <c r="AD807" s="7" t="n">
        <v>-193796.3097537118</v>
      </c>
      <c r="AE807" s="6" t="n">
        <v>-0.08442399642413599</v>
      </c>
    </row>
    <row r="808">
      <c r="A808" s="2" t="n">
        <v>799</v>
      </c>
      <c r="B808" s="2" t="inlineStr">
        <is>
          <t>KPROP-00799</t>
        </is>
      </c>
      <c r="C808" s="3" t="n">
        <v>46159</v>
      </c>
      <c r="D808" s="2" t="inlineStr">
        <is>
          <t>Jack Flaherty</t>
        </is>
      </c>
      <c r="E808" s="2" t="inlineStr">
        <is>
          <t>Win</t>
        </is>
      </c>
      <c r="F808" s="2" t="n">
        <v>1.17</v>
      </c>
      <c r="G808" s="6" t="n">
        <v>0.1451563411555523</v>
      </c>
      <c r="H808" s="7" t="n">
        <v>100</v>
      </c>
      <c r="I808" s="7" t="n">
        <v>117</v>
      </c>
      <c r="J808" s="7" t="n">
        <v>19189.84881520134</v>
      </c>
      <c r="K808" s="7" t="n">
        <v>19389.39758098348</v>
      </c>
      <c r="L808" s="7" t="n">
        <v>-199.5487657821432</v>
      </c>
      <c r="M808" s="6" t="n">
        <v>-0.01029164340710896</v>
      </c>
      <c r="N808" s="7" t="n">
        <v>238.1764011198251</v>
      </c>
      <c r="O808" s="7" t="n">
        <v>278.6663893101953</v>
      </c>
      <c r="P808" s="7" t="n">
        <v>24096.3065012927</v>
      </c>
      <c r="Q808" s="7" t="n">
        <v>24722.32098223535</v>
      </c>
      <c r="R808" s="7" t="n">
        <v>-626.0144809426529</v>
      </c>
      <c r="S808" s="6" t="n">
        <v>-0.02532183290527157</v>
      </c>
      <c r="T808" s="7" t="n">
        <v>13696.70637083546</v>
      </c>
      <c r="U808" s="7" t="n">
        <v>16025.14645387748</v>
      </c>
      <c r="V808" s="7" t="n">
        <v>393458.3680906176</v>
      </c>
      <c r="W808" s="7" t="n">
        <v>393846.9127169637</v>
      </c>
      <c r="X808" s="7" t="n">
        <v>-388.5446263460908</v>
      </c>
      <c r="Y808" s="6" t="n">
        <v>-0.0009865371894518739</v>
      </c>
      <c r="Z808" s="7" t="n">
        <v>152538.6909404171</v>
      </c>
      <c r="AA808" s="7" t="n">
        <v>178470.268400288</v>
      </c>
      <c r="AB808" s="7" t="n">
        <v>2280186.111140548</v>
      </c>
      <c r="AC808" s="7" t="n">
        <v>2295512.152493972</v>
      </c>
      <c r="AD808" s="7" t="n">
        <v>-15326.04135342361</v>
      </c>
      <c r="AE808" s="6" t="n">
        <v>-0.006676523727732198</v>
      </c>
    </row>
    <row r="809">
      <c r="A809" s="2" t="n">
        <v>800</v>
      </c>
      <c r="B809" s="2" t="inlineStr">
        <is>
          <t>KPROP-00800</t>
        </is>
      </c>
      <c r="C809" s="3" t="n">
        <v>46159</v>
      </c>
      <c r="D809" s="2" t="inlineStr">
        <is>
          <t>Jeffrey Springs</t>
        </is>
      </c>
      <c r="E809" s="2" t="inlineStr">
        <is>
          <t>Win</t>
        </is>
      </c>
      <c r="F809" s="2" t="n">
        <v>1.04</v>
      </c>
      <c r="G809" s="6" t="n">
        <v>0.2361437638570169</v>
      </c>
      <c r="H809" s="7" t="n">
        <v>100</v>
      </c>
      <c r="I809" s="7" t="n">
        <v>104</v>
      </c>
      <c r="J809" s="7" t="n">
        <v>19293.84881520134</v>
      </c>
      <c r="K809" s="7" t="n">
        <v>19389.39758098348</v>
      </c>
      <c r="L809" s="7" t="n">
        <v>-95.54876578214316</v>
      </c>
      <c r="M809" s="6" t="n">
        <v>-0.004927887283917186</v>
      </c>
      <c r="N809" s="7" t="n">
        <v>240.963065012927</v>
      </c>
      <c r="O809" s="7" t="n">
        <v>250.6015876134441</v>
      </c>
      <c r="P809" s="7" t="n">
        <v>24346.90808890614</v>
      </c>
      <c r="Q809" s="7" t="n">
        <v>24722.32098223535</v>
      </c>
      <c r="R809" s="7" t="n">
        <v>-375.4128933292086</v>
      </c>
      <c r="S809" s="6" t="n">
        <v>-0.01518517996748638</v>
      </c>
      <c r="T809" s="7" t="n">
        <v>23228.18499048951</v>
      </c>
      <c r="U809" s="7" t="n">
        <v>24157.31239010909</v>
      </c>
      <c r="V809" s="7" t="n">
        <v>417615.6804807267</v>
      </c>
      <c r="W809" s="7" t="n">
        <v>417615.6804807267</v>
      </c>
      <c r="X809" s="7" t="n">
        <v>0</v>
      </c>
      <c r="Y809" s="6" t="n">
        <v>0</v>
      </c>
      <c r="Z809" s="7" t="n">
        <v>269225.8652896117</v>
      </c>
      <c r="AA809" s="7" t="n">
        <v>279994.8999011962</v>
      </c>
      <c r="AB809" s="7" t="n">
        <v>2560181.011041745</v>
      </c>
      <c r="AC809" s="7" t="n">
        <v>2560181.011041745</v>
      </c>
      <c r="AD809" s="7" t="n">
        <v>0</v>
      </c>
      <c r="AE809" s="6" t="n">
        <v>0</v>
      </c>
    </row>
    <row r="810">
      <c r="A810" s="2" t="n">
        <v>801</v>
      </c>
      <c r="B810" s="2" t="inlineStr">
        <is>
          <t>KPROP-00801</t>
        </is>
      </c>
      <c r="C810" s="3" t="n">
        <v>46159</v>
      </c>
      <c r="D810" s="2" t="inlineStr">
        <is>
          <t>Kevin Gausman</t>
        </is>
      </c>
      <c r="E810" s="2" t="inlineStr">
        <is>
          <t>Win</t>
        </is>
      </c>
      <c r="F810" s="2" t="n">
        <v>0.970873786407767</v>
      </c>
      <c r="G810" s="6" t="n">
        <v>0.09465914522792988</v>
      </c>
      <c r="H810" s="7" t="n">
        <v>100</v>
      </c>
      <c r="I810" s="7" t="n">
        <v>97.08737864077671</v>
      </c>
      <c r="J810" s="7" t="n">
        <v>19390.93619384212</v>
      </c>
      <c r="K810" s="7" t="n">
        <v>19390.93619384212</v>
      </c>
      <c r="L810" s="7" t="n">
        <v>0</v>
      </c>
      <c r="M810" s="6" t="n">
        <v>0</v>
      </c>
      <c r="N810" s="7" t="n">
        <v>243.4690808890614</v>
      </c>
      <c r="O810" s="7" t="n">
        <v>236.377748435982</v>
      </c>
      <c r="P810" s="7" t="n">
        <v>24583.28583734213</v>
      </c>
      <c r="Q810" s="7" t="n">
        <v>24722.32098223535</v>
      </c>
      <c r="R810" s="7" t="n">
        <v>-139.035144893227</v>
      </c>
      <c r="S810" s="6" t="n">
        <v>-0.005623871035131898</v>
      </c>
      <c r="T810" s="7" t="n">
        <v>9882.785837021467</v>
      </c>
      <c r="U810" s="7" t="n">
        <v>9594.937705846085</v>
      </c>
      <c r="V810" s="7" t="n">
        <v>427210.6181865728</v>
      </c>
      <c r="W810" s="7" t="n">
        <v>427210.6181865728</v>
      </c>
      <c r="X810" s="7" t="n">
        <v>0</v>
      </c>
      <c r="Y810" s="6" t="n">
        <v>0</v>
      </c>
      <c r="Z810" s="7" t="n">
        <v>121172.2730669944</v>
      </c>
      <c r="AA810" s="7" t="n">
        <v>117642.9835601888</v>
      </c>
      <c r="AB810" s="7" t="n">
        <v>2677823.994601933</v>
      </c>
      <c r="AC810" s="7" t="n">
        <v>2677823.994601933</v>
      </c>
      <c r="AD810" s="7" t="n">
        <v>0</v>
      </c>
      <c r="AE810" s="6" t="n">
        <v>0</v>
      </c>
    </row>
    <row r="811">
      <c r="A811" s="2" t="n">
        <v>802</v>
      </c>
      <c r="B811" s="2" t="inlineStr">
        <is>
          <t>KPROP-00802</t>
        </is>
      </c>
      <c r="C811" s="3" t="n">
        <v>46159</v>
      </c>
      <c r="D811" s="2" t="inlineStr">
        <is>
          <t>Paul Skenes</t>
        </is>
      </c>
      <c r="E811" s="2" t="inlineStr">
        <is>
          <t>Loss</t>
        </is>
      </c>
      <c r="F811" s="2" t="n">
        <v>-1</v>
      </c>
      <c r="G811" s="6" t="n">
        <v>0.1714157250083626</v>
      </c>
      <c r="H811" s="7" t="n">
        <v>100</v>
      </c>
      <c r="I811" s="7" t="n">
        <v>-100</v>
      </c>
      <c r="J811" s="7" t="n">
        <v>19290.93619384212</v>
      </c>
      <c r="K811" s="7" t="n">
        <v>19390.93619384212</v>
      </c>
      <c r="L811" s="7" t="n">
        <v>-100</v>
      </c>
      <c r="M811" s="6" t="n">
        <v>-0.005157048581891394</v>
      </c>
      <c r="N811" s="7" t="n">
        <v>245.8328583734213</v>
      </c>
      <c r="O811" s="7" t="n">
        <v>-245.8328583734213</v>
      </c>
      <c r="P811" s="7" t="n">
        <v>24337.4529789687</v>
      </c>
      <c r="Q811" s="7" t="n">
        <v>24722.32098223535</v>
      </c>
      <c r="R811" s="7" t="n">
        <v>-384.8680032666489</v>
      </c>
      <c r="S811" s="6" t="n">
        <v>-0.0155676323247806</v>
      </c>
      <c r="T811" s="7" t="n">
        <v>18307.65446193054</v>
      </c>
      <c r="U811" s="7" t="n">
        <v>-18307.65446193054</v>
      </c>
      <c r="V811" s="7" t="n">
        <v>408902.9637246422</v>
      </c>
      <c r="W811" s="7" t="n">
        <v>427210.6181865728</v>
      </c>
      <c r="X811" s="7" t="n">
        <v>-18307.65446193056</v>
      </c>
      <c r="Y811" s="6" t="n">
        <v>-0.04285393125209071</v>
      </c>
      <c r="Z811" s="7" t="n">
        <v>229510.57073974</v>
      </c>
      <c r="AA811" s="7" t="n">
        <v>-229510.57073974</v>
      </c>
      <c r="AB811" s="7" t="n">
        <v>2448313.423862193</v>
      </c>
      <c r="AC811" s="7" t="n">
        <v>2677823.994601933</v>
      </c>
      <c r="AD811" s="7" t="n">
        <v>-229510.57073974</v>
      </c>
      <c r="AE811" s="6" t="n">
        <v>-0.0857078625041813</v>
      </c>
    </row>
    <row r="812">
      <c r="A812" s="2" t="n">
        <v>803</v>
      </c>
      <c r="B812" s="2" t="inlineStr">
        <is>
          <t>KPROP-00803</t>
        </is>
      </c>
      <c r="C812" s="3" t="n">
        <v>46160</v>
      </c>
      <c r="D812" s="2" t="inlineStr">
        <is>
          <t>Max Meyer</t>
        </is>
      </c>
      <c r="E812" s="2" t="inlineStr">
        <is>
          <t>Loss</t>
        </is>
      </c>
      <c r="F812" s="2" t="n">
        <v>-1</v>
      </c>
      <c r="G812" s="6" t="n">
        <v>0.1012327036682352</v>
      </c>
      <c r="H812" s="7" t="n">
        <v>100</v>
      </c>
      <c r="I812" s="7" t="n">
        <v>-100</v>
      </c>
      <c r="J812" s="7" t="n">
        <v>19190.93619384212</v>
      </c>
      <c r="K812" s="7" t="n">
        <v>19390.93619384212</v>
      </c>
      <c r="L812" s="7" t="n">
        <v>-200</v>
      </c>
      <c r="M812" s="6" t="n">
        <v>-0.01031409716378279</v>
      </c>
      <c r="N812" s="7" t="n">
        <v>243.374529789687</v>
      </c>
      <c r="O812" s="7" t="n">
        <v>-243.374529789687</v>
      </c>
      <c r="P812" s="7" t="n">
        <v>24094.07844917902</v>
      </c>
      <c r="Q812" s="7" t="n">
        <v>24722.32098223535</v>
      </c>
      <c r="R812" s="7" t="n">
        <v>-628.2425330563347</v>
      </c>
      <c r="S812" s="6" t="n">
        <v>-0.02541195600153275</v>
      </c>
      <c r="T812" s="7" t="n">
        <v>10348.58813894996</v>
      </c>
      <c r="U812" s="7" t="n">
        <v>-10348.58813894996</v>
      </c>
      <c r="V812" s="7" t="n">
        <v>398554.3755856923</v>
      </c>
      <c r="W812" s="7" t="n">
        <v>427210.6181865728</v>
      </c>
      <c r="X812" s="7" t="n">
        <v>-28656.24260088051</v>
      </c>
      <c r="Y812" s="6" t="n">
        <v>-0.06707755233828401</v>
      </c>
      <c r="Z812" s="7" t="n">
        <v>123924.6936624019</v>
      </c>
      <c r="AA812" s="7" t="n">
        <v>-123924.6936624019</v>
      </c>
      <c r="AB812" s="7" t="n">
        <v>2324388.730199791</v>
      </c>
      <c r="AC812" s="7" t="n">
        <v>2677823.994601933</v>
      </c>
      <c r="AD812" s="7" t="n">
        <v>-353435.2644021418</v>
      </c>
      <c r="AE812" s="6" t="n">
        <v>-0.131985995014837</v>
      </c>
    </row>
    <row r="813">
      <c r="A813" s="2" t="n">
        <v>804</v>
      </c>
      <c r="B813" s="2" t="inlineStr">
        <is>
          <t>KPROP-00804</t>
        </is>
      </c>
      <c r="C813" s="3" t="n">
        <v>46160</v>
      </c>
      <c r="D813" s="2" t="inlineStr">
        <is>
          <t>Nick Lodolo</t>
        </is>
      </c>
      <c r="E813" s="2" t="inlineStr">
        <is>
          <t>Win</t>
        </is>
      </c>
      <c r="F813" s="2" t="n">
        <v>0.8771929824561404</v>
      </c>
      <c r="G813" s="6" t="n">
        <v>0.1214899075184022</v>
      </c>
      <c r="H813" s="7" t="n">
        <v>100</v>
      </c>
      <c r="I813" s="7" t="n">
        <v>87.71929824561404</v>
      </c>
      <c r="J813" s="7" t="n">
        <v>19278.65549208773</v>
      </c>
      <c r="K813" s="7" t="n">
        <v>19390.93619384212</v>
      </c>
      <c r="L813" s="7" t="n">
        <v>-112.2807017543855</v>
      </c>
      <c r="M813" s="6" t="n">
        <v>-0.005790370337562244</v>
      </c>
      <c r="N813" s="7" t="n">
        <v>240.9407844917902</v>
      </c>
      <c r="O813" s="7" t="n">
        <v>211.3515653436756</v>
      </c>
      <c r="P813" s="7" t="n">
        <v>24305.4300145227</v>
      </c>
      <c r="Q813" s="7" t="n">
        <v>24722.32098223535</v>
      </c>
      <c r="R813" s="7" t="n">
        <v>-416.8909677126576</v>
      </c>
      <c r="S813" s="6" t="n">
        <v>-0.01686293807172157</v>
      </c>
      <c r="T813" s="7" t="n">
        <v>12105.08355774007</v>
      </c>
      <c r="U813" s="7" t="n">
        <v>10618.4943488948</v>
      </c>
      <c r="V813" s="7" t="n">
        <v>409172.8699345871</v>
      </c>
      <c r="W813" s="7" t="n">
        <v>427210.6181865728</v>
      </c>
      <c r="X813" s="7" t="n">
        <v>-18037.7482519857</v>
      </c>
      <c r="Y813" s="6" t="n">
        <v>-0.04222214402945434</v>
      </c>
      <c r="Z813" s="7" t="n">
        <v>141194.8859343945</v>
      </c>
      <c r="AA813" s="7" t="n">
        <v>123855.163100346</v>
      </c>
      <c r="AB813" s="7" t="n">
        <v>2448243.893300137</v>
      </c>
      <c r="AC813" s="7" t="n">
        <v>2677823.994601933</v>
      </c>
      <c r="AD813" s="7" t="n">
        <v>-229580.1013017958</v>
      </c>
      <c r="AE813" s="6" t="n">
        <v>-0.08573382782609788</v>
      </c>
    </row>
    <row r="814">
      <c r="A814" s="2" t="n">
        <v>805</v>
      </c>
      <c r="B814" s="2" t="inlineStr">
        <is>
          <t>KPROP-00805</t>
        </is>
      </c>
      <c r="C814" s="3" t="n">
        <v>46160</v>
      </c>
      <c r="D814" s="2" t="inlineStr">
        <is>
          <t>Patrick Corbin</t>
        </is>
      </c>
      <c r="E814" s="2" t="inlineStr">
        <is>
          <t>Win</t>
        </is>
      </c>
      <c r="F814" s="2" t="n">
        <v>1.24</v>
      </c>
      <c r="G814" s="6" t="n">
        <v>0.1285535339402584</v>
      </c>
      <c r="H814" s="7" t="n">
        <v>100</v>
      </c>
      <c r="I814" s="7" t="n">
        <v>124</v>
      </c>
      <c r="J814" s="7" t="n">
        <v>19402.65549208773</v>
      </c>
      <c r="K814" s="7" t="n">
        <v>19402.65549208773</v>
      </c>
      <c r="L814" s="7" t="n">
        <v>0</v>
      </c>
      <c r="M814" s="6" t="n">
        <v>0</v>
      </c>
      <c r="N814" s="7" t="n">
        <v>243.054300145227</v>
      </c>
      <c r="O814" s="7" t="n">
        <v>301.3873321800815</v>
      </c>
      <c r="P814" s="7" t="n">
        <v>24606.81734670278</v>
      </c>
      <c r="Q814" s="7" t="n">
        <v>24722.32098223535</v>
      </c>
      <c r="R814" s="7" t="n">
        <v>-115.5036355325756</v>
      </c>
      <c r="S814" s="6" t="n">
        <v>-0.004672038503810896</v>
      </c>
      <c r="T814" s="7" t="n">
        <v>13150.15460564222</v>
      </c>
      <c r="U814" s="7" t="n">
        <v>16306.19171099635</v>
      </c>
      <c r="V814" s="7" t="n">
        <v>425479.0616455834</v>
      </c>
      <c r="W814" s="7" t="n">
        <v>427210.6181865728</v>
      </c>
      <c r="X814" s="7" t="n">
        <v>-1731.556540989375</v>
      </c>
      <c r="Y814" s="6" t="n">
        <v>-0.004053168313885785</v>
      </c>
      <c r="Z814" s="7" t="n">
        <v>157365.2022156948</v>
      </c>
      <c r="AA814" s="7" t="n">
        <v>195132.8507474615</v>
      </c>
      <c r="AB814" s="7" t="n">
        <v>2643376.744047599</v>
      </c>
      <c r="AC814" s="7" t="n">
        <v>2677823.994601933</v>
      </c>
      <c r="AD814" s="7" t="n">
        <v>-34447.25055433437</v>
      </c>
      <c r="AE814" s="6" t="n">
        <v>-0.01286389644120545</v>
      </c>
    </row>
    <row r="815">
      <c r="A815" s="2" t="n">
        <v>806</v>
      </c>
      <c r="B815" s="2" t="inlineStr">
        <is>
          <t>KPROP-00806</t>
        </is>
      </c>
      <c r="C815" s="3" t="n">
        <v>46160</v>
      </c>
      <c r="D815" s="2" t="inlineStr">
        <is>
          <t>Shane McClanahan</t>
        </is>
      </c>
      <c r="E815" s="2" t="inlineStr">
        <is>
          <t>Loss</t>
        </is>
      </c>
      <c r="F815" s="2" t="n">
        <v>-1</v>
      </c>
      <c r="G815" s="6" t="n">
        <v>0.07735315635315801</v>
      </c>
      <c r="H815" s="7" t="n">
        <v>100</v>
      </c>
      <c r="I815" s="7" t="n">
        <v>-100</v>
      </c>
      <c r="J815" s="7" t="n">
        <v>19302.65549208773</v>
      </c>
      <c r="K815" s="7" t="n">
        <v>19402.65549208773</v>
      </c>
      <c r="L815" s="7" t="n">
        <v>-100</v>
      </c>
      <c r="M815" s="6" t="n">
        <v>-0.005153933699476306</v>
      </c>
      <c r="N815" s="7" t="n">
        <v>246.0681734670278</v>
      </c>
      <c r="O815" s="7" t="n">
        <v>-246.0681734670278</v>
      </c>
      <c r="P815" s="7" t="n">
        <v>24360.74917323575</v>
      </c>
      <c r="Q815" s="7" t="n">
        <v>24722.32098223535</v>
      </c>
      <c r="R815" s="7" t="n">
        <v>-361.5718089996044</v>
      </c>
      <c r="S815" s="6" t="n">
        <v>-0.01462531811877283</v>
      </c>
      <c r="T815" s="7" t="n">
        <v>8228.037095116442</v>
      </c>
      <c r="U815" s="7" t="n">
        <v>-8228.037095116442</v>
      </c>
      <c r="V815" s="7" t="n">
        <v>417251.024550467</v>
      </c>
      <c r="W815" s="7" t="n">
        <v>427210.6181865728</v>
      </c>
      <c r="X815" s="7" t="n">
        <v>-9959.593636105827</v>
      </c>
      <c r="Y815" s="6" t="n">
        <v>-0.02331307606159789</v>
      </c>
      <c r="Z815" s="7" t="n">
        <v>102236.7672913078</v>
      </c>
      <c r="AA815" s="7" t="n">
        <v>-102236.7672913078</v>
      </c>
      <c r="AB815" s="7" t="n">
        <v>2541139.976756291</v>
      </c>
      <c r="AC815" s="7" t="n">
        <v>2677823.994601933</v>
      </c>
      <c r="AD815" s="7" t="n">
        <v>-136684.0178456423</v>
      </c>
      <c r="AE815" s="6" t="n">
        <v>-0.05104294312142079</v>
      </c>
    </row>
    <row r="816">
      <c r="A816" s="2" t="n">
        <v>807</v>
      </c>
      <c r="B816" s="2" t="inlineStr">
        <is>
          <t>KPROP-00807</t>
        </is>
      </c>
      <c r="C816" s="3" t="n">
        <v>46161</v>
      </c>
      <c r="D816" s="2" t="inlineStr">
        <is>
          <t>Braxton Garrett</t>
        </is>
      </c>
      <c r="E816" s="2" t="inlineStr">
        <is>
          <t>Win</t>
        </is>
      </c>
      <c r="F816" s="2" t="n">
        <v>0.6944444444444444</v>
      </c>
      <c r="G816" s="6" t="n">
        <v>0.1688925916858417</v>
      </c>
      <c r="H816" s="7" t="n">
        <v>100</v>
      </c>
      <c r="I816" s="7" t="n">
        <v>69.44444444444444</v>
      </c>
      <c r="J816" s="7" t="n">
        <v>19372.09993653218</v>
      </c>
      <c r="K816" s="7" t="n">
        <v>19402.65549208773</v>
      </c>
      <c r="L816" s="7" t="n">
        <v>-30.55555555555475</v>
      </c>
      <c r="M816" s="6" t="n">
        <v>-0.001574813074839941</v>
      </c>
      <c r="N816" s="7" t="n">
        <v>243.6074917323575</v>
      </c>
      <c r="O816" s="7" t="n">
        <v>169.1718692585816</v>
      </c>
      <c r="P816" s="7" t="n">
        <v>24529.92104249433</v>
      </c>
      <c r="Q816" s="7" t="n">
        <v>24722.32098223535</v>
      </c>
      <c r="R816" s="7" t="n">
        <v>-192.3999397410225</v>
      </c>
      <c r="S816" s="6" t="n">
        <v>-0.007782438383486519</v>
      </c>
      <c r="T816" s="7" t="n">
        <v>17617.65172997528</v>
      </c>
      <c r="U816" s="7" t="n">
        <v>12234.48036803839</v>
      </c>
      <c r="V816" s="7" t="n">
        <v>429485.5049185054</v>
      </c>
      <c r="W816" s="7" t="n">
        <v>429485.5049185054</v>
      </c>
      <c r="X816" s="7" t="n">
        <v>0</v>
      </c>
      <c r="Y816" s="6" t="n">
        <v>0</v>
      </c>
      <c r="Z816" s="7" t="n">
        <v>214589.8582554348</v>
      </c>
      <c r="AA816" s="7" t="n">
        <v>149020.7348996075</v>
      </c>
      <c r="AB816" s="7" t="n">
        <v>2690160.711655898</v>
      </c>
      <c r="AC816" s="7" t="n">
        <v>2690160.711655898</v>
      </c>
      <c r="AD816" s="7" t="n">
        <v>0</v>
      </c>
      <c r="AE816" s="6" t="n">
        <v>0</v>
      </c>
    </row>
    <row r="817">
      <c r="A817" s="2" t="n">
        <v>808</v>
      </c>
      <c r="B817" s="2" t="inlineStr">
        <is>
          <t>KPROP-00808</t>
        </is>
      </c>
      <c r="C817" s="3" t="n">
        <v>46161</v>
      </c>
      <c r="D817" s="2" t="inlineStr">
        <is>
          <t>Foster Griffin</t>
        </is>
      </c>
      <c r="E817" s="2" t="inlineStr">
        <is>
          <t>Loss</t>
        </is>
      </c>
      <c r="F817" s="2" t="n">
        <v>-1</v>
      </c>
      <c r="G817" s="6" t="n">
        <v>0.0757808023916908</v>
      </c>
      <c r="H817" s="7" t="n">
        <v>100</v>
      </c>
      <c r="I817" s="7" t="n">
        <v>-100</v>
      </c>
      <c r="J817" s="7" t="n">
        <v>19272.09993653218</v>
      </c>
      <c r="K817" s="7" t="n">
        <v>19402.65549208773</v>
      </c>
      <c r="L817" s="7" t="n">
        <v>-130.5555555555547</v>
      </c>
      <c r="M817" s="6" t="n">
        <v>-0.006728746774316247</v>
      </c>
      <c r="N817" s="7" t="n">
        <v>245.2992104249433</v>
      </c>
      <c r="O817" s="7" t="n">
        <v>-245.2992104249433</v>
      </c>
      <c r="P817" s="7" t="n">
        <v>24284.62183206939</v>
      </c>
      <c r="Q817" s="7" t="n">
        <v>24722.32098223535</v>
      </c>
      <c r="R817" s="7" t="n">
        <v>-437.699150165965</v>
      </c>
      <c r="S817" s="6" t="n">
        <v>-0.01770461399965162</v>
      </c>
      <c r="T817" s="7" t="n">
        <v>8136.689044581201</v>
      </c>
      <c r="U817" s="7" t="n">
        <v>-8136.689044581201</v>
      </c>
      <c r="V817" s="7" t="n">
        <v>421348.8158739242</v>
      </c>
      <c r="W817" s="7" t="n">
        <v>429485.5049185054</v>
      </c>
      <c r="X817" s="7" t="n">
        <v>-8136.689044581202</v>
      </c>
      <c r="Y817" s="6" t="n">
        <v>-0.0189452005979227</v>
      </c>
      <c r="Z817" s="7" t="n">
        <v>101931.268645943</v>
      </c>
      <c r="AA817" s="7" t="n">
        <v>-101931.268645943</v>
      </c>
      <c r="AB817" s="7" t="n">
        <v>2588229.443009955</v>
      </c>
      <c r="AC817" s="7" t="n">
        <v>2690160.711655898</v>
      </c>
      <c r="AD817" s="7" t="n">
        <v>-101931.2686459431</v>
      </c>
      <c r="AE817" s="6" t="n">
        <v>-0.03789040119584546</v>
      </c>
    </row>
    <row r="818">
      <c r="A818" s="2" t="n">
        <v>809</v>
      </c>
      <c r="B818" s="2" t="inlineStr">
        <is>
          <t>KPROP-00809</t>
        </is>
      </c>
      <c r="C818" s="3" t="n">
        <v>46162</v>
      </c>
      <c r="D818" s="2" t="inlineStr">
        <is>
          <t>Chris Sale</t>
        </is>
      </c>
      <c r="E818" s="2" t="inlineStr">
        <is>
          <t>Loss</t>
        </is>
      </c>
      <c r="F818" s="2" t="n">
        <v>-1</v>
      </c>
      <c r="G818" s="6" t="n">
        <v>0.3330713431892383</v>
      </c>
      <c r="H818" s="7" t="n">
        <v>100</v>
      </c>
      <c r="I818" s="7" t="n">
        <v>-100</v>
      </c>
      <c r="J818" s="7" t="n">
        <v>19172.09993653218</v>
      </c>
      <c r="K818" s="7" t="n">
        <v>19402.65549208773</v>
      </c>
      <c r="L818" s="7" t="n">
        <v>-230.5555555555547</v>
      </c>
      <c r="M818" s="6" t="n">
        <v>-0.01188268047379255</v>
      </c>
      <c r="N818" s="7" t="n">
        <v>242.8462183206939</v>
      </c>
      <c r="O818" s="7" t="n">
        <v>-242.8462183206939</v>
      </c>
      <c r="P818" s="7" t="n">
        <v>24041.77561374869</v>
      </c>
      <c r="Q818" s="7" t="n">
        <v>24722.32098223535</v>
      </c>
      <c r="R818" s="7" t="n">
        <v>-680.5453684866588</v>
      </c>
      <c r="S818" s="6" t="n">
        <v>-0.0275275678596551</v>
      </c>
      <c r="T818" s="7" t="n">
        <v>35084.80401358074</v>
      </c>
      <c r="U818" s="7" t="n">
        <v>-35084.80401358074</v>
      </c>
      <c r="V818" s="7" t="n">
        <v>386264.0118603435</v>
      </c>
      <c r="W818" s="7" t="n">
        <v>429485.5049185054</v>
      </c>
      <c r="X818" s="7" t="n">
        <v>-43221.49305816193</v>
      </c>
      <c r="Y818" s="6" t="n">
        <v>-0.1006355105426973</v>
      </c>
      <c r="Z818" s="7" t="n">
        <v>431032.5285326299</v>
      </c>
      <c r="AA818" s="7" t="n">
        <v>-431032.5285326299</v>
      </c>
      <c r="AB818" s="7" t="n">
        <v>2157196.914477326</v>
      </c>
      <c r="AC818" s="7" t="n">
        <v>2690160.711655898</v>
      </c>
      <c r="AD818" s="7" t="n">
        <v>-532963.797178573</v>
      </c>
      <c r="AE818" s="6" t="n">
        <v>-0.1981159693803249</v>
      </c>
    </row>
    <row r="819">
      <c r="A819" s="2" t="n">
        <v>810</v>
      </c>
      <c r="B819" s="2" t="inlineStr">
        <is>
          <t>KPROP-00810</t>
        </is>
      </c>
      <c r="C819" s="3" t="n">
        <v>46162</v>
      </c>
      <c r="D819" s="2" t="inlineStr">
        <is>
          <t>Emerson Hancock</t>
        </is>
      </c>
      <c r="E819" s="2" t="inlineStr">
        <is>
          <t>Win</t>
        </is>
      </c>
      <c r="F819" s="2" t="n">
        <v>1.02</v>
      </c>
      <c r="G819" s="6" t="n">
        <v>0.2331416681699757</v>
      </c>
      <c r="H819" s="7" t="n">
        <v>100</v>
      </c>
      <c r="I819" s="7" t="n">
        <v>102</v>
      </c>
      <c r="J819" s="7" t="n">
        <v>19274.09993653218</v>
      </c>
      <c r="K819" s="7" t="n">
        <v>19402.65549208773</v>
      </c>
      <c r="L819" s="7" t="n">
        <v>-128.5555555555547</v>
      </c>
      <c r="M819" s="6" t="n">
        <v>-0.006625668100326721</v>
      </c>
      <c r="N819" s="7" t="n">
        <v>240.4177561374869</v>
      </c>
      <c r="O819" s="7" t="n">
        <v>245.2261112602367</v>
      </c>
      <c r="P819" s="7" t="n">
        <v>24287.00172500893</v>
      </c>
      <c r="Q819" s="7" t="n">
        <v>24722.32098223535</v>
      </c>
      <c r="R819" s="7" t="n">
        <v>-435.3192572264234</v>
      </c>
      <c r="S819" s="6" t="n">
        <v>-0.01760834905182363</v>
      </c>
      <c r="T819" s="7" t="n">
        <v>22513.55901978694</v>
      </c>
      <c r="U819" s="7" t="n">
        <v>22963.83020018267</v>
      </c>
      <c r="V819" s="7" t="n">
        <v>409227.8420605261</v>
      </c>
      <c r="W819" s="7" t="n">
        <v>429485.5049185054</v>
      </c>
      <c r="X819" s="7" t="n">
        <v>-20257.66285797925</v>
      </c>
      <c r="Y819" s="6" t="n">
        <v>-0.04716727951464422</v>
      </c>
      <c r="Z819" s="7" t="n">
        <v>251466.243606184</v>
      </c>
      <c r="AA819" s="7" t="n">
        <v>256495.5684783077</v>
      </c>
      <c r="AB819" s="7" t="n">
        <v>2413692.482955633</v>
      </c>
      <c r="AC819" s="7" t="n">
        <v>2690160.711655898</v>
      </c>
      <c r="AD819" s="7" t="n">
        <v>-276468.2287002653</v>
      </c>
      <c r="AE819" s="6" t="n">
        <v>-0.1027701532857821</v>
      </c>
    </row>
    <row r="820">
      <c r="A820" s="2" t="n">
        <v>811</v>
      </c>
      <c r="B820" s="2" t="inlineStr">
        <is>
          <t>KPROP-00811</t>
        </is>
      </c>
      <c r="C820" s="3" t="n">
        <v>46162</v>
      </c>
      <c r="D820" s="2" t="inlineStr">
        <is>
          <t>Joe Ryan</t>
        </is>
      </c>
      <c r="E820" s="2" t="inlineStr">
        <is>
          <t>Loss</t>
        </is>
      </c>
      <c r="F820" s="2" t="n">
        <v>-1</v>
      </c>
      <c r="G820" s="6" t="n">
        <v>0.1251977475952575</v>
      </c>
      <c r="H820" s="7" t="n">
        <v>100</v>
      </c>
      <c r="I820" s="7" t="n">
        <v>-100</v>
      </c>
      <c r="J820" s="7" t="n">
        <v>19174.09993653218</v>
      </c>
      <c r="K820" s="7" t="n">
        <v>19402.65549208773</v>
      </c>
      <c r="L820" s="7" t="n">
        <v>-228.5555555555547</v>
      </c>
      <c r="M820" s="6" t="n">
        <v>-0.01177960179980303</v>
      </c>
      <c r="N820" s="7" t="n">
        <v>242.8700172500893</v>
      </c>
      <c r="O820" s="7" t="n">
        <v>-242.8700172500893</v>
      </c>
      <c r="P820" s="7" t="n">
        <v>24044.13170775884</v>
      </c>
      <c r="Q820" s="7" t="n">
        <v>24722.32098223535</v>
      </c>
      <c r="R820" s="7" t="n">
        <v>-678.1892744765137</v>
      </c>
      <c r="S820" s="6" t="n">
        <v>-0.02743226556130544</v>
      </c>
      <c r="T820" s="7" t="n">
        <v>12808.60101981141</v>
      </c>
      <c r="U820" s="7" t="n">
        <v>-12808.60101981141</v>
      </c>
      <c r="V820" s="7" t="n">
        <v>396419.2410407147</v>
      </c>
      <c r="W820" s="7" t="n">
        <v>429485.5049185054</v>
      </c>
      <c r="X820" s="7" t="n">
        <v>-33066.26387779065</v>
      </c>
      <c r="Y820" s="6" t="n">
        <v>-0.07699040712460123</v>
      </c>
      <c r="Z820" s="7" t="n">
        <v>151094.4311268248</v>
      </c>
      <c r="AA820" s="7" t="n">
        <v>-151094.4311268248</v>
      </c>
      <c r="AB820" s="7" t="n">
        <v>2262598.051828808</v>
      </c>
      <c r="AC820" s="7" t="n">
        <v>2690160.711655898</v>
      </c>
      <c r="AD820" s="7" t="n">
        <v>-427562.6598270903</v>
      </c>
      <c r="AE820" s="6" t="n">
        <v>-0.1589357312277113</v>
      </c>
    </row>
    <row r="821">
      <c r="A821" s="2" t="n">
        <v>812</v>
      </c>
      <c r="B821" s="2" t="inlineStr">
        <is>
          <t>KPROP-00812</t>
        </is>
      </c>
      <c r="C821" s="3" t="n">
        <v>46162</v>
      </c>
      <c r="D821" s="2" t="inlineStr">
        <is>
          <t>Joe Ryan</t>
        </is>
      </c>
      <c r="E821" s="2" t="inlineStr">
        <is>
          <t>Loss</t>
        </is>
      </c>
      <c r="F821" s="2" t="n">
        <v>-1</v>
      </c>
      <c r="G821" s="6" t="n">
        <v>0.193266402545156</v>
      </c>
      <c r="H821" s="7" t="n">
        <v>100</v>
      </c>
      <c r="I821" s="7" t="n">
        <v>-100</v>
      </c>
      <c r="J821" s="7" t="n">
        <v>19074.09993653218</v>
      </c>
      <c r="K821" s="7" t="n">
        <v>19402.65549208773</v>
      </c>
      <c r="L821" s="7" t="n">
        <v>-328.5555555555547</v>
      </c>
      <c r="M821" s="6" t="n">
        <v>-0.01693353549927934</v>
      </c>
      <c r="N821" s="7" t="n">
        <v>240.4413170775884</v>
      </c>
      <c r="O821" s="7" t="n">
        <v>-240.4413170775884</v>
      </c>
      <c r="P821" s="7" t="n">
        <v>23803.69039068125</v>
      </c>
      <c r="Q821" s="7" t="n">
        <v>24722.32098223535</v>
      </c>
      <c r="R821" s="7" t="n">
        <v>-918.6305915541016</v>
      </c>
      <c r="S821" s="6" t="n">
        <v>-0.03715794290569236</v>
      </c>
      <c r="T821" s="7" t="n">
        <v>19153.630153905</v>
      </c>
      <c r="U821" s="7" t="n">
        <v>-19153.630153905</v>
      </c>
      <c r="V821" s="7" t="n">
        <v>377265.6108868097</v>
      </c>
      <c r="W821" s="7" t="n">
        <v>429485.5049185054</v>
      </c>
      <c r="X821" s="7" t="n">
        <v>-52219.89403169567</v>
      </c>
      <c r="Y821" s="6" t="n">
        <v>-0.1215870930070256</v>
      </c>
      <c r="Z821" s="7" t="n">
        <v>218642.0929413161</v>
      </c>
      <c r="AA821" s="7" t="n">
        <v>-218642.0929413161</v>
      </c>
      <c r="AB821" s="7" t="n">
        <v>2043955.958887492</v>
      </c>
      <c r="AC821" s="7" t="n">
        <v>2690160.711655898</v>
      </c>
      <c r="AD821" s="7" t="n">
        <v>-646204.7527684064</v>
      </c>
      <c r="AE821" s="6" t="n">
        <v>-0.2402104639951575</v>
      </c>
    </row>
    <row r="822">
      <c r="A822" s="2" t="n">
        <v>813</v>
      </c>
      <c r="B822" s="2" t="inlineStr">
        <is>
          <t>KPROP-00813</t>
        </is>
      </c>
      <c r="C822" s="3" t="n">
        <v>46162</v>
      </c>
      <c r="D822" s="2" t="inlineStr">
        <is>
          <t>Trey Yesavage</t>
        </is>
      </c>
      <c r="E822" s="2" t="inlineStr">
        <is>
          <t>Loss</t>
        </is>
      </c>
      <c r="F822" s="2" t="n">
        <v>-1</v>
      </c>
      <c r="G822" s="6" t="n">
        <v>0.1021462651162209</v>
      </c>
      <c r="H822" s="7" t="n">
        <v>100</v>
      </c>
      <c r="I822" s="7" t="n">
        <v>-100</v>
      </c>
      <c r="J822" s="7" t="n">
        <v>18974.09993653218</v>
      </c>
      <c r="K822" s="7" t="n">
        <v>19402.65549208773</v>
      </c>
      <c r="L822" s="7" t="n">
        <v>-428.5555555555547</v>
      </c>
      <c r="M822" s="6" t="n">
        <v>-0.02208746919875564</v>
      </c>
      <c r="N822" s="7" t="n">
        <v>238.0369039068125</v>
      </c>
      <c r="O822" s="7" t="n">
        <v>-238.0369039068125</v>
      </c>
      <c r="P822" s="7" t="n">
        <v>23565.65348677444</v>
      </c>
      <c r="Q822" s="7" t="n">
        <v>24722.32098223535</v>
      </c>
      <c r="R822" s="7" t="n">
        <v>-1156.667495460915</v>
      </c>
      <c r="S822" s="6" t="n">
        <v>-0.04678636347663549</v>
      </c>
      <c r="T822" s="7" t="n">
        <v>9634.068277219274</v>
      </c>
      <c r="U822" s="7" t="n">
        <v>-9634.068277219274</v>
      </c>
      <c r="V822" s="7" t="n">
        <v>367631.5426095905</v>
      </c>
      <c r="W822" s="7" t="n">
        <v>429485.5049185054</v>
      </c>
      <c r="X822" s="7" t="n">
        <v>-61853.96230891492</v>
      </c>
      <c r="Y822" s="6" t="n">
        <v>-0.1440187424268292</v>
      </c>
      <c r="Z822" s="7" t="n">
        <v>104391.2336312006</v>
      </c>
      <c r="AA822" s="7" t="n">
        <v>-104391.2336312006</v>
      </c>
      <c r="AB822" s="7" t="n">
        <v>1939564.725256291</v>
      </c>
      <c r="AC822" s="7" t="n">
        <v>2690160.711655898</v>
      </c>
      <c r="AD822" s="7" t="n">
        <v>-750595.986399607</v>
      </c>
      <c r="AE822" s="6" t="n">
        <v>-0.279015295683798</v>
      </c>
    </row>
    <row r="823">
      <c r="A823" s="2" t="n">
        <v>814</v>
      </c>
      <c r="B823" s="2" t="inlineStr">
        <is>
          <t>KPROP-00814</t>
        </is>
      </c>
      <c r="C823" s="3" t="n">
        <v>46163</v>
      </c>
      <c r="D823" s="2" t="inlineStr">
        <is>
          <t>Carlos Rodón</t>
        </is>
      </c>
      <c r="E823" s="2" t="inlineStr">
        <is>
          <t>Loss</t>
        </is>
      </c>
      <c r="F823" s="2" t="n">
        <v>-1</v>
      </c>
      <c r="G823" s="6" t="n">
        <v>0.09966253053349095</v>
      </c>
      <c r="H823" s="7" t="n">
        <v>100</v>
      </c>
      <c r="I823" s="7" t="n">
        <v>-100</v>
      </c>
      <c r="J823" s="7" t="n">
        <v>18874.09993653218</v>
      </c>
      <c r="K823" s="7" t="n">
        <v>19402.65549208773</v>
      </c>
      <c r="L823" s="7" t="n">
        <v>-528.5555555555547</v>
      </c>
      <c r="M823" s="6" t="n">
        <v>-0.02724140289823195</v>
      </c>
      <c r="N823" s="7" t="n">
        <v>235.6565348677444</v>
      </c>
      <c r="O823" s="7" t="n">
        <v>-235.6565348677444</v>
      </c>
      <c r="P823" s="7" t="n">
        <v>23329.99695190669</v>
      </c>
      <c r="Q823" s="7" t="n">
        <v>24722.32098223535</v>
      </c>
      <c r="R823" s="7" t="n">
        <v>-1392.324030328658</v>
      </c>
      <c r="S823" s="6" t="n">
        <v>-0.05631849984186908</v>
      </c>
      <c r="T823" s="7" t="n">
        <v>9159.772460100672</v>
      </c>
      <c r="U823" s="7" t="n">
        <v>-9159.772460100672</v>
      </c>
      <c r="V823" s="7" t="n">
        <v>358471.7701494898</v>
      </c>
      <c r="W823" s="7" t="n">
        <v>429485.5049185054</v>
      </c>
      <c r="X823" s="7" t="n">
        <v>-71013.73476901557</v>
      </c>
      <c r="Y823" s="6" t="n">
        <v>-0.1653460569815747</v>
      </c>
      <c r="Z823" s="7" t="n">
        <v>96650.96432626856</v>
      </c>
      <c r="AA823" s="7" t="n">
        <v>-96650.96432626856</v>
      </c>
      <c r="AB823" s="7" t="n">
        <v>1842913.760930023</v>
      </c>
      <c r="AC823" s="7" t="n">
        <v>2690160.711655898</v>
      </c>
      <c r="AD823" s="7" t="n">
        <v>-847246.9507258756</v>
      </c>
      <c r="AE823" s="6" t="n">
        <v>-0.3149428757378447</v>
      </c>
    </row>
    <row r="824">
      <c r="A824" s="2" t="n">
        <v>815</v>
      </c>
      <c r="B824" s="2" t="inlineStr">
        <is>
          <t>KPROP-00815</t>
        </is>
      </c>
      <c r="C824" s="3" t="n">
        <v>46163</v>
      </c>
      <c r="D824" s="2" t="inlineStr">
        <is>
          <t>Carlos Rodón</t>
        </is>
      </c>
      <c r="E824" s="2" t="inlineStr">
        <is>
          <t>Loss</t>
        </is>
      </c>
      <c r="F824" s="2" t="n">
        <v>-1</v>
      </c>
      <c r="G824" s="6" t="n">
        <v>0.1663211545406255</v>
      </c>
      <c r="H824" s="7" t="n">
        <v>100</v>
      </c>
      <c r="I824" s="7" t="n">
        <v>-100</v>
      </c>
      <c r="J824" s="7" t="n">
        <v>18774.09993653218</v>
      </c>
      <c r="K824" s="7" t="n">
        <v>19402.65549208773</v>
      </c>
      <c r="L824" s="7" t="n">
        <v>-628.5555555555547</v>
      </c>
      <c r="M824" s="6" t="n">
        <v>-0.03239533659770825</v>
      </c>
      <c r="N824" s="7" t="n">
        <v>233.299969519067</v>
      </c>
      <c r="O824" s="7" t="n">
        <v>-233.299969519067</v>
      </c>
      <c r="P824" s="7" t="n">
        <v>23096.69698238763</v>
      </c>
      <c r="Q824" s="7" t="n">
        <v>24722.32098223535</v>
      </c>
      <c r="R824" s="7" t="n">
        <v>-1625.623999847725</v>
      </c>
      <c r="S824" s="6" t="n">
        <v>-0.06575531484345037</v>
      </c>
      <c r="T824" s="7" t="n">
        <v>14905.35967037122</v>
      </c>
      <c r="U824" s="7" t="n">
        <v>-14905.35967037122</v>
      </c>
      <c r="V824" s="7" t="n">
        <v>343566.4104791186</v>
      </c>
      <c r="W824" s="7" t="n">
        <v>429485.5049185054</v>
      </c>
      <c r="X824" s="7" t="n">
        <v>-85919.0944393868</v>
      </c>
      <c r="Y824" s="6" t="n">
        <v>-0.2000512088427522</v>
      </c>
      <c r="Z824" s="7" t="n">
        <v>153257.7722183438</v>
      </c>
      <c r="AA824" s="7" t="n">
        <v>-153257.7722183438</v>
      </c>
      <c r="AB824" s="7" t="n">
        <v>1689655.988711679</v>
      </c>
      <c r="AC824" s="7" t="n">
        <v>2690160.711655898</v>
      </c>
      <c r="AD824" s="7" t="n">
        <v>-1000504.722944219</v>
      </c>
      <c r="AE824" s="6" t="n">
        <v>-0.3719126216546259</v>
      </c>
    </row>
    <row r="825">
      <c r="A825" s="2" t="n">
        <v>816</v>
      </c>
      <c r="B825" s="2" t="inlineStr">
        <is>
          <t>KPROP-00816</t>
        </is>
      </c>
      <c r="C825" s="3" t="n">
        <v>46163</v>
      </c>
      <c r="D825" s="2" t="inlineStr">
        <is>
          <t>Casey Mize</t>
        </is>
      </c>
      <c r="E825" s="2" t="inlineStr">
        <is>
          <t>Win</t>
        </is>
      </c>
      <c r="F825" s="2" t="n">
        <v>0.8695652173913042</v>
      </c>
      <c r="G825" s="6" t="n">
        <v>0.08458851510114659</v>
      </c>
      <c r="H825" s="7" t="n">
        <v>100</v>
      </c>
      <c r="I825" s="7" t="n">
        <v>86.95652173913042</v>
      </c>
      <c r="J825" s="7" t="n">
        <v>18861.05645827131</v>
      </c>
      <c r="K825" s="7" t="n">
        <v>19402.65549208773</v>
      </c>
      <c r="L825" s="7" t="n">
        <v>-541.5990338164229</v>
      </c>
      <c r="M825" s="6" t="n">
        <v>-0.0279136551199027</v>
      </c>
      <c r="N825" s="7" t="n">
        <v>230.9669698238763</v>
      </c>
      <c r="O825" s="7" t="n">
        <v>200.8408433251098</v>
      </c>
      <c r="P825" s="7" t="n">
        <v>23297.53782571274</v>
      </c>
      <c r="Q825" s="7" t="n">
        <v>24722.32098223535</v>
      </c>
      <c r="R825" s="7" t="n">
        <v>-1424.783156522615</v>
      </c>
      <c r="S825" s="6" t="n">
        <v>-0.05763144801600212</v>
      </c>
      <c r="T825" s="7" t="n">
        <v>7265.443125264913</v>
      </c>
      <c r="U825" s="7" t="n">
        <v>6317.776630665141</v>
      </c>
      <c r="V825" s="7" t="n">
        <v>349884.1871097837</v>
      </c>
      <c r="W825" s="7" t="n">
        <v>429485.5049185054</v>
      </c>
      <c r="X825" s="7" t="n">
        <v>-79601.31780872168</v>
      </c>
      <c r="Y825" s="6" t="n">
        <v>-0.1853411044077634</v>
      </c>
      <c r="Z825" s="7" t="n">
        <v>71462.74555844032</v>
      </c>
      <c r="AA825" s="7" t="n">
        <v>62141.51787690462</v>
      </c>
      <c r="AB825" s="7" t="n">
        <v>1751797.506588584</v>
      </c>
      <c r="AC825" s="7" t="n">
        <v>2690160.711655898</v>
      </c>
      <c r="AD825" s="7" t="n">
        <v>-938363.2050673147</v>
      </c>
      <c r="AE825" s="6" t="n">
        <v>-0.3488130657033184</v>
      </c>
    </row>
    <row r="826">
      <c r="A826" s="2" t="n">
        <v>817</v>
      </c>
      <c r="B826" s="2" t="inlineStr">
        <is>
          <t>KPROP-00817</t>
        </is>
      </c>
      <c r="C826" s="3" t="n">
        <v>46163</v>
      </c>
      <c r="D826" s="2" t="inlineStr">
        <is>
          <t>David Peterson</t>
        </is>
      </c>
      <c r="E826" s="2" t="inlineStr">
        <is>
          <t>Win</t>
        </is>
      </c>
      <c r="F826" s="2" t="n">
        <v>0.8849557522123894</v>
      </c>
      <c r="G826" s="6" t="n">
        <v>0.1440515859877291</v>
      </c>
      <c r="H826" s="7" t="n">
        <v>100</v>
      </c>
      <c r="I826" s="7" t="n">
        <v>88.49557522123894</v>
      </c>
      <c r="J826" s="7" t="n">
        <v>18949.55203349255</v>
      </c>
      <c r="K826" s="7" t="n">
        <v>19402.65549208773</v>
      </c>
      <c r="L826" s="7" t="n">
        <v>-453.1034585951857</v>
      </c>
      <c r="M826" s="6" t="n">
        <v>-0.02335265184602995</v>
      </c>
      <c r="N826" s="7" t="n">
        <v>232.9753782571274</v>
      </c>
      <c r="O826" s="7" t="n">
        <v>206.1729011125021</v>
      </c>
      <c r="P826" s="7" t="n">
        <v>23503.71072682524</v>
      </c>
      <c r="Q826" s="7" t="n">
        <v>24722.32098223535</v>
      </c>
      <c r="R826" s="7" t="n">
        <v>-1218.610255410113</v>
      </c>
      <c r="S826" s="6" t="n">
        <v>-0.04929190330817911</v>
      </c>
      <c r="T826" s="7" t="n">
        <v>12600.34301629792</v>
      </c>
      <c r="U826" s="7" t="n">
        <v>11150.74603212206</v>
      </c>
      <c r="V826" s="7" t="n">
        <v>361034.9331419058</v>
      </c>
      <c r="W826" s="7" t="n">
        <v>429485.5049185054</v>
      </c>
      <c r="X826" s="7" t="n">
        <v>-68450.57177659962</v>
      </c>
      <c r="Y826" s="6" t="n">
        <v>-0.1593780721181454</v>
      </c>
      <c r="Z826" s="7" t="n">
        <v>126174.6045767174</v>
      </c>
      <c r="AA826" s="7" t="n">
        <v>111658.9421032897</v>
      </c>
      <c r="AB826" s="7" t="n">
        <v>1863456.448691874</v>
      </c>
      <c r="AC826" s="7" t="n">
        <v>2690160.711655898</v>
      </c>
      <c r="AD826" s="7" t="n">
        <v>-826704.2629640249</v>
      </c>
      <c r="AE826" s="6" t="n">
        <v>-0.3073066450573342</v>
      </c>
    </row>
    <row r="827">
      <c r="A827" s="2" t="n">
        <v>818</v>
      </c>
      <c r="B827" s="2" t="inlineStr">
        <is>
          <t>KPROP-00818</t>
        </is>
      </c>
      <c r="C827" s="3" t="n">
        <v>46164</v>
      </c>
      <c r="D827" s="2" t="inlineStr">
        <is>
          <t>Cristopher Sánchez</t>
        </is>
      </c>
      <c r="E827" s="2" t="inlineStr">
        <is>
          <t>Win</t>
        </is>
      </c>
      <c r="F827" s="2" t="n">
        <v>1.14</v>
      </c>
      <c r="G827" s="6" t="n">
        <v>0.2519664843790494</v>
      </c>
      <c r="H827" s="7" t="n">
        <v>100</v>
      </c>
      <c r="I827" s="7" t="n">
        <v>114</v>
      </c>
      <c r="J827" s="7" t="n">
        <v>19063.55203349255</v>
      </c>
      <c r="K827" s="7" t="n">
        <v>19402.65549208773</v>
      </c>
      <c r="L827" s="7" t="n">
        <v>-339.1034585951857</v>
      </c>
      <c r="M827" s="6" t="n">
        <v>-0.01747716742862696</v>
      </c>
      <c r="N827" s="7" t="n">
        <v>235.0371072682524</v>
      </c>
      <c r="O827" s="7" t="n">
        <v>267.9423022858077</v>
      </c>
      <c r="P827" s="7" t="n">
        <v>23771.65302911105</v>
      </c>
      <c r="Q827" s="7" t="n">
        <v>24722.32098223535</v>
      </c>
      <c r="R827" s="7" t="n">
        <v>-950.6679531243062</v>
      </c>
      <c r="S827" s="6" t="n">
        <v>-0.03845383100589241</v>
      </c>
      <c r="T827" s="7" t="n">
        <v>22742.17571044778</v>
      </c>
      <c r="U827" s="7" t="n">
        <v>25926.08030991047</v>
      </c>
      <c r="V827" s="7" t="n">
        <v>386961.0134518162</v>
      </c>
      <c r="W827" s="7" t="n">
        <v>429485.5049185054</v>
      </c>
      <c r="X827" s="7" t="n">
        <v>-42524.49146668916</v>
      </c>
      <c r="Y827" s="6" t="n">
        <v>-0.0990126348379514</v>
      </c>
      <c r="Z827" s="7" t="n">
        <v>234764.2850851799</v>
      </c>
      <c r="AA827" s="7" t="n">
        <v>267631.284997105</v>
      </c>
      <c r="AB827" s="7" t="n">
        <v>2131087.733688978</v>
      </c>
      <c r="AC827" s="7" t="n">
        <v>2690160.711655898</v>
      </c>
      <c r="AD827" s="7" t="n">
        <v>-559072.97796692</v>
      </c>
      <c r="AE827" s="6" t="n">
        <v>-0.2078214047006838</v>
      </c>
    </row>
    <row r="828">
      <c r="A828" s="2" t="n">
        <v>819</v>
      </c>
      <c r="B828" s="2" t="inlineStr">
        <is>
          <t>KPROP-00819</t>
        </is>
      </c>
      <c r="C828" s="3" t="n">
        <v>46164</v>
      </c>
      <c r="D828" s="2" t="inlineStr">
        <is>
          <t>Cristopher Sánchez</t>
        </is>
      </c>
      <c r="E828" s="2" t="inlineStr">
        <is>
          <t>Win</t>
        </is>
      </c>
      <c r="F828" s="2" t="n">
        <v>0.5555555555555556</v>
      </c>
      <c r="G828" s="6" t="n">
        <v>0.2716237617951787</v>
      </c>
      <c r="H828" s="7" t="n">
        <v>100</v>
      </c>
      <c r="I828" s="7" t="n">
        <v>55.55555555555556</v>
      </c>
      <c r="J828" s="7" t="n">
        <v>19119.1075890481</v>
      </c>
      <c r="K828" s="7" t="n">
        <v>19402.65549208773</v>
      </c>
      <c r="L828" s="7" t="n">
        <v>-283.5479030396309</v>
      </c>
      <c r="M828" s="6" t="n">
        <v>-0.01461387092891794</v>
      </c>
      <c r="N828" s="7" t="n">
        <v>237.7165302911105</v>
      </c>
      <c r="O828" s="7" t="n">
        <v>132.0647390506169</v>
      </c>
      <c r="P828" s="7" t="n">
        <v>23903.71776816166</v>
      </c>
      <c r="Q828" s="7" t="n">
        <v>24722.32098223535</v>
      </c>
      <c r="R828" s="7" t="n">
        <v>-818.6032140736897</v>
      </c>
      <c r="S828" s="6" t="n">
        <v>-0.03311190784481405</v>
      </c>
      <c r="T828" s="7" t="n">
        <v>26276.95153546427</v>
      </c>
      <c r="U828" s="7" t="n">
        <v>14598.30640859126</v>
      </c>
      <c r="V828" s="7" t="n">
        <v>401559.3198604075</v>
      </c>
      <c r="W828" s="7" t="n">
        <v>429485.5049185054</v>
      </c>
      <c r="X828" s="7" t="n">
        <v>-27926.18505809788</v>
      </c>
      <c r="Y828" s="6" t="n">
        <v>-0.06502241574694553</v>
      </c>
      <c r="Z828" s="7" t="n">
        <v>289427.0334700812</v>
      </c>
      <c r="AA828" s="7" t="n">
        <v>160792.7963722673</v>
      </c>
      <c r="AB828" s="7" t="n">
        <v>2291880.530061246</v>
      </c>
      <c r="AC828" s="7" t="n">
        <v>2690160.711655898</v>
      </c>
      <c r="AD828" s="7" t="n">
        <v>-398280.1815946526</v>
      </c>
      <c r="AE828" s="6" t="n">
        <v>-0.1480507019037891</v>
      </c>
    </row>
    <row r="829">
      <c r="A829" s="2" t="n">
        <v>820</v>
      </c>
      <c r="B829" s="2" t="inlineStr">
        <is>
          <t>KPROP-00820</t>
        </is>
      </c>
      <c r="C829" s="3" t="n">
        <v>46164</v>
      </c>
      <c r="D829" s="2" t="inlineStr">
        <is>
          <t>Gerrit Cole</t>
        </is>
      </c>
      <c r="E829" s="2" t="inlineStr">
        <is>
          <t>Win</t>
        </is>
      </c>
      <c r="F829" s="2" t="n">
        <v>1.2</v>
      </c>
      <c r="G829" s="6" t="n">
        <v>0.07721749799918436</v>
      </c>
      <c r="H829" s="7" t="n">
        <v>100</v>
      </c>
      <c r="I829" s="7" t="n">
        <v>120</v>
      </c>
      <c r="J829" s="7" t="n">
        <v>19239.1075890481</v>
      </c>
      <c r="K829" s="7" t="n">
        <v>19402.65549208773</v>
      </c>
      <c r="L829" s="7" t="n">
        <v>-163.5479030396309</v>
      </c>
      <c r="M829" s="6" t="n">
        <v>-0.008429150489546372</v>
      </c>
      <c r="N829" s="7" t="n">
        <v>239.0371776816166</v>
      </c>
      <c r="O829" s="7" t="n">
        <v>286.84461321794</v>
      </c>
      <c r="P829" s="7" t="n">
        <v>24190.5623813796</v>
      </c>
      <c r="Q829" s="7" t="n">
        <v>24722.32098223535</v>
      </c>
      <c r="R829" s="7" t="n">
        <v>-531.7586008557482</v>
      </c>
      <c r="S829" s="6" t="n">
        <v>-0.02150925073895175</v>
      </c>
      <c r="T829" s="7" t="n">
        <v>7751.851494468712</v>
      </c>
      <c r="U829" s="7" t="n">
        <v>9302.221793362456</v>
      </c>
      <c r="V829" s="7" t="n">
        <v>410861.54165377</v>
      </c>
      <c r="W829" s="7" t="n">
        <v>429485.5049185054</v>
      </c>
      <c r="X829" s="7" t="n">
        <v>-18623.96326473542</v>
      </c>
      <c r="Y829" s="6" t="n">
        <v>-0.04336342682454278</v>
      </c>
      <c r="Z829" s="7" t="n">
        <v>88486.64012218692</v>
      </c>
      <c r="AA829" s="7" t="n">
        <v>106183.9681466243</v>
      </c>
      <c r="AB829" s="7" t="n">
        <v>2398064.49820787</v>
      </c>
      <c r="AC829" s="7" t="n">
        <v>2690160.711655898</v>
      </c>
      <c r="AD829" s="7" t="n">
        <v>-292096.2134480281</v>
      </c>
      <c r="AE829" s="6" t="n">
        <v>-0.1085794659710986</v>
      </c>
    </row>
    <row r="830">
      <c r="A830" s="2" t="n">
        <v>821</v>
      </c>
      <c r="B830" s="2" t="inlineStr">
        <is>
          <t>KPROP-00821</t>
        </is>
      </c>
      <c r="C830" s="3" t="n">
        <v>46164</v>
      </c>
      <c r="D830" s="2" t="inlineStr">
        <is>
          <t>Kevin Gausman</t>
        </is>
      </c>
      <c r="E830" s="2" t="inlineStr">
        <is>
          <t>Loss</t>
        </is>
      </c>
      <c r="F830" s="2" t="n">
        <v>-1</v>
      </c>
      <c r="G830" s="6" t="n">
        <v>0.1315424007675223</v>
      </c>
      <c r="H830" s="7" t="n">
        <v>100</v>
      </c>
      <c r="I830" s="7" t="n">
        <v>-100</v>
      </c>
      <c r="J830" s="7" t="n">
        <v>19139.1075890481</v>
      </c>
      <c r="K830" s="7" t="n">
        <v>19402.65549208773</v>
      </c>
      <c r="L830" s="7" t="n">
        <v>-263.5479030396309</v>
      </c>
      <c r="M830" s="6" t="n">
        <v>-0.01358308418902268</v>
      </c>
      <c r="N830" s="7" t="n">
        <v>241.905623813796</v>
      </c>
      <c r="O830" s="7" t="n">
        <v>-241.905623813796</v>
      </c>
      <c r="P830" s="7" t="n">
        <v>23948.65675756581</v>
      </c>
      <c r="Q830" s="7" t="n">
        <v>24722.32098223535</v>
      </c>
      <c r="R830" s="7" t="n">
        <v>-773.6642246695446</v>
      </c>
      <c r="S830" s="6" t="n">
        <v>-0.03129415823156225</v>
      </c>
      <c r="T830" s="7" t="n">
        <v>13511.42839304557</v>
      </c>
      <c r="U830" s="7" t="n">
        <v>-13511.42839304557</v>
      </c>
      <c r="V830" s="7" t="n">
        <v>397350.1132607244</v>
      </c>
      <c r="W830" s="7" t="n">
        <v>429485.5049185054</v>
      </c>
      <c r="X830" s="7" t="n">
        <v>-32135.39165778097</v>
      </c>
      <c r="Y830" s="6" t="n">
        <v>-0.07482299469892155</v>
      </c>
      <c r="Z830" s="7" t="n">
        <v>157723.5806448135</v>
      </c>
      <c r="AA830" s="7" t="n">
        <v>-157723.5806448135</v>
      </c>
      <c r="AB830" s="7" t="n">
        <v>2240340.917563057</v>
      </c>
      <c r="AC830" s="7" t="n">
        <v>2690160.711655898</v>
      </c>
      <c r="AD830" s="7" t="n">
        <v>-449819.7940928414</v>
      </c>
      <c r="AE830" s="6" t="n">
        <v>-0.1672092645409128</v>
      </c>
    </row>
    <row r="831">
      <c r="A831" s="2" t="n">
        <v>822</v>
      </c>
      <c r="B831" s="2" t="inlineStr">
        <is>
          <t>KPROP-00822</t>
        </is>
      </c>
      <c r="C831" s="3" t="n">
        <v>46164</v>
      </c>
      <c r="D831" s="2" t="inlineStr">
        <is>
          <t>Kevin Gausman</t>
        </is>
      </c>
      <c r="E831" s="2" t="inlineStr">
        <is>
          <t>Loss</t>
        </is>
      </c>
      <c r="F831" s="2" t="n">
        <v>-1</v>
      </c>
      <c r="G831" s="6" t="n">
        <v>0.1659464498390045</v>
      </c>
      <c r="H831" s="7" t="n">
        <v>100</v>
      </c>
      <c r="I831" s="7" t="n">
        <v>-100</v>
      </c>
      <c r="J831" s="7" t="n">
        <v>19039.1075890481</v>
      </c>
      <c r="K831" s="7" t="n">
        <v>19402.65549208773</v>
      </c>
      <c r="L831" s="7" t="n">
        <v>-363.5479030396309</v>
      </c>
      <c r="M831" s="6" t="n">
        <v>-0.01873701788849898</v>
      </c>
      <c r="N831" s="7" t="n">
        <v>239.4865675756581</v>
      </c>
      <c r="O831" s="7" t="n">
        <v>-239.4865675756581</v>
      </c>
      <c r="P831" s="7" t="n">
        <v>23709.17018999015</v>
      </c>
      <c r="Q831" s="7" t="n">
        <v>24722.32098223535</v>
      </c>
      <c r="R831" s="7" t="n">
        <v>-1013.150792245204</v>
      </c>
      <c r="S831" s="6" t="n">
        <v>-0.04098121664924667</v>
      </c>
      <c r="T831" s="7" t="n">
        <v>16484.71015968589</v>
      </c>
      <c r="U831" s="7" t="n">
        <v>-16484.71015968589</v>
      </c>
      <c r="V831" s="7" t="n">
        <v>380865.4031010385</v>
      </c>
      <c r="W831" s="7" t="n">
        <v>429485.5049185054</v>
      </c>
      <c r="X831" s="7" t="n">
        <v>-48620.10181746684</v>
      </c>
      <c r="Y831" s="6" t="n">
        <v>-0.1132054545745205</v>
      </c>
      <c r="Z831" s="7" t="n">
        <v>185888.3108493235</v>
      </c>
      <c r="AA831" s="7" t="n">
        <v>-185888.3108493235</v>
      </c>
      <c r="AB831" s="7" t="n">
        <v>2054452.606713733</v>
      </c>
      <c r="AC831" s="7" t="n">
        <v>2690160.711655898</v>
      </c>
      <c r="AD831" s="7" t="n">
        <v>-635708.1049421651</v>
      </c>
      <c r="AE831" s="6" t="n">
        <v>-0.2363085975450374</v>
      </c>
    </row>
    <row r="832">
      <c r="A832" s="2" t="n">
        <v>823</v>
      </c>
      <c r="B832" s="2" t="inlineStr">
        <is>
          <t>KPROP-00823</t>
        </is>
      </c>
      <c r="C832" s="3" t="n">
        <v>46164</v>
      </c>
      <c r="D832" s="2" t="inlineStr">
        <is>
          <t>Logan Gilbert</t>
        </is>
      </c>
      <c r="E832" s="2" t="inlineStr">
        <is>
          <t>Loss</t>
        </is>
      </c>
      <c r="F832" s="2" t="n">
        <v>-1</v>
      </c>
      <c r="G832" s="6" t="n">
        <v>0.1507389159685025</v>
      </c>
      <c r="H832" s="7" t="n">
        <v>100</v>
      </c>
      <c r="I832" s="7" t="n">
        <v>-100</v>
      </c>
      <c r="J832" s="7" t="n">
        <v>18939.1075890481</v>
      </c>
      <c r="K832" s="7" t="n">
        <v>19402.65549208773</v>
      </c>
      <c r="L832" s="7" t="n">
        <v>-463.5479030396309</v>
      </c>
      <c r="M832" s="6" t="n">
        <v>-0.02389095158797529</v>
      </c>
      <c r="N832" s="7" t="n">
        <v>237.0917018999015</v>
      </c>
      <c r="O832" s="7" t="n">
        <v>-237.0917018999015</v>
      </c>
      <c r="P832" s="7" t="n">
        <v>23472.07848809025</v>
      </c>
      <c r="Q832" s="7" t="n">
        <v>24722.32098223535</v>
      </c>
      <c r="R832" s="7" t="n">
        <v>-1250.242494145106</v>
      </c>
      <c r="S832" s="6" t="n">
        <v>-0.05057140448275425</v>
      </c>
      <c r="T832" s="7" t="n">
        <v>14352.80949833932</v>
      </c>
      <c r="U832" s="7" t="n">
        <v>-14352.80949833932</v>
      </c>
      <c r="V832" s="7" t="n">
        <v>366512.5936026992</v>
      </c>
      <c r="W832" s="7" t="n">
        <v>429485.5049185054</v>
      </c>
      <c r="X832" s="7" t="n">
        <v>-62972.91131580615</v>
      </c>
      <c r="Y832" s="6" t="n">
        <v>-0.1466240666905749</v>
      </c>
      <c r="Z832" s="7" t="n">
        <v>154842.9794223462</v>
      </c>
      <c r="AA832" s="7" t="n">
        <v>-154842.9794223462</v>
      </c>
      <c r="AB832" s="7" t="n">
        <v>1899609.627291387</v>
      </c>
      <c r="AC832" s="7" t="n">
        <v>2690160.711655898</v>
      </c>
      <c r="AD832" s="7" t="n">
        <v>-790551.0843645113</v>
      </c>
      <c r="AE832" s="6" t="n">
        <v>-0.2938676046153006</v>
      </c>
    </row>
    <row r="833">
      <c r="A833" s="2" t="n">
        <v>824</v>
      </c>
      <c r="B833" s="2" t="inlineStr">
        <is>
          <t>KPROP-00824</t>
        </is>
      </c>
      <c r="C833" s="3" t="n">
        <v>46164</v>
      </c>
      <c r="D833" s="2" t="inlineStr">
        <is>
          <t>Logan Henderson</t>
        </is>
      </c>
      <c r="E833" s="2" t="inlineStr">
        <is>
          <t>Loss</t>
        </is>
      </c>
      <c r="F833" s="2" t="n">
        <v>-1</v>
      </c>
      <c r="G833" s="6" t="n">
        <v>0.1721474459858838</v>
      </c>
      <c r="H833" s="7" t="n">
        <v>100</v>
      </c>
      <c r="I833" s="7" t="n">
        <v>-100</v>
      </c>
      <c r="J833" s="7" t="n">
        <v>18839.1075890481</v>
      </c>
      <c r="K833" s="7" t="n">
        <v>19402.65549208773</v>
      </c>
      <c r="L833" s="7" t="n">
        <v>-563.5479030396309</v>
      </c>
      <c r="M833" s="6" t="n">
        <v>-0.0290448852874516</v>
      </c>
      <c r="N833" s="7" t="n">
        <v>234.7207848809025</v>
      </c>
      <c r="O833" s="7" t="n">
        <v>-234.7207848809025</v>
      </c>
      <c r="P833" s="7" t="n">
        <v>23237.35770320935</v>
      </c>
      <c r="Q833" s="7" t="n">
        <v>24722.32098223535</v>
      </c>
      <c r="R833" s="7" t="n">
        <v>-1484.963279026008</v>
      </c>
      <c r="S833" s="6" t="n">
        <v>-0.06006569043792665</v>
      </c>
      <c r="T833" s="7" t="n">
        <v>15773.55172759171</v>
      </c>
      <c r="U833" s="7" t="n">
        <v>-15773.55172759171</v>
      </c>
      <c r="V833" s="7" t="n">
        <v>350739.0418751075</v>
      </c>
      <c r="W833" s="7" t="n">
        <v>429485.5049185054</v>
      </c>
      <c r="X833" s="7" t="n">
        <v>-78746.46304339787</v>
      </c>
      <c r="Y833" s="6" t="n">
        <v>-0.1833506885368343</v>
      </c>
      <c r="Z833" s="7" t="n">
        <v>163506.4728542045</v>
      </c>
      <c r="AA833" s="7" t="n">
        <v>-163506.4728542045</v>
      </c>
      <c r="AB833" s="7" t="n">
        <v>1736103.154437183</v>
      </c>
      <c r="AC833" s="7" t="n">
        <v>2690160.711655898</v>
      </c>
      <c r="AD833" s="7" t="n">
        <v>-954057.5572187158</v>
      </c>
      <c r="AE833" s="6" t="n">
        <v>-0.3546470488119858</v>
      </c>
    </row>
    <row r="834">
      <c r="A834" s="2" t="n">
        <v>825</v>
      </c>
      <c r="B834" s="2" t="inlineStr">
        <is>
          <t>KPROP-00825</t>
        </is>
      </c>
      <c r="C834" s="3" t="n">
        <v>46164</v>
      </c>
      <c r="D834" s="2" t="inlineStr">
        <is>
          <t>Spencer Arrighetti</t>
        </is>
      </c>
      <c r="E834" s="2" t="inlineStr">
        <is>
          <t>Win</t>
        </is>
      </c>
      <c r="F834" s="2" t="n">
        <v>0.6578947368421053</v>
      </c>
      <c r="G834" s="6" t="n">
        <v>0.1268722578957966</v>
      </c>
      <c r="H834" s="7" t="n">
        <v>100</v>
      </c>
      <c r="I834" s="7" t="n">
        <v>65.78947368421053</v>
      </c>
      <c r="J834" s="7" t="n">
        <v>18904.89706273231</v>
      </c>
      <c r="K834" s="7" t="n">
        <v>19402.65549208773</v>
      </c>
      <c r="L834" s="7" t="n">
        <v>-497.758429355421</v>
      </c>
      <c r="M834" s="6" t="n">
        <v>-0.02565413943253301</v>
      </c>
      <c r="N834" s="7" t="n">
        <v>232.3735770320935</v>
      </c>
      <c r="O834" s="7" t="n">
        <v>152.8773533105878</v>
      </c>
      <c r="P834" s="7" t="n">
        <v>23390.23505651993</v>
      </c>
      <c r="Q834" s="7" t="n">
        <v>24722.32098223535</v>
      </c>
      <c r="R834" s="7" t="n">
        <v>-1332.085925715419</v>
      </c>
      <c r="S834" s="6" t="n">
        <v>-0.05388191208554455</v>
      </c>
      <c r="T834" s="7" t="n">
        <v>11124.76354372581</v>
      </c>
      <c r="U834" s="7" t="n">
        <v>7318.92338403014</v>
      </c>
      <c r="V834" s="7" t="n">
        <v>358057.9652591376</v>
      </c>
      <c r="W834" s="7" t="n">
        <v>429485.5049185054</v>
      </c>
      <c r="X834" s="7" t="n">
        <v>-71427.53965936776</v>
      </c>
      <c r="Y834" s="6" t="n">
        <v>-0.1663095467515745</v>
      </c>
      <c r="Z834" s="7" t="n">
        <v>110131.6635717301</v>
      </c>
      <c r="AA834" s="7" t="n">
        <v>72455.04182350668</v>
      </c>
      <c r="AB834" s="7" t="n">
        <v>1808558.196260689</v>
      </c>
      <c r="AC834" s="7" t="n">
        <v>2690160.711655898</v>
      </c>
      <c r="AD834" s="7" t="n">
        <v>-881602.5153952092</v>
      </c>
      <c r="AE834" s="6" t="n">
        <v>-0.3277136981353611</v>
      </c>
    </row>
    <row r="835">
      <c r="A835" s="2" t="n">
        <v>826</v>
      </c>
      <c r="B835" s="2" t="inlineStr">
        <is>
          <t>KPROP-00826</t>
        </is>
      </c>
      <c r="C835" s="3" t="n">
        <v>46165</v>
      </c>
      <c r="D835" s="2" t="inlineStr">
        <is>
          <t>Max Meyer</t>
        </is>
      </c>
      <c r="E835" s="2" t="inlineStr">
        <is>
          <t>Loss</t>
        </is>
      </c>
      <c r="F835" s="2" t="n">
        <v>-1</v>
      </c>
      <c r="G835" s="6" t="n">
        <v>0.08586239189369144</v>
      </c>
      <c r="H835" s="7" t="n">
        <v>100</v>
      </c>
      <c r="I835" s="7" t="n">
        <v>-100</v>
      </c>
      <c r="J835" s="7" t="n">
        <v>18804.89706273231</v>
      </c>
      <c r="K835" s="7" t="n">
        <v>19402.65549208773</v>
      </c>
      <c r="L835" s="7" t="n">
        <v>-597.758429355421</v>
      </c>
      <c r="M835" s="6" t="n">
        <v>-0.03080807313200931</v>
      </c>
      <c r="N835" s="7" t="n">
        <v>233.9023505651994</v>
      </c>
      <c r="O835" s="7" t="n">
        <v>-233.9023505651994</v>
      </c>
      <c r="P835" s="7" t="n">
        <v>23156.33270595473</v>
      </c>
      <c r="Q835" s="7" t="n">
        <v>24722.32098223535</v>
      </c>
      <c r="R835" s="7" t="n">
        <v>-1565.988276280619</v>
      </c>
      <c r="S835" s="6" t="n">
        <v>-0.06334309296468915</v>
      </c>
      <c r="T835" s="7" t="n">
        <v>7685.928333434457</v>
      </c>
      <c r="U835" s="7" t="n">
        <v>-7685.928333434457</v>
      </c>
      <c r="V835" s="7" t="n">
        <v>350372.0369257032</v>
      </c>
      <c r="W835" s="7" t="n">
        <v>429485.5049185054</v>
      </c>
      <c r="X835" s="7" t="n">
        <v>-79113.46799280221</v>
      </c>
      <c r="Y835" s="6" t="n">
        <v>-0.1842052108552859</v>
      </c>
      <c r="Z835" s="7" t="n">
        <v>77643.5663049415</v>
      </c>
      <c r="AA835" s="7" t="n">
        <v>-77643.5663049415</v>
      </c>
      <c r="AB835" s="7" t="n">
        <v>1730914.629955748</v>
      </c>
      <c r="AC835" s="7" t="n">
        <v>2690160.711655898</v>
      </c>
      <c r="AD835" s="7" t="n">
        <v>-959246.0817001506</v>
      </c>
      <c r="AE835" s="6" t="n">
        <v>-0.3565757530930921</v>
      </c>
    </row>
    <row r="836">
      <c r="A836" s="2" t="n">
        <v>827</v>
      </c>
      <c r="B836" s="2" t="inlineStr">
        <is>
          <t>KPROP-00827</t>
        </is>
      </c>
      <c r="C836" s="3" t="n">
        <v>46165</v>
      </c>
      <c r="D836" s="2" t="inlineStr">
        <is>
          <t>Paul Skenes</t>
        </is>
      </c>
      <c r="E836" s="2" t="inlineStr">
        <is>
          <t>Win</t>
        </is>
      </c>
      <c r="F836" s="2" t="n">
        <v>1.13</v>
      </c>
      <c r="G836" s="6" t="n">
        <v>0.3511221440434797</v>
      </c>
      <c r="H836" s="7" t="n">
        <v>100</v>
      </c>
      <c r="I836" s="7" t="n">
        <v>113</v>
      </c>
      <c r="J836" s="7" t="n">
        <v>18917.89706273231</v>
      </c>
      <c r="K836" s="7" t="n">
        <v>19402.65549208773</v>
      </c>
      <c r="L836" s="7" t="n">
        <v>-484.758429355421</v>
      </c>
      <c r="M836" s="6" t="n">
        <v>-0.02498412805160109</v>
      </c>
      <c r="N836" s="7" t="n">
        <v>231.5633270595473</v>
      </c>
      <c r="O836" s="7" t="n">
        <v>261.6665595772885</v>
      </c>
      <c r="P836" s="7" t="n">
        <v>23417.99926553202</v>
      </c>
      <c r="Q836" s="7" t="n">
        <v>24722.32098223535</v>
      </c>
      <c r="R836" s="7" t="n">
        <v>-1304.321716703329</v>
      </c>
      <c r="S836" s="6" t="n">
        <v>-0.05275886991519007</v>
      </c>
      <c r="T836" s="7" t="n">
        <v>30755.84520455853</v>
      </c>
      <c r="U836" s="7" t="n">
        <v>34754.10508115114</v>
      </c>
      <c r="V836" s="7" t="n">
        <v>385126.1420068543</v>
      </c>
      <c r="W836" s="7" t="n">
        <v>429485.5049185054</v>
      </c>
      <c r="X836" s="7" t="n">
        <v>-44359.36291165109</v>
      </c>
      <c r="Y836" s="6" t="n">
        <v>-0.1032848894867086</v>
      </c>
      <c r="Z836" s="7" t="n">
        <v>303881.2280131442</v>
      </c>
      <c r="AA836" s="7" t="n">
        <v>343385.787654853</v>
      </c>
      <c r="AB836" s="7" t="n">
        <v>2074300.417610601</v>
      </c>
      <c r="AC836" s="7" t="n">
        <v>2690160.711655898</v>
      </c>
      <c r="AD836" s="7" t="n">
        <v>-615860.2940452977</v>
      </c>
      <c r="AE836" s="6" t="n">
        <v>-0.2289306699696063</v>
      </c>
    </row>
    <row r="837">
      <c r="A837" s="2" t="n">
        <v>828</v>
      </c>
      <c r="B837" s="2" t="inlineStr">
        <is>
          <t>KPROP-00828</t>
        </is>
      </c>
      <c r="C837" s="3" t="n">
        <v>46165</v>
      </c>
      <c r="D837" s="2" t="inlineStr">
        <is>
          <t>Robert Gasser</t>
        </is>
      </c>
      <c r="E837" s="2" t="inlineStr">
        <is>
          <t>Loss</t>
        </is>
      </c>
      <c r="F837" s="2" t="n">
        <v>-1</v>
      </c>
      <c r="G837" s="6" t="n">
        <v>0.2832337202705147</v>
      </c>
      <c r="H837" s="7" t="n">
        <v>100</v>
      </c>
      <c r="I837" s="7" t="n">
        <v>-100</v>
      </c>
      <c r="J837" s="7" t="n">
        <v>18817.89706273231</v>
      </c>
      <c r="K837" s="7" t="n">
        <v>19402.65549208773</v>
      </c>
      <c r="L837" s="7" t="n">
        <v>-584.758429355421</v>
      </c>
      <c r="M837" s="6" t="n">
        <v>-0.03013806175107739</v>
      </c>
      <c r="N837" s="7" t="n">
        <v>234.1799926553202</v>
      </c>
      <c r="O837" s="7" t="n">
        <v>-234.1799926553202</v>
      </c>
      <c r="P837" s="7" t="n">
        <v>23183.8192728767</v>
      </c>
      <c r="Q837" s="7" t="n">
        <v>24722.32098223535</v>
      </c>
      <c r="R837" s="7" t="n">
        <v>-1538.50170935865</v>
      </c>
      <c r="S837" s="6" t="n">
        <v>-0.06223128121603821</v>
      </c>
      <c r="T837" s="7" t="n">
        <v>27270.17749350797</v>
      </c>
      <c r="U837" s="7" t="n">
        <v>-27270.17749350797</v>
      </c>
      <c r="V837" s="7" t="n">
        <v>357855.9645133463</v>
      </c>
      <c r="W837" s="7" t="n">
        <v>429485.5049185054</v>
      </c>
      <c r="X837" s="7" t="n">
        <v>-71629.54040515906</v>
      </c>
      <c r="Y837" s="6" t="n">
        <v>-0.166779878680075</v>
      </c>
      <c r="Z837" s="7" t="n">
        <v>293755.9121192663</v>
      </c>
      <c r="AA837" s="7" t="n">
        <v>-293755.9121192663</v>
      </c>
      <c r="AB837" s="7" t="n">
        <v>1780544.505491334</v>
      </c>
      <c r="AC837" s="7" t="n">
        <v>2690160.711655898</v>
      </c>
      <c r="AD837" s="7" t="n">
        <v>-909616.206164564</v>
      </c>
      <c r="AE837" s="6" t="n">
        <v>-0.3381270874351071</v>
      </c>
    </row>
    <row r="838">
      <c r="A838" s="2" t="n">
        <v>829</v>
      </c>
      <c r="B838" s="2" t="inlineStr">
        <is>
          <t>KPROP-00829</t>
        </is>
      </c>
      <c r="C838" s="3" t="n">
        <v>46166</v>
      </c>
      <c r="D838" s="2" t="inlineStr">
        <is>
          <t>Bailey Ober</t>
        </is>
      </c>
      <c r="E838" s="2" t="inlineStr">
        <is>
          <t>Win</t>
        </is>
      </c>
      <c r="F838" s="2" t="n">
        <v>0.8</v>
      </c>
      <c r="G838" s="6" t="n">
        <v>0.1968167099200832</v>
      </c>
      <c r="H838" s="7" t="n">
        <v>100</v>
      </c>
      <c r="I838" s="7" t="n">
        <v>80</v>
      </c>
      <c r="J838" s="7" t="n">
        <v>18897.89706273231</v>
      </c>
      <c r="K838" s="7" t="n">
        <v>19402.65549208773</v>
      </c>
      <c r="L838" s="7" t="n">
        <v>-504.758429355421</v>
      </c>
      <c r="M838" s="6" t="n">
        <v>-0.02601491479149635</v>
      </c>
      <c r="N838" s="7" t="n">
        <v>231.838192728767</v>
      </c>
      <c r="O838" s="7" t="n">
        <v>185.4705541830136</v>
      </c>
      <c r="P838" s="7" t="n">
        <v>23369.28982705972</v>
      </c>
      <c r="Q838" s="7" t="n">
        <v>24722.32098223535</v>
      </c>
      <c r="R838" s="7" t="n">
        <v>-1353.031155175635</v>
      </c>
      <c r="S838" s="6" t="n">
        <v>-0.05472913146576645</v>
      </c>
      <c r="T838" s="7" t="n">
        <v>17608.00839019872</v>
      </c>
      <c r="U838" s="7" t="n">
        <v>14086.40671215898</v>
      </c>
      <c r="V838" s="7" t="n">
        <v>371942.3712255053</v>
      </c>
      <c r="W838" s="7" t="n">
        <v>429485.5049185054</v>
      </c>
      <c r="X838" s="7" t="n">
        <v>-57543.13369300007</v>
      </c>
      <c r="Y838" s="6" t="n">
        <v>-0.1339815500965949</v>
      </c>
      <c r="Z838" s="7" t="n">
        <v>175220.455718543</v>
      </c>
      <c r="AA838" s="7" t="n">
        <v>140176.3645748344</v>
      </c>
      <c r="AB838" s="7" t="n">
        <v>1920720.870066169</v>
      </c>
      <c r="AC838" s="7" t="n">
        <v>2690160.711655898</v>
      </c>
      <c r="AD838" s="7" t="n">
        <v>-769439.8415897295</v>
      </c>
      <c r="AE838" s="6" t="n">
        <v>-0.286020027820609</v>
      </c>
    </row>
    <row r="839">
      <c r="A839" s="2" t="n">
        <v>830</v>
      </c>
      <c r="B839" s="2" t="inlineStr">
        <is>
          <t>KPROP-00830</t>
        </is>
      </c>
      <c r="C839" s="3" t="n">
        <v>46166</v>
      </c>
      <c r="D839" s="2" t="inlineStr">
        <is>
          <t>Christian Scott</t>
        </is>
      </c>
      <c r="E839" s="2" t="inlineStr">
        <is>
          <t>Loss</t>
        </is>
      </c>
      <c r="F839" s="2" t="n">
        <v>-1</v>
      </c>
      <c r="G839" s="6" t="n">
        <v>0.08756388331346276</v>
      </c>
      <c r="H839" s="7" t="n">
        <v>100</v>
      </c>
      <c r="I839" s="7" t="n">
        <v>-100</v>
      </c>
      <c r="J839" s="7" t="n">
        <v>18797.89706273231</v>
      </c>
      <c r="K839" s="7" t="n">
        <v>19402.65549208773</v>
      </c>
      <c r="L839" s="7" t="n">
        <v>-604.758429355421</v>
      </c>
      <c r="M839" s="6" t="n">
        <v>-0.03116884849097265</v>
      </c>
      <c r="N839" s="7" t="n">
        <v>233.6928982705972</v>
      </c>
      <c r="O839" s="7" t="n">
        <v>-233.6928982705972</v>
      </c>
      <c r="P839" s="7" t="n">
        <v>23135.59692878912</v>
      </c>
      <c r="Q839" s="7" t="n">
        <v>24722.32098223535</v>
      </c>
      <c r="R839" s="7" t="n">
        <v>-1586.724053446233</v>
      </c>
      <c r="S839" s="6" t="n">
        <v>-0.0641818401511088</v>
      </c>
      <c r="T839" s="7" t="n">
        <v>8142.179598330699</v>
      </c>
      <c r="U839" s="7" t="n">
        <v>-8142.179598330699</v>
      </c>
      <c r="V839" s="7" t="n">
        <v>363800.1916271746</v>
      </c>
      <c r="W839" s="7" t="n">
        <v>429485.5049185054</v>
      </c>
      <c r="X839" s="7" t="n">
        <v>-65685.31329133076</v>
      </c>
      <c r="Y839" s="6" t="n">
        <v>-0.1529395347202568</v>
      </c>
      <c r="Z839" s="7" t="n">
        <v>84092.88907210335</v>
      </c>
      <c r="AA839" s="7" t="n">
        <v>-84092.88907210335</v>
      </c>
      <c r="AB839" s="7" t="n">
        <v>1836627.980994066</v>
      </c>
      <c r="AC839" s="7" t="n">
        <v>2690160.711655898</v>
      </c>
      <c r="AD839" s="7" t="n">
        <v>-853532.730661833</v>
      </c>
      <c r="AE839" s="6" t="n">
        <v>-0.3172794573066419</v>
      </c>
    </row>
    <row r="840">
      <c r="A840" s="2" t="n">
        <v>831</v>
      </c>
      <c r="B840" s="2" t="inlineStr">
        <is>
          <t>KPROP-00831</t>
        </is>
      </c>
      <c r="C840" s="3" t="n">
        <v>46166</v>
      </c>
      <c r="D840" s="2" t="inlineStr">
        <is>
          <t>Martín Pérez</t>
        </is>
      </c>
      <c r="E840" s="2" t="inlineStr">
        <is>
          <t>Win</t>
        </is>
      </c>
      <c r="F840" s="2" t="n">
        <v>1.29</v>
      </c>
      <c r="G840" s="6" t="n">
        <v>0.08922463788809323</v>
      </c>
      <c r="H840" s="7" t="n">
        <v>100</v>
      </c>
      <c r="I840" s="7" t="n">
        <v>129</v>
      </c>
      <c r="J840" s="7" t="n">
        <v>18926.89706273231</v>
      </c>
      <c r="K840" s="7" t="n">
        <v>19402.65549208773</v>
      </c>
      <c r="L840" s="7" t="n">
        <v>-475.758429355421</v>
      </c>
      <c r="M840" s="6" t="n">
        <v>-0.02452027401864822</v>
      </c>
      <c r="N840" s="7" t="n">
        <v>231.3559692878912</v>
      </c>
      <c r="O840" s="7" t="n">
        <v>298.4492003813797</v>
      </c>
      <c r="P840" s="7" t="n">
        <v>23434.0461291705</v>
      </c>
      <c r="Q840" s="7" t="n">
        <v>24722.32098223535</v>
      </c>
      <c r="R840" s="7" t="n">
        <v>-1288.274853064853</v>
      </c>
      <c r="S840" s="6" t="n">
        <v>-0.05210978588905812</v>
      </c>
      <c r="T840" s="7" t="n">
        <v>8114.985090388395</v>
      </c>
      <c r="U840" s="7" t="n">
        <v>10468.33076660103</v>
      </c>
      <c r="V840" s="7" t="n">
        <v>374268.5223937756</v>
      </c>
      <c r="W840" s="7" t="n">
        <v>429485.5049185054</v>
      </c>
      <c r="X840" s="7" t="n">
        <v>-55216.98252472974</v>
      </c>
      <c r="Y840" s="6" t="n">
        <v>-0.1285654158111975</v>
      </c>
      <c r="Z840" s="7" t="n">
        <v>81936.23326966765</v>
      </c>
      <c r="AA840" s="7" t="n">
        <v>105697.7409178713</v>
      </c>
      <c r="AB840" s="7" t="n">
        <v>1942325.721911937</v>
      </c>
      <c r="AC840" s="7" t="n">
        <v>2690160.711655898</v>
      </c>
      <c r="AD840" s="7" t="n">
        <v>-747834.9897439617</v>
      </c>
      <c r="AE840" s="6" t="n">
        <v>-0.2779889641922695</v>
      </c>
    </row>
    <row r="841">
      <c r="A841" s="2" t="n">
        <v>832</v>
      </c>
      <c r="B841" s="2" t="inlineStr">
        <is>
          <t>KPROP-00832</t>
        </is>
      </c>
      <c r="C841" s="3" t="n">
        <v>46166</v>
      </c>
      <c r="D841" s="2" t="inlineStr">
        <is>
          <t>Martín Pérez</t>
        </is>
      </c>
      <c r="E841" s="2" t="inlineStr">
        <is>
          <t>Win</t>
        </is>
      </c>
      <c r="F841" s="2" t="n">
        <v>0.6666666666666665</v>
      </c>
      <c r="G841" s="6" t="n">
        <v>0.2012970339938878</v>
      </c>
      <c r="H841" s="7" t="n">
        <v>100</v>
      </c>
      <c r="I841" s="7" t="n">
        <v>66.66666666666666</v>
      </c>
      <c r="J841" s="7" t="n">
        <v>18993.56372939898</v>
      </c>
      <c r="K841" s="7" t="n">
        <v>19402.65549208773</v>
      </c>
      <c r="L841" s="7" t="n">
        <v>-409.0917626887531</v>
      </c>
      <c r="M841" s="6" t="n">
        <v>-0.02108431821899728</v>
      </c>
      <c r="N841" s="7" t="n">
        <v>234.340461291705</v>
      </c>
      <c r="O841" s="7" t="n">
        <v>156.22697419447</v>
      </c>
      <c r="P841" s="7" t="n">
        <v>23590.27310336497</v>
      </c>
      <c r="Q841" s="7" t="n">
        <v>24722.32098223535</v>
      </c>
      <c r="R841" s="7" t="n">
        <v>-1132.047878870384</v>
      </c>
      <c r="S841" s="6" t="n">
        <v>-0.04579051779498521</v>
      </c>
      <c r="T841" s="7" t="n">
        <v>18834.7858687855</v>
      </c>
      <c r="U841" s="7" t="n">
        <v>12556.52391252367</v>
      </c>
      <c r="V841" s="7" t="n">
        <v>386825.0463062993</v>
      </c>
      <c r="W841" s="7" t="n">
        <v>429485.5049185054</v>
      </c>
      <c r="X841" s="7" t="n">
        <v>-42660.4586122061</v>
      </c>
      <c r="Y841" s="6" t="n">
        <v>-0.09932921629171373</v>
      </c>
      <c r="Z841" s="7" t="n">
        <v>195492.2034354549</v>
      </c>
      <c r="AA841" s="7" t="n">
        <v>130328.1356236366</v>
      </c>
      <c r="AB841" s="7" t="n">
        <v>2072653.857535573</v>
      </c>
      <c r="AC841" s="7" t="n">
        <v>2690160.711655898</v>
      </c>
      <c r="AD841" s="7" t="n">
        <v>-617506.8541203251</v>
      </c>
      <c r="AE841" s="6" t="n">
        <v>-0.2295427375192858</v>
      </c>
    </row>
    <row r="842">
      <c r="A842" s="2" t="n">
        <v>833</v>
      </c>
      <c r="B842" s="2" t="inlineStr">
        <is>
          <t>KPROP-00833</t>
        </is>
      </c>
      <c r="C842" s="3" t="n">
        <v>46166</v>
      </c>
      <c r="D842" s="2" t="inlineStr">
        <is>
          <t>Parker Messick</t>
        </is>
      </c>
      <c r="E842" s="2" t="inlineStr">
        <is>
          <t>Loss</t>
        </is>
      </c>
      <c r="F842" s="2" t="n">
        <v>-1</v>
      </c>
      <c r="G842" s="6" t="n">
        <v>0.1738742802708792</v>
      </c>
      <c r="H842" s="7" t="n">
        <v>100</v>
      </c>
      <c r="I842" s="7" t="n">
        <v>-100</v>
      </c>
      <c r="J842" s="7" t="n">
        <v>18893.56372939898</v>
      </c>
      <c r="K842" s="7" t="n">
        <v>19402.65549208773</v>
      </c>
      <c r="L842" s="7" t="n">
        <v>-509.0917626887531</v>
      </c>
      <c r="M842" s="6" t="n">
        <v>-0.02623825191847359</v>
      </c>
      <c r="N842" s="7" t="n">
        <v>235.9027310336497</v>
      </c>
      <c r="O842" s="7" t="n">
        <v>-235.9027310336497</v>
      </c>
      <c r="P842" s="7" t="n">
        <v>23354.37037233132</v>
      </c>
      <c r="Q842" s="7" t="n">
        <v>24722.32098223535</v>
      </c>
      <c r="R842" s="7" t="n">
        <v>-1367.950609904034</v>
      </c>
      <c r="S842" s="6" t="n">
        <v>-0.05533261261703535</v>
      </c>
      <c r="T842" s="7" t="n">
        <v>16814.73162931433</v>
      </c>
      <c r="U842" s="7" t="n">
        <v>-16814.73162931433</v>
      </c>
      <c r="V842" s="7" t="n">
        <v>370010.314676985</v>
      </c>
      <c r="W842" s="7" t="n">
        <v>429485.5049185054</v>
      </c>
      <c r="X842" s="7" t="n">
        <v>-59475.19024152041</v>
      </c>
      <c r="Y842" s="6" t="n">
        <v>-0.1384800873612854</v>
      </c>
      <c r="Z842" s="7" t="n">
        <v>180190.5988648296</v>
      </c>
      <c r="AA842" s="7" t="n">
        <v>-180190.5988648296</v>
      </c>
      <c r="AB842" s="7" t="n">
        <v>1892463.258670744</v>
      </c>
      <c r="AC842" s="7" t="n">
        <v>2690160.711655898</v>
      </c>
      <c r="AD842" s="7" t="n">
        <v>-797697.4529851547</v>
      </c>
      <c r="AE842" s="6" t="n">
        <v>-0.2965240885159389</v>
      </c>
    </row>
    <row r="843">
      <c r="A843" s="2" t="n">
        <v>834</v>
      </c>
      <c r="B843" s="2" t="inlineStr">
        <is>
          <t>KPROP-00834</t>
        </is>
      </c>
      <c r="C843" s="3" t="n">
        <v>46166</v>
      </c>
      <c r="D843" s="2" t="inlineStr">
        <is>
          <t>Parker Messick</t>
        </is>
      </c>
      <c r="E843" s="2" t="inlineStr">
        <is>
          <t>Win</t>
        </is>
      </c>
      <c r="F843" s="2" t="n">
        <v>0.5263157894736841</v>
      </c>
      <c r="G843" s="6" t="n">
        <v>0.143324575495744</v>
      </c>
      <c r="H843" s="7" t="n">
        <v>100</v>
      </c>
      <c r="I843" s="7" t="n">
        <v>52.63157894736841</v>
      </c>
      <c r="J843" s="7" t="n">
        <v>18946.19530834635</v>
      </c>
      <c r="K843" s="7" t="n">
        <v>19402.65549208773</v>
      </c>
      <c r="L843" s="7" t="n">
        <v>-456.4601837413829</v>
      </c>
      <c r="M843" s="6" t="n">
        <v>-0.0235256552345386</v>
      </c>
      <c r="N843" s="7" t="n">
        <v>233.5437037233132</v>
      </c>
      <c r="O843" s="7" t="n">
        <v>122.9177388017438</v>
      </c>
      <c r="P843" s="7" t="n">
        <v>23477.28811113306</v>
      </c>
      <c r="Q843" s="7" t="n">
        <v>24722.32098223535</v>
      </c>
      <c r="R843" s="7" t="n">
        <v>-1245.032871102288</v>
      </c>
      <c r="S843" s="6" t="n">
        <v>-0.05036067899923022</v>
      </c>
      <c r="T843" s="7" t="n">
        <v>13257.89282003138</v>
      </c>
      <c r="U843" s="7" t="n">
        <v>6977.838326332304</v>
      </c>
      <c r="V843" s="7" t="n">
        <v>376988.1530033172</v>
      </c>
      <c r="W843" s="7" t="n">
        <v>429485.5049185054</v>
      </c>
      <c r="X843" s="7" t="n">
        <v>-52497.35191518813</v>
      </c>
      <c r="Y843" s="6" t="n">
        <v>-0.1222331168665389</v>
      </c>
      <c r="Z843" s="7" t="n">
        <v>135618.2465951383</v>
      </c>
      <c r="AA843" s="7" t="n">
        <v>71378.02452375701</v>
      </c>
      <c r="AB843" s="7" t="n">
        <v>1963841.283194501</v>
      </c>
      <c r="AC843" s="7" t="n">
        <v>2690160.711655898</v>
      </c>
      <c r="AD843" s="7" t="n">
        <v>-726319.4284613978</v>
      </c>
      <c r="AE843" s="6" t="n">
        <v>-0.2699910920988508</v>
      </c>
    </row>
    <row r="844">
      <c r="A844" s="2" t="n">
        <v>835</v>
      </c>
      <c r="B844" s="2" t="inlineStr">
        <is>
          <t>KPROP-00835</t>
        </is>
      </c>
      <c r="C844" s="3" t="n">
        <v>46166</v>
      </c>
      <c r="D844" s="2" t="inlineStr">
        <is>
          <t>Peter Lambert</t>
        </is>
      </c>
      <c r="E844" s="2" t="inlineStr">
        <is>
          <t>Loss</t>
        </is>
      </c>
      <c r="F844" s="2" t="n">
        <v>-1</v>
      </c>
      <c r="G844" s="6" t="n">
        <v>0.3136138799151887</v>
      </c>
      <c r="H844" s="7" t="n">
        <v>100</v>
      </c>
      <c r="I844" s="7" t="n">
        <v>-100</v>
      </c>
      <c r="J844" s="7" t="n">
        <v>18846.19530834635</v>
      </c>
      <c r="K844" s="7" t="n">
        <v>19402.65549208773</v>
      </c>
      <c r="L844" s="7" t="n">
        <v>-556.4601837413829</v>
      </c>
      <c r="M844" s="6" t="n">
        <v>-0.02867958893401491</v>
      </c>
      <c r="N844" s="7" t="n">
        <v>234.7728811113307</v>
      </c>
      <c r="O844" s="7" t="n">
        <v>-234.7728811113307</v>
      </c>
      <c r="P844" s="7" t="n">
        <v>23242.51523002173</v>
      </c>
      <c r="Q844" s="7" t="n">
        <v>24722.32098223535</v>
      </c>
      <c r="R844" s="7" t="n">
        <v>-1479.805752213619</v>
      </c>
      <c r="S844" s="6" t="n">
        <v>-0.0598570722092379</v>
      </c>
      <c r="T844" s="7" t="n">
        <v>29557.17933635778</v>
      </c>
      <c r="U844" s="7" t="n">
        <v>-29557.17933635778</v>
      </c>
      <c r="V844" s="7" t="n">
        <v>347430.9736669594</v>
      </c>
      <c r="W844" s="7" t="n">
        <v>429485.5049185054</v>
      </c>
      <c r="X844" s="7" t="n">
        <v>-82054.53125154594</v>
      </c>
      <c r="Y844" s="6" t="n">
        <v>-0.1910530863366756</v>
      </c>
      <c r="Z844" s="7" t="n">
        <v>307943.9421801251</v>
      </c>
      <c r="AA844" s="7" t="n">
        <v>-307943.9421801251</v>
      </c>
      <c r="AB844" s="7" t="n">
        <v>1655897.341014376</v>
      </c>
      <c r="AC844" s="7" t="n">
        <v>2690160.711655898</v>
      </c>
      <c r="AD844" s="7" t="n">
        <v>-1034263.370641523</v>
      </c>
      <c r="AE844" s="6" t="n">
        <v>-0.3844615550886153</v>
      </c>
    </row>
    <row r="845">
      <c r="A845" s="2" t="n">
        <v>836</v>
      </c>
      <c r="B845" s="2" t="inlineStr">
        <is>
          <t>KPROP-00836</t>
        </is>
      </c>
      <c r="C845" s="3" t="n">
        <v>46166</v>
      </c>
      <c r="D845" s="2" t="inlineStr">
        <is>
          <t>Reid Detmers</t>
        </is>
      </c>
      <c r="E845" s="2" t="inlineStr">
        <is>
          <t>Loss</t>
        </is>
      </c>
      <c r="F845" s="2" t="n">
        <v>-1</v>
      </c>
      <c r="G845" s="6" t="n">
        <v>0.2804262029285297</v>
      </c>
      <c r="H845" s="7" t="n">
        <v>100</v>
      </c>
      <c r="I845" s="7" t="n">
        <v>-100</v>
      </c>
      <c r="J845" s="7" t="n">
        <v>18746.19530834635</v>
      </c>
      <c r="K845" s="7" t="n">
        <v>19402.65549208773</v>
      </c>
      <c r="L845" s="7" t="n">
        <v>-656.4601837413829</v>
      </c>
      <c r="M845" s="6" t="n">
        <v>-0.03383352263349122</v>
      </c>
      <c r="N845" s="7" t="n">
        <v>232.4251523002173</v>
      </c>
      <c r="O845" s="7" t="n">
        <v>-232.4251523002173</v>
      </c>
      <c r="P845" s="7" t="n">
        <v>23010.09007772152</v>
      </c>
      <c r="Q845" s="7" t="n">
        <v>24722.32098223535</v>
      </c>
      <c r="R845" s="7" t="n">
        <v>-1712.230904513835</v>
      </c>
      <c r="S845" s="6" t="n">
        <v>-0.06925850148714549</v>
      </c>
      <c r="T845" s="7" t="n">
        <v>24357.18718129686</v>
      </c>
      <c r="U845" s="7" t="n">
        <v>-24357.18718129686</v>
      </c>
      <c r="V845" s="7" t="n">
        <v>323073.7864856626</v>
      </c>
      <c r="W845" s="7" t="n">
        <v>429485.5049185054</v>
      </c>
      <c r="X845" s="7" t="n">
        <v>-106411.7184328428</v>
      </c>
      <c r="Y845" s="6" t="n">
        <v>-0.2477655641790155</v>
      </c>
      <c r="Z845" s="7" t="n">
        <v>232178.501890055</v>
      </c>
      <c r="AA845" s="7" t="n">
        <v>-232178.501890055</v>
      </c>
      <c r="AB845" s="7" t="n">
        <v>1423718.839124321</v>
      </c>
      <c r="AC845" s="7" t="n">
        <v>2690160.711655898</v>
      </c>
      <c r="AD845" s="7" t="n">
        <v>-1266441.872531578</v>
      </c>
      <c r="AE845" s="6" t="n">
        <v>-0.4707681095201312</v>
      </c>
    </row>
    <row r="846">
      <c r="A846" s="2" t="n">
        <v>837</v>
      </c>
      <c r="B846" s="2" t="inlineStr">
        <is>
          <t>KPROP-00837</t>
        </is>
      </c>
      <c r="C846" s="3" t="n">
        <v>46166</v>
      </c>
      <c r="D846" s="2" t="inlineStr">
        <is>
          <t>Robbie Ray</t>
        </is>
      </c>
      <c r="E846" s="2" t="inlineStr">
        <is>
          <t>Win</t>
        </is>
      </c>
      <c r="F846" s="2" t="n">
        <v>1.25</v>
      </c>
      <c r="G846" s="6" t="n">
        <v>0.2491338295485041</v>
      </c>
      <c r="H846" s="7" t="n">
        <v>100</v>
      </c>
      <c r="I846" s="7" t="n">
        <v>125</v>
      </c>
      <c r="J846" s="7" t="n">
        <v>18871.19530834635</v>
      </c>
      <c r="K846" s="7" t="n">
        <v>19402.65549208773</v>
      </c>
      <c r="L846" s="7" t="n">
        <v>-531.4601837413829</v>
      </c>
      <c r="M846" s="6" t="n">
        <v>-0.02739110550914584</v>
      </c>
      <c r="N846" s="7" t="n">
        <v>230.1009007772152</v>
      </c>
      <c r="O846" s="7" t="n">
        <v>287.6261259715189</v>
      </c>
      <c r="P846" s="7" t="n">
        <v>23297.71620369303</v>
      </c>
      <c r="Q846" s="7" t="n">
        <v>24722.32098223535</v>
      </c>
      <c r="R846" s="7" t="n">
        <v>-1424.604778542318</v>
      </c>
      <c r="S846" s="6" t="n">
        <v>-0.05762423275573487</v>
      </c>
      <c r="T846" s="7" t="n">
        <v>20122.15241347722</v>
      </c>
      <c r="U846" s="7" t="n">
        <v>25152.69051684652</v>
      </c>
      <c r="V846" s="7" t="n">
        <v>348226.4770025091</v>
      </c>
      <c r="W846" s="7" t="n">
        <v>429485.5049185054</v>
      </c>
      <c r="X846" s="7" t="n">
        <v>-81259.02791599627</v>
      </c>
      <c r="Y846" s="6" t="n">
        <v>-0.1892008623932841</v>
      </c>
      <c r="Z846" s="7" t="n">
        <v>177348.2632956963</v>
      </c>
      <c r="AA846" s="7" t="n">
        <v>221685.3291196204</v>
      </c>
      <c r="AB846" s="7" t="n">
        <v>1645404.168243941</v>
      </c>
      <c r="AC846" s="7" t="n">
        <v>2690160.711655898</v>
      </c>
      <c r="AD846" s="7" t="n">
        <v>-1044756.543411958</v>
      </c>
      <c r="AE846" s="6" t="n">
        <v>-0.3883621297736035</v>
      </c>
    </row>
    <row r="847">
      <c r="A847" s="2" t="n">
        <v>838</v>
      </c>
      <c r="B847" s="2" t="inlineStr">
        <is>
          <t>KPROP-00838</t>
        </is>
      </c>
      <c r="C847" s="3" t="n">
        <v>46166</v>
      </c>
      <c r="D847" s="2" t="inlineStr">
        <is>
          <t>Robbie Ray</t>
        </is>
      </c>
      <c r="E847" s="2" t="inlineStr">
        <is>
          <t>Win</t>
        </is>
      </c>
      <c r="F847" s="2" t="n">
        <v>0.6666666666666665</v>
      </c>
      <c r="G847" s="6" t="n">
        <v>0.3351803029375018</v>
      </c>
      <c r="H847" s="7" t="n">
        <v>100</v>
      </c>
      <c r="I847" s="7" t="n">
        <v>66.66666666666666</v>
      </c>
      <c r="J847" s="7" t="n">
        <v>18937.86197501302</v>
      </c>
      <c r="K847" s="7" t="n">
        <v>19402.65549208773</v>
      </c>
      <c r="L847" s="7" t="n">
        <v>-464.7935170747151</v>
      </c>
      <c r="M847" s="6" t="n">
        <v>-0.0239551497094949</v>
      </c>
      <c r="N847" s="7" t="n">
        <v>232.9771620369304</v>
      </c>
      <c r="O847" s="7" t="n">
        <v>155.3181080246202</v>
      </c>
      <c r="P847" s="7" t="n">
        <v>23453.03431171766</v>
      </c>
      <c r="Q847" s="7" t="n">
        <v>24722.32098223535</v>
      </c>
      <c r="R847" s="7" t="n">
        <v>-1269.286670517697</v>
      </c>
      <c r="S847" s="6" t="n">
        <v>-0.05134172764077306</v>
      </c>
      <c r="T847" s="7" t="n">
        <v>29179.66401314001</v>
      </c>
      <c r="U847" s="7" t="n">
        <v>19453.10934209333</v>
      </c>
      <c r="V847" s="7" t="n">
        <v>367679.5863446025</v>
      </c>
      <c r="W847" s="7" t="n">
        <v>429485.5049185054</v>
      </c>
      <c r="X847" s="7" t="n">
        <v>-61805.91857390292</v>
      </c>
      <c r="Y847" s="6" t="n">
        <v>-0.14390687896587</v>
      </c>
      <c r="Z847" s="7" t="n">
        <v>275753.5337833162</v>
      </c>
      <c r="AA847" s="7" t="n">
        <v>183835.6891888774</v>
      </c>
      <c r="AB847" s="7" t="n">
        <v>1829239.857432818</v>
      </c>
      <c r="AC847" s="7" t="n">
        <v>2690160.711655898</v>
      </c>
      <c r="AD847" s="7" t="n">
        <v>-860920.8542230802</v>
      </c>
      <c r="AE847" s="6" t="n">
        <v>-0.3200258075634262</v>
      </c>
    </row>
    <row r="848">
      <c r="A848" s="2" t="n">
        <v>839</v>
      </c>
      <c r="B848" s="2" t="inlineStr">
        <is>
          <t>KPROP-00839</t>
        </is>
      </c>
      <c r="C848" s="3" t="n">
        <v>46166</v>
      </c>
      <c r="D848" s="2" t="inlineStr">
        <is>
          <t>Ryan Weathers</t>
        </is>
      </c>
      <c r="E848" s="2" t="inlineStr">
        <is>
          <t>Win</t>
        </is>
      </c>
      <c r="F848" s="2" t="n">
        <v>0.970873786407767</v>
      </c>
      <c r="G848" s="6" t="n">
        <v>0.1914070006548392</v>
      </c>
      <c r="H848" s="7" t="n">
        <v>100</v>
      </c>
      <c r="I848" s="7" t="n">
        <v>97.08737864077671</v>
      </c>
      <c r="J848" s="7" t="n">
        <v>19034.94935365379</v>
      </c>
      <c r="K848" s="7" t="n">
        <v>19402.65549208773</v>
      </c>
      <c r="L848" s="7" t="n">
        <v>-367.7061384339395</v>
      </c>
      <c r="M848" s="6" t="n">
        <v>-0.01895133058378981</v>
      </c>
      <c r="N848" s="7" t="n">
        <v>234.5303431171766</v>
      </c>
      <c r="O848" s="7" t="n">
        <v>227.699362249686</v>
      </c>
      <c r="P848" s="7" t="n">
        <v>23680.73367396734</v>
      </c>
      <c r="Q848" s="7" t="n">
        <v>24722.32098223535</v>
      </c>
      <c r="R848" s="7" t="n">
        <v>-1041.587308268012</v>
      </c>
      <c r="S848" s="6" t="n">
        <v>-0.04213145315184857</v>
      </c>
      <c r="T848" s="7" t="n">
        <v>17594.11170605808</v>
      </c>
      <c r="U848" s="7" t="n">
        <v>17081.66185054183</v>
      </c>
      <c r="V848" s="7" t="n">
        <v>384761.2481951443</v>
      </c>
      <c r="W848" s="7" t="n">
        <v>429485.5049185054</v>
      </c>
      <c r="X848" s="7" t="n">
        <v>-44724.25672336109</v>
      </c>
      <c r="Y848" s="6" t="n">
        <v>-0.1041344963012139</v>
      </c>
      <c r="Z848" s="7" t="n">
        <v>175064.6572947507</v>
      </c>
      <c r="AA848" s="7" t="n">
        <v>169965.6866939327</v>
      </c>
      <c r="AB848" s="7" t="n">
        <v>1999205.544126751</v>
      </c>
      <c r="AC848" s="7" t="n">
        <v>2690160.711655898</v>
      </c>
      <c r="AD848" s="7" t="n">
        <v>-690955.1675291476</v>
      </c>
      <c r="AE848" s="6" t="n">
        <v>-0.2568453120794548</v>
      </c>
    </row>
    <row r="849">
      <c r="A849" s="2" t="n">
        <v>840</v>
      </c>
      <c r="B849" s="2" t="inlineStr">
        <is>
          <t>KPROP-00840</t>
        </is>
      </c>
      <c r="C849" s="3" t="n">
        <v>46166</v>
      </c>
      <c r="D849" s="2" t="inlineStr">
        <is>
          <t>Seth Lugo</t>
        </is>
      </c>
      <c r="E849" s="2" t="inlineStr">
        <is>
          <t>Win</t>
        </is>
      </c>
      <c r="F849" s="2" t="n">
        <v>1.3</v>
      </c>
      <c r="G849" s="6" t="n">
        <v>0.1004748117020035</v>
      </c>
      <c r="H849" s="7" t="n">
        <v>100</v>
      </c>
      <c r="I849" s="7" t="n">
        <v>130</v>
      </c>
      <c r="J849" s="7" t="n">
        <v>19164.94935365379</v>
      </c>
      <c r="K849" s="7" t="n">
        <v>19402.65549208773</v>
      </c>
      <c r="L849" s="7" t="n">
        <v>-237.7061384339395</v>
      </c>
      <c r="M849" s="6" t="n">
        <v>-0.01225121677447061</v>
      </c>
      <c r="N849" s="7" t="n">
        <v>236.8073367396734</v>
      </c>
      <c r="O849" s="7" t="n">
        <v>307.8495377615754</v>
      </c>
      <c r="P849" s="7" t="n">
        <v>23988.58321172892</v>
      </c>
      <c r="Q849" s="7" t="n">
        <v>24722.32098223535</v>
      </c>
      <c r="R849" s="7" t="n">
        <v>-733.7377705064355</v>
      </c>
      <c r="S849" s="6" t="n">
        <v>-0.02967916204282257</v>
      </c>
      <c r="T849" s="7" t="n">
        <v>9664.703490658734</v>
      </c>
      <c r="U849" s="7" t="n">
        <v>12564.11453785635</v>
      </c>
      <c r="V849" s="7" t="n">
        <v>397325.3627330007</v>
      </c>
      <c r="W849" s="7" t="n">
        <v>429485.5049185054</v>
      </c>
      <c r="X849" s="7" t="n">
        <v>-32160.14218550472</v>
      </c>
      <c r="Y849" s="6" t="n">
        <v>-0.07488062301801568</v>
      </c>
      <c r="Z849" s="7" t="n">
        <v>100434.9002998683</v>
      </c>
      <c r="AA849" s="7" t="n">
        <v>130565.3703898288</v>
      </c>
      <c r="AB849" s="7" t="n">
        <v>2129770.91451658</v>
      </c>
      <c r="AC849" s="7" t="n">
        <v>2690160.711655898</v>
      </c>
      <c r="AD849" s="7" t="n">
        <v>-560389.7971393187</v>
      </c>
      <c r="AE849" s="6" t="n">
        <v>-0.2083108993121742</v>
      </c>
    </row>
    <row r="850">
      <c r="A850" s="2" t="n">
        <v>841</v>
      </c>
      <c r="B850" s="2" t="inlineStr">
        <is>
          <t>KPROP-00841</t>
        </is>
      </c>
      <c r="C850" s="3" t="n">
        <v>46166</v>
      </c>
      <c r="D850" s="2" t="inlineStr">
        <is>
          <t>Sonny Gray</t>
        </is>
      </c>
      <c r="E850" s="2" t="inlineStr">
        <is>
          <t>Win</t>
        </is>
      </c>
      <c r="F850" s="2" t="n">
        <v>0.8547008547008548</v>
      </c>
      <c r="G850" s="6" t="n">
        <v>0.2192612096957215</v>
      </c>
      <c r="H850" s="7" t="n">
        <v>100</v>
      </c>
      <c r="I850" s="7" t="n">
        <v>85.47008547008548</v>
      </c>
      <c r="J850" s="7" t="n">
        <v>19250.41943912388</v>
      </c>
      <c r="K850" s="7" t="n">
        <v>19402.65549208773</v>
      </c>
      <c r="L850" s="7" t="n">
        <v>-152.2360529638536</v>
      </c>
      <c r="M850" s="6" t="n">
        <v>-0.007846145236456648</v>
      </c>
      <c r="N850" s="7" t="n">
        <v>239.8858321172892</v>
      </c>
      <c r="O850" s="7" t="n">
        <v>205.0306257412728</v>
      </c>
      <c r="P850" s="7" t="n">
        <v>24193.61383747019</v>
      </c>
      <c r="Q850" s="7" t="n">
        <v>24722.32098223535</v>
      </c>
      <c r="R850" s="7" t="n">
        <v>-528.7071447651615</v>
      </c>
      <c r="S850" s="6" t="n">
        <v>-0.02138582154746203</v>
      </c>
      <c r="T850" s="7" t="n">
        <v>21779.50991890727</v>
      </c>
      <c r="U850" s="7" t="n">
        <v>18614.96574265579</v>
      </c>
      <c r="V850" s="7" t="n">
        <v>415940.3284756565</v>
      </c>
      <c r="W850" s="7" t="n">
        <v>429485.5049185054</v>
      </c>
      <c r="X850" s="7" t="n">
        <v>-13545.17644284893</v>
      </c>
      <c r="Y850" s="6" t="n">
        <v>-0.0315381457295494</v>
      </c>
      <c r="Z850" s="7" t="n">
        <v>233488.0735458342</v>
      </c>
      <c r="AA850" s="7" t="n">
        <v>199562.4560220806</v>
      </c>
      <c r="AB850" s="7" t="n">
        <v>2329333.37053866</v>
      </c>
      <c r="AC850" s="7" t="n">
        <v>2690160.711655898</v>
      </c>
      <c r="AD850" s="7" t="n">
        <v>-360827.3411172382</v>
      </c>
      <c r="AE850" s="6" t="n">
        <v>-0.1341285446456227</v>
      </c>
    </row>
    <row r="851">
      <c r="A851" s="2" t="n">
        <v>842</v>
      </c>
      <c r="B851" s="2" t="inlineStr">
        <is>
          <t>KPROP-00842</t>
        </is>
      </c>
      <c r="C851" s="3" t="n">
        <v>46166</v>
      </c>
      <c r="D851" s="2" t="inlineStr">
        <is>
          <t>Yoshinobu Yamamoto</t>
        </is>
      </c>
      <c r="E851" s="2" t="inlineStr">
        <is>
          <t>Win</t>
        </is>
      </c>
      <c r="F851" s="2" t="n">
        <v>0.8</v>
      </c>
      <c r="G851" s="6" t="n">
        <v>0.1106796259081955</v>
      </c>
      <c r="H851" s="7" t="n">
        <v>100</v>
      </c>
      <c r="I851" s="7" t="n">
        <v>80</v>
      </c>
      <c r="J851" s="7" t="n">
        <v>19330.41943912388</v>
      </c>
      <c r="K851" s="7" t="n">
        <v>19402.65549208773</v>
      </c>
      <c r="L851" s="7" t="n">
        <v>-72.23605296385358</v>
      </c>
      <c r="M851" s="6" t="n">
        <v>-0.003722998276875603</v>
      </c>
      <c r="N851" s="7" t="n">
        <v>241.9361383747019</v>
      </c>
      <c r="O851" s="7" t="n">
        <v>193.5489106997616</v>
      </c>
      <c r="P851" s="7" t="n">
        <v>24387.16274816995</v>
      </c>
      <c r="Q851" s="7" t="n">
        <v>24722.32098223535</v>
      </c>
      <c r="R851" s="7" t="n">
        <v>-335.1582340653986</v>
      </c>
      <c r="S851" s="6" t="n">
        <v>-0.01355690811984167</v>
      </c>
      <c r="T851" s="7" t="n">
        <v>11509.0299889544</v>
      </c>
      <c r="U851" s="7" t="n">
        <v>9207.223991163521</v>
      </c>
      <c r="V851" s="7" t="n">
        <v>425147.55246682</v>
      </c>
      <c r="W851" s="7" t="n">
        <v>429485.5049185054</v>
      </c>
      <c r="X851" s="7" t="n">
        <v>-4337.952451685385</v>
      </c>
      <c r="Y851" s="6" t="n">
        <v>-0.01010034658214719</v>
      </c>
      <c r="Z851" s="7" t="n">
        <v>128904.8730333475</v>
      </c>
      <c r="AA851" s="7" t="n">
        <v>103123.898426678</v>
      </c>
      <c r="AB851" s="7" t="n">
        <v>2432457.268965338</v>
      </c>
      <c r="AC851" s="7" t="n">
        <v>2690160.711655898</v>
      </c>
      <c r="AD851" s="7" t="n">
        <v>-257703.4426905601</v>
      </c>
      <c r="AE851" s="6" t="n">
        <v>-0.09579481314033972</v>
      </c>
    </row>
    <row r="852">
      <c r="A852" s="2" t="n">
        <v>843</v>
      </c>
      <c r="B852" s="2" t="inlineStr">
        <is>
          <t>KPROP-00843</t>
        </is>
      </c>
      <c r="C852" s="3" t="n">
        <v>46167</v>
      </c>
      <c r="D852" s="2" t="inlineStr">
        <is>
          <t>Kyle Bradish</t>
        </is>
      </c>
      <c r="E852" s="2" t="inlineStr">
        <is>
          <t>Win</t>
        </is>
      </c>
      <c r="F852" s="2" t="n">
        <v>1</v>
      </c>
      <c r="G852" s="6" t="n">
        <v>0.2218972624393856</v>
      </c>
      <c r="H852" s="7" t="n">
        <v>100</v>
      </c>
      <c r="I852" s="7" t="n">
        <v>100</v>
      </c>
      <c r="J852" s="7" t="n">
        <v>19430.41943912388</v>
      </c>
      <c r="K852" s="7" t="n">
        <v>19430.41943912388</v>
      </c>
      <c r="L852" s="7" t="n">
        <v>0</v>
      </c>
      <c r="M852" s="6" t="n">
        <v>0</v>
      </c>
      <c r="N852" s="7" t="n">
        <v>243.8716274816995</v>
      </c>
      <c r="O852" s="7" t="n">
        <v>243.8716274816995</v>
      </c>
      <c r="P852" s="7" t="n">
        <v>24631.03437565165</v>
      </c>
      <c r="Q852" s="7" t="n">
        <v>24722.32098223535</v>
      </c>
      <c r="R852" s="7" t="n">
        <v>-91.28660658370063</v>
      </c>
      <c r="S852" s="6" t="n">
        <v>-0.003692477201040152</v>
      </c>
      <c r="T852" s="7" t="n">
        <v>23584.7695062981</v>
      </c>
      <c r="U852" s="7" t="n">
        <v>23584.7695062981</v>
      </c>
      <c r="V852" s="7" t="n">
        <v>448732.3219731181</v>
      </c>
      <c r="W852" s="7" t="n">
        <v>448732.3219731181</v>
      </c>
      <c r="X852" s="7" t="n">
        <v>0</v>
      </c>
      <c r="Y852" s="6" t="n">
        <v>0</v>
      </c>
      <c r="Z852" s="7" t="n">
        <v>269877.8044920964</v>
      </c>
      <c r="AA852" s="7" t="n">
        <v>269877.8044920964</v>
      </c>
      <c r="AB852" s="7" t="n">
        <v>2702335.073457435</v>
      </c>
      <c r="AC852" s="7" t="n">
        <v>2702335.073457435</v>
      </c>
      <c r="AD852" s="7" t="n">
        <v>0</v>
      </c>
      <c r="AE852" s="6" t="n">
        <v>0</v>
      </c>
    </row>
    <row r="853">
      <c r="A853" s="2" t="n">
        <v>844</v>
      </c>
      <c r="B853" s="2" t="inlineStr">
        <is>
          <t>KPROP-00844</t>
        </is>
      </c>
      <c r="C853" s="3" t="n">
        <v>46167</v>
      </c>
      <c r="D853" s="2" t="inlineStr">
        <is>
          <t>Landen Roupp</t>
        </is>
      </c>
      <c r="E853" s="2" t="inlineStr">
        <is>
          <t>Loss</t>
        </is>
      </c>
      <c r="F853" s="2" t="n">
        <v>-1</v>
      </c>
      <c r="G853" s="6" t="n">
        <v>0.1453031906576951</v>
      </c>
      <c r="H853" s="7" t="n">
        <v>100</v>
      </c>
      <c r="I853" s="7" t="n">
        <v>-100</v>
      </c>
      <c r="J853" s="7" t="n">
        <v>19330.41943912388</v>
      </c>
      <c r="K853" s="7" t="n">
        <v>19430.41943912388</v>
      </c>
      <c r="L853" s="7" t="n">
        <v>-100</v>
      </c>
      <c r="M853" s="6" t="n">
        <v>-0.005146569291172699</v>
      </c>
      <c r="N853" s="7" t="n">
        <v>246.3103437565165</v>
      </c>
      <c r="O853" s="7" t="n">
        <v>-246.3103437565165</v>
      </c>
      <c r="P853" s="7" t="n">
        <v>24384.72403189514</v>
      </c>
      <c r="Q853" s="7" t="n">
        <v>24722.32098223535</v>
      </c>
      <c r="R853" s="7" t="n">
        <v>-337.5969503402157</v>
      </c>
      <c r="S853" s="6" t="n">
        <v>-0.01365555242902969</v>
      </c>
      <c r="T853" s="7" t="n">
        <v>16300.55953348255</v>
      </c>
      <c r="U853" s="7" t="n">
        <v>-16300.55953348255</v>
      </c>
      <c r="V853" s="7" t="n">
        <v>432431.7624396356</v>
      </c>
      <c r="W853" s="7" t="n">
        <v>448732.3219731181</v>
      </c>
      <c r="X853" s="7" t="n">
        <v>-16300.55953348253</v>
      </c>
      <c r="Y853" s="6" t="n">
        <v>-0.03632579766442374</v>
      </c>
      <c r="Z853" s="7" t="n">
        <v>196328.954199781</v>
      </c>
      <c r="AA853" s="7" t="n">
        <v>-196328.954199781</v>
      </c>
      <c r="AB853" s="7" t="n">
        <v>2506006.119257654</v>
      </c>
      <c r="AC853" s="7" t="n">
        <v>2702335.073457435</v>
      </c>
      <c r="AD853" s="7" t="n">
        <v>-196328.9541997812</v>
      </c>
      <c r="AE853" s="6" t="n">
        <v>-0.07265159532884759</v>
      </c>
    </row>
    <row r="854">
      <c r="A854" s="2" t="n">
        <v>845</v>
      </c>
      <c r="B854" s="2" t="inlineStr">
        <is>
          <t>KPROP-00845</t>
        </is>
      </c>
      <c r="C854" s="3" t="n">
        <v>46167</v>
      </c>
      <c r="D854" s="2" t="inlineStr">
        <is>
          <t>Landen Roupp</t>
        </is>
      </c>
      <c r="E854" s="2" t="inlineStr">
        <is>
          <t>Loss</t>
        </is>
      </c>
      <c r="F854" s="2" t="n">
        <v>-1</v>
      </c>
      <c r="G854" s="6" t="n">
        <v>0.211324936528009</v>
      </c>
      <c r="H854" s="7" t="n">
        <v>100</v>
      </c>
      <c r="I854" s="7" t="n">
        <v>-100</v>
      </c>
      <c r="J854" s="7" t="n">
        <v>19230.41943912388</v>
      </c>
      <c r="K854" s="7" t="n">
        <v>19430.41943912388</v>
      </c>
      <c r="L854" s="7" t="n">
        <v>-200</v>
      </c>
      <c r="M854" s="6" t="n">
        <v>-0.0102931385823454</v>
      </c>
      <c r="N854" s="7" t="n">
        <v>243.8472403189514</v>
      </c>
      <c r="O854" s="7" t="n">
        <v>-243.8472403189514</v>
      </c>
      <c r="P854" s="7" t="n">
        <v>24140.87679157619</v>
      </c>
      <c r="Q854" s="7" t="n">
        <v>24722.32098223535</v>
      </c>
      <c r="R854" s="7" t="n">
        <v>-581.4441906591674</v>
      </c>
      <c r="S854" s="6" t="n">
        <v>-0.02351899690473941</v>
      </c>
      <c r="T854" s="7" t="n">
        <v>22845.90368756277</v>
      </c>
      <c r="U854" s="7" t="n">
        <v>-22845.90368756277</v>
      </c>
      <c r="V854" s="7" t="n">
        <v>409585.8587520728</v>
      </c>
      <c r="W854" s="7" t="n">
        <v>448732.3219731181</v>
      </c>
      <c r="X854" s="7" t="n">
        <v>-39146.46322104533</v>
      </c>
      <c r="Y854" s="6" t="n">
        <v>-0.08723789507498514</v>
      </c>
      <c r="Z854" s="7" t="n">
        <v>264790.7920454629</v>
      </c>
      <c r="AA854" s="7" t="n">
        <v>-264790.7920454629</v>
      </c>
      <c r="AB854" s="7" t="n">
        <v>2241215.327212191</v>
      </c>
      <c r="AC854" s="7" t="n">
        <v>2702335.073457435</v>
      </c>
      <c r="AD854" s="7" t="n">
        <v>-461119.7462452441</v>
      </c>
      <c r="AE854" s="6" t="n">
        <v>-0.1706375167070884</v>
      </c>
    </row>
    <row r="855">
      <c r="A855" s="2" t="n">
        <v>846</v>
      </c>
      <c r="B855" s="2" t="inlineStr">
        <is>
          <t>KPROP-00846</t>
        </is>
      </c>
      <c r="C855" s="3" t="n">
        <v>46167</v>
      </c>
      <c r="D855" s="2" t="inlineStr">
        <is>
          <t>Nolan McLean</t>
        </is>
      </c>
      <c r="E855" s="2" t="inlineStr">
        <is>
          <t>Win</t>
        </is>
      </c>
      <c r="F855" s="2" t="n">
        <v>1.35</v>
      </c>
      <c r="G855" s="6" t="n">
        <v>0.1400525781917815</v>
      </c>
      <c r="H855" s="7" t="n">
        <v>100</v>
      </c>
      <c r="I855" s="7" t="n">
        <v>135</v>
      </c>
      <c r="J855" s="7" t="n">
        <v>19365.41943912388</v>
      </c>
      <c r="K855" s="7" t="n">
        <v>19430.41943912388</v>
      </c>
      <c r="L855" s="7" t="n">
        <v>-65</v>
      </c>
      <c r="M855" s="6" t="n">
        <v>-0.003345270039262254</v>
      </c>
      <c r="N855" s="7" t="n">
        <v>241.4087679157619</v>
      </c>
      <c r="O855" s="7" t="n">
        <v>325.9018366862786</v>
      </c>
      <c r="P855" s="7" t="n">
        <v>24466.77862826247</v>
      </c>
      <c r="Q855" s="7" t="n">
        <v>24722.32098223535</v>
      </c>
      <c r="R855" s="7" t="n">
        <v>-255.5423539728872</v>
      </c>
      <c r="S855" s="6" t="n">
        <v>-0.01033650336295332</v>
      </c>
      <c r="T855" s="7" t="n">
        <v>14340.88887728066</v>
      </c>
      <c r="U855" s="7" t="n">
        <v>19360.19998432889</v>
      </c>
      <c r="V855" s="7" t="n">
        <v>428946.0587364017</v>
      </c>
      <c r="W855" s="7" t="n">
        <v>448732.3219731181</v>
      </c>
      <c r="X855" s="7" t="n">
        <v>-19786.26323671645</v>
      </c>
      <c r="Y855" s="6" t="n">
        <v>-0.04409368852618949</v>
      </c>
      <c r="Z855" s="7" t="n">
        <v>156943.9924295023</v>
      </c>
      <c r="AA855" s="7" t="n">
        <v>211874.3897798281</v>
      </c>
      <c r="AB855" s="7" t="n">
        <v>2453089.716992019</v>
      </c>
      <c r="AC855" s="7" t="n">
        <v>2702335.073457435</v>
      </c>
      <c r="AD855" s="7" t="n">
        <v>-249245.356465416</v>
      </c>
      <c r="AE855" s="6" t="n">
        <v>-0.09223332772960879</v>
      </c>
    </row>
    <row r="856">
      <c r="A856" s="2" t="n">
        <v>847</v>
      </c>
      <c r="B856" s="2" t="inlineStr">
        <is>
          <t>KPROP-00847</t>
        </is>
      </c>
      <c r="C856" s="3" t="n">
        <v>46167</v>
      </c>
      <c r="D856" s="2" t="inlineStr">
        <is>
          <t>Nolan McLean</t>
        </is>
      </c>
      <c r="E856" s="2" t="inlineStr">
        <is>
          <t>Win</t>
        </is>
      </c>
      <c r="F856" s="2" t="n">
        <v>0.7142857142857144</v>
      </c>
      <c r="G856" s="6" t="n">
        <v>0.1683920865492973</v>
      </c>
      <c r="H856" s="7" t="n">
        <v>100</v>
      </c>
      <c r="I856" s="7" t="n">
        <v>71.42857142857144</v>
      </c>
      <c r="J856" s="7" t="n">
        <v>19436.84801055245</v>
      </c>
      <c r="K856" s="7" t="n">
        <v>19436.84801055245</v>
      </c>
      <c r="L856" s="7" t="n">
        <v>0</v>
      </c>
      <c r="M856" s="6" t="n">
        <v>0</v>
      </c>
      <c r="N856" s="7" t="n">
        <v>244.6677862826247</v>
      </c>
      <c r="O856" s="7" t="n">
        <v>174.7627044875891</v>
      </c>
      <c r="P856" s="7" t="n">
        <v>24641.54133275005</v>
      </c>
      <c r="Q856" s="7" t="n">
        <v>24722.32098223535</v>
      </c>
      <c r="R856" s="7" t="n">
        <v>-80.77964948529916</v>
      </c>
      <c r="S856" s="6" t="n">
        <v>-0.003267478386974458</v>
      </c>
      <c r="T856" s="7" t="n">
        <v>18057.78046193003</v>
      </c>
      <c r="U856" s="7" t="n">
        <v>12898.41461566431</v>
      </c>
      <c r="V856" s="7" t="n">
        <v>441844.473352066</v>
      </c>
      <c r="W856" s="7" t="n">
        <v>448732.3219731181</v>
      </c>
      <c r="X856" s="7" t="n">
        <v>-6887.848621052166</v>
      </c>
      <c r="Y856" s="6" t="n">
        <v>-0.01534957096641858</v>
      </c>
      <c r="Z856" s="7" t="n">
        <v>206540.4479684556</v>
      </c>
      <c r="AA856" s="7" t="n">
        <v>147528.8914060397</v>
      </c>
      <c r="AB856" s="7" t="n">
        <v>2600618.608398058</v>
      </c>
      <c r="AC856" s="7" t="n">
        <v>2702335.073457435</v>
      </c>
      <c r="AD856" s="7" t="n">
        <v>-101716.4650593763</v>
      </c>
      <c r="AE856" s="6" t="n">
        <v>-0.03764021199977904</v>
      </c>
    </row>
    <row r="857">
      <c r="A857" s="2" t="n">
        <v>848</v>
      </c>
      <c r="B857" s="2" t="inlineStr">
        <is>
          <t>KPROP-00848</t>
        </is>
      </c>
      <c r="C857" s="3" t="n">
        <v>46167</v>
      </c>
      <c r="D857" s="2" t="inlineStr">
        <is>
          <t>Trey Yesavage</t>
        </is>
      </c>
      <c r="E857" s="2" t="inlineStr">
        <is>
          <t>Loss</t>
        </is>
      </c>
      <c r="F857" s="2" t="n">
        <v>-1</v>
      </c>
      <c r="G857" s="6" t="n">
        <v>0.2491712954620249</v>
      </c>
      <c r="H857" s="7" t="n">
        <v>100</v>
      </c>
      <c r="I857" s="7" t="n">
        <v>-100</v>
      </c>
      <c r="J857" s="7" t="n">
        <v>19336.84801055245</v>
      </c>
      <c r="K857" s="7" t="n">
        <v>19436.84801055245</v>
      </c>
      <c r="L857" s="7" t="n">
        <v>-100</v>
      </c>
      <c r="M857" s="6" t="n">
        <v>-0.005144867107347294</v>
      </c>
      <c r="N857" s="7" t="n">
        <v>246.4154133275005</v>
      </c>
      <c r="O857" s="7" t="n">
        <v>-246.4154133275005</v>
      </c>
      <c r="P857" s="7" t="n">
        <v>24395.12591942255</v>
      </c>
      <c r="Q857" s="7" t="n">
        <v>24722.32098223535</v>
      </c>
      <c r="R857" s="7" t="n">
        <v>-327.1950628127997</v>
      </c>
      <c r="S857" s="6" t="n">
        <v>-0.01323480360310472</v>
      </c>
      <c r="T857" s="7" t="n">
        <v>27523.7399544676</v>
      </c>
      <c r="U857" s="7" t="n">
        <v>-27523.7399544676</v>
      </c>
      <c r="V857" s="7" t="n">
        <v>414320.7333975984</v>
      </c>
      <c r="W857" s="7" t="n">
        <v>448732.3219731181</v>
      </c>
      <c r="X857" s="7" t="n">
        <v>-34411.58857551974</v>
      </c>
      <c r="Y857" s="6" t="n">
        <v>-0.07668622671130253</v>
      </c>
      <c r="Z857" s="7" t="n">
        <v>323999.7538285963</v>
      </c>
      <c r="AA857" s="7" t="n">
        <v>-323999.7538285963</v>
      </c>
      <c r="AB857" s="7" t="n">
        <v>2276618.854569462</v>
      </c>
      <c r="AC857" s="7" t="n">
        <v>2702335.073457435</v>
      </c>
      <c r="AD857" s="7" t="n">
        <v>-425716.2188879726</v>
      </c>
      <c r="AE857" s="6" t="n">
        <v>-0.1575364295380664</v>
      </c>
    </row>
    <row r="858">
      <c r="A858" s="2" t="n">
        <v>849</v>
      </c>
      <c r="B858" s="2" t="inlineStr">
        <is>
          <t>KPROP-00849</t>
        </is>
      </c>
      <c r="C858" s="3" t="n">
        <v>46167</v>
      </c>
      <c r="D858" s="2" t="inlineStr">
        <is>
          <t>Trey Yesavage</t>
        </is>
      </c>
      <c r="E858" s="2" t="inlineStr">
        <is>
          <t>Win</t>
        </is>
      </c>
      <c r="F858" s="2" t="n">
        <v>0.6896551724137931</v>
      </c>
      <c r="G858" s="6" t="n">
        <v>0.3645225850140941</v>
      </c>
      <c r="H858" s="7" t="n">
        <v>100</v>
      </c>
      <c r="I858" s="7" t="n">
        <v>68.96551724137932</v>
      </c>
      <c r="J858" s="7" t="n">
        <v>19405.81352779383</v>
      </c>
      <c r="K858" s="7" t="n">
        <v>19436.84801055245</v>
      </c>
      <c r="L858" s="7" t="n">
        <v>-31.03448275861956</v>
      </c>
      <c r="M858" s="6" t="n">
        <v>-0.001596682895383585</v>
      </c>
      <c r="N858" s="7" t="n">
        <v>243.9512591942255</v>
      </c>
      <c r="O858" s="7" t="n">
        <v>168.2422477201555</v>
      </c>
      <c r="P858" s="7" t="n">
        <v>24563.36816714271</v>
      </c>
      <c r="Q858" s="7" t="n">
        <v>24722.32098223535</v>
      </c>
      <c r="R858" s="7" t="n">
        <v>-158.9528150926453</v>
      </c>
      <c r="S858" s="6" t="n">
        <v>-0.006429526386574448</v>
      </c>
      <c r="T858" s="7" t="n">
        <v>37757.31619075697</v>
      </c>
      <c r="U858" s="7" t="n">
        <v>26039.52840741861</v>
      </c>
      <c r="V858" s="7" t="n">
        <v>440360.261805017</v>
      </c>
      <c r="W858" s="7" t="n">
        <v>448732.3219731181</v>
      </c>
      <c r="X858" s="7" t="n">
        <v>-8372.060168101103</v>
      </c>
      <c r="Y858" s="6" t="n">
        <v>-0.01865713646676569</v>
      </c>
      <c r="Z858" s="7" t="n">
        <v>414939.4949797431</v>
      </c>
      <c r="AA858" s="7" t="n">
        <v>286165.168951547</v>
      </c>
      <c r="AB858" s="7" t="n">
        <v>2562784.023521009</v>
      </c>
      <c r="AC858" s="7" t="n">
        <v>2702335.073457435</v>
      </c>
      <c r="AD858" s="7" t="n">
        <v>-139551.0499364259</v>
      </c>
      <c r="AE858" s="6" t="n">
        <v>-0.05164091281910529</v>
      </c>
    </row>
    <row r="859">
      <c r="A859" s="2" t="n">
        <v>850</v>
      </c>
      <c r="B859" s="2" t="inlineStr">
        <is>
          <t>KPROP-00850</t>
        </is>
      </c>
      <c r="C859" s="3" t="n">
        <v>46168</v>
      </c>
      <c r="D859" s="2" t="inlineStr">
        <is>
          <t>Braxton Ashcraft</t>
        </is>
      </c>
      <c r="E859" s="2" t="inlineStr">
        <is>
          <t>Win</t>
        </is>
      </c>
      <c r="F859" s="2" t="n">
        <v>1.1</v>
      </c>
      <c r="G859" s="6" t="n">
        <v>0.09357849058486255</v>
      </c>
      <c r="H859" s="7" t="n">
        <v>100</v>
      </c>
      <c r="I859" s="7" t="n">
        <v>110</v>
      </c>
      <c r="J859" s="7" t="n">
        <v>19515.81352779383</v>
      </c>
      <c r="K859" s="7" t="n">
        <v>19515.81352779383</v>
      </c>
      <c r="L859" s="7" t="n">
        <v>0</v>
      </c>
      <c r="M859" s="6" t="n">
        <v>0</v>
      </c>
      <c r="N859" s="7" t="n">
        <v>245.6336816714271</v>
      </c>
      <c r="O859" s="7" t="n">
        <v>270.1970498385698</v>
      </c>
      <c r="P859" s="7" t="n">
        <v>24833.56521698128</v>
      </c>
      <c r="Q859" s="7" t="n">
        <v>24833.56521698128</v>
      </c>
      <c r="R859" s="7" t="n">
        <v>0</v>
      </c>
      <c r="S859" s="6" t="n">
        <v>0</v>
      </c>
      <c r="T859" s="7" t="n">
        <v>10302.0621533171</v>
      </c>
      <c r="U859" s="7" t="n">
        <v>11332.26836864881</v>
      </c>
      <c r="V859" s="7" t="n">
        <v>451692.5301736658</v>
      </c>
      <c r="W859" s="7" t="n">
        <v>451692.5301736658</v>
      </c>
      <c r="X859" s="7" t="n">
        <v>0</v>
      </c>
      <c r="Y859" s="6" t="n">
        <v>0</v>
      </c>
      <c r="Z859" s="7" t="n">
        <v>119910.7303080484</v>
      </c>
      <c r="AA859" s="7" t="n">
        <v>131901.8033388533</v>
      </c>
      <c r="AB859" s="7" t="n">
        <v>2694685.826859862</v>
      </c>
      <c r="AC859" s="7" t="n">
        <v>2702335.073457435</v>
      </c>
      <c r="AD859" s="7" t="n">
        <v>-7649.246597572695</v>
      </c>
      <c r="AE859" s="6" t="n">
        <v>-0.002830606268150921</v>
      </c>
    </row>
    <row r="860">
      <c r="A860" s="2" t="n">
        <v>851</v>
      </c>
      <c r="B860" s="2" t="inlineStr">
        <is>
          <t>KPROP-00851</t>
        </is>
      </c>
      <c r="C860" s="3" t="n">
        <v>46168</v>
      </c>
      <c r="D860" s="2" t="inlineStr">
        <is>
          <t>Griffin Jax</t>
        </is>
      </c>
      <c r="E860" s="2" t="inlineStr">
        <is>
          <t>Win</t>
        </is>
      </c>
      <c r="F860" s="2" t="n">
        <v>1.32</v>
      </c>
      <c r="G860" s="6" t="n">
        <v>0.1758881617851067</v>
      </c>
      <c r="H860" s="7" t="n">
        <v>100</v>
      </c>
      <c r="I860" s="7" t="n">
        <v>132</v>
      </c>
      <c r="J860" s="7" t="n">
        <v>19647.81352779383</v>
      </c>
      <c r="K860" s="7" t="n">
        <v>19647.81352779383</v>
      </c>
      <c r="L860" s="7" t="n">
        <v>0</v>
      </c>
      <c r="M860" s="6" t="n">
        <v>0</v>
      </c>
      <c r="N860" s="7" t="n">
        <v>248.3356521698128</v>
      </c>
      <c r="O860" s="7" t="n">
        <v>327.8030608641529</v>
      </c>
      <c r="P860" s="7" t="n">
        <v>25161.36827784543</v>
      </c>
      <c r="Q860" s="7" t="n">
        <v>25161.36827784543</v>
      </c>
      <c r="R860" s="7" t="n">
        <v>0</v>
      </c>
      <c r="S860" s="6" t="n">
        <v>0</v>
      </c>
      <c r="T860" s="7" t="n">
        <v>19861.84220607748</v>
      </c>
      <c r="U860" s="7" t="n">
        <v>26217.63171202228</v>
      </c>
      <c r="V860" s="7" t="n">
        <v>477910.1618856881</v>
      </c>
      <c r="W860" s="7" t="n">
        <v>477910.1618856881</v>
      </c>
      <c r="X860" s="7" t="n">
        <v>0</v>
      </c>
      <c r="Y860" s="6" t="n">
        <v>0</v>
      </c>
      <c r="Z860" s="7" t="n">
        <v>236981.6683373807</v>
      </c>
      <c r="AA860" s="7" t="n">
        <v>312815.8022053426</v>
      </c>
      <c r="AB860" s="7" t="n">
        <v>3007501.629065205</v>
      </c>
      <c r="AC860" s="7" t="n">
        <v>3007501.629065205</v>
      </c>
      <c r="AD860" s="7" t="n">
        <v>0</v>
      </c>
      <c r="AE860" s="6" t="n">
        <v>0</v>
      </c>
    </row>
    <row r="861">
      <c r="A861" s="2" t="n">
        <v>852</v>
      </c>
      <c r="B861" s="2" t="inlineStr">
        <is>
          <t>KPROP-00852</t>
        </is>
      </c>
      <c r="C861" s="3" t="n">
        <v>46168</v>
      </c>
      <c r="D861" s="2" t="inlineStr">
        <is>
          <t>Griffin Jax</t>
        </is>
      </c>
      <c r="E861" s="2" t="inlineStr">
        <is>
          <t>Win</t>
        </is>
      </c>
      <c r="F861" s="2" t="n">
        <v>0.6451612903225805</v>
      </c>
      <c r="G861" s="6" t="n">
        <v>0.2401882253545014</v>
      </c>
      <c r="H861" s="7" t="n">
        <v>100</v>
      </c>
      <c r="I861" s="7" t="n">
        <v>64.51612903225805</v>
      </c>
      <c r="J861" s="7" t="n">
        <v>19712.32965682609</v>
      </c>
      <c r="K861" s="7" t="n">
        <v>19712.32965682609</v>
      </c>
      <c r="L861" s="7" t="n">
        <v>0</v>
      </c>
      <c r="M861" s="6" t="n">
        <v>0</v>
      </c>
      <c r="N861" s="7" t="n">
        <v>251.6136827784543</v>
      </c>
      <c r="O861" s="7" t="n">
        <v>162.331408244164</v>
      </c>
      <c r="P861" s="7" t="n">
        <v>25323.6996860896</v>
      </c>
      <c r="Q861" s="7" t="n">
        <v>25323.6996860896</v>
      </c>
      <c r="R861" s="7" t="n">
        <v>0</v>
      </c>
      <c r="S861" s="6" t="n">
        <v>0</v>
      </c>
      <c r="T861" s="7" t="n">
        <v>28697.09841555147</v>
      </c>
      <c r="U861" s="7" t="n">
        <v>18514.25704229127</v>
      </c>
      <c r="V861" s="7" t="n">
        <v>496424.4189279794</v>
      </c>
      <c r="W861" s="7" t="n">
        <v>496424.4189279794</v>
      </c>
      <c r="X861" s="7" t="n">
        <v>0</v>
      </c>
      <c r="Y861" s="6" t="n">
        <v>0</v>
      </c>
      <c r="Z861" s="7" t="n">
        <v>361183.2395179717</v>
      </c>
      <c r="AA861" s="7" t="n">
        <v>233021.4448503043</v>
      </c>
      <c r="AB861" s="7" t="n">
        <v>3240523.073915509</v>
      </c>
      <c r="AC861" s="7" t="n">
        <v>3240523.073915509</v>
      </c>
      <c r="AD861" s="7" t="n">
        <v>0</v>
      </c>
      <c r="AE861" s="6" t="n">
        <v>0</v>
      </c>
    </row>
    <row r="862">
      <c r="A862" s="2" t="n">
        <v>853</v>
      </c>
      <c r="B862" s="2" t="inlineStr">
        <is>
          <t>KPROP-00853</t>
        </is>
      </c>
      <c r="C862" s="3" t="n">
        <v>46168</v>
      </c>
      <c r="D862" s="2" t="inlineStr">
        <is>
          <t>Joey Cantillo</t>
        </is>
      </c>
      <c r="E862" s="2" t="inlineStr">
        <is>
          <t>Win</t>
        </is>
      </c>
      <c r="F862" s="2" t="n">
        <v>1.32</v>
      </c>
      <c r="G862" s="6" t="n">
        <v>0.1774746287331064</v>
      </c>
      <c r="H862" s="7" t="n">
        <v>100</v>
      </c>
      <c r="I862" s="7" t="n">
        <v>132</v>
      </c>
      <c r="J862" s="7" t="n">
        <v>19844.32965682609</v>
      </c>
      <c r="K862" s="7" t="n">
        <v>19844.32965682609</v>
      </c>
      <c r="L862" s="7" t="n">
        <v>0</v>
      </c>
      <c r="M862" s="6" t="n">
        <v>0</v>
      </c>
      <c r="N862" s="7" t="n">
        <v>253.236996860896</v>
      </c>
      <c r="O862" s="7" t="n">
        <v>334.2728358563828</v>
      </c>
      <c r="P862" s="7" t="n">
        <v>25657.97252194598</v>
      </c>
      <c r="Q862" s="7" t="n">
        <v>25657.97252194598</v>
      </c>
      <c r="R862" s="7" t="n">
        <v>0</v>
      </c>
      <c r="S862" s="6" t="n">
        <v>0</v>
      </c>
      <c r="T862" s="7" t="n">
        <v>22025.6848608228</v>
      </c>
      <c r="U862" s="7" t="n">
        <v>29073.90401628611</v>
      </c>
      <c r="V862" s="7" t="n">
        <v>525498.3229442656</v>
      </c>
      <c r="W862" s="7" t="n">
        <v>525498.3229442656</v>
      </c>
      <c r="X862" s="7" t="n">
        <v>0</v>
      </c>
      <c r="Y862" s="6" t="n">
        <v>0</v>
      </c>
      <c r="Z862" s="7" t="n">
        <v>287555.3147221098</v>
      </c>
      <c r="AA862" s="7" t="n">
        <v>379573.015433185</v>
      </c>
      <c r="AB862" s="7" t="n">
        <v>3620096.089348694</v>
      </c>
      <c r="AC862" s="7" t="n">
        <v>3620096.089348694</v>
      </c>
      <c r="AD862" s="7" t="n">
        <v>0</v>
      </c>
      <c r="AE862" s="6" t="n">
        <v>0</v>
      </c>
    </row>
    <row r="863">
      <c r="A863" s="2" t="n">
        <v>854</v>
      </c>
      <c r="B863" s="2" t="inlineStr">
        <is>
          <t>KPROP-00854</t>
        </is>
      </c>
      <c r="C863" s="3" t="n">
        <v>46168</v>
      </c>
      <c r="D863" s="2" t="inlineStr">
        <is>
          <t>Joey Cantillo</t>
        </is>
      </c>
      <c r="E863" s="2" t="inlineStr">
        <is>
          <t>Win</t>
        </is>
      </c>
      <c r="F863" s="2" t="n">
        <v>0.7142857142857144</v>
      </c>
      <c r="G863" s="6" t="n">
        <v>0.2868339896161752</v>
      </c>
      <c r="H863" s="7" t="n">
        <v>100</v>
      </c>
      <c r="I863" s="7" t="n">
        <v>71.42857142857144</v>
      </c>
      <c r="J863" s="7" t="n">
        <v>19915.75822825466</v>
      </c>
      <c r="K863" s="7" t="n">
        <v>19915.75822825466</v>
      </c>
      <c r="L863" s="7" t="n">
        <v>0</v>
      </c>
      <c r="M863" s="6" t="n">
        <v>0</v>
      </c>
      <c r="N863" s="7" t="n">
        <v>256.5797252194598</v>
      </c>
      <c r="O863" s="7" t="n">
        <v>183.2712322996142</v>
      </c>
      <c r="P863" s="7" t="n">
        <v>25841.2437542456</v>
      </c>
      <c r="Q863" s="7" t="n">
        <v>25841.2437542456</v>
      </c>
      <c r="R863" s="7" t="n">
        <v>0</v>
      </c>
      <c r="S863" s="6" t="n">
        <v>0</v>
      </c>
      <c r="T863" s="7" t="n">
        <v>37682.69512667823</v>
      </c>
      <c r="U863" s="7" t="n">
        <v>26916.21080477017</v>
      </c>
      <c r="V863" s="7" t="n">
        <v>552414.5337490357</v>
      </c>
      <c r="W863" s="7" t="n">
        <v>552414.5337490357</v>
      </c>
      <c r="X863" s="7" t="n">
        <v>0</v>
      </c>
      <c r="Y863" s="6" t="n">
        <v>0</v>
      </c>
      <c r="Z863" s="7" t="n">
        <v>519183.3020508999</v>
      </c>
      <c r="AA863" s="7" t="n">
        <v>370845.2157506428</v>
      </c>
      <c r="AB863" s="7" t="n">
        <v>3990941.305099337</v>
      </c>
      <c r="AC863" s="7" t="n">
        <v>3990941.305099337</v>
      </c>
      <c r="AD863" s="7" t="n">
        <v>0</v>
      </c>
      <c r="AE863" s="6" t="n">
        <v>0</v>
      </c>
    </row>
    <row r="864">
      <c r="A864" s="2" t="n">
        <v>855</v>
      </c>
      <c r="B864" s="2" t="inlineStr">
        <is>
          <t>KPROP-00855</t>
        </is>
      </c>
      <c r="C864" s="3" t="n">
        <v>46168</v>
      </c>
      <c r="D864" s="2" t="inlineStr">
        <is>
          <t>Kyle Harrison</t>
        </is>
      </c>
      <c r="E864" s="2" t="inlineStr">
        <is>
          <t>Win</t>
        </is>
      </c>
      <c r="F864" s="2" t="n">
        <v>0.8695652173913042</v>
      </c>
      <c r="G864" s="6" t="n">
        <v>0.3193375674104154</v>
      </c>
      <c r="H864" s="7" t="n">
        <v>100</v>
      </c>
      <c r="I864" s="7" t="n">
        <v>86.95652173913042</v>
      </c>
      <c r="J864" s="7" t="n">
        <v>20002.71474999379</v>
      </c>
      <c r="K864" s="7" t="n">
        <v>20002.71474999379</v>
      </c>
      <c r="L864" s="7" t="n">
        <v>0</v>
      </c>
      <c r="M864" s="6" t="n">
        <v>0</v>
      </c>
      <c r="N864" s="7" t="n">
        <v>258.412437542456</v>
      </c>
      <c r="O864" s="7" t="n">
        <v>224.7064674282225</v>
      </c>
      <c r="P864" s="7" t="n">
        <v>26065.95022167382</v>
      </c>
      <c r="Q864" s="7" t="n">
        <v>26065.95022167382</v>
      </c>
      <c r="R864" s="7" t="n">
        <v>0</v>
      </c>
      <c r="S864" s="6" t="n">
        <v>0</v>
      </c>
      <c r="T864" s="7" t="n">
        <v>44101.67835239396</v>
      </c>
      <c r="U864" s="7" t="n">
        <v>38349.28552382083</v>
      </c>
      <c r="V864" s="7" t="n">
        <v>590763.8192728565</v>
      </c>
      <c r="W864" s="7" t="n">
        <v>590763.8192728565</v>
      </c>
      <c r="X864" s="7" t="n">
        <v>0</v>
      </c>
      <c r="Y864" s="6" t="n">
        <v>0</v>
      </c>
      <c r="Z864" s="7" t="n">
        <v>637228.7440240853</v>
      </c>
      <c r="AA864" s="7" t="n">
        <v>554111.9513252915</v>
      </c>
      <c r="AB864" s="7" t="n">
        <v>4545053.256424629</v>
      </c>
      <c r="AC864" s="7" t="n">
        <v>4545053.256424629</v>
      </c>
      <c r="AD864" s="7" t="n">
        <v>0</v>
      </c>
      <c r="AE864" s="6" t="n">
        <v>0</v>
      </c>
    </row>
    <row r="865">
      <c r="A865" s="2" t="n">
        <v>856</v>
      </c>
      <c r="B865" s="2" t="inlineStr">
        <is>
          <t>KPROP-00856</t>
        </is>
      </c>
      <c r="C865" s="3" t="n">
        <v>46168</v>
      </c>
      <c r="D865" s="2" t="inlineStr">
        <is>
          <t>Ranger Suarez</t>
        </is>
      </c>
      <c r="E865" s="2" t="inlineStr">
        <is>
          <t>Win</t>
        </is>
      </c>
      <c r="F865" s="2" t="n">
        <v>0.8928571428571428</v>
      </c>
      <c r="G865" s="6" t="n">
        <v>0.1111031204975583</v>
      </c>
      <c r="H865" s="7" t="n">
        <v>100</v>
      </c>
      <c r="I865" s="7" t="n">
        <v>89.28571428571428</v>
      </c>
      <c r="J865" s="7" t="n">
        <v>20092.00046427951</v>
      </c>
      <c r="K865" s="7" t="n">
        <v>20092.00046427951</v>
      </c>
      <c r="L865" s="7" t="n">
        <v>0</v>
      </c>
      <c r="M865" s="6" t="n">
        <v>0</v>
      </c>
      <c r="N865" s="7" t="n">
        <v>260.6595022167382</v>
      </c>
      <c r="O865" s="7" t="n">
        <v>232.7316984078019</v>
      </c>
      <c r="P865" s="7" t="n">
        <v>26298.68192008162</v>
      </c>
      <c r="Q865" s="7" t="n">
        <v>26298.68192008162</v>
      </c>
      <c r="R865" s="7" t="n">
        <v>0</v>
      </c>
      <c r="S865" s="6" t="n">
        <v>0</v>
      </c>
      <c r="T865" s="7" t="n">
        <v>16408.92594956748</v>
      </c>
      <c r="U865" s="7" t="n">
        <v>14650.82674068525</v>
      </c>
      <c r="V865" s="7" t="n">
        <v>605414.6460135417</v>
      </c>
      <c r="W865" s="7" t="n">
        <v>605414.6460135417</v>
      </c>
      <c r="X865" s="7" t="n">
        <v>0</v>
      </c>
      <c r="Y865" s="6" t="n">
        <v>0</v>
      </c>
      <c r="Z865" s="7" t="n">
        <v>252484.7998081826</v>
      </c>
      <c r="AA865" s="7" t="n">
        <v>225432.8569715916</v>
      </c>
      <c r="AB865" s="7" t="n">
        <v>4770486.113396221</v>
      </c>
      <c r="AC865" s="7" t="n">
        <v>4770486.113396221</v>
      </c>
      <c r="AD865" s="7" t="n">
        <v>0</v>
      </c>
      <c r="AE865" s="6" t="n">
        <v>0</v>
      </c>
    </row>
    <row r="866">
      <c r="A866" s="2" t="n">
        <v>857</v>
      </c>
      <c r="B866" s="2" t="inlineStr">
        <is>
          <t>KPROP-00857</t>
        </is>
      </c>
      <c r="C866" s="3" t="n">
        <v>46169</v>
      </c>
      <c r="D866" s="2" t="inlineStr">
        <is>
          <t>Connor Prielipp</t>
        </is>
      </c>
      <c r="E866" s="2" t="inlineStr">
        <is>
          <t>Loss</t>
        </is>
      </c>
      <c r="F866" s="2" t="n">
        <v>-1</v>
      </c>
      <c r="G866" s="6" t="n">
        <v>0.1070341112319491</v>
      </c>
      <c r="H866" s="7" t="n">
        <v>100</v>
      </c>
      <c r="I866" s="7" t="n">
        <v>-100</v>
      </c>
      <c r="J866" s="7" t="n">
        <v>19992.00046427951</v>
      </c>
      <c r="K866" s="7" t="n">
        <v>20092.00046427951</v>
      </c>
      <c r="L866" s="7" t="n">
        <v>-100</v>
      </c>
      <c r="M866" s="6" t="n">
        <v>-0.004977105200539123</v>
      </c>
      <c r="N866" s="7" t="n">
        <v>262.9868192008162</v>
      </c>
      <c r="O866" s="7" t="n">
        <v>-262.9868192008162</v>
      </c>
      <c r="P866" s="7" t="n">
        <v>26035.6951008808</v>
      </c>
      <c r="Q866" s="7" t="n">
        <v>26298.68192008162</v>
      </c>
      <c r="R866" s="7" t="n">
        <v>-262.986819200818</v>
      </c>
      <c r="S866" s="6" t="n">
        <v>-0.01000000000000007</v>
      </c>
      <c r="T866" s="7" t="n">
        <v>16200.00464071613</v>
      </c>
      <c r="U866" s="7" t="n">
        <v>-16200.00464071613</v>
      </c>
      <c r="V866" s="7" t="n">
        <v>589214.6413728256</v>
      </c>
      <c r="W866" s="7" t="n">
        <v>605414.6460135417</v>
      </c>
      <c r="X866" s="7" t="n">
        <v>-16200.00464071613</v>
      </c>
      <c r="Y866" s="6" t="n">
        <v>-0.02675852780798728</v>
      </c>
      <c r="Z866" s="7" t="n">
        <v>255302.3706458599</v>
      </c>
      <c r="AA866" s="7" t="n">
        <v>-255302.3706458599</v>
      </c>
      <c r="AB866" s="7" t="n">
        <v>4515183.742750361</v>
      </c>
      <c r="AC866" s="7" t="n">
        <v>4770486.113396221</v>
      </c>
      <c r="AD866" s="7" t="n">
        <v>-255302.3706458602</v>
      </c>
      <c r="AE866" s="6" t="n">
        <v>-0.05351705561597463</v>
      </c>
    </row>
    <row r="867">
      <c r="A867" s="2" t="n">
        <v>858</v>
      </c>
      <c r="B867" s="2" t="inlineStr">
        <is>
          <t>KPROP-00858</t>
        </is>
      </c>
      <c r="C867" s="3" t="n">
        <v>46169</v>
      </c>
      <c r="D867" s="2" t="inlineStr">
        <is>
          <t>Connor Prielipp</t>
        </is>
      </c>
      <c r="E867" s="2" t="inlineStr">
        <is>
          <t>Win</t>
        </is>
      </c>
      <c r="F867" s="2" t="n">
        <v>0.5988023952095807</v>
      </c>
      <c r="G867" s="6" t="n">
        <v>0.1602253299166785</v>
      </c>
      <c r="H867" s="7" t="n">
        <v>100</v>
      </c>
      <c r="I867" s="7" t="n">
        <v>59.88023952095807</v>
      </c>
      <c r="J867" s="7" t="n">
        <v>20051.88070380046</v>
      </c>
      <c r="K867" s="7" t="n">
        <v>20092.00046427951</v>
      </c>
      <c r="L867" s="7" t="n">
        <v>-40.11976047904318</v>
      </c>
      <c r="M867" s="6" t="n">
        <v>-0.001996802685246298</v>
      </c>
      <c r="N867" s="7" t="n">
        <v>260.356951008808</v>
      </c>
      <c r="O867" s="7" t="n">
        <v>155.9023658735377</v>
      </c>
      <c r="P867" s="7" t="n">
        <v>26191.59746675434</v>
      </c>
      <c r="Q867" s="7" t="n">
        <v>26298.68192008162</v>
      </c>
      <c r="R867" s="7" t="n">
        <v>-107.0844533272793</v>
      </c>
      <c r="S867" s="6" t="n">
        <v>-0.004071856287425183</v>
      </c>
      <c r="T867" s="7" t="n">
        <v>23601.77757642459</v>
      </c>
      <c r="U867" s="7" t="n">
        <v>14132.80094396682</v>
      </c>
      <c r="V867" s="7" t="n">
        <v>603347.4423167924</v>
      </c>
      <c r="W867" s="7" t="n">
        <v>605414.6460135417</v>
      </c>
      <c r="X867" s="7" t="n">
        <v>-2067.20369674929</v>
      </c>
      <c r="Y867" s="6" t="n">
        <v>-0.003414525417184986</v>
      </c>
      <c r="Z867" s="7" t="n">
        <v>361723.4024082998</v>
      </c>
      <c r="AA867" s="7" t="n">
        <v>216600.8397654489</v>
      </c>
      <c r="AB867" s="7" t="n">
        <v>4731784.58251581</v>
      </c>
      <c r="AC867" s="7" t="n">
        <v>4770486.113396221</v>
      </c>
      <c r="AD867" s="7" t="n">
        <v>-38701.53088041116</v>
      </c>
      <c r="AE867" s="6" t="n">
        <v>-0.008112701716441772</v>
      </c>
    </row>
    <row r="868">
      <c r="A868" s="2" t="n">
        <v>859</v>
      </c>
      <c r="B868" s="2" t="inlineStr">
        <is>
          <t>KPROP-00859</t>
        </is>
      </c>
      <c r="C868" s="3" t="n">
        <v>46169</v>
      </c>
      <c r="D868" s="2" t="inlineStr">
        <is>
          <t>Cristopher Sánchez</t>
        </is>
      </c>
      <c r="E868" s="2" t="inlineStr">
        <is>
          <t>Loss</t>
        </is>
      </c>
      <c r="F868" s="2" t="n">
        <v>-1</v>
      </c>
      <c r="G868" s="6" t="n">
        <v>0.1045583278436246</v>
      </c>
      <c r="H868" s="7" t="n">
        <v>100</v>
      </c>
      <c r="I868" s="7" t="n">
        <v>-100</v>
      </c>
      <c r="J868" s="7" t="n">
        <v>19951.88070380046</v>
      </c>
      <c r="K868" s="7" t="n">
        <v>20092.00046427951</v>
      </c>
      <c r="L868" s="7" t="n">
        <v>-140.1197604790432</v>
      </c>
      <c r="M868" s="6" t="n">
        <v>-0.00697390788578542</v>
      </c>
      <c r="N868" s="7" t="n">
        <v>261.9159746675434</v>
      </c>
      <c r="O868" s="7" t="n">
        <v>-261.9159746675434</v>
      </c>
      <c r="P868" s="7" t="n">
        <v>25929.6814920868</v>
      </c>
      <c r="Q868" s="7" t="n">
        <v>26298.68192008162</v>
      </c>
      <c r="R868" s="7" t="n">
        <v>-369.0004279948225</v>
      </c>
      <c r="S868" s="6" t="n">
        <v>-0.01403113772455092</v>
      </c>
      <c r="T868" s="7" t="n">
        <v>15771.2499193429</v>
      </c>
      <c r="U868" s="7" t="n">
        <v>-15771.2499193429</v>
      </c>
      <c r="V868" s="7" t="n">
        <v>587576.1923974495</v>
      </c>
      <c r="W868" s="7" t="n">
        <v>605414.6460135417</v>
      </c>
      <c r="X868" s="7" t="n">
        <v>-17838.45361609221</v>
      </c>
      <c r="Y868" s="6" t="n">
        <v>-0.02946485311109109</v>
      </c>
      <c r="Z868" s="7" t="n">
        <v>247373.7418320483</v>
      </c>
      <c r="AA868" s="7" t="n">
        <v>-247373.7418320483</v>
      </c>
      <c r="AB868" s="7" t="n">
        <v>4484410.840683761</v>
      </c>
      <c r="AC868" s="7" t="n">
        <v>4770486.113396221</v>
      </c>
      <c r="AD868" s="7" t="n">
        <v>-286075.2727124598</v>
      </c>
      <c r="AE868" s="6" t="n">
        <v>-0.05996774037537154</v>
      </c>
    </row>
    <row r="869">
      <c r="A869" s="2" t="n">
        <v>860</v>
      </c>
      <c r="B869" s="2" t="inlineStr">
        <is>
          <t>KPROP-00860</t>
        </is>
      </c>
      <c r="C869" s="3" t="n">
        <v>46169</v>
      </c>
      <c r="D869" s="2" t="inlineStr">
        <is>
          <t>Kevin Gausman</t>
        </is>
      </c>
      <c r="E869" s="2" t="inlineStr">
        <is>
          <t>Win</t>
        </is>
      </c>
      <c r="F869" s="2" t="n">
        <v>0.9523809523809523</v>
      </c>
      <c r="G869" s="6" t="n">
        <v>0.1100935979816497</v>
      </c>
      <c r="H869" s="7" t="n">
        <v>100</v>
      </c>
      <c r="I869" s="7" t="n">
        <v>95.23809523809523</v>
      </c>
      <c r="J869" s="7" t="n">
        <v>20047.11879903856</v>
      </c>
      <c r="K869" s="7" t="n">
        <v>20092.00046427951</v>
      </c>
      <c r="L869" s="7" t="n">
        <v>-44.88166524094777</v>
      </c>
      <c r="M869" s="6" t="n">
        <v>-0.002233807694795771</v>
      </c>
      <c r="N869" s="7" t="n">
        <v>259.296814920868</v>
      </c>
      <c r="O869" s="7" t="n">
        <v>246.9493475436838</v>
      </c>
      <c r="P869" s="7" t="n">
        <v>26176.63083963048</v>
      </c>
      <c r="Q869" s="7" t="n">
        <v>26298.68192008162</v>
      </c>
      <c r="R869" s="7" t="n">
        <v>-122.0510804511396</v>
      </c>
      <c r="S869" s="6" t="n">
        <v>-0.004640958083832392</v>
      </c>
      <c r="T869" s="7" t="n">
        <v>16172.09427734832</v>
      </c>
      <c r="U869" s="7" t="n">
        <v>15401.99454985554</v>
      </c>
      <c r="V869" s="7" t="n">
        <v>602978.1869473051</v>
      </c>
      <c r="W869" s="7" t="n">
        <v>605414.6460135417</v>
      </c>
      <c r="X869" s="7" t="n">
        <v>-2436.459066236624</v>
      </c>
      <c r="Y869" s="6" t="n">
        <v>-0.004024446851888889</v>
      </c>
      <c r="Z869" s="7" t="n">
        <v>246852.4621393949</v>
      </c>
      <c r="AA869" s="7" t="n">
        <v>235097.5829898999</v>
      </c>
      <c r="AB869" s="7" t="n">
        <v>4719508.423673661</v>
      </c>
      <c r="AC869" s="7" t="n">
        <v>4770486.113396221</v>
      </c>
      <c r="AD869" s="7" t="n">
        <v>-50977.68972255941</v>
      </c>
      <c r="AE869" s="6" t="n">
        <v>-0.01068605767018305</v>
      </c>
    </row>
    <row r="870">
      <c r="A870" s="2" t="n">
        <v>861</v>
      </c>
      <c r="B870" s="2" t="inlineStr">
        <is>
          <t>KPROP-00861</t>
        </is>
      </c>
      <c r="C870" s="3" t="n">
        <v>46169</v>
      </c>
      <c r="D870" s="2" t="inlineStr">
        <is>
          <t>Logan Gilbert</t>
        </is>
      </c>
      <c r="E870" s="2" t="inlineStr">
        <is>
          <t>Loss</t>
        </is>
      </c>
      <c r="F870" s="2" t="n">
        <v>-1</v>
      </c>
      <c r="G870" s="6" t="n">
        <v>0.1213567602363299</v>
      </c>
      <c r="H870" s="7" t="n">
        <v>100</v>
      </c>
      <c r="I870" s="7" t="n">
        <v>-100</v>
      </c>
      <c r="J870" s="7" t="n">
        <v>19947.11879903856</v>
      </c>
      <c r="K870" s="7" t="n">
        <v>20092.00046427951</v>
      </c>
      <c r="L870" s="7" t="n">
        <v>-144.8816652409478</v>
      </c>
      <c r="M870" s="6" t="n">
        <v>-0.007210912895334894</v>
      </c>
      <c r="N870" s="7" t="n">
        <v>261.7663083963048</v>
      </c>
      <c r="O870" s="7" t="n">
        <v>-261.7663083963048</v>
      </c>
      <c r="P870" s="7" t="n">
        <v>25914.86453123418</v>
      </c>
      <c r="Q870" s="7" t="n">
        <v>26298.68192008162</v>
      </c>
      <c r="R870" s="7" t="n">
        <v>-383.8173888474448</v>
      </c>
      <c r="S870" s="6" t="n">
        <v>-0.01459454850299408</v>
      </c>
      <c r="T870" s="7" t="n">
        <v>18293.86981527526</v>
      </c>
      <c r="U870" s="7" t="n">
        <v>-18293.86981527526</v>
      </c>
      <c r="V870" s="7" t="n">
        <v>584684.3171320298</v>
      </c>
      <c r="W870" s="7" t="n">
        <v>605414.6460135417</v>
      </c>
      <c r="X870" s="7" t="n">
        <v>-20730.32888151193</v>
      </c>
      <c r="Y870" s="6" t="n">
        <v>-0.03424153845304932</v>
      </c>
      <c r="Z870" s="7" t="n">
        <v>286372.126102552</v>
      </c>
      <c r="AA870" s="7" t="n">
        <v>-286372.126102552</v>
      </c>
      <c r="AB870" s="7" t="n">
        <v>4433136.29757111</v>
      </c>
      <c r="AC870" s="7" t="n">
        <v>4770486.113396221</v>
      </c>
      <c r="AD870" s="7" t="n">
        <v>-337349.8158251112</v>
      </c>
      <c r="AE870" s="6" t="n">
        <v>-0.07071602511907199</v>
      </c>
    </row>
    <row r="871">
      <c r="A871" s="2" t="n">
        <v>862</v>
      </c>
      <c r="B871" s="2" t="inlineStr">
        <is>
          <t>KPROP-00862</t>
        </is>
      </c>
      <c r="C871" s="3" t="n">
        <v>46169</v>
      </c>
      <c r="D871" s="2" t="inlineStr">
        <is>
          <t>Michael Soroka</t>
        </is>
      </c>
      <c r="E871" s="2" t="inlineStr">
        <is>
          <t>Win</t>
        </is>
      </c>
      <c r="F871" s="2" t="n">
        <v>0.6666666666666665</v>
      </c>
      <c r="G871" s="6" t="n">
        <v>0.1773770581065699</v>
      </c>
      <c r="H871" s="7" t="n">
        <v>100</v>
      </c>
      <c r="I871" s="7" t="n">
        <v>66.66666666666666</v>
      </c>
      <c r="J871" s="7" t="n">
        <v>20013.78546570523</v>
      </c>
      <c r="K871" s="7" t="n">
        <v>20092.00046427951</v>
      </c>
      <c r="L871" s="7" t="n">
        <v>-78.21499857427989</v>
      </c>
      <c r="M871" s="6" t="n">
        <v>-0.003892842761642085</v>
      </c>
      <c r="N871" s="7" t="n">
        <v>259.1486453123418</v>
      </c>
      <c r="O871" s="7" t="n">
        <v>172.7657635415611</v>
      </c>
      <c r="P871" s="7" t="n">
        <v>26087.63029477574</v>
      </c>
      <c r="Q871" s="7" t="n">
        <v>26298.68192008162</v>
      </c>
      <c r="R871" s="7" t="n">
        <v>-211.051625305885</v>
      </c>
      <c r="S871" s="6" t="n">
        <v>-0.008025178826347429</v>
      </c>
      <c r="T871" s="7" t="n">
        <v>25927.39602348205</v>
      </c>
      <c r="U871" s="7" t="n">
        <v>17284.93068232136</v>
      </c>
      <c r="V871" s="7" t="n">
        <v>601969.2478143511</v>
      </c>
      <c r="W871" s="7" t="n">
        <v>605414.6460135417</v>
      </c>
      <c r="X871" s="7" t="n">
        <v>-3445.398199190618</v>
      </c>
      <c r="Y871" s="6" t="n">
        <v>-0.005690972661261903</v>
      </c>
      <c r="Z871" s="7" t="n">
        <v>393168.3373243074</v>
      </c>
      <c r="AA871" s="7" t="n">
        <v>262112.2248828716</v>
      </c>
      <c r="AB871" s="7" t="n">
        <v>4695248.522453981</v>
      </c>
      <c r="AC871" s="7" t="n">
        <v>4770486.113396221</v>
      </c>
      <c r="AD871" s="7" t="n">
        <v>-75237.59094223939</v>
      </c>
      <c r="AE871" s="6" t="n">
        <v>-0.01577147258241907</v>
      </c>
    </row>
    <row r="872">
      <c r="A872" s="2" t="n">
        <v>863</v>
      </c>
      <c r="B872" s="2" t="inlineStr">
        <is>
          <t>KPROP-00863</t>
        </is>
      </c>
      <c r="C872" s="3" t="n">
        <v>46170</v>
      </c>
      <c r="D872" s="2" t="inlineStr">
        <is>
          <t>Chris Bassitt</t>
        </is>
      </c>
      <c r="E872" s="2" t="inlineStr">
        <is>
          <t>Win</t>
        </is>
      </c>
      <c r="F872" s="2" t="n">
        <v>1.38</v>
      </c>
      <c r="G872" s="6" t="n">
        <v>0.09336534956609532</v>
      </c>
      <c r="H872" s="7" t="n">
        <v>100</v>
      </c>
      <c r="I872" s="7" t="n">
        <v>138</v>
      </c>
      <c r="J872" s="7" t="n">
        <v>20151.78546570523</v>
      </c>
      <c r="K872" s="7" t="n">
        <v>20151.78546570523</v>
      </c>
      <c r="L872" s="7" t="n">
        <v>0</v>
      </c>
      <c r="M872" s="6" t="n">
        <v>0</v>
      </c>
      <c r="N872" s="7" t="n">
        <v>260.8763029477574</v>
      </c>
      <c r="O872" s="7" t="n">
        <v>360.0092980679051</v>
      </c>
      <c r="P872" s="7" t="n">
        <v>26447.63959284364</v>
      </c>
      <c r="Q872" s="7" t="n">
        <v>26447.63959284364</v>
      </c>
      <c r="R872" s="7" t="n">
        <v>0</v>
      </c>
      <c r="S872" s="6" t="n">
        <v>0</v>
      </c>
      <c r="T872" s="7" t="n">
        <v>14050.76731255659</v>
      </c>
      <c r="U872" s="7" t="n">
        <v>19390.05889132809</v>
      </c>
      <c r="V872" s="7" t="n">
        <v>621359.3067056792</v>
      </c>
      <c r="W872" s="7" t="n">
        <v>621359.3067056792</v>
      </c>
      <c r="X872" s="7" t="n">
        <v>0</v>
      </c>
      <c r="Y872" s="6" t="n">
        <v>0</v>
      </c>
      <c r="Z872" s="7" t="n">
        <v>219186.7597993043</v>
      </c>
      <c r="AA872" s="7" t="n">
        <v>302477.7285230399</v>
      </c>
      <c r="AB872" s="7" t="n">
        <v>4997726.250977022</v>
      </c>
      <c r="AC872" s="7" t="n">
        <v>4997726.250977022</v>
      </c>
      <c r="AD872" s="7" t="n">
        <v>0</v>
      </c>
      <c r="AE872" s="6" t="n">
        <v>0</v>
      </c>
    </row>
    <row r="873">
      <c r="A873" s="2" t="n">
        <v>864</v>
      </c>
      <c r="B873" s="2" t="inlineStr">
        <is>
          <t>KPROP-00864</t>
        </is>
      </c>
      <c r="C873" s="3" t="n">
        <v>46170</v>
      </c>
      <c r="D873" s="2" t="inlineStr">
        <is>
          <t>Chris Sale</t>
        </is>
      </c>
      <c r="E873" s="2" t="inlineStr">
        <is>
          <t>Loss</t>
        </is>
      </c>
      <c r="F873" s="2" t="n">
        <v>-1</v>
      </c>
      <c r="G873" s="6" t="n">
        <v>0.2539393066083667</v>
      </c>
      <c r="H873" s="7" t="n">
        <v>100</v>
      </c>
      <c r="I873" s="7" t="n">
        <v>-100</v>
      </c>
      <c r="J873" s="7" t="n">
        <v>20051.78546570523</v>
      </c>
      <c r="K873" s="7" t="n">
        <v>20151.78546570523</v>
      </c>
      <c r="L873" s="7" t="n">
        <v>-100</v>
      </c>
      <c r="M873" s="6" t="n">
        <v>-0.004962339449781376</v>
      </c>
      <c r="N873" s="7" t="n">
        <v>264.4763959284364</v>
      </c>
      <c r="O873" s="7" t="n">
        <v>-264.4763959284364</v>
      </c>
      <c r="P873" s="7" t="n">
        <v>26183.1631969152</v>
      </c>
      <c r="Q873" s="7" t="n">
        <v>26447.63959284364</v>
      </c>
      <c r="R873" s="7" t="n">
        <v>-264.4763959284355</v>
      </c>
      <c r="S873" s="6" t="n">
        <v>-0.009999999999999967</v>
      </c>
      <c r="T873" s="7" t="n">
        <v>39446.8878748739</v>
      </c>
      <c r="U873" s="7" t="n">
        <v>-39446.8878748739</v>
      </c>
      <c r="V873" s="7" t="n">
        <v>581912.4188308052</v>
      </c>
      <c r="W873" s="7" t="n">
        <v>621359.3067056792</v>
      </c>
      <c r="X873" s="7" t="n">
        <v>-39446.88787487394</v>
      </c>
      <c r="Y873" s="6" t="n">
        <v>-0.06348482665209172</v>
      </c>
      <c r="Z873" s="7" t="n">
        <v>634559.5693957683</v>
      </c>
      <c r="AA873" s="7" t="n">
        <v>-634559.5693957683</v>
      </c>
      <c r="AB873" s="7" t="n">
        <v>4363166.681581253</v>
      </c>
      <c r="AC873" s="7" t="n">
        <v>4997726.250977022</v>
      </c>
      <c r="AD873" s="7" t="n">
        <v>-634559.5693957685</v>
      </c>
      <c r="AE873" s="6" t="n">
        <v>-0.1269696533041834</v>
      </c>
    </row>
    <row r="874">
      <c r="A874" s="2" t="n">
        <v>865</v>
      </c>
      <c r="B874" s="2" t="inlineStr">
        <is>
          <t>KPROP-00865</t>
        </is>
      </c>
      <c r="C874" s="3" t="n">
        <v>46170</v>
      </c>
      <c r="D874" s="2" t="inlineStr">
        <is>
          <t>Jack Flaherty</t>
        </is>
      </c>
      <c r="E874" s="2" t="inlineStr">
        <is>
          <t>Loss</t>
        </is>
      </c>
      <c r="F874" s="2" t="n">
        <v>-1</v>
      </c>
      <c r="G874" s="6" t="n">
        <v>0.0717985341915096</v>
      </c>
      <c r="H874" s="7" t="n">
        <v>100</v>
      </c>
      <c r="I874" s="7" t="n">
        <v>-100</v>
      </c>
      <c r="J874" s="7" t="n">
        <v>19951.78546570523</v>
      </c>
      <c r="K874" s="7" t="n">
        <v>20151.78546570523</v>
      </c>
      <c r="L874" s="7" t="n">
        <v>-200</v>
      </c>
      <c r="M874" s="6" t="n">
        <v>-0.009924678899562752</v>
      </c>
      <c r="N874" s="7" t="n">
        <v>261.8316319691521</v>
      </c>
      <c r="O874" s="7" t="n">
        <v>-261.8316319691521</v>
      </c>
      <c r="P874" s="7" t="n">
        <v>25921.33156494605</v>
      </c>
      <c r="Q874" s="7" t="n">
        <v>26447.63959284364</v>
      </c>
      <c r="R874" s="7" t="n">
        <v>-526.3080278975867</v>
      </c>
      <c r="S874" s="6" t="n">
        <v>-0.01989999999999994</v>
      </c>
      <c r="T874" s="7" t="n">
        <v>10445.1146749719</v>
      </c>
      <c r="U874" s="7" t="n">
        <v>-10445.1146749719</v>
      </c>
      <c r="V874" s="7" t="n">
        <v>571467.3041558333</v>
      </c>
      <c r="W874" s="7" t="n">
        <v>621359.3067056792</v>
      </c>
      <c r="X874" s="7" t="n">
        <v>-49892.00254984584</v>
      </c>
      <c r="Y874" s="6" t="n">
        <v>-0.08029493082571355</v>
      </c>
      <c r="Z874" s="7" t="n">
        <v>156634.4860853835</v>
      </c>
      <c r="AA874" s="7" t="n">
        <v>-156634.4860853835</v>
      </c>
      <c r="AB874" s="7" t="n">
        <v>4206532.19549587</v>
      </c>
      <c r="AC874" s="7" t="n">
        <v>4997726.250977022</v>
      </c>
      <c r="AD874" s="7" t="n">
        <v>-791194.0554811517</v>
      </c>
      <c r="AE874" s="6" t="n">
        <v>-0.1583108029029158</v>
      </c>
    </row>
    <row r="875">
      <c r="A875" s="2" t="n">
        <v>866</v>
      </c>
      <c r="B875" s="2" t="inlineStr">
        <is>
          <t>KPROP-00866</t>
        </is>
      </c>
      <c r="C875" s="3" t="n">
        <v>46170</v>
      </c>
      <c r="D875" s="2" t="inlineStr">
        <is>
          <t>Jack Flaherty</t>
        </is>
      </c>
      <c r="E875" s="2" t="inlineStr">
        <is>
          <t>Loss</t>
        </is>
      </c>
      <c r="F875" s="2" t="n">
        <v>-1</v>
      </c>
      <c r="G875" s="6" t="n">
        <v>0.1648911178475232</v>
      </c>
      <c r="H875" s="7" t="n">
        <v>100</v>
      </c>
      <c r="I875" s="7" t="n">
        <v>-100</v>
      </c>
      <c r="J875" s="7" t="n">
        <v>19851.78546570523</v>
      </c>
      <c r="K875" s="7" t="n">
        <v>20151.78546570523</v>
      </c>
      <c r="L875" s="7" t="n">
        <v>-300</v>
      </c>
      <c r="M875" s="6" t="n">
        <v>-0.01488701834934413</v>
      </c>
      <c r="N875" s="7" t="n">
        <v>259.2133156494605</v>
      </c>
      <c r="O875" s="7" t="n">
        <v>-259.2133156494605</v>
      </c>
      <c r="P875" s="7" t="n">
        <v>25662.11824929659</v>
      </c>
      <c r="Q875" s="7" t="n">
        <v>26447.63959284364</v>
      </c>
      <c r="R875" s="7" t="n">
        <v>-785.5213435470469</v>
      </c>
      <c r="S875" s="6" t="n">
        <v>-0.02970099999999992</v>
      </c>
      <c r="T875" s="7" t="n">
        <v>23557.47064889147</v>
      </c>
      <c r="U875" s="7" t="n">
        <v>-23557.47064889147</v>
      </c>
      <c r="V875" s="7" t="n">
        <v>547909.8335069418</v>
      </c>
      <c r="W875" s="7" t="n">
        <v>621359.3067056792</v>
      </c>
      <c r="X875" s="7" t="n">
        <v>-73449.47319873737</v>
      </c>
      <c r="Y875" s="6" t="n">
        <v>-0.1182077300622591</v>
      </c>
      <c r="Z875" s="7" t="n">
        <v>346809.897988455</v>
      </c>
      <c r="AA875" s="7" t="n">
        <v>-346809.897988455</v>
      </c>
      <c r="AB875" s="7" t="n">
        <v>3859722.297507415</v>
      </c>
      <c r="AC875" s="7" t="n">
        <v>4997726.250977022</v>
      </c>
      <c r="AD875" s="7" t="n">
        <v>-1138003.953469607</v>
      </c>
      <c r="AE875" s="6" t="n">
        <v>-0.227704339197677</v>
      </c>
    </row>
    <row r="876">
      <c r="A876" s="2" t="n">
        <v>867</v>
      </c>
      <c r="B876" s="2" t="inlineStr">
        <is>
          <t>KPROP-00867</t>
        </is>
      </c>
      <c r="C876" s="3" t="n">
        <v>46170</v>
      </c>
      <c r="D876" s="2" t="inlineStr">
        <is>
          <t>Paul Skenes</t>
        </is>
      </c>
      <c r="E876" s="2" t="inlineStr">
        <is>
          <t>Loss</t>
        </is>
      </c>
      <c r="F876" s="2" t="n">
        <v>-1</v>
      </c>
      <c r="G876" s="6" t="n">
        <v>0.1555145366599279</v>
      </c>
      <c r="H876" s="7" t="n">
        <v>100</v>
      </c>
      <c r="I876" s="7" t="n">
        <v>-100</v>
      </c>
      <c r="J876" s="7" t="n">
        <v>19751.78546570523</v>
      </c>
      <c r="K876" s="7" t="n">
        <v>20151.78546570523</v>
      </c>
      <c r="L876" s="7" t="n">
        <v>-400</v>
      </c>
      <c r="M876" s="6" t="n">
        <v>-0.0198493577991255</v>
      </c>
      <c r="N876" s="7" t="n">
        <v>256.6211824929659</v>
      </c>
      <c r="O876" s="7" t="n">
        <v>-256.6211824929659</v>
      </c>
      <c r="P876" s="7" t="n">
        <v>25405.49706680363</v>
      </c>
      <c r="Q876" s="7" t="n">
        <v>26447.63959284364</v>
      </c>
      <c r="R876" s="7" t="n">
        <v>-1042.142526040014</v>
      </c>
      <c r="S876" s="6" t="n">
        <v>-0.03940398999999996</v>
      </c>
      <c r="T876" s="7" t="n">
        <v>21301.98597231257</v>
      </c>
      <c r="U876" s="7" t="n">
        <v>-21301.98597231257</v>
      </c>
      <c r="V876" s="7" t="n">
        <v>526607.8475346293</v>
      </c>
      <c r="W876" s="7" t="n">
        <v>621359.3067056792</v>
      </c>
      <c r="X876" s="7" t="n">
        <v>-94751.45917104988</v>
      </c>
      <c r="Y876" s="6" t="n">
        <v>-0.1524906091346774</v>
      </c>
      <c r="Z876" s="7" t="n">
        <v>300121.462366429</v>
      </c>
      <c r="AA876" s="7" t="n">
        <v>-300121.462366429</v>
      </c>
      <c r="AB876" s="7" t="n">
        <v>3559600.835140986</v>
      </c>
      <c r="AC876" s="7" t="n">
        <v>4997726.250977022</v>
      </c>
      <c r="AD876" s="7" t="n">
        <v>-1438125.415836036</v>
      </c>
      <c r="AE876" s="6" t="n">
        <v>-0.2877559401247501</v>
      </c>
    </row>
    <row r="877">
      <c r="A877" s="2" t="n">
        <v>868</v>
      </c>
      <c r="B877" s="2" t="inlineStr">
        <is>
          <t>KPROP-00868</t>
        </is>
      </c>
      <c r="C877" s="3" t="n">
        <v>46171</v>
      </c>
      <c r="D877" s="2" t="inlineStr">
        <is>
          <t>Trevor Rogers</t>
        </is>
      </c>
      <c r="E877" s="2" t="inlineStr">
        <is>
          <t>Win</t>
        </is>
      </c>
      <c r="F877" s="2" t="n">
        <v>0.7462686567164178</v>
      </c>
      <c r="G877" s="6" t="n">
        <v>0.104618162089585</v>
      </c>
      <c r="H877" s="7" t="n">
        <v>100</v>
      </c>
      <c r="I877" s="7" t="n">
        <v>74.62686567164178</v>
      </c>
      <c r="J877" s="7" t="n">
        <v>19826.41233137687</v>
      </c>
      <c r="K877" s="7" t="n">
        <v>20151.78546570523</v>
      </c>
      <c r="L877" s="7" t="n">
        <v>-325.373134328358</v>
      </c>
      <c r="M877" s="6" t="n">
        <v>-0.01614611940376626</v>
      </c>
      <c r="N877" s="7" t="n">
        <v>254.0549706680363</v>
      </c>
      <c r="O877" s="7" t="n">
        <v>189.5932616925644</v>
      </c>
      <c r="P877" s="7" t="n">
        <v>25595.09032849619</v>
      </c>
      <c r="Q877" s="7" t="n">
        <v>26447.63959284364</v>
      </c>
      <c r="R877" s="7" t="n">
        <v>-852.5492643474499</v>
      </c>
      <c r="S877" s="6" t="n">
        <v>-0.03223536305970147</v>
      </c>
      <c r="T877" s="7" t="n">
        <v>13773.18628775633</v>
      </c>
      <c r="U877" s="7" t="n">
        <v>10278.4972296689</v>
      </c>
      <c r="V877" s="7" t="n">
        <v>536886.3447642982</v>
      </c>
      <c r="W877" s="7" t="n">
        <v>621359.3067056792</v>
      </c>
      <c r="X877" s="7" t="n">
        <v>-84472.96194138099</v>
      </c>
      <c r="Y877" s="6" t="n">
        <v>-0.1359486548760965</v>
      </c>
      <c r="Z877" s="7" t="n">
        <v>186199.4485725009</v>
      </c>
      <c r="AA877" s="7" t="n">
        <v>138954.812367538</v>
      </c>
      <c r="AB877" s="7" t="n">
        <v>3698555.647508524</v>
      </c>
      <c r="AC877" s="7" t="n">
        <v>4997726.250977022</v>
      </c>
      <c r="AD877" s="7" t="n">
        <v>-1299170.603468498</v>
      </c>
      <c r="AE877" s="6" t="n">
        <v>-0.2599523339667751</v>
      </c>
    </row>
    <row r="878">
      <c r="A878" s="2" t="n">
        <v>869</v>
      </c>
      <c r="B878" s="2" t="inlineStr">
        <is>
          <t>KPROP-00869</t>
        </is>
      </c>
      <c r="C878" s="3" t="n">
        <v>46172</v>
      </c>
      <c r="D878" s="2" t="inlineStr">
        <is>
          <t>Brady Singer</t>
        </is>
      </c>
      <c r="E878" s="2" t="inlineStr">
        <is>
          <t>Win</t>
        </is>
      </c>
      <c r="F878" s="2" t="n">
        <v>0.7692307692307692</v>
      </c>
      <c r="G878" s="6" t="n">
        <v>0.1842808825799315</v>
      </c>
      <c r="H878" s="7" t="n">
        <v>100</v>
      </c>
      <c r="I878" s="7" t="n">
        <v>76.92307692307692</v>
      </c>
      <c r="J878" s="7" t="n">
        <v>19903.33540829995</v>
      </c>
      <c r="K878" s="7" t="n">
        <v>20151.78546570523</v>
      </c>
      <c r="L878" s="7" t="n">
        <v>-248.4500574052799</v>
      </c>
      <c r="M878" s="6" t="n">
        <v>-0.01232893521162668</v>
      </c>
      <c r="N878" s="7" t="n">
        <v>255.9509032849619</v>
      </c>
      <c r="O878" s="7" t="n">
        <v>196.8853102192014</v>
      </c>
      <c r="P878" s="7" t="n">
        <v>25791.97563871539</v>
      </c>
      <c r="Q878" s="7" t="n">
        <v>26447.63959284364</v>
      </c>
      <c r="R878" s="7" t="n">
        <v>-655.6639541282493</v>
      </c>
      <c r="S878" s="6" t="n">
        <v>-0.02479101969862228</v>
      </c>
      <c r="T878" s="7" t="n">
        <v>24734.47236456957</v>
      </c>
      <c r="U878" s="7" t="n">
        <v>19026.51720351505</v>
      </c>
      <c r="V878" s="7" t="n">
        <v>555912.8619678132</v>
      </c>
      <c r="W878" s="7" t="n">
        <v>621359.3067056792</v>
      </c>
      <c r="X878" s="7" t="n">
        <v>-65446.44473786594</v>
      </c>
      <c r="Y878" s="6" t="n">
        <v>-0.1053278578619023</v>
      </c>
      <c r="Z878" s="7" t="n">
        <v>340786.5494969304</v>
      </c>
      <c r="AA878" s="7" t="n">
        <v>262143.4996130234</v>
      </c>
      <c r="AB878" s="7" t="n">
        <v>3960699.147121547</v>
      </c>
      <c r="AC878" s="7" t="n">
        <v>4997726.250977022</v>
      </c>
      <c r="AD878" s="7" t="n">
        <v>-1037027.103855474</v>
      </c>
      <c r="AE878" s="6" t="n">
        <v>-0.2074997812560747</v>
      </c>
    </row>
    <row r="879">
      <c r="A879" s="2" t="n">
        <v>870</v>
      </c>
      <c r="B879" s="2" t="inlineStr">
        <is>
          <t>KPROP-00870</t>
        </is>
      </c>
      <c r="C879" s="3" t="n">
        <v>46172</v>
      </c>
      <c r="D879" s="2" t="inlineStr">
        <is>
          <t>Christian Scott</t>
        </is>
      </c>
      <c r="E879" s="2" t="inlineStr">
        <is>
          <t>Loss</t>
        </is>
      </c>
      <c r="F879" s="2" t="n">
        <v>-1</v>
      </c>
      <c r="G879" s="6" t="n">
        <v>0.1962407152881809</v>
      </c>
      <c r="H879" s="7" t="n">
        <v>100</v>
      </c>
      <c r="I879" s="7" t="n">
        <v>-100</v>
      </c>
      <c r="J879" s="7" t="n">
        <v>19803.33540829995</v>
      </c>
      <c r="K879" s="7" t="n">
        <v>20151.78546570523</v>
      </c>
      <c r="L879" s="7" t="n">
        <v>-348.4500574052799</v>
      </c>
      <c r="M879" s="6" t="n">
        <v>-0.01729127466140806</v>
      </c>
      <c r="N879" s="7" t="n">
        <v>257.9197563871539</v>
      </c>
      <c r="O879" s="7" t="n">
        <v>-257.9197563871539</v>
      </c>
      <c r="P879" s="7" t="n">
        <v>25534.05588232824</v>
      </c>
      <c r="Q879" s="7" t="n">
        <v>26447.63959284364</v>
      </c>
      <c r="R879" s="7" t="n">
        <v>-913.5837105154023</v>
      </c>
      <c r="S879" s="6" t="n">
        <v>-0.03454310950163603</v>
      </c>
      <c r="T879" s="7" t="n">
        <v>27273.18441761587</v>
      </c>
      <c r="U879" s="7" t="n">
        <v>-27273.18441761587</v>
      </c>
      <c r="V879" s="7" t="n">
        <v>528639.6775501973</v>
      </c>
      <c r="W879" s="7" t="n">
        <v>621359.3067056792</v>
      </c>
      <c r="X879" s="7" t="n">
        <v>-92719.62915548182</v>
      </c>
      <c r="Y879" s="6" t="n">
        <v>-0.1492206331422997</v>
      </c>
      <c r="Z879" s="7" t="n">
        <v>388625.2168362103</v>
      </c>
      <c r="AA879" s="7" t="n">
        <v>-388625.2168362103</v>
      </c>
      <c r="AB879" s="7" t="n">
        <v>3572073.930285337</v>
      </c>
      <c r="AC879" s="7" t="n">
        <v>4997726.250977022</v>
      </c>
      <c r="AD879" s="7" t="n">
        <v>-1425652.320691685</v>
      </c>
      <c r="AE879" s="6" t="n">
        <v>-0.2852601861522486</v>
      </c>
    </row>
    <row r="880">
      <c r="A880" s="2" t="n">
        <v>871</v>
      </c>
      <c r="B880" s="2" t="inlineStr">
        <is>
          <t>KPROP-00871</t>
        </is>
      </c>
      <c r="C880" s="3" t="n">
        <v>46172</v>
      </c>
      <c r="D880" s="2" t="inlineStr">
        <is>
          <t>Foster Griffin</t>
        </is>
      </c>
      <c r="E880" s="2" t="inlineStr">
        <is>
          <t>Loss</t>
        </is>
      </c>
      <c r="F880" s="2" t="n">
        <v>-1</v>
      </c>
      <c r="G880" s="6" t="n">
        <v>0.1246909381742578</v>
      </c>
      <c r="H880" s="7" t="n">
        <v>100</v>
      </c>
      <c r="I880" s="7" t="n">
        <v>-100</v>
      </c>
      <c r="J880" s="7" t="n">
        <v>19703.33540829995</v>
      </c>
      <c r="K880" s="7" t="n">
        <v>20151.78546570523</v>
      </c>
      <c r="L880" s="7" t="n">
        <v>-448.4500574052799</v>
      </c>
      <c r="M880" s="6" t="n">
        <v>-0.02225361411118943</v>
      </c>
      <c r="N880" s="7" t="n">
        <v>255.3405588232824</v>
      </c>
      <c r="O880" s="7" t="n">
        <v>-255.3405588232824</v>
      </c>
      <c r="P880" s="7" t="n">
        <v>25278.71532350496</v>
      </c>
      <c r="Q880" s="7" t="n">
        <v>26447.63959284364</v>
      </c>
      <c r="R880" s="7" t="n">
        <v>-1168.924269338684</v>
      </c>
      <c r="S880" s="6" t="n">
        <v>-0.04419767840661964</v>
      </c>
      <c r="T880" s="7" t="n">
        <v>16479.14433746781</v>
      </c>
      <c r="U880" s="7" t="n">
        <v>-16479.14433746781</v>
      </c>
      <c r="V880" s="7" t="n">
        <v>512160.5332127296</v>
      </c>
      <c r="W880" s="7" t="n">
        <v>621359.3067056792</v>
      </c>
      <c r="X880" s="7" t="n">
        <v>-109198.7734929496</v>
      </c>
      <c r="Y880" s="6" t="n">
        <v>-0.1757417525004966</v>
      </c>
      <c r="Z880" s="7" t="n">
        <v>222702.6247975435</v>
      </c>
      <c r="AA880" s="7" t="n">
        <v>-222702.6247975435</v>
      </c>
      <c r="AB880" s="7" t="n">
        <v>3349371.305487793</v>
      </c>
      <c r="AC880" s="7" t="n">
        <v>4997726.250977022</v>
      </c>
      <c r="AD880" s="7" t="n">
        <v>-1648354.945489228</v>
      </c>
      <c r="AE880" s="6" t="n">
        <v>-0.3298209751218338</v>
      </c>
    </row>
    <row r="881">
      <c r="A881" s="2" t="n">
        <v>872</v>
      </c>
      <c r="B881" s="2" t="inlineStr">
        <is>
          <t>KPROP-00872</t>
        </is>
      </c>
      <c r="C881" s="3" t="n">
        <v>46172</v>
      </c>
      <c r="D881" s="2" t="inlineStr">
        <is>
          <t>Foster Griffin</t>
        </is>
      </c>
      <c r="E881" s="2" t="inlineStr">
        <is>
          <t>Win</t>
        </is>
      </c>
      <c r="F881" s="2" t="n">
        <v>0.6451612903225805</v>
      </c>
      <c r="G881" s="6" t="n">
        <v>0.246164737041669</v>
      </c>
      <c r="H881" s="7" t="n">
        <v>100</v>
      </c>
      <c r="I881" s="7" t="n">
        <v>64.51612903225805</v>
      </c>
      <c r="J881" s="7" t="n">
        <v>19767.8515373322</v>
      </c>
      <c r="K881" s="7" t="n">
        <v>20151.78546570523</v>
      </c>
      <c r="L881" s="7" t="n">
        <v>-383.9339283730224</v>
      </c>
      <c r="M881" s="6" t="n">
        <v>-0.01905210478874986</v>
      </c>
      <c r="N881" s="7" t="n">
        <v>252.7871532350496</v>
      </c>
      <c r="O881" s="7" t="n">
        <v>163.0884859580965</v>
      </c>
      <c r="P881" s="7" t="n">
        <v>25441.80380946305</v>
      </c>
      <c r="Q881" s="7" t="n">
        <v>26447.63959284364</v>
      </c>
      <c r="R881" s="7" t="n">
        <v>-1005.835783380589</v>
      </c>
      <c r="S881" s="6" t="n">
        <v>-0.03803121181569468</v>
      </c>
      <c r="T881" s="7" t="n">
        <v>31518.96574535813</v>
      </c>
      <c r="U881" s="7" t="n">
        <v>20334.81660990847</v>
      </c>
      <c r="V881" s="7" t="n">
        <v>532495.349822638</v>
      </c>
      <c r="W881" s="7" t="n">
        <v>621359.3067056792</v>
      </c>
      <c r="X881" s="7" t="n">
        <v>-88863.95688304119</v>
      </c>
      <c r="Y881" s="6" t="n">
        <v>-0.143015411411764</v>
      </c>
      <c r="Z881" s="7" t="n">
        <v>412248.5533351571</v>
      </c>
      <c r="AA881" s="7" t="n">
        <v>265966.8086033271</v>
      </c>
      <c r="AB881" s="7" t="n">
        <v>3615338.114091121</v>
      </c>
      <c r="AC881" s="7" t="n">
        <v>4997726.250977022</v>
      </c>
      <c r="AD881" s="7" t="n">
        <v>-1382388.136885901</v>
      </c>
      <c r="AE881" s="6" t="n">
        <v>-0.2766034127250674</v>
      </c>
    </row>
    <row r="882">
      <c r="A882" s="2" t="n">
        <v>873</v>
      </c>
      <c r="B882" s="2" t="inlineStr">
        <is>
          <t>KPROP-00873</t>
        </is>
      </c>
      <c r="C882" s="3" t="n">
        <v>46172</v>
      </c>
      <c r="D882" s="2" t="inlineStr">
        <is>
          <t>Framber Valdez</t>
        </is>
      </c>
      <c r="E882" s="2" t="inlineStr">
        <is>
          <t>Win</t>
        </is>
      </c>
      <c r="F882" s="2" t="n">
        <v>0.7751937984496124</v>
      </c>
      <c r="G882" s="6" t="n">
        <v>0.4159437079831448</v>
      </c>
      <c r="H882" s="7" t="n">
        <v>100</v>
      </c>
      <c r="I882" s="7" t="n">
        <v>77.51937984496125</v>
      </c>
      <c r="J882" s="7" t="n">
        <v>19845.37091717717</v>
      </c>
      <c r="K882" s="7" t="n">
        <v>20151.78546570523</v>
      </c>
      <c r="L882" s="7" t="n">
        <v>-306.4145485280605</v>
      </c>
      <c r="M882" s="6" t="n">
        <v>-0.01520533002147745</v>
      </c>
      <c r="N882" s="7" t="n">
        <v>254.4180380946305</v>
      </c>
      <c r="O882" s="7" t="n">
        <v>197.2232853446748</v>
      </c>
      <c r="P882" s="7" t="n">
        <v>25639.02709480772</v>
      </c>
      <c r="Q882" s="7" t="n">
        <v>26447.63959284364</v>
      </c>
      <c r="R882" s="7" t="n">
        <v>-808.6124980359164</v>
      </c>
      <c r="S882" s="6" t="n">
        <v>-0.03057408942666912</v>
      </c>
      <c r="T882" s="7" t="n">
        <v>55372.02257225247</v>
      </c>
      <c r="U882" s="7" t="n">
        <v>42924.04850562207</v>
      </c>
      <c r="V882" s="7" t="n">
        <v>575419.3983282601</v>
      </c>
      <c r="W882" s="7" t="n">
        <v>621359.3067056792</v>
      </c>
      <c r="X882" s="7" t="n">
        <v>-45939.90837741911</v>
      </c>
      <c r="Y882" s="6" t="n">
        <v>-0.07393453012071739</v>
      </c>
      <c r="Z882" s="7" t="n">
        <v>751888.5703939253</v>
      </c>
      <c r="AA882" s="7" t="n">
        <v>582859.3568945158</v>
      </c>
      <c r="AB882" s="7" t="n">
        <v>4198197.470985636</v>
      </c>
      <c r="AC882" s="7" t="n">
        <v>4997726.250977022</v>
      </c>
      <c r="AD882" s="7" t="n">
        <v>-799528.7799913855</v>
      </c>
      <c r="AE882" s="6" t="n">
        <v>-0.1599785061927078</v>
      </c>
    </row>
    <row r="883">
      <c r="A883" s="2" t="n">
        <v>874</v>
      </c>
      <c r="B883" s="2" t="inlineStr">
        <is>
          <t>KPROP-00874</t>
        </is>
      </c>
      <c r="C883" s="3" t="n">
        <v>46172</v>
      </c>
      <c r="D883" s="2" t="inlineStr">
        <is>
          <t>Parker Messick</t>
        </is>
      </c>
      <c r="E883" s="2" t="inlineStr">
        <is>
          <t>Win</t>
        </is>
      </c>
      <c r="F883" s="2" t="n">
        <v>1.38</v>
      </c>
      <c r="G883" s="6" t="n">
        <v>0.3155996238772829</v>
      </c>
      <c r="H883" s="7" t="n">
        <v>100</v>
      </c>
      <c r="I883" s="7" t="n">
        <v>138</v>
      </c>
      <c r="J883" s="7" t="n">
        <v>19983.37091717717</v>
      </c>
      <c r="K883" s="7" t="n">
        <v>20151.78546570523</v>
      </c>
      <c r="L883" s="7" t="n">
        <v>-168.4145485280605</v>
      </c>
      <c r="M883" s="6" t="n">
        <v>-0.008357301580779148</v>
      </c>
      <c r="N883" s="7" t="n">
        <v>256.3902709480772</v>
      </c>
      <c r="O883" s="7" t="n">
        <v>353.8185739083465</v>
      </c>
      <c r="P883" s="7" t="n">
        <v>25992.84566871607</v>
      </c>
      <c r="Q883" s="7" t="n">
        <v>26447.63959284364</v>
      </c>
      <c r="R883" s="7" t="n">
        <v>-454.7939241275708</v>
      </c>
      <c r="S883" s="6" t="n">
        <v>-0.0171960118607572</v>
      </c>
      <c r="T883" s="7" t="n">
        <v>45400.53642102282</v>
      </c>
      <c r="U883" s="7" t="n">
        <v>62652.74026101149</v>
      </c>
      <c r="V883" s="7" t="n">
        <v>638072.1385892716</v>
      </c>
      <c r="W883" s="7" t="n">
        <v>638072.1385892716</v>
      </c>
      <c r="X883" s="7" t="n">
        <v>0</v>
      </c>
      <c r="Y883" s="6" t="n">
        <v>0</v>
      </c>
      <c r="Z883" s="7" t="n">
        <v>662474.7714028134</v>
      </c>
      <c r="AA883" s="7" t="n">
        <v>914215.1845358824</v>
      </c>
      <c r="AB883" s="7" t="n">
        <v>5112412.655521519</v>
      </c>
      <c r="AC883" s="7" t="n">
        <v>5112412.655521519</v>
      </c>
      <c r="AD883" s="7" t="n">
        <v>0</v>
      </c>
      <c r="AE883" s="6" t="n">
        <v>0</v>
      </c>
    </row>
    <row r="884">
      <c r="A884" s="2" t="n">
        <v>875</v>
      </c>
      <c r="B884" s="2" t="inlineStr">
        <is>
          <t>KPROP-00875</t>
        </is>
      </c>
      <c r="C884" s="3" t="n">
        <v>46172</v>
      </c>
      <c r="D884" s="2" t="inlineStr">
        <is>
          <t>Parker Messick</t>
        </is>
      </c>
      <c r="E884" s="2" t="inlineStr">
        <is>
          <t>Win</t>
        </is>
      </c>
      <c r="F884" s="2" t="n">
        <v>0.6756756756756757</v>
      </c>
      <c r="G884" s="6" t="n">
        <v>0.3835731789141995</v>
      </c>
      <c r="H884" s="7" t="n">
        <v>100</v>
      </c>
      <c r="I884" s="7" t="n">
        <v>67.56756756756756</v>
      </c>
      <c r="J884" s="7" t="n">
        <v>20050.93848474473</v>
      </c>
      <c r="K884" s="7" t="n">
        <v>20151.78546570523</v>
      </c>
      <c r="L884" s="7" t="n">
        <v>-100.846980960494</v>
      </c>
      <c r="M884" s="6" t="n">
        <v>-0.005004369520116105</v>
      </c>
      <c r="N884" s="7" t="n">
        <v>259.9284566871607</v>
      </c>
      <c r="O884" s="7" t="n">
        <v>175.6273355994329</v>
      </c>
      <c r="P884" s="7" t="n">
        <v>26168.4730043155</v>
      </c>
      <c r="Q884" s="7" t="n">
        <v>26447.63959284364</v>
      </c>
      <c r="R884" s="7" t="n">
        <v>-279.1665885281363</v>
      </c>
      <c r="S884" s="6" t="n">
        <v>-0.01055544437332982</v>
      </c>
      <c r="T884" s="7" t="n">
        <v>61186.83964381713</v>
      </c>
      <c r="U884" s="7" t="n">
        <v>41342.45921879536</v>
      </c>
      <c r="V884" s="7" t="n">
        <v>679414.597808067</v>
      </c>
      <c r="W884" s="7" t="n">
        <v>679414.597808067</v>
      </c>
      <c r="X884" s="7" t="n">
        <v>0</v>
      </c>
      <c r="Y884" s="6" t="n">
        <v>0</v>
      </c>
      <c r="Z884" s="7" t="n">
        <v>980492.1870997865</v>
      </c>
      <c r="AA884" s="7" t="n">
        <v>662494.7210133693</v>
      </c>
      <c r="AB884" s="7" t="n">
        <v>5774907.376534888</v>
      </c>
      <c r="AC884" s="7" t="n">
        <v>5774907.376534888</v>
      </c>
      <c r="AD884" s="7" t="n">
        <v>0</v>
      </c>
      <c r="AE884" s="6" t="n">
        <v>0</v>
      </c>
    </row>
    <row r="885">
      <c r="A885" s="2" t="n">
        <v>876</v>
      </c>
      <c r="B885" s="2" t="inlineStr">
        <is>
          <t>KPROP-00876</t>
        </is>
      </c>
      <c r="C885" s="3" t="n">
        <v>46172</v>
      </c>
      <c r="D885" s="2" t="inlineStr">
        <is>
          <t>Peter Lambert</t>
        </is>
      </c>
      <c r="E885" s="2" t="inlineStr">
        <is>
          <t>Win</t>
        </is>
      </c>
      <c r="F885" s="2" t="n">
        <v>0.6993006993006992</v>
      </c>
      <c r="G885" s="6" t="n">
        <v>0.2595946084677468</v>
      </c>
      <c r="H885" s="7" t="n">
        <v>100</v>
      </c>
      <c r="I885" s="7" t="n">
        <v>69.93006993006992</v>
      </c>
      <c r="J885" s="7" t="n">
        <v>20120.8685546748</v>
      </c>
      <c r="K885" s="7" t="n">
        <v>20151.78546570523</v>
      </c>
      <c r="L885" s="7" t="n">
        <v>-30.91691103042467</v>
      </c>
      <c r="M885" s="6" t="n">
        <v>-0.001534202072716573</v>
      </c>
      <c r="N885" s="7" t="n">
        <v>261.684730043155</v>
      </c>
      <c r="O885" s="7" t="n">
        <v>182.996314715493</v>
      </c>
      <c r="P885" s="7" t="n">
        <v>26351.469319031</v>
      </c>
      <c r="Q885" s="7" t="n">
        <v>26447.63959284364</v>
      </c>
      <c r="R885" s="7" t="n">
        <v>-96.17027381264415</v>
      </c>
      <c r="S885" s="6" t="n">
        <v>-0.00363625167663985</v>
      </c>
      <c r="T885" s="7" t="n">
        <v>44093.0916263142</v>
      </c>
      <c r="U885" s="7" t="n">
        <v>30834.32980861132</v>
      </c>
      <c r="V885" s="7" t="n">
        <v>710248.9276166783</v>
      </c>
      <c r="W885" s="7" t="n">
        <v>710248.9276166783</v>
      </c>
      <c r="X885" s="7" t="n">
        <v>0</v>
      </c>
      <c r="Y885" s="6" t="n">
        <v>0</v>
      </c>
      <c r="Z885" s="7" t="n">
        <v>749567.4096745384</v>
      </c>
      <c r="AA885" s="7" t="n">
        <v>524173.0137584184</v>
      </c>
      <c r="AB885" s="7" t="n">
        <v>6299080.390293306</v>
      </c>
      <c r="AC885" s="7" t="n">
        <v>6299080.390293306</v>
      </c>
      <c r="AD885" s="7" t="n">
        <v>0</v>
      </c>
      <c r="AE885" s="6" t="n">
        <v>0</v>
      </c>
    </row>
    <row r="886">
      <c r="A886" s="2" t="n">
        <v>877</v>
      </c>
      <c r="B886" s="2" t="inlineStr">
        <is>
          <t>KPROP-00877</t>
        </is>
      </c>
      <c r="C886" s="3" t="n">
        <v>46172</v>
      </c>
      <c r="D886" s="2" t="inlineStr">
        <is>
          <t>Seth Lugo</t>
        </is>
      </c>
      <c r="E886" s="2" t="inlineStr">
        <is>
          <t>Loss</t>
        </is>
      </c>
      <c r="F886" s="2" t="n">
        <v>-1</v>
      </c>
      <c r="G886" s="6" t="n">
        <v>0.18552283551879</v>
      </c>
      <c r="H886" s="7" t="n">
        <v>100</v>
      </c>
      <c r="I886" s="7" t="n">
        <v>-100</v>
      </c>
      <c r="J886" s="7" t="n">
        <v>20020.8685546748</v>
      </c>
      <c r="K886" s="7" t="n">
        <v>20151.78546570523</v>
      </c>
      <c r="L886" s="7" t="n">
        <v>-130.9169110304247</v>
      </c>
      <c r="M886" s="6" t="n">
        <v>-0.006496541522497949</v>
      </c>
      <c r="N886" s="7" t="n">
        <v>263.51469319031</v>
      </c>
      <c r="O886" s="7" t="n">
        <v>-263.51469319031</v>
      </c>
      <c r="P886" s="7" t="n">
        <v>26087.95462584068</v>
      </c>
      <c r="Q886" s="7" t="n">
        <v>26447.63959284364</v>
      </c>
      <c r="R886" s="7" t="n">
        <v>-359.6849670029551</v>
      </c>
      <c r="S886" s="6" t="n">
        <v>-0.01359988915987349</v>
      </c>
      <c r="T886" s="7" t="n">
        <v>32941.84874390651</v>
      </c>
      <c r="U886" s="7" t="n">
        <v>-32941.84874390651</v>
      </c>
      <c r="V886" s="7" t="n">
        <v>677307.0788727718</v>
      </c>
      <c r="W886" s="7" t="n">
        <v>710248.9276166783</v>
      </c>
      <c r="X886" s="7" t="n">
        <v>-32941.84874390648</v>
      </c>
      <c r="Y886" s="6" t="n">
        <v>-0.04638070887969747</v>
      </c>
      <c r="Z886" s="7" t="n">
        <v>584311.6275840104</v>
      </c>
      <c r="AA886" s="7" t="n">
        <v>-584311.6275840104</v>
      </c>
      <c r="AB886" s="7" t="n">
        <v>5714768.762709295</v>
      </c>
      <c r="AC886" s="7" t="n">
        <v>6299080.390293306</v>
      </c>
      <c r="AD886" s="7" t="n">
        <v>-584311.6275840104</v>
      </c>
      <c r="AE886" s="6" t="n">
        <v>-0.09276141775939502</v>
      </c>
    </row>
    <row r="887">
      <c r="A887" s="2" t="n">
        <v>878</v>
      </c>
      <c r="B887" s="2" t="inlineStr">
        <is>
          <t>KPROP-00878</t>
        </is>
      </c>
      <c r="C887" s="3" t="n">
        <v>46172</v>
      </c>
      <c r="D887" s="2" t="inlineStr">
        <is>
          <t>Seth Lugo</t>
        </is>
      </c>
      <c r="E887" s="2" t="inlineStr">
        <is>
          <t>Loss</t>
        </is>
      </c>
      <c r="F887" s="2" t="n">
        <v>-1</v>
      </c>
      <c r="G887" s="6" t="n">
        <v>0.2122904342853053</v>
      </c>
      <c r="H887" s="7" t="n">
        <v>100</v>
      </c>
      <c r="I887" s="7" t="n">
        <v>-100</v>
      </c>
      <c r="J887" s="7" t="n">
        <v>19920.8685546748</v>
      </c>
      <c r="K887" s="7" t="n">
        <v>20151.78546570523</v>
      </c>
      <c r="L887" s="7" t="n">
        <v>-230.9169110304247</v>
      </c>
      <c r="M887" s="6" t="n">
        <v>-0.01145888097227932</v>
      </c>
      <c r="N887" s="7" t="n">
        <v>260.8795462584068</v>
      </c>
      <c r="O887" s="7" t="n">
        <v>-260.8795462584068</v>
      </c>
      <c r="P887" s="7" t="n">
        <v>25827.07507958228</v>
      </c>
      <c r="Q887" s="7" t="n">
        <v>26447.63959284364</v>
      </c>
      <c r="R887" s="7" t="n">
        <v>-620.5645132613608</v>
      </c>
      <c r="S887" s="6" t="n">
        <v>-0.02346389026827471</v>
      </c>
      <c r="T887" s="7" t="n">
        <v>35946.45347960306</v>
      </c>
      <c r="U887" s="7" t="n">
        <v>-35946.45347960306</v>
      </c>
      <c r="V887" s="7" t="n">
        <v>641360.6253931688</v>
      </c>
      <c r="W887" s="7" t="n">
        <v>710248.9276166783</v>
      </c>
      <c r="X887" s="7" t="n">
        <v>-68888.30222350953</v>
      </c>
      <c r="Y887" s="6" t="n">
        <v>-0.09699177224339095</v>
      </c>
      <c r="Z887" s="7" t="n">
        <v>606595.3712378265</v>
      </c>
      <c r="AA887" s="7" t="n">
        <v>-606595.3712378265</v>
      </c>
      <c r="AB887" s="7" t="n">
        <v>5108173.391471469</v>
      </c>
      <c r="AC887" s="7" t="n">
        <v>6299080.390293306</v>
      </c>
      <c r="AD887" s="7" t="n">
        <v>-1190906.998821837</v>
      </c>
      <c r="AE887" s="6" t="n">
        <v>-0.1890604540715164</v>
      </c>
    </row>
    <row r="888">
      <c r="A888" s="2" t="n">
        <v>879</v>
      </c>
      <c r="B888" s="2" t="inlineStr">
        <is>
          <t>KPROP-00879</t>
        </is>
      </c>
      <c r="C888" s="3" t="n">
        <v>46172</v>
      </c>
      <c r="D888" s="2" t="inlineStr">
        <is>
          <t>Sonny Gray</t>
        </is>
      </c>
      <c r="E888" s="2" t="inlineStr">
        <is>
          <t>Loss</t>
        </is>
      </c>
      <c r="F888" s="2" t="n">
        <v>-1</v>
      </c>
      <c r="G888" s="6" t="n">
        <v>0.1669647806495465</v>
      </c>
      <c r="H888" s="7" t="n">
        <v>100</v>
      </c>
      <c r="I888" s="7" t="n">
        <v>-100</v>
      </c>
      <c r="J888" s="7" t="n">
        <v>19820.8685546748</v>
      </c>
      <c r="K888" s="7" t="n">
        <v>20151.78546570523</v>
      </c>
      <c r="L888" s="7" t="n">
        <v>-330.9169110304247</v>
      </c>
      <c r="M888" s="6" t="n">
        <v>-0.0164212204220607</v>
      </c>
      <c r="N888" s="7" t="n">
        <v>258.2707507958228</v>
      </c>
      <c r="O888" s="7" t="n">
        <v>-258.2707507958228</v>
      </c>
      <c r="P888" s="7" t="n">
        <v>25568.80432878646</v>
      </c>
      <c r="Q888" s="7" t="n">
        <v>26447.63959284364</v>
      </c>
      <c r="R888" s="7" t="n">
        <v>-878.8352640571829</v>
      </c>
      <c r="S888" s="6" t="n">
        <v>-0.03322925136559194</v>
      </c>
      <c r="T888" s="7" t="n">
        <v>26771.15903400659</v>
      </c>
      <c r="U888" s="7" t="n">
        <v>-26771.15903400659</v>
      </c>
      <c r="V888" s="7" t="n">
        <v>614589.4663591622</v>
      </c>
      <c r="W888" s="7" t="n">
        <v>710248.9276166783</v>
      </c>
      <c r="X888" s="7" t="n">
        <v>-95659.46125751606</v>
      </c>
      <c r="Y888" s="6" t="n">
        <v>-0.1346844149114204</v>
      </c>
      <c r="Z888" s="7" t="n">
        <v>426442.5249134418</v>
      </c>
      <c r="AA888" s="7" t="n">
        <v>-426442.5249134418</v>
      </c>
      <c r="AB888" s="7" t="n">
        <v>4681730.866558027</v>
      </c>
      <c r="AC888" s="7" t="n">
        <v>6299080.390293306</v>
      </c>
      <c r="AD888" s="7" t="n">
        <v>-1617349.523735278</v>
      </c>
      <c r="AE888" s="6" t="n">
        <v>-0.2567596257745123</v>
      </c>
    </row>
    <row r="889">
      <c r="A889" s="2" t="n">
        <v>880</v>
      </c>
      <c r="B889" s="2" t="inlineStr">
        <is>
          <t>KPROP-00880</t>
        </is>
      </c>
      <c r="C889" s="3" t="n">
        <v>46172</v>
      </c>
      <c r="D889" s="2" t="inlineStr">
        <is>
          <t>Sonny Gray</t>
        </is>
      </c>
      <c r="E889" s="2" t="inlineStr">
        <is>
          <t>Loss</t>
        </is>
      </c>
      <c r="F889" s="2" t="n">
        <v>-1</v>
      </c>
      <c r="G889" s="6" t="n">
        <v>0.2162408895463815</v>
      </c>
      <c r="H889" s="7" t="n">
        <v>100</v>
      </c>
      <c r="I889" s="7" t="n">
        <v>-100</v>
      </c>
      <c r="J889" s="7" t="n">
        <v>19720.8685546748</v>
      </c>
      <c r="K889" s="7" t="n">
        <v>20151.78546570523</v>
      </c>
      <c r="L889" s="7" t="n">
        <v>-430.9169110304247</v>
      </c>
      <c r="M889" s="6" t="n">
        <v>-0.02138355987184208</v>
      </c>
      <c r="N889" s="7" t="n">
        <v>255.6880432878646</v>
      </c>
      <c r="O889" s="7" t="n">
        <v>-255.6880432878646</v>
      </c>
      <c r="P889" s="7" t="n">
        <v>25313.11628549859</v>
      </c>
      <c r="Q889" s="7" t="n">
        <v>26447.63959284364</v>
      </c>
      <c r="R889" s="7" t="n">
        <v>-1134.523307345047</v>
      </c>
      <c r="S889" s="6" t="n">
        <v>-0.04289695885193601</v>
      </c>
      <c r="T889" s="7" t="n">
        <v>33224.84322783528</v>
      </c>
      <c r="U889" s="7" t="n">
        <v>-33224.84322783528</v>
      </c>
      <c r="V889" s="7" t="n">
        <v>581364.623131327</v>
      </c>
      <c r="W889" s="7" t="n">
        <v>710248.9276166783</v>
      </c>
      <c r="X889" s="7" t="n">
        <v>-128884.3044853513</v>
      </c>
      <c r="Y889" s="6" t="n">
        <v>-0.1814635678758958</v>
      </c>
      <c r="Z889" s="7" t="n">
        <v>506190.8236006296</v>
      </c>
      <c r="AA889" s="7" t="n">
        <v>-506190.8236006296</v>
      </c>
      <c r="AB889" s="7" t="n">
        <v>4175540.042957398</v>
      </c>
      <c r="AC889" s="7" t="n">
        <v>6299080.390293306</v>
      </c>
      <c r="AD889" s="7" t="n">
        <v>-2123540.347335908</v>
      </c>
      <c r="AE889" s="6" t="n">
        <v>-0.3371191056091647</v>
      </c>
    </row>
    <row r="890">
      <c r="A890" s="2" t="n">
        <v>881</v>
      </c>
      <c r="B890" s="2" t="inlineStr">
        <is>
          <t>KPROP-00881</t>
        </is>
      </c>
      <c r="C890" s="3" t="n">
        <v>46173</v>
      </c>
      <c r="D890" s="2" t="inlineStr">
        <is>
          <t>Jack Leiter</t>
        </is>
      </c>
      <c r="E890" s="2" t="inlineStr">
        <is>
          <t>Loss</t>
        </is>
      </c>
      <c r="F890" s="2" t="n">
        <v>-1</v>
      </c>
      <c r="G890" s="6" t="n">
        <v>0.1014954350201514</v>
      </c>
      <c r="H890" s="7" t="n">
        <v>100</v>
      </c>
      <c r="I890" s="7" t="n">
        <v>-100</v>
      </c>
      <c r="J890" s="7" t="n">
        <v>19620.8685546748</v>
      </c>
      <c r="K890" s="7" t="n">
        <v>20151.78546570523</v>
      </c>
      <c r="L890" s="7" t="n">
        <v>-530.9169110304247</v>
      </c>
      <c r="M890" s="6" t="n">
        <v>-0.02634589932162345</v>
      </c>
      <c r="N890" s="7" t="n">
        <v>253.1311628549859</v>
      </c>
      <c r="O890" s="7" t="n">
        <v>-253.1311628549859</v>
      </c>
      <c r="P890" s="7" t="n">
        <v>25059.98512264361</v>
      </c>
      <c r="Q890" s="7" t="n">
        <v>26447.63959284364</v>
      </c>
      <c r="R890" s="7" t="n">
        <v>-1387.654470200032</v>
      </c>
      <c r="S890" s="6" t="n">
        <v>-0.0524679892634166</v>
      </c>
      <c r="T890" s="7" t="n">
        <v>14751.4638325101</v>
      </c>
      <c r="U890" s="7" t="n">
        <v>-14751.4638325101</v>
      </c>
      <c r="V890" s="7" t="n">
        <v>566613.1592988169</v>
      </c>
      <c r="W890" s="7" t="n">
        <v>710248.9276166783</v>
      </c>
      <c r="X890" s="7" t="n">
        <v>-143635.7683178614</v>
      </c>
      <c r="Y890" s="6" t="n">
        <v>-0.2022329956904654</v>
      </c>
      <c r="Z890" s="7" t="n">
        <v>211899.1265520114</v>
      </c>
      <c r="AA890" s="7" t="n">
        <v>-211899.1265520114</v>
      </c>
      <c r="AB890" s="7" t="n">
        <v>3963640.916405387</v>
      </c>
      <c r="AC890" s="7" t="n">
        <v>6299080.390293306</v>
      </c>
      <c r="AD890" s="7" t="n">
        <v>-2335439.473887919</v>
      </c>
      <c r="AE890" s="6" t="n">
        <v>-0.3707587979805372</v>
      </c>
    </row>
    <row r="891">
      <c r="A891" s="2" t="n">
        <v>882</v>
      </c>
      <c r="B891" s="2" t="inlineStr">
        <is>
          <t>KPROP-00882</t>
        </is>
      </c>
      <c r="C891" s="3" t="n">
        <v>46173</v>
      </c>
      <c r="D891" s="2" t="inlineStr">
        <is>
          <t>Merrill Kelly</t>
        </is>
      </c>
      <c r="E891" s="2" t="inlineStr">
        <is>
          <t>Win</t>
        </is>
      </c>
      <c r="F891" s="2" t="n">
        <v>1.28</v>
      </c>
      <c r="G891" s="6" t="n">
        <v>0.05662108874704435</v>
      </c>
      <c r="H891" s="7" t="n">
        <v>100</v>
      </c>
      <c r="I891" s="7" t="n">
        <v>128</v>
      </c>
      <c r="J891" s="7" t="n">
        <v>19748.8685546748</v>
      </c>
      <c r="K891" s="7" t="n">
        <v>20151.78546570523</v>
      </c>
      <c r="L891" s="7" t="n">
        <v>-402.9169110304247</v>
      </c>
      <c r="M891" s="6" t="n">
        <v>-0.01999410482590329</v>
      </c>
      <c r="N891" s="7" t="n">
        <v>250.5998512264361</v>
      </c>
      <c r="O891" s="7" t="n">
        <v>320.7678095698382</v>
      </c>
      <c r="P891" s="7" t="n">
        <v>25380.75293221345</v>
      </c>
      <c r="Q891" s="7" t="n">
        <v>26447.63959284364</v>
      </c>
      <c r="R891" s="7" t="n">
        <v>-1066.886660630193</v>
      </c>
      <c r="S891" s="6" t="n">
        <v>-0.04033957952598829</v>
      </c>
      <c r="T891" s="7" t="n">
        <v>8020.563494475373</v>
      </c>
      <c r="U891" s="7" t="n">
        <v>10266.32127292848</v>
      </c>
      <c r="V891" s="7" t="n">
        <v>576879.4805717454</v>
      </c>
      <c r="W891" s="7" t="n">
        <v>710248.9276166783</v>
      </c>
      <c r="X891" s="7" t="n">
        <v>-133369.4470449329</v>
      </c>
      <c r="Y891" s="6" t="n">
        <v>-0.1877784560583137</v>
      </c>
      <c r="Z891" s="7" t="n">
        <v>112212.8320446028</v>
      </c>
      <c r="AA891" s="7" t="n">
        <v>143632.4250170916</v>
      </c>
      <c r="AB891" s="7" t="n">
        <v>4107273.341422478</v>
      </c>
      <c r="AC891" s="7" t="n">
        <v>6299080.390293306</v>
      </c>
      <c r="AD891" s="7" t="n">
        <v>-2191807.048870828</v>
      </c>
      <c r="AE891" s="6" t="n">
        <v>-0.347956671937119</v>
      </c>
    </row>
    <row r="892">
      <c r="A892" s="2" t="n">
        <v>883</v>
      </c>
      <c r="B892" s="2" t="inlineStr">
        <is>
          <t>KPROP-00883</t>
        </is>
      </c>
      <c r="C892" s="3" t="n">
        <v>46173</v>
      </c>
      <c r="D892" s="2" t="inlineStr">
        <is>
          <t>Michael Wacha</t>
        </is>
      </c>
      <c r="E892" s="2" t="inlineStr">
        <is>
          <t>Loss</t>
        </is>
      </c>
      <c r="F892" s="2" t="n">
        <v>-1</v>
      </c>
      <c r="G892" s="6" t="n">
        <v>0.06678389322940097</v>
      </c>
      <c r="H892" s="7" t="n">
        <v>100</v>
      </c>
      <c r="I892" s="7" t="n">
        <v>-100</v>
      </c>
      <c r="J892" s="7" t="n">
        <v>19648.8685546748</v>
      </c>
      <c r="K892" s="7" t="n">
        <v>20151.78546570523</v>
      </c>
      <c r="L892" s="7" t="n">
        <v>-502.9169110304247</v>
      </c>
      <c r="M892" s="6" t="n">
        <v>-0.02495644427568467</v>
      </c>
      <c r="N892" s="7" t="n">
        <v>253.8075293221345</v>
      </c>
      <c r="O892" s="7" t="n">
        <v>-253.8075293221345</v>
      </c>
      <c r="P892" s="7" t="n">
        <v>25126.94540289131</v>
      </c>
      <c r="Q892" s="7" t="n">
        <v>26447.63959284364</v>
      </c>
      <c r="R892" s="7" t="n">
        <v>-1320.694189952326</v>
      </c>
      <c r="S892" s="6" t="n">
        <v>-0.04993618373072838</v>
      </c>
      <c r="T892" s="7" t="n">
        <v>9631.564409183935</v>
      </c>
      <c r="U892" s="7" t="n">
        <v>-9631.564409183935</v>
      </c>
      <c r="V892" s="7" t="n">
        <v>567247.9161625615</v>
      </c>
      <c r="W892" s="7" t="n">
        <v>710248.9276166783</v>
      </c>
      <c r="X892" s="7" t="n">
        <v>-143001.0114541168</v>
      </c>
      <c r="Y892" s="6" t="n">
        <v>-0.2013392852756189</v>
      </c>
      <c r="Z892" s="7" t="n">
        <v>137149.8521487619</v>
      </c>
      <c r="AA892" s="7" t="n">
        <v>-137149.8521487619</v>
      </c>
      <c r="AB892" s="7" t="n">
        <v>3970123.489273716</v>
      </c>
      <c r="AC892" s="7" t="n">
        <v>6299080.390293306</v>
      </c>
      <c r="AD892" s="7" t="n">
        <v>-2328956.90101959</v>
      </c>
      <c r="AE892" s="6" t="n">
        <v>-0.3697296679382664</v>
      </c>
    </row>
    <row r="893">
      <c r="A893" s="2" t="n">
        <v>884</v>
      </c>
      <c r="B893" s="2" t="inlineStr">
        <is>
          <t>KPROP-00884</t>
        </is>
      </c>
      <c r="C893" s="3" t="n">
        <v>46173</v>
      </c>
      <c r="D893" s="2" t="inlineStr">
        <is>
          <t>Nick Lodolo</t>
        </is>
      </c>
      <c r="E893" s="2" t="inlineStr">
        <is>
          <t>Win</t>
        </is>
      </c>
      <c r="F893" s="2" t="n">
        <v>1.05</v>
      </c>
      <c r="G893" s="6" t="n">
        <v>0.2936206141120038</v>
      </c>
      <c r="H893" s="7" t="n">
        <v>100</v>
      </c>
      <c r="I893" s="7" t="n">
        <v>105</v>
      </c>
      <c r="J893" s="7" t="n">
        <v>19753.8685546748</v>
      </c>
      <c r="K893" s="7" t="n">
        <v>20151.78546570523</v>
      </c>
      <c r="L893" s="7" t="n">
        <v>-397.9169110304247</v>
      </c>
      <c r="M893" s="6" t="n">
        <v>-0.01974598785341422</v>
      </c>
      <c r="N893" s="7" t="n">
        <v>251.2694540289131</v>
      </c>
      <c r="O893" s="7" t="n">
        <v>263.8329267303587</v>
      </c>
      <c r="P893" s="7" t="n">
        <v>25390.77832962167</v>
      </c>
      <c r="Q893" s="7" t="n">
        <v>26447.63959284364</v>
      </c>
      <c r="R893" s="7" t="n">
        <v>-1056.861263221967</v>
      </c>
      <c r="S893" s="6" t="n">
        <v>-0.03996051365990099</v>
      </c>
      <c r="T893" s="7" t="n">
        <v>41638.92037435144</v>
      </c>
      <c r="U893" s="7" t="n">
        <v>43720.866393069</v>
      </c>
      <c r="V893" s="7" t="n">
        <v>610968.7825556305</v>
      </c>
      <c r="W893" s="7" t="n">
        <v>710248.9276166783</v>
      </c>
      <c r="X893" s="7" t="n">
        <v>-99280.14506104775</v>
      </c>
      <c r="Y893" s="6" t="n">
        <v>-0.1397821822754364</v>
      </c>
      <c r="Z893" s="7" t="n">
        <v>582855.0485105199</v>
      </c>
      <c r="AA893" s="7" t="n">
        <v>611997.8009360458</v>
      </c>
      <c r="AB893" s="7" t="n">
        <v>4582121.290209762</v>
      </c>
      <c r="AC893" s="7" t="n">
        <v>6299080.390293306</v>
      </c>
      <c r="AD893" s="7" t="n">
        <v>-1716959.100083544</v>
      </c>
      <c r="AE893" s="6" t="n">
        <v>-0.2725729779110815</v>
      </c>
    </row>
    <row r="894">
      <c r="A894" s="2" t="n">
        <v>885</v>
      </c>
      <c r="B894" s="2" t="inlineStr">
        <is>
          <t>KPROP-00885</t>
        </is>
      </c>
      <c r="C894" s="3" t="n">
        <v>46173</v>
      </c>
      <c r="D894" s="2" t="inlineStr">
        <is>
          <t>Nolan McLean</t>
        </is>
      </c>
      <c r="E894" s="2" t="inlineStr">
        <is>
          <t>Win</t>
        </is>
      </c>
      <c r="F894" s="2" t="n">
        <v>1.35</v>
      </c>
      <c r="G894" s="6" t="n">
        <v>0.1694213389823745</v>
      </c>
      <c r="H894" s="7" t="n">
        <v>100</v>
      </c>
      <c r="I894" s="7" t="n">
        <v>135</v>
      </c>
      <c r="J894" s="7" t="n">
        <v>19888.8685546748</v>
      </c>
      <c r="K894" s="7" t="n">
        <v>20151.78546570523</v>
      </c>
      <c r="L894" s="7" t="n">
        <v>-262.9169110304247</v>
      </c>
      <c r="M894" s="6" t="n">
        <v>-0.01304682959620936</v>
      </c>
      <c r="N894" s="7" t="n">
        <v>253.9077832962167</v>
      </c>
      <c r="O894" s="7" t="n">
        <v>342.7755074498926</v>
      </c>
      <c r="P894" s="7" t="n">
        <v>25733.55383707157</v>
      </c>
      <c r="Q894" s="7" t="n">
        <v>26447.63959284364</v>
      </c>
      <c r="R894" s="7" t="n">
        <v>-714.0857557720738</v>
      </c>
      <c r="S894" s="6" t="n">
        <v>-0.02699998059430965</v>
      </c>
      <c r="T894" s="7" t="n">
        <v>25877.78730425153</v>
      </c>
      <c r="U894" s="7" t="n">
        <v>34935.01286073957</v>
      </c>
      <c r="V894" s="7" t="n">
        <v>645903.7954163702</v>
      </c>
      <c r="W894" s="7" t="n">
        <v>710248.9276166783</v>
      </c>
      <c r="X894" s="7" t="n">
        <v>-64345.13220030814</v>
      </c>
      <c r="Y894" s="6" t="n">
        <v>-0.09059518388324163</v>
      </c>
      <c r="Z894" s="7" t="n">
        <v>388154.5621834915</v>
      </c>
      <c r="AA894" s="7" t="n">
        <v>524008.6589477136</v>
      </c>
      <c r="AB894" s="7" t="n">
        <v>5106129.949157475</v>
      </c>
      <c r="AC894" s="7" t="n">
        <v>6299080.390293306</v>
      </c>
      <c r="AD894" s="7" t="n">
        <v>-1192950.44113583</v>
      </c>
      <c r="AE894" s="6" t="n">
        <v>-0.189384857347452</v>
      </c>
    </row>
    <row r="895">
      <c r="A895" s="2" t="n">
        <v>886</v>
      </c>
      <c r="B895" s="2" t="inlineStr">
        <is>
          <t>KPROP-00886</t>
        </is>
      </c>
      <c r="C895" s="3" t="n">
        <v>46173</v>
      </c>
      <c r="D895" s="2" t="inlineStr">
        <is>
          <t>Nolan McLean</t>
        </is>
      </c>
      <c r="E895" s="2" t="inlineStr">
        <is>
          <t>Win</t>
        </is>
      </c>
      <c r="F895" s="2" t="n">
        <v>0.6944444444444444</v>
      </c>
      <c r="G895" s="6" t="n">
        <v>0.2203308356715881</v>
      </c>
      <c r="H895" s="7" t="n">
        <v>100</v>
      </c>
      <c r="I895" s="7" t="n">
        <v>69.44444444444444</v>
      </c>
      <c r="J895" s="7" t="n">
        <v>19958.31299911925</v>
      </c>
      <c r="K895" s="7" t="n">
        <v>20151.78546570523</v>
      </c>
      <c r="L895" s="7" t="n">
        <v>-193.4724665859794</v>
      </c>
      <c r="M895" s="6" t="n">
        <v>-0.009600760533861148</v>
      </c>
      <c r="N895" s="7" t="n">
        <v>257.3355383707157</v>
      </c>
      <c r="O895" s="7" t="n">
        <v>178.7052349796636</v>
      </c>
      <c r="P895" s="7" t="n">
        <v>25912.25907205123</v>
      </c>
      <c r="Q895" s="7" t="n">
        <v>26447.63959284364</v>
      </c>
      <c r="R895" s="7" t="n">
        <v>-535.3805207924088</v>
      </c>
      <c r="S895" s="6" t="n">
        <v>-0.02024303601510341</v>
      </c>
      <c r="T895" s="7" t="n">
        <v>35578.13075188483</v>
      </c>
      <c r="U895" s="7" t="n">
        <v>24707.03524436447</v>
      </c>
      <c r="V895" s="7" t="n">
        <v>670610.8306607346</v>
      </c>
      <c r="W895" s="7" t="n">
        <v>710248.9276166783</v>
      </c>
      <c r="X895" s="7" t="n">
        <v>-39638.09695594374</v>
      </c>
      <c r="Y895" s="6" t="n">
        <v>-0.05580873890081597</v>
      </c>
      <c r="Z895" s="7" t="n">
        <v>562518.9393727952</v>
      </c>
      <c r="AA895" s="7" t="n">
        <v>390638.1523422188</v>
      </c>
      <c r="AB895" s="7" t="n">
        <v>5496768.101499694</v>
      </c>
      <c r="AC895" s="7" t="n">
        <v>6299080.390293306</v>
      </c>
      <c r="AD895" s="7" t="n">
        <v>-802312.2887936113</v>
      </c>
      <c r="AE895" s="6" t="n">
        <v>-0.1273697490874939</v>
      </c>
    </row>
    <row r="896">
      <c r="A896" s="2" t="n">
        <v>887</v>
      </c>
      <c r="B896" s="2" t="inlineStr">
        <is>
          <t>KPROP-00887</t>
        </is>
      </c>
      <c r="C896" s="3" t="n">
        <v>46173</v>
      </c>
      <c r="D896" s="2" t="inlineStr">
        <is>
          <t>Ranger Suarez</t>
        </is>
      </c>
      <c r="E896" s="2" t="inlineStr">
        <is>
          <t>Loss</t>
        </is>
      </c>
      <c r="F896" s="2" t="n">
        <v>-1</v>
      </c>
      <c r="G896" s="6" t="n">
        <v>0.1914731991317867</v>
      </c>
      <c r="H896" s="7" t="n">
        <v>100</v>
      </c>
      <c r="I896" s="7" t="n">
        <v>-100</v>
      </c>
      <c r="J896" s="7" t="n">
        <v>19858.31299911925</v>
      </c>
      <c r="K896" s="7" t="n">
        <v>20151.78546570523</v>
      </c>
      <c r="L896" s="7" t="n">
        <v>-293.4724665859794</v>
      </c>
      <c r="M896" s="6" t="n">
        <v>-0.01456309998364252</v>
      </c>
      <c r="N896" s="7" t="n">
        <v>259.1225907205123</v>
      </c>
      <c r="O896" s="7" t="n">
        <v>-259.1225907205123</v>
      </c>
      <c r="P896" s="7" t="n">
        <v>25653.13648133072</v>
      </c>
      <c r="Q896" s="7" t="n">
        <v>26447.63959284364</v>
      </c>
      <c r="R896" s="7" t="n">
        <v>-794.5031115129204</v>
      </c>
      <c r="S896" s="6" t="n">
        <v>-0.03004060565495235</v>
      </c>
      <c r="T896" s="7" t="n">
        <v>32101.00027975893</v>
      </c>
      <c r="U896" s="7" t="n">
        <v>-32101.00027975893</v>
      </c>
      <c r="V896" s="7" t="n">
        <v>638509.8303809756</v>
      </c>
      <c r="W896" s="7" t="n">
        <v>710248.9276166783</v>
      </c>
      <c r="X896" s="7" t="n">
        <v>-71739.09723570268</v>
      </c>
      <c r="Y896" s="6" t="n">
        <v>-0.1010055692395502</v>
      </c>
      <c r="Z896" s="7" t="n">
        <v>526241.886639852</v>
      </c>
      <c r="AA896" s="7" t="n">
        <v>-526241.886639852</v>
      </c>
      <c r="AB896" s="7" t="n">
        <v>4970526.214859842</v>
      </c>
      <c r="AC896" s="7" t="n">
        <v>6299080.390293306</v>
      </c>
      <c r="AD896" s="7" t="n">
        <v>-1328554.175433463</v>
      </c>
      <c r="AE896" s="6" t="n">
        <v>-0.2109124019881895</v>
      </c>
    </row>
    <row r="897">
      <c r="A897" s="2" t="n">
        <v>888</v>
      </c>
      <c r="B897" s="2" t="inlineStr">
        <is>
          <t>KPROP-00888</t>
        </is>
      </c>
      <c r="C897" s="3" t="n">
        <v>46173</v>
      </c>
      <c r="D897" s="2" t="inlineStr">
        <is>
          <t>Ranger Suarez</t>
        </is>
      </c>
      <c r="E897" s="2" t="inlineStr">
        <is>
          <t>Loss</t>
        </is>
      </c>
      <c r="F897" s="2" t="n">
        <v>-1</v>
      </c>
      <c r="G897" s="6" t="n">
        <v>0.2172295623089875</v>
      </c>
      <c r="H897" s="7" t="n">
        <v>100</v>
      </c>
      <c r="I897" s="7" t="n">
        <v>-100</v>
      </c>
      <c r="J897" s="7" t="n">
        <v>19758.31299911925</v>
      </c>
      <c r="K897" s="7" t="n">
        <v>20151.78546570523</v>
      </c>
      <c r="L897" s="7" t="n">
        <v>-393.4724665859794</v>
      </c>
      <c r="M897" s="6" t="n">
        <v>-0.0195254394334239</v>
      </c>
      <c r="N897" s="7" t="n">
        <v>256.5313648133072</v>
      </c>
      <c r="O897" s="7" t="n">
        <v>-256.5313648133072</v>
      </c>
      <c r="P897" s="7" t="n">
        <v>25396.60511651741</v>
      </c>
      <c r="Q897" s="7" t="n">
        <v>26447.63959284364</v>
      </c>
      <c r="R897" s="7" t="n">
        <v>-1051.034476326229</v>
      </c>
      <c r="S897" s="6" t="n">
        <v>-0.03974019959840289</v>
      </c>
      <c r="T897" s="7" t="n">
        <v>34675.8027459113</v>
      </c>
      <c r="U897" s="7" t="n">
        <v>-34675.8027459113</v>
      </c>
      <c r="V897" s="7" t="n">
        <v>603834.0276350643</v>
      </c>
      <c r="W897" s="7" t="n">
        <v>710248.9276166783</v>
      </c>
      <c r="X897" s="7" t="n">
        <v>-106414.899981614</v>
      </c>
      <c r="Y897" s="6" t="n">
        <v>-0.1498276109176277</v>
      </c>
      <c r="Z897" s="7" t="n">
        <v>539872.617049676</v>
      </c>
      <c r="AA897" s="7" t="n">
        <v>-539872.617049676</v>
      </c>
      <c r="AB897" s="7" t="n">
        <v>4430653.597810166</v>
      </c>
      <c r="AC897" s="7" t="n">
        <v>6299080.390293306</v>
      </c>
      <c r="AD897" s="7" t="n">
        <v>-1868426.79248314</v>
      </c>
      <c r="AE897" s="6" t="n">
        <v>-0.2966189787579675</v>
      </c>
    </row>
    <row r="898">
      <c r="A898" s="2" t="n">
        <v>889</v>
      </c>
      <c r="B898" s="2" t="inlineStr">
        <is>
          <t>KPROP-00889</t>
        </is>
      </c>
      <c r="C898" s="3" t="n">
        <v>46173</v>
      </c>
      <c r="D898" s="2" t="inlineStr">
        <is>
          <t>Shane McClanahan</t>
        </is>
      </c>
      <c r="E898" s="2" t="inlineStr">
        <is>
          <t>Win</t>
        </is>
      </c>
      <c r="F898" s="2" t="n">
        <v>1.25</v>
      </c>
      <c r="G898" s="6" t="n">
        <v>0.09364423033540969</v>
      </c>
      <c r="H898" s="7" t="n">
        <v>100</v>
      </c>
      <c r="I898" s="7" t="n">
        <v>125</v>
      </c>
      <c r="J898" s="7" t="n">
        <v>19883.31299911925</v>
      </c>
      <c r="K898" s="7" t="n">
        <v>20151.78546570523</v>
      </c>
      <c r="L898" s="7" t="n">
        <v>-268.4724665859794</v>
      </c>
      <c r="M898" s="6" t="n">
        <v>-0.01332251512119718</v>
      </c>
      <c r="N898" s="7" t="n">
        <v>253.9660511651741</v>
      </c>
      <c r="O898" s="7" t="n">
        <v>317.4575639564677</v>
      </c>
      <c r="P898" s="7" t="n">
        <v>25714.06268047388</v>
      </c>
      <c r="Q898" s="7" t="n">
        <v>26447.63959284364</v>
      </c>
      <c r="R898" s="7" t="n">
        <v>-733.576912369761</v>
      </c>
      <c r="S898" s="6" t="n">
        <v>-0.0277369520933829</v>
      </c>
      <c r="T898" s="7" t="n">
        <v>14136.39319205403</v>
      </c>
      <c r="U898" s="7" t="n">
        <v>17670.49149006754</v>
      </c>
      <c r="V898" s="7" t="n">
        <v>621504.5191251319</v>
      </c>
      <c r="W898" s="7" t="n">
        <v>710248.9276166783</v>
      </c>
      <c r="X898" s="7" t="n">
        <v>-88744.4084915464</v>
      </c>
      <c r="Y898" s="6" t="n">
        <v>-0.1249483174713666</v>
      </c>
      <c r="Z898" s="7" t="n">
        <v>207452.5730248734</v>
      </c>
      <c r="AA898" s="7" t="n">
        <v>259315.7162810918</v>
      </c>
      <c r="AB898" s="7" t="n">
        <v>4689969.314091258</v>
      </c>
      <c r="AC898" s="7" t="n">
        <v>6299080.390293306</v>
      </c>
      <c r="AD898" s="7" t="n">
        <v>-1609111.076202048</v>
      </c>
      <c r="AE898" s="6" t="n">
        <v>-0.2554517447787522</v>
      </c>
    </row>
    <row r="899">
      <c r="A899" s="2" t="n">
        <v>890</v>
      </c>
      <c r="B899" s="2" t="inlineStr">
        <is>
          <t>KPROP-00890</t>
        </is>
      </c>
      <c r="C899" s="3" t="n">
        <v>46173</v>
      </c>
      <c r="D899" s="2" t="inlineStr">
        <is>
          <t>Shane McClanahan</t>
        </is>
      </c>
      <c r="E899" s="2" t="inlineStr">
        <is>
          <t>Win</t>
        </is>
      </c>
      <c r="F899" s="2" t="n">
        <v>0.6993006993006992</v>
      </c>
      <c r="G899" s="6" t="n">
        <v>0.1635339360222646</v>
      </c>
      <c r="H899" s="7" t="n">
        <v>100</v>
      </c>
      <c r="I899" s="7" t="n">
        <v>69.93006993006992</v>
      </c>
      <c r="J899" s="7" t="n">
        <v>19953.24306904932</v>
      </c>
      <c r="K899" s="7" t="n">
        <v>20151.78546570523</v>
      </c>
      <c r="L899" s="7" t="n">
        <v>-198.5423966559101</v>
      </c>
      <c r="M899" s="6" t="n">
        <v>-0.009852347673797647</v>
      </c>
      <c r="N899" s="7" t="n">
        <v>257.1406268047388</v>
      </c>
      <c r="O899" s="7" t="n">
        <v>179.818620143174</v>
      </c>
      <c r="P899" s="7" t="n">
        <v>25893.88130061705</v>
      </c>
      <c r="Q899" s="7" t="n">
        <v>26447.63959284364</v>
      </c>
      <c r="R899" s="7" t="n">
        <v>-553.7582922265865</v>
      </c>
      <c r="S899" s="6" t="n">
        <v>-0.02093790980032962</v>
      </c>
      <c r="T899" s="7" t="n">
        <v>25409.27006703942</v>
      </c>
      <c r="U899" s="7" t="n">
        <v>17768.72032660099</v>
      </c>
      <c r="V899" s="7" t="n">
        <v>639273.2394517328</v>
      </c>
      <c r="W899" s="7" t="n">
        <v>710248.9276166783</v>
      </c>
      <c r="X899" s="7" t="n">
        <v>-70975.68816494546</v>
      </c>
      <c r="Y899" s="6" t="n">
        <v>-0.09993072204010574</v>
      </c>
      <c r="Z899" s="7" t="n">
        <v>383484.570878492</v>
      </c>
      <c r="AA899" s="7" t="n">
        <v>268171.028586358</v>
      </c>
      <c r="AB899" s="7" t="n">
        <v>4958140.342677616</v>
      </c>
      <c r="AC899" s="7" t="n">
        <v>6299080.390293306</v>
      </c>
      <c r="AD899" s="7" t="n">
        <v>-1340940.04761569</v>
      </c>
      <c r="AE899" s="6" t="n">
        <v>-0.212878700465871</v>
      </c>
    </row>
    <row r="900">
      <c r="A900" s="2" t="n">
        <v>891</v>
      </c>
      <c r="B900" s="2" t="inlineStr">
        <is>
          <t>KPROP-00891</t>
        </is>
      </c>
      <c r="C900" s="3" t="n">
        <v>46173</v>
      </c>
      <c r="D900" s="2" t="inlineStr">
        <is>
          <t>Yoshinobu Yamamoto</t>
        </is>
      </c>
      <c r="E900" s="2" t="inlineStr">
        <is>
          <t>Loss</t>
        </is>
      </c>
      <c r="F900" s="2" t="n">
        <v>-1</v>
      </c>
      <c r="G900" s="6" t="n">
        <v>0.09655307835090977</v>
      </c>
      <c r="H900" s="7" t="n">
        <v>100</v>
      </c>
      <c r="I900" s="7" t="n">
        <v>-100</v>
      </c>
      <c r="J900" s="7" t="n">
        <v>19853.24306904932</v>
      </c>
      <c r="K900" s="7" t="n">
        <v>20151.78546570523</v>
      </c>
      <c r="L900" s="7" t="n">
        <v>-298.5423966559101</v>
      </c>
      <c r="M900" s="6" t="n">
        <v>-0.01481468712357902</v>
      </c>
      <c r="N900" s="7" t="n">
        <v>258.9388130061706</v>
      </c>
      <c r="O900" s="7" t="n">
        <v>-258.9388130061706</v>
      </c>
      <c r="P900" s="7" t="n">
        <v>25634.94248761088</v>
      </c>
      <c r="Q900" s="7" t="n">
        <v>26447.63959284364</v>
      </c>
      <c r="R900" s="7" t="n">
        <v>-812.6971052327572</v>
      </c>
      <c r="S900" s="6" t="n">
        <v>-0.03072853070232633</v>
      </c>
      <c r="T900" s="7" t="n">
        <v>15430.94979410577</v>
      </c>
      <c r="U900" s="7" t="n">
        <v>-15430.94979410577</v>
      </c>
      <c r="V900" s="7" t="n">
        <v>623842.2896576271</v>
      </c>
      <c r="W900" s="7" t="n">
        <v>710248.9276166783</v>
      </c>
      <c r="X900" s="7" t="n">
        <v>-86406.63795905118</v>
      </c>
      <c r="Y900" s="6" t="n">
        <v>-0.1216568369191328</v>
      </c>
      <c r="Z900" s="7" t="n">
        <v>239361.8564906792</v>
      </c>
      <c r="AA900" s="7" t="n">
        <v>-239361.8564906792</v>
      </c>
      <c r="AB900" s="7" t="n">
        <v>4718778.486186936</v>
      </c>
      <c r="AC900" s="7" t="n">
        <v>6299080.390293306</v>
      </c>
      <c r="AD900" s="7" t="n">
        <v>-1580301.904106369</v>
      </c>
      <c r="AE900" s="6" t="n">
        <v>-0.2508781927186653</v>
      </c>
    </row>
    <row r="901">
      <c r="A901" s="2" t="n">
        <v>892</v>
      </c>
      <c r="B901" s="2" t="inlineStr">
        <is>
          <t>KPROP-00892</t>
        </is>
      </c>
      <c r="C901" s="3" t="n">
        <v>46173</v>
      </c>
      <c r="D901" s="2" t="inlineStr">
        <is>
          <t>Zack Littell</t>
        </is>
      </c>
      <c r="E901" s="2" t="inlineStr">
        <is>
          <t>Loss</t>
        </is>
      </c>
      <c r="F901" s="2" t="n">
        <v>-1</v>
      </c>
      <c r="G901" s="6" t="n">
        <v>0.1102154468911537</v>
      </c>
      <c r="H901" s="7" t="n">
        <v>100</v>
      </c>
      <c r="I901" s="7" t="n">
        <v>-100</v>
      </c>
      <c r="J901" s="7" t="n">
        <v>19753.24306904932</v>
      </c>
      <c r="K901" s="7" t="n">
        <v>20151.78546570523</v>
      </c>
      <c r="L901" s="7" t="n">
        <v>-398.5423966559101</v>
      </c>
      <c r="M901" s="6" t="n">
        <v>-0.0197770265733604</v>
      </c>
      <c r="N901" s="7" t="n">
        <v>256.3494248761089</v>
      </c>
      <c r="O901" s="7" t="n">
        <v>-256.3494248761089</v>
      </c>
      <c r="P901" s="7" t="n">
        <v>25378.59306273477</v>
      </c>
      <c r="Q901" s="7" t="n">
        <v>26447.63959284364</v>
      </c>
      <c r="R901" s="7" t="n">
        <v>-1069.046530108866</v>
      </c>
      <c r="S901" s="6" t="n">
        <v>-0.04042124539530307</v>
      </c>
      <c r="T901" s="7" t="n">
        <v>17189.26418605398</v>
      </c>
      <c r="U901" s="7" t="n">
        <v>-17189.26418605398</v>
      </c>
      <c r="V901" s="7" t="n">
        <v>606653.0254715731</v>
      </c>
      <c r="W901" s="7" t="n">
        <v>710248.9276166783</v>
      </c>
      <c r="X901" s="7" t="n">
        <v>-103595.9021451052</v>
      </c>
      <c r="Y901" s="6" t="n">
        <v>-0.1458585829798196</v>
      </c>
      <c r="Z901" s="7" t="n">
        <v>260041.1398177274</v>
      </c>
      <c r="AA901" s="7" t="n">
        <v>-260041.1398177274</v>
      </c>
      <c r="AB901" s="7" t="n">
        <v>4458737.346369209</v>
      </c>
      <c r="AC901" s="7" t="n">
        <v>6299080.390293306</v>
      </c>
      <c r="AD901" s="7" t="n">
        <v>-1840343.043924097</v>
      </c>
      <c r="AE901" s="6" t="n">
        <v>-0.2921605901013758</v>
      </c>
    </row>
    <row r="902">
      <c r="A902" s="2" t="n">
        <v>893</v>
      </c>
      <c r="B902" s="2" t="inlineStr">
        <is>
          <t>KPROP-00893</t>
        </is>
      </c>
      <c r="C902" s="3" t="n">
        <v>46174</v>
      </c>
      <c r="D902" s="2" t="inlineStr">
        <is>
          <t>Griffin Jax</t>
        </is>
      </c>
      <c r="E902" s="2" t="inlineStr">
        <is>
          <t>Loss</t>
        </is>
      </c>
      <c r="F902" s="2" t="n">
        <v>-1</v>
      </c>
      <c r="G902" s="6" t="n">
        <v>0.2595051878378857</v>
      </c>
      <c r="H902" s="7" t="n">
        <v>100</v>
      </c>
      <c r="I902" s="7" t="n">
        <v>-100</v>
      </c>
      <c r="J902" s="7" t="n">
        <v>19653.24306904932</v>
      </c>
      <c r="K902" s="7" t="n">
        <v>20151.78546570523</v>
      </c>
      <c r="L902" s="7" t="n">
        <v>-498.5423966559101</v>
      </c>
      <c r="M902" s="6" t="n">
        <v>-0.02473936602314178</v>
      </c>
      <c r="N902" s="7" t="n">
        <v>253.7859306273477</v>
      </c>
      <c r="O902" s="7" t="n">
        <v>-253.7859306273477</v>
      </c>
      <c r="P902" s="7" t="n">
        <v>25124.80713210742</v>
      </c>
      <c r="Q902" s="7" t="n">
        <v>26447.63959284364</v>
      </c>
      <c r="R902" s="7" t="n">
        <v>-1322.832460736216</v>
      </c>
      <c r="S902" s="6" t="n">
        <v>-0.0500170329413501</v>
      </c>
      <c r="T902" s="7" t="n">
        <v>39357.40183185555</v>
      </c>
      <c r="U902" s="7" t="n">
        <v>-39357.40183185555</v>
      </c>
      <c r="V902" s="7" t="n">
        <v>567295.6236397176</v>
      </c>
      <c r="W902" s="7" t="n">
        <v>710248.9276166783</v>
      </c>
      <c r="X902" s="7" t="n">
        <v>-142953.3039769607</v>
      </c>
      <c r="Y902" s="6" t="n">
        <v>-0.2012721151958045</v>
      </c>
      <c r="Z902" s="7" t="n">
        <v>578532.7362946687</v>
      </c>
      <c r="AA902" s="7" t="n">
        <v>-578532.7362946687</v>
      </c>
      <c r="AB902" s="7" t="n">
        <v>3880204.61007454</v>
      </c>
      <c r="AC902" s="7" t="n">
        <v>6299080.390293306</v>
      </c>
      <c r="AD902" s="7" t="n">
        <v>-2418875.780218766</v>
      </c>
      <c r="AE902" s="6" t="n">
        <v>-0.3840045896137761</v>
      </c>
    </row>
    <row r="903">
      <c r="A903" s="2" t="n">
        <v>894</v>
      </c>
      <c r="B903" s="2" t="inlineStr">
        <is>
          <t>KPROP-00894</t>
        </is>
      </c>
      <c r="C903" s="3" t="n">
        <v>46174</v>
      </c>
      <c r="D903" s="2" t="inlineStr">
        <is>
          <t>Griffin Jax</t>
        </is>
      </c>
      <c r="E903" s="2" t="inlineStr">
        <is>
          <t>Win</t>
        </is>
      </c>
      <c r="F903" s="2" t="n">
        <v>0.617283950617284</v>
      </c>
      <c r="G903" s="6" t="n">
        <v>0.3771065783455318</v>
      </c>
      <c r="H903" s="7" t="n">
        <v>100</v>
      </c>
      <c r="I903" s="7" t="n">
        <v>61.72839506172841</v>
      </c>
      <c r="J903" s="7" t="n">
        <v>19714.97146411104</v>
      </c>
      <c r="K903" s="7" t="n">
        <v>20151.78546570523</v>
      </c>
      <c r="L903" s="7" t="n">
        <v>-436.8140015941826</v>
      </c>
      <c r="M903" s="6" t="n">
        <v>-0.02167619352327677</v>
      </c>
      <c r="N903" s="7" t="n">
        <v>251.2480713210742</v>
      </c>
      <c r="O903" s="7" t="n">
        <v>155.0914020500458</v>
      </c>
      <c r="P903" s="7" t="n">
        <v>25279.89853415747</v>
      </c>
      <c r="Q903" s="7" t="n">
        <v>26447.63959284364</v>
      </c>
      <c r="R903" s="7" t="n">
        <v>-1167.74105868617</v>
      </c>
      <c r="S903" s="6" t="n">
        <v>-0.04415294055209918</v>
      </c>
      <c r="T903" s="7" t="n">
        <v>53482.72788529212</v>
      </c>
      <c r="U903" s="7" t="n">
        <v>33014.0295588223</v>
      </c>
      <c r="V903" s="7" t="n">
        <v>600309.6531985399</v>
      </c>
      <c r="W903" s="7" t="n">
        <v>710248.9276166783</v>
      </c>
      <c r="X903" s="7" t="n">
        <v>-109939.2744181384</v>
      </c>
      <c r="Y903" s="6" t="n">
        <v>-0.1547897788273363</v>
      </c>
      <c r="Z903" s="7" t="n">
        <v>731625.3418928841</v>
      </c>
      <c r="AA903" s="7" t="n">
        <v>451620.5814153606</v>
      </c>
      <c r="AB903" s="7" t="n">
        <v>4331825.1914899</v>
      </c>
      <c r="AC903" s="7" t="n">
        <v>6299080.390293306</v>
      </c>
      <c r="AD903" s="7" t="n">
        <v>-1967255.198803405</v>
      </c>
      <c r="AE903" s="6" t="n">
        <v>-0.3123083175497945</v>
      </c>
    </row>
    <row r="904">
      <c r="A904" s="2" t="n">
        <v>895</v>
      </c>
      <c r="B904" s="2" t="inlineStr">
        <is>
          <t>KPROP-00895</t>
        </is>
      </c>
      <c r="C904" s="3" t="n">
        <v>46174</v>
      </c>
      <c r="D904" s="2" t="inlineStr">
        <is>
          <t>Jacob deGrom</t>
        </is>
      </c>
      <c r="E904" s="2" t="inlineStr">
        <is>
          <t>Loss</t>
        </is>
      </c>
      <c r="F904" s="2" t="n">
        <v>-1</v>
      </c>
      <c r="G904" s="6" t="n">
        <v>0.2621403421630853</v>
      </c>
      <c r="H904" s="7" t="n">
        <v>100</v>
      </c>
      <c r="I904" s="7" t="n">
        <v>-100</v>
      </c>
      <c r="J904" s="7" t="n">
        <v>19614.97146411104</v>
      </c>
      <c r="K904" s="7" t="n">
        <v>20151.78546570523</v>
      </c>
      <c r="L904" s="7" t="n">
        <v>-536.8140015941826</v>
      </c>
      <c r="M904" s="6" t="n">
        <v>-0.02663853297305815</v>
      </c>
      <c r="N904" s="7" t="n">
        <v>252.7989853415747</v>
      </c>
      <c r="O904" s="7" t="n">
        <v>-252.7989853415747</v>
      </c>
      <c r="P904" s="7" t="n">
        <v>25027.0995488159</v>
      </c>
      <c r="Q904" s="7" t="n">
        <v>26447.63959284364</v>
      </c>
      <c r="R904" s="7" t="n">
        <v>-1420.540044027744</v>
      </c>
      <c r="S904" s="6" t="n">
        <v>-0.05371141114657819</v>
      </c>
      <c r="T904" s="7" t="n">
        <v>39341.34447331708</v>
      </c>
      <c r="U904" s="7" t="n">
        <v>-39341.34447331708</v>
      </c>
      <c r="V904" s="7" t="n">
        <v>560968.3087252228</v>
      </c>
      <c r="W904" s="7" t="n">
        <v>710248.9276166783</v>
      </c>
      <c r="X904" s="7" t="n">
        <v>-149280.6188914555</v>
      </c>
      <c r="Y904" s="6" t="n">
        <v>-0.210180702971821</v>
      </c>
      <c r="Z904" s="7" t="n">
        <v>567773.0689439175</v>
      </c>
      <c r="AA904" s="7" t="n">
        <v>-567773.0689439175</v>
      </c>
      <c r="AB904" s="7" t="n">
        <v>3764052.122545983</v>
      </c>
      <c r="AC904" s="7" t="n">
        <v>6299080.390293306</v>
      </c>
      <c r="AD904" s="7" t="n">
        <v>-2535028.267747323</v>
      </c>
      <c r="AE904" s="6" t="n">
        <v>-0.4024441840198969</v>
      </c>
    </row>
    <row r="905">
      <c r="A905" s="2" t="n">
        <v>896</v>
      </c>
      <c r="B905" s="2" t="inlineStr">
        <is>
          <t>KPROP-00896</t>
        </is>
      </c>
      <c r="C905" s="3" t="n">
        <v>46174</v>
      </c>
      <c r="D905" s="2" t="inlineStr">
        <is>
          <t>Joe Ryan</t>
        </is>
      </c>
      <c r="E905" s="2" t="inlineStr">
        <is>
          <t>Loss</t>
        </is>
      </c>
      <c r="F905" s="2" t="n">
        <v>-1</v>
      </c>
      <c r="G905" s="6" t="n">
        <v>0.3954688106644727</v>
      </c>
      <c r="H905" s="7" t="n">
        <v>100</v>
      </c>
      <c r="I905" s="7" t="n">
        <v>-100</v>
      </c>
      <c r="J905" s="7" t="n">
        <v>19514.97146411104</v>
      </c>
      <c r="K905" s="7" t="n">
        <v>20151.78546570523</v>
      </c>
      <c r="L905" s="7" t="n">
        <v>-636.8140015941826</v>
      </c>
      <c r="M905" s="6" t="n">
        <v>-0.03160087242283952</v>
      </c>
      <c r="N905" s="7" t="n">
        <v>250.2709954881589</v>
      </c>
      <c r="O905" s="7" t="n">
        <v>-250.2709954881589</v>
      </c>
      <c r="P905" s="7" t="n">
        <v>24776.82855332774</v>
      </c>
      <c r="Q905" s="7" t="n">
        <v>26447.63959284364</v>
      </c>
      <c r="R905" s="7" t="n">
        <v>-1670.811039515902</v>
      </c>
      <c r="S905" s="6" t="n">
        <v>-0.06317429703511235</v>
      </c>
      <c r="T905" s="7" t="n">
        <v>55461.36746800615</v>
      </c>
      <c r="U905" s="7" t="n">
        <v>-55461.36746800615</v>
      </c>
      <c r="V905" s="7" t="n">
        <v>505506.9412572167</v>
      </c>
      <c r="W905" s="7" t="n">
        <v>710248.9276166783</v>
      </c>
      <c r="X905" s="7" t="n">
        <v>-204741.9863594616</v>
      </c>
      <c r="Y905" s="6" t="n">
        <v>-0.288267927480717</v>
      </c>
      <c r="Z905" s="7" t="n">
        <v>744282.6080911719</v>
      </c>
      <c r="AA905" s="7" t="n">
        <v>-744282.6080911719</v>
      </c>
      <c r="AB905" s="7" t="n">
        <v>3019769.514454811</v>
      </c>
      <c r="AC905" s="7" t="n">
        <v>6299080.390293306</v>
      </c>
      <c r="AD905" s="7" t="n">
        <v>-3279310.875838495</v>
      </c>
      <c r="AE905" s="6" t="n">
        <v>-0.5206015279455418</v>
      </c>
    </row>
    <row r="906">
      <c r="A906" s="2" t="n">
        <v>897</v>
      </c>
      <c r="B906" s="2" t="inlineStr">
        <is>
          <t>KPROP-00897</t>
        </is>
      </c>
      <c r="C906" s="3" t="n">
        <v>46174</v>
      </c>
      <c r="D906" s="2" t="inlineStr">
        <is>
          <t>Joe Ryan</t>
        </is>
      </c>
      <c r="E906" s="2" t="inlineStr">
        <is>
          <t>Loss</t>
        </is>
      </c>
      <c r="F906" s="2" t="n">
        <v>-1</v>
      </c>
      <c r="G906" s="6" t="n">
        <v>0.4915518961237155</v>
      </c>
      <c r="H906" s="7" t="n">
        <v>100</v>
      </c>
      <c r="I906" s="7" t="n">
        <v>-100</v>
      </c>
      <c r="J906" s="7" t="n">
        <v>19414.97146411104</v>
      </c>
      <c r="K906" s="7" t="n">
        <v>20151.78546570523</v>
      </c>
      <c r="L906" s="7" t="n">
        <v>-736.8140015941826</v>
      </c>
      <c r="M906" s="6" t="n">
        <v>-0.0365632118726209</v>
      </c>
      <c r="N906" s="7" t="n">
        <v>247.7682855332774</v>
      </c>
      <c r="O906" s="7" t="n">
        <v>-247.7682855332774</v>
      </c>
      <c r="P906" s="7" t="n">
        <v>24529.06026779446</v>
      </c>
      <c r="Q906" s="7" t="n">
        <v>26447.63959284364</v>
      </c>
      <c r="R906" s="7" t="n">
        <v>-1918.579325049181</v>
      </c>
      <c r="S906" s="6" t="n">
        <v>-0.07254255406476127</v>
      </c>
      <c r="T906" s="7" t="n">
        <v>62120.72386967113</v>
      </c>
      <c r="U906" s="7" t="n">
        <v>-62120.72386967113</v>
      </c>
      <c r="V906" s="7" t="n">
        <v>443386.2173875456</v>
      </c>
      <c r="W906" s="7" t="n">
        <v>710248.9276166783</v>
      </c>
      <c r="X906" s="7" t="n">
        <v>-266862.7102291327</v>
      </c>
      <c r="Y906" s="6" t="n">
        <v>-0.3757312399254458</v>
      </c>
      <c r="Z906" s="7" t="n">
        <v>742186.7153434269</v>
      </c>
      <c r="AA906" s="7" t="n">
        <v>-742186.7153434269</v>
      </c>
      <c r="AB906" s="7" t="n">
        <v>2277582.799111384</v>
      </c>
      <c r="AC906" s="7" t="n">
        <v>6299080.390293306</v>
      </c>
      <c r="AD906" s="7" t="n">
        <v>-4021497.591181922</v>
      </c>
      <c r="AE906" s="6" t="n">
        <v>-0.6384261419141323</v>
      </c>
    </row>
    <row r="907">
      <c r="A907" s="2" t="n">
        <v>898</v>
      </c>
      <c r="B907" s="2" t="inlineStr">
        <is>
          <t>KPROP-00898</t>
        </is>
      </c>
      <c r="C907" s="3" t="n">
        <v>46174</v>
      </c>
      <c r="D907" s="2" t="inlineStr">
        <is>
          <t>Landen Roupp</t>
        </is>
      </c>
      <c r="E907" s="2" t="inlineStr">
        <is>
          <t>Win</t>
        </is>
      </c>
      <c r="F907" s="2" t="n">
        <v>1</v>
      </c>
      <c r="G907" s="6" t="n">
        <v>0.2698224928136455</v>
      </c>
      <c r="H907" s="7" t="n">
        <v>100</v>
      </c>
      <c r="I907" s="7" t="n">
        <v>100</v>
      </c>
      <c r="J907" s="7" t="n">
        <v>19514.97146411104</v>
      </c>
      <c r="K907" s="7" t="n">
        <v>20151.78546570523</v>
      </c>
      <c r="L907" s="7" t="n">
        <v>-636.8140015941826</v>
      </c>
      <c r="M907" s="6" t="n">
        <v>-0.03160087242283952</v>
      </c>
      <c r="N907" s="7" t="n">
        <v>245.2906026779446</v>
      </c>
      <c r="O907" s="7" t="n">
        <v>245.2906026779446</v>
      </c>
      <c r="P907" s="7" t="n">
        <v>24774.3508704724</v>
      </c>
      <c r="Q907" s="7" t="n">
        <v>26447.63959284364</v>
      </c>
      <c r="R907" s="7" t="n">
        <v>-1673.288722371235</v>
      </c>
      <c r="S907" s="6" t="n">
        <v>-0.06326797960540885</v>
      </c>
      <c r="T907" s="7" t="n">
        <v>29908.89361368011</v>
      </c>
      <c r="U907" s="7" t="n">
        <v>29908.89361368011</v>
      </c>
      <c r="V907" s="7" t="n">
        <v>473295.1110012257</v>
      </c>
      <c r="W907" s="7" t="n">
        <v>710248.9276166783</v>
      </c>
      <c r="X907" s="7" t="n">
        <v>-236953.8166154526</v>
      </c>
      <c r="Y907" s="6" t="n">
        <v>-0.3336208016681959</v>
      </c>
      <c r="Z907" s="7" t="n">
        <v>307271.5342228569</v>
      </c>
      <c r="AA907" s="7" t="n">
        <v>307271.5342228569</v>
      </c>
      <c r="AB907" s="7" t="n">
        <v>2584854.333334241</v>
      </c>
      <c r="AC907" s="7" t="n">
        <v>6299080.390293306</v>
      </c>
      <c r="AD907" s="7" t="n">
        <v>-3714226.056959065</v>
      </c>
      <c r="AE907" s="6" t="n">
        <v>-0.5896457620516442</v>
      </c>
    </row>
    <row r="908">
      <c r="A908" s="2" t="n">
        <v>899</v>
      </c>
      <c r="B908" s="2" t="inlineStr">
        <is>
          <t>KPROP-00899</t>
        </is>
      </c>
      <c r="C908" s="3" t="n">
        <v>46175</v>
      </c>
      <c r="D908" s="2" t="inlineStr">
        <is>
          <t>Aaron Nola</t>
        </is>
      </c>
      <c r="E908" s="2" t="inlineStr">
        <is>
          <t>Loss</t>
        </is>
      </c>
      <c r="F908" s="2" t="n">
        <v>-1</v>
      </c>
      <c r="G908" s="6" t="n">
        <v>0.2978552850848181</v>
      </c>
      <c r="H908" s="7" t="n">
        <v>100</v>
      </c>
      <c r="I908" s="7" t="n">
        <v>-100</v>
      </c>
      <c r="J908" s="7" t="n">
        <v>19414.97146411104</v>
      </c>
      <c r="K908" s="7" t="n">
        <v>20151.78546570523</v>
      </c>
      <c r="L908" s="7" t="n">
        <v>-736.8140015941826</v>
      </c>
      <c r="M908" s="6" t="n">
        <v>-0.0365632118726209</v>
      </c>
      <c r="N908" s="7" t="n">
        <v>247.7435087047241</v>
      </c>
      <c r="O908" s="7" t="n">
        <v>-247.7435087047241</v>
      </c>
      <c r="P908" s="7" t="n">
        <v>24526.60736176768</v>
      </c>
      <c r="Q908" s="7" t="n">
        <v>26447.63959284364</v>
      </c>
      <c r="R908" s="7" t="n">
        <v>-1921.032231075958</v>
      </c>
      <c r="S908" s="6" t="n">
        <v>-0.07263529980935474</v>
      </c>
      <c r="T908" s="7" t="n">
        <v>35243.36255413017</v>
      </c>
      <c r="U908" s="7" t="n">
        <v>-35243.36255413017</v>
      </c>
      <c r="V908" s="7" t="n">
        <v>438051.7484470955</v>
      </c>
      <c r="W908" s="7" t="n">
        <v>710248.9276166783</v>
      </c>
      <c r="X908" s="7" t="n">
        <v>-272197.1791695828</v>
      </c>
      <c r="Y908" s="6" t="n">
        <v>-0.3832419431916239</v>
      </c>
      <c r="Z908" s="7" t="n">
        <v>384956.2621789988</v>
      </c>
      <c r="AA908" s="7" t="n">
        <v>-384956.2621789988</v>
      </c>
      <c r="AB908" s="7" t="n">
        <v>2199898.071155242</v>
      </c>
      <c r="AC908" s="7" t="n">
        <v>6299080.390293306</v>
      </c>
      <c r="AD908" s="7" t="n">
        <v>-4099182.319138064</v>
      </c>
      <c r="AE908" s="6" t="n">
        <v>-0.6507588513165796</v>
      </c>
    </row>
    <row r="909">
      <c r="A909" s="2" t="n">
        <v>900</v>
      </c>
      <c r="B909" s="2" t="inlineStr">
        <is>
          <t>KPROP-00900</t>
        </is>
      </c>
      <c r="C909" s="3" t="n">
        <v>46175</v>
      </c>
      <c r="D909" s="2" t="inlineStr">
        <is>
          <t>Cam Schlittler</t>
        </is>
      </c>
      <c r="E909" s="2" t="inlineStr">
        <is>
          <t>Win</t>
        </is>
      </c>
      <c r="F909" s="2" t="n">
        <v>0.8771929824561404</v>
      </c>
      <c r="G909" s="6" t="n">
        <v>0.4310907197513895</v>
      </c>
      <c r="H909" s="7" t="n">
        <v>100</v>
      </c>
      <c r="I909" s="7" t="n">
        <v>87.71929824561404</v>
      </c>
      <c r="J909" s="7" t="n">
        <v>19502.69076235666</v>
      </c>
      <c r="K909" s="7" t="n">
        <v>20151.78546570523</v>
      </c>
      <c r="L909" s="7" t="n">
        <v>-649.0947033485681</v>
      </c>
      <c r="M909" s="6" t="n">
        <v>-0.03221028253070739</v>
      </c>
      <c r="N909" s="7" t="n">
        <v>245.2660736176768</v>
      </c>
      <c r="O909" s="7" t="n">
        <v>215.1456786119972</v>
      </c>
      <c r="P909" s="7" t="n">
        <v>24741.75304037968</v>
      </c>
      <c r="Q909" s="7" t="n">
        <v>26447.63959284364</v>
      </c>
      <c r="R909" s="7" t="n">
        <v>-1705.886552463962</v>
      </c>
      <c r="S909" s="6" t="n">
        <v>-0.06450052173750702</v>
      </c>
      <c r="T909" s="7" t="n">
        <v>47210.01088160325</v>
      </c>
      <c r="U909" s="7" t="n">
        <v>41412.2902470204</v>
      </c>
      <c r="V909" s="7" t="n">
        <v>479464.0386941159</v>
      </c>
      <c r="W909" s="7" t="n">
        <v>710248.9276166783</v>
      </c>
      <c r="X909" s="7" t="n">
        <v>-230784.8889225624</v>
      </c>
      <c r="Y909" s="6" t="n">
        <v>-0.3249352163008363</v>
      </c>
      <c r="Z909" s="7" t="n">
        <v>474177.8214370034</v>
      </c>
      <c r="AA909" s="7" t="n">
        <v>415945.4574008802</v>
      </c>
      <c r="AB909" s="7" t="n">
        <v>2615843.528556122</v>
      </c>
      <c r="AC909" s="7" t="n">
        <v>6299080.390293306</v>
      </c>
      <c r="AD909" s="7" t="n">
        <v>-3683236.861737183</v>
      </c>
      <c r="AE909" s="6" t="n">
        <v>-0.5847261240566068</v>
      </c>
    </row>
    <row r="910">
      <c r="A910" s="2" t="n">
        <v>901</v>
      </c>
      <c r="B910" s="2" t="inlineStr">
        <is>
          <t>KPROP-00901</t>
        </is>
      </c>
      <c r="C910" s="3" t="n">
        <v>46175</v>
      </c>
      <c r="D910" s="2" t="inlineStr">
        <is>
          <t>Connor Prielipp</t>
        </is>
      </c>
      <c r="E910" s="2" t="inlineStr">
        <is>
          <t>Loss</t>
        </is>
      </c>
      <c r="F910" s="2" t="n">
        <v>-1</v>
      </c>
      <c r="G910" s="6" t="n">
        <v>0.06383792814068569</v>
      </c>
      <c r="H910" s="7" t="n">
        <v>100</v>
      </c>
      <c r="I910" s="7" t="n">
        <v>-100</v>
      </c>
      <c r="J910" s="7" t="n">
        <v>19402.69076235666</v>
      </c>
      <c r="K910" s="7" t="n">
        <v>20151.78546570523</v>
      </c>
      <c r="L910" s="7" t="n">
        <v>-749.0947033485681</v>
      </c>
      <c r="M910" s="6" t="n">
        <v>-0.03717262198048876</v>
      </c>
      <c r="N910" s="7" t="n">
        <v>247.4175304037968</v>
      </c>
      <c r="O910" s="7" t="n">
        <v>-247.4175304037968</v>
      </c>
      <c r="P910" s="7" t="n">
        <v>24494.33550997588</v>
      </c>
      <c r="Q910" s="7" t="n">
        <v>26447.63959284364</v>
      </c>
      <c r="R910" s="7" t="n">
        <v>-1953.304082867759</v>
      </c>
      <c r="S910" s="6" t="n">
        <v>-0.07385551652013192</v>
      </c>
      <c r="T910" s="7" t="n">
        <v>7651.997712049479</v>
      </c>
      <c r="U910" s="7" t="n">
        <v>-7651.997712049479</v>
      </c>
      <c r="V910" s="7" t="n">
        <v>471812.0409820665</v>
      </c>
      <c r="W910" s="7" t="n">
        <v>710248.9276166783</v>
      </c>
      <c r="X910" s="7" t="n">
        <v>-238436.8866346118</v>
      </c>
      <c r="Y910" s="6" t="n">
        <v>-0.3357089005888599</v>
      </c>
      <c r="Z910" s="7" t="n">
        <v>83495.01560162172</v>
      </c>
      <c r="AA910" s="7" t="n">
        <v>-83495.01560162172</v>
      </c>
      <c r="AB910" s="7" t="n">
        <v>2532348.512954501</v>
      </c>
      <c r="AC910" s="7" t="n">
        <v>6299080.390293306</v>
      </c>
      <c r="AD910" s="7" t="n">
        <v>-3766731.877338805</v>
      </c>
      <c r="AE910" s="6" t="n">
        <v>-0.5979812359821961</v>
      </c>
    </row>
    <row r="911">
      <c r="A911" s="2" t="n">
        <v>902</v>
      </c>
      <c r="B911" s="2" t="inlineStr">
        <is>
          <t>KPROP-00902</t>
        </is>
      </c>
      <c r="C911" s="3" t="n">
        <v>46175</v>
      </c>
      <c r="D911" s="2" t="inlineStr">
        <is>
          <t>Jack Flaherty</t>
        </is>
      </c>
      <c r="E911" s="2" t="inlineStr">
        <is>
          <t>Loss</t>
        </is>
      </c>
      <c r="F911" s="2" t="n">
        <v>-1</v>
      </c>
      <c r="G911" s="6" t="n">
        <v>0.1540435796703127</v>
      </c>
      <c r="H911" s="7" t="n">
        <v>100</v>
      </c>
      <c r="I911" s="7" t="n">
        <v>-100</v>
      </c>
      <c r="J911" s="7" t="n">
        <v>19302.69076235666</v>
      </c>
      <c r="K911" s="7" t="n">
        <v>20151.78546570523</v>
      </c>
      <c r="L911" s="7" t="n">
        <v>-849.0947033485681</v>
      </c>
      <c r="M911" s="6" t="n">
        <v>-0.04213496143027014</v>
      </c>
      <c r="N911" s="7" t="n">
        <v>244.9433550997588</v>
      </c>
      <c r="O911" s="7" t="n">
        <v>-244.9433550997588</v>
      </c>
      <c r="P911" s="7" t="n">
        <v>24249.39215487612</v>
      </c>
      <c r="Q911" s="7" t="n">
        <v>26447.63959284364</v>
      </c>
      <c r="R911" s="7" t="n">
        <v>-2198.247437967519</v>
      </c>
      <c r="S911" s="6" t="n">
        <v>-0.08311696135493066</v>
      </c>
      <c r="T911" s="7" t="n">
        <v>18169.90393110845</v>
      </c>
      <c r="U911" s="7" t="n">
        <v>-18169.90393110845</v>
      </c>
      <c r="V911" s="7" t="n">
        <v>453642.137050958</v>
      </c>
      <c r="W911" s="7" t="n">
        <v>710248.9276166783</v>
      </c>
      <c r="X911" s="7" t="n">
        <v>-256606.7905657203</v>
      </c>
      <c r="Y911" s="6" t="n">
        <v>-0.3612913453129649</v>
      </c>
      <c r="Z911" s="7" t="n">
        <v>195046.0149541523</v>
      </c>
      <c r="AA911" s="7" t="n">
        <v>-195046.0149541523</v>
      </c>
      <c r="AB911" s="7" t="n">
        <v>2337302.498000348</v>
      </c>
      <c r="AC911" s="7" t="n">
        <v>6299080.390293306</v>
      </c>
      <c r="AD911" s="7" t="n">
        <v>-3961777.892292958</v>
      </c>
      <c r="AE911" s="6" t="n">
        <v>-0.6289454407341648</v>
      </c>
    </row>
    <row r="912">
      <c r="A912" s="2" t="n">
        <v>903</v>
      </c>
      <c r="B912" s="2" t="inlineStr">
        <is>
          <t>KPROP-00903</t>
        </is>
      </c>
      <c r="C912" s="3" t="n">
        <v>46175</v>
      </c>
      <c r="D912" s="2" t="inlineStr">
        <is>
          <t>Kyle Harrison</t>
        </is>
      </c>
      <c r="E912" s="2" t="inlineStr">
        <is>
          <t>Loss</t>
        </is>
      </c>
      <c r="F912" s="2" t="n">
        <v>-1</v>
      </c>
      <c r="G912" s="6" t="n">
        <v>0.2389401982148292</v>
      </c>
      <c r="H912" s="7" t="n">
        <v>100</v>
      </c>
      <c r="I912" s="7" t="n">
        <v>-100</v>
      </c>
      <c r="J912" s="7" t="n">
        <v>19202.69076235666</v>
      </c>
      <c r="K912" s="7" t="n">
        <v>20151.78546570523</v>
      </c>
      <c r="L912" s="7" t="n">
        <v>-949.0947033485681</v>
      </c>
      <c r="M912" s="6" t="n">
        <v>-0.04709730088005152</v>
      </c>
      <c r="N912" s="7" t="n">
        <v>242.4939215487612</v>
      </c>
      <c r="O912" s="7" t="n">
        <v>-242.4939215487612</v>
      </c>
      <c r="P912" s="7" t="n">
        <v>24006.89823332736</v>
      </c>
      <c r="Q912" s="7" t="n">
        <v>26447.63959284364</v>
      </c>
      <c r="R912" s="7" t="n">
        <v>-2440.74135951628</v>
      </c>
      <c r="S912" s="6" t="n">
        <v>-0.09228579174138134</v>
      </c>
      <c r="T912" s="7" t="n">
        <v>27098.33553638865</v>
      </c>
      <c r="U912" s="7" t="n">
        <v>-27098.33553638865</v>
      </c>
      <c r="V912" s="7" t="n">
        <v>426543.8015145693</v>
      </c>
      <c r="W912" s="7" t="n">
        <v>710248.9276166783</v>
      </c>
      <c r="X912" s="7" t="n">
        <v>-283705.126102109</v>
      </c>
      <c r="Y912" s="6" t="n">
        <v>-0.3994446384510766</v>
      </c>
      <c r="Z912" s="7" t="n">
        <v>279237.7610801093</v>
      </c>
      <c r="AA912" s="7" t="n">
        <v>-279237.7610801093</v>
      </c>
      <c r="AB912" s="7" t="n">
        <v>2058064.736920239</v>
      </c>
      <c r="AC912" s="7" t="n">
        <v>6299080.390293306</v>
      </c>
      <c r="AD912" s="7" t="n">
        <v>-4241015.653373067</v>
      </c>
      <c r="AE912" s="6" t="n">
        <v>-0.6732753657039122</v>
      </c>
    </row>
    <row r="913">
      <c r="A913" s="2" t="n">
        <v>904</v>
      </c>
      <c r="B913" s="2" t="inlineStr">
        <is>
          <t>KPROP-00904</t>
        </is>
      </c>
      <c r="C913" s="3" t="n">
        <v>46175</v>
      </c>
      <c r="D913" s="2" t="inlineStr">
        <is>
          <t>Nathan Eovaldi</t>
        </is>
      </c>
      <c r="E913" s="2" t="inlineStr">
        <is>
          <t>Loss</t>
        </is>
      </c>
      <c r="F913" s="2" t="n">
        <v>-1</v>
      </c>
      <c r="G913" s="6" t="n">
        <v>0.09619334733358875</v>
      </c>
      <c r="H913" s="7" t="n">
        <v>100</v>
      </c>
      <c r="I913" s="7" t="n">
        <v>-100</v>
      </c>
      <c r="J913" s="7" t="n">
        <v>19102.69076235666</v>
      </c>
      <c r="K913" s="7" t="n">
        <v>20151.78546570523</v>
      </c>
      <c r="L913" s="7" t="n">
        <v>-1049.094703348568</v>
      </c>
      <c r="M913" s="6" t="n">
        <v>-0.05205964032983289</v>
      </c>
      <c r="N913" s="7" t="n">
        <v>240.0689823332736</v>
      </c>
      <c r="O913" s="7" t="n">
        <v>-240.0689823332736</v>
      </c>
      <c r="P913" s="7" t="n">
        <v>23766.82925099409</v>
      </c>
      <c r="Q913" s="7" t="n">
        <v>26447.63959284364</v>
      </c>
      <c r="R913" s="7" t="n">
        <v>-2680.810341849552</v>
      </c>
      <c r="S913" s="6" t="n">
        <v>-0.1013629338239675</v>
      </c>
      <c r="T913" s="7" t="n">
        <v>10257.66901302008</v>
      </c>
      <c r="U913" s="7" t="n">
        <v>-10257.66901302008</v>
      </c>
      <c r="V913" s="7" t="n">
        <v>416286.1325015493</v>
      </c>
      <c r="W913" s="7" t="n">
        <v>710248.9276166783</v>
      </c>
      <c r="X913" s="7" t="n">
        <v>-293962.795115129</v>
      </c>
      <c r="Y913" s="6" t="n">
        <v>-0.4138869960727078</v>
      </c>
      <c r="Z913" s="7" t="n">
        <v>98986.06803678974</v>
      </c>
      <c r="AA913" s="7" t="n">
        <v>-98986.06803678974</v>
      </c>
      <c r="AB913" s="7" t="n">
        <v>1959078.668883449</v>
      </c>
      <c r="AC913" s="7" t="n">
        <v>6299080.390293306</v>
      </c>
      <c r="AD913" s="7" t="n">
        <v>-4340001.721409857</v>
      </c>
      <c r="AE913" s="6" t="n">
        <v>-0.6889897338185539</v>
      </c>
    </row>
    <row r="914">
      <c r="A914" s="2" t="n">
        <v>905</v>
      </c>
      <c r="B914" s="2" t="inlineStr">
        <is>
          <t>KPROP-00905</t>
        </is>
      </c>
      <c r="C914" s="3" t="n">
        <v>46176</v>
      </c>
      <c r="D914" s="2" t="inlineStr">
        <is>
          <t>Chase Burns</t>
        </is>
      </c>
      <c r="E914" s="2" t="inlineStr">
        <is>
          <t>Loss</t>
        </is>
      </c>
      <c r="F914" s="2" t="n">
        <v>-1</v>
      </c>
      <c r="G914" s="6" t="n">
        <v>0.4118132691070825</v>
      </c>
      <c r="H914" s="7" t="n">
        <v>100</v>
      </c>
      <c r="I914" s="7" t="n">
        <v>-100</v>
      </c>
      <c r="J914" s="7" t="n">
        <v>19002.69076235666</v>
      </c>
      <c r="K914" s="7" t="n">
        <v>20151.78546570523</v>
      </c>
      <c r="L914" s="7" t="n">
        <v>-1149.094703348568</v>
      </c>
      <c r="M914" s="6" t="n">
        <v>-0.05702197977961427</v>
      </c>
      <c r="N914" s="7" t="n">
        <v>237.6682925099409</v>
      </c>
      <c r="O914" s="7" t="n">
        <v>-237.6682925099409</v>
      </c>
      <c r="P914" s="7" t="n">
        <v>23529.16095848415</v>
      </c>
      <c r="Q914" s="7" t="n">
        <v>26447.63959284364</v>
      </c>
      <c r="R914" s="7" t="n">
        <v>-2918.478634359493</v>
      </c>
      <c r="S914" s="6" t="n">
        <v>-0.1103493044857278</v>
      </c>
      <c r="T914" s="7" t="n">
        <v>42858.03827735178</v>
      </c>
      <c r="U914" s="7" t="n">
        <v>-42858.03827735178</v>
      </c>
      <c r="V914" s="7" t="n">
        <v>373428.0942241975</v>
      </c>
      <c r="W914" s="7" t="n">
        <v>710248.9276166783</v>
      </c>
      <c r="X914" s="7" t="n">
        <v>-336820.8333924808</v>
      </c>
      <c r="Y914" s="6" t="n">
        <v>-0.4742292741260754</v>
      </c>
      <c r="Z914" s="7" t="n">
        <v>403387.2955354224</v>
      </c>
      <c r="AA914" s="7" t="n">
        <v>-403387.2955354224</v>
      </c>
      <c r="AB914" s="7" t="n">
        <v>1555691.373348027</v>
      </c>
      <c r="AC914" s="7" t="n">
        <v>6299080.390293306</v>
      </c>
      <c r="AD914" s="7" t="n">
        <v>-4743389.016945279</v>
      </c>
      <c r="AE914" s="6" t="n">
        <v>-0.7530288110395764</v>
      </c>
    </row>
    <row r="915">
      <c r="A915" s="2" t="n">
        <v>906</v>
      </c>
      <c r="B915" s="2" t="inlineStr">
        <is>
          <t>KPROP-00906</t>
        </is>
      </c>
      <c r="C915" s="3" t="n">
        <v>46176</v>
      </c>
      <c r="D915" s="2" t="inlineStr">
        <is>
          <t>Freddy Peralta</t>
        </is>
      </c>
      <c r="E915" s="2" t="inlineStr">
        <is>
          <t>Loss</t>
        </is>
      </c>
      <c r="F915" s="2" t="n">
        <v>-1</v>
      </c>
      <c r="G915" s="6" t="n">
        <v>0.1593103653767643</v>
      </c>
      <c r="H915" s="7" t="n">
        <v>100</v>
      </c>
      <c r="I915" s="7" t="n">
        <v>-100</v>
      </c>
      <c r="J915" s="7" t="n">
        <v>18902.69076235666</v>
      </c>
      <c r="K915" s="7" t="n">
        <v>20151.78546570523</v>
      </c>
      <c r="L915" s="7" t="n">
        <v>-1249.094703348568</v>
      </c>
      <c r="M915" s="6" t="n">
        <v>-0.06198431922939564</v>
      </c>
      <c r="N915" s="7" t="n">
        <v>235.2916095848415</v>
      </c>
      <c r="O915" s="7" t="n">
        <v>-235.2916095848415</v>
      </c>
      <c r="P915" s="7" t="n">
        <v>23293.8693488993</v>
      </c>
      <c r="Q915" s="7" t="n">
        <v>26447.63959284364</v>
      </c>
      <c r="R915" s="7" t="n">
        <v>-3153.770243944335</v>
      </c>
      <c r="S915" s="6" t="n">
        <v>-0.1192458114408705</v>
      </c>
      <c r="T915" s="7" t="n">
        <v>14872.74153320142</v>
      </c>
      <c r="U915" s="7" t="n">
        <v>-14872.74153320142</v>
      </c>
      <c r="V915" s="7" t="n">
        <v>358555.3526909961</v>
      </c>
      <c r="W915" s="7" t="n">
        <v>710248.9276166783</v>
      </c>
      <c r="X915" s="7" t="n">
        <v>-351693.5749256822</v>
      </c>
      <c r="Y915" s="6" t="n">
        <v>-0.4951694557369208</v>
      </c>
      <c r="Z915" s="7" t="n">
        <v>123918.8805507772</v>
      </c>
      <c r="AA915" s="7" t="n">
        <v>-123918.8805507772</v>
      </c>
      <c r="AB915" s="7" t="n">
        <v>1431772.492797249</v>
      </c>
      <c r="AC915" s="7" t="n">
        <v>6299080.390293306</v>
      </c>
      <c r="AD915" s="7" t="n">
        <v>-4867307.897496056</v>
      </c>
      <c r="AE915" s="6" t="n">
        <v>-0.7727013462149859</v>
      </c>
    </row>
    <row r="916">
      <c r="A916" s="2" t="n">
        <v>907</v>
      </c>
      <c r="B916" s="2" t="inlineStr">
        <is>
          <t>KPROP-00907</t>
        </is>
      </c>
      <c r="C916" s="3" t="n">
        <v>46176</v>
      </c>
      <c r="D916" s="2" t="inlineStr">
        <is>
          <t>Freddy Peralta</t>
        </is>
      </c>
      <c r="E916" s="2" t="inlineStr">
        <is>
          <t>Win</t>
        </is>
      </c>
      <c r="F916" s="2" t="n">
        <v>0.6289308176100628</v>
      </c>
      <c r="G916" s="6" t="n">
        <v>0.2163685949187444</v>
      </c>
      <c r="H916" s="7" t="n">
        <v>100</v>
      </c>
      <c r="I916" s="7" t="n">
        <v>62.89308176100627</v>
      </c>
      <c r="J916" s="7" t="n">
        <v>18965.58384411766</v>
      </c>
      <c r="K916" s="7" t="n">
        <v>20151.78546570523</v>
      </c>
      <c r="L916" s="7" t="n">
        <v>-1186.201621587563</v>
      </c>
      <c r="M916" s="6" t="n">
        <v>-0.05886335102198603</v>
      </c>
      <c r="N916" s="7" t="n">
        <v>232.9386934889931</v>
      </c>
      <c r="O916" s="7" t="n">
        <v>146.5023229490522</v>
      </c>
      <c r="P916" s="7" t="n">
        <v>23440.37167184836</v>
      </c>
      <c r="Q916" s="7" t="n">
        <v>26447.63959284364</v>
      </c>
      <c r="R916" s="7" t="n">
        <v>-3007.267920995284</v>
      </c>
      <c r="S916" s="6" t="n">
        <v>-0.1137064769216308</v>
      </c>
      <c r="T916" s="7" t="n">
        <v>19395.02946558641</v>
      </c>
      <c r="U916" s="7" t="n">
        <v>12198.13173936252</v>
      </c>
      <c r="V916" s="7" t="n">
        <v>370753.4844303586</v>
      </c>
      <c r="W916" s="7" t="n">
        <v>710248.9276166783</v>
      </c>
      <c r="X916" s="7" t="n">
        <v>-339495.4431863197</v>
      </c>
      <c r="Y916" s="6" t="n">
        <v>-0.4779950098981994</v>
      </c>
      <c r="Z916" s="7" t="n">
        <v>154895.3012549245</v>
      </c>
      <c r="AA916" s="7" t="n">
        <v>97418.42846221663</v>
      </c>
      <c r="AB916" s="7" t="n">
        <v>1529190.921259466</v>
      </c>
      <c r="AC916" s="7" t="n">
        <v>6299080.390293306</v>
      </c>
      <c r="AD916" s="7" t="n">
        <v>-4769889.469033839</v>
      </c>
      <c r="AE916" s="6" t="n">
        <v>-0.7572358461060595</v>
      </c>
    </row>
    <row r="917">
      <c r="A917" s="2" t="n">
        <v>908</v>
      </c>
      <c r="B917" s="2" t="inlineStr">
        <is>
          <t>KPROP-00908</t>
        </is>
      </c>
      <c r="C917" s="3" t="n">
        <v>46176</v>
      </c>
      <c r="D917" s="2" t="inlineStr">
        <is>
          <t>Gavin Williams</t>
        </is>
      </c>
      <c r="E917" s="2" t="inlineStr">
        <is>
          <t>Win</t>
        </is>
      </c>
      <c r="F917" s="2" t="n">
        <v>0.925925925925926</v>
      </c>
      <c r="G917" s="6" t="n">
        <v>0.1269986599540676</v>
      </c>
      <c r="H917" s="7" t="n">
        <v>100</v>
      </c>
      <c r="I917" s="7" t="n">
        <v>92.59259259259261</v>
      </c>
      <c r="J917" s="7" t="n">
        <v>19058.17643671026</v>
      </c>
      <c r="K917" s="7" t="n">
        <v>20151.78546570523</v>
      </c>
      <c r="L917" s="7" t="n">
        <v>-1093.609028994972</v>
      </c>
      <c r="M917" s="6" t="n">
        <v>-0.05426859227218852</v>
      </c>
      <c r="N917" s="7" t="n">
        <v>234.4037167184836</v>
      </c>
      <c r="O917" s="7" t="n">
        <v>217.0404784430404</v>
      </c>
      <c r="P917" s="7" t="n">
        <v>23657.41215029139</v>
      </c>
      <c r="Q917" s="7" t="n">
        <v>26447.63959284364</v>
      </c>
      <c r="R917" s="7" t="n">
        <v>-2790.227442552245</v>
      </c>
      <c r="S917" s="6" t="n">
        <v>-0.1055000554116459</v>
      </c>
      <c r="T917" s="7" t="n">
        <v>11771.29892398921</v>
      </c>
      <c r="U917" s="7" t="n">
        <v>10899.35085554556</v>
      </c>
      <c r="V917" s="7" t="n">
        <v>381652.8352859042</v>
      </c>
      <c r="W917" s="7" t="n">
        <v>710248.9276166783</v>
      </c>
      <c r="X917" s="7" t="n">
        <v>-328596.0923307741</v>
      </c>
      <c r="Y917" s="6" t="n">
        <v>-0.4626491917888788</v>
      </c>
      <c r="Z917" s="7" t="n">
        <v>97102.59890693918</v>
      </c>
      <c r="AA917" s="7" t="n">
        <v>89909.81380272147</v>
      </c>
      <c r="AB917" s="7" t="n">
        <v>1619100.735062188</v>
      </c>
      <c r="AC917" s="7" t="n">
        <v>6299080.390293306</v>
      </c>
      <c r="AD917" s="7" t="n">
        <v>-4679979.655231118</v>
      </c>
      <c r="AE917" s="6" t="n">
        <v>-0.7429623635924423</v>
      </c>
    </row>
    <row r="918">
      <c r="A918" s="2" t="n">
        <v>909</v>
      </c>
      <c r="B918" s="2" t="inlineStr">
        <is>
          <t>KPROP-00909</t>
        </is>
      </c>
      <c r="C918" s="3" t="n">
        <v>46176</v>
      </c>
      <c r="D918" s="2" t="inlineStr">
        <is>
          <t>George Kirby</t>
        </is>
      </c>
      <c r="E918" s="2" t="inlineStr">
        <is>
          <t>Win</t>
        </is>
      </c>
      <c r="F918" s="2" t="n">
        <v>0.9523809523809523</v>
      </c>
      <c r="G918" s="6" t="n">
        <v>0.1250859443837054</v>
      </c>
      <c r="H918" s="7" t="n">
        <v>100</v>
      </c>
      <c r="I918" s="7" t="n">
        <v>95.23809523809523</v>
      </c>
      <c r="J918" s="7" t="n">
        <v>19153.41453194835</v>
      </c>
      <c r="K918" s="7" t="n">
        <v>20151.78546570523</v>
      </c>
      <c r="L918" s="7" t="n">
        <v>-998.3709337568762</v>
      </c>
      <c r="M918" s="6" t="n">
        <v>-0.04954255470096815</v>
      </c>
      <c r="N918" s="7" t="n">
        <v>236.574121502914</v>
      </c>
      <c r="O918" s="7" t="n">
        <v>225.3086871456323</v>
      </c>
      <c r="P918" s="7" t="n">
        <v>23882.72083743703</v>
      </c>
      <c r="Q918" s="7" t="n">
        <v>26447.63959284364</v>
      </c>
      <c r="R918" s="7" t="n">
        <v>-2564.918755406612</v>
      </c>
      <c r="S918" s="6" t="n">
        <v>-0.09698100832032826</v>
      </c>
      <c r="T918" s="7" t="n">
        <v>11934.85133211402</v>
      </c>
      <c r="U918" s="7" t="n">
        <v>11366.52507820383</v>
      </c>
      <c r="V918" s="7" t="n">
        <v>393019.360364108</v>
      </c>
      <c r="W918" s="7" t="n">
        <v>710248.9276166783</v>
      </c>
      <c r="X918" s="7" t="n">
        <v>-317229.5672525703</v>
      </c>
      <c r="Y918" s="6" t="n">
        <v>-0.4466456124292514</v>
      </c>
      <c r="Z918" s="7" t="n">
        <v>101263.3722488026</v>
      </c>
      <c r="AA918" s="7" t="n">
        <v>96441.30690362156</v>
      </c>
      <c r="AB918" s="7" t="n">
        <v>1715542.041965809</v>
      </c>
      <c r="AC918" s="7" t="n">
        <v>6299080.390293306</v>
      </c>
      <c r="AD918" s="7" t="n">
        <v>-4583538.348327497</v>
      </c>
      <c r="AE918" s="6" t="n">
        <v>-0.7276519847866353</v>
      </c>
    </row>
    <row r="919">
      <c r="A919" s="2" t="n">
        <v>910</v>
      </c>
      <c r="B919" s="2" t="inlineStr">
        <is>
          <t>KPROP-00910</t>
        </is>
      </c>
      <c r="C919" s="3" t="n">
        <v>46176</v>
      </c>
      <c r="D919" s="2" t="inlineStr">
        <is>
          <t>Gerrit Cole</t>
        </is>
      </c>
      <c r="E919" s="2" t="inlineStr">
        <is>
          <t>Win</t>
        </is>
      </c>
      <c r="F919" s="2" t="n">
        <v>0.8695652173913042</v>
      </c>
      <c r="G919" s="6" t="n">
        <v>0.2538877318402833</v>
      </c>
      <c r="H919" s="7" t="n">
        <v>100</v>
      </c>
      <c r="I919" s="7" t="n">
        <v>86.95652173913042</v>
      </c>
      <c r="J919" s="7" t="n">
        <v>19240.37105368748</v>
      </c>
      <c r="K919" s="7" t="n">
        <v>20151.78546570523</v>
      </c>
      <c r="L919" s="7" t="n">
        <v>-911.4144120177443</v>
      </c>
      <c r="M919" s="6" t="n">
        <v>-0.0452274769185495</v>
      </c>
      <c r="N919" s="7" t="n">
        <v>238.8272083743703</v>
      </c>
      <c r="O919" s="7" t="n">
        <v>207.6758333690176</v>
      </c>
      <c r="P919" s="7" t="n">
        <v>24090.39667080604</v>
      </c>
      <c r="Q919" s="7" t="n">
        <v>26447.63959284364</v>
      </c>
      <c r="R919" s="7" t="n">
        <v>-2357.242922037596</v>
      </c>
      <c r="S919" s="6" t="n">
        <v>-0.08912866926224422</v>
      </c>
      <c r="T919" s="7" t="n">
        <v>24945.69849304058</v>
      </c>
      <c r="U919" s="7" t="n">
        <v>21691.91173307876</v>
      </c>
      <c r="V919" s="7" t="n">
        <v>414711.2720971868</v>
      </c>
      <c r="W919" s="7" t="n">
        <v>710248.9276166783</v>
      </c>
      <c r="X919" s="7" t="n">
        <v>-295537.6555194915</v>
      </c>
      <c r="Y919" s="6" t="n">
        <v>-0.4161043319152934</v>
      </c>
      <c r="Z919" s="7" t="n">
        <v>217777.5389556737</v>
      </c>
      <c r="AA919" s="7" t="n">
        <v>189371.7730049336</v>
      </c>
      <c r="AB919" s="7" t="n">
        <v>1904913.814970743</v>
      </c>
      <c r="AC919" s="7" t="n">
        <v>6299080.390293306</v>
      </c>
      <c r="AD919" s="7" t="n">
        <v>-4394166.575322563</v>
      </c>
      <c r="AE919" s="6" t="n">
        <v>-0.6975885848502333</v>
      </c>
    </row>
    <row r="920">
      <c r="A920" s="2" t="n">
        <v>911</v>
      </c>
      <c r="B920" s="2" t="inlineStr">
        <is>
          <t>KPROP-00911</t>
        </is>
      </c>
      <c r="C920" s="3" t="n">
        <v>46176</v>
      </c>
      <c r="D920" s="2" t="inlineStr">
        <is>
          <t>Logan Webb</t>
        </is>
      </c>
      <c r="E920" s="2" t="inlineStr">
        <is>
          <t>Win</t>
        </is>
      </c>
      <c r="F920" s="2" t="n">
        <v>0.8</v>
      </c>
      <c r="G920" s="6" t="n">
        <v>0.09322140534743423</v>
      </c>
      <c r="H920" s="7" t="n">
        <v>100</v>
      </c>
      <c r="I920" s="7" t="n">
        <v>80</v>
      </c>
      <c r="J920" s="7" t="n">
        <v>19320.37105368748</v>
      </c>
      <c r="K920" s="7" t="n">
        <v>20151.78546570523</v>
      </c>
      <c r="L920" s="7" t="n">
        <v>-831.4144120177443</v>
      </c>
      <c r="M920" s="6" t="n">
        <v>-0.04125760535872439</v>
      </c>
      <c r="N920" s="7" t="n">
        <v>240.9039667080604</v>
      </c>
      <c r="O920" s="7" t="n">
        <v>192.7231733664483</v>
      </c>
      <c r="P920" s="7" t="n">
        <v>24283.11984417249</v>
      </c>
      <c r="Q920" s="7" t="n">
        <v>26447.63959284364</v>
      </c>
      <c r="R920" s="7" t="n">
        <v>-2164.519748671148</v>
      </c>
      <c r="S920" s="6" t="n">
        <v>-0.08184169861634218</v>
      </c>
      <c r="T920" s="7" t="n">
        <v>9664.991899580484</v>
      </c>
      <c r="U920" s="7" t="n">
        <v>7731.993519664387</v>
      </c>
      <c r="V920" s="7" t="n">
        <v>422443.2656168512</v>
      </c>
      <c r="W920" s="7" t="n">
        <v>710248.9276166783</v>
      </c>
      <c r="X920" s="7" t="n">
        <v>-287805.6619998271</v>
      </c>
      <c r="Y920" s="6" t="n">
        <v>-0.4052180169642663</v>
      </c>
      <c r="Z920" s="7" t="n">
        <v>88789.37144865748</v>
      </c>
      <c r="AA920" s="7" t="n">
        <v>71031.49715892598</v>
      </c>
      <c r="AB920" s="7" t="n">
        <v>1975945.312129669</v>
      </c>
      <c r="AC920" s="7" t="n">
        <v>6299080.390293306</v>
      </c>
      <c r="AD920" s="7" t="n">
        <v>-4323135.078163637</v>
      </c>
      <c r="AE920" s="6" t="n">
        <v>-0.6863120980048864</v>
      </c>
    </row>
    <row r="921">
      <c r="A921" s="2" t="n">
        <v>912</v>
      </c>
      <c r="B921" s="2" t="inlineStr">
        <is>
          <t>KPROP-00912</t>
        </is>
      </c>
      <c r="C921" s="3" t="n">
        <v>46176</v>
      </c>
      <c r="D921" s="2" t="inlineStr">
        <is>
          <t>Taj Bradley</t>
        </is>
      </c>
      <c r="E921" s="2" t="inlineStr">
        <is>
          <t>Win</t>
        </is>
      </c>
      <c r="F921" s="2" t="n">
        <v>1.3</v>
      </c>
      <c r="G921" s="6" t="n">
        <v>0.208750486703476</v>
      </c>
      <c r="H921" s="7" t="n">
        <v>100</v>
      </c>
      <c r="I921" s="7" t="n">
        <v>130</v>
      </c>
      <c r="J921" s="7" t="n">
        <v>19450.37105368748</v>
      </c>
      <c r="K921" s="7" t="n">
        <v>20151.78546570523</v>
      </c>
      <c r="L921" s="7" t="n">
        <v>-701.4144120177443</v>
      </c>
      <c r="M921" s="6" t="n">
        <v>-0.0348065640740086</v>
      </c>
      <c r="N921" s="7" t="n">
        <v>242.8311984417249</v>
      </c>
      <c r="O921" s="7" t="n">
        <v>315.6805579742423</v>
      </c>
      <c r="P921" s="7" t="n">
        <v>24598.80040214673</v>
      </c>
      <c r="Q921" s="7" t="n">
        <v>26447.63959284364</v>
      </c>
      <c r="R921" s="7" t="n">
        <v>-1848.839190696905</v>
      </c>
      <c r="S921" s="6" t="n">
        <v>-0.06990564069835459</v>
      </c>
      <c r="T921" s="7" t="n">
        <v>22046.30932553086</v>
      </c>
      <c r="U921" s="7" t="n">
        <v>28660.20212319012</v>
      </c>
      <c r="V921" s="7" t="n">
        <v>451103.4677400413</v>
      </c>
      <c r="W921" s="7" t="n">
        <v>710248.9276166783</v>
      </c>
      <c r="X921" s="7" t="n">
        <v>-259145.459876637</v>
      </c>
      <c r="Y921" s="6" t="n">
        <v>-0.3648656827208868</v>
      </c>
      <c r="Z921" s="7" t="n">
        <v>206239.77280326</v>
      </c>
      <c r="AA921" s="7" t="n">
        <v>268111.704644238</v>
      </c>
      <c r="AB921" s="7" t="n">
        <v>2244057.016773907</v>
      </c>
      <c r="AC921" s="7" t="n">
        <v>6299080.390293306</v>
      </c>
      <c r="AD921" s="7" t="n">
        <v>-4055023.373519399</v>
      </c>
      <c r="AE921" s="6" t="n">
        <v>-0.6437484715654793</v>
      </c>
    </row>
    <row r="922">
      <c r="A922" s="2" t="n">
        <v>913</v>
      </c>
      <c r="B922" s="2" t="inlineStr">
        <is>
          <t>KPROP-00913</t>
        </is>
      </c>
      <c r="C922" s="3" t="n">
        <v>46176</v>
      </c>
      <c r="D922" s="2" t="inlineStr">
        <is>
          <t>Taj Bradley</t>
        </is>
      </c>
      <c r="E922" s="2" t="inlineStr">
        <is>
          <t>Win</t>
        </is>
      </c>
      <c r="F922" s="2" t="n">
        <v>0.6369426751592355</v>
      </c>
      <c r="G922" s="6" t="n">
        <v>0.2485987777307183</v>
      </c>
      <c r="H922" s="7" t="n">
        <v>100</v>
      </c>
      <c r="I922" s="7" t="n">
        <v>63.69426751592356</v>
      </c>
      <c r="J922" s="7" t="n">
        <v>19514.0653212034</v>
      </c>
      <c r="K922" s="7" t="n">
        <v>20151.78546570523</v>
      </c>
      <c r="L922" s="7" t="n">
        <v>-637.7201445018218</v>
      </c>
      <c r="M922" s="6" t="n">
        <v>-0.0316458383098167</v>
      </c>
      <c r="N922" s="7" t="n">
        <v>245.9880040214674</v>
      </c>
      <c r="O922" s="7" t="n">
        <v>156.6802573385142</v>
      </c>
      <c r="P922" s="7" t="n">
        <v>24755.48065948525</v>
      </c>
      <c r="Q922" s="7" t="n">
        <v>26447.63959284364</v>
      </c>
      <c r="R922" s="7" t="n">
        <v>-1692.158933358391</v>
      </c>
      <c r="S922" s="6" t="n">
        <v>-0.06398147280471354</v>
      </c>
      <c r="T922" s="7" t="n">
        <v>28035.94267756569</v>
      </c>
      <c r="U922" s="7" t="n">
        <v>17857.28832965967</v>
      </c>
      <c r="V922" s="7" t="n">
        <v>468960.7560697009</v>
      </c>
      <c r="W922" s="7" t="n">
        <v>710248.9276166783</v>
      </c>
      <c r="X922" s="7" t="n">
        <v>-241288.1715469774</v>
      </c>
      <c r="Y922" s="6" t="n">
        <v>-0.3397233873434311</v>
      </c>
      <c r="Z922" s="7" t="n">
        <v>278934.9157640176</v>
      </c>
      <c r="AA922" s="7" t="n">
        <v>177665.5514420494</v>
      </c>
      <c r="AB922" s="7" t="n">
        <v>2421722.568215956</v>
      </c>
      <c r="AC922" s="7" t="n">
        <v>6299080.390293306</v>
      </c>
      <c r="AD922" s="7" t="n">
        <v>-3877357.822077349</v>
      </c>
      <c r="AE922" s="6" t="n">
        <v>-0.6155434733063959</v>
      </c>
    </row>
    <row r="923">
      <c r="A923" s="2" t="n">
        <v>914</v>
      </c>
      <c r="B923" s="2" t="inlineStr">
        <is>
          <t>KPROP-00914</t>
        </is>
      </c>
      <c r="C923" s="3" t="n">
        <v>46177</v>
      </c>
      <c r="D923" s="2" t="inlineStr">
        <is>
          <t>Carlos Rodón</t>
        </is>
      </c>
      <c r="E923" s="2" t="inlineStr">
        <is>
          <t>Loss</t>
        </is>
      </c>
      <c r="F923" s="2" t="n">
        <v>-1</v>
      </c>
      <c r="G923" s="6" t="n">
        <v>0.226599784895899</v>
      </c>
      <c r="H923" s="7" t="n">
        <v>100</v>
      </c>
      <c r="I923" s="7" t="n">
        <v>-100</v>
      </c>
      <c r="J923" s="7" t="n">
        <v>19414.0653212034</v>
      </c>
      <c r="K923" s="7" t="n">
        <v>20151.78546570523</v>
      </c>
      <c r="L923" s="7" t="n">
        <v>-737.7201445018218</v>
      </c>
      <c r="M923" s="6" t="n">
        <v>-0.03660817775959807</v>
      </c>
      <c r="N923" s="7" t="n">
        <v>247.5548065948525</v>
      </c>
      <c r="O923" s="7" t="n">
        <v>-247.5548065948525</v>
      </c>
      <c r="P923" s="7" t="n">
        <v>24507.9258528904</v>
      </c>
      <c r="Q923" s="7" t="n">
        <v>26447.63959284364</v>
      </c>
      <c r="R923" s="7" t="n">
        <v>-1939.713739953244</v>
      </c>
      <c r="S923" s="6" t="n">
        <v>-0.07334165807666644</v>
      </c>
      <c r="T923" s="7" t="n">
        <v>26566.60161250309</v>
      </c>
      <c r="U923" s="7" t="n">
        <v>-26566.60161250309</v>
      </c>
      <c r="V923" s="7" t="n">
        <v>442394.1544571978</v>
      </c>
      <c r="W923" s="7" t="n">
        <v>710248.9276166783</v>
      </c>
      <c r="X923" s="7" t="n">
        <v>-267854.7731594805</v>
      </c>
      <c r="Y923" s="6" t="n">
        <v>-0.377128021943374</v>
      </c>
      <c r="Z923" s="7" t="n">
        <v>274380.9065176399</v>
      </c>
      <c r="AA923" s="7" t="n">
        <v>-274380.9065176399</v>
      </c>
      <c r="AB923" s="7" t="n">
        <v>2147341.661698317</v>
      </c>
      <c r="AC923" s="7" t="n">
        <v>6299080.390293306</v>
      </c>
      <c r="AD923" s="7" t="n">
        <v>-4151738.728594989</v>
      </c>
      <c r="AE923" s="6" t="n">
        <v>-0.6591023564316935</v>
      </c>
    </row>
    <row r="924">
      <c r="A924" s="2" t="n">
        <v>915</v>
      </c>
      <c r="B924" s="2" t="inlineStr">
        <is>
          <t>KPROP-00915</t>
        </is>
      </c>
      <c r="C924" s="3" t="n">
        <v>46177</v>
      </c>
      <c r="D924" s="2" t="inlineStr">
        <is>
          <t>Chris Sale</t>
        </is>
      </c>
      <c r="E924" s="2" t="inlineStr">
        <is>
          <t>Win</t>
        </is>
      </c>
      <c r="F924" s="2" t="n">
        <v>0.6993006993006992</v>
      </c>
      <c r="G924" s="6" t="n">
        <v>0.6601166362017338</v>
      </c>
      <c r="H924" s="7" t="n">
        <v>100</v>
      </c>
      <c r="I924" s="7" t="n">
        <v>69.93006993006992</v>
      </c>
      <c r="J924" s="7" t="n">
        <v>19483.99539113347</v>
      </c>
      <c r="K924" s="7" t="n">
        <v>20151.78546570523</v>
      </c>
      <c r="L924" s="7" t="n">
        <v>-667.7900745717525</v>
      </c>
      <c r="M924" s="6" t="n">
        <v>-0.03313801031219854</v>
      </c>
      <c r="N924" s="7" t="n">
        <v>245.0792585289039</v>
      </c>
      <c r="O924" s="7" t="n">
        <v>171.3840968733594</v>
      </c>
      <c r="P924" s="7" t="n">
        <v>24679.30994976376</v>
      </c>
      <c r="Q924" s="7" t="n">
        <v>26447.63959284364</v>
      </c>
      <c r="R924" s="7" t="n">
        <v>-1768.329643079884</v>
      </c>
      <c r="S924" s="6" t="n">
        <v>-0.06686152981146827</v>
      </c>
      <c r="T924" s="7" t="n">
        <v>73007.93527889892</v>
      </c>
      <c r="U924" s="7" t="n">
        <v>51054.5001950342</v>
      </c>
      <c r="V924" s="7" t="n">
        <v>493448.654652232</v>
      </c>
      <c r="W924" s="7" t="n">
        <v>710248.9276166783</v>
      </c>
      <c r="X924" s="7" t="n">
        <v>-216800.2729644463</v>
      </c>
      <c r="Y924" s="6" t="n">
        <v>-0.3052454773736082</v>
      </c>
      <c r="Z924" s="7" t="n">
        <v>708747.9772480672</v>
      </c>
      <c r="AA924" s="7" t="n">
        <v>495627.9561175294</v>
      </c>
      <c r="AB924" s="7" t="n">
        <v>2642969.617815846</v>
      </c>
      <c r="AC924" s="7" t="n">
        <v>6299080.390293306</v>
      </c>
      <c r="AD924" s="7" t="n">
        <v>-3656110.77247746</v>
      </c>
      <c r="AE924" s="6" t="n">
        <v>-0.5804197670046277</v>
      </c>
    </row>
    <row r="925">
      <c r="A925" s="2" t="n">
        <v>916</v>
      </c>
      <c r="B925" s="2" t="inlineStr">
        <is>
          <t>KPROP-00916</t>
        </is>
      </c>
      <c r="C925" s="3" t="n">
        <v>46177</v>
      </c>
      <c r="D925" s="2" t="inlineStr">
        <is>
          <t>Zack Wheeler</t>
        </is>
      </c>
      <c r="E925" s="2" t="inlineStr">
        <is>
          <t>Loss</t>
        </is>
      </c>
      <c r="F925" s="2" t="n">
        <v>-1</v>
      </c>
      <c r="G925" s="6" t="n">
        <v>0.4412912828140976</v>
      </c>
      <c r="H925" s="7" t="n">
        <v>100</v>
      </c>
      <c r="I925" s="7" t="n">
        <v>-100</v>
      </c>
      <c r="J925" s="7" t="n">
        <v>19383.99539113347</v>
      </c>
      <c r="K925" s="7" t="n">
        <v>20151.78546570523</v>
      </c>
      <c r="L925" s="7" t="n">
        <v>-767.7900745717525</v>
      </c>
      <c r="M925" s="6" t="n">
        <v>-0.03810034976197992</v>
      </c>
      <c r="N925" s="7" t="n">
        <v>246.7930994976376</v>
      </c>
      <c r="O925" s="7" t="n">
        <v>-246.7930994976376</v>
      </c>
      <c r="P925" s="7" t="n">
        <v>24432.51685026612</v>
      </c>
      <c r="Q925" s="7" t="n">
        <v>26447.63959284364</v>
      </c>
      <c r="R925" s="7" t="n">
        <v>-2015.122742577521</v>
      </c>
      <c r="S925" s="6" t="n">
        <v>-0.0761929145133536</v>
      </c>
      <c r="T925" s="7" t="n">
        <v>54438.64745359353</v>
      </c>
      <c r="U925" s="7" t="n">
        <v>-54438.64745359353</v>
      </c>
      <c r="V925" s="7" t="n">
        <v>439010.0071986385</v>
      </c>
      <c r="W925" s="7" t="n">
        <v>710248.9276166783</v>
      </c>
      <c r="X925" s="7" t="n">
        <v>-271238.9204180398</v>
      </c>
      <c r="Y925" s="6" t="n">
        <v>-0.3818927560062823</v>
      </c>
      <c r="Z925" s="7" t="n">
        <v>583159.72654232</v>
      </c>
      <c r="AA925" s="7" t="n">
        <v>-583159.72654232</v>
      </c>
      <c r="AB925" s="7" t="n">
        <v>2059809.891273526</v>
      </c>
      <c r="AC925" s="7" t="n">
        <v>6299080.390293306</v>
      </c>
      <c r="AD925" s="7" t="n">
        <v>-4239270.499019779</v>
      </c>
      <c r="AE925" s="6" t="n">
        <v>-0.6729983166356105</v>
      </c>
    </row>
    <row r="926">
      <c r="A926" s="2" t="n">
        <v>917</v>
      </c>
      <c r="B926" s="2" t="inlineStr">
        <is>
          <t>KPROP-00917</t>
        </is>
      </c>
      <c r="C926" s="3" t="n">
        <v>46179</v>
      </c>
      <c r="D926" s="2" t="inlineStr">
        <is>
          <t>Braxton Ashcraft</t>
        </is>
      </c>
      <c r="E926" s="2" t="inlineStr">
        <is>
          <t>Win</t>
        </is>
      </c>
      <c r="F926" s="2" t="n">
        <v>1</v>
      </c>
      <c r="G926" s="6" t="n">
        <v>0.1351311854614288</v>
      </c>
      <c r="H926" s="7" t="n">
        <v>100</v>
      </c>
      <c r="I926" s="7" t="n">
        <v>100</v>
      </c>
      <c r="J926" s="7" t="n">
        <v>19483.99539113347</v>
      </c>
      <c r="K926" s="7" t="n">
        <v>20151.78546570523</v>
      </c>
      <c r="L926" s="7" t="n">
        <v>-667.7900745717525</v>
      </c>
      <c r="M926" s="6" t="n">
        <v>-0.03313801031219854</v>
      </c>
      <c r="N926" s="7" t="n">
        <v>244.3251685026612</v>
      </c>
      <c r="O926" s="7" t="n">
        <v>244.3251685026612</v>
      </c>
      <c r="P926" s="7" t="n">
        <v>24676.84201876878</v>
      </c>
      <c r="Q926" s="7" t="n">
        <v>26447.63959284364</v>
      </c>
      <c r="R926" s="7" t="n">
        <v>-1770.797574074859</v>
      </c>
      <c r="S926" s="6" t="n">
        <v>-0.06695484365848708</v>
      </c>
      <c r="T926" s="7" t="n">
        <v>14830.9856755456</v>
      </c>
      <c r="U926" s="7" t="n">
        <v>14830.9856755456</v>
      </c>
      <c r="V926" s="7" t="n">
        <v>453840.9928741841</v>
      </c>
      <c r="W926" s="7" t="n">
        <v>710248.9276166783</v>
      </c>
      <c r="X926" s="7" t="n">
        <v>-256407.9347424942</v>
      </c>
      <c r="Y926" s="6" t="n">
        <v>-0.3610113648504904</v>
      </c>
      <c r="Z926" s="7" t="n">
        <v>139172.2762164841</v>
      </c>
      <c r="AA926" s="7" t="n">
        <v>139172.2762164841</v>
      </c>
      <c r="AB926" s="7" t="n">
        <v>2198982.16749001</v>
      </c>
      <c r="AC926" s="7" t="n">
        <v>6299080.390293306</v>
      </c>
      <c r="AD926" s="7" t="n">
        <v>-4100098.222803296</v>
      </c>
      <c r="AE926" s="6" t="n">
        <v>-0.6509042540751543</v>
      </c>
    </row>
    <row r="927">
      <c r="A927" s="2" t="n">
        <v>918</v>
      </c>
      <c r="B927" s="2" t="inlineStr">
        <is>
          <t>KPROP-00918</t>
        </is>
      </c>
      <c r="C927" s="3" t="n">
        <v>46179</v>
      </c>
      <c r="D927" s="2" t="inlineStr">
        <is>
          <t>Bryce Miller</t>
        </is>
      </c>
      <c r="E927" s="2" t="inlineStr">
        <is>
          <t>Loss</t>
        </is>
      </c>
      <c r="F927" s="2" t="n">
        <v>-1</v>
      </c>
      <c r="G927" s="6" t="n">
        <v>0.1220247471232401</v>
      </c>
      <c r="H927" s="7" t="n">
        <v>100</v>
      </c>
      <c r="I927" s="7" t="n">
        <v>-100</v>
      </c>
      <c r="J927" s="7" t="n">
        <v>19383.99539113347</v>
      </c>
      <c r="K927" s="7" t="n">
        <v>20151.78546570523</v>
      </c>
      <c r="L927" s="7" t="n">
        <v>-767.7900745717525</v>
      </c>
      <c r="M927" s="6" t="n">
        <v>-0.03810034976197992</v>
      </c>
      <c r="N927" s="7" t="n">
        <v>246.7684201876878</v>
      </c>
      <c r="O927" s="7" t="n">
        <v>-246.7684201876878</v>
      </c>
      <c r="P927" s="7" t="n">
        <v>24430.07359858109</v>
      </c>
      <c r="Q927" s="7" t="n">
        <v>26447.63959284364</v>
      </c>
      <c r="R927" s="7" t="n">
        <v>-2017.565994262546</v>
      </c>
      <c r="S927" s="6" t="n">
        <v>-0.07628529522190219</v>
      </c>
      <c r="T927" s="7" t="n">
        <v>13844.95809740813</v>
      </c>
      <c r="U927" s="7" t="n">
        <v>-13844.95809740813</v>
      </c>
      <c r="V927" s="7" t="n">
        <v>439996.034776776</v>
      </c>
      <c r="W927" s="7" t="n">
        <v>710248.9276166783</v>
      </c>
      <c r="X927" s="7" t="n">
        <v>-270252.8928399023</v>
      </c>
      <c r="Y927" s="6" t="n">
        <v>-0.3805044715051762</v>
      </c>
      <c r="Z927" s="7" t="n">
        <v>134165.1214582414</v>
      </c>
      <c r="AA927" s="7" t="n">
        <v>-134165.1214582414</v>
      </c>
      <c r="AB927" s="7" t="n">
        <v>2064817.046031769</v>
      </c>
      <c r="AC927" s="7" t="n">
        <v>6299080.390293306</v>
      </c>
      <c r="AD927" s="7" t="n">
        <v>-4234263.344261537</v>
      </c>
      <c r="AE927" s="6" t="n">
        <v>-0.6722034141342934</v>
      </c>
    </row>
    <row r="928">
      <c r="A928" s="2" t="n">
        <v>919</v>
      </c>
      <c r="B928" s="2" t="inlineStr">
        <is>
          <t>KPROP-00919</t>
        </is>
      </c>
      <c r="C928" s="3" t="n">
        <v>46179</v>
      </c>
      <c r="D928" s="2" t="inlineStr">
        <is>
          <t>Jack Leiter</t>
        </is>
      </c>
      <c r="E928" s="2" t="inlineStr">
        <is>
          <t>Win</t>
        </is>
      </c>
      <c r="F928" s="2" t="n">
        <v>0.8</v>
      </c>
      <c r="G928" s="6" t="n">
        <v>0.1976973166540139</v>
      </c>
      <c r="H928" s="7" t="n">
        <v>100</v>
      </c>
      <c r="I928" s="7" t="n">
        <v>80</v>
      </c>
      <c r="J928" s="7" t="n">
        <v>19463.99539113347</v>
      </c>
      <c r="K928" s="7" t="n">
        <v>20151.78546570523</v>
      </c>
      <c r="L928" s="7" t="n">
        <v>-687.7900745717525</v>
      </c>
      <c r="M928" s="6" t="n">
        <v>-0.03413047820215482</v>
      </c>
      <c r="N928" s="7" t="n">
        <v>244.3007359858109</v>
      </c>
      <c r="O928" s="7" t="n">
        <v>195.4405887886488</v>
      </c>
      <c r="P928" s="7" t="n">
        <v>24625.51418736974</v>
      </c>
      <c r="Q928" s="7" t="n">
        <v>26447.63959284364</v>
      </c>
      <c r="R928" s="7" t="n">
        <v>-1822.125405473897</v>
      </c>
      <c r="S928" s="6" t="n">
        <v>-0.06889557758367738</v>
      </c>
      <c r="T928" s="7" t="n">
        <v>21746.50885344369</v>
      </c>
      <c r="U928" s="7" t="n">
        <v>17397.20708275496</v>
      </c>
      <c r="V928" s="7" t="n">
        <v>457393.2418595309</v>
      </c>
      <c r="W928" s="7" t="n">
        <v>710248.9276166783</v>
      </c>
      <c r="X928" s="7" t="n">
        <v>-252855.6857571474</v>
      </c>
      <c r="Y928" s="6" t="n">
        <v>-0.3560099507726588</v>
      </c>
      <c r="Z928" s="7" t="n">
        <v>204104.394690974</v>
      </c>
      <c r="AA928" s="7" t="n">
        <v>163283.5157527792</v>
      </c>
      <c r="AB928" s="7" t="n">
        <v>2228100.561784548</v>
      </c>
      <c r="AC928" s="7" t="n">
        <v>6299080.390293306</v>
      </c>
      <c r="AD928" s="7" t="n">
        <v>-4070979.828508758</v>
      </c>
      <c r="AE928" s="6" t="n">
        <v>-0.6462816119606944</v>
      </c>
    </row>
    <row r="929">
      <c r="A929" s="2" t="n">
        <v>920</v>
      </c>
      <c r="B929" s="2" t="inlineStr">
        <is>
          <t>KPROP-00920</t>
        </is>
      </c>
      <c r="C929" s="3" t="n">
        <v>46179</v>
      </c>
      <c r="D929" s="2" t="inlineStr">
        <is>
          <t>Joe Ryan</t>
        </is>
      </c>
      <c r="E929" s="2" t="inlineStr">
        <is>
          <t>Win</t>
        </is>
      </c>
      <c r="F929" s="2" t="n">
        <v>1.18</v>
      </c>
      <c r="G929" s="6" t="n">
        <v>0.2211776528074935</v>
      </c>
      <c r="H929" s="7" t="n">
        <v>100</v>
      </c>
      <c r="I929" s="7" t="n">
        <v>118</v>
      </c>
      <c r="J929" s="7" t="n">
        <v>19581.99539113347</v>
      </c>
      <c r="K929" s="7" t="n">
        <v>20151.78546570523</v>
      </c>
      <c r="L929" s="7" t="n">
        <v>-569.7900745717525</v>
      </c>
      <c r="M929" s="6" t="n">
        <v>-0.02827491765141279</v>
      </c>
      <c r="N929" s="7" t="n">
        <v>246.2551418736974</v>
      </c>
      <c r="O929" s="7" t="n">
        <v>290.5810674109629</v>
      </c>
      <c r="P929" s="7" t="n">
        <v>24916.09525478071</v>
      </c>
      <c r="Q929" s="7" t="n">
        <v>26447.63959284364</v>
      </c>
      <c r="R929" s="7" t="n">
        <v>-1531.544338062933</v>
      </c>
      <c r="S929" s="6" t="n">
        <v>-0.05790854539916476</v>
      </c>
      <c r="T929" s="7" t="n">
        <v>25291.29091112531</v>
      </c>
      <c r="U929" s="7" t="n">
        <v>29843.72327512786</v>
      </c>
      <c r="V929" s="7" t="n">
        <v>487236.9651346588</v>
      </c>
      <c r="W929" s="7" t="n">
        <v>710248.9276166783</v>
      </c>
      <c r="X929" s="7" t="n">
        <v>-223011.9624820195</v>
      </c>
      <c r="Y929" s="6" t="n">
        <v>-0.3139912695544106</v>
      </c>
      <c r="Z929" s="7" t="n">
        <v>246403.026237282</v>
      </c>
      <c r="AA929" s="7" t="n">
        <v>290755.5709599926</v>
      </c>
      <c r="AB929" s="7" t="n">
        <v>2518856.13274454</v>
      </c>
      <c r="AC929" s="7" t="n">
        <v>6299080.390293306</v>
      </c>
      <c r="AD929" s="7" t="n">
        <v>-3780224.257548765</v>
      </c>
      <c r="AE929" s="6" t="n">
        <v>-0.600123196296078</v>
      </c>
    </row>
    <row r="930">
      <c r="A930" s="2" t="n">
        <v>921</v>
      </c>
      <c r="B930" s="2" t="inlineStr">
        <is>
          <t>KPROP-00921</t>
        </is>
      </c>
      <c r="C930" s="3" t="n">
        <v>46179</v>
      </c>
      <c r="D930" s="2" t="inlineStr">
        <is>
          <t>Joe Ryan</t>
        </is>
      </c>
      <c r="E930" s="2" t="inlineStr">
        <is>
          <t>Win</t>
        </is>
      </c>
      <c r="F930" s="2" t="n">
        <v>0.6849315068493151</v>
      </c>
      <c r="G930" s="6" t="n">
        <v>0.336398613030544</v>
      </c>
      <c r="H930" s="7" t="n">
        <v>100</v>
      </c>
      <c r="I930" s="7" t="n">
        <v>68.49315068493152</v>
      </c>
      <c r="J930" s="7" t="n">
        <v>19650.48854181841</v>
      </c>
      <c r="K930" s="7" t="n">
        <v>20151.78546570523</v>
      </c>
      <c r="L930" s="7" t="n">
        <v>-501.2969238868209</v>
      </c>
      <c r="M930" s="6" t="n">
        <v>-0.02487605501457623</v>
      </c>
      <c r="N930" s="7" t="n">
        <v>249.1609525478071</v>
      </c>
      <c r="O930" s="7" t="n">
        <v>170.6581866765802</v>
      </c>
      <c r="P930" s="7" t="n">
        <v>25086.75344145729</v>
      </c>
      <c r="Q930" s="7" t="n">
        <v>26447.63959284364</v>
      </c>
      <c r="R930" s="7" t="n">
        <v>-1360.886151386352</v>
      </c>
      <c r="S930" s="6" t="n">
        <v>-0.05145586420326859</v>
      </c>
      <c r="T930" s="7" t="n">
        <v>40976.45982212769</v>
      </c>
      <c r="U930" s="7" t="n">
        <v>28066.06837132034</v>
      </c>
      <c r="V930" s="7" t="n">
        <v>515303.0335059791</v>
      </c>
      <c r="W930" s="7" t="n">
        <v>710248.9276166783</v>
      </c>
      <c r="X930" s="7" t="n">
        <v>-194945.8941106992</v>
      </c>
      <c r="Y930" s="6" t="n">
        <v>-0.2744754501282564</v>
      </c>
      <c r="Z930" s="7" t="n">
        <v>423669.8547393716</v>
      </c>
      <c r="AA930" s="7" t="n">
        <v>290184.8320132683</v>
      </c>
      <c r="AB930" s="7" t="n">
        <v>2809040.964757808</v>
      </c>
      <c r="AC930" s="7" t="n">
        <v>6299080.390293306</v>
      </c>
      <c r="AD930" s="7" t="n">
        <v>-3490039.425535497</v>
      </c>
      <c r="AE930" s="6" t="n">
        <v>-0.5540553873409114</v>
      </c>
    </row>
    <row r="931">
      <c r="A931" s="2" t="n">
        <v>922</v>
      </c>
      <c r="B931" s="2" t="inlineStr">
        <is>
          <t>KPROP-00922</t>
        </is>
      </c>
      <c r="C931" s="3" t="n">
        <v>46179</v>
      </c>
      <c r="D931" s="2" t="inlineStr">
        <is>
          <t>Landen Roupp</t>
        </is>
      </c>
      <c r="E931" s="2" t="inlineStr">
        <is>
          <t>Loss</t>
        </is>
      </c>
      <c r="F931" s="2" t="n">
        <v>-1</v>
      </c>
      <c r="G931" s="6" t="n">
        <v>0.1051777899960921</v>
      </c>
      <c r="H931" s="7" t="n">
        <v>100</v>
      </c>
      <c r="I931" s="7" t="n">
        <v>-100</v>
      </c>
      <c r="J931" s="7" t="n">
        <v>19550.48854181841</v>
      </c>
      <c r="K931" s="7" t="n">
        <v>20151.78546570523</v>
      </c>
      <c r="L931" s="7" t="n">
        <v>-601.2969238868209</v>
      </c>
      <c r="M931" s="6" t="n">
        <v>-0.02983839446435761</v>
      </c>
      <c r="N931" s="7" t="n">
        <v>250.8675344145729</v>
      </c>
      <c r="O931" s="7" t="n">
        <v>-250.8675344145729</v>
      </c>
      <c r="P931" s="7" t="n">
        <v>24835.88590704271</v>
      </c>
      <c r="Q931" s="7" t="n">
        <v>26447.63959284364</v>
      </c>
      <c r="R931" s="7" t="n">
        <v>-1611.753685800926</v>
      </c>
      <c r="S931" s="6" t="n">
        <v>-0.06094130556123595</v>
      </c>
      <c r="T931" s="7" t="n">
        <v>13549.60856061028</v>
      </c>
      <c r="U931" s="7" t="n">
        <v>-13549.60856061028</v>
      </c>
      <c r="V931" s="7" t="n">
        <v>501753.4249453688</v>
      </c>
      <c r="W931" s="7" t="n">
        <v>710248.9276166783</v>
      </c>
      <c r="X931" s="7" t="n">
        <v>-208495.5026713095</v>
      </c>
      <c r="Y931" s="6" t="n">
        <v>-0.2935527173141113</v>
      </c>
      <c r="Z931" s="7" t="n">
        <v>147724.3603408584</v>
      </c>
      <c r="AA931" s="7" t="n">
        <v>-147724.3603408584</v>
      </c>
      <c r="AB931" s="7" t="n">
        <v>2661316.60441695</v>
      </c>
      <c r="AC931" s="7" t="n">
        <v>6299080.390293306</v>
      </c>
      <c r="AD931" s="7" t="n">
        <v>-3637763.785876356</v>
      </c>
      <c r="AE931" s="6" t="n">
        <v>-0.5775071217509846</v>
      </c>
    </row>
    <row r="932">
      <c r="A932" s="2" t="n">
        <v>923</v>
      </c>
      <c r="B932" s="2" t="inlineStr">
        <is>
          <t>KPROP-00923</t>
        </is>
      </c>
      <c r="C932" s="3" t="n">
        <v>46179</v>
      </c>
      <c r="D932" s="2" t="inlineStr">
        <is>
          <t>Landen Roupp</t>
        </is>
      </c>
      <c r="E932" s="2" t="inlineStr">
        <is>
          <t>Win</t>
        </is>
      </c>
      <c r="F932" s="2" t="n">
        <v>0.6369426751592355</v>
      </c>
      <c r="G932" s="6" t="n">
        <v>0.1892812620270655</v>
      </c>
      <c r="H932" s="7" t="n">
        <v>100</v>
      </c>
      <c r="I932" s="7" t="n">
        <v>63.69426751592356</v>
      </c>
      <c r="J932" s="7" t="n">
        <v>19614.18280933433</v>
      </c>
      <c r="K932" s="7" t="n">
        <v>20151.78546570523</v>
      </c>
      <c r="L932" s="7" t="n">
        <v>-537.6026563708983</v>
      </c>
      <c r="M932" s="6" t="n">
        <v>-0.0266776687001657</v>
      </c>
      <c r="N932" s="7" t="n">
        <v>248.3588590704271</v>
      </c>
      <c r="O932" s="7" t="n">
        <v>158.1903560958134</v>
      </c>
      <c r="P932" s="7" t="n">
        <v>24994.07626313853</v>
      </c>
      <c r="Q932" s="7" t="n">
        <v>26447.63959284364</v>
      </c>
      <c r="R932" s="7" t="n">
        <v>-1453.563329705114</v>
      </c>
      <c r="S932" s="6" t="n">
        <v>-0.05496003999156233</v>
      </c>
      <c r="T932" s="7" t="n">
        <v>23743.13037501548</v>
      </c>
      <c r="U932" s="7" t="n">
        <v>15123.01297771686</v>
      </c>
      <c r="V932" s="7" t="n">
        <v>516876.4379230857</v>
      </c>
      <c r="W932" s="7" t="n">
        <v>710248.9276166783</v>
      </c>
      <c r="X932" s="7" t="n">
        <v>-193372.4896935926</v>
      </c>
      <c r="Y932" s="6" t="n">
        <v>-0.2722601642532234</v>
      </c>
      <c r="Z932" s="7" t="n">
        <v>251868.6827688125</v>
      </c>
      <c r="AA932" s="7" t="n">
        <v>160425.9125916003</v>
      </c>
      <c r="AB932" s="7" t="n">
        <v>2821742.51700855</v>
      </c>
      <c r="AC932" s="7" t="n">
        <v>6299080.390293306</v>
      </c>
      <c r="AD932" s="7" t="n">
        <v>-3477337.873284755</v>
      </c>
      <c r="AE932" s="6" t="n">
        <v>-0.552038973600532</v>
      </c>
    </row>
    <row r="933">
      <c r="A933" s="2" t="n">
        <v>924</v>
      </c>
      <c r="B933" s="2" t="inlineStr">
        <is>
          <t>KPROP-00924</t>
        </is>
      </c>
      <c r="C933" s="3" t="n">
        <v>46179</v>
      </c>
      <c r="D933" s="2" t="inlineStr">
        <is>
          <t>Shane McClanahan</t>
        </is>
      </c>
      <c r="E933" s="2" t="inlineStr">
        <is>
          <t>Loss</t>
        </is>
      </c>
      <c r="F933" s="2" t="n">
        <v>-1</v>
      </c>
      <c r="G933" s="6" t="n">
        <v>0.1380228244637128</v>
      </c>
      <c r="H933" s="7" t="n">
        <v>100</v>
      </c>
      <c r="I933" s="7" t="n">
        <v>-100</v>
      </c>
      <c r="J933" s="7" t="n">
        <v>19514.18280933433</v>
      </c>
      <c r="K933" s="7" t="n">
        <v>20151.78546570523</v>
      </c>
      <c r="L933" s="7" t="n">
        <v>-637.6026563708983</v>
      </c>
      <c r="M933" s="6" t="n">
        <v>-0.03164000814994707</v>
      </c>
      <c r="N933" s="7" t="n">
        <v>249.9407626313853</v>
      </c>
      <c r="O933" s="7" t="n">
        <v>-249.9407626313853</v>
      </c>
      <c r="P933" s="7" t="n">
        <v>24744.13550050714</v>
      </c>
      <c r="Q933" s="7" t="n">
        <v>26447.63959284364</v>
      </c>
      <c r="R933" s="7" t="n">
        <v>-1703.504092336498</v>
      </c>
      <c r="S933" s="6" t="n">
        <v>-0.06441043959164666</v>
      </c>
      <c r="T933" s="7" t="n">
        <v>17835.18646522181</v>
      </c>
      <c r="U933" s="7" t="n">
        <v>-17835.18646522181</v>
      </c>
      <c r="V933" s="7" t="n">
        <v>499041.2514578639</v>
      </c>
      <c r="W933" s="7" t="n">
        <v>710248.9276166783</v>
      </c>
      <c r="X933" s="7" t="n">
        <v>-211207.6761588144</v>
      </c>
      <c r="Y933" s="6" t="n">
        <v>-0.2973713411543555</v>
      </c>
      <c r="Z933" s="7" t="n">
        <v>194732.4360534332</v>
      </c>
      <c r="AA933" s="7" t="n">
        <v>-194732.4360534332</v>
      </c>
      <c r="AB933" s="7" t="n">
        <v>2627010.080955117</v>
      </c>
      <c r="AC933" s="7" t="n">
        <v>6299080.390293306</v>
      </c>
      <c r="AD933" s="7" t="n">
        <v>-3672070.309338188</v>
      </c>
      <c r="AE933" s="6" t="n">
        <v>-0.5829533966571913</v>
      </c>
    </row>
    <row r="934">
      <c r="A934" s="2" t="n">
        <v>925</v>
      </c>
      <c r="B934" s="2" t="inlineStr">
        <is>
          <t>KPROP-00925</t>
        </is>
      </c>
      <c r="C934" s="3" t="n">
        <v>46179</v>
      </c>
      <c r="D934" s="2" t="inlineStr">
        <is>
          <t>Spencer Strider</t>
        </is>
      </c>
      <c r="E934" s="2" t="inlineStr">
        <is>
          <t>Win</t>
        </is>
      </c>
      <c r="F934" s="2" t="n">
        <v>0.7633587786259541</v>
      </c>
      <c r="G934" s="6" t="n">
        <v>0.3738116297160325</v>
      </c>
      <c r="H934" s="7" t="n">
        <v>100</v>
      </c>
      <c r="I934" s="7" t="n">
        <v>76.33587786259541</v>
      </c>
      <c r="J934" s="7" t="n">
        <v>19590.51868719692</v>
      </c>
      <c r="K934" s="7" t="n">
        <v>20151.78546570523</v>
      </c>
      <c r="L934" s="7" t="n">
        <v>-561.2667785083031</v>
      </c>
      <c r="M934" s="6" t="n">
        <v>-0.02785196276843458</v>
      </c>
      <c r="N934" s="7" t="n">
        <v>247.4413550050714</v>
      </c>
      <c r="O934" s="7" t="n">
        <v>188.8865305382224</v>
      </c>
      <c r="P934" s="7" t="n">
        <v>24933.02203104537</v>
      </c>
      <c r="Q934" s="7" t="n">
        <v>26447.63959284364</v>
      </c>
      <c r="R934" s="7" t="n">
        <v>-1514.617561798274</v>
      </c>
      <c r="S934" s="6" t="n">
        <v>-0.05726853455036145</v>
      </c>
      <c r="T934" s="7" t="n">
        <v>46636.85587574812</v>
      </c>
      <c r="U934" s="7" t="n">
        <v>35600.65334026574</v>
      </c>
      <c r="V934" s="7" t="n">
        <v>534641.9047981296</v>
      </c>
      <c r="W934" s="7" t="n">
        <v>710248.9276166783</v>
      </c>
      <c r="X934" s="7" t="n">
        <v>-175607.0228185487</v>
      </c>
      <c r="Y934" s="6" t="n">
        <v>-0.2472471495420883</v>
      </c>
      <c r="Z934" s="7" t="n">
        <v>491003.4598211395</v>
      </c>
      <c r="AA934" s="7" t="n">
        <v>374811.8013901828</v>
      </c>
      <c r="AB934" s="7" t="n">
        <v>3001821.8823453</v>
      </c>
      <c r="AC934" s="7" t="n">
        <v>6299080.390293306</v>
      </c>
      <c r="AD934" s="7" t="n">
        <v>-3297258.507948006</v>
      </c>
      <c r="AE934" s="6" t="n">
        <v>-0.5234507743430267</v>
      </c>
    </row>
    <row r="935">
      <c r="A935" s="2" t="n">
        <v>926</v>
      </c>
      <c r="B935" s="2" t="inlineStr">
        <is>
          <t>KPROP-00926</t>
        </is>
      </c>
      <c r="C935" s="3" t="n">
        <v>46179</v>
      </c>
      <c r="D935" s="2" t="inlineStr">
        <is>
          <t>Tatsuya Imai</t>
        </is>
      </c>
      <c r="E935" s="2" t="inlineStr">
        <is>
          <t>Loss</t>
        </is>
      </c>
      <c r="F935" s="2" t="n">
        <v>-1</v>
      </c>
      <c r="G935" s="6" t="n">
        <v>0.07513494316340887</v>
      </c>
      <c r="H935" s="7" t="n">
        <v>100</v>
      </c>
      <c r="I935" s="7" t="n">
        <v>-100</v>
      </c>
      <c r="J935" s="7" t="n">
        <v>19490.51868719692</v>
      </c>
      <c r="K935" s="7" t="n">
        <v>20151.78546570523</v>
      </c>
      <c r="L935" s="7" t="n">
        <v>-661.2667785083031</v>
      </c>
      <c r="M935" s="6" t="n">
        <v>-0.03281430221821596</v>
      </c>
      <c r="N935" s="7" t="n">
        <v>249.3302203104537</v>
      </c>
      <c r="O935" s="7" t="n">
        <v>-249.3302203104537</v>
      </c>
      <c r="P935" s="7" t="n">
        <v>24683.69181073491</v>
      </c>
      <c r="Q935" s="7" t="n">
        <v>26447.63959284364</v>
      </c>
      <c r="R935" s="7" t="n">
        <v>-1763.947782108728</v>
      </c>
      <c r="S935" s="6" t="n">
        <v>-0.06669584920485785</v>
      </c>
      <c r="T935" s="7" t="n">
        <v>10042.57228244603</v>
      </c>
      <c r="U935" s="7" t="n">
        <v>-10042.57228244603</v>
      </c>
      <c r="V935" s="7" t="n">
        <v>524599.3325156835</v>
      </c>
      <c r="W935" s="7" t="n">
        <v>710248.9276166783</v>
      </c>
      <c r="X935" s="7" t="n">
        <v>-185649.5951009948</v>
      </c>
      <c r="Y935" s="6" t="n">
        <v>-0.2613866602009007</v>
      </c>
      <c r="Z935" s="7" t="n">
        <v>112770.8582583456</v>
      </c>
      <c r="AA935" s="7" t="n">
        <v>-112770.8582583456</v>
      </c>
      <c r="AB935" s="7" t="n">
        <v>2889051.024086955</v>
      </c>
      <c r="AC935" s="7" t="n">
        <v>6299080.390293306</v>
      </c>
      <c r="AD935" s="7" t="n">
        <v>-3410029.366206351</v>
      </c>
      <c r="AE935" s="6" t="n">
        <v>-0.5413535238351783</v>
      </c>
    </row>
    <row r="936">
      <c r="A936" s="2" t="n">
        <v>927</v>
      </c>
      <c r="B936" s="2" t="inlineStr">
        <is>
          <t>KPROP-00927</t>
        </is>
      </c>
      <c r="C936" s="3" t="n">
        <v>46180</v>
      </c>
      <c r="D936" s="2" t="inlineStr">
        <is>
          <t>Aaron Nola</t>
        </is>
      </c>
      <c r="E936" s="2" t="inlineStr">
        <is>
          <t>Win</t>
        </is>
      </c>
      <c r="F936" s="2" t="n">
        <v>0.8064516129032258</v>
      </c>
      <c r="G936" s="6" t="n">
        <v>0.2746985569812971</v>
      </c>
      <c r="H936" s="7" t="n">
        <v>100</v>
      </c>
      <c r="I936" s="7" t="n">
        <v>80.64516129032258</v>
      </c>
      <c r="J936" s="7" t="n">
        <v>19571.16384848725</v>
      </c>
      <c r="K936" s="7" t="n">
        <v>20151.78546570523</v>
      </c>
      <c r="L936" s="7" t="n">
        <v>-580.6216172179811</v>
      </c>
      <c r="M936" s="6" t="n">
        <v>-0.02881241556516649</v>
      </c>
      <c r="N936" s="7" t="n">
        <v>246.8369181073491</v>
      </c>
      <c r="O936" s="7" t="n">
        <v>199.0620307317332</v>
      </c>
      <c r="P936" s="7" t="n">
        <v>24882.75384146665</v>
      </c>
      <c r="Q936" s="7" t="n">
        <v>26447.63959284364</v>
      </c>
      <c r="R936" s="7" t="n">
        <v>-1564.885751376994</v>
      </c>
      <c r="S936" s="6" t="n">
        <v>-0.05916920282747768</v>
      </c>
      <c r="T936" s="7" t="n">
        <v>36026.66990885248</v>
      </c>
      <c r="U936" s="7" t="n">
        <v>29053.76605552619</v>
      </c>
      <c r="V936" s="7" t="n">
        <v>553653.0985712097</v>
      </c>
      <c r="W936" s="7" t="n">
        <v>710248.9276166783</v>
      </c>
      <c r="X936" s="7" t="n">
        <v>-156595.8290454686</v>
      </c>
      <c r="Y936" s="6" t="n">
        <v>-0.2204802048359916</v>
      </c>
      <c r="Z936" s="7" t="n">
        <v>396809.0736810125</v>
      </c>
      <c r="AA936" s="7" t="n">
        <v>320007.3174846875</v>
      </c>
      <c r="AB936" s="7" t="n">
        <v>3209058.341571642</v>
      </c>
      <c r="AC936" s="7" t="n">
        <v>6299080.390293306</v>
      </c>
      <c r="AD936" s="7" t="n">
        <v>-3090022.048721664</v>
      </c>
      <c r="AE936" s="6" t="n">
        <v>-0.4905512959452454</v>
      </c>
    </row>
    <row r="937">
      <c r="A937" s="2" t="n">
        <v>928</v>
      </c>
      <c r="B937" s="2" t="inlineStr">
        <is>
          <t>KPROP-00928</t>
        </is>
      </c>
      <c r="C937" s="3" t="n">
        <v>46180</v>
      </c>
      <c r="D937" s="2" t="inlineStr">
        <is>
          <t>Bryce Elder</t>
        </is>
      </c>
      <c r="E937" s="2" t="inlineStr">
        <is>
          <t>Win</t>
        </is>
      </c>
      <c r="F937" s="2" t="n">
        <v>1.23</v>
      </c>
      <c r="G937" s="6" t="n">
        <v>0.1400121239002705</v>
      </c>
      <c r="H937" s="7" t="n">
        <v>100</v>
      </c>
      <c r="I937" s="7" t="n">
        <v>123</v>
      </c>
      <c r="J937" s="7" t="n">
        <v>19694.16384848725</v>
      </c>
      <c r="K937" s="7" t="n">
        <v>20151.78546570523</v>
      </c>
      <c r="L937" s="7" t="n">
        <v>-457.6216172179811</v>
      </c>
      <c r="M937" s="6" t="n">
        <v>-0.0227087380419354</v>
      </c>
      <c r="N937" s="7" t="n">
        <v>248.8275384146665</v>
      </c>
      <c r="O937" s="7" t="n">
        <v>306.0578722500397</v>
      </c>
      <c r="P937" s="7" t="n">
        <v>25188.81171371668</v>
      </c>
      <c r="Q937" s="7" t="n">
        <v>26447.63959284364</v>
      </c>
      <c r="R937" s="7" t="n">
        <v>-1258.827879126955</v>
      </c>
      <c r="S937" s="6" t="n">
        <v>-0.04759698402225566</v>
      </c>
      <c r="T937" s="7" t="n">
        <v>19379.53655873021</v>
      </c>
      <c r="U937" s="7" t="n">
        <v>23836.82996723817</v>
      </c>
      <c r="V937" s="7" t="n">
        <v>577489.9285384478</v>
      </c>
      <c r="W937" s="7" t="n">
        <v>710248.9276166783</v>
      </c>
      <c r="X937" s="7" t="n">
        <v>-132758.9990782305</v>
      </c>
      <c r="Y937" s="6" t="n">
        <v>-0.1869189715269526</v>
      </c>
      <c r="Z937" s="7" t="n">
        <v>224653.5370616626</v>
      </c>
      <c r="AA937" s="7" t="n">
        <v>276323.850585845</v>
      </c>
      <c r="AB937" s="7" t="n">
        <v>3485382.192157487</v>
      </c>
      <c r="AC937" s="7" t="n">
        <v>6299080.390293306</v>
      </c>
      <c r="AD937" s="7" t="n">
        <v>-2813698.198135819</v>
      </c>
      <c r="AE937" s="6" t="n">
        <v>-0.4466839639753833</v>
      </c>
    </row>
    <row r="938">
      <c r="A938" s="2" t="n">
        <v>929</v>
      </c>
      <c r="B938" s="2" t="inlineStr">
        <is>
          <t>KPROP-00929</t>
        </is>
      </c>
      <c r="C938" s="3" t="n">
        <v>46180</v>
      </c>
      <c r="D938" s="2" t="inlineStr">
        <is>
          <t>Cam Schlittler</t>
        </is>
      </c>
      <c r="E938" s="2" t="inlineStr">
        <is>
          <t>Win</t>
        </is>
      </c>
      <c r="F938" s="2" t="n">
        <v>1.22</v>
      </c>
      <c r="G938" s="6" t="n">
        <v>0.2214362485337113</v>
      </c>
      <c r="H938" s="7" t="n">
        <v>100</v>
      </c>
      <c r="I938" s="7" t="n">
        <v>122</v>
      </c>
      <c r="J938" s="7" t="n">
        <v>19816.16384848725</v>
      </c>
      <c r="K938" s="7" t="n">
        <v>20151.78546570523</v>
      </c>
      <c r="L938" s="7" t="n">
        <v>-335.6216172179811</v>
      </c>
      <c r="M938" s="6" t="n">
        <v>-0.01665468391320212</v>
      </c>
      <c r="N938" s="7" t="n">
        <v>251.8881171371669</v>
      </c>
      <c r="O938" s="7" t="n">
        <v>307.3035029073435</v>
      </c>
      <c r="P938" s="7" t="n">
        <v>25496.11521662403</v>
      </c>
      <c r="Q938" s="7" t="n">
        <v>26447.63959284364</v>
      </c>
      <c r="R938" s="7" t="n">
        <v>-951.5243762196114</v>
      </c>
      <c r="S938" s="6" t="n">
        <v>-0.03597766722732718</v>
      </c>
      <c r="T938" s="7" t="n">
        <v>31969.30083538873</v>
      </c>
      <c r="U938" s="7" t="n">
        <v>39002.54701917424</v>
      </c>
      <c r="V938" s="7" t="n">
        <v>616492.475557622</v>
      </c>
      <c r="W938" s="7" t="n">
        <v>710248.9276166783</v>
      </c>
      <c r="X938" s="7" t="n">
        <v>-93756.45205905626</v>
      </c>
      <c r="Y938" s="6" t="n">
        <v>-0.1320050596537566</v>
      </c>
      <c r="Z938" s="7" t="n">
        <v>385894.9786687784</v>
      </c>
      <c r="AA938" s="7" t="n">
        <v>470791.8739759096</v>
      </c>
      <c r="AB938" s="7" t="n">
        <v>3956174.066133397</v>
      </c>
      <c r="AC938" s="7" t="n">
        <v>6299080.390293306</v>
      </c>
      <c r="AD938" s="7" t="n">
        <v>-2342906.324159909</v>
      </c>
      <c r="AE938" s="6" t="n">
        <v>-0.371944185340174</v>
      </c>
    </row>
    <row r="939">
      <c r="A939" s="2" t="n">
        <v>930</v>
      </c>
      <c r="B939" s="2" t="inlineStr">
        <is>
          <t>KPROP-00930</t>
        </is>
      </c>
      <c r="C939" s="3" t="n">
        <v>46180</v>
      </c>
      <c r="D939" s="2" t="inlineStr">
        <is>
          <t>Cam Schlittler</t>
        </is>
      </c>
      <c r="E939" s="2" t="inlineStr">
        <is>
          <t>Win</t>
        </is>
      </c>
      <c r="F939" s="2" t="n">
        <v>0.6369426751592355</v>
      </c>
      <c r="G939" s="6" t="n">
        <v>0.2926175496884947</v>
      </c>
      <c r="H939" s="7" t="n">
        <v>100</v>
      </c>
      <c r="I939" s="7" t="n">
        <v>63.69426751592356</v>
      </c>
      <c r="J939" s="7" t="n">
        <v>19879.85811600317</v>
      </c>
      <c r="K939" s="7" t="n">
        <v>20151.78546570523</v>
      </c>
      <c r="L939" s="7" t="n">
        <v>-271.9273497020586</v>
      </c>
      <c r="M939" s="6" t="n">
        <v>-0.01349395814901021</v>
      </c>
      <c r="N939" s="7" t="n">
        <v>254.9611521662403</v>
      </c>
      <c r="O939" s="7" t="n">
        <v>162.395638322446</v>
      </c>
      <c r="P939" s="7" t="n">
        <v>25658.51085494647</v>
      </c>
      <c r="Q939" s="7" t="n">
        <v>26447.63959284364</v>
      </c>
      <c r="R939" s="7" t="n">
        <v>-789.1287378971647</v>
      </c>
      <c r="S939" s="6" t="n">
        <v>-0.02983739759183242</v>
      </c>
      <c r="T939" s="7" t="n">
        <v>45099.1293997664</v>
      </c>
      <c r="U939" s="7" t="n">
        <v>28725.56012723974</v>
      </c>
      <c r="V939" s="7" t="n">
        <v>645218.0356848618</v>
      </c>
      <c r="W939" s="7" t="n">
        <v>710248.9276166783</v>
      </c>
      <c r="X939" s="7" t="n">
        <v>-65030.89193181647</v>
      </c>
      <c r="Y939" s="6" t="n">
        <v>-0.09156070414641115</v>
      </c>
      <c r="Z939" s="7" t="n">
        <v>578822.9806865618</v>
      </c>
      <c r="AA939" s="7" t="n">
        <v>368677.0577621412</v>
      </c>
      <c r="AB939" s="7" t="n">
        <v>4324851.123895538</v>
      </c>
      <c r="AC939" s="7" t="n">
        <v>6299080.390293306</v>
      </c>
      <c r="AD939" s="7" t="n">
        <v>-1974229.266397768</v>
      </c>
      <c r="AE939" s="6" t="n">
        <v>-0.3134154740174448</v>
      </c>
    </row>
    <row r="940">
      <c r="A940" s="2" t="n">
        <v>931</v>
      </c>
      <c r="B940" s="2" t="inlineStr">
        <is>
          <t>KPROP-00931</t>
        </is>
      </c>
      <c r="C940" s="3" t="n">
        <v>46180</v>
      </c>
      <c r="D940" s="2" t="inlineStr">
        <is>
          <t>Jack Flaherty</t>
        </is>
      </c>
      <c r="E940" s="2" t="inlineStr">
        <is>
          <t>Loss</t>
        </is>
      </c>
      <c r="F940" s="2" t="n">
        <v>-1</v>
      </c>
      <c r="G940" s="6" t="n">
        <v>0.2556800146424674</v>
      </c>
      <c r="H940" s="7" t="n">
        <v>100</v>
      </c>
      <c r="I940" s="7" t="n">
        <v>-100</v>
      </c>
      <c r="J940" s="7" t="n">
        <v>19779.85811600317</v>
      </c>
      <c r="K940" s="7" t="n">
        <v>20151.78546570523</v>
      </c>
      <c r="L940" s="7" t="n">
        <v>-371.9273497020586</v>
      </c>
      <c r="M940" s="6" t="n">
        <v>-0.01845629759879159</v>
      </c>
      <c r="N940" s="7" t="n">
        <v>256.5851085494647</v>
      </c>
      <c r="O940" s="7" t="n">
        <v>-256.5851085494647</v>
      </c>
      <c r="P940" s="7" t="n">
        <v>25401.92574639701</v>
      </c>
      <c r="Q940" s="7" t="n">
        <v>26447.63959284364</v>
      </c>
      <c r="R940" s="7" t="n">
        <v>-1045.71384644663</v>
      </c>
      <c r="S940" s="6" t="n">
        <v>-0.03953902361591411</v>
      </c>
      <c r="T940" s="7" t="n">
        <v>41242.33920287238</v>
      </c>
      <c r="U940" s="7" t="n">
        <v>-41242.33920287238</v>
      </c>
      <c r="V940" s="7" t="n">
        <v>603975.6964819895</v>
      </c>
      <c r="W940" s="7" t="n">
        <v>710248.9276166783</v>
      </c>
      <c r="X940" s="7" t="n">
        <v>-106273.2311346888</v>
      </c>
      <c r="Y940" s="6" t="n">
        <v>-0.1496281472628207</v>
      </c>
      <c r="Z940" s="7" t="n">
        <v>552888.9993420513</v>
      </c>
      <c r="AA940" s="7" t="n">
        <v>-552888.9993420513</v>
      </c>
      <c r="AB940" s="7" t="n">
        <v>3771962.124553487</v>
      </c>
      <c r="AC940" s="7" t="n">
        <v>6299080.390293306</v>
      </c>
      <c r="AD940" s="7" t="n">
        <v>-2527118.265739819</v>
      </c>
      <c r="AE940" s="6" t="n">
        <v>-0.4011884448457004</v>
      </c>
    </row>
    <row r="941">
      <c r="A941" s="2" t="n">
        <v>932</v>
      </c>
      <c r="B941" s="2" t="inlineStr">
        <is>
          <t>KPROP-00932</t>
        </is>
      </c>
      <c r="C941" s="3" t="n">
        <v>46180</v>
      </c>
      <c r="D941" s="2" t="inlineStr">
        <is>
          <t>Jacob deGrom</t>
        </is>
      </c>
      <c r="E941" s="2" t="inlineStr">
        <is>
          <t>Loss</t>
        </is>
      </c>
      <c r="F941" s="2" t="n">
        <v>-1</v>
      </c>
      <c r="G941" s="6" t="n">
        <v>0.3007717303975397</v>
      </c>
      <c r="H941" s="7" t="n">
        <v>100</v>
      </c>
      <c r="I941" s="7" t="n">
        <v>-100</v>
      </c>
      <c r="J941" s="7" t="n">
        <v>19679.85811600317</v>
      </c>
      <c r="K941" s="7" t="n">
        <v>20151.78546570523</v>
      </c>
      <c r="L941" s="7" t="n">
        <v>-471.9273497020586</v>
      </c>
      <c r="M941" s="6" t="n">
        <v>-0.02341863704857296</v>
      </c>
      <c r="N941" s="7" t="n">
        <v>254.0192574639701</v>
      </c>
      <c r="O941" s="7" t="n">
        <v>-254.0192574639701</v>
      </c>
      <c r="P941" s="7" t="n">
        <v>25147.90648893304</v>
      </c>
      <c r="Q941" s="7" t="n">
        <v>26447.63959284364</v>
      </c>
      <c r="R941" s="7" t="n">
        <v>-1299.733103910599</v>
      </c>
      <c r="S941" s="6" t="n">
        <v>-0.04914363337975495</v>
      </c>
      <c r="T941" s="7" t="n">
        <v>45414.7038372368</v>
      </c>
      <c r="U941" s="7" t="n">
        <v>-45414.7038372368</v>
      </c>
      <c r="V941" s="7" t="n">
        <v>558560.9926447526</v>
      </c>
      <c r="W941" s="7" t="n">
        <v>710248.9276166783</v>
      </c>
      <c r="X941" s="7" t="n">
        <v>-151687.9349719257</v>
      </c>
      <c r="Y941" s="6" t="n">
        <v>-0.2135701006701016</v>
      </c>
      <c r="Z941" s="7" t="n">
        <v>567249.7875979661</v>
      </c>
      <c r="AA941" s="7" t="n">
        <v>-567249.7875979661</v>
      </c>
      <c r="AB941" s="7" t="n">
        <v>3204712.33695552</v>
      </c>
      <c r="AC941" s="7" t="n">
        <v>6299080.390293306</v>
      </c>
      <c r="AD941" s="7" t="n">
        <v>-3094368.053337785</v>
      </c>
      <c r="AE941" s="6" t="n">
        <v>-0.4912412386586007</v>
      </c>
    </row>
    <row r="942">
      <c r="A942" s="2" t="n">
        <v>933</v>
      </c>
      <c r="B942" s="2" t="inlineStr">
        <is>
          <t>KPROP-00933</t>
        </is>
      </c>
      <c r="C942" s="3" t="n">
        <v>46180</v>
      </c>
      <c r="D942" s="2" t="inlineStr">
        <is>
          <t>Jacob deGrom</t>
        </is>
      </c>
      <c r="E942" s="2" t="inlineStr">
        <is>
          <t>Win</t>
        </is>
      </c>
      <c r="F942" s="2" t="n">
        <v>0.7142857142857144</v>
      </c>
      <c r="G942" s="6" t="n">
        <v>0.4345165687810976</v>
      </c>
      <c r="H942" s="7" t="n">
        <v>100</v>
      </c>
      <c r="I942" s="7" t="n">
        <v>71.42857142857144</v>
      </c>
      <c r="J942" s="7" t="n">
        <v>19751.28668743174</v>
      </c>
      <c r="K942" s="7" t="n">
        <v>20151.78546570523</v>
      </c>
      <c r="L942" s="7" t="n">
        <v>-400.4987782734861</v>
      </c>
      <c r="M942" s="6" t="n">
        <v>-0.01987410887015764</v>
      </c>
      <c r="N942" s="7" t="n">
        <v>251.4790648893304</v>
      </c>
      <c r="O942" s="7" t="n">
        <v>179.6279034923789</v>
      </c>
      <c r="P942" s="7" t="n">
        <v>25327.53439242542</v>
      </c>
      <c r="Q942" s="7" t="n">
        <v>26447.63959284364</v>
      </c>
      <c r="R942" s="7" t="n">
        <v>-1120.10520041822</v>
      </c>
      <c r="S942" s="6" t="n">
        <v>-0.04235180218961034</v>
      </c>
      <c r="T942" s="7" t="n">
        <v>60676.00149474046</v>
      </c>
      <c r="U942" s="7" t="n">
        <v>43340.00106767176</v>
      </c>
      <c r="V942" s="7" t="n">
        <v>601900.9937124244</v>
      </c>
      <c r="W942" s="7" t="n">
        <v>710248.9276166783</v>
      </c>
      <c r="X942" s="7" t="n">
        <v>-108347.9339042539</v>
      </c>
      <c r="Y942" s="6" t="n">
        <v>-0.1525492396980138</v>
      </c>
      <c r="Z942" s="7" t="n">
        <v>696250.3042921827</v>
      </c>
      <c r="AA942" s="7" t="n">
        <v>497321.6459229877</v>
      </c>
      <c r="AB942" s="7" t="n">
        <v>3702033.982878508</v>
      </c>
      <c r="AC942" s="7" t="n">
        <v>6299080.390293306</v>
      </c>
      <c r="AD942" s="7" t="n">
        <v>-2597046.407414798</v>
      </c>
      <c r="AE942" s="6" t="n">
        <v>-0.4122897703316771</v>
      </c>
    </row>
    <row r="943">
      <c r="A943" s="2" t="n">
        <v>934</v>
      </c>
      <c r="B943" s="2" t="inlineStr">
        <is>
          <t>KPROP-00934</t>
        </is>
      </c>
      <c r="C943" s="3" t="n">
        <v>46180</v>
      </c>
      <c r="D943" s="2" t="inlineStr">
        <is>
          <t>Joey Cantillo</t>
        </is>
      </c>
      <c r="E943" s="2" t="inlineStr">
        <is>
          <t>Loss</t>
        </is>
      </c>
      <c r="F943" s="2" t="n">
        <v>-1</v>
      </c>
      <c r="G943" s="6" t="n">
        <v>0.05470393307584142</v>
      </c>
      <c r="H943" s="7" t="n">
        <v>100</v>
      </c>
      <c r="I943" s="7" t="n">
        <v>-100</v>
      </c>
      <c r="J943" s="7" t="n">
        <v>19651.28668743174</v>
      </c>
      <c r="K943" s="7" t="n">
        <v>20151.78546570523</v>
      </c>
      <c r="L943" s="7" t="n">
        <v>-500.4987782734861</v>
      </c>
      <c r="M943" s="6" t="n">
        <v>-0.02483644831993902</v>
      </c>
      <c r="N943" s="7" t="n">
        <v>253.2753439242542</v>
      </c>
      <c r="O943" s="7" t="n">
        <v>-253.2753439242542</v>
      </c>
      <c r="P943" s="7" t="n">
        <v>25074.25904850116</v>
      </c>
      <c r="Q943" s="7" t="n">
        <v>26447.63959284364</v>
      </c>
      <c r="R943" s="7" t="n">
        <v>-1373.380544342475</v>
      </c>
      <c r="S943" s="6" t="n">
        <v>-0.05192828416771426</v>
      </c>
      <c r="T943" s="7" t="n">
        <v>8231.587919581729</v>
      </c>
      <c r="U943" s="7" t="n">
        <v>-8231.587919581729</v>
      </c>
      <c r="V943" s="7" t="n">
        <v>593669.4057928427</v>
      </c>
      <c r="W943" s="7" t="n">
        <v>710248.9276166783</v>
      </c>
      <c r="X943" s="7" t="n">
        <v>-116579.5218238356</v>
      </c>
      <c r="Y943" s="6" t="n">
        <v>-0.1641389621171714</v>
      </c>
      <c r="Z943" s="7" t="n">
        <v>101257.9096219383</v>
      </c>
      <c r="AA943" s="7" t="n">
        <v>-101257.9096219383</v>
      </c>
      <c r="AB943" s="7" t="n">
        <v>3600776.07325657</v>
      </c>
      <c r="AC943" s="7" t="n">
        <v>6299080.390293306</v>
      </c>
      <c r="AD943" s="7" t="n">
        <v>-2698304.317036736</v>
      </c>
      <c r="AE943" s="6" t="n">
        <v>-0.4283648008675587</v>
      </c>
    </row>
    <row r="944">
      <c r="A944" s="2" t="n">
        <v>935</v>
      </c>
      <c r="B944" s="2" t="inlineStr">
        <is>
          <t>KPROP-00935</t>
        </is>
      </c>
      <c r="C944" s="3" t="n">
        <v>46180</v>
      </c>
      <c r="D944" s="2" t="inlineStr">
        <is>
          <t>Kevin Gausman</t>
        </is>
      </c>
      <c r="E944" s="2" t="inlineStr">
        <is>
          <t>Win</t>
        </is>
      </c>
      <c r="F944" s="2" t="n">
        <v>0.7352941176470589</v>
      </c>
      <c r="G944" s="6" t="n">
        <v>0.2245258162839467</v>
      </c>
      <c r="H944" s="7" t="n">
        <v>100</v>
      </c>
      <c r="I944" s="7" t="n">
        <v>73.52941176470588</v>
      </c>
      <c r="J944" s="7" t="n">
        <v>19724.81609919645</v>
      </c>
      <c r="K944" s="7" t="n">
        <v>20151.78546570523</v>
      </c>
      <c r="L944" s="7" t="n">
        <v>-426.9693665087798</v>
      </c>
      <c r="M944" s="6" t="n">
        <v>-0.02118766931274681</v>
      </c>
      <c r="N944" s="7" t="n">
        <v>250.7425904850116</v>
      </c>
      <c r="O944" s="7" t="n">
        <v>184.3695518272145</v>
      </c>
      <c r="P944" s="7" t="n">
        <v>25258.62860032838</v>
      </c>
      <c r="Q944" s="7" t="n">
        <v>26447.63959284364</v>
      </c>
      <c r="R944" s="7" t="n">
        <v>-1189.010992515261</v>
      </c>
      <c r="S944" s="6" t="n">
        <v>-0.04495716861012394</v>
      </c>
      <c r="T944" s="7" t="n">
        <v>33323.5269846109</v>
      </c>
      <c r="U944" s="7" t="n">
        <v>24502.59337103743</v>
      </c>
      <c r="V944" s="7" t="n">
        <v>618171.9991638801</v>
      </c>
      <c r="W944" s="7" t="n">
        <v>710248.9276166783</v>
      </c>
      <c r="X944" s="7" t="n">
        <v>-92076.92845279817</v>
      </c>
      <c r="Y944" s="6" t="n">
        <v>-0.1296403625159602</v>
      </c>
      <c r="Z944" s="7" t="n">
        <v>404233.5935518178</v>
      </c>
      <c r="AA944" s="7" t="n">
        <v>297230.5834939837</v>
      </c>
      <c r="AB944" s="7" t="n">
        <v>3898006.656750554</v>
      </c>
      <c r="AC944" s="7" t="n">
        <v>6299080.390293306</v>
      </c>
      <c r="AD944" s="7" t="n">
        <v>-2401073.733542752</v>
      </c>
      <c r="AE944" s="6" t="n">
        <v>-0.3811784553889381</v>
      </c>
    </row>
    <row r="945">
      <c r="A945" s="2" t="n">
        <v>936</v>
      </c>
      <c r="B945" s="2" t="inlineStr">
        <is>
          <t>KPROP-00936</t>
        </is>
      </c>
      <c r="C945" s="3" t="n">
        <v>46180</v>
      </c>
      <c r="D945" s="2" t="inlineStr">
        <is>
          <t>Michael Soroka</t>
        </is>
      </c>
      <c r="E945" s="2" t="inlineStr">
        <is>
          <t>Loss</t>
        </is>
      </c>
      <c r="F945" s="2" t="n">
        <v>-1</v>
      </c>
      <c r="G945" s="6" t="n">
        <v>0.1297191200687743</v>
      </c>
      <c r="H945" s="7" t="n">
        <v>100</v>
      </c>
      <c r="I945" s="7" t="n">
        <v>-100</v>
      </c>
      <c r="J945" s="7" t="n">
        <v>19624.81609919645</v>
      </c>
      <c r="K945" s="7" t="n">
        <v>20151.78546570523</v>
      </c>
      <c r="L945" s="7" t="n">
        <v>-526.9693665087798</v>
      </c>
      <c r="M945" s="6" t="n">
        <v>-0.02615000876252819</v>
      </c>
      <c r="N945" s="7" t="n">
        <v>252.5862860032838</v>
      </c>
      <c r="O945" s="7" t="n">
        <v>-252.5862860032838</v>
      </c>
      <c r="P945" s="7" t="n">
        <v>25006.0423143251</v>
      </c>
      <c r="Q945" s="7" t="n">
        <v>26447.63959284364</v>
      </c>
      <c r="R945" s="7" t="n">
        <v>-1441.597278518544</v>
      </c>
      <c r="S945" s="6" t="n">
        <v>-0.05450759692402267</v>
      </c>
      <c r="T945" s="7" t="n">
        <v>20047.18194567341</v>
      </c>
      <c r="U945" s="7" t="n">
        <v>-20047.18194567341</v>
      </c>
      <c r="V945" s="7" t="n">
        <v>598124.8172182067</v>
      </c>
      <c r="W945" s="7" t="n">
        <v>710248.9276166783</v>
      </c>
      <c r="X945" s="7" t="n">
        <v>-112124.1103984716</v>
      </c>
      <c r="Y945" s="6" t="n">
        <v>-0.157865934095412</v>
      </c>
      <c r="Z945" s="7" t="n">
        <v>252822.9967679534</v>
      </c>
      <c r="AA945" s="7" t="n">
        <v>-252822.9967679534</v>
      </c>
      <c r="AB945" s="7" t="n">
        <v>3645183.6599826</v>
      </c>
      <c r="AC945" s="7" t="n">
        <v>6299080.390293306</v>
      </c>
      <c r="AD945" s="7" t="n">
        <v>-2653896.730310705</v>
      </c>
      <c r="AE945" s="6" t="n">
        <v>-0.4213149485122115</v>
      </c>
    </row>
    <row r="946">
      <c r="A946" s="2" t="n">
        <v>937</v>
      </c>
      <c r="B946" s="2" t="inlineStr">
        <is>
          <t>KPROP-00937</t>
        </is>
      </c>
      <c r="C946" s="3" t="n">
        <v>46180</v>
      </c>
      <c r="D946" s="2" t="inlineStr">
        <is>
          <t>Ranger Suarez</t>
        </is>
      </c>
      <c r="E946" s="2" t="inlineStr">
        <is>
          <t>Loss</t>
        </is>
      </c>
      <c r="F946" s="2" t="n">
        <v>-1</v>
      </c>
      <c r="G946" s="6" t="n">
        <v>0.1333038201519554</v>
      </c>
      <c r="H946" s="7" t="n">
        <v>100</v>
      </c>
      <c r="I946" s="7" t="n">
        <v>-100</v>
      </c>
      <c r="J946" s="7" t="n">
        <v>19524.81609919645</v>
      </c>
      <c r="K946" s="7" t="n">
        <v>20151.78546570523</v>
      </c>
      <c r="L946" s="7" t="n">
        <v>-626.9693665087798</v>
      </c>
      <c r="M946" s="6" t="n">
        <v>-0.03111234821230956</v>
      </c>
      <c r="N946" s="7" t="n">
        <v>250.060423143251</v>
      </c>
      <c r="O946" s="7" t="n">
        <v>-250.060423143251</v>
      </c>
      <c r="P946" s="7" t="n">
        <v>24755.98189118184</v>
      </c>
      <c r="Q946" s="7" t="n">
        <v>26447.63959284364</v>
      </c>
      <c r="R946" s="7" t="n">
        <v>-1691.657701661796</v>
      </c>
      <c r="S946" s="6" t="n">
        <v>-0.06396252095478247</v>
      </c>
      <c r="T946" s="7" t="n">
        <v>19933.08076571925</v>
      </c>
      <c r="U946" s="7" t="n">
        <v>-19933.08076571925</v>
      </c>
      <c r="V946" s="7" t="n">
        <v>578191.7364524874</v>
      </c>
      <c r="W946" s="7" t="n">
        <v>710248.9276166783</v>
      </c>
      <c r="X946" s="7" t="n">
        <v>-132057.1911641909</v>
      </c>
      <c r="Y946" s="6" t="n">
        <v>-0.1859308561117071</v>
      </c>
      <c r="Z946" s="7" t="n">
        <v>242958.4535155835</v>
      </c>
      <c r="AA946" s="7" t="n">
        <v>-242958.4535155835</v>
      </c>
      <c r="AB946" s="7" t="n">
        <v>3402225.206467017</v>
      </c>
      <c r="AC946" s="7" t="n">
        <v>6299080.390293306</v>
      </c>
      <c r="AD946" s="7" t="n">
        <v>-2896855.183826289</v>
      </c>
      <c r="AE946" s="6" t="n">
        <v>-0.4598854125262882</v>
      </c>
    </row>
    <row r="947">
      <c r="A947" s="2" t="n">
        <v>938</v>
      </c>
      <c r="B947" s="2" t="inlineStr">
        <is>
          <t>KPROP-00938</t>
        </is>
      </c>
      <c r="C947" s="3" t="n">
        <v>46181</v>
      </c>
      <c r="D947" s="2" t="inlineStr">
        <is>
          <t>Cristopher Sánchez</t>
        </is>
      </c>
      <c r="E947" s="2" t="inlineStr">
        <is>
          <t>Loss</t>
        </is>
      </c>
      <c r="F947" s="2" t="n">
        <v>-1</v>
      </c>
      <c r="G947" s="6" t="n">
        <v>0.2659727349183782</v>
      </c>
      <c r="H947" s="7" t="n">
        <v>100</v>
      </c>
      <c r="I947" s="7" t="n">
        <v>-100</v>
      </c>
      <c r="J947" s="7" t="n">
        <v>19424.81609919645</v>
      </c>
      <c r="K947" s="7" t="n">
        <v>20151.78546570523</v>
      </c>
      <c r="L947" s="7" t="n">
        <v>-726.9693665087798</v>
      </c>
      <c r="M947" s="6" t="n">
        <v>-0.03607468766209094</v>
      </c>
      <c r="N947" s="7" t="n">
        <v>247.5598189118184</v>
      </c>
      <c r="O947" s="7" t="n">
        <v>-247.5598189118184</v>
      </c>
      <c r="P947" s="7" t="n">
        <v>24508.42207227003</v>
      </c>
      <c r="Q947" s="7" t="n">
        <v>26447.63959284364</v>
      </c>
      <c r="R947" s="7" t="n">
        <v>-1939.217520573613</v>
      </c>
      <c r="S947" s="6" t="n">
        <v>-0.0733228957452346</v>
      </c>
      <c r="T947" s="7" t="n">
        <v>38445.80936286855</v>
      </c>
      <c r="U947" s="7" t="n">
        <v>-38445.80936286855</v>
      </c>
      <c r="V947" s="7" t="n">
        <v>539745.9270896189</v>
      </c>
      <c r="W947" s="7" t="n">
        <v>710248.9276166783</v>
      </c>
      <c r="X947" s="7" t="n">
        <v>-170503.0005270594</v>
      </c>
      <c r="Y947" s="6" t="n">
        <v>-0.2400609052648651</v>
      </c>
      <c r="Z947" s="7" t="n">
        <v>452449.5714861382</v>
      </c>
      <c r="AA947" s="7" t="n">
        <v>-452449.5714861382</v>
      </c>
      <c r="AB947" s="7" t="n">
        <v>2949775.634980878</v>
      </c>
      <c r="AC947" s="7" t="n">
        <v>6299080.390293306</v>
      </c>
      <c r="AD947" s="7" t="n">
        <v>-3349304.755312427</v>
      </c>
      <c r="AE947" s="6" t="n">
        <v>-0.5317132895261355</v>
      </c>
    </row>
    <row r="948">
      <c r="A948" s="2" t="n">
        <v>939</v>
      </c>
      <c r="B948" s="2" t="inlineStr">
        <is>
          <t>KPROP-00939</t>
        </is>
      </c>
      <c r="C948" s="3" t="n">
        <v>46181</v>
      </c>
      <c r="D948" s="2" t="inlineStr">
        <is>
          <t>Gavin Williams</t>
        </is>
      </c>
      <c r="E948" s="2" t="inlineStr">
        <is>
          <t>Win</t>
        </is>
      </c>
      <c r="F948" s="2" t="n">
        <v>1.18</v>
      </c>
      <c r="G948" s="6" t="n">
        <v>0.1991780290906012</v>
      </c>
      <c r="H948" s="7" t="n">
        <v>100</v>
      </c>
      <c r="I948" s="7" t="n">
        <v>118</v>
      </c>
      <c r="J948" s="7" t="n">
        <v>19542.81609919645</v>
      </c>
      <c r="K948" s="7" t="n">
        <v>20151.78546570523</v>
      </c>
      <c r="L948" s="7" t="n">
        <v>-608.9693665087798</v>
      </c>
      <c r="M948" s="6" t="n">
        <v>-0.03021912711134891</v>
      </c>
      <c r="N948" s="7" t="n">
        <v>245.0842207227003</v>
      </c>
      <c r="O948" s="7" t="n">
        <v>289.1993804527863</v>
      </c>
      <c r="P948" s="7" t="n">
        <v>24797.62145272281</v>
      </c>
      <c r="Q948" s="7" t="n">
        <v>26447.63959284364</v>
      </c>
      <c r="R948" s="7" t="n">
        <v>-1650.018140120828</v>
      </c>
      <c r="S948" s="6" t="n">
        <v>-0.06238810591502843</v>
      </c>
      <c r="T948" s="7" t="n">
        <v>26876.38249184741</v>
      </c>
      <c r="U948" s="7" t="n">
        <v>31714.13134037993</v>
      </c>
      <c r="V948" s="7" t="n">
        <v>571460.0584299988</v>
      </c>
      <c r="W948" s="7" t="n">
        <v>710248.9276166783</v>
      </c>
      <c r="X948" s="7" t="n">
        <v>-138788.8691866795</v>
      </c>
      <c r="Y948" s="6" t="n">
        <v>-0.1954087697849843</v>
      </c>
      <c r="Z948" s="7" t="n">
        <v>293765.248617484</v>
      </c>
      <c r="AA948" s="7" t="n">
        <v>346642.9933686311</v>
      </c>
      <c r="AB948" s="7" t="n">
        <v>3296418.62834951</v>
      </c>
      <c r="AC948" s="7" t="n">
        <v>6299080.390293306</v>
      </c>
      <c r="AD948" s="7" t="n">
        <v>-3002661.761943796</v>
      </c>
      <c r="AE948" s="6" t="n">
        <v>-0.4766825593416474</v>
      </c>
    </row>
    <row r="949">
      <c r="A949" s="2" t="n">
        <v>940</v>
      </c>
      <c r="B949" s="2" t="inlineStr">
        <is>
          <t>KPROP-00940</t>
        </is>
      </c>
      <c r="C949" s="3" t="n">
        <v>46182</v>
      </c>
      <c r="D949" s="2" t="inlineStr">
        <is>
          <t>Dylan Cease</t>
        </is>
      </c>
      <c r="E949" s="2" t="inlineStr">
        <is>
          <t>Loss</t>
        </is>
      </c>
      <c r="F949" s="2" t="n">
        <v>-1</v>
      </c>
      <c r="G949" s="6" t="n">
        <v>0.3040868214575367</v>
      </c>
      <c r="H949" s="7" t="n">
        <v>100</v>
      </c>
      <c r="I949" s="7" t="n">
        <v>-100</v>
      </c>
      <c r="J949" s="7" t="n">
        <v>19442.81609919645</v>
      </c>
      <c r="K949" s="7" t="n">
        <v>20151.78546570523</v>
      </c>
      <c r="L949" s="7" t="n">
        <v>-708.9693665087798</v>
      </c>
      <c r="M949" s="6" t="n">
        <v>-0.03518146656113029</v>
      </c>
      <c r="N949" s="7" t="n">
        <v>247.9762145272281</v>
      </c>
      <c r="O949" s="7" t="n">
        <v>-247.9762145272281</v>
      </c>
      <c r="P949" s="7" t="n">
        <v>24549.64523819558</v>
      </c>
      <c r="Q949" s="7" t="n">
        <v>26447.63959284364</v>
      </c>
      <c r="R949" s="7" t="n">
        <v>-1897.994354648057</v>
      </c>
      <c r="S949" s="6" t="n">
        <v>-0.07176422485587818</v>
      </c>
      <c r="T949" s="7" t="n">
        <v>43443.36818947914</v>
      </c>
      <c r="U949" s="7" t="n">
        <v>-43443.36818947914</v>
      </c>
      <c r="V949" s="7" t="n">
        <v>528016.6902405197</v>
      </c>
      <c r="W949" s="7" t="n">
        <v>710248.9276166783</v>
      </c>
      <c r="X949" s="7" t="n">
        <v>-182232.2373761586</v>
      </c>
      <c r="Y949" s="6" t="n">
        <v>-0.2565751672271576</v>
      </c>
      <c r="Z949" s="7" t="n">
        <v>501198.7314441077</v>
      </c>
      <c r="AA949" s="7" t="n">
        <v>-501198.7314441077</v>
      </c>
      <c r="AB949" s="7" t="n">
        <v>2795219.896905402</v>
      </c>
      <c r="AC949" s="7" t="n">
        <v>6299080.390293306</v>
      </c>
      <c r="AD949" s="7" t="n">
        <v>-3503860.493387904</v>
      </c>
      <c r="AE949" s="6" t="n">
        <v>-0.5562495279131932</v>
      </c>
    </row>
    <row r="950">
      <c r="A950" s="2" t="n">
        <v>941</v>
      </c>
      <c r="B950" s="2" t="inlineStr">
        <is>
          <t>KPROP-00941</t>
        </is>
      </c>
      <c r="C950" s="3" t="n">
        <v>46182</v>
      </c>
      <c r="D950" s="2" t="inlineStr">
        <is>
          <t>Freddy Peralta</t>
        </is>
      </c>
      <c r="E950" s="2" t="inlineStr">
        <is>
          <t>Win</t>
        </is>
      </c>
      <c r="F950" s="2" t="n">
        <v>1.16</v>
      </c>
      <c r="G950" s="6" t="n">
        <v>0.1419934655126812</v>
      </c>
      <c r="H950" s="7" t="n">
        <v>100</v>
      </c>
      <c r="I950" s="7" t="n">
        <v>116</v>
      </c>
      <c r="J950" s="7" t="n">
        <v>19558.81609919645</v>
      </c>
      <c r="K950" s="7" t="n">
        <v>20151.78546570523</v>
      </c>
      <c r="L950" s="7" t="n">
        <v>-592.9693665087798</v>
      </c>
      <c r="M950" s="6" t="n">
        <v>-0.02942515279938389</v>
      </c>
      <c r="N950" s="7" t="n">
        <v>245.4964523819558</v>
      </c>
      <c r="O950" s="7" t="n">
        <v>284.7758847630688</v>
      </c>
      <c r="P950" s="7" t="n">
        <v>24834.42112295865</v>
      </c>
      <c r="Q950" s="7" t="n">
        <v>26447.63959284364</v>
      </c>
      <c r="R950" s="7" t="n">
        <v>-1613.218469884989</v>
      </c>
      <c r="S950" s="6" t="n">
        <v>-0.06099668986420637</v>
      </c>
      <c r="T950" s="7" t="n">
        <v>18743.72992394683</v>
      </c>
      <c r="U950" s="7" t="n">
        <v>21742.72671177832</v>
      </c>
      <c r="V950" s="7" t="n">
        <v>549759.416952298</v>
      </c>
      <c r="W950" s="7" t="n">
        <v>710248.9276166783</v>
      </c>
      <c r="X950" s="7" t="n">
        <v>-160489.5106643803</v>
      </c>
      <c r="Y950" s="6" t="n">
        <v>-0.2259623414046132</v>
      </c>
      <c r="Z950" s="7" t="n">
        <v>198451.4800157987</v>
      </c>
      <c r="AA950" s="7" t="n">
        <v>230203.7168183265</v>
      </c>
      <c r="AB950" s="7" t="n">
        <v>3025423.613723728</v>
      </c>
      <c r="AC950" s="7" t="n">
        <v>6299080.390293306</v>
      </c>
      <c r="AD950" s="7" t="n">
        <v>-3273656.776569577</v>
      </c>
      <c r="AE950" s="6" t="n">
        <v>-0.5197039208475867</v>
      </c>
    </row>
    <row r="951">
      <c r="A951" s="2" t="n">
        <v>942</v>
      </c>
      <c r="B951" s="2" t="inlineStr">
        <is>
          <t>KPROP-00942</t>
        </is>
      </c>
      <c r="C951" s="3" t="n">
        <v>46182</v>
      </c>
      <c r="D951" s="2" t="inlineStr">
        <is>
          <t>Gerrit Cole</t>
        </is>
      </c>
      <c r="E951" s="2" t="inlineStr">
        <is>
          <t>Win</t>
        </is>
      </c>
      <c r="F951" s="2" t="n">
        <v>1.23</v>
      </c>
      <c r="G951" s="6" t="n">
        <v>0.05703787774756774</v>
      </c>
      <c r="H951" s="7" t="n">
        <v>100</v>
      </c>
      <c r="I951" s="7" t="n">
        <v>123</v>
      </c>
      <c r="J951" s="7" t="n">
        <v>19681.81609919645</v>
      </c>
      <c r="K951" s="7" t="n">
        <v>20151.78546570523</v>
      </c>
      <c r="L951" s="7" t="n">
        <v>-469.9693665087798</v>
      </c>
      <c r="M951" s="6" t="n">
        <v>-0.0233214752761528</v>
      </c>
      <c r="N951" s="7" t="n">
        <v>248.3442112295865</v>
      </c>
      <c r="O951" s="7" t="n">
        <v>305.4633798123914</v>
      </c>
      <c r="P951" s="7" t="n">
        <v>25139.88450277104</v>
      </c>
      <c r="Q951" s="7" t="n">
        <v>26447.63959284364</v>
      </c>
      <c r="R951" s="7" t="n">
        <v>-1307.755090072598</v>
      </c>
      <c r="S951" s="6" t="n">
        <v>-0.04944694914953614</v>
      </c>
      <c r="T951" s="7" t="n">
        <v>7839.277603674825</v>
      </c>
      <c r="U951" s="7" t="n">
        <v>9642.311452520034</v>
      </c>
      <c r="V951" s="7" t="n">
        <v>559401.7284048181</v>
      </c>
      <c r="W951" s="7" t="n">
        <v>710248.9276166783</v>
      </c>
      <c r="X951" s="7" t="n">
        <v>-150847.1992118602</v>
      </c>
      <c r="Y951" s="6" t="n">
        <v>-0.2123863808116476</v>
      </c>
      <c r="Z951" s="7" t="n">
        <v>86281.87110708932</v>
      </c>
      <c r="AA951" s="7" t="n">
        <v>106126.7014617199</v>
      </c>
      <c r="AB951" s="7" t="n">
        <v>3131550.315185448</v>
      </c>
      <c r="AC951" s="7" t="n">
        <v>6299080.390293306</v>
      </c>
      <c r="AD951" s="7" t="n">
        <v>-3167530.075107858</v>
      </c>
      <c r="AE951" s="6" t="n">
        <v>-0.5028559533847078</v>
      </c>
    </row>
    <row r="952">
      <c r="A952" s="2" t="n">
        <v>943</v>
      </c>
      <c r="B952" s="2" t="inlineStr">
        <is>
          <t>KPROP-00943</t>
        </is>
      </c>
      <c r="C952" s="3" t="n">
        <v>46182</v>
      </c>
      <c r="D952" s="2" t="inlineStr">
        <is>
          <t>Logan Gilbert</t>
        </is>
      </c>
      <c r="E952" s="2" t="inlineStr">
        <is>
          <t>Win</t>
        </is>
      </c>
      <c r="F952" s="2" t="n">
        <v>0.7751937984496124</v>
      </c>
      <c r="G952" s="6" t="n">
        <v>0.134098726328126</v>
      </c>
      <c r="H952" s="7" t="n">
        <v>100</v>
      </c>
      <c r="I952" s="7" t="n">
        <v>77.51937984496125</v>
      </c>
      <c r="J952" s="7" t="n">
        <v>19759.33547904141</v>
      </c>
      <c r="K952" s="7" t="n">
        <v>20151.78546570523</v>
      </c>
      <c r="L952" s="7" t="n">
        <v>-392.449986663818</v>
      </c>
      <c r="M952" s="6" t="n">
        <v>-0.01947470050888039</v>
      </c>
      <c r="N952" s="7" t="n">
        <v>251.3988450277104</v>
      </c>
      <c r="O952" s="7" t="n">
        <v>194.8828256028763</v>
      </c>
      <c r="P952" s="7" t="n">
        <v>25334.76732837392</v>
      </c>
      <c r="Q952" s="7" t="n">
        <v>26447.63959284364</v>
      </c>
      <c r="R952" s="7" t="n">
        <v>-1112.872264469723</v>
      </c>
      <c r="S952" s="6" t="n">
        <v>-0.04207832084836979</v>
      </c>
      <c r="T952" s="7" t="n">
        <v>18753.7648212096</v>
      </c>
      <c r="U952" s="7" t="n">
        <v>14537.80218698418</v>
      </c>
      <c r="V952" s="7" t="n">
        <v>573939.5305918023</v>
      </c>
      <c r="W952" s="7" t="n">
        <v>710248.9276166783</v>
      </c>
      <c r="X952" s="7" t="n">
        <v>-136309.397024876</v>
      </c>
      <c r="Y952" s="6" t="n">
        <v>-0.1919177794217554</v>
      </c>
      <c r="Z952" s="7" t="n">
        <v>209968.4543494051</v>
      </c>
      <c r="AA952" s="7" t="n">
        <v>162766.2436817094</v>
      </c>
      <c r="AB952" s="7" t="n">
        <v>3294316.558867157</v>
      </c>
      <c r="AC952" s="7" t="n">
        <v>6299080.390293306</v>
      </c>
      <c r="AD952" s="7" t="n">
        <v>-3004763.831426148</v>
      </c>
      <c r="AE952" s="6" t="n">
        <v>-0.4770162698759012</v>
      </c>
    </row>
    <row r="953">
      <c r="A953" s="2" t="n">
        <v>944</v>
      </c>
      <c r="B953" s="2" t="inlineStr">
        <is>
          <t>KPROP-00944</t>
        </is>
      </c>
      <c r="C953" s="3" t="n">
        <v>46182</v>
      </c>
      <c r="D953" s="2" t="inlineStr">
        <is>
          <t>Paul Skenes</t>
        </is>
      </c>
      <c r="E953" s="2" t="inlineStr">
        <is>
          <t>Loss</t>
        </is>
      </c>
      <c r="F953" s="2" t="n">
        <v>-1</v>
      </c>
      <c r="G953" s="6" t="n">
        <v>0.4098930765707258</v>
      </c>
      <c r="H953" s="7" t="n">
        <v>100</v>
      </c>
      <c r="I953" s="7" t="n">
        <v>-100</v>
      </c>
      <c r="J953" s="7" t="n">
        <v>19659.33547904141</v>
      </c>
      <c r="K953" s="7" t="n">
        <v>20151.78546570523</v>
      </c>
      <c r="L953" s="7" t="n">
        <v>-492.449986663818</v>
      </c>
      <c r="M953" s="6" t="n">
        <v>-0.02443703995866177</v>
      </c>
      <c r="N953" s="7" t="n">
        <v>253.3476732837392</v>
      </c>
      <c r="O953" s="7" t="n">
        <v>-253.3476732837392</v>
      </c>
      <c r="P953" s="7" t="n">
        <v>25081.41965509018</v>
      </c>
      <c r="Q953" s="7" t="n">
        <v>26447.63959284364</v>
      </c>
      <c r="R953" s="7" t="n">
        <v>-1366.219937753463</v>
      </c>
      <c r="S953" s="6" t="n">
        <v>-0.05165753763988615</v>
      </c>
      <c r="T953" s="7" t="n">
        <v>58813.45998995801</v>
      </c>
      <c r="U953" s="7" t="n">
        <v>-58813.45998995801</v>
      </c>
      <c r="V953" s="7" t="n">
        <v>515126.0706018443</v>
      </c>
      <c r="W953" s="7" t="n">
        <v>710248.9276166783</v>
      </c>
      <c r="X953" s="7" t="n">
        <v>-195122.857014834</v>
      </c>
      <c r="Y953" s="6" t="n">
        <v>-0.2747246063004856</v>
      </c>
      <c r="Z953" s="7" t="n">
        <v>675158.7747559729</v>
      </c>
      <c r="AA953" s="7" t="n">
        <v>-675158.7747559729</v>
      </c>
      <c r="AB953" s="7" t="n">
        <v>2619157.784111185</v>
      </c>
      <c r="AC953" s="7" t="n">
        <v>6299080.390293306</v>
      </c>
      <c r="AD953" s="7" t="n">
        <v>-3679922.606182121</v>
      </c>
      <c r="AE953" s="6" t="n">
        <v>-0.5841999749444017</v>
      </c>
    </row>
    <row r="954">
      <c r="A954" s="2" t="n">
        <v>945</v>
      </c>
      <c r="B954" s="2" t="inlineStr">
        <is>
          <t>KPROP-00945</t>
        </is>
      </c>
      <c r="C954" s="3" t="n">
        <v>46182</v>
      </c>
      <c r="D954" s="2" t="inlineStr">
        <is>
          <t>Payton Tolle</t>
        </is>
      </c>
      <c r="E954" s="2" t="inlineStr">
        <is>
          <t>Win</t>
        </is>
      </c>
      <c r="F954" s="2" t="n">
        <v>0.6451612903225805</v>
      </c>
      <c r="G954" s="6" t="n">
        <v>0.1588631927367199</v>
      </c>
      <c r="H954" s="7" t="n">
        <v>100</v>
      </c>
      <c r="I954" s="7" t="n">
        <v>64.51612903225805</v>
      </c>
      <c r="J954" s="7" t="n">
        <v>19723.85160807367</v>
      </c>
      <c r="K954" s="7" t="n">
        <v>20151.78546570523</v>
      </c>
      <c r="L954" s="7" t="n">
        <v>-427.9338576315604</v>
      </c>
      <c r="M954" s="6" t="n">
        <v>-0.02123553063622219</v>
      </c>
      <c r="N954" s="7" t="n">
        <v>250.8141965509018</v>
      </c>
      <c r="O954" s="7" t="n">
        <v>161.8156106780011</v>
      </c>
      <c r="P954" s="7" t="n">
        <v>25243.23526576818</v>
      </c>
      <c r="Q954" s="7" t="n">
        <v>26447.63959284364</v>
      </c>
      <c r="R954" s="7" t="n">
        <v>-1204.404327075463</v>
      </c>
      <c r="S954" s="6" t="n">
        <v>-0.04553919917304672</v>
      </c>
      <c r="T954" s="7" t="n">
        <v>20458.64305943249</v>
      </c>
      <c r="U954" s="7" t="n">
        <v>13199.12455447257</v>
      </c>
      <c r="V954" s="7" t="n">
        <v>528325.1951563169</v>
      </c>
      <c r="W954" s="7" t="n">
        <v>710248.9276166783</v>
      </c>
      <c r="X954" s="7" t="n">
        <v>-181923.7324603614</v>
      </c>
      <c r="Y954" s="6" t="n">
        <v>-0.2561408055494394</v>
      </c>
      <c r="Z954" s="7" t="n">
        <v>208043.8839325676</v>
      </c>
      <c r="AA954" s="7" t="n">
        <v>134221.8606016565</v>
      </c>
      <c r="AB954" s="7" t="n">
        <v>2753379.644712841</v>
      </c>
      <c r="AC954" s="7" t="n">
        <v>6299080.390293306</v>
      </c>
      <c r="AD954" s="7" t="n">
        <v>-3545700.745580465</v>
      </c>
      <c r="AE954" s="6" t="n">
        <v>-0.562891807357195</v>
      </c>
    </row>
    <row r="955">
      <c r="A955" s="2" t="n">
        <v>946</v>
      </c>
      <c r="B955" s="2" t="inlineStr">
        <is>
          <t>KPROP-00946</t>
        </is>
      </c>
      <c r="C955" s="3" t="n">
        <v>46182</v>
      </c>
      <c r="D955" s="2" t="inlineStr">
        <is>
          <t>Taj Bradley</t>
        </is>
      </c>
      <c r="E955" s="2" t="inlineStr">
        <is>
          <t>Win</t>
        </is>
      </c>
      <c r="F955" s="2" t="n">
        <v>0.9523809523809523</v>
      </c>
      <c r="G955" s="6" t="n">
        <v>0.1191733271435255</v>
      </c>
      <c r="H955" s="7" t="n">
        <v>100</v>
      </c>
      <c r="I955" s="7" t="n">
        <v>95.23809523809523</v>
      </c>
      <c r="J955" s="7" t="n">
        <v>19819.08970331176</v>
      </c>
      <c r="K955" s="7" t="n">
        <v>20151.78546570523</v>
      </c>
      <c r="L955" s="7" t="n">
        <v>-332.695762393465</v>
      </c>
      <c r="M955" s="6" t="n">
        <v>-0.01650949306500182</v>
      </c>
      <c r="N955" s="7" t="n">
        <v>252.4323526576818</v>
      </c>
      <c r="O955" s="7" t="n">
        <v>240.4117644358874</v>
      </c>
      <c r="P955" s="7" t="n">
        <v>25483.64703020407</v>
      </c>
      <c r="Q955" s="7" t="n">
        <v>26447.63959284364</v>
      </c>
      <c r="R955" s="7" t="n">
        <v>-963.9925626395743</v>
      </c>
      <c r="S955" s="6" t="n">
        <v>-0.03644909630802808</v>
      </c>
      <c r="T955" s="7" t="n">
        <v>15740.56783013268</v>
      </c>
      <c r="U955" s="7" t="n">
        <v>14991.01698107874</v>
      </c>
      <c r="V955" s="7" t="n">
        <v>543316.2121373956</v>
      </c>
      <c r="W955" s="7" t="n">
        <v>710248.9276166783</v>
      </c>
      <c r="X955" s="7" t="n">
        <v>-166932.7154792827</v>
      </c>
      <c r="Y955" s="6" t="n">
        <v>-0.2350340971853974</v>
      </c>
      <c r="Z955" s="7" t="n">
        <v>164064.7065748438</v>
      </c>
      <c r="AA955" s="7" t="n">
        <v>156252.1014998512</v>
      </c>
      <c r="AB955" s="7" t="n">
        <v>2909631.746212692</v>
      </c>
      <c r="AC955" s="7" t="n">
        <v>6299080.390293306</v>
      </c>
      <c r="AD955" s="7" t="n">
        <v>-3389448.644080613</v>
      </c>
      <c r="AE955" s="6" t="n">
        <v>-0.5380862656243683</v>
      </c>
    </row>
    <row r="956">
      <c r="A956" s="2" t="n">
        <v>947</v>
      </c>
      <c r="B956" s="2" t="inlineStr">
        <is>
          <t>KPROP-00947</t>
        </is>
      </c>
      <c r="C956" s="3" t="n">
        <v>46182</v>
      </c>
      <c r="D956" s="2" t="inlineStr">
        <is>
          <t>Zack Wheeler</t>
        </is>
      </c>
      <c r="E956" s="2" t="inlineStr">
        <is>
          <t>Win</t>
        </is>
      </c>
      <c r="F956" s="2" t="n">
        <v>1</v>
      </c>
      <c r="G956" s="6" t="n">
        <v>0.2341333905519614</v>
      </c>
      <c r="H956" s="7" t="n">
        <v>100</v>
      </c>
      <c r="I956" s="7" t="n">
        <v>100</v>
      </c>
      <c r="J956" s="7" t="n">
        <v>19919.08970331176</v>
      </c>
      <c r="K956" s="7" t="n">
        <v>20151.78546570523</v>
      </c>
      <c r="L956" s="7" t="n">
        <v>-232.695762393465</v>
      </c>
      <c r="M956" s="6" t="n">
        <v>-0.01154715361522045</v>
      </c>
      <c r="N956" s="7" t="n">
        <v>254.8364703020407</v>
      </c>
      <c r="O956" s="7" t="n">
        <v>254.8364703020407</v>
      </c>
      <c r="P956" s="7" t="n">
        <v>25738.48350050611</v>
      </c>
      <c r="Q956" s="7" t="n">
        <v>26447.63959284364</v>
      </c>
      <c r="R956" s="7" t="n">
        <v>-709.1560923375328</v>
      </c>
      <c r="S956" s="6" t="n">
        <v>-0.02681358727110832</v>
      </c>
      <c r="T956" s="7" t="n">
        <v>31802.11672239429</v>
      </c>
      <c r="U956" s="7" t="n">
        <v>31802.11672239429</v>
      </c>
      <c r="V956" s="7" t="n">
        <v>575118.3288597899</v>
      </c>
      <c r="W956" s="7" t="n">
        <v>710248.9276166783</v>
      </c>
      <c r="X956" s="7" t="n">
        <v>-135130.5987568884</v>
      </c>
      <c r="Y956" s="6" t="n">
        <v>-0.1902580820647412</v>
      </c>
      <c r="Z956" s="7" t="n">
        <v>340620.9729992008</v>
      </c>
      <c r="AA956" s="7" t="n">
        <v>340620.9729992008</v>
      </c>
      <c r="AB956" s="7" t="n">
        <v>3250252.719211893</v>
      </c>
      <c r="AC956" s="7" t="n">
        <v>6299080.390293306</v>
      </c>
      <c r="AD956" s="7" t="n">
        <v>-3048827.671081413</v>
      </c>
      <c r="AE956" s="6" t="n">
        <v>-0.484011551238426</v>
      </c>
    </row>
    <row r="957">
      <c r="A957" s="2" t="n">
        <v>948</v>
      </c>
      <c r="B957" s="2" t="inlineStr">
        <is>
          <t>KPROP-00948</t>
        </is>
      </c>
      <c r="C957" s="3" t="n">
        <v>46183</v>
      </c>
      <c r="D957" s="2" t="inlineStr">
        <is>
          <t>Chris Sale</t>
        </is>
      </c>
      <c r="E957" s="2" t="inlineStr">
        <is>
          <t>Win</t>
        </is>
      </c>
      <c r="F957" s="2" t="n">
        <v>0.8333333333333335</v>
      </c>
      <c r="G957" s="6" t="n">
        <v>0.4862956286917441</v>
      </c>
      <c r="H957" s="7" t="n">
        <v>100</v>
      </c>
      <c r="I957" s="7" t="n">
        <v>83.33333333333334</v>
      </c>
      <c r="J957" s="7" t="n">
        <v>20002.42303664509</v>
      </c>
      <c r="K957" s="7" t="n">
        <v>20151.78546570523</v>
      </c>
      <c r="L957" s="7" t="n">
        <v>-149.3624290601329</v>
      </c>
      <c r="M957" s="6" t="n">
        <v>-0.007411870740402694</v>
      </c>
      <c r="N957" s="7" t="n">
        <v>257.3848350050611</v>
      </c>
      <c r="O957" s="7" t="n">
        <v>214.4873625042176</v>
      </c>
      <c r="P957" s="7" t="n">
        <v>25952.97086301032</v>
      </c>
      <c r="Q957" s="7" t="n">
        <v>26447.63959284364</v>
      </c>
      <c r="R957" s="7" t="n">
        <v>-494.6687298333163</v>
      </c>
      <c r="S957" s="6" t="n">
        <v>-0.0187037004983676</v>
      </c>
      <c r="T957" s="7" t="n">
        <v>69919.3823262542</v>
      </c>
      <c r="U957" s="7" t="n">
        <v>58266.15193854518</v>
      </c>
      <c r="V957" s="7" t="n">
        <v>633384.480798335</v>
      </c>
      <c r="W957" s="7" t="n">
        <v>710248.9276166783</v>
      </c>
      <c r="X957" s="7" t="n">
        <v>-76864.44681834325</v>
      </c>
      <c r="Y957" s="6" t="n">
        <v>-0.1082218414271609</v>
      </c>
      <c r="Z957" s="7" t="n">
        <v>790291.8447480992</v>
      </c>
      <c r="AA957" s="7" t="n">
        <v>658576.5372900828</v>
      </c>
      <c r="AB957" s="7" t="n">
        <v>3908829.256501976</v>
      </c>
      <c r="AC957" s="7" t="n">
        <v>6299080.390293306</v>
      </c>
      <c r="AD957" s="7" t="n">
        <v>-2390251.13379133</v>
      </c>
      <c r="AE957" s="6" t="n">
        <v>-0.3794603316183479</v>
      </c>
    </row>
    <row r="958">
      <c r="A958" s="2" t="n">
        <v>949</v>
      </c>
      <c r="B958" s="2" t="inlineStr">
        <is>
          <t>KPROP-00949</t>
        </is>
      </c>
      <c r="C958" s="3" t="n">
        <v>46183</v>
      </c>
      <c r="D958" s="2" t="inlineStr">
        <is>
          <t>Drew Rasmussen</t>
        </is>
      </c>
      <c r="E958" s="2" t="inlineStr">
        <is>
          <t>Loss</t>
        </is>
      </c>
      <c r="F958" s="2" t="n">
        <v>-1</v>
      </c>
      <c r="G958" s="6" t="n">
        <v>0.1104368121839811</v>
      </c>
      <c r="H958" s="7" t="n">
        <v>100</v>
      </c>
      <c r="I958" s="7" t="n">
        <v>-100</v>
      </c>
      <c r="J958" s="7" t="n">
        <v>19902.42303664509</v>
      </c>
      <c r="K958" s="7" t="n">
        <v>20151.78546570523</v>
      </c>
      <c r="L958" s="7" t="n">
        <v>-249.3624290601329</v>
      </c>
      <c r="M958" s="6" t="n">
        <v>-0.01237421019018407</v>
      </c>
      <c r="N958" s="7" t="n">
        <v>259.5297086301032</v>
      </c>
      <c r="O958" s="7" t="n">
        <v>-259.5297086301032</v>
      </c>
      <c r="P958" s="7" t="n">
        <v>25693.44115438022</v>
      </c>
      <c r="Q958" s="7" t="n">
        <v>26447.63959284364</v>
      </c>
      <c r="R958" s="7" t="n">
        <v>-754.1984384634197</v>
      </c>
      <c r="S958" s="6" t="n">
        <v>-0.02851666349338393</v>
      </c>
      <c r="T958" s="7" t="n">
        <v>17487.24073654352</v>
      </c>
      <c r="U958" s="7" t="n">
        <v>-17487.24073654352</v>
      </c>
      <c r="V958" s="7" t="n">
        <v>615897.2400617915</v>
      </c>
      <c r="W958" s="7" t="n">
        <v>710248.9276166783</v>
      </c>
      <c r="X958" s="7" t="n">
        <v>-94351.6875548868</v>
      </c>
      <c r="Y958" s="6" t="n">
        <v>-0.1328431256791822</v>
      </c>
      <c r="Z958" s="7" t="n">
        <v>215839.3212297795</v>
      </c>
      <c r="AA958" s="7" t="n">
        <v>-215839.3212297795</v>
      </c>
      <c r="AB958" s="7" t="n">
        <v>3692989.935272196</v>
      </c>
      <c r="AC958" s="7" t="n">
        <v>6299080.390293306</v>
      </c>
      <c r="AD958" s="7" t="n">
        <v>-2606090.455021109</v>
      </c>
      <c r="AE958" s="6" t="n">
        <v>-0.4137255430232351</v>
      </c>
    </row>
    <row r="959">
      <c r="A959" s="2" t="n">
        <v>950</v>
      </c>
      <c r="B959" s="2" t="inlineStr">
        <is>
          <t>KPROP-00950</t>
        </is>
      </c>
      <c r="C959" s="3" t="n">
        <v>46183</v>
      </c>
      <c r="D959" s="2" t="inlineStr">
        <is>
          <t>Drew Rasmussen</t>
        </is>
      </c>
      <c r="E959" s="2" t="inlineStr">
        <is>
          <t>Loss</t>
        </is>
      </c>
      <c r="F959" s="2" t="n">
        <v>-1</v>
      </c>
      <c r="G959" s="6" t="n">
        <v>0.257685059217262</v>
      </c>
      <c r="H959" s="7" t="n">
        <v>100</v>
      </c>
      <c r="I959" s="7" t="n">
        <v>-100</v>
      </c>
      <c r="J959" s="7" t="n">
        <v>19802.42303664509</v>
      </c>
      <c r="K959" s="7" t="n">
        <v>20151.78546570523</v>
      </c>
      <c r="L959" s="7" t="n">
        <v>-349.3624290601329</v>
      </c>
      <c r="M959" s="6" t="n">
        <v>-0.01733654963996544</v>
      </c>
      <c r="N959" s="7" t="n">
        <v>256.9344115438022</v>
      </c>
      <c r="O959" s="7" t="n">
        <v>-256.9344115438022</v>
      </c>
      <c r="P959" s="7" t="n">
        <v>25436.50674283642</v>
      </c>
      <c r="Q959" s="7" t="n">
        <v>26447.63959284364</v>
      </c>
      <c r="R959" s="7" t="n">
        <v>-1011.132850007223</v>
      </c>
      <c r="S959" s="6" t="n">
        <v>-0.03823149685845014</v>
      </c>
      <c r="T959" s="7" t="n">
        <v>39676.87919426775</v>
      </c>
      <c r="U959" s="7" t="n">
        <v>-39676.87919426775</v>
      </c>
      <c r="V959" s="7" t="n">
        <v>576220.3608675237</v>
      </c>
      <c r="W959" s="7" t="n">
        <v>710248.9276166783</v>
      </c>
      <c r="X959" s="7" t="n">
        <v>-134028.5667491546</v>
      </c>
      <c r="Y959" s="6" t="n">
        <v>-0.1887064683066862</v>
      </c>
      <c r="Z959" s="7" t="n">
        <v>475814.1650796843</v>
      </c>
      <c r="AA959" s="7" t="n">
        <v>-475814.1650796843</v>
      </c>
      <c r="AB959" s="7" t="n">
        <v>3217175.770192512</v>
      </c>
      <c r="AC959" s="7" t="n">
        <v>6299080.390293306</v>
      </c>
      <c r="AD959" s="7" t="n">
        <v>-3081904.620100794</v>
      </c>
      <c r="AE959" s="6" t="n">
        <v>-0.489262627105048</v>
      </c>
    </row>
    <row r="960">
      <c r="A960" s="2" t="n">
        <v>951</v>
      </c>
      <c r="B960" s="2" t="inlineStr">
        <is>
          <t>KPROP-00951</t>
        </is>
      </c>
      <c r="C960" s="3" t="n">
        <v>46183</v>
      </c>
      <c r="D960" s="2" t="inlineStr">
        <is>
          <t>Foster Griffin</t>
        </is>
      </c>
      <c r="E960" s="2" t="inlineStr">
        <is>
          <t>Win</t>
        </is>
      </c>
      <c r="F960" s="2" t="n">
        <v>0.6578947368421053</v>
      </c>
      <c r="G960" s="6" t="n">
        <v>0.117706858119138</v>
      </c>
      <c r="H960" s="7" t="n">
        <v>100</v>
      </c>
      <c r="I960" s="7" t="n">
        <v>65.78947368421053</v>
      </c>
      <c r="J960" s="7" t="n">
        <v>19868.2125103293</v>
      </c>
      <c r="K960" s="7" t="n">
        <v>20151.78546570523</v>
      </c>
      <c r="L960" s="7" t="n">
        <v>-283.5729553759229</v>
      </c>
      <c r="M960" s="6" t="n">
        <v>-0.01407185263353036</v>
      </c>
      <c r="N960" s="7" t="n">
        <v>254.3650674283642</v>
      </c>
      <c r="O960" s="7" t="n">
        <v>167.345439097608</v>
      </c>
      <c r="P960" s="7" t="n">
        <v>25603.85218193402</v>
      </c>
      <c r="Q960" s="7" t="n">
        <v>26447.63959284364</v>
      </c>
      <c r="R960" s="7" t="n">
        <v>-843.7874109096156</v>
      </c>
      <c r="S960" s="6" t="n">
        <v>-0.0319040724956768</v>
      </c>
      <c r="T960" s="7" t="n">
        <v>16956.27206549803</v>
      </c>
      <c r="U960" s="7" t="n">
        <v>11155.44214835397</v>
      </c>
      <c r="V960" s="7" t="n">
        <v>587375.8030158777</v>
      </c>
      <c r="W960" s="7" t="n">
        <v>710248.9276166783</v>
      </c>
      <c r="X960" s="7" t="n">
        <v>-122873.1246008006</v>
      </c>
      <c r="Y960" s="6" t="n">
        <v>-0.1730000846507652</v>
      </c>
      <c r="Z960" s="7" t="n">
        <v>189341.8259631893</v>
      </c>
      <c r="AA960" s="7" t="n">
        <v>124566.9907652561</v>
      </c>
      <c r="AB960" s="7" t="n">
        <v>3341742.760957768</v>
      </c>
      <c r="AC960" s="7" t="n">
        <v>6299080.390293306</v>
      </c>
      <c r="AD960" s="7" t="n">
        <v>-2957337.629335538</v>
      </c>
      <c r="AE960" s="6" t="n">
        <v>-0.4694872022736377</v>
      </c>
    </row>
    <row r="961">
      <c r="A961" s="2" t="n">
        <v>952</v>
      </c>
      <c r="B961" s="2" t="inlineStr">
        <is>
          <t>KPROP-00952</t>
        </is>
      </c>
      <c r="C961" s="3" t="n">
        <v>46183</v>
      </c>
      <c r="D961" s="2" t="inlineStr">
        <is>
          <t>Jesús Luzardo</t>
        </is>
      </c>
      <c r="E961" s="2" t="inlineStr">
        <is>
          <t>Loss</t>
        </is>
      </c>
      <c r="F961" s="2" t="n">
        <v>-1</v>
      </c>
      <c r="G961" s="6" t="n">
        <v>0.0850977695709301</v>
      </c>
      <c r="H961" s="7" t="n">
        <v>100</v>
      </c>
      <c r="I961" s="7" t="n">
        <v>-100</v>
      </c>
      <c r="J961" s="7" t="n">
        <v>19768.2125103293</v>
      </c>
      <c r="K961" s="7" t="n">
        <v>20151.78546570523</v>
      </c>
      <c r="L961" s="7" t="n">
        <v>-383.5729553759229</v>
      </c>
      <c r="M961" s="6" t="n">
        <v>-0.01903419208331173</v>
      </c>
      <c r="N961" s="7" t="n">
        <v>256.0385218193402</v>
      </c>
      <c r="O961" s="7" t="n">
        <v>-256.0385218193402</v>
      </c>
      <c r="P961" s="7" t="n">
        <v>25347.81366011468</v>
      </c>
      <c r="Q961" s="7" t="n">
        <v>26447.63959284364</v>
      </c>
      <c r="R961" s="7" t="n">
        <v>-1099.825932728956</v>
      </c>
      <c r="S961" s="6" t="n">
        <v>-0.04158503177072004</v>
      </c>
      <c r="T961" s="7" t="n">
        <v>12496.0926841463</v>
      </c>
      <c r="U961" s="7" t="n">
        <v>-12496.0926841463</v>
      </c>
      <c r="V961" s="7" t="n">
        <v>574879.7103317315</v>
      </c>
      <c r="W961" s="7" t="n">
        <v>710248.9276166783</v>
      </c>
      <c r="X961" s="7" t="n">
        <v>-135369.2172849468</v>
      </c>
      <c r="Y961" s="6" t="n">
        <v>-0.1905940467086571</v>
      </c>
      <c r="Z961" s="7" t="n">
        <v>142187.427718654</v>
      </c>
      <c r="AA961" s="7" t="n">
        <v>-142187.427718654</v>
      </c>
      <c r="AB961" s="7" t="n">
        <v>3199555.333239114</v>
      </c>
      <c r="AC961" s="7" t="n">
        <v>6299080.390293306</v>
      </c>
      <c r="AD961" s="7" t="n">
        <v>-3099525.057054191</v>
      </c>
      <c r="AE961" s="6" t="n">
        <v>-0.4920599301813113</v>
      </c>
    </row>
    <row r="962">
      <c r="A962" s="2" t="n">
        <v>953</v>
      </c>
      <c r="B962" s="2" t="inlineStr">
        <is>
          <t>KPROP-00953</t>
        </is>
      </c>
      <c r="C962" s="3" t="n">
        <v>46183</v>
      </c>
      <c r="D962" s="2" t="inlineStr">
        <is>
          <t>Michael King</t>
        </is>
      </c>
      <c r="E962" s="2" t="inlineStr">
        <is>
          <t>Win</t>
        </is>
      </c>
      <c r="F962" s="2" t="n">
        <v>1.3</v>
      </c>
      <c r="G962" s="6" t="n">
        <v>0.1915964310208757</v>
      </c>
      <c r="H962" s="7" t="n">
        <v>100</v>
      </c>
      <c r="I962" s="7" t="n">
        <v>130</v>
      </c>
      <c r="J962" s="7" t="n">
        <v>19898.2125103293</v>
      </c>
      <c r="K962" s="7" t="n">
        <v>20151.78546570523</v>
      </c>
      <c r="L962" s="7" t="n">
        <v>-253.5729553759229</v>
      </c>
      <c r="M962" s="6" t="n">
        <v>-0.01258315079859595</v>
      </c>
      <c r="N962" s="7" t="n">
        <v>253.4781366011468</v>
      </c>
      <c r="O962" s="7" t="n">
        <v>329.5215775814909</v>
      </c>
      <c r="P962" s="7" t="n">
        <v>25677.33523769617</v>
      </c>
      <c r="Q962" s="7" t="n">
        <v>26447.63959284364</v>
      </c>
      <c r="R962" s="7" t="n">
        <v>-770.3043551474657</v>
      </c>
      <c r="S962" s="6" t="n">
        <v>-0.02912563718373942</v>
      </c>
      <c r="T962" s="7" t="n">
        <v>27536.22519146865</v>
      </c>
      <c r="U962" s="7" t="n">
        <v>35797.09274890924</v>
      </c>
      <c r="V962" s="7" t="n">
        <v>610676.8030806407</v>
      </c>
      <c r="W962" s="7" t="n">
        <v>710248.9276166783</v>
      </c>
      <c r="X962" s="7" t="n">
        <v>-99572.12453603756</v>
      </c>
      <c r="Y962" s="6" t="n">
        <v>-0.1401932768419141</v>
      </c>
      <c r="Z962" s="7" t="n">
        <v>306511.6913512115</v>
      </c>
      <c r="AA962" s="7" t="n">
        <v>398465.1987565748</v>
      </c>
      <c r="AB962" s="7" t="n">
        <v>3598020.531995689</v>
      </c>
      <c r="AC962" s="7" t="n">
        <v>6299080.390293306</v>
      </c>
      <c r="AD962" s="7" t="n">
        <v>-2701059.858297617</v>
      </c>
      <c r="AE962" s="6" t="n">
        <v>-0.4288022522239705</v>
      </c>
    </row>
    <row r="963">
      <c r="A963" s="2" t="n">
        <v>954</v>
      </c>
      <c r="B963" s="2" t="inlineStr">
        <is>
          <t>KPROP-00954</t>
        </is>
      </c>
      <c r="C963" s="3" t="n">
        <v>46183</v>
      </c>
      <c r="D963" s="2" t="inlineStr">
        <is>
          <t>Michael King</t>
        </is>
      </c>
      <c r="E963" s="2" t="inlineStr">
        <is>
          <t>Win</t>
        </is>
      </c>
      <c r="F963" s="2" t="n">
        <v>0.6802721088435373</v>
      </c>
      <c r="G963" s="6" t="n">
        <v>0.2563238157980007</v>
      </c>
      <c r="H963" s="7" t="n">
        <v>100</v>
      </c>
      <c r="I963" s="7" t="n">
        <v>68.02721088435374</v>
      </c>
      <c r="J963" s="7" t="n">
        <v>19966.23972121366</v>
      </c>
      <c r="K963" s="7" t="n">
        <v>20151.78546570523</v>
      </c>
      <c r="L963" s="7" t="n">
        <v>-185.5457444915701</v>
      </c>
      <c r="M963" s="6" t="n">
        <v>-0.009207409676295736</v>
      </c>
      <c r="N963" s="7" t="n">
        <v>256.7733523769617</v>
      </c>
      <c r="O963" s="7" t="n">
        <v>174.6757499163004</v>
      </c>
      <c r="P963" s="7" t="n">
        <v>25852.01098761247</v>
      </c>
      <c r="Q963" s="7" t="n">
        <v>26447.63959284364</v>
      </c>
      <c r="R963" s="7" t="n">
        <v>-595.6286052311661</v>
      </c>
      <c r="S963" s="6" t="n">
        <v>-0.02252104968158803</v>
      </c>
      <c r="T963" s="7" t="n">
        <v>39132.75209623852</v>
      </c>
      <c r="U963" s="7" t="n">
        <v>26620.91979335954</v>
      </c>
      <c r="V963" s="7" t="n">
        <v>637297.7228740003</v>
      </c>
      <c r="W963" s="7" t="n">
        <v>710248.9276166783</v>
      </c>
      <c r="X963" s="7" t="n">
        <v>-72951.20474267798</v>
      </c>
      <c r="Y963" s="6" t="n">
        <v>-0.1027121645751358</v>
      </c>
      <c r="Z963" s="7" t="n">
        <v>461129.1760403437</v>
      </c>
      <c r="AA963" s="7" t="n">
        <v>313693.3170342473</v>
      </c>
      <c r="AB963" s="7" t="n">
        <v>3911713.849029936</v>
      </c>
      <c r="AC963" s="7" t="n">
        <v>6299080.390293306</v>
      </c>
      <c r="AD963" s="7" t="n">
        <v>-2387366.541263369</v>
      </c>
      <c r="AE963" s="6" t="n">
        <v>-0.3790023929432985</v>
      </c>
    </row>
    <row r="964">
      <c r="A964" s="2" t="n">
        <v>955</v>
      </c>
      <c r="B964" s="2" t="inlineStr">
        <is>
          <t>KPROP-00955</t>
        </is>
      </c>
      <c r="C964" s="3" t="n">
        <v>46183</v>
      </c>
      <c r="D964" s="2" t="inlineStr">
        <is>
          <t>Parker Messick</t>
        </is>
      </c>
      <c r="E964" s="2" t="inlineStr">
        <is>
          <t>Win</t>
        </is>
      </c>
      <c r="F964" s="2" t="n">
        <v>0.847457627118644</v>
      </c>
      <c r="G964" s="6" t="n">
        <v>0.1732486689821583</v>
      </c>
      <c r="H964" s="7" t="n">
        <v>100</v>
      </c>
      <c r="I964" s="7" t="n">
        <v>84.7457627118644</v>
      </c>
      <c r="J964" s="7" t="n">
        <v>20050.98548392552</v>
      </c>
      <c r="K964" s="7" t="n">
        <v>20151.78546570523</v>
      </c>
      <c r="L964" s="7" t="n">
        <v>-100.7999817797063</v>
      </c>
      <c r="M964" s="6" t="n">
        <v>-0.005002037261226804</v>
      </c>
      <c r="N964" s="7" t="n">
        <v>258.5201098761248</v>
      </c>
      <c r="O964" s="7" t="n">
        <v>219.0848388780718</v>
      </c>
      <c r="P964" s="7" t="n">
        <v>26071.09582649055</v>
      </c>
      <c r="Q964" s="7" t="n">
        <v>26447.63959284364</v>
      </c>
      <c r="R964" s="7" t="n">
        <v>-376.5437663530938</v>
      </c>
      <c r="S964" s="6" t="n">
        <v>-0.01423732976363536</v>
      </c>
      <c r="T964" s="7" t="n">
        <v>27602.74555832023</v>
      </c>
      <c r="U964" s="7" t="n">
        <v>23392.15725281375</v>
      </c>
      <c r="V964" s="7" t="n">
        <v>660689.8801268141</v>
      </c>
      <c r="W964" s="7" t="n">
        <v>710248.9276166783</v>
      </c>
      <c r="X964" s="7" t="n">
        <v>-49559.04748986417</v>
      </c>
      <c r="Y964" s="6" t="n">
        <v>-0.0697770113587714</v>
      </c>
      <c r="Z964" s="7" t="n">
        <v>338849.6088917559</v>
      </c>
      <c r="AA964" s="7" t="n">
        <v>287160.685501488</v>
      </c>
      <c r="AB964" s="7" t="n">
        <v>4198874.534531425</v>
      </c>
      <c r="AC964" s="7" t="n">
        <v>6299080.390293306</v>
      </c>
      <c r="AD964" s="7" t="n">
        <v>-2100205.855761881</v>
      </c>
      <c r="AE964" s="6" t="n">
        <v>-0.3334146773230955</v>
      </c>
    </row>
    <row r="965">
      <c r="A965" s="2" t="n">
        <v>956</v>
      </c>
      <c r="B965" s="2" t="inlineStr">
        <is>
          <t>KPROP-00956</t>
        </is>
      </c>
      <c r="C965" s="3" t="n">
        <v>46183</v>
      </c>
      <c r="D965" s="2" t="inlineStr">
        <is>
          <t>Robbie Ray</t>
        </is>
      </c>
      <c r="E965" s="2" t="inlineStr">
        <is>
          <t>Win</t>
        </is>
      </c>
      <c r="F965" s="2" t="n">
        <v>0.6896551724137931</v>
      </c>
      <c r="G965" s="6" t="n">
        <v>0.2887022740631793</v>
      </c>
      <c r="H965" s="7" t="n">
        <v>100</v>
      </c>
      <c r="I965" s="7" t="n">
        <v>68.96551724137932</v>
      </c>
      <c r="J965" s="7" t="n">
        <v>20119.9510011669</v>
      </c>
      <c r="K965" s="7" t="n">
        <v>20151.78546570523</v>
      </c>
      <c r="L965" s="7" t="n">
        <v>-31.83446453832585</v>
      </c>
      <c r="M965" s="6" t="n">
        <v>-0.001579734192412006</v>
      </c>
      <c r="N965" s="7" t="n">
        <v>260.7109582649055</v>
      </c>
      <c r="O965" s="7" t="n">
        <v>179.8006608723486</v>
      </c>
      <c r="P965" s="7" t="n">
        <v>26250.89648736289</v>
      </c>
      <c r="Q965" s="7" t="n">
        <v>26447.63959284364</v>
      </c>
      <c r="R965" s="7" t="n">
        <v>-196.7431054807457</v>
      </c>
      <c r="S965" s="6" t="n">
        <v>-0.007438966520625971</v>
      </c>
      <c r="T965" s="7" t="n">
        <v>47685.66771078514</v>
      </c>
      <c r="U965" s="7" t="n">
        <v>32886.66738674837</v>
      </c>
      <c r="V965" s="7" t="n">
        <v>693576.5475135625</v>
      </c>
      <c r="W965" s="7" t="n">
        <v>710248.9276166783</v>
      </c>
      <c r="X965" s="7" t="n">
        <v>-16672.38010311581</v>
      </c>
      <c r="Y965" s="6" t="n">
        <v>-0.02347399546108699</v>
      </c>
      <c r="Z965" s="7" t="n">
        <v>606112.3133125978</v>
      </c>
      <c r="AA965" s="7" t="n">
        <v>418008.4919397227</v>
      </c>
      <c r="AB965" s="7" t="n">
        <v>4616883.026471147</v>
      </c>
      <c r="AC965" s="7" t="n">
        <v>6299080.390293306</v>
      </c>
      <c r="AD965" s="7" t="n">
        <v>-1682197.363822158</v>
      </c>
      <c r="AE965" s="6" t="n">
        <v>-0.2670544364562126</v>
      </c>
    </row>
    <row r="966">
      <c r="A966" s="2" t="n">
        <v>957</v>
      </c>
      <c r="B966" s="2" t="inlineStr">
        <is>
          <t>KPROP-00957</t>
        </is>
      </c>
      <c r="C966" s="3" t="n">
        <v>46183</v>
      </c>
      <c r="D966" s="2" t="inlineStr">
        <is>
          <t>Shohei Ohtani</t>
        </is>
      </c>
      <c r="E966" s="2" t="inlineStr">
        <is>
          <t>Win</t>
        </is>
      </c>
      <c r="F966" s="2" t="n">
        <v>0.9433962264150944</v>
      </c>
      <c r="G966" s="6" t="n">
        <v>0.3975176146354652</v>
      </c>
      <c r="H966" s="7" t="n">
        <v>100</v>
      </c>
      <c r="I966" s="7" t="n">
        <v>94.33962264150944</v>
      </c>
      <c r="J966" s="7" t="n">
        <v>20214.29062380841</v>
      </c>
      <c r="K966" s="7" t="n">
        <v>20214.29062380841</v>
      </c>
      <c r="L966" s="7" t="n">
        <v>0</v>
      </c>
      <c r="M966" s="6" t="n">
        <v>0</v>
      </c>
      <c r="N966" s="7" t="n">
        <v>262.5089648736289</v>
      </c>
      <c r="O966" s="7" t="n">
        <v>247.6499668619141</v>
      </c>
      <c r="P966" s="7" t="n">
        <v>26498.54645422481</v>
      </c>
      <c r="Q966" s="7" t="n">
        <v>26498.54645422481</v>
      </c>
      <c r="R966" s="7" t="n">
        <v>0</v>
      </c>
      <c r="S966" s="6" t="n">
        <v>0</v>
      </c>
      <c r="T966" s="7" t="n">
        <v>68927.22368367319</v>
      </c>
      <c r="U966" s="7" t="n">
        <v>65025.68272044641</v>
      </c>
      <c r="V966" s="7" t="n">
        <v>758602.2302340089</v>
      </c>
      <c r="W966" s="7" t="n">
        <v>758602.2302340089</v>
      </c>
      <c r="X966" s="7" t="n">
        <v>0</v>
      </c>
      <c r="Y966" s="6" t="n">
        <v>0</v>
      </c>
      <c r="Z966" s="7" t="n">
        <v>917646.163866889</v>
      </c>
      <c r="AA966" s="7" t="n">
        <v>865703.9281763104</v>
      </c>
      <c r="AB966" s="7" t="n">
        <v>5482586.954647457</v>
      </c>
      <c r="AC966" s="7" t="n">
        <v>6299080.390293306</v>
      </c>
      <c r="AD966" s="7" t="n">
        <v>-816493.4356458485</v>
      </c>
      <c r="AE966" s="6" t="n">
        <v>-0.1296210534007536</v>
      </c>
    </row>
    <row r="967">
      <c r="A967" s="2" t="n">
        <v>958</v>
      </c>
      <c r="B967" s="2" t="inlineStr">
        <is>
          <t>KPROP-00958</t>
        </is>
      </c>
      <c r="C967" s="3" t="n">
        <v>46184</v>
      </c>
      <c r="D967" s="2" t="inlineStr">
        <is>
          <t>Bryan Woo</t>
        </is>
      </c>
      <c r="E967" s="2" t="inlineStr">
        <is>
          <t>Win</t>
        </is>
      </c>
      <c r="F967" s="2" t="n">
        <v>0.7142857142857144</v>
      </c>
      <c r="G967" s="6" t="n">
        <v>0.1626040982624628</v>
      </c>
      <c r="H967" s="7" t="n">
        <v>100</v>
      </c>
      <c r="I967" s="7" t="n">
        <v>71.42857142857144</v>
      </c>
      <c r="J967" s="7" t="n">
        <v>20285.71919523698</v>
      </c>
      <c r="K967" s="7" t="n">
        <v>20285.71919523698</v>
      </c>
      <c r="L967" s="7" t="n">
        <v>0</v>
      </c>
      <c r="M967" s="6" t="n">
        <v>0</v>
      </c>
      <c r="N967" s="7" t="n">
        <v>264.9854645422481</v>
      </c>
      <c r="O967" s="7" t="n">
        <v>189.2753318158915</v>
      </c>
      <c r="P967" s="7" t="n">
        <v>26687.8217860407</v>
      </c>
      <c r="Q967" s="7" t="n">
        <v>26687.8217860407</v>
      </c>
      <c r="R967" s="7" t="n">
        <v>0</v>
      </c>
      <c r="S967" s="6" t="n">
        <v>0</v>
      </c>
      <c r="T967" s="7" t="n">
        <v>30837.95789677355</v>
      </c>
      <c r="U967" s="7" t="n">
        <v>22027.11278340968</v>
      </c>
      <c r="V967" s="7" t="n">
        <v>780629.3430174185</v>
      </c>
      <c r="W967" s="7" t="n">
        <v>780629.3430174185</v>
      </c>
      <c r="X967" s="7" t="n">
        <v>0</v>
      </c>
      <c r="Y967" s="6" t="n">
        <v>0</v>
      </c>
      <c r="Z967" s="7" t="n">
        <v>445745.5539529959</v>
      </c>
      <c r="AA967" s="7" t="n">
        <v>318389.6813949972</v>
      </c>
      <c r="AB967" s="7" t="n">
        <v>5800976.636042454</v>
      </c>
      <c r="AC967" s="7" t="n">
        <v>6299080.390293306</v>
      </c>
      <c r="AD967" s="7" t="n">
        <v>-498103.7542508515</v>
      </c>
      <c r="AE967" s="6" t="n">
        <v>-0.0790756306298955</v>
      </c>
    </row>
    <row r="968">
      <c r="A968" s="2" t="n">
        <v>959</v>
      </c>
      <c r="B968" s="2" t="inlineStr">
        <is>
          <t>KPROP-00959</t>
        </is>
      </c>
      <c r="C968" s="3" t="n">
        <v>46184</v>
      </c>
      <c r="D968" s="2" t="inlineStr">
        <is>
          <t>Christian Scott</t>
        </is>
      </c>
      <c r="E968" s="2" t="inlineStr">
        <is>
          <t>Loss</t>
        </is>
      </c>
      <c r="F968" s="2" t="n">
        <v>-1</v>
      </c>
      <c r="G968" s="6" t="n">
        <v>0.09533425044000976</v>
      </c>
      <c r="H968" s="7" t="n">
        <v>100</v>
      </c>
      <c r="I968" s="7" t="n">
        <v>-100</v>
      </c>
      <c r="J968" s="7" t="n">
        <v>20185.71919523698</v>
      </c>
      <c r="K968" s="7" t="n">
        <v>20285.71919523698</v>
      </c>
      <c r="L968" s="7" t="n">
        <v>-100</v>
      </c>
      <c r="M968" s="6" t="n">
        <v>-0.00492957627173897</v>
      </c>
      <c r="N968" s="7" t="n">
        <v>266.878217860407</v>
      </c>
      <c r="O968" s="7" t="n">
        <v>-266.878217860407</v>
      </c>
      <c r="P968" s="7" t="n">
        <v>26420.94356818029</v>
      </c>
      <c r="Q968" s="7" t="n">
        <v>26687.8217860407</v>
      </c>
      <c r="R968" s="7" t="n">
        <v>-266.8782178604088</v>
      </c>
      <c r="S968" s="6" t="n">
        <v>-0.01000000000000007</v>
      </c>
      <c r="T968" s="7" t="n">
        <v>18605.17832201071</v>
      </c>
      <c r="U968" s="7" t="n">
        <v>-18605.17832201071</v>
      </c>
      <c r="V968" s="7" t="n">
        <v>762024.1646954078</v>
      </c>
      <c r="W968" s="7" t="n">
        <v>780629.3430174185</v>
      </c>
      <c r="X968" s="7" t="n">
        <v>-18605.17832201067</v>
      </c>
      <c r="Y968" s="6" t="n">
        <v>-0.02383356261000239</v>
      </c>
      <c r="Z968" s="7" t="n">
        <v>276515.8797085583</v>
      </c>
      <c r="AA968" s="7" t="n">
        <v>-276515.8797085583</v>
      </c>
      <c r="AB968" s="7" t="n">
        <v>5524460.756333896</v>
      </c>
      <c r="AC968" s="7" t="n">
        <v>6299080.390293306</v>
      </c>
      <c r="AD968" s="7" t="n">
        <v>-774619.6339594098</v>
      </c>
      <c r="AE968" s="6" t="n">
        <v>-0.1229734478628143</v>
      </c>
    </row>
    <row r="969">
      <c r="A969" s="2" t="n">
        <v>960</v>
      </c>
      <c r="B969" s="2" t="inlineStr">
        <is>
          <t>KPROP-00960</t>
        </is>
      </c>
      <c r="C969" s="3" t="n">
        <v>46184</v>
      </c>
      <c r="D969" s="2" t="inlineStr">
        <is>
          <t>Kyle Bradish</t>
        </is>
      </c>
      <c r="E969" s="2" t="inlineStr">
        <is>
          <t>Win</t>
        </is>
      </c>
      <c r="F969" s="2" t="n">
        <v>0.9803921568627452</v>
      </c>
      <c r="G969" s="6" t="n">
        <v>0.09445520818105388</v>
      </c>
      <c r="H969" s="7" t="n">
        <v>100</v>
      </c>
      <c r="I969" s="7" t="n">
        <v>98.03921568627452</v>
      </c>
      <c r="J969" s="7" t="n">
        <v>20283.75841092326</v>
      </c>
      <c r="K969" s="7" t="n">
        <v>20285.71919523698</v>
      </c>
      <c r="L969" s="7" t="n">
        <v>-1.960784313723707</v>
      </c>
      <c r="M969" s="6" t="n">
        <v>-9.665835826930368e-05</v>
      </c>
      <c r="N969" s="7" t="n">
        <v>264.2094356818029</v>
      </c>
      <c r="O969" s="7" t="n">
        <v>259.0288585115715</v>
      </c>
      <c r="P969" s="7" t="n">
        <v>26679.97242669186</v>
      </c>
      <c r="Q969" s="7" t="n">
        <v>26687.8217860407</v>
      </c>
      <c r="R969" s="7" t="n">
        <v>-7.849359348838334</v>
      </c>
      <c r="S969" s="6" t="n">
        <v>-0.0002941176470589298</v>
      </c>
      <c r="T969" s="7" t="n">
        <v>17994.28777882461</v>
      </c>
      <c r="U969" s="7" t="n">
        <v>17641.45860669079</v>
      </c>
      <c r="V969" s="7" t="n">
        <v>779665.6233020986</v>
      </c>
      <c r="W969" s="7" t="n">
        <v>780629.3430174185</v>
      </c>
      <c r="X969" s="7" t="n">
        <v>-963.7197153199231</v>
      </c>
      <c r="Y969" s="6" t="n">
        <v>-0.001234542006318637</v>
      </c>
      <c r="Z969" s="7" t="n">
        <v>260907.0454137902</v>
      </c>
      <c r="AA969" s="7" t="n">
        <v>255791.220993912</v>
      </c>
      <c r="AB969" s="7" t="n">
        <v>5780251.977327808</v>
      </c>
      <c r="AC969" s="7" t="n">
        <v>6299080.390293306</v>
      </c>
      <c r="AD969" s="7" t="n">
        <v>-518828.4129654979</v>
      </c>
      <c r="AE969" s="6" t="n">
        <v>-0.08236573925378012</v>
      </c>
    </row>
    <row r="970">
      <c r="A970" s="2" t="n">
        <v>961</v>
      </c>
      <c r="B970" s="2" t="inlineStr">
        <is>
          <t>KPROP-00961</t>
        </is>
      </c>
      <c r="C970" s="3" t="n">
        <v>46185</v>
      </c>
      <c r="D970" s="2" t="inlineStr">
        <is>
          <t>Braxton Ashcraft</t>
        </is>
      </c>
      <c r="E970" s="2" t="inlineStr">
        <is>
          <t>Win</t>
        </is>
      </c>
      <c r="F970" s="2" t="n">
        <v>1.16</v>
      </c>
      <c r="G970" s="6" t="n">
        <v>0.1285551978292745</v>
      </c>
      <c r="H970" s="7" t="n">
        <v>100</v>
      </c>
      <c r="I970" s="7" t="n">
        <v>116</v>
      </c>
      <c r="J970" s="7" t="n">
        <v>20399.75841092326</v>
      </c>
      <c r="K970" s="7" t="n">
        <v>20399.75841092326</v>
      </c>
      <c r="L970" s="7" t="n">
        <v>0</v>
      </c>
      <c r="M970" s="6" t="n">
        <v>0</v>
      </c>
      <c r="N970" s="7" t="n">
        <v>266.7997242669186</v>
      </c>
      <c r="O970" s="7" t="n">
        <v>309.4876801496256</v>
      </c>
      <c r="P970" s="7" t="n">
        <v>26989.46010684148</v>
      </c>
      <c r="Q970" s="7" t="n">
        <v>26989.46010684148</v>
      </c>
      <c r="R970" s="7" t="n">
        <v>0</v>
      </c>
      <c r="S970" s="6" t="n">
        <v>0</v>
      </c>
      <c r="T970" s="7" t="n">
        <v>25057.51711107148</v>
      </c>
      <c r="U970" s="7" t="n">
        <v>29066.71984884292</v>
      </c>
      <c r="V970" s="7" t="n">
        <v>808732.3431509415</v>
      </c>
      <c r="W970" s="7" t="n">
        <v>808732.3431509415</v>
      </c>
      <c r="X970" s="7" t="n">
        <v>0</v>
      </c>
      <c r="Y970" s="6" t="n">
        <v>0</v>
      </c>
      <c r="Z970" s="7" t="n">
        <v>371540.7182242158</v>
      </c>
      <c r="AA970" s="7" t="n">
        <v>430987.2331400904</v>
      </c>
      <c r="AB970" s="7" t="n">
        <v>6211239.210467898</v>
      </c>
      <c r="AC970" s="7" t="n">
        <v>6299080.390293306</v>
      </c>
      <c r="AD970" s="7" t="n">
        <v>-87841.17982540745</v>
      </c>
      <c r="AE970" s="6" t="n">
        <v>-0.01394507997719287</v>
      </c>
    </row>
    <row r="971">
      <c r="A971" s="2" t="n">
        <v>962</v>
      </c>
      <c r="B971" s="2" t="inlineStr">
        <is>
          <t>KPROP-00962</t>
        </is>
      </c>
      <c r="C971" s="3" t="n">
        <v>46185</v>
      </c>
      <c r="D971" s="2" t="inlineStr">
        <is>
          <t>Bryce Miller</t>
        </is>
      </c>
      <c r="E971" s="2" t="inlineStr">
        <is>
          <t>Loss</t>
        </is>
      </c>
      <c r="F971" s="2" t="n">
        <v>-1</v>
      </c>
      <c r="G971" s="6" t="n">
        <v>0.1176463629108626</v>
      </c>
      <c r="H971" s="7" t="n">
        <v>100</v>
      </c>
      <c r="I971" s="7" t="n">
        <v>-100</v>
      </c>
      <c r="J971" s="7" t="n">
        <v>20299.75841092326</v>
      </c>
      <c r="K971" s="7" t="n">
        <v>20399.75841092326</v>
      </c>
      <c r="L971" s="7" t="n">
        <v>-100</v>
      </c>
      <c r="M971" s="6" t="n">
        <v>-0.004902018836970833</v>
      </c>
      <c r="N971" s="7" t="n">
        <v>269.8946010684148</v>
      </c>
      <c r="O971" s="7" t="n">
        <v>-269.8946010684148</v>
      </c>
      <c r="P971" s="7" t="n">
        <v>26719.56550577307</v>
      </c>
      <c r="Q971" s="7" t="n">
        <v>26989.46010684148</v>
      </c>
      <c r="R971" s="7" t="n">
        <v>-269.8946010684158</v>
      </c>
      <c r="S971" s="6" t="n">
        <v>-0.01000000000000003</v>
      </c>
      <c r="T971" s="7" t="n">
        <v>23786.10468502199</v>
      </c>
      <c r="U971" s="7" t="n">
        <v>-23786.10468502199</v>
      </c>
      <c r="V971" s="7" t="n">
        <v>784946.2384659195</v>
      </c>
      <c r="W971" s="7" t="n">
        <v>808732.3431509415</v>
      </c>
      <c r="X971" s="7" t="n">
        <v>-23786.10468502203</v>
      </c>
      <c r="Y971" s="6" t="n">
        <v>-0.02941159072771571</v>
      </c>
      <c r="Z971" s="7" t="n">
        <v>365364.8511404431</v>
      </c>
      <c r="AA971" s="7" t="n">
        <v>-365364.8511404431</v>
      </c>
      <c r="AB971" s="7" t="n">
        <v>5845874.359327455</v>
      </c>
      <c r="AC971" s="7" t="n">
        <v>6299080.390293306</v>
      </c>
      <c r="AD971" s="7" t="n">
        <v>-453206.0309658507</v>
      </c>
      <c r="AE971" s="6" t="n">
        <v>-0.07194796746271528</v>
      </c>
    </row>
    <row r="972">
      <c r="A972" s="2" t="n">
        <v>963</v>
      </c>
      <c r="B972" s="2" t="inlineStr">
        <is>
          <t>KPROP-00963</t>
        </is>
      </c>
      <c r="C972" s="3" t="n">
        <v>46185</v>
      </c>
      <c r="D972" s="2" t="inlineStr">
        <is>
          <t>Jack Flaherty</t>
        </is>
      </c>
      <c r="E972" s="2" t="inlineStr">
        <is>
          <t>Win</t>
        </is>
      </c>
      <c r="F972" s="2" t="n">
        <v>1.22</v>
      </c>
      <c r="G972" s="6" t="n">
        <v>0.1395786059151846</v>
      </c>
      <c r="H972" s="7" t="n">
        <v>100</v>
      </c>
      <c r="I972" s="7" t="n">
        <v>122</v>
      </c>
      <c r="J972" s="7" t="n">
        <v>20421.75841092326</v>
      </c>
      <c r="K972" s="7" t="n">
        <v>20421.75841092326</v>
      </c>
      <c r="L972" s="7" t="n">
        <v>0</v>
      </c>
      <c r="M972" s="6" t="n">
        <v>0</v>
      </c>
      <c r="N972" s="7" t="n">
        <v>267.1956550577307</v>
      </c>
      <c r="O972" s="7" t="n">
        <v>325.9786991704314</v>
      </c>
      <c r="P972" s="7" t="n">
        <v>27045.5442049435</v>
      </c>
      <c r="Q972" s="7" t="n">
        <v>27045.5442049435</v>
      </c>
      <c r="R972" s="7" t="n">
        <v>0</v>
      </c>
      <c r="S972" s="6" t="n">
        <v>0</v>
      </c>
      <c r="T972" s="7" t="n">
        <v>27390.42542086027</v>
      </c>
      <c r="U972" s="7" t="n">
        <v>33416.31901344952</v>
      </c>
      <c r="V972" s="7" t="n">
        <v>818362.557479369</v>
      </c>
      <c r="W972" s="7" t="n">
        <v>818362.557479369</v>
      </c>
      <c r="X972" s="7" t="n">
        <v>0</v>
      </c>
      <c r="Y972" s="6" t="n">
        <v>0</v>
      </c>
      <c r="Z972" s="7" t="n">
        <v>407979.4967151245</v>
      </c>
      <c r="AA972" s="7" t="n">
        <v>497734.9859924518</v>
      </c>
      <c r="AB972" s="7" t="n">
        <v>6343609.345319907</v>
      </c>
      <c r="AC972" s="7" t="n">
        <v>6343609.345319907</v>
      </c>
      <c r="AD972" s="7" t="n">
        <v>0</v>
      </c>
      <c r="AE972" s="6" t="n">
        <v>0</v>
      </c>
    </row>
    <row r="973">
      <c r="A973" s="2" t="n">
        <v>964</v>
      </c>
      <c r="B973" s="2" t="inlineStr">
        <is>
          <t>KPROP-00964</t>
        </is>
      </c>
      <c r="C973" s="3" t="n">
        <v>46185</v>
      </c>
      <c r="D973" s="2" t="inlineStr">
        <is>
          <t>Jack Flaherty</t>
        </is>
      </c>
      <c r="E973" s="2" t="inlineStr">
        <is>
          <t>Win</t>
        </is>
      </c>
      <c r="F973" s="2" t="n">
        <v>0.5617977528089888</v>
      </c>
      <c r="G973" s="6" t="n">
        <v>0.1617314085445534</v>
      </c>
      <c r="H973" s="7" t="n">
        <v>100</v>
      </c>
      <c r="I973" s="7" t="n">
        <v>56.17977528089888</v>
      </c>
      <c r="J973" s="7" t="n">
        <v>20477.93818620416</v>
      </c>
      <c r="K973" s="7" t="n">
        <v>20477.93818620416</v>
      </c>
      <c r="L973" s="7" t="n">
        <v>0</v>
      </c>
      <c r="M973" s="6" t="n">
        <v>0</v>
      </c>
      <c r="N973" s="7" t="n">
        <v>270.455442049435</v>
      </c>
      <c r="O973" s="7" t="n">
        <v>151.9412595783343</v>
      </c>
      <c r="P973" s="7" t="n">
        <v>27197.48546452184</v>
      </c>
      <c r="Q973" s="7" t="n">
        <v>27197.48546452184</v>
      </c>
      <c r="R973" s="7" t="n">
        <v>0</v>
      </c>
      <c r="S973" s="6" t="n">
        <v>0</v>
      </c>
      <c r="T973" s="7" t="n">
        <v>33088.73228031534</v>
      </c>
      <c r="U973" s="7" t="n">
        <v>18589.17543837941</v>
      </c>
      <c r="V973" s="7" t="n">
        <v>836951.7329177484</v>
      </c>
      <c r="W973" s="7" t="n">
        <v>836951.7329177484</v>
      </c>
      <c r="X973" s="7" t="n">
        <v>0</v>
      </c>
      <c r="Y973" s="6" t="n">
        <v>0</v>
      </c>
      <c r="Z973" s="7" t="n">
        <v>512980.4373374904</v>
      </c>
      <c r="AA973" s="7" t="n">
        <v>288191.2569311744</v>
      </c>
      <c r="AB973" s="7" t="n">
        <v>6631800.602251082</v>
      </c>
      <c r="AC973" s="7" t="n">
        <v>6631800.602251082</v>
      </c>
      <c r="AD973" s="7" t="n">
        <v>0</v>
      </c>
      <c r="AE973" s="6" t="n">
        <v>0</v>
      </c>
    </row>
    <row r="974">
      <c r="A974" s="2" t="n">
        <v>965</v>
      </c>
      <c r="B974" s="2" t="inlineStr">
        <is>
          <t>KPROP-00965</t>
        </is>
      </c>
      <c r="C974" s="3" t="n">
        <v>46185</v>
      </c>
      <c r="D974" s="2" t="inlineStr">
        <is>
          <t>Jacob Misiorowski</t>
        </is>
      </c>
      <c r="E974" s="2" t="inlineStr">
        <is>
          <t>Loss</t>
        </is>
      </c>
      <c r="F974" s="2" t="n">
        <v>-1</v>
      </c>
      <c r="G974" s="6" t="n">
        <v>0.5918742849913726</v>
      </c>
      <c r="H974" s="7" t="n">
        <v>100</v>
      </c>
      <c r="I974" s="7" t="n">
        <v>-100</v>
      </c>
      <c r="J974" s="7" t="n">
        <v>20377.93818620416</v>
      </c>
      <c r="K974" s="7" t="n">
        <v>20477.93818620416</v>
      </c>
      <c r="L974" s="7" t="n">
        <v>-100</v>
      </c>
      <c r="M974" s="6" t="n">
        <v>-0.004883304124209599</v>
      </c>
      <c r="N974" s="7" t="n">
        <v>271.9748546452184</v>
      </c>
      <c r="O974" s="7" t="n">
        <v>-271.9748546452184</v>
      </c>
      <c r="P974" s="7" t="n">
        <v>26925.51060987662</v>
      </c>
      <c r="Q974" s="7" t="n">
        <v>27197.48546452184</v>
      </c>
      <c r="R974" s="7" t="n">
        <v>-271.9748546452174</v>
      </c>
      <c r="S974" s="6" t="n">
        <v>-0.009999999999999966</v>
      </c>
      <c r="T974" s="7" t="n">
        <v>123842.5521232457</v>
      </c>
      <c r="U974" s="7" t="n">
        <v>-123842.5521232457</v>
      </c>
      <c r="V974" s="7" t="n">
        <v>713109.1807945027</v>
      </c>
      <c r="W974" s="7" t="n">
        <v>836951.7329177484</v>
      </c>
      <c r="X974" s="7" t="n">
        <v>-123842.5521232457</v>
      </c>
      <c r="Y974" s="6" t="n">
        <v>-0.1479685712478432</v>
      </c>
      <c r="Z974" s="7" t="n">
        <v>1962596.119831357</v>
      </c>
      <c r="AA974" s="7" t="n">
        <v>-1962596.119831357</v>
      </c>
      <c r="AB974" s="7" t="n">
        <v>4669204.482419726</v>
      </c>
      <c r="AC974" s="7" t="n">
        <v>6631800.602251082</v>
      </c>
      <c r="AD974" s="7" t="n">
        <v>-1962596.119831356</v>
      </c>
      <c r="AE974" s="6" t="n">
        <v>-0.2959371424956863</v>
      </c>
    </row>
    <row r="975">
      <c r="A975" s="2" t="n">
        <v>966</v>
      </c>
      <c r="B975" s="2" t="inlineStr">
        <is>
          <t>KPROP-00966</t>
        </is>
      </c>
      <c r="C975" s="3" t="n">
        <v>46185</v>
      </c>
      <c r="D975" s="2" t="inlineStr">
        <is>
          <t>Nolan McLean</t>
        </is>
      </c>
      <c r="E975" s="2" t="inlineStr">
        <is>
          <t>Loss</t>
        </is>
      </c>
      <c r="F975" s="2" t="n">
        <v>-1</v>
      </c>
      <c r="G975" s="6" t="n">
        <v>0.2719103612299714</v>
      </c>
      <c r="H975" s="7" t="n">
        <v>100</v>
      </c>
      <c r="I975" s="7" t="n">
        <v>-100</v>
      </c>
      <c r="J975" s="7" t="n">
        <v>20277.93818620416</v>
      </c>
      <c r="K975" s="7" t="n">
        <v>20477.93818620416</v>
      </c>
      <c r="L975" s="7" t="n">
        <v>-200</v>
      </c>
      <c r="M975" s="6" t="n">
        <v>-0.009766608248419198</v>
      </c>
      <c r="N975" s="7" t="n">
        <v>269.2551060987662</v>
      </c>
      <c r="O975" s="7" t="n">
        <v>-269.2551060987662</v>
      </c>
      <c r="P975" s="7" t="n">
        <v>26656.25550377785</v>
      </c>
      <c r="Q975" s="7" t="n">
        <v>27197.48546452184</v>
      </c>
      <c r="R975" s="7" t="n">
        <v>-541.2299607439854</v>
      </c>
      <c r="S975" s="6" t="n">
        <v>-0.01990000000000003</v>
      </c>
      <c r="T975" s="7" t="n">
        <v>48475.44373656056</v>
      </c>
      <c r="U975" s="7" t="n">
        <v>-48475.44373656056</v>
      </c>
      <c r="V975" s="7" t="n">
        <v>664633.7370579422</v>
      </c>
      <c r="W975" s="7" t="n">
        <v>836951.7329177484</v>
      </c>
      <c r="X975" s="7" t="n">
        <v>-172317.9958598062</v>
      </c>
      <c r="Y975" s="6" t="n">
        <v>-0.205887614640665</v>
      </c>
      <c r="Z975" s="7" t="n">
        <v>634802.5387356747</v>
      </c>
      <c r="AA975" s="7" t="n">
        <v>-634802.5387356747</v>
      </c>
      <c r="AB975" s="7" t="n">
        <v>4034401.943684051</v>
      </c>
      <c r="AC975" s="7" t="n">
        <v>6631800.602251082</v>
      </c>
      <c r="AD975" s="7" t="n">
        <v>-2597398.658567031</v>
      </c>
      <c r="AE975" s="6" t="n">
        <v>-0.3916581354519882</v>
      </c>
    </row>
    <row r="976">
      <c r="A976" s="2" t="n">
        <v>967</v>
      </c>
      <c r="B976" s="2" t="inlineStr">
        <is>
          <t>KPROP-00967</t>
        </is>
      </c>
      <c r="C976" s="3" t="n">
        <v>46185</v>
      </c>
      <c r="D976" s="2" t="inlineStr">
        <is>
          <t>Roki Sasaki</t>
        </is>
      </c>
      <c r="E976" s="2" t="inlineStr">
        <is>
          <t>Win</t>
        </is>
      </c>
      <c r="F976" s="2" t="n">
        <v>0.8695652173913042</v>
      </c>
      <c r="G976" s="6" t="n">
        <v>0.1806533602712386</v>
      </c>
      <c r="H976" s="7" t="n">
        <v>100</v>
      </c>
      <c r="I976" s="7" t="n">
        <v>86.95652173913042</v>
      </c>
      <c r="J976" s="7" t="n">
        <v>20364.89470794329</v>
      </c>
      <c r="K976" s="7" t="n">
        <v>20477.93818620416</v>
      </c>
      <c r="L976" s="7" t="n">
        <v>-113.0434782608681</v>
      </c>
      <c r="M976" s="6" t="n">
        <v>-0.005520256836062955</v>
      </c>
      <c r="N976" s="7" t="n">
        <v>266.5625550377785</v>
      </c>
      <c r="O976" s="7" t="n">
        <v>231.7935261198074</v>
      </c>
      <c r="P976" s="7" t="n">
        <v>26888.04902989766</v>
      </c>
      <c r="Q976" s="7" t="n">
        <v>27197.48546452184</v>
      </c>
      <c r="R976" s="7" t="n">
        <v>-309.4364346241782</v>
      </c>
      <c r="S976" s="6" t="n">
        <v>-0.01137739130434787</v>
      </c>
      <c r="T976" s="7" t="n">
        <v>30017.07948728702</v>
      </c>
      <c r="U976" s="7" t="n">
        <v>26101.8082498148</v>
      </c>
      <c r="V976" s="7" t="n">
        <v>690735.545307757</v>
      </c>
      <c r="W976" s="7" t="n">
        <v>836951.7329177484</v>
      </c>
      <c r="X976" s="7" t="n">
        <v>-146216.1876099914</v>
      </c>
      <c r="Y976" s="6" t="n">
        <v>-0.1747008601084536</v>
      </c>
      <c r="Z976" s="7" t="n">
        <v>364414.13390567</v>
      </c>
      <c r="AA976" s="7" t="n">
        <v>316881.8555701477</v>
      </c>
      <c r="AB976" s="7" t="n">
        <v>4351283.799254199</v>
      </c>
      <c r="AC976" s="7" t="n">
        <v>6631800.602251082</v>
      </c>
      <c r="AD976" s="7" t="n">
        <v>-2280516.802996883</v>
      </c>
      <c r="AE976" s="6" t="n">
        <v>-0.3438759606588278</v>
      </c>
    </row>
    <row r="977">
      <c r="A977" s="2" t="n">
        <v>968</v>
      </c>
      <c r="B977" s="2" t="inlineStr">
        <is>
          <t>KPROP-00968</t>
        </is>
      </c>
      <c r="C977" s="3" t="n">
        <v>46185</v>
      </c>
      <c r="D977" s="2" t="inlineStr">
        <is>
          <t>Ryan Weathers</t>
        </is>
      </c>
      <c r="E977" s="2" t="inlineStr">
        <is>
          <t>Win</t>
        </is>
      </c>
      <c r="F977" s="2" t="n">
        <v>0.641025641025641</v>
      </c>
      <c r="G977" s="6" t="n">
        <v>0.1267840023410758</v>
      </c>
      <c r="H977" s="7" t="n">
        <v>100</v>
      </c>
      <c r="I977" s="7" t="n">
        <v>64.1025641025641</v>
      </c>
      <c r="J977" s="7" t="n">
        <v>20428.99727204585</v>
      </c>
      <c r="K977" s="7" t="n">
        <v>20477.93818620416</v>
      </c>
      <c r="L977" s="7" t="n">
        <v>-48.94091415830553</v>
      </c>
      <c r="M977" s="6" t="n">
        <v>-0.002389933679518414</v>
      </c>
      <c r="N977" s="7" t="n">
        <v>268.8804902989766</v>
      </c>
      <c r="O977" s="7" t="n">
        <v>172.3592886531901</v>
      </c>
      <c r="P977" s="7" t="n">
        <v>27060.40831855085</v>
      </c>
      <c r="Q977" s="7" t="n">
        <v>27197.48546452184</v>
      </c>
      <c r="R977" s="7" t="n">
        <v>-137.0771459709867</v>
      </c>
      <c r="S977" s="6" t="n">
        <v>-0.005040066889632097</v>
      </c>
      <c r="T977" s="7" t="n">
        <v>21893.55424834073</v>
      </c>
      <c r="U977" s="7" t="n">
        <v>14034.32964637226</v>
      </c>
      <c r="V977" s="7" t="n">
        <v>704769.8749541292</v>
      </c>
      <c r="W977" s="7" t="n">
        <v>836951.7329177484</v>
      </c>
      <c r="X977" s="7" t="n">
        <v>-132181.8579636192</v>
      </c>
      <c r="Y977" s="6" t="n">
        <v>-0.1579324741975406</v>
      </c>
      <c r="Z977" s="7" t="n">
        <v>275836.5876956648</v>
      </c>
      <c r="AA977" s="7" t="n">
        <v>176818.3254459389</v>
      </c>
      <c r="AB977" s="7" t="n">
        <v>4528102.124700137</v>
      </c>
      <c r="AC977" s="7" t="n">
        <v>6631800.602251082</v>
      </c>
      <c r="AD977" s="7" t="n">
        <v>-2103698.477550944</v>
      </c>
      <c r="AE977" s="6" t="n">
        <v>-0.3172137709986139</v>
      </c>
    </row>
    <row r="978">
      <c r="A978" s="2" t="n">
        <v>969</v>
      </c>
      <c r="B978" s="2" t="inlineStr">
        <is>
          <t>KPROP-00969</t>
        </is>
      </c>
      <c r="C978" s="3" t="n">
        <v>46185</v>
      </c>
      <c r="D978" s="2" t="inlineStr">
        <is>
          <t>Spencer Strider</t>
        </is>
      </c>
      <c r="E978" s="2" t="inlineStr">
        <is>
          <t>Win</t>
        </is>
      </c>
      <c r="F978" s="2" t="n">
        <v>1.11</v>
      </c>
      <c r="G978" s="6" t="n">
        <v>0.2474425751308609</v>
      </c>
      <c r="H978" s="7" t="n">
        <v>100</v>
      </c>
      <c r="I978" s="7" t="n">
        <v>111</v>
      </c>
      <c r="J978" s="7" t="n">
        <v>20539.99727204585</v>
      </c>
      <c r="K978" s="7" t="n">
        <v>20539.99727204585</v>
      </c>
      <c r="L978" s="7" t="n">
        <v>0</v>
      </c>
      <c r="M978" s="6" t="n">
        <v>0</v>
      </c>
      <c r="N978" s="7" t="n">
        <v>270.6040831855085</v>
      </c>
      <c r="O978" s="7" t="n">
        <v>300.3705323359145</v>
      </c>
      <c r="P978" s="7" t="n">
        <v>27360.77885088676</v>
      </c>
      <c r="Q978" s="7" t="n">
        <v>27360.77885088676</v>
      </c>
      <c r="R978" s="7" t="n">
        <v>0</v>
      </c>
      <c r="S978" s="6" t="n">
        <v>0</v>
      </c>
      <c r="T978" s="7" t="n">
        <v>43597.51818332614</v>
      </c>
      <c r="U978" s="7" t="n">
        <v>48393.24518349203</v>
      </c>
      <c r="V978" s="7" t="n">
        <v>753163.1201376213</v>
      </c>
      <c r="W978" s="7" t="n">
        <v>836951.7329177484</v>
      </c>
      <c r="X978" s="7" t="n">
        <v>-83788.61278012709</v>
      </c>
      <c r="Y978" s="6" t="n">
        <v>-0.1001116426248698</v>
      </c>
      <c r="Z978" s="7" t="n">
        <v>560222.6250956623</v>
      </c>
      <c r="AA978" s="7" t="n">
        <v>621847.1138561853</v>
      </c>
      <c r="AB978" s="7" t="n">
        <v>5149949.238556323</v>
      </c>
      <c r="AC978" s="7" t="n">
        <v>6631800.602251082</v>
      </c>
      <c r="AD978" s="7" t="n">
        <v>-1481851.363694759</v>
      </c>
      <c r="AE978" s="6" t="n">
        <v>-0.2234463085623779</v>
      </c>
    </row>
    <row r="979">
      <c r="A979" s="2" t="n">
        <v>970</v>
      </c>
      <c r="B979" s="2" t="inlineStr">
        <is>
          <t>KPROP-00970</t>
        </is>
      </c>
      <c r="C979" s="3" t="n">
        <v>46185</v>
      </c>
      <c r="D979" s="2" t="inlineStr">
        <is>
          <t>Trey Yesavage</t>
        </is>
      </c>
      <c r="E979" s="2" t="inlineStr">
        <is>
          <t>Win</t>
        </is>
      </c>
      <c r="F979" s="2" t="n">
        <v>0.6993006993006992</v>
      </c>
      <c r="G979" s="6" t="n">
        <v>0.235927117997719</v>
      </c>
      <c r="H979" s="7" t="n">
        <v>100</v>
      </c>
      <c r="I979" s="7" t="n">
        <v>69.93006993006992</v>
      </c>
      <c r="J979" s="7" t="n">
        <v>20609.92734197592</v>
      </c>
      <c r="K979" s="7" t="n">
        <v>20609.92734197592</v>
      </c>
      <c r="L979" s="7" t="n">
        <v>0</v>
      </c>
      <c r="M979" s="6" t="n">
        <v>0</v>
      </c>
      <c r="N979" s="7" t="n">
        <v>273.6077885088677</v>
      </c>
      <c r="O979" s="7" t="n">
        <v>191.3341178383689</v>
      </c>
      <c r="P979" s="7" t="n">
        <v>27552.11296872513</v>
      </c>
      <c r="Q979" s="7" t="n">
        <v>27552.11296872513</v>
      </c>
      <c r="R979" s="7" t="n">
        <v>0</v>
      </c>
      <c r="S979" s="6" t="n">
        <v>0</v>
      </c>
      <c r="T979" s="7" t="n">
        <v>44422.90107905969</v>
      </c>
      <c r="U979" s="7" t="n">
        <v>31064.96578955223</v>
      </c>
      <c r="V979" s="7" t="n">
        <v>784228.0859271735</v>
      </c>
      <c r="W979" s="7" t="n">
        <v>836951.7329177484</v>
      </c>
      <c r="X979" s="7" t="n">
        <v>-52723.6469905749</v>
      </c>
      <c r="Y979" s="6" t="n">
        <v>-0.06299484775158035</v>
      </c>
      <c r="Z979" s="7" t="n">
        <v>607506.3408435703</v>
      </c>
      <c r="AA979" s="7" t="n">
        <v>424829.6089815176</v>
      </c>
      <c r="AB979" s="7" t="n">
        <v>5574778.84753784</v>
      </c>
      <c r="AC979" s="7" t="n">
        <v>6631800.602251082</v>
      </c>
      <c r="AD979" s="7" t="n">
        <v>-1057021.754713242</v>
      </c>
      <c r="AE979" s="6" t="n">
        <v>-0.1593868419919696</v>
      </c>
    </row>
    <row r="980">
      <c r="A980" s="2" t="n">
        <v>971</v>
      </c>
      <c r="B980" s="2" t="inlineStr">
        <is>
          <t>KPROP-00971</t>
        </is>
      </c>
      <c r="C980" s="3" t="n">
        <v>46186</v>
      </c>
      <c r="D980" s="2" t="inlineStr">
        <is>
          <t>Jacob deGrom</t>
        </is>
      </c>
      <c r="E980" s="2" t="inlineStr">
        <is>
          <t>Win</t>
        </is>
      </c>
      <c r="F980" s="2" t="n">
        <v>0.7194244604316546</v>
      </c>
      <c r="G980" s="6" t="n">
        <v>0.3527041576690506</v>
      </c>
      <c r="H980" s="7" t="n">
        <v>100</v>
      </c>
      <c r="I980" s="7" t="n">
        <v>71.94244604316546</v>
      </c>
      <c r="J980" s="7" t="n">
        <v>20681.86978801909</v>
      </c>
      <c r="K980" s="7" t="n">
        <v>20681.86978801909</v>
      </c>
      <c r="L980" s="7" t="n">
        <v>0</v>
      </c>
      <c r="M980" s="6" t="n">
        <v>0</v>
      </c>
      <c r="N980" s="7" t="n">
        <v>275.5211296872513</v>
      </c>
      <c r="O980" s="7" t="n">
        <v>198.2166400627708</v>
      </c>
      <c r="P980" s="7" t="n">
        <v>27750.32960878791</v>
      </c>
      <c r="Q980" s="7" t="n">
        <v>27750.32960878791</v>
      </c>
      <c r="R980" s="7" t="n">
        <v>0</v>
      </c>
      <c r="S980" s="6" t="n">
        <v>0</v>
      </c>
      <c r="T980" s="7" t="n">
        <v>69150.12661683888</v>
      </c>
      <c r="U980" s="7" t="n">
        <v>49748.29253009991</v>
      </c>
      <c r="V980" s="7" t="n">
        <v>833976.3784572734</v>
      </c>
      <c r="W980" s="7" t="n">
        <v>836951.7329177484</v>
      </c>
      <c r="X980" s="7" t="n">
        <v>-2975.354460475035</v>
      </c>
      <c r="Y980" s="6" t="n">
        <v>-0.003554989306375495</v>
      </c>
      <c r="Z980" s="7" t="n">
        <v>983123.8388060371</v>
      </c>
      <c r="AA980" s="7" t="n">
        <v>707283.3372705303</v>
      </c>
      <c r="AB980" s="7" t="n">
        <v>6282062.18480837</v>
      </c>
      <c r="AC980" s="7" t="n">
        <v>6631800.602251082</v>
      </c>
      <c r="AD980" s="7" t="n">
        <v>-349738.417442712</v>
      </c>
      <c r="AE980" s="6" t="n">
        <v>-0.05273657011400459</v>
      </c>
    </row>
    <row r="981">
      <c r="A981" s="2" t="n">
        <v>972</v>
      </c>
      <c r="B981" s="2" t="inlineStr">
        <is>
          <t>KPROP-00972</t>
        </is>
      </c>
      <c r="C981" s="3" t="n">
        <v>46186</v>
      </c>
      <c r="D981" s="2" t="inlineStr">
        <is>
          <t>Joey Cantillo</t>
        </is>
      </c>
      <c r="E981" s="2" t="inlineStr">
        <is>
          <t>Win</t>
        </is>
      </c>
      <c r="F981" s="2" t="n">
        <v>1.28</v>
      </c>
      <c r="G981" s="6" t="n">
        <v>0.102986576823213</v>
      </c>
      <c r="H981" s="7" t="n">
        <v>100</v>
      </c>
      <c r="I981" s="7" t="n">
        <v>128</v>
      </c>
      <c r="J981" s="7" t="n">
        <v>20809.86978801909</v>
      </c>
      <c r="K981" s="7" t="n">
        <v>20809.86978801909</v>
      </c>
      <c r="L981" s="7" t="n">
        <v>0</v>
      </c>
      <c r="M981" s="6" t="n">
        <v>0</v>
      </c>
      <c r="N981" s="7" t="n">
        <v>277.5032960878791</v>
      </c>
      <c r="O981" s="7" t="n">
        <v>355.2042189924853</v>
      </c>
      <c r="P981" s="7" t="n">
        <v>28105.53382778039</v>
      </c>
      <c r="Q981" s="7" t="n">
        <v>28105.53382778039</v>
      </c>
      <c r="R981" s="7" t="n">
        <v>0</v>
      </c>
      <c r="S981" s="6" t="n">
        <v>0</v>
      </c>
      <c r="T981" s="7" t="n">
        <v>21472.09309218374</v>
      </c>
      <c r="U981" s="7" t="n">
        <v>27484.27915799519</v>
      </c>
      <c r="V981" s="7" t="n">
        <v>861460.6576152686</v>
      </c>
      <c r="W981" s="7" t="n">
        <v>861460.6576152686</v>
      </c>
      <c r="X981" s="7" t="n">
        <v>0</v>
      </c>
      <c r="Y981" s="6" t="n">
        <v>0</v>
      </c>
      <c r="Z981" s="7" t="n">
        <v>323484.0399019843</v>
      </c>
      <c r="AA981" s="7" t="n">
        <v>414059.57107454</v>
      </c>
      <c r="AB981" s="7" t="n">
        <v>6696121.75588291</v>
      </c>
      <c r="AC981" s="7" t="n">
        <v>6696121.75588291</v>
      </c>
      <c r="AD981" s="7" t="n">
        <v>0</v>
      </c>
      <c r="AE981" s="6" t="n">
        <v>0</v>
      </c>
    </row>
    <row r="982">
      <c r="A982" s="2" t="n">
        <v>973</v>
      </c>
      <c r="B982" s="2" t="inlineStr">
        <is>
          <t>KPROP-00973</t>
        </is>
      </c>
      <c r="C982" s="3" t="n">
        <v>46186</v>
      </c>
      <c r="D982" s="2" t="inlineStr">
        <is>
          <t>Joey Cantillo</t>
        </is>
      </c>
      <c r="E982" s="2" t="inlineStr">
        <is>
          <t>Win</t>
        </is>
      </c>
      <c r="F982" s="2" t="n">
        <v>0.6211180124223601</v>
      </c>
      <c r="G982" s="6" t="n">
        <v>0.1390475782708283</v>
      </c>
      <c r="H982" s="7" t="n">
        <v>100</v>
      </c>
      <c r="I982" s="7" t="n">
        <v>62.11180124223601</v>
      </c>
      <c r="J982" s="7" t="n">
        <v>20871.98158926133</v>
      </c>
      <c r="K982" s="7" t="n">
        <v>20871.98158926133</v>
      </c>
      <c r="L982" s="7" t="n">
        <v>0</v>
      </c>
      <c r="M982" s="6" t="n">
        <v>0</v>
      </c>
      <c r="N982" s="7" t="n">
        <v>281.0553382778039</v>
      </c>
      <c r="O982" s="7" t="n">
        <v>174.5685330918036</v>
      </c>
      <c r="P982" s="7" t="n">
        <v>28280.1023608722</v>
      </c>
      <c r="Q982" s="7" t="n">
        <v>28280.1023608722</v>
      </c>
      <c r="R982" s="7" t="n">
        <v>0</v>
      </c>
      <c r="S982" s="6" t="n">
        <v>0</v>
      </c>
      <c r="T982" s="7" t="n">
        <v>29946.00455424958</v>
      </c>
      <c r="U982" s="7" t="n">
        <v>18600.00282872644</v>
      </c>
      <c r="V982" s="7" t="n">
        <v>880060.660443995</v>
      </c>
      <c r="W982" s="7" t="n">
        <v>880060.660443995</v>
      </c>
      <c r="X982" s="7" t="n">
        <v>0</v>
      </c>
      <c r="Y982" s="6" t="n">
        <v>0</v>
      </c>
      <c r="Z982" s="7" t="n">
        <v>465539.7569810626</v>
      </c>
      <c r="AA982" s="7" t="n">
        <v>289155.1285596662</v>
      </c>
      <c r="AB982" s="7" t="n">
        <v>6985276.884442575</v>
      </c>
      <c r="AC982" s="7" t="n">
        <v>6985276.884442575</v>
      </c>
      <c r="AD982" s="7" t="n">
        <v>0</v>
      </c>
      <c r="AE982" s="6" t="n">
        <v>0</v>
      </c>
    </row>
    <row r="983">
      <c r="A983" s="2" t="n">
        <v>974</v>
      </c>
      <c r="B983" s="2" t="inlineStr">
        <is>
          <t>KPROP-00974</t>
        </is>
      </c>
      <c r="C983" s="3" t="n">
        <v>46186</v>
      </c>
      <c r="D983" s="2" t="inlineStr">
        <is>
          <t>Kevin Gausman</t>
        </is>
      </c>
      <c r="E983" s="2" t="inlineStr">
        <is>
          <t>Loss</t>
        </is>
      </c>
      <c r="F983" s="2" t="n">
        <v>-1</v>
      </c>
      <c r="G983" s="6" t="n">
        <v>0.1241018239738789</v>
      </c>
      <c r="H983" s="7" t="n">
        <v>100</v>
      </c>
      <c r="I983" s="7" t="n">
        <v>-100</v>
      </c>
      <c r="J983" s="7" t="n">
        <v>20771.98158926133</v>
      </c>
      <c r="K983" s="7" t="n">
        <v>20871.98158926133</v>
      </c>
      <c r="L983" s="7" t="n">
        <v>-100</v>
      </c>
      <c r="M983" s="6" t="n">
        <v>-0.004791111930237146</v>
      </c>
      <c r="N983" s="7" t="n">
        <v>282.8010236087219</v>
      </c>
      <c r="O983" s="7" t="n">
        <v>-282.8010236087219</v>
      </c>
      <c r="P983" s="7" t="n">
        <v>27997.30133726347</v>
      </c>
      <c r="Q983" s="7" t="n">
        <v>28280.1023608722</v>
      </c>
      <c r="R983" s="7" t="n">
        <v>-282.8010236087212</v>
      </c>
      <c r="S983" s="6" t="n">
        <v>-0.009999999999999972</v>
      </c>
      <c r="T983" s="7" t="n">
        <v>27304.28329218908</v>
      </c>
      <c r="U983" s="7" t="n">
        <v>-27304.28329218908</v>
      </c>
      <c r="V983" s="7" t="n">
        <v>852756.3771518059</v>
      </c>
      <c r="W983" s="7" t="n">
        <v>880060.660443995</v>
      </c>
      <c r="X983" s="7" t="n">
        <v>-27304.28329218912</v>
      </c>
      <c r="Y983" s="6" t="n">
        <v>-0.03102545599346979</v>
      </c>
      <c r="Z983" s="7" t="n">
        <v>433442.801160949</v>
      </c>
      <c r="AA983" s="7" t="n">
        <v>-433442.801160949</v>
      </c>
      <c r="AB983" s="7" t="n">
        <v>6551834.083281626</v>
      </c>
      <c r="AC983" s="7" t="n">
        <v>6985276.884442575</v>
      </c>
      <c r="AD983" s="7" t="n">
        <v>-433442.8011609493</v>
      </c>
      <c r="AE983" s="6" t="n">
        <v>-0.06205091198693951</v>
      </c>
    </row>
    <row r="984">
      <c r="A984" s="2" t="n">
        <v>975</v>
      </c>
      <c r="B984" s="2" t="inlineStr">
        <is>
          <t>KPROP-00975</t>
        </is>
      </c>
      <c r="C984" s="3" t="n">
        <v>46186</v>
      </c>
      <c r="D984" s="2" t="inlineStr">
        <is>
          <t>Kevin Gausman</t>
        </is>
      </c>
      <c r="E984" s="2" t="inlineStr">
        <is>
          <t>Loss</t>
        </is>
      </c>
      <c r="F984" s="2" t="n">
        <v>-1</v>
      </c>
      <c r="G984" s="6" t="n">
        <v>0.2147568771102749</v>
      </c>
      <c r="H984" s="7" t="n">
        <v>100</v>
      </c>
      <c r="I984" s="7" t="n">
        <v>-100</v>
      </c>
      <c r="J984" s="7" t="n">
        <v>20671.98158926133</v>
      </c>
      <c r="K984" s="7" t="n">
        <v>20871.98158926133</v>
      </c>
      <c r="L984" s="7" t="n">
        <v>-200</v>
      </c>
      <c r="M984" s="6" t="n">
        <v>-0.009582223860474292</v>
      </c>
      <c r="N984" s="7" t="n">
        <v>279.9730133726347</v>
      </c>
      <c r="O984" s="7" t="n">
        <v>-279.9730133726347</v>
      </c>
      <c r="P984" s="7" t="n">
        <v>27717.32832389084</v>
      </c>
      <c r="Q984" s="7" t="n">
        <v>28280.1023608722</v>
      </c>
      <c r="R984" s="7" t="n">
        <v>-562.7740369813546</v>
      </c>
      <c r="S984" s="6" t="n">
        <v>-0.01989999999999992</v>
      </c>
      <c r="T984" s="7" t="n">
        <v>45783.82412324839</v>
      </c>
      <c r="U984" s="7" t="n">
        <v>-45783.82412324839</v>
      </c>
      <c r="V984" s="7" t="n">
        <v>806972.5530285576</v>
      </c>
      <c r="W984" s="7" t="n">
        <v>880060.660443995</v>
      </c>
      <c r="X984" s="7" t="n">
        <v>-73088.10741543747</v>
      </c>
      <c r="Y984" s="6" t="n">
        <v>-0.08304894276101848</v>
      </c>
      <c r="Z984" s="7" t="n">
        <v>703525.7135351113</v>
      </c>
      <c r="AA984" s="7" t="n">
        <v>-703525.7135351113</v>
      </c>
      <c r="AB984" s="7" t="n">
        <v>5848308.369746515</v>
      </c>
      <c r="AC984" s="7" t="n">
        <v>6985276.884442575</v>
      </c>
      <c r="AD984" s="7" t="n">
        <v>-1136968.514696061</v>
      </c>
      <c r="AE984" s="6" t="n">
        <v>-0.1627664205019971</v>
      </c>
    </row>
    <row r="985">
      <c r="A985" s="2" t="n">
        <v>976</v>
      </c>
      <c r="B985" s="2" t="inlineStr">
        <is>
          <t>KPROP-00976</t>
        </is>
      </c>
      <c r="C985" s="3" t="n">
        <v>46186</v>
      </c>
      <c r="D985" s="2" t="inlineStr">
        <is>
          <t>Michael Soroka</t>
        </is>
      </c>
      <c r="E985" s="2" t="inlineStr">
        <is>
          <t>Loss</t>
        </is>
      </c>
      <c r="F985" s="2" t="n">
        <v>-1</v>
      </c>
      <c r="G985" s="6" t="n">
        <v>0.2146142951846471</v>
      </c>
      <c r="H985" s="7" t="n">
        <v>100</v>
      </c>
      <c r="I985" s="7" t="n">
        <v>-100</v>
      </c>
      <c r="J985" s="7" t="n">
        <v>20571.98158926133</v>
      </c>
      <c r="K985" s="7" t="n">
        <v>20871.98158926133</v>
      </c>
      <c r="L985" s="7" t="n">
        <v>-300</v>
      </c>
      <c r="M985" s="6" t="n">
        <v>-0.01437333579071144</v>
      </c>
      <c r="N985" s="7" t="n">
        <v>277.1732832389084</v>
      </c>
      <c r="O985" s="7" t="n">
        <v>-277.1732832389084</v>
      </c>
      <c r="P985" s="7" t="n">
        <v>27440.15504065193</v>
      </c>
      <c r="Q985" s="7" t="n">
        <v>28280.1023608722</v>
      </c>
      <c r="R985" s="7" t="n">
        <v>-839.9473202202644</v>
      </c>
      <c r="S985" s="6" t="n">
        <v>-0.02970099999999997</v>
      </c>
      <c r="T985" s="7" t="n">
        <v>43296.96142539479</v>
      </c>
      <c r="U985" s="7" t="n">
        <v>-43296.96142539479</v>
      </c>
      <c r="V985" s="7" t="n">
        <v>763675.5916031628</v>
      </c>
      <c r="W985" s="7" t="n">
        <v>880060.660443995</v>
      </c>
      <c r="X985" s="7" t="n">
        <v>-116385.0688408322</v>
      </c>
      <c r="Y985" s="6" t="n">
        <v>-0.1322466439780587</v>
      </c>
      <c r="Z985" s="7" t="n">
        <v>627565.2893978105</v>
      </c>
      <c r="AA985" s="7" t="n">
        <v>-627565.2893978105</v>
      </c>
      <c r="AB985" s="7" t="n">
        <v>5220743.080348704</v>
      </c>
      <c r="AC985" s="7" t="n">
        <v>6985276.884442575</v>
      </c>
      <c r="AD985" s="7" t="n">
        <v>-1764533.804093871</v>
      </c>
      <c r="AE985" s="6" t="n">
        <v>-0.2526075677864387</v>
      </c>
    </row>
    <row r="986">
      <c r="A986" s="2" t="n">
        <v>977</v>
      </c>
      <c r="B986" s="2" t="inlineStr">
        <is>
          <t>KPROP-00977</t>
        </is>
      </c>
      <c r="C986" s="3" t="n">
        <v>46186</v>
      </c>
      <c r="D986" s="2" t="inlineStr">
        <is>
          <t>Ranger Suarez</t>
        </is>
      </c>
      <c r="E986" s="2" t="inlineStr">
        <is>
          <t>Loss</t>
        </is>
      </c>
      <c r="F986" s="2" t="n">
        <v>-1</v>
      </c>
      <c r="G986" s="6" t="n">
        <v>0.1999660377350303</v>
      </c>
      <c r="H986" s="7" t="n">
        <v>100</v>
      </c>
      <c r="I986" s="7" t="n">
        <v>-100</v>
      </c>
      <c r="J986" s="7" t="n">
        <v>20471.98158926133</v>
      </c>
      <c r="K986" s="7" t="n">
        <v>20871.98158926133</v>
      </c>
      <c r="L986" s="7" t="n">
        <v>-400</v>
      </c>
      <c r="M986" s="6" t="n">
        <v>-0.01916444772094858</v>
      </c>
      <c r="N986" s="7" t="n">
        <v>274.4015504065193</v>
      </c>
      <c r="O986" s="7" t="n">
        <v>-274.4015504065193</v>
      </c>
      <c r="P986" s="7" t="n">
        <v>27165.75349024541</v>
      </c>
      <c r="Q986" s="7" t="n">
        <v>28280.1023608722</v>
      </c>
      <c r="R986" s="7" t="n">
        <v>-1114.348870626785</v>
      </c>
      <c r="S986" s="6" t="n">
        <v>-0.03940399000000003</v>
      </c>
      <c r="T986" s="7" t="n">
        <v>38177.29554195992</v>
      </c>
      <c r="U986" s="7" t="n">
        <v>-38177.29554195992</v>
      </c>
      <c r="V986" s="7" t="n">
        <v>725498.2960612029</v>
      </c>
      <c r="W986" s="7" t="n">
        <v>880060.660443995</v>
      </c>
      <c r="X986" s="7" t="n">
        <v>-154562.3643827921</v>
      </c>
      <c r="Y986" s="6" t="n">
        <v>-0.1756269440618044</v>
      </c>
      <c r="Z986" s="7" t="n">
        <v>521985.6539049537</v>
      </c>
      <c r="AA986" s="7" t="n">
        <v>-521985.6539049537</v>
      </c>
      <c r="AB986" s="7" t="n">
        <v>4698757.42644375</v>
      </c>
      <c r="AC986" s="7" t="n">
        <v>6985276.884442575</v>
      </c>
      <c r="AD986" s="7" t="n">
        <v>-2286519.457998825</v>
      </c>
      <c r="AE986" s="6" t="n">
        <v>-0.3273341194378853</v>
      </c>
    </row>
    <row r="987">
      <c r="A987" s="2" t="n">
        <v>978</v>
      </c>
      <c r="B987" s="2" t="inlineStr">
        <is>
          <t>KPROP-00978</t>
        </is>
      </c>
      <c r="C987" s="3" t="n">
        <v>46186</v>
      </c>
      <c r="D987" s="2" t="inlineStr">
        <is>
          <t>Shane Drohan</t>
        </is>
      </c>
      <c r="E987" s="2" t="inlineStr">
        <is>
          <t>Loss</t>
        </is>
      </c>
      <c r="F987" s="2" t="n">
        <v>-1</v>
      </c>
      <c r="G987" s="6" t="n">
        <v>0.1229439205372841</v>
      </c>
      <c r="H987" s="7" t="n">
        <v>100</v>
      </c>
      <c r="I987" s="7" t="n">
        <v>-100</v>
      </c>
      <c r="J987" s="7" t="n">
        <v>20371.98158926133</v>
      </c>
      <c r="K987" s="7" t="n">
        <v>20871.98158926133</v>
      </c>
      <c r="L987" s="7" t="n">
        <v>-500</v>
      </c>
      <c r="M987" s="6" t="n">
        <v>-0.02395555965118573</v>
      </c>
      <c r="N987" s="7" t="n">
        <v>271.6575349024541</v>
      </c>
      <c r="O987" s="7" t="n">
        <v>-271.6575349024541</v>
      </c>
      <c r="P987" s="7" t="n">
        <v>26894.09595534296</v>
      </c>
      <c r="Q987" s="7" t="n">
        <v>28280.1023608722</v>
      </c>
      <c r="R987" s="7" t="n">
        <v>-1386.006405529239</v>
      </c>
      <c r="S987" s="6" t="n">
        <v>-0.0490099501</v>
      </c>
      <c r="T987" s="7" t="n">
        <v>22298.90121522089</v>
      </c>
      <c r="U987" s="7" t="n">
        <v>-22298.90121522089</v>
      </c>
      <c r="V987" s="7" t="n">
        <v>703199.394845982</v>
      </c>
      <c r="W987" s="7" t="n">
        <v>880060.660443995</v>
      </c>
      <c r="X987" s="7" t="n">
        <v>-176861.2655980131</v>
      </c>
      <c r="Y987" s="6" t="n">
        <v>-0.2009648579323903</v>
      </c>
      <c r="Z987" s="7" t="n">
        <v>288841.829830337</v>
      </c>
      <c r="AA987" s="7" t="n">
        <v>-288841.829830337</v>
      </c>
      <c r="AB987" s="7" t="n">
        <v>4409915.596613413</v>
      </c>
      <c r="AC987" s="7" t="n">
        <v>6985276.884442575</v>
      </c>
      <c r="AD987" s="7" t="n">
        <v>-2575361.287829163</v>
      </c>
      <c r="AE987" s="6" t="n">
        <v>-0.3686842097218708</v>
      </c>
    </row>
    <row r="988">
      <c r="A988" s="2" t="n">
        <v>979</v>
      </c>
      <c r="B988" s="2" t="inlineStr">
        <is>
          <t>KPROP-00979</t>
        </is>
      </c>
      <c r="C988" s="3" t="n">
        <v>46186</v>
      </c>
      <c r="D988" s="2" t="inlineStr">
        <is>
          <t>Shane Drohan</t>
        </is>
      </c>
      <c r="E988" s="2" t="inlineStr">
        <is>
          <t>Loss</t>
        </is>
      </c>
      <c r="F988" s="2" t="n">
        <v>-1</v>
      </c>
      <c r="G988" s="6" t="n">
        <v>0.1469554841067854</v>
      </c>
      <c r="H988" s="7" t="n">
        <v>100</v>
      </c>
      <c r="I988" s="7" t="n">
        <v>-100</v>
      </c>
      <c r="J988" s="7" t="n">
        <v>20271.98158926133</v>
      </c>
      <c r="K988" s="7" t="n">
        <v>20871.98158926133</v>
      </c>
      <c r="L988" s="7" t="n">
        <v>-600</v>
      </c>
      <c r="M988" s="6" t="n">
        <v>-0.02874667158142287</v>
      </c>
      <c r="N988" s="7" t="n">
        <v>268.9409595534296</v>
      </c>
      <c r="O988" s="7" t="n">
        <v>-268.9409595534296</v>
      </c>
      <c r="P988" s="7" t="n">
        <v>26625.15499578953</v>
      </c>
      <c r="Q988" s="7" t="n">
        <v>28280.1023608722</v>
      </c>
      <c r="R988" s="7" t="n">
        <v>-1654.947365082669</v>
      </c>
      <c r="S988" s="6" t="n">
        <v>-0.05851985059900005</v>
      </c>
      <c r="T988" s="7" t="n">
        <v>25834.75187329746</v>
      </c>
      <c r="U988" s="7" t="n">
        <v>-25834.75187329746</v>
      </c>
      <c r="V988" s="7" t="n">
        <v>677364.6429726845</v>
      </c>
      <c r="W988" s="7" t="n">
        <v>880060.660443995</v>
      </c>
      <c r="X988" s="7" t="n">
        <v>-202696.0174713106</v>
      </c>
      <c r="Y988" s="6" t="n">
        <v>-0.2303205069626103</v>
      </c>
      <c r="Z988" s="7" t="n">
        <v>324030.6406851938</v>
      </c>
      <c r="AA988" s="7" t="n">
        <v>-324030.6406851938</v>
      </c>
      <c r="AB988" s="7" t="n">
        <v>4085884.955928219</v>
      </c>
      <c r="AC988" s="7" t="n">
        <v>6985276.884442575</v>
      </c>
      <c r="AD988" s="7" t="n">
        <v>-2899391.928514356</v>
      </c>
      <c r="AE988" s="6" t="n">
        <v>-0.4150718685141609</v>
      </c>
    </row>
    <row r="989">
      <c r="A989" s="2" t="n">
        <v>980</v>
      </c>
      <c r="B989" s="2" t="inlineStr">
        <is>
          <t>KPROP-00980</t>
        </is>
      </c>
      <c r="C989" s="3" t="n">
        <v>46186</v>
      </c>
      <c r="D989" s="2" t="inlineStr">
        <is>
          <t>Yoshinobu Yamamoto</t>
        </is>
      </c>
      <c r="E989" s="2" t="inlineStr">
        <is>
          <t>Loss</t>
        </is>
      </c>
      <c r="F989" s="2" t="n">
        <v>-1</v>
      </c>
      <c r="G989" s="6" t="n">
        <v>0.2064455599901856</v>
      </c>
      <c r="H989" s="7" t="n">
        <v>100</v>
      </c>
      <c r="I989" s="7" t="n">
        <v>-100</v>
      </c>
      <c r="J989" s="7" t="n">
        <v>20171.98158926133</v>
      </c>
      <c r="K989" s="7" t="n">
        <v>20871.98158926133</v>
      </c>
      <c r="L989" s="7" t="n">
        <v>-700</v>
      </c>
      <c r="M989" s="6" t="n">
        <v>-0.03353778351166002</v>
      </c>
      <c r="N989" s="7" t="n">
        <v>266.2515499578952</v>
      </c>
      <c r="O989" s="7" t="n">
        <v>-266.2515499578952</v>
      </c>
      <c r="P989" s="7" t="n">
        <v>26358.90344583163</v>
      </c>
      <c r="Q989" s="7" t="n">
        <v>28280.1023608722</v>
      </c>
      <c r="R989" s="7" t="n">
        <v>-1921.198915040564</v>
      </c>
      <c r="S989" s="6" t="n">
        <v>-0.06793465209301003</v>
      </c>
      <c r="T989" s="7" t="n">
        <v>34959.73075901199</v>
      </c>
      <c r="U989" s="7" t="n">
        <v>-34959.73075901199</v>
      </c>
      <c r="V989" s="7" t="n">
        <v>642404.9122136724</v>
      </c>
      <c r="W989" s="7" t="n">
        <v>880060.660443995</v>
      </c>
      <c r="X989" s="7" t="n">
        <v>-237655.7482303226</v>
      </c>
      <c r="Y989" s="6" t="n">
        <v>-0.2700447354508769</v>
      </c>
      <c r="Z989" s="7" t="n">
        <v>421756.4038910379</v>
      </c>
      <c r="AA989" s="7" t="n">
        <v>-421756.4038910379</v>
      </c>
      <c r="AB989" s="7" t="n">
        <v>3664128.552037181</v>
      </c>
      <c r="AC989" s="7" t="n">
        <v>6985276.884442575</v>
      </c>
      <c r="AD989" s="7" t="n">
        <v>-3321148.332405394</v>
      </c>
      <c r="AE989" s="6" t="n">
        <v>-0.4754497763434644</v>
      </c>
    </row>
    <row r="990">
      <c r="A990" s="2" t="n">
        <v>981</v>
      </c>
      <c r="B990" s="2" t="inlineStr">
        <is>
          <t>KPROP-00981</t>
        </is>
      </c>
      <c r="C990" s="3" t="n">
        <v>46187</v>
      </c>
      <c r="D990" s="2" t="inlineStr">
        <is>
          <t>Connelly Early</t>
        </is>
      </c>
      <c r="E990" s="2" t="inlineStr">
        <is>
          <t>Win</t>
        </is>
      </c>
      <c r="F990" s="2" t="n">
        <v>1</v>
      </c>
      <c r="G990" s="6" t="n">
        <v>0.08860402426082814</v>
      </c>
      <c r="H990" s="7" t="n">
        <v>100</v>
      </c>
      <c r="I990" s="7" t="n">
        <v>100</v>
      </c>
      <c r="J990" s="7" t="n">
        <v>20271.98158926133</v>
      </c>
      <c r="K990" s="7" t="n">
        <v>20871.98158926133</v>
      </c>
      <c r="L990" s="7" t="n">
        <v>-600</v>
      </c>
      <c r="M990" s="6" t="n">
        <v>-0.02874667158142287</v>
      </c>
      <c r="N990" s="7" t="n">
        <v>263.5890344583163</v>
      </c>
      <c r="O990" s="7" t="n">
        <v>263.5890344583163</v>
      </c>
      <c r="P990" s="7" t="n">
        <v>26622.49248028995</v>
      </c>
      <c r="Q990" s="7" t="n">
        <v>28280.1023608722</v>
      </c>
      <c r="R990" s="7" t="n">
        <v>-1657.609880582248</v>
      </c>
      <c r="S990" s="6" t="n">
        <v>-0.05861399861394012</v>
      </c>
      <c r="T990" s="7" t="n">
        <v>14229.91510676385</v>
      </c>
      <c r="U990" s="7" t="n">
        <v>14229.91510676385</v>
      </c>
      <c r="V990" s="7" t="n">
        <v>656634.8273204362</v>
      </c>
      <c r="W990" s="7" t="n">
        <v>880060.660443995</v>
      </c>
      <c r="X990" s="7" t="n">
        <v>-223425.8331235588</v>
      </c>
      <c r="Y990" s="6" t="n">
        <v>-0.2538754919585194</v>
      </c>
      <c r="Z990" s="7" t="n">
        <v>162328.2675597477</v>
      </c>
      <c r="AA990" s="7" t="n">
        <v>162328.2675597477</v>
      </c>
      <c r="AB990" s="7" t="n">
        <v>3826456.819596929</v>
      </c>
      <c r="AC990" s="7" t="n">
        <v>6985276.884442575</v>
      </c>
      <c r="AD990" s="7" t="n">
        <v>-3158820.064845646</v>
      </c>
      <c r="AE990" s="6" t="n">
        <v>-0.4522111459720211</v>
      </c>
    </row>
    <row r="991">
      <c r="A991" s="2" t="n">
        <v>982</v>
      </c>
      <c r="B991" s="2" t="inlineStr">
        <is>
          <t>KPROP-00982</t>
        </is>
      </c>
      <c r="C991" s="3" t="n">
        <v>46187</v>
      </c>
      <c r="D991" s="2" t="inlineStr">
        <is>
          <t>Cristopher Sánchez</t>
        </is>
      </c>
      <c r="E991" s="2" t="inlineStr">
        <is>
          <t>Win</t>
        </is>
      </c>
      <c r="F991" s="2" t="n">
        <v>0.6849315068493151</v>
      </c>
      <c r="G991" s="6" t="n">
        <v>0.3221585010061809</v>
      </c>
      <c r="H991" s="7" t="n">
        <v>100</v>
      </c>
      <c r="I991" s="7" t="n">
        <v>68.49315068493152</v>
      </c>
      <c r="J991" s="7" t="n">
        <v>20340.47473994626</v>
      </c>
      <c r="K991" s="7" t="n">
        <v>20871.98158926133</v>
      </c>
      <c r="L991" s="7" t="n">
        <v>-531.5068493150684</v>
      </c>
      <c r="M991" s="6" t="n">
        <v>-0.02546508806756181</v>
      </c>
      <c r="N991" s="7" t="n">
        <v>266.2249248028995</v>
      </c>
      <c r="O991" s="7" t="n">
        <v>182.3458389060955</v>
      </c>
      <c r="P991" s="7" t="n">
        <v>26804.83831919604</v>
      </c>
      <c r="Q991" s="7" t="n">
        <v>28280.1023608722</v>
      </c>
      <c r="R991" s="7" t="n">
        <v>-1475.264041676153</v>
      </c>
      <c r="S991" s="6" t="n">
        <v>-0.05216614928937811</v>
      </c>
      <c r="T991" s="7" t="n">
        <v>52885.12291950105</v>
      </c>
      <c r="U991" s="7" t="n">
        <v>36222.68693116511</v>
      </c>
      <c r="V991" s="7" t="n">
        <v>692857.5142516014</v>
      </c>
      <c r="W991" s="7" t="n">
        <v>880060.660443995</v>
      </c>
      <c r="X991" s="7" t="n">
        <v>-187203.1461923936</v>
      </c>
      <c r="Y991" s="6" t="n">
        <v>-0.2127161849251945</v>
      </c>
      <c r="Z991" s="7" t="n">
        <v>616362.7965831126</v>
      </c>
      <c r="AA991" s="7" t="n">
        <v>422166.2990295292</v>
      </c>
      <c r="AB991" s="7" t="n">
        <v>4248623.118626459</v>
      </c>
      <c r="AC991" s="7" t="n">
        <v>6985276.884442575</v>
      </c>
      <c r="AD991" s="7" t="n">
        <v>-2736653.765816117</v>
      </c>
      <c r="AE991" s="6" t="n">
        <v>-0.391774558272861</v>
      </c>
    </row>
    <row r="992">
      <c r="A992" s="2" t="n">
        <v>983</v>
      </c>
      <c r="B992" s="2" t="inlineStr">
        <is>
          <t>KPROP-00983</t>
        </is>
      </c>
      <c r="C992" s="3" t="n">
        <v>46187</v>
      </c>
      <c r="D992" s="2" t="inlineStr">
        <is>
          <t>Emmet Sheehan</t>
        </is>
      </c>
      <c r="E992" s="2" t="inlineStr">
        <is>
          <t>Loss</t>
        </is>
      </c>
      <c r="F992" s="2" t="n">
        <v>-1</v>
      </c>
      <c r="G992" s="6" t="n">
        <v>0.172592045974524</v>
      </c>
      <c r="H992" s="7" t="n">
        <v>100</v>
      </c>
      <c r="I992" s="7" t="n">
        <v>-100</v>
      </c>
      <c r="J992" s="7" t="n">
        <v>20240.47473994626</v>
      </c>
      <c r="K992" s="7" t="n">
        <v>20871.98158926133</v>
      </c>
      <c r="L992" s="7" t="n">
        <v>-631.5068493150684</v>
      </c>
      <c r="M992" s="6" t="n">
        <v>-0.03025619999779896</v>
      </c>
      <c r="N992" s="7" t="n">
        <v>268.0483831919604</v>
      </c>
      <c r="O992" s="7" t="n">
        <v>-268.0483831919604</v>
      </c>
      <c r="P992" s="7" t="n">
        <v>26536.78993600408</v>
      </c>
      <c r="Q992" s="7" t="n">
        <v>28280.1023608722</v>
      </c>
      <c r="R992" s="7" t="n">
        <v>-1743.312424868112</v>
      </c>
      <c r="S992" s="6" t="n">
        <v>-0.06164448779648429</v>
      </c>
      <c r="T992" s="7" t="n">
        <v>29895.4239883767</v>
      </c>
      <c r="U992" s="7" t="n">
        <v>-29895.4239883767</v>
      </c>
      <c r="V992" s="7" t="n">
        <v>662962.0902632247</v>
      </c>
      <c r="W992" s="7" t="n">
        <v>880060.660443995</v>
      </c>
      <c r="X992" s="7" t="n">
        <v>-217098.5701807704</v>
      </c>
      <c r="Y992" s="6" t="n">
        <v>-0.2466859160267919</v>
      </c>
      <c r="Z992" s="7" t="n">
        <v>366639.2783092016</v>
      </c>
      <c r="AA992" s="7" t="n">
        <v>-366639.2783092016</v>
      </c>
      <c r="AB992" s="7" t="n">
        <v>3881983.840317257</v>
      </c>
      <c r="AC992" s="7" t="n">
        <v>6985276.884442575</v>
      </c>
      <c r="AD992" s="7" t="n">
        <v>-3103293.044125319</v>
      </c>
      <c r="AE992" s="6" t="n">
        <v>-0.4442619949735838</v>
      </c>
    </row>
    <row r="993">
      <c r="A993" s="2" t="n">
        <v>984</v>
      </c>
      <c r="B993" s="2" t="inlineStr">
        <is>
          <t>KPROP-00984</t>
        </is>
      </c>
      <c r="C993" s="3" t="n">
        <v>46187</v>
      </c>
      <c r="D993" s="2" t="inlineStr">
        <is>
          <t>Freddy Peralta</t>
        </is>
      </c>
      <c r="E993" s="2" t="inlineStr">
        <is>
          <t>Win</t>
        </is>
      </c>
      <c r="F993" s="2" t="n">
        <v>0.925925925925926</v>
      </c>
      <c r="G993" s="6" t="n">
        <v>0.08181191120963305</v>
      </c>
      <c r="H993" s="7" t="n">
        <v>100</v>
      </c>
      <c r="I993" s="7" t="n">
        <v>92.59259259259261</v>
      </c>
      <c r="J993" s="7" t="n">
        <v>20333.06733253885</v>
      </c>
      <c r="K993" s="7" t="n">
        <v>20871.98158926133</v>
      </c>
      <c r="L993" s="7" t="n">
        <v>-538.9142567224771</v>
      </c>
      <c r="M993" s="6" t="n">
        <v>-0.02581998524757944</v>
      </c>
      <c r="N993" s="7" t="n">
        <v>265.3678993600408</v>
      </c>
      <c r="O993" s="7" t="n">
        <v>245.7110179259638</v>
      </c>
      <c r="P993" s="7" t="n">
        <v>26782.50095393005</v>
      </c>
      <c r="Q993" s="7" t="n">
        <v>28280.1023608722</v>
      </c>
      <c r="R993" s="7" t="n">
        <v>-1497.601406942147</v>
      </c>
      <c r="S993" s="6" t="n">
        <v>-0.05295601083163686</v>
      </c>
      <c r="T993" s="7" t="n">
        <v>13559.54891599192</v>
      </c>
      <c r="U993" s="7" t="n">
        <v>12555.1378851777</v>
      </c>
      <c r="V993" s="7" t="n">
        <v>675517.2281484024</v>
      </c>
      <c r="W993" s="7" t="n">
        <v>880060.660443995</v>
      </c>
      <c r="X993" s="7" t="n">
        <v>-204543.4322955926</v>
      </c>
      <c r="Y993" s="6" t="n">
        <v>-0.2324196972881385</v>
      </c>
      <c r="Z993" s="7" t="n">
        <v>158796.2586306329</v>
      </c>
      <c r="AA993" s="7" t="n">
        <v>147033.5728061415</v>
      </c>
      <c r="AB993" s="7" t="n">
        <v>4029017.413123398</v>
      </c>
      <c r="AC993" s="7" t="n">
        <v>6985276.884442575</v>
      </c>
      <c r="AD993" s="7" t="n">
        <v>-2956259.471319177</v>
      </c>
      <c r="AE993" s="6" t="n">
        <v>-0.4232129263055099</v>
      </c>
    </row>
    <row r="994">
      <c r="A994" s="2" t="n">
        <v>985</v>
      </c>
      <c r="B994" s="2" t="inlineStr">
        <is>
          <t>KPROP-00985</t>
        </is>
      </c>
      <c r="C994" s="3" t="n">
        <v>46187</v>
      </c>
      <c r="D994" s="2" t="inlineStr">
        <is>
          <t>Grayson Rodriguez</t>
        </is>
      </c>
      <c r="E994" s="2" t="inlineStr">
        <is>
          <t>Win</t>
        </is>
      </c>
      <c r="F994" s="2" t="n">
        <v>1.22</v>
      </c>
      <c r="G994" s="6" t="n">
        <v>0.09675017708486783</v>
      </c>
      <c r="H994" s="7" t="n">
        <v>100</v>
      </c>
      <c r="I994" s="7" t="n">
        <v>122</v>
      </c>
      <c r="J994" s="7" t="n">
        <v>20455.06733253885</v>
      </c>
      <c r="K994" s="7" t="n">
        <v>20871.98158926133</v>
      </c>
      <c r="L994" s="7" t="n">
        <v>-416.9142567224771</v>
      </c>
      <c r="M994" s="6" t="n">
        <v>-0.01997482869269012</v>
      </c>
      <c r="N994" s="7" t="n">
        <v>267.8250095393005</v>
      </c>
      <c r="O994" s="7" t="n">
        <v>326.7465116379465</v>
      </c>
      <c r="P994" s="7" t="n">
        <v>27109.24746556799</v>
      </c>
      <c r="Q994" s="7" t="n">
        <v>28280.1023608722</v>
      </c>
      <c r="R994" s="7" t="n">
        <v>-1170.854895304201</v>
      </c>
      <c r="S994" s="6" t="n">
        <v>-0.04140207416378285</v>
      </c>
      <c r="T994" s="7" t="n">
        <v>16339.10286180925</v>
      </c>
      <c r="U994" s="7" t="n">
        <v>19933.70549140728</v>
      </c>
      <c r="V994" s="7" t="n">
        <v>695450.9336398097</v>
      </c>
      <c r="W994" s="7" t="n">
        <v>880060.660443995</v>
      </c>
      <c r="X994" s="7" t="n">
        <v>-184609.7268041853</v>
      </c>
      <c r="Y994" s="6" t="n">
        <v>-0.2097693205727987</v>
      </c>
      <c r="Z994" s="7" t="n">
        <v>194904.0740988524</v>
      </c>
      <c r="AA994" s="7" t="n">
        <v>237782.9704005999</v>
      </c>
      <c r="AB994" s="7" t="n">
        <v>4266800.383523998</v>
      </c>
      <c r="AC994" s="7" t="n">
        <v>6985276.884442575</v>
      </c>
      <c r="AD994" s="7" t="n">
        <v>-2718476.500918577</v>
      </c>
      <c r="AE994" s="6" t="n">
        <v>-0.3891723328781851</v>
      </c>
    </row>
    <row r="995">
      <c r="A995" s="2" t="n">
        <v>986</v>
      </c>
      <c r="B995" s="2" t="inlineStr">
        <is>
          <t>KPROP-00986</t>
        </is>
      </c>
      <c r="C995" s="3" t="n">
        <v>46187</v>
      </c>
      <c r="D995" s="2" t="inlineStr">
        <is>
          <t>Grayson Rodriguez</t>
        </is>
      </c>
      <c r="E995" s="2" t="inlineStr">
        <is>
          <t>Win</t>
        </is>
      </c>
      <c r="F995" s="2" t="n">
        <v>0.6451612903225805</v>
      </c>
      <c r="G995" s="6" t="n">
        <v>0.1760050457159196</v>
      </c>
      <c r="H995" s="7" t="n">
        <v>100</v>
      </c>
      <c r="I995" s="7" t="n">
        <v>64.51612903225805</v>
      </c>
      <c r="J995" s="7" t="n">
        <v>20519.58346157111</v>
      </c>
      <c r="K995" s="7" t="n">
        <v>20871.98158926133</v>
      </c>
      <c r="L995" s="7" t="n">
        <v>-352.3981276902196</v>
      </c>
      <c r="M995" s="6" t="n">
        <v>-0.01688378873769844</v>
      </c>
      <c r="N995" s="7" t="n">
        <v>271.09247465568</v>
      </c>
      <c r="O995" s="7" t="n">
        <v>174.8983707455999</v>
      </c>
      <c r="P995" s="7" t="n">
        <v>27284.14583631359</v>
      </c>
      <c r="Q995" s="7" t="n">
        <v>28280.1023608722</v>
      </c>
      <c r="R995" s="7" t="n">
        <v>-995.9565245586018</v>
      </c>
      <c r="S995" s="6" t="n">
        <v>-0.03521757141645244</v>
      </c>
      <c r="T995" s="7" t="n">
        <v>30600.71834211343</v>
      </c>
      <c r="U995" s="7" t="n">
        <v>19742.39893039575</v>
      </c>
      <c r="V995" s="7" t="n">
        <v>715193.3325702054</v>
      </c>
      <c r="W995" s="7" t="n">
        <v>880060.660443995</v>
      </c>
      <c r="X995" s="7" t="n">
        <v>-164867.3278737896</v>
      </c>
      <c r="Y995" s="6" t="n">
        <v>-0.1873363226923621</v>
      </c>
      <c r="Z995" s="7" t="n">
        <v>375489.1982814223</v>
      </c>
      <c r="AA995" s="7" t="n">
        <v>242251.0956654337</v>
      </c>
      <c r="AB995" s="7" t="n">
        <v>4509051.479189431</v>
      </c>
      <c r="AC995" s="7" t="n">
        <v>6985276.884442575</v>
      </c>
      <c r="AD995" s="7" t="n">
        <v>-2476225.405253144</v>
      </c>
      <c r="AE995" s="6" t="n">
        <v>-0.3544920904664678</v>
      </c>
    </row>
    <row r="996">
      <c r="A996" s="2" t="n">
        <v>987</v>
      </c>
      <c r="B996" s="2" t="inlineStr">
        <is>
          <t>KPROP-00987</t>
        </is>
      </c>
      <c r="C996" s="3" t="n">
        <v>46187</v>
      </c>
      <c r="D996" s="2" t="inlineStr">
        <is>
          <t>Jeffrey Springs</t>
        </is>
      </c>
      <c r="E996" s="2" t="inlineStr">
        <is>
          <t>Loss</t>
        </is>
      </c>
      <c r="F996" s="2" t="n">
        <v>-1</v>
      </c>
      <c r="G996" s="6" t="n">
        <v>0.1601622515053928</v>
      </c>
      <c r="H996" s="7" t="n">
        <v>100</v>
      </c>
      <c r="I996" s="7" t="n">
        <v>-100</v>
      </c>
      <c r="J996" s="7" t="n">
        <v>20419.58346157111</v>
      </c>
      <c r="K996" s="7" t="n">
        <v>20871.98158926133</v>
      </c>
      <c r="L996" s="7" t="n">
        <v>-452.3981276902196</v>
      </c>
      <c r="M996" s="6" t="n">
        <v>-0.02167490066793559</v>
      </c>
      <c r="N996" s="7" t="n">
        <v>272.8414583631359</v>
      </c>
      <c r="O996" s="7" t="n">
        <v>-272.8414583631359</v>
      </c>
      <c r="P996" s="7" t="n">
        <v>27011.30437795046</v>
      </c>
      <c r="Q996" s="7" t="n">
        <v>28280.1023608722</v>
      </c>
      <c r="R996" s="7" t="n">
        <v>-1268.797982921737</v>
      </c>
      <c r="S996" s="6" t="n">
        <v>-0.04486539570228788</v>
      </c>
      <c r="T996" s="7" t="n">
        <v>28636.74360152233</v>
      </c>
      <c r="U996" s="7" t="n">
        <v>-28636.74360152233</v>
      </c>
      <c r="V996" s="7" t="n">
        <v>686556.5889686832</v>
      </c>
      <c r="W996" s="7" t="n">
        <v>880060.660443995</v>
      </c>
      <c r="X996" s="7" t="n">
        <v>-193504.0714753119</v>
      </c>
      <c r="Y996" s="6" t="n">
        <v>-0.2198758337609229</v>
      </c>
      <c r="Z996" s="7" t="n">
        <v>361089.9185303507</v>
      </c>
      <c r="AA996" s="7" t="n">
        <v>-361089.9185303507</v>
      </c>
      <c r="AB996" s="7" t="n">
        <v>4147961.560659081</v>
      </c>
      <c r="AC996" s="7" t="n">
        <v>6985276.884442575</v>
      </c>
      <c r="AD996" s="7" t="n">
        <v>-2837315.323783495</v>
      </c>
      <c r="AE996" s="6" t="n">
        <v>-0.4061850905441828</v>
      </c>
    </row>
    <row r="997">
      <c r="A997" s="2" t="n">
        <v>988</v>
      </c>
      <c r="B997" s="2" t="inlineStr">
        <is>
          <t>KPROP-00988</t>
        </is>
      </c>
      <c r="C997" s="3" t="n">
        <v>46187</v>
      </c>
      <c r="D997" s="2" t="inlineStr">
        <is>
          <t>Kyle Harrison</t>
        </is>
      </c>
      <c r="E997" s="2" t="inlineStr">
        <is>
          <t>Win</t>
        </is>
      </c>
      <c r="F997" s="2" t="n">
        <v>1.2</v>
      </c>
      <c r="G997" s="6" t="n">
        <v>0.4873430857001093</v>
      </c>
      <c r="H997" s="7" t="n">
        <v>100</v>
      </c>
      <c r="I997" s="7" t="n">
        <v>120</v>
      </c>
      <c r="J997" s="7" t="n">
        <v>20539.58346157111</v>
      </c>
      <c r="K997" s="7" t="n">
        <v>20871.98158926133</v>
      </c>
      <c r="L997" s="7" t="n">
        <v>-332.3981276902196</v>
      </c>
      <c r="M997" s="6" t="n">
        <v>-0.01592556635165101</v>
      </c>
      <c r="N997" s="7" t="n">
        <v>270.1130437795046</v>
      </c>
      <c r="O997" s="7" t="n">
        <v>324.1356525354056</v>
      </c>
      <c r="P997" s="7" t="n">
        <v>27335.44003048586</v>
      </c>
      <c r="Q997" s="7" t="n">
        <v>28280.1023608722</v>
      </c>
      <c r="R997" s="7" t="n">
        <v>-944.6623303863307</v>
      </c>
      <c r="S997" s="6" t="n">
        <v>-0.03340378045071532</v>
      </c>
      <c r="T997" s="7" t="n">
        <v>83647.15164393492</v>
      </c>
      <c r="U997" s="7" t="n">
        <v>100376.5819727219</v>
      </c>
      <c r="V997" s="7" t="n">
        <v>786933.1709414051</v>
      </c>
      <c r="W997" s="7" t="n">
        <v>880060.660443995</v>
      </c>
      <c r="X997" s="7" t="n">
        <v>-93127.48950258992</v>
      </c>
      <c r="Y997" s="6" t="n">
        <v>-0.1058193982396698</v>
      </c>
      <c r="Z997" s="7" t="n">
        <v>1010740.193168519</v>
      </c>
      <c r="AA997" s="7" t="n">
        <v>1212888.231802223</v>
      </c>
      <c r="AB997" s="7" t="n">
        <v>5360849.792461304</v>
      </c>
      <c r="AC997" s="7" t="n">
        <v>6985276.884442575</v>
      </c>
      <c r="AD997" s="7" t="n">
        <v>-1624427.091981271</v>
      </c>
      <c r="AE997" s="6" t="n">
        <v>-0.2325501363588253</v>
      </c>
    </row>
    <row r="998">
      <c r="A998" s="2" t="n">
        <v>989</v>
      </c>
      <c r="B998" s="2" t="inlineStr">
        <is>
          <t>KPROP-00989</t>
        </is>
      </c>
      <c r="C998" s="3" t="n">
        <v>46187</v>
      </c>
      <c r="D998" s="2" t="inlineStr">
        <is>
          <t>Kyle Harrison</t>
        </is>
      </c>
      <c r="E998" s="2" t="inlineStr">
        <is>
          <t>Win</t>
        </is>
      </c>
      <c r="F998" s="2" t="n">
        <v>0.6578947368421053</v>
      </c>
      <c r="G998" s="6" t="n">
        <v>0.5865216268725978</v>
      </c>
      <c r="H998" s="7" t="n">
        <v>100</v>
      </c>
      <c r="I998" s="7" t="n">
        <v>65.78947368421053</v>
      </c>
      <c r="J998" s="7" t="n">
        <v>20605.37293525532</v>
      </c>
      <c r="K998" s="7" t="n">
        <v>20871.98158926133</v>
      </c>
      <c r="L998" s="7" t="n">
        <v>-266.6086540060096</v>
      </c>
      <c r="M998" s="6" t="n">
        <v>-0.0127735190291266</v>
      </c>
      <c r="N998" s="7" t="n">
        <v>273.3544003048586</v>
      </c>
      <c r="O998" s="7" t="n">
        <v>179.8384212531965</v>
      </c>
      <c r="P998" s="7" t="n">
        <v>27515.27845173906</v>
      </c>
      <c r="Q998" s="7" t="n">
        <v>28280.1023608722</v>
      </c>
      <c r="R998" s="7" t="n">
        <v>-764.8239091331343</v>
      </c>
      <c r="S998" s="6" t="n">
        <v>-0.02704459479578581</v>
      </c>
      <c r="T998" s="7" t="n">
        <v>115388.3309151413</v>
      </c>
      <c r="U998" s="7" t="n">
        <v>75913.37560206662</v>
      </c>
      <c r="V998" s="7" t="n">
        <v>862846.5465434717</v>
      </c>
      <c r="W998" s="7" t="n">
        <v>880060.660443995</v>
      </c>
      <c r="X998" s="7" t="n">
        <v>-17214.11390052328</v>
      </c>
      <c r="Y998" s="6" t="n">
        <v>-0.01956014474256658</v>
      </c>
      <c r="Z998" s="7" t="n">
        <v>1572127.170847016</v>
      </c>
      <c r="AA998" s="7" t="n">
        <v>1034294.191346721</v>
      </c>
      <c r="AB998" s="7" t="n">
        <v>6395143.983808026</v>
      </c>
      <c r="AC998" s="7" t="n">
        <v>6985276.884442575</v>
      </c>
      <c r="AD998" s="7" t="n">
        <v>-590132.9006345496</v>
      </c>
      <c r="AE998" s="6" t="n">
        <v>-0.08448239209370183</v>
      </c>
    </row>
    <row r="999">
      <c r="A999" s="2" t="n">
        <v>990</v>
      </c>
      <c r="B999" s="2" t="inlineStr">
        <is>
          <t>KPROP-00990</t>
        </is>
      </c>
      <c r="C999" s="3" t="n">
        <v>46187</v>
      </c>
      <c r="D999" s="2" t="inlineStr">
        <is>
          <t>Logan Webb</t>
        </is>
      </c>
      <c r="E999" s="2" t="inlineStr">
        <is>
          <t>Loss</t>
        </is>
      </c>
      <c r="F999" s="2" t="n">
        <v>-1</v>
      </c>
      <c r="G999" s="6" t="n">
        <v>0.1446153237048548</v>
      </c>
      <c r="H999" s="7" t="n">
        <v>100</v>
      </c>
      <c r="I999" s="7" t="n">
        <v>-100</v>
      </c>
      <c r="J999" s="7" t="n">
        <v>20505.37293525532</v>
      </c>
      <c r="K999" s="7" t="n">
        <v>20871.98158926133</v>
      </c>
      <c r="L999" s="7" t="n">
        <v>-366.6086540060096</v>
      </c>
      <c r="M999" s="6" t="n">
        <v>-0.01756463095936375</v>
      </c>
      <c r="N999" s="7" t="n">
        <v>275.1527845173906</v>
      </c>
      <c r="O999" s="7" t="n">
        <v>-275.1527845173906</v>
      </c>
      <c r="P999" s="7" t="n">
        <v>27240.12566722167</v>
      </c>
      <c r="Q999" s="7" t="n">
        <v>28280.1023608722</v>
      </c>
      <c r="R999" s="7" t="n">
        <v>-1039.976693650526</v>
      </c>
      <c r="S999" s="6" t="n">
        <v>-0.03677414884782799</v>
      </c>
      <c r="T999" s="7" t="n">
        <v>31195.20815900006</v>
      </c>
      <c r="U999" s="7" t="n">
        <v>-31195.20815900006</v>
      </c>
      <c r="V999" s="7" t="n">
        <v>831651.3383844717</v>
      </c>
      <c r="W999" s="7" t="n">
        <v>880060.660443995</v>
      </c>
      <c r="X999" s="7" t="n">
        <v>-48409.32205952331</v>
      </c>
      <c r="Y999" s="6" t="n">
        <v>-0.05500680150286523</v>
      </c>
      <c r="Z999" s="7" t="n">
        <v>462417.9086787762</v>
      </c>
      <c r="AA999" s="7" t="n">
        <v>-462417.9086787762</v>
      </c>
      <c r="AB999" s="7" t="n">
        <v>5932726.075129249</v>
      </c>
      <c r="AC999" s="7" t="n">
        <v>6985276.884442575</v>
      </c>
      <c r="AD999" s="7" t="n">
        <v>-1052550.809313326</v>
      </c>
      <c r="AE999" s="6" t="n">
        <v>-0.1506813297061337</v>
      </c>
    </row>
    <row r="1000">
      <c r="A1000" s="2" t="n">
        <v>991</v>
      </c>
      <c r="B1000" s="2" t="inlineStr">
        <is>
          <t>KPROP-00991</t>
        </is>
      </c>
      <c r="C1000" s="3" t="n">
        <v>46187</v>
      </c>
      <c r="D1000" s="2" t="inlineStr">
        <is>
          <t>Max Meyer</t>
        </is>
      </c>
      <c r="E1000" s="2" t="inlineStr">
        <is>
          <t>Loss</t>
        </is>
      </c>
      <c r="F1000" s="2" t="n">
        <v>-1</v>
      </c>
      <c r="G1000" s="6" t="n">
        <v>0.1587692565475554</v>
      </c>
      <c r="H1000" s="7" t="n">
        <v>100</v>
      </c>
      <c r="I1000" s="7" t="n">
        <v>-100</v>
      </c>
      <c r="J1000" s="7" t="n">
        <v>20405.37293525532</v>
      </c>
      <c r="K1000" s="7" t="n">
        <v>20871.98158926133</v>
      </c>
      <c r="L1000" s="7" t="n">
        <v>-466.6086540060096</v>
      </c>
      <c r="M1000" s="6" t="n">
        <v>-0.02235574288960089</v>
      </c>
      <c r="N1000" s="7" t="n">
        <v>272.4012566722167</v>
      </c>
      <c r="O1000" s="7" t="n">
        <v>-272.4012566722167</v>
      </c>
      <c r="P1000" s="7" t="n">
        <v>26967.72441054945</v>
      </c>
      <c r="Q1000" s="7" t="n">
        <v>28280.1023608722</v>
      </c>
      <c r="R1000" s="7" t="n">
        <v>-1312.377950322742</v>
      </c>
      <c r="S1000" s="6" t="n">
        <v>-0.04640640735934967</v>
      </c>
      <c r="T1000" s="7" t="n">
        <v>33010.1661755205</v>
      </c>
      <c r="U1000" s="7" t="n">
        <v>-33010.1661755205</v>
      </c>
      <c r="V1000" s="7" t="n">
        <v>798641.1722089512</v>
      </c>
      <c r="W1000" s="7" t="n">
        <v>880060.660443995</v>
      </c>
      <c r="X1000" s="7" t="n">
        <v>-81419.48823504383</v>
      </c>
      <c r="Y1000" s="6" t="n">
        <v>-0.09251576839483688</v>
      </c>
      <c r="Z1000" s="7" t="n">
        <v>470967.2541242836</v>
      </c>
      <c r="AA1000" s="7" t="n">
        <v>-470967.2541242836</v>
      </c>
      <c r="AB1000" s="7" t="n">
        <v>5461758.821004965</v>
      </c>
      <c r="AC1000" s="7" t="n">
        <v>6985276.884442575</v>
      </c>
      <c r="AD1000" s="7" t="n">
        <v>-1523518.06343761</v>
      </c>
      <c r="AE1000" s="6" t="n">
        <v>-0.2181041766333915</v>
      </c>
    </row>
    <row r="1001">
      <c r="A1001" s="2" t="n">
        <v>992</v>
      </c>
      <c r="B1001" s="2" t="inlineStr">
        <is>
          <t>KPROP-00992</t>
        </is>
      </c>
      <c r="C1001" s="3" t="n">
        <v>46187</v>
      </c>
      <c r="D1001" s="2" t="inlineStr">
        <is>
          <t>Paul Skenes</t>
        </is>
      </c>
      <c r="E1001" s="2" t="inlineStr">
        <is>
          <t>Loss</t>
        </is>
      </c>
      <c r="F1001" s="2" t="n">
        <v>-1</v>
      </c>
      <c r="G1001" s="6" t="n">
        <v>0.3969511538853507</v>
      </c>
      <c r="H1001" s="7" t="n">
        <v>100</v>
      </c>
      <c r="I1001" s="7" t="n">
        <v>-100</v>
      </c>
      <c r="J1001" s="7" t="n">
        <v>20305.37293525532</v>
      </c>
      <c r="K1001" s="7" t="n">
        <v>20871.98158926133</v>
      </c>
      <c r="L1001" s="7" t="n">
        <v>-566.6086540060096</v>
      </c>
      <c r="M1001" s="6" t="n">
        <v>-0.02714685481983804</v>
      </c>
      <c r="N1001" s="7" t="n">
        <v>269.6772441054945</v>
      </c>
      <c r="O1001" s="7" t="n">
        <v>-269.6772441054945</v>
      </c>
      <c r="P1001" s="7" t="n">
        <v>26698.04716644396</v>
      </c>
      <c r="Q1001" s="7" t="n">
        <v>28280.1023608722</v>
      </c>
      <c r="R1001" s="7" t="n">
        <v>-1582.055194428234</v>
      </c>
      <c r="S1001" s="6" t="n">
        <v>-0.05594234328575611</v>
      </c>
      <c r="T1001" s="7" t="n">
        <v>79255.38371217308</v>
      </c>
      <c r="U1001" s="7" t="n">
        <v>-79255.38371217308</v>
      </c>
      <c r="V1001" s="7" t="n">
        <v>719385.7884967781</v>
      </c>
      <c r="W1001" s="7" t="n">
        <v>880060.660443995</v>
      </c>
      <c r="X1001" s="7" t="n">
        <v>-160674.8719472169</v>
      </c>
      <c r="Y1001" s="6" t="n">
        <v>-0.1825724966119445</v>
      </c>
      <c r="Z1001" s="7" t="n">
        <v>1084025.733120707</v>
      </c>
      <c r="AA1001" s="7" t="n">
        <v>-1084025.733120707</v>
      </c>
      <c r="AB1001" s="7" t="n">
        <v>4377733.087884258</v>
      </c>
      <c r="AC1001" s="7" t="n">
        <v>6985276.884442575</v>
      </c>
      <c r="AD1001" s="7" t="n">
        <v>-2607543.796558317</v>
      </c>
      <c r="AE1001" s="6" t="n">
        <v>-0.3732914012851473</v>
      </c>
    </row>
    <row r="1002">
      <c r="A1002" s="2" t="n">
        <v>993</v>
      </c>
      <c r="B1002" s="2" t="inlineStr">
        <is>
          <t>KPROP-00993</t>
        </is>
      </c>
      <c r="C1002" s="3" t="n">
        <v>46188</v>
      </c>
      <c r="D1002" s="2" t="inlineStr">
        <is>
          <t>Chase Burns</t>
        </is>
      </c>
      <c r="E1002" s="2" t="inlineStr">
        <is>
          <t>Win</t>
        </is>
      </c>
      <c r="F1002" s="2" t="n">
        <v>0.7407407407407407</v>
      </c>
      <c r="G1002" s="6" t="n">
        <v>0.4471171119951111</v>
      </c>
      <c r="H1002" s="7" t="n">
        <v>100</v>
      </c>
      <c r="I1002" s="7" t="n">
        <v>74.07407407407408</v>
      </c>
      <c r="J1002" s="7" t="n">
        <v>20379.44700932939</v>
      </c>
      <c r="K1002" s="7" t="n">
        <v>20871.98158926133</v>
      </c>
      <c r="L1002" s="7" t="n">
        <v>-492.5345799319366</v>
      </c>
      <c r="M1002" s="6" t="n">
        <v>-0.02359788301966242</v>
      </c>
      <c r="N1002" s="7" t="n">
        <v>266.9804716644396</v>
      </c>
      <c r="O1002" s="7" t="n">
        <v>197.7633123440293</v>
      </c>
      <c r="P1002" s="7" t="n">
        <v>26895.81047878799</v>
      </c>
      <c r="Q1002" s="7" t="n">
        <v>28280.1023608722</v>
      </c>
      <c r="R1002" s="7" t="n">
        <v>-1384.291882084206</v>
      </c>
      <c r="S1002" s="6" t="n">
        <v>-0.04894932360639138</v>
      </c>
      <c r="T1002" s="7" t="n">
        <v>80412.42404075131</v>
      </c>
      <c r="U1002" s="7" t="n">
        <v>59564.75854870467</v>
      </c>
      <c r="V1002" s="7" t="n">
        <v>778950.5470454828</v>
      </c>
      <c r="W1002" s="7" t="n">
        <v>880060.660443995</v>
      </c>
      <c r="X1002" s="7" t="n">
        <v>-101110.1133985122</v>
      </c>
      <c r="Y1002" s="6" t="n">
        <v>-0.1148899365044924</v>
      </c>
      <c r="Z1002" s="7" t="n">
        <v>978679.6876701248</v>
      </c>
      <c r="AA1002" s="7" t="n">
        <v>724947.916792685</v>
      </c>
      <c r="AB1002" s="7" t="n">
        <v>5102681.004676944</v>
      </c>
      <c r="AC1002" s="7" t="n">
        <v>6985276.884442575</v>
      </c>
      <c r="AD1002" s="7" t="n">
        <v>-1882595.879765632</v>
      </c>
      <c r="AE1002" s="6" t="n">
        <v>-0.2695091276851888</v>
      </c>
    </row>
    <row r="1003">
      <c r="A1003" s="2" t="n">
        <v>994</v>
      </c>
      <c r="B1003" s="2" t="inlineStr">
        <is>
          <t>KPROP-00994</t>
        </is>
      </c>
      <c r="C1003" s="3" t="n">
        <v>46188</v>
      </c>
      <c r="D1003" s="2" t="inlineStr">
        <is>
          <t>Zack Wheeler</t>
        </is>
      </c>
      <c r="E1003" s="2" t="inlineStr">
        <is>
          <t>Loss</t>
        </is>
      </c>
      <c r="F1003" s="2" t="n">
        <v>-1</v>
      </c>
      <c r="G1003" s="6" t="n">
        <v>0.2557258502162161</v>
      </c>
      <c r="H1003" s="7" t="n">
        <v>100</v>
      </c>
      <c r="I1003" s="7" t="n">
        <v>-100</v>
      </c>
      <c r="J1003" s="7" t="n">
        <v>20279.44700932939</v>
      </c>
      <c r="K1003" s="7" t="n">
        <v>20871.98158926133</v>
      </c>
      <c r="L1003" s="7" t="n">
        <v>-592.5345799319366</v>
      </c>
      <c r="M1003" s="6" t="n">
        <v>-0.02838899494989957</v>
      </c>
      <c r="N1003" s="7" t="n">
        <v>268.9581047878799</v>
      </c>
      <c r="O1003" s="7" t="n">
        <v>-268.9581047878799</v>
      </c>
      <c r="P1003" s="7" t="n">
        <v>26626.85237400011</v>
      </c>
      <c r="Q1003" s="7" t="n">
        <v>28280.1023608722</v>
      </c>
      <c r="R1003" s="7" t="n">
        <v>-1653.249986872084</v>
      </c>
      <c r="S1003" s="6" t="n">
        <v>-0.05845983037032741</v>
      </c>
      <c r="T1003" s="7" t="n">
        <v>49799.44772989818</v>
      </c>
      <c r="U1003" s="7" t="n">
        <v>-49799.44772989818</v>
      </c>
      <c r="V1003" s="7" t="n">
        <v>729151.0993155846</v>
      </c>
      <c r="W1003" s="7" t="n">
        <v>880060.660443995</v>
      </c>
      <c r="X1003" s="7" t="n">
        <v>-150909.5611284104</v>
      </c>
      <c r="Y1003" s="6" t="n">
        <v>-0.1714763173850718</v>
      </c>
      <c r="Z1003" s="7" t="n">
        <v>652443.7191515735</v>
      </c>
      <c r="AA1003" s="7" t="n">
        <v>-652443.7191515735</v>
      </c>
      <c r="AB1003" s="7" t="n">
        <v>4450237.28552537</v>
      </c>
      <c r="AC1003" s="7" t="n">
        <v>6985276.884442575</v>
      </c>
      <c r="AD1003" s="7" t="n">
        <v>-2535039.598917205</v>
      </c>
      <c r="AE1003" s="6" t="n">
        <v>-0.362911827384134</v>
      </c>
    </row>
    <row r="1004">
      <c r="A1004" s="2" t="n">
        <v>995</v>
      </c>
      <c r="B1004" s="2" t="inlineStr">
        <is>
          <t>KPROP-00995</t>
        </is>
      </c>
      <c r="C1004" s="3" t="n">
        <v>46189</v>
      </c>
      <c r="D1004" s="2" t="inlineStr">
        <is>
          <t>Dylan Cease</t>
        </is>
      </c>
      <c r="E1004" s="2" t="inlineStr">
        <is>
          <t>Loss</t>
        </is>
      </c>
      <c r="F1004" s="2" t="n">
        <v>-1</v>
      </c>
      <c r="G1004" s="6" t="n">
        <v>0.3389320955208927</v>
      </c>
      <c r="H1004" s="7" t="n">
        <v>100</v>
      </c>
      <c r="I1004" s="7" t="n">
        <v>-100</v>
      </c>
      <c r="J1004" s="7" t="n">
        <v>20179.44700932939</v>
      </c>
      <c r="K1004" s="7" t="n">
        <v>20871.98158926133</v>
      </c>
      <c r="L1004" s="7" t="n">
        <v>-692.5345799319366</v>
      </c>
      <c r="M1004" s="6" t="n">
        <v>-0.03318010688013671</v>
      </c>
      <c r="N1004" s="7" t="n">
        <v>266.2685237400011</v>
      </c>
      <c r="O1004" s="7" t="n">
        <v>-266.2685237400011</v>
      </c>
      <c r="P1004" s="7" t="n">
        <v>26360.58385026011</v>
      </c>
      <c r="Q1004" s="7" t="n">
        <v>28280.1023608722</v>
      </c>
      <c r="R1004" s="7" t="n">
        <v>-1919.518510612084</v>
      </c>
      <c r="S1004" s="6" t="n">
        <v>-0.0678752320666241</v>
      </c>
      <c r="T1004" s="7" t="n">
        <v>61783.17751059841</v>
      </c>
      <c r="U1004" s="7" t="n">
        <v>-61783.17751059841</v>
      </c>
      <c r="V1004" s="7" t="n">
        <v>667367.9218049862</v>
      </c>
      <c r="W1004" s="7" t="n">
        <v>880060.660443995</v>
      </c>
      <c r="X1004" s="7" t="n">
        <v>-212692.7386390088</v>
      </c>
      <c r="Y1004" s="6" t="n">
        <v>-0.241679634369413</v>
      </c>
      <c r="Z1004" s="7" t="n">
        <v>754164.1243741616</v>
      </c>
      <c r="AA1004" s="7" t="n">
        <v>-754164.1243741616</v>
      </c>
      <c r="AB1004" s="7" t="n">
        <v>3696073.161151209</v>
      </c>
      <c r="AC1004" s="7" t="n">
        <v>6985276.884442575</v>
      </c>
      <c r="AD1004" s="7" t="n">
        <v>-3289203.723291366</v>
      </c>
      <c r="AE1004" s="6" t="n">
        <v>-0.4708766420722698</v>
      </c>
    </row>
    <row r="1005">
      <c r="A1005" s="2" t="n">
        <v>996</v>
      </c>
      <c r="B1005" s="2" t="inlineStr">
        <is>
          <t>KPROP-00996</t>
        </is>
      </c>
      <c r="C1005" s="3" t="n">
        <v>46189</v>
      </c>
      <c r="D1005" s="2" t="inlineStr">
        <is>
          <t>Gerrit Cole</t>
        </is>
      </c>
      <c r="E1005" s="2" t="inlineStr">
        <is>
          <t>Loss</t>
        </is>
      </c>
      <c r="F1005" s="2" t="n">
        <v>-1</v>
      </c>
      <c r="G1005" s="6" t="n">
        <v>0.134771388387789</v>
      </c>
      <c r="H1005" s="7" t="n">
        <v>100</v>
      </c>
      <c r="I1005" s="7" t="n">
        <v>-100</v>
      </c>
      <c r="J1005" s="7" t="n">
        <v>20079.44700932939</v>
      </c>
      <c r="K1005" s="7" t="n">
        <v>20871.98158926133</v>
      </c>
      <c r="L1005" s="7" t="n">
        <v>-792.5345799319366</v>
      </c>
      <c r="M1005" s="6" t="n">
        <v>-0.03797121881037386</v>
      </c>
      <c r="N1005" s="7" t="n">
        <v>263.6058385026011</v>
      </c>
      <c r="O1005" s="7" t="n">
        <v>-263.6058385026011</v>
      </c>
      <c r="P1005" s="7" t="n">
        <v>26096.97801175751</v>
      </c>
      <c r="Q1005" s="7" t="n">
        <v>28280.1023608722</v>
      </c>
      <c r="R1005" s="7" t="n">
        <v>-2183.124349114685</v>
      </c>
      <c r="S1005" s="6" t="n">
        <v>-0.07719647974595785</v>
      </c>
      <c r="T1005" s="7" t="n">
        <v>22485.52534678286</v>
      </c>
      <c r="U1005" s="7" t="n">
        <v>-22485.52534678286</v>
      </c>
      <c r="V1005" s="7" t="n">
        <v>644882.3964582033</v>
      </c>
      <c r="W1005" s="7" t="n">
        <v>880060.660443995</v>
      </c>
      <c r="X1005" s="7" t="n">
        <v>-235178.2639857917</v>
      </c>
      <c r="Y1005" s="6" t="n">
        <v>-0.2672296064991055</v>
      </c>
      <c r="Z1005" s="7" t="n">
        <v>249062.4557555964</v>
      </c>
      <c r="AA1005" s="7" t="n">
        <v>-249062.4557555964</v>
      </c>
      <c r="AB1005" s="7" t="n">
        <v>3447010.705395612</v>
      </c>
      <c r="AC1005" s="7" t="n">
        <v>6985276.884442575</v>
      </c>
      <c r="AD1005" s="7" t="n">
        <v>-3538266.179046963</v>
      </c>
      <c r="AE1005" s="6" t="n">
        <v>-0.5065319868604344</v>
      </c>
    </row>
    <row r="1006">
      <c r="A1006" s="2" t="n">
        <v>997</v>
      </c>
      <c r="B1006" s="2" t="inlineStr">
        <is>
          <t>KPROP-00997</t>
        </is>
      </c>
      <c r="C1006" s="3" t="n">
        <v>46189</v>
      </c>
      <c r="D1006" s="2" t="inlineStr">
        <is>
          <t>Jesús Luzardo</t>
        </is>
      </c>
      <c r="E1006" s="2" t="inlineStr">
        <is>
          <t>Loss</t>
        </is>
      </c>
      <c r="F1006" s="2" t="n">
        <v>-1</v>
      </c>
      <c r="G1006" s="6" t="n">
        <v>0.443193028764705</v>
      </c>
      <c r="H1006" s="7" t="n">
        <v>100</v>
      </c>
      <c r="I1006" s="7" t="n">
        <v>-100</v>
      </c>
      <c r="J1006" s="7" t="n">
        <v>19979.44700932939</v>
      </c>
      <c r="K1006" s="7" t="n">
        <v>20871.98158926133</v>
      </c>
      <c r="L1006" s="7" t="n">
        <v>-892.5345799319366</v>
      </c>
      <c r="M1006" s="6" t="n">
        <v>-0.04276233074061101</v>
      </c>
      <c r="N1006" s="7" t="n">
        <v>260.9697801175751</v>
      </c>
      <c r="O1006" s="7" t="n">
        <v>-260.9697801175751</v>
      </c>
      <c r="P1006" s="7" t="n">
        <v>25836.00823163993</v>
      </c>
      <c r="Q1006" s="7" t="n">
        <v>28280.1023608722</v>
      </c>
      <c r="R1006" s="7" t="n">
        <v>-2444.09412923226</v>
      </c>
      <c r="S1006" s="6" t="n">
        <v>-0.08642451494849827</v>
      </c>
      <c r="T1006" s="7" t="n">
        <v>71451.8456208381</v>
      </c>
      <c r="U1006" s="7" t="n">
        <v>-71451.8456208381</v>
      </c>
      <c r="V1006" s="7" t="n">
        <v>573430.5508373652</v>
      </c>
      <c r="W1006" s="7" t="n">
        <v>880060.660443995</v>
      </c>
      <c r="X1006" s="7" t="n">
        <v>-306630.1096066298</v>
      </c>
      <c r="Y1006" s="6" t="n">
        <v>-0.3484192890202971</v>
      </c>
      <c r="Z1006" s="7" t="n">
        <v>763845.5573543218</v>
      </c>
      <c r="AA1006" s="7" t="n">
        <v>-763845.5573543218</v>
      </c>
      <c r="AB1006" s="7" t="n">
        <v>2683165.148041291</v>
      </c>
      <c r="AC1006" s="7" t="n">
        <v>6985276.884442575</v>
      </c>
      <c r="AD1006" s="7" t="n">
        <v>-4302111.736401284</v>
      </c>
      <c r="AE1006" s="6" t="n">
        <v>-0.615882778531347</v>
      </c>
    </row>
    <row r="1007">
      <c r="A1007" s="2" t="n">
        <v>998</v>
      </c>
      <c r="B1007" s="2" t="inlineStr">
        <is>
          <t>KPROP-00998</t>
        </is>
      </c>
      <c r="C1007" s="3" t="n">
        <v>46189</v>
      </c>
      <c r="D1007" s="2" t="inlineStr">
        <is>
          <t>Payton Tolle</t>
        </is>
      </c>
      <c r="E1007" s="2" t="inlineStr">
        <is>
          <t>Loss</t>
        </is>
      </c>
      <c r="F1007" s="2" t="n">
        <v>-1</v>
      </c>
      <c r="G1007" s="6" t="n">
        <v>0.250250697618158</v>
      </c>
      <c r="H1007" s="7" t="n">
        <v>100</v>
      </c>
      <c r="I1007" s="7" t="n">
        <v>-100</v>
      </c>
      <c r="J1007" s="7" t="n">
        <v>19879.44700932939</v>
      </c>
      <c r="K1007" s="7" t="n">
        <v>20871.98158926133</v>
      </c>
      <c r="L1007" s="7" t="n">
        <v>-992.5345799319366</v>
      </c>
      <c r="M1007" s="6" t="n">
        <v>-0.04755344267084816</v>
      </c>
      <c r="N1007" s="7" t="n">
        <v>258.3600823163994</v>
      </c>
      <c r="O1007" s="7" t="n">
        <v>-258.3600823163994</v>
      </c>
      <c r="P1007" s="7" t="n">
        <v>25577.64814932354</v>
      </c>
      <c r="Q1007" s="7" t="n">
        <v>28280.1023608722</v>
      </c>
      <c r="R1007" s="7" t="n">
        <v>-2702.454211548658</v>
      </c>
      <c r="S1007" s="6" t="n">
        <v>-0.09556026979901325</v>
      </c>
      <c r="T1007" s="7" t="n">
        <v>35875.34884565381</v>
      </c>
      <c r="U1007" s="7" t="n">
        <v>-35875.34884565381</v>
      </c>
      <c r="V1007" s="7" t="n">
        <v>537555.2019917114</v>
      </c>
      <c r="W1007" s="7" t="n">
        <v>880060.660443995</v>
      </c>
      <c r="X1007" s="7" t="n">
        <v>-342505.4584522836</v>
      </c>
      <c r="Y1007" s="6" t="n">
        <v>-0.3891839208895986</v>
      </c>
      <c r="Z1007" s="7" t="n">
        <v>335731.9750610306</v>
      </c>
      <c r="AA1007" s="7" t="n">
        <v>-335731.9750610306</v>
      </c>
      <c r="AB1007" s="7" t="n">
        <v>2347433.17298026</v>
      </c>
      <c r="AC1007" s="7" t="n">
        <v>6985276.884442575</v>
      </c>
      <c r="AD1007" s="7" t="n">
        <v>-4637843.711462315</v>
      </c>
      <c r="AE1007" s="6" t="n">
        <v>-0.6639455798511865</v>
      </c>
    </row>
    <row r="1008">
      <c r="A1008" s="2" t="n">
        <v>999</v>
      </c>
      <c r="B1008" s="2" t="inlineStr">
        <is>
          <t>KPROP-00999</t>
        </is>
      </c>
      <c r="C1008" s="3" t="n">
        <v>46189</v>
      </c>
      <c r="D1008" s="2" t="inlineStr">
        <is>
          <t>Robert Gasser</t>
        </is>
      </c>
      <c r="E1008" s="2" t="inlineStr">
        <is>
          <t>Loss</t>
        </is>
      </c>
      <c r="F1008" s="2" t="n">
        <v>-1</v>
      </c>
      <c r="G1008" s="6" t="n">
        <v>0.1218462129994434</v>
      </c>
      <c r="H1008" s="7" t="n">
        <v>100</v>
      </c>
      <c r="I1008" s="7" t="n">
        <v>-100</v>
      </c>
      <c r="J1008" s="7" t="n">
        <v>19779.44700932939</v>
      </c>
      <c r="K1008" s="7" t="n">
        <v>20871.98158926133</v>
      </c>
      <c r="L1008" s="7" t="n">
        <v>-1092.534579931937</v>
      </c>
      <c r="M1008" s="6" t="n">
        <v>-0.0523445546010853</v>
      </c>
      <c r="N1008" s="7" t="n">
        <v>255.7764814932354</v>
      </c>
      <c r="O1008" s="7" t="n">
        <v>-255.7764814932354</v>
      </c>
      <c r="P1008" s="7" t="n">
        <v>25321.8716678303</v>
      </c>
      <c r="Q1008" s="7" t="n">
        <v>28280.1023608722</v>
      </c>
      <c r="R1008" s="7" t="n">
        <v>-2958.230693041893</v>
      </c>
      <c r="S1008" s="6" t="n">
        <v>-0.1046046671010231</v>
      </c>
      <c r="T1008" s="7" t="n">
        <v>16374.76641021022</v>
      </c>
      <c r="U1008" s="7" t="n">
        <v>-16374.76641021022</v>
      </c>
      <c r="V1008" s="7" t="n">
        <v>521180.4355815012</v>
      </c>
      <c r="W1008" s="7" t="n">
        <v>880060.660443995</v>
      </c>
      <c r="X1008" s="7" t="n">
        <v>-358880.2248624939</v>
      </c>
      <c r="Y1008" s="6" t="n">
        <v>-0.4077903274092913</v>
      </c>
      <c r="Z1008" s="7" t="n">
        <v>143012.921198456</v>
      </c>
      <c r="AA1008" s="7" t="n">
        <v>-143012.921198456</v>
      </c>
      <c r="AB1008" s="7" t="n">
        <v>2204420.251781804</v>
      </c>
      <c r="AC1008" s="7" t="n">
        <v>6985276.884442575</v>
      </c>
      <c r="AD1008" s="7" t="n">
        <v>-4780856.632660771</v>
      </c>
      <c r="AE1008" s="6" t="n">
        <v>-0.6844190590796149</v>
      </c>
    </row>
    <row r="1009">
      <c r="A1009" s="2" t="n">
        <v>1000</v>
      </c>
      <c r="B1009" s="2" t="inlineStr">
        <is>
          <t>KPROP-01000</t>
        </is>
      </c>
      <c r="C1009" s="3" t="n">
        <v>46189</v>
      </c>
      <c r="D1009" s="2" t="inlineStr">
        <is>
          <t>Robert Gasser</t>
        </is>
      </c>
      <c r="E1009" s="2" t="inlineStr">
        <is>
          <t>Win</t>
        </is>
      </c>
      <c r="F1009" s="2" t="n">
        <v>0.617283950617284</v>
      </c>
      <c r="G1009" s="6" t="n">
        <v>0.1740434816476741</v>
      </c>
      <c r="H1009" s="7" t="n">
        <v>100</v>
      </c>
      <c r="I1009" s="7" t="n">
        <v>61.72839506172841</v>
      </c>
      <c r="J1009" s="7" t="n">
        <v>19841.17540439112</v>
      </c>
      <c r="K1009" s="7" t="n">
        <v>20871.98158926133</v>
      </c>
      <c r="L1009" s="7" t="n">
        <v>-1030.806184870209</v>
      </c>
      <c r="M1009" s="6" t="n">
        <v>-0.04938707810093896</v>
      </c>
      <c r="N1009" s="7" t="n">
        <v>253.218716678303</v>
      </c>
      <c r="O1009" s="7" t="n">
        <v>156.3078498014216</v>
      </c>
      <c r="P1009" s="7" t="n">
        <v>25478.17951763172</v>
      </c>
      <c r="Q1009" s="7" t="n">
        <v>28280.1023608722</v>
      </c>
      <c r="R1009" s="7" t="n">
        <v>-2801.922843240471</v>
      </c>
      <c r="S1009" s="6" t="n">
        <v>-0.09907753541646147</v>
      </c>
      <c r="T1009" s="7" t="n">
        <v>22677.01439381394</v>
      </c>
      <c r="U1009" s="7" t="n">
        <v>13998.15703321849</v>
      </c>
      <c r="V1009" s="7" t="n">
        <v>535178.5926147196</v>
      </c>
      <c r="W1009" s="7" t="n">
        <v>880060.660443995</v>
      </c>
      <c r="X1009" s="7" t="n">
        <v>-344882.0678292754</v>
      </c>
      <c r="Y1009" s="6" t="n">
        <v>-0.3918844272112796</v>
      </c>
      <c r="Z1009" s="7" t="n">
        <v>191832.4878173737</v>
      </c>
      <c r="AA1009" s="7" t="n">
        <v>118415.1159366505</v>
      </c>
      <c r="AB1009" s="7" t="n">
        <v>2322835.367718454</v>
      </c>
      <c r="AC1009" s="7" t="n">
        <v>6985276.884442575</v>
      </c>
      <c r="AD1009" s="7" t="n">
        <v>-4662441.516724121</v>
      </c>
      <c r="AE1009" s="6" t="n">
        <v>-0.6674669585550986</v>
      </c>
    </row>
    <row r="1010">
      <c r="A1010" s="2" t="n">
        <v>1001</v>
      </c>
      <c r="B1010" s="2" t="inlineStr">
        <is>
          <t>KPROP-01001</t>
        </is>
      </c>
      <c r="C1010" s="3" t="n">
        <v>46190</v>
      </c>
      <c r="D1010" s="2" t="inlineStr">
        <is>
          <t>Carlos Rodón</t>
        </is>
      </c>
      <c r="E1010" s="2" t="inlineStr">
        <is>
          <t>Loss</t>
        </is>
      </c>
      <c r="F1010" s="2" t="n">
        <v>-1</v>
      </c>
      <c r="G1010" s="6" t="n">
        <v>0.2801395069519894</v>
      </c>
      <c r="H1010" s="7" t="n">
        <v>100</v>
      </c>
      <c r="I1010" s="7" t="n">
        <v>-100</v>
      </c>
      <c r="J1010" s="7" t="n">
        <v>19741.17540439112</v>
      </c>
      <c r="K1010" s="7" t="n">
        <v>20871.98158926133</v>
      </c>
      <c r="L1010" s="7" t="n">
        <v>-1130.806184870209</v>
      </c>
      <c r="M1010" s="6" t="n">
        <v>-0.0541781900311761</v>
      </c>
      <c r="N1010" s="7" t="n">
        <v>254.7817951763172</v>
      </c>
      <c r="O1010" s="7" t="n">
        <v>-254.7817951763172</v>
      </c>
      <c r="P1010" s="7" t="n">
        <v>25223.39772245541</v>
      </c>
      <c r="Q1010" s="7" t="n">
        <v>28280.1023608722</v>
      </c>
      <c r="R1010" s="7" t="n">
        <v>-3056.704638416788</v>
      </c>
      <c r="S1010" s="6" t="n">
        <v>-0.1080867600622969</v>
      </c>
      <c r="T1010" s="7" t="n">
        <v>37481.16676658679</v>
      </c>
      <c r="U1010" s="7" t="n">
        <v>-37481.16676658679</v>
      </c>
      <c r="V1010" s="7" t="n">
        <v>497697.4258481329</v>
      </c>
      <c r="W1010" s="7" t="n">
        <v>880060.660443995</v>
      </c>
      <c r="X1010" s="7" t="n">
        <v>-382363.2345958622</v>
      </c>
      <c r="Y1010" s="6" t="n">
        <v>-0.4344737263939942</v>
      </c>
      <c r="Z1010" s="7" t="n">
        <v>325358.9773216454</v>
      </c>
      <c r="AA1010" s="7" t="n">
        <v>-325358.9773216454</v>
      </c>
      <c r="AB1010" s="7" t="n">
        <v>1997476.390396809</v>
      </c>
      <c r="AC1010" s="7" t="n">
        <v>6985276.884442575</v>
      </c>
      <c r="AD1010" s="7" t="n">
        <v>-4987800.494045766</v>
      </c>
      <c r="AE1010" s="6" t="n">
        <v>-0.7140447796929087</v>
      </c>
    </row>
    <row r="1011">
      <c r="A1011" s="2" t="n">
        <v>1002</v>
      </c>
      <c r="B1011" s="2" t="inlineStr">
        <is>
          <t>KPROP-01002</t>
        </is>
      </c>
      <c r="C1011" s="3" t="n">
        <v>46190</v>
      </c>
      <c r="D1011" s="2" t="inlineStr">
        <is>
          <t>Carlos Rodón</t>
        </is>
      </c>
      <c r="E1011" s="2" t="inlineStr">
        <is>
          <t>Loss</t>
        </is>
      </c>
      <c r="F1011" s="2" t="n">
        <v>-1</v>
      </c>
      <c r="G1011" s="6" t="n">
        <v>0.4009827878987885</v>
      </c>
      <c r="H1011" s="7" t="n">
        <v>100</v>
      </c>
      <c r="I1011" s="7" t="n">
        <v>-100</v>
      </c>
      <c r="J1011" s="7" t="n">
        <v>19641.17540439112</v>
      </c>
      <c r="K1011" s="7" t="n">
        <v>20871.98158926133</v>
      </c>
      <c r="L1011" s="7" t="n">
        <v>-1230.806184870209</v>
      </c>
      <c r="M1011" s="6" t="n">
        <v>-0.05896930196141325</v>
      </c>
      <c r="N1011" s="7" t="n">
        <v>252.2339772245541</v>
      </c>
      <c r="O1011" s="7" t="n">
        <v>-252.2339772245541</v>
      </c>
      <c r="P1011" s="7" t="n">
        <v>24971.16374523085</v>
      </c>
      <c r="Q1011" s="7" t="n">
        <v>28280.1023608722</v>
      </c>
      <c r="R1011" s="7" t="n">
        <v>-3308.938615641342</v>
      </c>
      <c r="S1011" s="6" t="n">
        <v>-0.1170058924616739</v>
      </c>
      <c r="T1011" s="7" t="n">
        <v>49892.02533665872</v>
      </c>
      <c r="U1011" s="7" t="n">
        <v>-49892.02533665872</v>
      </c>
      <c r="V1011" s="7" t="n">
        <v>447805.4005114742</v>
      </c>
      <c r="W1011" s="7" t="n">
        <v>880060.660443995</v>
      </c>
      <c r="X1011" s="7" t="n">
        <v>-432255.2599325209</v>
      </c>
      <c r="Y1011" s="6" t="n">
        <v>-0.4911653018491315</v>
      </c>
      <c r="Z1011" s="7" t="n">
        <v>400476.8258916606</v>
      </c>
      <c r="AA1011" s="7" t="n">
        <v>-400476.8258916606</v>
      </c>
      <c r="AB1011" s="7" t="n">
        <v>1596999.564505148</v>
      </c>
      <c r="AC1011" s="7" t="n">
        <v>6985276.884442575</v>
      </c>
      <c r="AD1011" s="7" t="n">
        <v>-5388277.319937427</v>
      </c>
      <c r="AE1011" s="6" t="n">
        <v>-0.7713763404193835</v>
      </c>
    </row>
    <row r="1012">
      <c r="A1012" s="2" t="n">
        <v>1003</v>
      </c>
      <c r="B1012" s="2" t="inlineStr">
        <is>
          <t>KPROP-01003</t>
        </is>
      </c>
      <c r="C1012" s="3" t="n">
        <v>46190</v>
      </c>
      <c r="D1012" s="2" t="inlineStr">
        <is>
          <t>Gavin Williams</t>
        </is>
      </c>
      <c r="E1012" s="2" t="inlineStr">
        <is>
          <t>Win</t>
        </is>
      </c>
      <c r="F1012" s="2" t="n">
        <v>0.8928571428571428</v>
      </c>
      <c r="G1012" s="6" t="n">
        <v>0.3553145809665477</v>
      </c>
      <c r="H1012" s="7" t="n">
        <v>100</v>
      </c>
      <c r="I1012" s="7" t="n">
        <v>89.28571428571428</v>
      </c>
      <c r="J1012" s="7" t="n">
        <v>19730.46111867683</v>
      </c>
      <c r="K1012" s="7" t="n">
        <v>20871.98158926133</v>
      </c>
      <c r="L1012" s="7" t="n">
        <v>-1141.520470584495</v>
      </c>
      <c r="M1012" s="6" t="n">
        <v>-0.05469152345227296</v>
      </c>
      <c r="N1012" s="7" t="n">
        <v>249.7116374523085</v>
      </c>
      <c r="O1012" s="7" t="n">
        <v>222.9568191538469</v>
      </c>
      <c r="P1012" s="7" t="n">
        <v>25194.1205643847</v>
      </c>
      <c r="Q1012" s="7" t="n">
        <v>28280.1023608722</v>
      </c>
      <c r="R1012" s="7" t="n">
        <v>-3085.981796487496</v>
      </c>
      <c r="S1012" s="6" t="n">
        <v>-0.1091220165015103</v>
      </c>
      <c r="T1012" s="7" t="n">
        <v>39777.94705932288</v>
      </c>
      <c r="U1012" s="7" t="n">
        <v>35516.02416010971</v>
      </c>
      <c r="V1012" s="7" t="n">
        <v>483321.4246715839</v>
      </c>
      <c r="W1012" s="7" t="n">
        <v>880060.660443995</v>
      </c>
      <c r="X1012" s="7" t="n">
        <v>-396739.2357724112</v>
      </c>
      <c r="Y1012" s="6" t="n">
        <v>-0.4508089653413825</v>
      </c>
      <c r="Z1012" s="7" t="n">
        <v>283718.6155329529</v>
      </c>
      <c r="AA1012" s="7" t="n">
        <v>253320.1924401365</v>
      </c>
      <c r="AB1012" s="7" t="n">
        <v>1850319.756945285</v>
      </c>
      <c r="AC1012" s="7" t="n">
        <v>6985276.884442575</v>
      </c>
      <c r="AD1012" s="7" t="n">
        <v>-5134957.12749729</v>
      </c>
      <c r="AE1012" s="6" t="n">
        <v>-0.7351114655073633</v>
      </c>
    </row>
    <row r="1013">
      <c r="A1013" s="2" t="n">
        <v>1004</v>
      </c>
      <c r="B1013" s="2" t="inlineStr">
        <is>
          <t>KPROP-01004</t>
        </is>
      </c>
      <c r="C1013" s="3" t="n">
        <v>46190</v>
      </c>
      <c r="D1013" s="2" t="inlineStr">
        <is>
          <t>Nolan McLean</t>
        </is>
      </c>
      <c r="E1013" s="2" t="inlineStr">
        <is>
          <t>Loss</t>
        </is>
      </c>
      <c r="F1013" s="2" t="n">
        <v>-1</v>
      </c>
      <c r="G1013" s="6" t="n">
        <v>0.2944135711544449</v>
      </c>
      <c r="H1013" s="7" t="n">
        <v>100</v>
      </c>
      <c r="I1013" s="7" t="n">
        <v>-100</v>
      </c>
      <c r="J1013" s="7" t="n">
        <v>19630.46111867683</v>
      </c>
      <c r="K1013" s="7" t="n">
        <v>20871.98158926133</v>
      </c>
      <c r="L1013" s="7" t="n">
        <v>-1241.520470584495</v>
      </c>
      <c r="M1013" s="6" t="n">
        <v>-0.05948263538251011</v>
      </c>
      <c r="N1013" s="7" t="n">
        <v>251.941205643847</v>
      </c>
      <c r="O1013" s="7" t="n">
        <v>-251.941205643847</v>
      </c>
      <c r="P1013" s="7" t="n">
        <v>24942.17935874085</v>
      </c>
      <c r="Q1013" s="7" t="n">
        <v>28280.1023608722</v>
      </c>
      <c r="R1013" s="7" t="n">
        <v>-3337.923002131345</v>
      </c>
      <c r="S1013" s="6" t="n">
        <v>-0.1180307963364953</v>
      </c>
      <c r="T1013" s="7" t="n">
        <v>35574.09666325377</v>
      </c>
      <c r="U1013" s="7" t="n">
        <v>-35574.09666325377</v>
      </c>
      <c r="V1013" s="7" t="n">
        <v>447747.3280083301</v>
      </c>
      <c r="W1013" s="7" t="n">
        <v>880060.660443995</v>
      </c>
      <c r="X1013" s="7" t="n">
        <v>-432313.332435665</v>
      </c>
      <c r="Y1013" s="6" t="n">
        <v>-0.4912312887813446</v>
      </c>
      <c r="Z1013" s="7" t="n">
        <v>272379.6237099429</v>
      </c>
      <c r="AA1013" s="7" t="n">
        <v>-272379.6237099429</v>
      </c>
      <c r="AB1013" s="7" t="n">
        <v>1577940.133235342</v>
      </c>
      <c r="AC1013" s="7" t="n">
        <v>6985276.884442575</v>
      </c>
      <c r="AD1013" s="7" t="n">
        <v>-5407336.751207233</v>
      </c>
      <c r="AE1013" s="6" t="n">
        <v>-0.7741048552062856</v>
      </c>
    </row>
    <row r="1014">
      <c r="A1014" s="2" t="n">
        <v>1005</v>
      </c>
      <c r="B1014" s="2" t="inlineStr">
        <is>
          <t>KPROP-01005</t>
        </is>
      </c>
      <c r="C1014" s="3" t="n">
        <v>46190</v>
      </c>
      <c r="D1014" s="2" t="inlineStr">
        <is>
          <t>Peter Lambert</t>
        </is>
      </c>
      <c r="E1014" s="2" t="inlineStr">
        <is>
          <t>Win</t>
        </is>
      </c>
      <c r="F1014" s="2" t="n">
        <v>0.7407407407407407</v>
      </c>
      <c r="G1014" s="6" t="n">
        <v>0.1000811609885026</v>
      </c>
      <c r="H1014" s="7" t="n">
        <v>100</v>
      </c>
      <c r="I1014" s="7" t="n">
        <v>74.07407407407408</v>
      </c>
      <c r="J1014" s="7" t="n">
        <v>19704.5351927509</v>
      </c>
      <c r="K1014" s="7" t="n">
        <v>20871.98158926133</v>
      </c>
      <c r="L1014" s="7" t="n">
        <v>-1167.446396510422</v>
      </c>
      <c r="M1014" s="6" t="n">
        <v>-0.05593366358233449</v>
      </c>
      <c r="N1014" s="7" t="n">
        <v>249.4217935874085</v>
      </c>
      <c r="O1014" s="7" t="n">
        <v>184.7568841388211</v>
      </c>
      <c r="P1014" s="7" t="n">
        <v>25126.93624287967</v>
      </c>
      <c r="Q1014" s="7" t="n">
        <v>28280.1023608722</v>
      </c>
      <c r="R1014" s="7" t="n">
        <v>-3153.166117992525</v>
      </c>
      <c r="S1014" s="6" t="n">
        <v>-0.111497691124173</v>
      </c>
      <c r="T1014" s="7" t="n">
        <v>11202.76810414339</v>
      </c>
      <c r="U1014" s="7" t="n">
        <v>8298.34674380992</v>
      </c>
      <c r="V1014" s="7" t="n">
        <v>456045.67475214</v>
      </c>
      <c r="W1014" s="7" t="n">
        <v>880060.660443995</v>
      </c>
      <c r="X1014" s="7" t="n">
        <v>-424014.985691855</v>
      </c>
      <c r="Y1014" s="6" t="n">
        <v>-0.4818019992825692</v>
      </c>
      <c r="Z1014" s="7" t="n">
        <v>78961.04025227275</v>
      </c>
      <c r="AA1014" s="7" t="n">
        <v>58489.65944612796</v>
      </c>
      <c r="AB1014" s="7" t="n">
        <v>1636429.79268147</v>
      </c>
      <c r="AC1014" s="7" t="n">
        <v>6985276.884442575</v>
      </c>
      <c r="AD1014" s="7" t="n">
        <v>-5348847.091761106</v>
      </c>
      <c r="AE1014" s="6" t="n">
        <v>-0.7657315780386482</v>
      </c>
    </row>
    <row r="1015">
      <c r="A1015" s="2" t="n">
        <v>1006</v>
      </c>
      <c r="B1015" s="2" t="inlineStr">
        <is>
          <t>KPROP-01006</t>
        </is>
      </c>
      <c r="C1015" s="3" t="n">
        <v>46190</v>
      </c>
      <c r="D1015" s="2" t="inlineStr">
        <is>
          <t>Shohei Ohtani</t>
        </is>
      </c>
      <c r="E1015" s="2" t="inlineStr">
        <is>
          <t>Win</t>
        </is>
      </c>
      <c r="F1015" s="2" t="n">
        <v>1.2</v>
      </c>
      <c r="G1015" s="6" t="n">
        <v>0.1862494206724213</v>
      </c>
      <c r="H1015" s="7" t="n">
        <v>100</v>
      </c>
      <c r="I1015" s="7" t="n">
        <v>120</v>
      </c>
      <c r="J1015" s="7" t="n">
        <v>19824.5351927509</v>
      </c>
      <c r="K1015" s="7" t="n">
        <v>20871.98158926133</v>
      </c>
      <c r="L1015" s="7" t="n">
        <v>-1047.446396510422</v>
      </c>
      <c r="M1015" s="6" t="n">
        <v>-0.05018432926604992</v>
      </c>
      <c r="N1015" s="7" t="n">
        <v>251.2693624287967</v>
      </c>
      <c r="O1015" s="7" t="n">
        <v>301.5232349145561</v>
      </c>
      <c r="P1015" s="7" t="n">
        <v>25428.45947779423</v>
      </c>
      <c r="Q1015" s="7" t="n">
        <v>28280.1023608722</v>
      </c>
      <c r="R1015" s="7" t="n">
        <v>-2851.64288307797</v>
      </c>
      <c r="S1015" s="6" t="n">
        <v>-0.1008356634176631</v>
      </c>
      <c r="T1015" s="7" t="n">
        <v>21234.56068068739</v>
      </c>
      <c r="U1015" s="7" t="n">
        <v>25481.47281682487</v>
      </c>
      <c r="V1015" s="7" t="n">
        <v>481527.1475689649</v>
      </c>
      <c r="W1015" s="7" t="n">
        <v>880060.660443995</v>
      </c>
      <c r="X1015" s="7" t="n">
        <v>-398533.5128750302</v>
      </c>
      <c r="Y1015" s="6" t="n">
        <v>-0.4528477760544006</v>
      </c>
      <c r="Z1015" s="7" t="n">
        <v>152392.0504290071</v>
      </c>
      <c r="AA1015" s="7" t="n">
        <v>182870.4605148086</v>
      </c>
      <c r="AB1015" s="7" t="n">
        <v>1819300.253196278</v>
      </c>
      <c r="AC1015" s="7" t="n">
        <v>6985276.884442575</v>
      </c>
      <c r="AD1015" s="7" t="n">
        <v>-5165976.631246297</v>
      </c>
      <c r="AE1015" s="6" t="n">
        <v>-0.7395521633153618</v>
      </c>
    </row>
    <row r="1016">
      <c r="A1016" s="2" t="n">
        <v>1007</v>
      </c>
      <c r="B1016" s="2" t="inlineStr">
        <is>
          <t>KPROP-01007</t>
        </is>
      </c>
      <c r="C1016" s="3" t="n">
        <v>46190</v>
      </c>
      <c r="D1016" s="2" t="inlineStr">
        <is>
          <t>Shohei Ohtani</t>
        </is>
      </c>
      <c r="E1016" s="2" t="inlineStr">
        <is>
          <t>Win</t>
        </is>
      </c>
      <c r="F1016" s="2" t="n">
        <v>0.7518796992481203</v>
      </c>
      <c r="G1016" s="6" t="n">
        <v>0.3257601229429422</v>
      </c>
      <c r="H1016" s="7" t="n">
        <v>100</v>
      </c>
      <c r="I1016" s="7" t="n">
        <v>75.18796992481202</v>
      </c>
      <c r="J1016" s="7" t="n">
        <v>19899.72316267572</v>
      </c>
      <c r="K1016" s="7" t="n">
        <v>20871.98158926133</v>
      </c>
      <c r="L1016" s="7" t="n">
        <v>-972.2584265856094</v>
      </c>
      <c r="M1016" s="6" t="n">
        <v>-0.04658198946887909</v>
      </c>
      <c r="N1016" s="7" t="n">
        <v>254.2845947779423</v>
      </c>
      <c r="O1016" s="7" t="n">
        <v>191.1914246450694</v>
      </c>
      <c r="P1016" s="7" t="n">
        <v>25619.65090243929</v>
      </c>
      <c r="Q1016" s="7" t="n">
        <v>28280.1023608722</v>
      </c>
      <c r="R1016" s="7" t="n">
        <v>-2660.451458432901</v>
      </c>
      <c r="S1016" s="6" t="n">
        <v>-0.09407502930802154</v>
      </c>
      <c r="T1016" s="7" t="n">
        <v>39215.58569810756</v>
      </c>
      <c r="U1016" s="7" t="n">
        <v>29485.402780532</v>
      </c>
      <c r="V1016" s="7" t="n">
        <v>511012.5503494969</v>
      </c>
      <c r="W1016" s="7" t="n">
        <v>880060.660443995</v>
      </c>
      <c r="X1016" s="7" t="n">
        <v>-369048.1100944981</v>
      </c>
      <c r="Y1016" s="6" t="n">
        <v>-0.4193439460278926</v>
      </c>
      <c r="Z1016" s="7" t="n">
        <v>296327.7370756727</v>
      </c>
      <c r="AA1016" s="7" t="n">
        <v>222802.8098313329</v>
      </c>
      <c r="AB1016" s="7" t="n">
        <v>2042103.063027611</v>
      </c>
      <c r="AC1016" s="7" t="n">
        <v>6985276.884442575</v>
      </c>
      <c r="AD1016" s="7" t="n">
        <v>-4943173.821414964</v>
      </c>
      <c r="AE1016" s="6" t="n">
        <v>-0.7076561034286659</v>
      </c>
    </row>
    <row r="1017">
      <c r="A1017" s="2" t="n">
        <v>1008</v>
      </c>
      <c r="B1017" s="2" t="inlineStr">
        <is>
          <t>KPROP-01008</t>
        </is>
      </c>
      <c r="C1017" s="3" t="n">
        <v>46191</v>
      </c>
      <c r="D1017" s="2" t="inlineStr">
        <is>
          <t>Aaron Nola</t>
        </is>
      </c>
      <c r="E1017" s="2" t="inlineStr">
        <is>
          <t>Loss</t>
        </is>
      </c>
      <c r="F1017" s="2" t="n">
        <v>-1</v>
      </c>
      <c r="G1017" s="6" t="n">
        <v>0.1392941590814902</v>
      </c>
      <c r="H1017" s="7" t="n">
        <v>100</v>
      </c>
      <c r="I1017" s="7" t="n">
        <v>-100</v>
      </c>
      <c r="J1017" s="7" t="n">
        <v>19799.72316267572</v>
      </c>
      <c r="K1017" s="7" t="n">
        <v>20871.98158926133</v>
      </c>
      <c r="L1017" s="7" t="n">
        <v>-1072.258426585609</v>
      </c>
      <c r="M1017" s="6" t="n">
        <v>-0.05137310139911624</v>
      </c>
      <c r="N1017" s="7" t="n">
        <v>256.1965090243929</v>
      </c>
      <c r="O1017" s="7" t="n">
        <v>-256.1965090243929</v>
      </c>
      <c r="P1017" s="7" t="n">
        <v>25363.4543934149</v>
      </c>
      <c r="Q1017" s="7" t="n">
        <v>28280.1023608722</v>
      </c>
      <c r="R1017" s="7" t="n">
        <v>-2916.647967457295</v>
      </c>
      <c r="S1017" s="6" t="n">
        <v>-0.1031342790149413</v>
      </c>
      <c r="T1017" s="7" t="n">
        <v>17795.26587025521</v>
      </c>
      <c r="U1017" s="7" t="n">
        <v>-17795.26587025521</v>
      </c>
      <c r="V1017" s="7" t="n">
        <v>493217.2844792417</v>
      </c>
      <c r="W1017" s="7" t="n">
        <v>880060.660443995</v>
      </c>
      <c r="X1017" s="7" t="n">
        <v>-386843.3759647533</v>
      </c>
      <c r="Y1017" s="6" t="n">
        <v>-0.4395644452162978</v>
      </c>
      <c r="Z1017" s="7" t="n">
        <v>142226.5144610833</v>
      </c>
      <c r="AA1017" s="7" t="n">
        <v>-142226.5144610833</v>
      </c>
      <c r="AB1017" s="7" t="n">
        <v>1899876.548566528</v>
      </c>
      <c r="AC1017" s="7" t="n">
        <v>6985276.884442575</v>
      </c>
      <c r="AD1017" s="7" t="n">
        <v>-5085400.335876048</v>
      </c>
      <c r="AE1017" s="6" t="n">
        <v>-0.7280170020464209</v>
      </c>
    </row>
    <row r="1018">
      <c r="A1018" s="2" t="n">
        <v>1009</v>
      </c>
      <c r="B1018" s="2" t="inlineStr">
        <is>
          <t>KPROP-01009</t>
        </is>
      </c>
      <c r="C1018" s="3" t="n">
        <v>46191</v>
      </c>
      <c r="D1018" s="2" t="inlineStr">
        <is>
          <t>Bryan Woo</t>
        </is>
      </c>
      <c r="E1018" s="2" t="inlineStr">
        <is>
          <t>Loss</t>
        </is>
      </c>
      <c r="F1018" s="2" t="n">
        <v>-1</v>
      </c>
      <c r="G1018" s="6" t="n">
        <v>0.2990160382583177</v>
      </c>
      <c r="H1018" s="7" t="n">
        <v>100</v>
      </c>
      <c r="I1018" s="7" t="n">
        <v>-100</v>
      </c>
      <c r="J1018" s="7" t="n">
        <v>19699.72316267572</v>
      </c>
      <c r="K1018" s="7" t="n">
        <v>20871.98158926133</v>
      </c>
      <c r="L1018" s="7" t="n">
        <v>-1172.258426585609</v>
      </c>
      <c r="M1018" s="6" t="n">
        <v>-0.05616421332935338</v>
      </c>
      <c r="N1018" s="7" t="n">
        <v>253.634543934149</v>
      </c>
      <c r="O1018" s="7" t="n">
        <v>-253.634543934149</v>
      </c>
      <c r="P1018" s="7" t="n">
        <v>25109.81984948075</v>
      </c>
      <c r="Q1018" s="7" t="n">
        <v>28280.1023608722</v>
      </c>
      <c r="R1018" s="7" t="n">
        <v>-3170.282511391444</v>
      </c>
      <c r="S1018" s="6" t="n">
        <v>-0.1121029362247919</v>
      </c>
      <c r="T1018" s="7" t="n">
        <v>36869.96960137713</v>
      </c>
      <c r="U1018" s="7" t="n">
        <v>-36869.96960137713</v>
      </c>
      <c r="V1018" s="7" t="n">
        <v>456347.3148778646</v>
      </c>
      <c r="W1018" s="7" t="n">
        <v>880060.660443995</v>
      </c>
      <c r="X1018" s="7" t="n">
        <v>-423713.3455661305</v>
      </c>
      <c r="Y1018" s="6" t="n">
        <v>-0.4814592500389291</v>
      </c>
      <c r="Z1018" s="7" t="n">
        <v>284046.7793661248</v>
      </c>
      <c r="AA1018" s="7" t="n">
        <v>-284046.7793661248</v>
      </c>
      <c r="AB1018" s="7" t="n">
        <v>1615829.769200403</v>
      </c>
      <c r="AC1018" s="7" t="n">
        <v>6985276.884442575</v>
      </c>
      <c r="AD1018" s="7" t="n">
        <v>-5369447.115242172</v>
      </c>
      <c r="AE1018" s="6" t="n">
        <v>-0.7686806413072707</v>
      </c>
    </row>
    <row r="1019">
      <c r="A1019" s="2" t="n">
        <v>1010</v>
      </c>
      <c r="B1019" s="2" t="inlineStr">
        <is>
          <t>KPROP-01010</t>
        </is>
      </c>
      <c r="C1019" s="3" t="n">
        <v>46191</v>
      </c>
      <c r="D1019" s="2" t="inlineStr">
        <is>
          <t>Jack Leiter</t>
        </is>
      </c>
      <c r="E1019" s="2" t="inlineStr">
        <is>
          <t>Win</t>
        </is>
      </c>
      <c r="F1019" s="2" t="n">
        <v>0.9523809523809523</v>
      </c>
      <c r="G1019" s="6" t="n">
        <v>0.2219031643210107</v>
      </c>
      <c r="H1019" s="7" t="n">
        <v>100</v>
      </c>
      <c r="I1019" s="7" t="n">
        <v>95.23809523809523</v>
      </c>
      <c r="J1019" s="7" t="n">
        <v>19794.96125791381</v>
      </c>
      <c r="K1019" s="7" t="n">
        <v>20871.98158926133</v>
      </c>
      <c r="L1019" s="7" t="n">
        <v>-1077.020331347514</v>
      </c>
      <c r="M1019" s="6" t="n">
        <v>-0.05160124958627038</v>
      </c>
      <c r="N1019" s="7" t="n">
        <v>251.0981984948075</v>
      </c>
      <c r="O1019" s="7" t="n">
        <v>239.1411414236262</v>
      </c>
      <c r="P1019" s="7" t="n">
        <v>25348.96099090438</v>
      </c>
      <c r="Q1019" s="7" t="n">
        <v>28280.1023608722</v>
      </c>
      <c r="R1019" s="7" t="n">
        <v>-2931.14136996782</v>
      </c>
      <c r="S1019" s="6" t="n">
        <v>-0.1036467737126472</v>
      </c>
      <c r="T1019" s="7" t="n">
        <v>25316.22830019869</v>
      </c>
      <c r="U1019" s="7" t="n">
        <v>24110.69361923685</v>
      </c>
      <c r="V1019" s="7" t="n">
        <v>480458.0084971014</v>
      </c>
      <c r="W1019" s="7" t="n">
        <v>880060.660443995</v>
      </c>
      <c r="X1019" s="7" t="n">
        <v>-399602.6519468936</v>
      </c>
      <c r="Y1019" s="6" t="n">
        <v>-0.4540626230756549</v>
      </c>
      <c r="Z1019" s="7" t="n">
        <v>179278.8693948289</v>
      </c>
      <c r="AA1019" s="7" t="n">
        <v>170741.7803760275</v>
      </c>
      <c r="AB1019" s="7" t="n">
        <v>1786571.549576431</v>
      </c>
      <c r="AC1019" s="7" t="n">
        <v>6985276.884442575</v>
      </c>
      <c r="AD1019" s="7" t="n">
        <v>-5198705.334866145</v>
      </c>
      <c r="AE1019" s="6" t="n">
        <v>-0.7442375471822118</v>
      </c>
    </row>
    <row r="1020">
      <c r="A1020" s="2" t="n">
        <v>1011</v>
      </c>
      <c r="B1020" s="2" t="inlineStr">
        <is>
          <t>KPROP-01011</t>
        </is>
      </c>
      <c r="C1020" s="3" t="n">
        <v>46191</v>
      </c>
      <c r="D1020" s="2" t="inlineStr">
        <is>
          <t>Joe Ryan</t>
        </is>
      </c>
      <c r="E1020" s="2" t="inlineStr">
        <is>
          <t>Loss</t>
        </is>
      </c>
      <c r="F1020" s="2" t="n">
        <v>-1</v>
      </c>
      <c r="G1020" s="6" t="n">
        <v>0.3602404281053009</v>
      </c>
      <c r="H1020" s="7" t="n">
        <v>100</v>
      </c>
      <c r="I1020" s="7" t="n">
        <v>-100</v>
      </c>
      <c r="J1020" s="7" t="n">
        <v>19694.96125791381</v>
      </c>
      <c r="K1020" s="7" t="n">
        <v>20871.98158926133</v>
      </c>
      <c r="L1020" s="7" t="n">
        <v>-1177.020331347514</v>
      </c>
      <c r="M1020" s="6" t="n">
        <v>-0.05639236151650753</v>
      </c>
      <c r="N1020" s="7" t="n">
        <v>253.4896099090438</v>
      </c>
      <c r="O1020" s="7" t="n">
        <v>-253.4896099090438</v>
      </c>
      <c r="P1020" s="7" t="n">
        <v>25095.47138099533</v>
      </c>
      <c r="Q1020" s="7" t="n">
        <v>28280.1023608722</v>
      </c>
      <c r="R1020" s="7" t="n">
        <v>-3184.630979876863</v>
      </c>
      <c r="S1020" s="6" t="n">
        <v>-0.1126103059755207</v>
      </c>
      <c r="T1020" s="7" t="n">
        <v>43270.09966690403</v>
      </c>
      <c r="U1020" s="7" t="n">
        <v>-43270.09966690403</v>
      </c>
      <c r="V1020" s="7" t="n">
        <v>437187.9088301974</v>
      </c>
      <c r="W1020" s="7" t="n">
        <v>880060.660443995</v>
      </c>
      <c r="X1020" s="7" t="n">
        <v>-442872.7516137976</v>
      </c>
      <c r="Y1020" s="6" t="n">
        <v>-0.5032298016711326</v>
      </c>
      <c r="Z1020" s="7" t="n">
        <v>321797.6499300821</v>
      </c>
      <c r="AA1020" s="7" t="n">
        <v>-321797.6499300821</v>
      </c>
      <c r="AB1020" s="7" t="n">
        <v>1464773.899646349</v>
      </c>
      <c r="AC1020" s="7" t="n">
        <v>6985276.884442575</v>
      </c>
      <c r="AD1020" s="7" t="n">
        <v>-5520502.984796226</v>
      </c>
      <c r="AE1020" s="6" t="n">
        <v>-0.7903055349303826</v>
      </c>
    </row>
    <row r="1021">
      <c r="A1021" s="2" t="n">
        <v>1012</v>
      </c>
      <c r="B1021" s="2" t="inlineStr">
        <is>
          <t>KPROP-01012</t>
        </is>
      </c>
      <c r="C1021" s="3" t="n">
        <v>46191</v>
      </c>
      <c r="D1021" s="2" t="inlineStr">
        <is>
          <t>Parker Messick</t>
        </is>
      </c>
      <c r="E1021" s="2" t="inlineStr">
        <is>
          <t>Loss</t>
        </is>
      </c>
      <c r="F1021" s="2" t="n">
        <v>-1</v>
      </c>
      <c r="G1021" s="6" t="n">
        <v>0.127026593799844</v>
      </c>
      <c r="H1021" s="7" t="n">
        <v>100</v>
      </c>
      <c r="I1021" s="7" t="n">
        <v>-100</v>
      </c>
      <c r="J1021" s="7" t="n">
        <v>19594.96125791381</v>
      </c>
      <c r="K1021" s="7" t="n">
        <v>20871.98158926133</v>
      </c>
      <c r="L1021" s="7" t="n">
        <v>-1277.020331347514</v>
      </c>
      <c r="M1021" s="6" t="n">
        <v>-0.06118347344674467</v>
      </c>
      <c r="N1021" s="7" t="n">
        <v>250.9547138099533</v>
      </c>
      <c r="O1021" s="7" t="n">
        <v>-250.9547138099533</v>
      </c>
      <c r="P1021" s="7" t="n">
        <v>24844.51666718538</v>
      </c>
      <c r="Q1021" s="7" t="n">
        <v>28280.1023608722</v>
      </c>
      <c r="R1021" s="7" t="n">
        <v>-3435.585693686815</v>
      </c>
      <c r="S1021" s="6" t="n">
        <v>-0.1214842029157654</v>
      </c>
      <c r="T1021" s="7" t="n">
        <v>13883.62272729418</v>
      </c>
      <c r="U1021" s="7" t="n">
        <v>-13883.62272729418</v>
      </c>
      <c r="V1021" s="7" t="n">
        <v>423304.2861029033</v>
      </c>
      <c r="W1021" s="7" t="n">
        <v>880060.660443995</v>
      </c>
      <c r="X1021" s="7" t="n">
        <v>-456756.3743410918</v>
      </c>
      <c r="Y1021" s="6" t="n">
        <v>-0.5190055582198798</v>
      </c>
      <c r="Z1021" s="7" t="n">
        <v>93032.61957949512</v>
      </c>
      <c r="AA1021" s="7" t="n">
        <v>-93032.61957949512</v>
      </c>
      <c r="AB1021" s="7" t="n">
        <v>1371741.280066854</v>
      </c>
      <c r="AC1021" s="7" t="n">
        <v>6985276.884442575</v>
      </c>
      <c r="AD1021" s="7" t="n">
        <v>-5613535.604375722</v>
      </c>
      <c r="AE1021" s="6" t="n">
        <v>-0.8036239217486196</v>
      </c>
    </row>
    <row r="1022">
      <c r="A1022" s="2" t="n">
        <v>1013</v>
      </c>
      <c r="B1022" s="2" t="inlineStr">
        <is>
          <t>KPROP-01013</t>
        </is>
      </c>
      <c r="C1022" s="3" t="n">
        <v>46191</v>
      </c>
      <c r="D1022" s="2" t="inlineStr">
        <is>
          <t>Ryan Weathers</t>
        </is>
      </c>
      <c r="E1022" s="2" t="inlineStr">
        <is>
          <t>Loss</t>
        </is>
      </c>
      <c r="F1022" s="2" t="n">
        <v>-1</v>
      </c>
      <c r="G1022" s="6" t="n">
        <v>0.2110887402107378</v>
      </c>
      <c r="H1022" s="7" t="n">
        <v>100</v>
      </c>
      <c r="I1022" s="7" t="n">
        <v>-100</v>
      </c>
      <c r="J1022" s="7" t="n">
        <v>19494.96125791381</v>
      </c>
      <c r="K1022" s="7" t="n">
        <v>20871.98158926133</v>
      </c>
      <c r="L1022" s="7" t="n">
        <v>-1377.020331347514</v>
      </c>
      <c r="M1022" s="6" t="n">
        <v>-0.06597458537698182</v>
      </c>
      <c r="N1022" s="7" t="n">
        <v>248.4451666718538</v>
      </c>
      <c r="O1022" s="7" t="n">
        <v>-248.4451666718538</v>
      </c>
      <c r="P1022" s="7" t="n">
        <v>24596.07150051353</v>
      </c>
      <c r="Q1022" s="7" t="n">
        <v>28280.1023608722</v>
      </c>
      <c r="R1022" s="7" t="n">
        <v>-3684.030860358667</v>
      </c>
      <c r="S1022" s="6" t="n">
        <v>-0.1302693608866077</v>
      </c>
      <c r="T1022" s="7" t="n">
        <v>22338.69211981689</v>
      </c>
      <c r="U1022" s="7" t="n">
        <v>-22338.69211981689</v>
      </c>
      <c r="V1022" s="7" t="n">
        <v>400965.5939830863</v>
      </c>
      <c r="W1022" s="7" t="n">
        <v>880060.660443995</v>
      </c>
      <c r="X1022" s="7" t="n">
        <v>-479095.0664609087</v>
      </c>
      <c r="Y1022" s="6" t="n">
        <v>-0.544388685910813</v>
      </c>
      <c r="Z1022" s="7" t="n">
        <v>144779.5693521885</v>
      </c>
      <c r="AA1022" s="7" t="n">
        <v>-144779.5693521885</v>
      </c>
      <c r="AB1022" s="7" t="n">
        <v>1226961.710714665</v>
      </c>
      <c r="AC1022" s="7" t="n">
        <v>6985276.884442575</v>
      </c>
      <c r="AD1022" s="7" t="n">
        <v>-5758315.17372791</v>
      </c>
      <c r="AE1022" s="6" t="n">
        <v>-0.8243503112314242</v>
      </c>
    </row>
    <row r="1023">
      <c r="A1023" s="2" t="n">
        <v>1014</v>
      </c>
      <c r="B1023" s="2" t="inlineStr">
        <is>
          <t>KPROP-01014</t>
        </is>
      </c>
      <c r="C1023" s="3" t="n">
        <v>46191</v>
      </c>
      <c r="D1023" s="2" t="inlineStr">
        <is>
          <t>Ryan Weathers</t>
        </is>
      </c>
      <c r="E1023" s="2" t="inlineStr">
        <is>
          <t>Loss</t>
        </is>
      </c>
      <c r="F1023" s="2" t="n">
        <v>-1</v>
      </c>
      <c r="G1023" s="6" t="n">
        <v>0.3836292352980926</v>
      </c>
      <c r="H1023" s="7" t="n">
        <v>100</v>
      </c>
      <c r="I1023" s="7" t="n">
        <v>-100</v>
      </c>
      <c r="J1023" s="7" t="n">
        <v>19394.96125791381</v>
      </c>
      <c r="K1023" s="7" t="n">
        <v>20871.98158926133</v>
      </c>
      <c r="L1023" s="7" t="n">
        <v>-1477.020331347514</v>
      </c>
      <c r="M1023" s="6" t="n">
        <v>-0.07076569730721896</v>
      </c>
      <c r="N1023" s="7" t="n">
        <v>245.9607150051353</v>
      </c>
      <c r="O1023" s="7" t="n">
        <v>-245.9607150051353</v>
      </c>
      <c r="P1023" s="7" t="n">
        <v>24350.11078550839</v>
      </c>
      <c r="Q1023" s="7" t="n">
        <v>28280.1023608722</v>
      </c>
      <c r="R1023" s="7" t="n">
        <v>-3929.991575363802</v>
      </c>
      <c r="S1023" s="6" t="n">
        <v>-0.1389666672777416</v>
      </c>
      <c r="T1023" s="7" t="n">
        <v>38455.53105014422</v>
      </c>
      <c r="U1023" s="7" t="n">
        <v>-38455.53105014422</v>
      </c>
      <c r="V1023" s="7" t="n">
        <v>362510.0629329421</v>
      </c>
      <c r="W1023" s="7" t="n">
        <v>880060.660443995</v>
      </c>
      <c r="X1023" s="7" t="n">
        <v>-517550.5975110529</v>
      </c>
      <c r="Y1023" s="6" t="n">
        <v>-0.5880851409151115</v>
      </c>
      <c r="Z1023" s="7" t="n">
        <v>235349.1914107532</v>
      </c>
      <c r="AA1023" s="7" t="n">
        <v>-235349.1914107532</v>
      </c>
      <c r="AB1023" s="7" t="n">
        <v>991612.5193039121</v>
      </c>
      <c r="AC1023" s="7" t="n">
        <v>6985276.884442575</v>
      </c>
      <c r="AD1023" s="7" t="n">
        <v>-5993664.365138663</v>
      </c>
      <c r="AE1023" s="6" t="n">
        <v>-0.8580424891227425</v>
      </c>
    </row>
    <row r="1024">
      <c r="A1024" s="2" t="n">
        <v>1015</v>
      </c>
      <c r="B1024" s="2" t="inlineStr">
        <is>
          <t>KPROP-01015</t>
        </is>
      </c>
      <c r="C1024" s="3" t="n">
        <v>46191</v>
      </c>
      <c r="D1024" s="2" t="inlineStr">
        <is>
          <t>Sean Manaea</t>
        </is>
      </c>
      <c r="E1024" s="2" t="inlineStr">
        <is>
          <t>Win</t>
        </is>
      </c>
      <c r="F1024" s="2" t="n">
        <v>0.6711409395973154</v>
      </c>
      <c r="G1024" s="6" t="n">
        <v>0.1890183681306558</v>
      </c>
      <c r="H1024" s="7" t="n">
        <v>100</v>
      </c>
      <c r="I1024" s="7" t="n">
        <v>67.11409395973153</v>
      </c>
      <c r="J1024" s="7" t="n">
        <v>19462.07535187354</v>
      </c>
      <c r="K1024" s="7" t="n">
        <v>20871.98158926133</v>
      </c>
      <c r="L1024" s="7" t="n">
        <v>-1409.906237387782</v>
      </c>
      <c r="M1024" s="6" t="n">
        <v>-0.0675501859446437</v>
      </c>
      <c r="N1024" s="7" t="n">
        <v>243.5011078550839</v>
      </c>
      <c r="O1024" s="7" t="n">
        <v>163.4235623188483</v>
      </c>
      <c r="P1024" s="7" t="n">
        <v>24513.53434782724</v>
      </c>
      <c r="Q1024" s="7" t="n">
        <v>28280.1023608722</v>
      </c>
      <c r="R1024" s="7" t="n">
        <v>-3766.568013044955</v>
      </c>
      <c r="S1024" s="6" t="n">
        <v>-0.1331879200782634</v>
      </c>
      <c r="T1024" s="7" t="n">
        <v>17130.26513163151</v>
      </c>
      <c r="U1024" s="7" t="n">
        <v>11496.8222359943</v>
      </c>
      <c r="V1024" s="7" t="n">
        <v>374006.8851689365</v>
      </c>
      <c r="W1024" s="7" t="n">
        <v>880060.660443995</v>
      </c>
      <c r="X1024" s="7" t="n">
        <v>-506053.7752750586</v>
      </c>
      <c r="Y1024" s="6" t="n">
        <v>-0.5750214707015218</v>
      </c>
      <c r="Z1024" s="7" t="n">
        <v>93716.49010837694</v>
      </c>
      <c r="AA1024" s="7" t="n">
        <v>62896.97322709861</v>
      </c>
      <c r="AB1024" s="7" t="n">
        <v>1054509.492531011</v>
      </c>
      <c r="AC1024" s="7" t="n">
        <v>6985276.884442575</v>
      </c>
      <c r="AD1024" s="7" t="n">
        <v>-5930767.391911564</v>
      </c>
      <c r="AE1024" s="6" t="n">
        <v>-0.8490382686361958</v>
      </c>
    </row>
  </sheetData>
  <conditionalFormatting sqref="L10:L1024">
    <cfRule type="colorScale" priority="1">
      <colorScale>
        <cfvo type="min"/>
        <cfvo type="percentile" val="50"/>
        <cfvo type="max"/>
        <color rgb="00C00000"/>
        <color rgb="00FCE4D6"/>
        <color rgb="00FFFFFF"/>
      </colorScale>
    </cfRule>
  </conditionalFormatting>
  <conditionalFormatting sqref="M10:M1024">
    <cfRule type="colorScale" priority="2">
      <colorScale>
        <cfvo type="min"/>
        <cfvo type="percentile" val="50"/>
        <cfvo type="max"/>
        <color rgb="00C00000"/>
        <color rgb="00FCE4D6"/>
        <color rgb="00FFFFFF"/>
      </colorScale>
    </cfRule>
  </conditionalFormatting>
  <conditionalFormatting sqref="R10:R1024">
    <cfRule type="colorScale" priority="3">
      <colorScale>
        <cfvo type="min"/>
        <cfvo type="percentile" val="50"/>
        <cfvo type="max"/>
        <color rgb="00C00000"/>
        <color rgb="00FCE4D6"/>
        <color rgb="00FFFFFF"/>
      </colorScale>
    </cfRule>
  </conditionalFormatting>
  <conditionalFormatting sqref="S10:S1024">
    <cfRule type="colorScale" priority="4">
      <colorScale>
        <cfvo type="min"/>
        <cfvo type="percentile" val="50"/>
        <cfvo type="max"/>
        <color rgb="00C00000"/>
        <color rgb="00FCE4D6"/>
        <color rgb="00FFFFFF"/>
      </colorScale>
    </cfRule>
  </conditionalFormatting>
  <conditionalFormatting sqref="X10:X1024">
    <cfRule type="colorScale" priority="5">
      <colorScale>
        <cfvo type="min"/>
        <cfvo type="percentile" val="50"/>
        <cfvo type="max"/>
        <color rgb="00C00000"/>
        <color rgb="00FCE4D6"/>
        <color rgb="00FFFFFF"/>
      </colorScale>
    </cfRule>
  </conditionalFormatting>
  <conditionalFormatting sqref="Y10:Y1024">
    <cfRule type="colorScale" priority="6">
      <colorScale>
        <cfvo type="min"/>
        <cfvo type="percentile" val="50"/>
        <cfvo type="max"/>
        <color rgb="00C00000"/>
        <color rgb="00FCE4D6"/>
        <color rgb="00FFFFFF"/>
      </colorScale>
    </cfRule>
  </conditionalFormatting>
  <conditionalFormatting sqref="AD10:AD1024">
    <cfRule type="colorScale" priority="7">
      <colorScale>
        <cfvo type="min"/>
        <cfvo type="percentile" val="50"/>
        <cfvo type="max"/>
        <color rgb="00C00000"/>
        <color rgb="00FCE4D6"/>
        <color rgb="00FFFFFF"/>
      </colorScale>
    </cfRule>
  </conditionalFormatting>
  <conditionalFormatting sqref="AE10:AE1024">
    <cfRule type="colorScale" priority="8">
      <colorScale>
        <cfvo type="min"/>
        <cfvo type="percentile" val="50"/>
        <cfvo type="max"/>
        <color rgb="00C00000"/>
        <color rgb="00FCE4D6"/>
        <color rgb="00FFFFFF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4" customWidth="1" min="7" max="7"/>
    <col width="23" customWidth="1" min="8" max="8"/>
    <col width="21" customWidth="1" min="9" max="9"/>
    <col width="10" customWidth="1" min="10" max="10"/>
    <col width="21" customWidth="1" min="11" max="11"/>
    <col width="24" customWidth="1" min="12" max="12"/>
    <col width="21" customWidth="1" min="13" max="13"/>
    <col width="15" customWidth="1" min="14" max="14"/>
  </cols>
  <sheetData>
    <row r="1">
      <c r="A1" s="16" t="inlineStr">
        <is>
          <t>By Year</t>
        </is>
      </c>
    </row>
    <row r="2">
      <c r="A2" s="1" t="inlineStr">
        <is>
          <t>Year</t>
        </is>
      </c>
      <c r="B2" s="1" t="inlineStr">
        <is>
          <t>Bets</t>
        </is>
      </c>
      <c r="C2" s="1" t="inlineStr">
        <is>
          <t>Wins</t>
        </is>
      </c>
      <c r="D2" s="1" t="inlineStr">
        <is>
          <t>Losses</t>
        </is>
      </c>
      <c r="E2" s="1" t="inlineStr">
        <is>
          <t>Pushes</t>
        </is>
      </c>
      <c r="F2" s="1" t="inlineStr">
        <is>
          <t>Win Rate</t>
        </is>
      </c>
      <c r="G2" s="1" t="inlineStr">
        <is>
          <t>ROI</t>
        </is>
      </c>
      <c r="H2" s="1" t="inlineStr">
        <is>
          <t>Units</t>
        </is>
      </c>
      <c r="I2" s="1" t="inlineStr">
        <is>
          <t>Profit</t>
        </is>
      </c>
      <c r="J2" s="1" t="inlineStr">
        <is>
          <t>CLV</t>
        </is>
      </c>
      <c r="K2" s="1" t="inlineStr">
        <is>
          <t>Average Odds</t>
        </is>
      </c>
      <c r="L2" s="1" t="inlineStr">
        <is>
          <t>Average Margin</t>
        </is>
      </c>
      <c r="M2" s="1" t="inlineStr">
        <is>
          <t>Average Devig Edge</t>
        </is>
      </c>
      <c r="N2" s="1" t="inlineStr">
        <is>
          <t>Average Stake</t>
        </is>
      </c>
    </row>
    <row r="3">
      <c r="A3" s="2" t="n">
        <v>2025</v>
      </c>
      <c r="B3" s="2" t="n">
        <v>402</v>
      </c>
      <c r="C3" s="2" t="n">
        <v>222</v>
      </c>
      <c r="D3" s="2" t="n">
        <v>180</v>
      </c>
      <c r="E3" s="2" t="n">
        <v>0</v>
      </c>
      <c r="F3" s="6" t="n">
        <v>0.5522388059701493</v>
      </c>
      <c r="G3" s="6" t="n">
        <v>0.07416479515733547</v>
      </c>
      <c r="H3" s="2" t="n">
        <v>29.81424765324885</v>
      </c>
      <c r="I3" s="7" t="n">
        <v>2981.424765324886</v>
      </c>
      <c r="J3" s="6" t="n"/>
      <c r="K3" s="4" t="n">
        <v>-0.9825870646766169</v>
      </c>
      <c r="L3" s="2" t="n">
        <v>0.3993700110587719</v>
      </c>
      <c r="M3" s="6" t="n">
        <v>0.1686774091902052</v>
      </c>
      <c r="N3" s="7" t="n">
        <v>100</v>
      </c>
    </row>
    <row r="4">
      <c r="A4" s="2" t="n">
        <v>2026</v>
      </c>
      <c r="B4" s="2" t="n">
        <v>613</v>
      </c>
      <c r="C4" s="2" t="n">
        <v>348</v>
      </c>
      <c r="D4" s="2" t="n">
        <v>265</v>
      </c>
      <c r="E4" s="2" t="n">
        <v>0</v>
      </c>
      <c r="F4" s="6" t="n">
        <v>0.567699836867863</v>
      </c>
      <c r="G4" s="6" t="n">
        <v>0.1057202379534856</v>
      </c>
      <c r="H4" s="2" t="n">
        <v>64.80650586548671</v>
      </c>
      <c r="I4" s="7" t="n">
        <v>6480.65058654867</v>
      </c>
      <c r="J4" s="6" t="n"/>
      <c r="K4" s="4" t="n">
        <v>-10.61500815660685</v>
      </c>
      <c r="L4" s="2" t="n">
        <v>0.486754730854334</v>
      </c>
      <c r="M4" s="6" t="n">
        <v>0.1833244812153166</v>
      </c>
      <c r="N4" s="7" t="n">
        <v>100</v>
      </c>
    </row>
    <row r="5"/>
    <row r="6"/>
    <row r="7"/>
    <row r="8">
      <c r="A8" s="16" t="inlineStr">
        <is>
          <t>By Month</t>
        </is>
      </c>
    </row>
    <row r="9">
      <c r="A9" s="1" t="inlineStr">
        <is>
          <t>Month</t>
        </is>
      </c>
      <c r="B9" s="1" t="inlineStr">
        <is>
          <t>Bets</t>
        </is>
      </c>
      <c r="C9" s="1" t="inlineStr">
        <is>
          <t>Wins</t>
        </is>
      </c>
      <c r="D9" s="1" t="inlineStr">
        <is>
          <t>Losses</t>
        </is>
      </c>
      <c r="E9" s="1" t="inlineStr">
        <is>
          <t>Pushes</t>
        </is>
      </c>
      <c r="F9" s="1" t="inlineStr">
        <is>
          <t>Win Rate</t>
        </is>
      </c>
      <c r="G9" s="1" t="inlineStr">
        <is>
          <t>ROI</t>
        </is>
      </c>
      <c r="H9" s="1" t="inlineStr">
        <is>
          <t>Units</t>
        </is>
      </c>
      <c r="I9" s="1" t="inlineStr">
        <is>
          <t>Profit</t>
        </is>
      </c>
      <c r="J9" s="1" t="inlineStr">
        <is>
          <t>CLV</t>
        </is>
      </c>
      <c r="K9" s="1" t="inlineStr">
        <is>
          <t>Average Odds</t>
        </is>
      </c>
      <c r="L9" s="1" t="inlineStr">
        <is>
          <t>Average Margin</t>
        </is>
      </c>
      <c r="M9" s="1" t="inlineStr">
        <is>
          <t>Average Devig Edge</t>
        </is>
      </c>
      <c r="N9" s="1" t="inlineStr">
        <is>
          <t>Average Stake</t>
        </is>
      </c>
    </row>
    <row r="10">
      <c r="A10" s="2" t="inlineStr">
        <is>
          <t>2025-07</t>
        </is>
      </c>
      <c r="B10" s="2" t="n">
        <v>117</v>
      </c>
      <c r="C10" s="2" t="n">
        <v>61</v>
      </c>
      <c r="D10" s="2" t="n">
        <v>56</v>
      </c>
      <c r="E10" s="2" t="n">
        <v>0</v>
      </c>
      <c r="F10" s="6" t="n">
        <v>0.5213675213675214</v>
      </c>
      <c r="G10" s="6" t="n">
        <v>0.03909682482601738</v>
      </c>
      <c r="H10" s="2" t="n">
        <v>4.574328504644032</v>
      </c>
      <c r="I10" s="7" t="n">
        <v>457.4328504644034</v>
      </c>
      <c r="J10" s="6" t="n"/>
      <c r="K10" s="4" t="n">
        <v>23.16239316239316</v>
      </c>
      <c r="L10" s="2" t="n">
        <v>0.2740840200603377</v>
      </c>
      <c r="M10" s="6" t="n">
        <v>0.1572017367176358</v>
      </c>
      <c r="N10" s="7" t="n">
        <v>100</v>
      </c>
    </row>
    <row r="11">
      <c r="A11" s="2" t="inlineStr">
        <is>
          <t>2025-08</t>
        </is>
      </c>
      <c r="B11" s="2" t="n">
        <v>177</v>
      </c>
      <c r="C11" s="2" t="n">
        <v>91</v>
      </c>
      <c r="D11" s="2" t="n">
        <v>86</v>
      </c>
      <c r="E11" s="2" t="n">
        <v>0</v>
      </c>
      <c r="F11" s="6" t="n">
        <v>0.5141242937853108</v>
      </c>
      <c r="G11" s="6" t="n">
        <v>-0.009490164539247134</v>
      </c>
      <c r="H11" s="2" t="n">
        <v>-1.679759123446743</v>
      </c>
      <c r="I11" s="7" t="n">
        <v>-167.9759123446743</v>
      </c>
      <c r="J11" s="6" t="n"/>
      <c r="K11" s="4" t="n">
        <v>-7.638418079096045</v>
      </c>
      <c r="L11" s="2" t="n">
        <v>0.4681965764529903</v>
      </c>
      <c r="M11" s="6" t="n">
        <v>0.1797951526343555</v>
      </c>
      <c r="N11" s="7" t="n">
        <v>100</v>
      </c>
    </row>
    <row r="12">
      <c r="A12" s="2" t="inlineStr">
        <is>
          <t>2025-09</t>
        </is>
      </c>
      <c r="B12" s="2" t="n">
        <v>108</v>
      </c>
      <c r="C12" s="2" t="n">
        <v>70</v>
      </c>
      <c r="D12" s="2" t="n">
        <v>38</v>
      </c>
      <c r="E12" s="2" t="n">
        <v>0</v>
      </c>
      <c r="F12" s="6" t="n">
        <v>0.6481481481481481</v>
      </c>
      <c r="G12" s="6" t="n">
        <v>0.2492562802967738</v>
      </c>
      <c r="H12" s="2" t="n">
        <v>26.91967827205157</v>
      </c>
      <c r="I12" s="7" t="n">
        <v>2691.967827205157</v>
      </c>
      <c r="J12" s="6" t="n"/>
      <c r="K12" s="4" t="n">
        <v>-16.23148148148148</v>
      </c>
      <c r="L12" s="2" t="n">
        <v>0.4222974080221067</v>
      </c>
      <c r="M12" s="6" t="n">
        <v>0.1628886415020201</v>
      </c>
      <c r="N12" s="7" t="n">
        <v>100</v>
      </c>
    </row>
    <row r="13">
      <c r="A13" s="2" t="inlineStr">
        <is>
          <t>2026-03</t>
        </is>
      </c>
      <c r="B13" s="2" t="n">
        <v>31</v>
      </c>
      <c r="C13" s="2" t="n">
        <v>19</v>
      </c>
      <c r="D13" s="2" t="n">
        <v>12</v>
      </c>
      <c r="E13" s="2" t="n">
        <v>0</v>
      </c>
      <c r="F13" s="6" t="n">
        <v>0.6129032258064516</v>
      </c>
      <c r="G13" s="6" t="n">
        <v>0.221366053222939</v>
      </c>
      <c r="H13" s="2" t="n">
        <v>6.862347649911108</v>
      </c>
      <c r="I13" s="7" t="n">
        <v>686.2347649911109</v>
      </c>
      <c r="J13" s="6" t="n"/>
      <c r="K13" s="4" t="n">
        <v>6.064516129032258</v>
      </c>
      <c r="L13" s="2" t="n">
        <v>0.4099391304703648</v>
      </c>
      <c r="M13" s="6" t="n">
        <v>0.1677109547591573</v>
      </c>
      <c r="N13" s="7" t="n">
        <v>100</v>
      </c>
    </row>
    <row r="14">
      <c r="A14" s="2" t="inlineStr">
        <is>
          <t>2026-04</t>
        </is>
      </c>
      <c r="B14" s="2" t="n">
        <v>274</v>
      </c>
      <c r="C14" s="2" t="n">
        <v>164</v>
      </c>
      <c r="D14" s="2" t="n">
        <v>110</v>
      </c>
      <c r="E14" s="2" t="n">
        <v>0</v>
      </c>
      <c r="F14" s="6" t="n">
        <v>0.5985401459854015</v>
      </c>
      <c r="G14" s="6" t="n">
        <v>0.1807191083178425</v>
      </c>
      <c r="H14" s="2" t="n">
        <v>49.51703567908883</v>
      </c>
      <c r="I14" s="7" t="n">
        <v>4951.703567908884</v>
      </c>
      <c r="J14" s="6" t="n"/>
      <c r="K14" s="4" t="n">
        <v>2.218978102189781</v>
      </c>
      <c r="L14" s="2" t="n">
        <v>0.484065348790766</v>
      </c>
      <c r="M14" s="6" t="n">
        <v>0.1925727956537132</v>
      </c>
      <c r="N14" s="7" t="n">
        <v>100</v>
      </c>
    </row>
    <row r="15">
      <c r="A15" s="2" t="inlineStr">
        <is>
          <t>2026-05</t>
        </is>
      </c>
      <c r="B15" s="2" t="n">
        <v>185</v>
      </c>
      <c r="C15" s="2" t="n">
        <v>101</v>
      </c>
      <c r="D15" s="2" t="n">
        <v>84</v>
      </c>
      <c r="E15" s="2" t="n">
        <v>0</v>
      </c>
      <c r="F15" s="6" t="n">
        <v>0.5459459459459459</v>
      </c>
      <c r="G15" s="6" t="n">
        <v>0.06129080923375371</v>
      </c>
      <c r="H15" s="2" t="n">
        <v>11.33879970824443</v>
      </c>
      <c r="I15" s="7" t="n">
        <v>1133.879970824443</v>
      </c>
      <c r="J15" s="6" t="n"/>
      <c r="K15" s="4" t="n">
        <v>-14.52972972972973</v>
      </c>
      <c r="L15" s="2" t="n">
        <v>0.3877157755370361</v>
      </c>
      <c r="M15" s="6" t="n">
        <v>0.1567557559424423</v>
      </c>
      <c r="N15" s="7" t="n">
        <v>100</v>
      </c>
    </row>
    <row r="16">
      <c r="A16" s="2" t="inlineStr">
        <is>
          <t>2026-06</t>
        </is>
      </c>
      <c r="B16" s="2" t="n">
        <v>123</v>
      </c>
      <c r="C16" s="2" t="n">
        <v>64</v>
      </c>
      <c r="D16" s="2" t="n">
        <v>59</v>
      </c>
      <c r="E16" s="2" t="n">
        <v>0</v>
      </c>
      <c r="F16" s="6" t="n">
        <v>0.5203252032520326</v>
      </c>
      <c r="G16" s="6" t="n">
        <v>-0.02367217212811116</v>
      </c>
      <c r="H16" s="2" t="n">
        <v>-2.911677171757673</v>
      </c>
      <c r="I16" s="7" t="n">
        <v>-291.1677171757672</v>
      </c>
      <c r="J16" s="6" t="n"/>
      <c r="K16" s="4" t="n">
        <v>-37.52032520325204</v>
      </c>
      <c r="L16" s="2" t="n">
        <v>0.6610667717569417</v>
      </c>
      <c r="M16" s="6" t="n">
        <v>0.2066187522681784</v>
      </c>
      <c r="N16" s="7" t="n">
        <v>100</v>
      </c>
    </row>
    <row r="17"/>
    <row r="18"/>
    <row r="19"/>
    <row r="20">
      <c r="A20" s="16" t="inlineStr">
        <is>
          <t>By Pitcher</t>
        </is>
      </c>
    </row>
    <row r="21">
      <c r="A21" s="1" t="inlineStr">
        <is>
          <t>Pitcher</t>
        </is>
      </c>
      <c r="B21" s="1" t="inlineStr">
        <is>
          <t>Bets</t>
        </is>
      </c>
      <c r="C21" s="1" t="inlineStr">
        <is>
          <t>Wins</t>
        </is>
      </c>
      <c r="D21" s="1" t="inlineStr">
        <is>
          <t>Losses</t>
        </is>
      </c>
      <c r="E21" s="1" t="inlineStr">
        <is>
          <t>Pushes</t>
        </is>
      </c>
      <c r="F21" s="1" t="inlineStr">
        <is>
          <t>Win Rate</t>
        </is>
      </c>
      <c r="G21" s="1" t="inlineStr">
        <is>
          <t>ROI</t>
        </is>
      </c>
      <c r="H21" s="1" t="inlineStr">
        <is>
          <t>Units</t>
        </is>
      </c>
      <c r="I21" s="1" t="inlineStr">
        <is>
          <t>Profit</t>
        </is>
      </c>
      <c r="J21" s="1" t="inlineStr">
        <is>
          <t>CLV</t>
        </is>
      </c>
      <c r="K21" s="1" t="inlineStr">
        <is>
          <t>Average Odds</t>
        </is>
      </c>
      <c r="L21" s="1" t="inlineStr">
        <is>
          <t>Average Margin</t>
        </is>
      </c>
      <c r="M21" s="1" t="inlineStr">
        <is>
          <t>Average Devig Edge</t>
        </is>
      </c>
      <c r="N21" s="1" t="inlineStr">
        <is>
          <t>Average Stake</t>
        </is>
      </c>
    </row>
    <row r="22">
      <c r="A22" s="2" t="inlineStr">
        <is>
          <t>Aaron Civale</t>
        </is>
      </c>
      <c r="B22" s="2" t="n">
        <v>2</v>
      </c>
      <c r="C22" s="2" t="n">
        <v>0</v>
      </c>
      <c r="D22" s="2" t="n">
        <v>2</v>
      </c>
      <c r="E22" s="2" t="n">
        <v>0</v>
      </c>
      <c r="F22" s="6" t="n">
        <v>0</v>
      </c>
      <c r="G22" s="6" t="n">
        <v>-1</v>
      </c>
      <c r="H22" s="2" t="n">
        <v>-2</v>
      </c>
      <c r="I22" s="7" t="n">
        <v>-200</v>
      </c>
      <c r="J22" s="6" t="n"/>
      <c r="K22" s="4" t="n">
        <v>105.5</v>
      </c>
      <c r="L22" s="2" t="n">
        <v>0.1094746740542227</v>
      </c>
      <c r="M22" s="6" t="n">
        <v>0.1358673610236477</v>
      </c>
      <c r="N22" s="7" t="n">
        <v>100</v>
      </c>
    </row>
    <row r="23">
      <c r="A23" s="2" t="inlineStr">
        <is>
          <t>Aaron Nola</t>
        </is>
      </c>
      <c r="B23" s="2" t="n">
        <v>13</v>
      </c>
      <c r="C23" s="2" t="n">
        <v>8</v>
      </c>
      <c r="D23" s="2" t="n">
        <v>5</v>
      </c>
      <c r="E23" s="2" t="n">
        <v>0</v>
      </c>
      <c r="F23" s="6" t="n">
        <v>0.6153846153846154</v>
      </c>
      <c r="G23" s="6" t="n">
        <v>0.1395290346783308</v>
      </c>
      <c r="H23" s="2" t="n">
        <v>1.813877450818301</v>
      </c>
      <c r="I23" s="7" t="n">
        <v>181.3877450818301</v>
      </c>
      <c r="J23" s="6" t="n"/>
      <c r="K23" s="4" t="n">
        <v>-38</v>
      </c>
      <c r="L23" s="2" t="n">
        <v>0.5809380582641167</v>
      </c>
      <c r="M23" s="6" t="n">
        <v>0.1898801146658945</v>
      </c>
      <c r="N23" s="7" t="n">
        <v>100</v>
      </c>
    </row>
    <row r="24">
      <c r="A24" s="2" t="inlineStr">
        <is>
          <t>Andrew Abbott</t>
        </is>
      </c>
      <c r="B24" s="2" t="n">
        <v>7</v>
      </c>
      <c r="C24" s="2" t="n">
        <v>6</v>
      </c>
      <c r="D24" s="2" t="n">
        <v>1</v>
      </c>
      <c r="E24" s="2" t="n">
        <v>0</v>
      </c>
      <c r="F24" s="6" t="n">
        <v>0.8571428571428571</v>
      </c>
      <c r="G24" s="6" t="n">
        <v>0.7595259502402359</v>
      </c>
      <c r="H24" s="2" t="n">
        <v>5.316681651681652</v>
      </c>
      <c r="I24" s="7" t="n">
        <v>531.6681651681652</v>
      </c>
      <c r="J24" s="6" t="n"/>
      <c r="K24" s="4" t="n">
        <v>17.28571428571428</v>
      </c>
      <c r="L24" s="2" t="n">
        <v>0.2340163972905208</v>
      </c>
      <c r="M24" s="6" t="n">
        <v>0.1624926202924558</v>
      </c>
      <c r="N24" s="7" t="n">
        <v>100</v>
      </c>
    </row>
    <row r="25">
      <c r="A25" s="2" t="inlineStr">
        <is>
          <t>Andrew Heaney</t>
        </is>
      </c>
      <c r="B25" s="2" t="n">
        <v>1</v>
      </c>
      <c r="C25" s="2" t="n">
        <v>1</v>
      </c>
      <c r="D25" s="2" t="n">
        <v>0</v>
      </c>
      <c r="E25" s="2" t="n">
        <v>0</v>
      </c>
      <c r="F25" s="6" t="n">
        <v>1</v>
      </c>
      <c r="G25" s="6" t="n">
        <v>0.7751937984496124</v>
      </c>
      <c r="H25" s="2" t="n">
        <v>0.7751937984496124</v>
      </c>
      <c r="I25" s="7" t="n">
        <v>77.51937984496125</v>
      </c>
      <c r="J25" s="6" t="n"/>
      <c r="K25" s="4" t="n">
        <v>-129</v>
      </c>
      <c r="L25" s="2" t="n">
        <v>0.5572126194967524</v>
      </c>
      <c r="M25" s="6" t="n">
        <v>0.1717123253153483</v>
      </c>
      <c r="N25" s="7" t="n">
        <v>100</v>
      </c>
    </row>
    <row r="26">
      <c r="A26" s="2" t="inlineStr">
        <is>
          <t>Andrew Painter</t>
        </is>
      </c>
      <c r="B26" s="2" t="n">
        <v>1</v>
      </c>
      <c r="C26" s="2" t="n">
        <v>1</v>
      </c>
      <c r="D26" s="2" t="n">
        <v>0</v>
      </c>
      <c r="E26" s="2" t="n">
        <v>0</v>
      </c>
      <c r="F26" s="6" t="n">
        <v>1</v>
      </c>
      <c r="G26" s="6" t="n">
        <v>0.9090909090909092</v>
      </c>
      <c r="H26" s="2" t="n">
        <v>0.9090909090909092</v>
      </c>
      <c r="I26" s="7" t="n">
        <v>90.90909090909092</v>
      </c>
      <c r="J26" s="6" t="n"/>
      <c r="K26" s="4" t="n">
        <v>-110</v>
      </c>
      <c r="L26" s="2" t="n">
        <v>0.1963834822116581</v>
      </c>
      <c r="M26" s="6" t="n">
        <v>0.08768388952675921</v>
      </c>
      <c r="N26" s="7" t="n">
        <v>100</v>
      </c>
    </row>
    <row r="27">
      <c r="A27" s="2" t="inlineStr">
        <is>
          <t>Austin Gomber</t>
        </is>
      </c>
      <c r="B27" s="2" t="n">
        <v>3</v>
      </c>
      <c r="C27" s="2" t="n">
        <v>3</v>
      </c>
      <c r="D27" s="2" t="n">
        <v>0</v>
      </c>
      <c r="E27" s="2" t="n">
        <v>0</v>
      </c>
      <c r="F27" s="6" t="n">
        <v>1</v>
      </c>
      <c r="G27" s="6" t="n">
        <v>0.9628138528138529</v>
      </c>
      <c r="H27" s="2" t="n">
        <v>2.888441558441559</v>
      </c>
      <c r="I27" s="7" t="n">
        <v>288.8441558441559</v>
      </c>
      <c r="J27" s="6" t="n"/>
      <c r="K27" s="4" t="n">
        <v>-43.66666666666666</v>
      </c>
      <c r="L27" s="2" t="n">
        <v>0.1856229526835218</v>
      </c>
      <c r="M27" s="6" t="n">
        <v>0.09790528955244887</v>
      </c>
      <c r="N27" s="7" t="n">
        <v>100</v>
      </c>
    </row>
    <row r="28">
      <c r="A28" s="2" t="inlineStr">
        <is>
          <t>Bailey Falter</t>
        </is>
      </c>
      <c r="B28" s="2" t="n">
        <v>1</v>
      </c>
      <c r="C28" s="2" t="n">
        <v>0</v>
      </c>
      <c r="D28" s="2" t="n">
        <v>1</v>
      </c>
      <c r="E28" s="2" t="n">
        <v>0</v>
      </c>
      <c r="F28" s="6" t="n">
        <v>0</v>
      </c>
      <c r="G28" s="6" t="n">
        <v>-1</v>
      </c>
      <c r="H28" s="2" t="n">
        <v>-1</v>
      </c>
      <c r="I28" s="7" t="n">
        <v>-100</v>
      </c>
      <c r="J28" s="6" t="n"/>
      <c r="K28" s="4" t="n">
        <v>125</v>
      </c>
      <c r="L28" s="2" t="n">
        <v>-0.2488825730509325</v>
      </c>
      <c r="M28" s="6" t="n">
        <v>0.08899635121672667</v>
      </c>
      <c r="N28" s="7" t="n">
        <v>100</v>
      </c>
    </row>
    <row r="29">
      <c r="A29" s="2" t="inlineStr">
        <is>
          <t>Bailey Ober</t>
        </is>
      </c>
      <c r="B29" s="2" t="n">
        <v>17</v>
      </c>
      <c r="C29" s="2" t="n">
        <v>11</v>
      </c>
      <c r="D29" s="2" t="n">
        <v>6</v>
      </c>
      <c r="E29" s="2" t="n">
        <v>0</v>
      </c>
      <c r="F29" s="6" t="n">
        <v>0.6470588235294118</v>
      </c>
      <c r="G29" s="6" t="n">
        <v>0.2591978978695407</v>
      </c>
      <c r="H29" s="2" t="n">
        <v>4.406364263782191</v>
      </c>
      <c r="I29" s="7" t="n">
        <v>440.6364263782191</v>
      </c>
      <c r="J29" s="6" t="n"/>
      <c r="K29" s="4" t="n">
        <v>-17.17647058823529</v>
      </c>
      <c r="L29" s="2" t="n">
        <v>0.3989554620230555</v>
      </c>
      <c r="M29" s="6" t="n">
        <v>0.1644442131575154</v>
      </c>
      <c r="N29" s="7" t="n">
        <v>100</v>
      </c>
    </row>
    <row r="30">
      <c r="A30" s="2" t="inlineStr">
        <is>
          <t>Brady Singer</t>
        </is>
      </c>
      <c r="B30" s="2" t="n">
        <v>18</v>
      </c>
      <c r="C30" s="2" t="n">
        <v>10</v>
      </c>
      <c r="D30" s="2" t="n">
        <v>8</v>
      </c>
      <c r="E30" s="2" t="n">
        <v>0</v>
      </c>
      <c r="F30" s="6" t="n">
        <v>0.5555555555555556</v>
      </c>
      <c r="G30" s="6" t="n">
        <v>0.08428566841433384</v>
      </c>
      <c r="H30" s="2" t="n">
        <v>1.517142031458009</v>
      </c>
      <c r="I30" s="7" t="n">
        <v>151.7142031458009</v>
      </c>
      <c r="J30" s="6" t="n"/>
      <c r="K30" s="4" t="n">
        <v>19.05555555555556</v>
      </c>
      <c r="L30" s="2" t="n">
        <v>0.364249366957172</v>
      </c>
      <c r="M30" s="6" t="n">
        <v>0.1860020158976772</v>
      </c>
      <c r="N30" s="7" t="n">
        <v>100</v>
      </c>
    </row>
    <row r="31">
      <c r="A31" s="2" t="inlineStr">
        <is>
          <t>Brandon Pfaadt</t>
        </is>
      </c>
      <c r="B31" s="2" t="n">
        <v>3</v>
      </c>
      <c r="C31" s="2" t="n">
        <v>3</v>
      </c>
      <c r="D31" s="2" t="n">
        <v>0</v>
      </c>
      <c r="E31" s="2" t="n">
        <v>0</v>
      </c>
      <c r="F31" s="6" t="n">
        <v>1</v>
      </c>
      <c r="G31" s="6" t="n">
        <v>1.07165191740413</v>
      </c>
      <c r="H31" s="2" t="n">
        <v>3.214955752212389</v>
      </c>
      <c r="I31" s="7" t="n">
        <v>321.4955752212389</v>
      </c>
      <c r="J31" s="6" t="n"/>
      <c r="K31" s="4" t="n">
        <v>40</v>
      </c>
      <c r="L31" s="2" t="n">
        <v>-0.0225550456269333</v>
      </c>
      <c r="M31" s="6" t="n">
        <v>0.08537958523683283</v>
      </c>
      <c r="N31" s="7" t="n">
        <v>100</v>
      </c>
    </row>
    <row r="32">
      <c r="A32" s="2" t="inlineStr">
        <is>
          <t>Brandon Sproat</t>
        </is>
      </c>
      <c r="B32" s="2" t="n">
        <v>1</v>
      </c>
      <c r="C32" s="2" t="n">
        <v>0</v>
      </c>
      <c r="D32" s="2" t="n">
        <v>1</v>
      </c>
      <c r="E32" s="2" t="n">
        <v>0</v>
      </c>
      <c r="F32" s="6" t="n">
        <v>0</v>
      </c>
      <c r="G32" s="6" t="n">
        <v>-1</v>
      </c>
      <c r="H32" s="2" t="n">
        <v>-1</v>
      </c>
      <c r="I32" s="7" t="n">
        <v>-100</v>
      </c>
      <c r="J32" s="6" t="n"/>
      <c r="K32" s="4" t="n">
        <v>106</v>
      </c>
      <c r="L32" s="2" t="n">
        <v>0.03129819149893542</v>
      </c>
      <c r="M32" s="6" t="n">
        <v>0.1083919823716421</v>
      </c>
      <c r="N32" s="7" t="n">
        <v>100</v>
      </c>
    </row>
    <row r="33">
      <c r="A33" s="2" t="inlineStr">
        <is>
          <t>Brandon Williamson</t>
        </is>
      </c>
      <c r="B33" s="2" t="n">
        <v>2</v>
      </c>
      <c r="C33" s="2" t="n">
        <v>1</v>
      </c>
      <c r="D33" s="2" t="n">
        <v>1</v>
      </c>
      <c r="E33" s="2" t="n">
        <v>0</v>
      </c>
      <c r="F33" s="6" t="n">
        <v>0.5</v>
      </c>
      <c r="G33" s="6" t="n">
        <v>-0.1855345911949687</v>
      </c>
      <c r="H33" s="2" t="n">
        <v>-0.3710691823899372</v>
      </c>
      <c r="I33" s="7" t="n">
        <v>-37.10691823899373</v>
      </c>
      <c r="J33" s="6" t="n"/>
      <c r="K33" s="4" t="n">
        <v>-10.5</v>
      </c>
      <c r="L33" s="2" t="n">
        <v>0.1703060509248941</v>
      </c>
      <c r="M33" s="6" t="n">
        <v>0.09547196515797021</v>
      </c>
      <c r="N33" s="7" t="n">
        <v>100</v>
      </c>
    </row>
    <row r="34">
      <c r="A34" s="2" t="inlineStr">
        <is>
          <t>Brandon Woodruff</t>
        </is>
      </c>
      <c r="B34" s="2" t="n">
        <v>8</v>
      </c>
      <c r="C34" s="2" t="n">
        <v>4</v>
      </c>
      <c r="D34" s="2" t="n">
        <v>4</v>
      </c>
      <c r="E34" s="2" t="n">
        <v>0</v>
      </c>
      <c r="F34" s="6" t="n">
        <v>0.5</v>
      </c>
      <c r="G34" s="6" t="n">
        <v>-0.001524049217002279</v>
      </c>
      <c r="H34" s="2" t="n">
        <v>-0.01219239373601821</v>
      </c>
      <c r="I34" s="7" t="n">
        <v>-1.219239373601823</v>
      </c>
      <c r="J34" s="6" t="n"/>
      <c r="K34" s="4" t="n">
        <v>27.625</v>
      </c>
      <c r="L34" s="2" t="n">
        <v>0.5294745487848403</v>
      </c>
      <c r="M34" s="6" t="n">
        <v>0.2381334898442635</v>
      </c>
      <c r="N34" s="7" t="n">
        <v>100</v>
      </c>
    </row>
    <row r="35">
      <c r="A35" s="2" t="inlineStr">
        <is>
          <t>Braxton Ashcraft</t>
        </is>
      </c>
      <c r="B35" s="2" t="n">
        <v>9</v>
      </c>
      <c r="C35" s="2" t="n">
        <v>4</v>
      </c>
      <c r="D35" s="2" t="n">
        <v>5</v>
      </c>
      <c r="E35" s="2" t="n">
        <v>0</v>
      </c>
      <c r="F35" s="6" t="n">
        <v>0.4444444444444444</v>
      </c>
      <c r="G35" s="6" t="n">
        <v>-0.1167049808429119</v>
      </c>
      <c r="H35" s="2" t="n">
        <v>-1.050344827586207</v>
      </c>
      <c r="I35" s="7" t="n">
        <v>-105.0344827586207</v>
      </c>
      <c r="J35" s="6" t="n"/>
      <c r="K35" s="4" t="n">
        <v>56.33333333333334</v>
      </c>
      <c r="L35" s="2" t="n">
        <v>0.1483686979836333</v>
      </c>
      <c r="M35" s="6" t="n">
        <v>0.1379241466060919</v>
      </c>
      <c r="N35" s="7" t="n">
        <v>100</v>
      </c>
    </row>
    <row r="36">
      <c r="A36" s="2" t="inlineStr">
        <is>
          <t>Braxton Garrett</t>
        </is>
      </c>
      <c r="B36" s="2" t="n">
        <v>1</v>
      </c>
      <c r="C36" s="2" t="n">
        <v>1</v>
      </c>
      <c r="D36" s="2" t="n">
        <v>0</v>
      </c>
      <c r="E36" s="2" t="n">
        <v>0</v>
      </c>
      <c r="F36" s="6" t="n">
        <v>1</v>
      </c>
      <c r="G36" s="6" t="n">
        <v>0.6944444444444444</v>
      </c>
      <c r="H36" s="2" t="n">
        <v>0.6944444444444444</v>
      </c>
      <c r="I36" s="7" t="n">
        <v>69.44444444444444</v>
      </c>
      <c r="J36" s="6" t="n"/>
      <c r="K36" s="4" t="n">
        <v>-144</v>
      </c>
      <c r="L36" s="2" t="n">
        <v>0.6565111176124985</v>
      </c>
      <c r="M36" s="6" t="n">
        <v>0.1172865220040568</v>
      </c>
      <c r="N36" s="7" t="n">
        <v>100</v>
      </c>
    </row>
    <row r="37">
      <c r="A37" s="2" t="inlineStr">
        <is>
          <t>Bryan Woo</t>
        </is>
      </c>
      <c r="B37" s="2" t="n">
        <v>4</v>
      </c>
      <c r="C37" s="2" t="n">
        <v>1</v>
      </c>
      <c r="D37" s="2" t="n">
        <v>3</v>
      </c>
      <c r="E37" s="2" t="n">
        <v>0</v>
      </c>
      <c r="F37" s="6" t="n">
        <v>0.25</v>
      </c>
      <c r="G37" s="6" t="n">
        <v>-0.5714285714285714</v>
      </c>
      <c r="H37" s="2" t="n">
        <v>-2.285714285714286</v>
      </c>
      <c r="I37" s="7" t="n">
        <v>-228.5714285714286</v>
      </c>
      <c r="J37" s="6" t="n"/>
      <c r="K37" s="4" t="n">
        <v>-59.75</v>
      </c>
      <c r="L37" s="2" t="n">
        <v>0.4859367998816346</v>
      </c>
      <c r="M37" s="6" t="n">
        <v>0.1594337063573231</v>
      </c>
      <c r="N37" s="7" t="n">
        <v>100</v>
      </c>
    </row>
    <row r="38">
      <c r="A38" s="2" t="inlineStr">
        <is>
          <t>Bryce Elder</t>
        </is>
      </c>
      <c r="B38" s="2" t="n">
        <v>4</v>
      </c>
      <c r="C38" s="2" t="n">
        <v>4</v>
      </c>
      <c r="D38" s="2" t="n">
        <v>0</v>
      </c>
      <c r="E38" s="2" t="n">
        <v>0</v>
      </c>
      <c r="F38" s="6" t="n">
        <v>1</v>
      </c>
      <c r="G38" s="6" t="n">
        <v>1.026439393939394</v>
      </c>
      <c r="H38" s="2" t="n">
        <v>4.105757575757575</v>
      </c>
      <c r="I38" s="7" t="n">
        <v>410.5757575757575</v>
      </c>
      <c r="J38" s="6" t="n"/>
      <c r="K38" s="4" t="n">
        <v>-1.75</v>
      </c>
      <c r="L38" s="2" t="n">
        <v>0.3079878569952519</v>
      </c>
      <c r="M38" s="6" t="n">
        <v>0.1705029417203517</v>
      </c>
      <c r="N38" s="7" t="n">
        <v>100</v>
      </c>
    </row>
    <row r="39">
      <c r="A39" s="2" t="inlineStr">
        <is>
          <t>Bryce Miller</t>
        </is>
      </c>
      <c r="B39" s="2" t="n">
        <v>2</v>
      </c>
      <c r="C39" s="2" t="n">
        <v>0</v>
      </c>
      <c r="D39" s="2" t="n">
        <v>2</v>
      </c>
      <c r="E39" s="2" t="n">
        <v>0</v>
      </c>
      <c r="F39" s="6" t="n">
        <v>0</v>
      </c>
      <c r="G39" s="6" t="n">
        <v>-1</v>
      </c>
      <c r="H39" s="2" t="n">
        <v>-2</v>
      </c>
      <c r="I39" s="7" t="n">
        <v>-200</v>
      </c>
      <c r="J39" s="6" t="n"/>
      <c r="K39" s="4" t="n">
        <v>107.5</v>
      </c>
      <c r="L39" s="2" t="n">
        <v>0.06535810933557729</v>
      </c>
      <c r="M39" s="6" t="n">
        <v>0.1289874110512944</v>
      </c>
      <c r="N39" s="7" t="n">
        <v>100</v>
      </c>
    </row>
    <row r="40">
      <c r="A40" s="2" t="inlineStr">
        <is>
          <t>Cade Horton</t>
        </is>
      </c>
      <c r="B40" s="2" t="n">
        <v>1</v>
      </c>
      <c r="C40" s="2" t="n">
        <v>1</v>
      </c>
      <c r="D40" s="2" t="n">
        <v>0</v>
      </c>
      <c r="E40" s="2" t="n">
        <v>0</v>
      </c>
      <c r="F40" s="6" t="n">
        <v>1</v>
      </c>
      <c r="G40" s="6" t="n">
        <v>1.04</v>
      </c>
      <c r="H40" s="2" t="n">
        <v>1.04</v>
      </c>
      <c r="I40" s="7" t="n">
        <v>104</v>
      </c>
      <c r="J40" s="6" t="n"/>
      <c r="K40" s="4" t="n">
        <v>104</v>
      </c>
      <c r="L40" s="2" t="n">
        <v>0.1219845603150267</v>
      </c>
      <c r="M40" s="6" t="n">
        <v>0.1330224986916877</v>
      </c>
      <c r="N40" s="7" t="n">
        <v>100</v>
      </c>
    </row>
    <row r="41">
      <c r="A41" s="2" t="inlineStr">
        <is>
          <t>Cade Povich</t>
        </is>
      </c>
      <c r="B41" s="2" t="n">
        <v>2</v>
      </c>
      <c r="C41" s="2" t="n">
        <v>2</v>
      </c>
      <c r="D41" s="2" t="n">
        <v>0</v>
      </c>
      <c r="E41" s="2" t="n">
        <v>0</v>
      </c>
      <c r="F41" s="6" t="n">
        <v>1</v>
      </c>
      <c r="G41" s="6" t="n">
        <v>0.9346153846153846</v>
      </c>
      <c r="H41" s="2" t="n">
        <v>1.869230769230769</v>
      </c>
      <c r="I41" s="7" t="n">
        <v>186.9230769230769</v>
      </c>
      <c r="J41" s="6" t="n"/>
      <c r="K41" s="4" t="n">
        <v>-10</v>
      </c>
      <c r="L41" s="2" t="n">
        <v>0.4586946025829364</v>
      </c>
      <c r="M41" s="6" t="n">
        <v>0.1631547695012255</v>
      </c>
      <c r="N41" s="7" t="n">
        <v>100</v>
      </c>
    </row>
    <row r="42">
      <c r="A42" s="2" t="inlineStr">
        <is>
          <t>Cam Schlittler</t>
        </is>
      </c>
      <c r="B42" s="2" t="n">
        <v>3</v>
      </c>
      <c r="C42" s="2" t="n">
        <v>3</v>
      </c>
      <c r="D42" s="2" t="n">
        <v>0</v>
      </c>
      <c r="E42" s="2" t="n">
        <v>0</v>
      </c>
      <c r="F42" s="6" t="n">
        <v>1</v>
      </c>
      <c r="G42" s="6" t="n">
        <v>0.9113785525384587</v>
      </c>
      <c r="H42" s="2" t="n">
        <v>2.734135657615376</v>
      </c>
      <c r="I42" s="7" t="n">
        <v>273.4135657615376</v>
      </c>
      <c r="J42" s="6" t="n"/>
      <c r="K42" s="4" t="n">
        <v>-49.66666666666666</v>
      </c>
      <c r="L42" s="2" t="n">
        <v>0.9370511253194458</v>
      </c>
      <c r="M42" s="6" t="n">
        <v>0.2782275274253812</v>
      </c>
      <c r="N42" s="7" t="n">
        <v>100</v>
      </c>
    </row>
    <row r="43">
      <c r="A43" s="2" t="inlineStr">
        <is>
          <t>Carlos Carrasco</t>
        </is>
      </c>
      <c r="B43" s="2" t="n">
        <v>1</v>
      </c>
      <c r="C43" s="2" t="n">
        <v>1</v>
      </c>
      <c r="D43" s="2" t="n">
        <v>0</v>
      </c>
      <c r="E43" s="2" t="n">
        <v>0</v>
      </c>
      <c r="F43" s="6" t="n">
        <v>1</v>
      </c>
      <c r="G43" s="6" t="n">
        <v>1.2</v>
      </c>
      <c r="H43" s="2" t="n">
        <v>1.2</v>
      </c>
      <c r="I43" s="7" t="n">
        <v>120</v>
      </c>
      <c r="J43" s="6" t="n"/>
      <c r="K43" s="4" t="n">
        <v>120</v>
      </c>
      <c r="L43" s="2" t="n">
        <v>-0.2009729655666082</v>
      </c>
      <c r="M43" s="6" t="n">
        <v>0.08669040776213022</v>
      </c>
      <c r="N43" s="7" t="n">
        <v>100</v>
      </c>
    </row>
    <row r="44">
      <c r="A44" s="2" t="inlineStr">
        <is>
          <t>Carlos Rodón</t>
        </is>
      </c>
      <c r="B44" s="2" t="n">
        <v>5</v>
      </c>
      <c r="C44" s="2" t="n">
        <v>0</v>
      </c>
      <c r="D44" s="2" t="n">
        <v>5</v>
      </c>
      <c r="E44" s="2" t="n">
        <v>0</v>
      </c>
      <c r="F44" s="6" t="n">
        <v>0</v>
      </c>
      <c r="G44" s="6" t="n">
        <v>-1</v>
      </c>
      <c r="H44" s="2" t="n">
        <v>-5</v>
      </c>
      <c r="I44" s="7" t="n">
        <v>-500</v>
      </c>
      <c r="J44" s="6" t="n"/>
      <c r="K44" s="4" t="n">
        <v>-34.6</v>
      </c>
      <c r="L44" s="2" t="n">
        <v>0.6442668663179797</v>
      </c>
      <c r="M44" s="6" t="n">
        <v>0.2023797514966244</v>
      </c>
      <c r="N44" s="7" t="n">
        <v>100</v>
      </c>
    </row>
    <row r="45">
      <c r="A45" s="2" t="inlineStr">
        <is>
          <t>Carmen Mlodzinski</t>
        </is>
      </c>
      <c r="B45" s="2" t="n">
        <v>1</v>
      </c>
      <c r="C45" s="2" t="n">
        <v>1</v>
      </c>
      <c r="D45" s="2" t="n">
        <v>0</v>
      </c>
      <c r="E45" s="2" t="n">
        <v>0</v>
      </c>
      <c r="F45" s="6" t="n">
        <v>1</v>
      </c>
      <c r="G45" s="6" t="n">
        <v>1.08</v>
      </c>
      <c r="H45" s="2" t="n">
        <v>1.08</v>
      </c>
      <c r="I45" s="7" t="n">
        <v>108</v>
      </c>
      <c r="J45" s="6" t="n"/>
      <c r="K45" s="4" t="n">
        <v>108</v>
      </c>
      <c r="L45" s="2" t="n">
        <v>-0.07205387167070842</v>
      </c>
      <c r="M45" s="6" t="n">
        <v>0.07844694442448708</v>
      </c>
      <c r="N45" s="7" t="n">
        <v>100</v>
      </c>
    </row>
    <row r="46">
      <c r="A46" s="2" t="inlineStr">
        <is>
          <t>Carson Whisenhunt</t>
        </is>
      </c>
      <c r="B46" s="2" t="n">
        <v>1</v>
      </c>
      <c r="C46" s="2" t="n">
        <v>0</v>
      </c>
      <c r="D46" s="2" t="n">
        <v>1</v>
      </c>
      <c r="E46" s="2" t="n">
        <v>0</v>
      </c>
      <c r="F46" s="6" t="n">
        <v>0</v>
      </c>
      <c r="G46" s="6" t="n">
        <v>-1</v>
      </c>
      <c r="H46" s="2" t="n">
        <v>-1</v>
      </c>
      <c r="I46" s="7" t="n">
        <v>-100</v>
      </c>
      <c r="J46" s="6" t="n"/>
      <c r="K46" s="4" t="n">
        <v>-142</v>
      </c>
      <c r="L46" s="2" t="n">
        <v>0.681835077852222</v>
      </c>
      <c r="M46" s="6" t="n">
        <v>0.132136422152318</v>
      </c>
      <c r="N46" s="7" t="n">
        <v>100</v>
      </c>
    </row>
    <row r="47">
      <c r="A47" s="2" t="inlineStr">
        <is>
          <t>Casey Mize</t>
        </is>
      </c>
      <c r="B47" s="2" t="n">
        <v>2</v>
      </c>
      <c r="C47" s="2" t="n">
        <v>2</v>
      </c>
      <c r="D47" s="2" t="n">
        <v>0</v>
      </c>
      <c r="E47" s="2" t="n">
        <v>0</v>
      </c>
      <c r="F47" s="6" t="n">
        <v>1</v>
      </c>
      <c r="G47" s="6" t="n">
        <v>0.9347826086956522</v>
      </c>
      <c r="H47" s="2" t="n">
        <v>1.869565217391304</v>
      </c>
      <c r="I47" s="7" t="n">
        <v>186.9565217391304</v>
      </c>
      <c r="J47" s="6" t="n"/>
      <c r="K47" s="4" t="n">
        <v>-7.5</v>
      </c>
      <c r="L47" s="2" t="n">
        <v>0.1249898766892374</v>
      </c>
      <c r="M47" s="6" t="n">
        <v>0.07465883803114565</v>
      </c>
      <c r="N47" s="7" t="n">
        <v>100</v>
      </c>
    </row>
    <row r="48">
      <c r="A48" s="2" t="inlineStr">
        <is>
          <t>Charlie Morton</t>
        </is>
      </c>
      <c r="B48" s="2" t="n">
        <v>1</v>
      </c>
      <c r="C48" s="2" t="n">
        <v>1</v>
      </c>
      <c r="D48" s="2" t="n">
        <v>0</v>
      </c>
      <c r="E48" s="2" t="n">
        <v>0</v>
      </c>
      <c r="F48" s="6" t="n">
        <v>1</v>
      </c>
      <c r="G48" s="6" t="n">
        <v>0.9090909090909092</v>
      </c>
      <c r="H48" s="2" t="n">
        <v>0.9090909090909092</v>
      </c>
      <c r="I48" s="7" t="n">
        <v>90.90909090909092</v>
      </c>
      <c r="J48" s="6" t="n"/>
      <c r="K48" s="4" t="n">
        <v>-110</v>
      </c>
      <c r="L48" s="2" t="n">
        <v>0.8981779854861678</v>
      </c>
      <c r="M48" s="6" t="n">
        <v>0.3085770707936123</v>
      </c>
      <c r="N48" s="7" t="n">
        <v>100</v>
      </c>
    </row>
    <row r="49">
      <c r="A49" s="2" t="inlineStr">
        <is>
          <t>Chase Burns</t>
        </is>
      </c>
      <c r="B49" s="2" t="n">
        <v>5</v>
      </c>
      <c r="C49" s="2" t="n">
        <v>1</v>
      </c>
      <c r="D49" s="2" t="n">
        <v>4</v>
      </c>
      <c r="E49" s="2" t="n">
        <v>0</v>
      </c>
      <c r="F49" s="6" t="n">
        <v>0.2</v>
      </c>
      <c r="G49" s="6" t="n">
        <v>-0.6518518518518518</v>
      </c>
      <c r="H49" s="2" t="n">
        <v>-3.25925925925926</v>
      </c>
      <c r="I49" s="7" t="n">
        <v>-325.9259259259259</v>
      </c>
      <c r="J49" s="6" t="n"/>
      <c r="K49" s="4" t="n">
        <v>22</v>
      </c>
      <c r="L49" s="2" t="n">
        <v>0.5850127285990625</v>
      </c>
      <c r="M49" s="6" t="n">
        <v>0.2451665724613846</v>
      </c>
      <c r="N49" s="7" t="n">
        <v>100</v>
      </c>
    </row>
    <row r="50">
      <c r="A50" s="2" t="inlineStr">
        <is>
          <t>Chris Bassitt</t>
        </is>
      </c>
      <c r="B50" s="2" t="n">
        <v>10</v>
      </c>
      <c r="C50" s="2" t="n">
        <v>6</v>
      </c>
      <c r="D50" s="2" t="n">
        <v>4</v>
      </c>
      <c r="E50" s="2" t="n">
        <v>0</v>
      </c>
      <c r="F50" s="6" t="n">
        <v>0.6</v>
      </c>
      <c r="G50" s="6" t="n">
        <v>0.2427916666666667</v>
      </c>
      <c r="H50" s="2" t="n">
        <v>2.427916666666667</v>
      </c>
      <c r="I50" s="7" t="n">
        <v>242.7916666666667</v>
      </c>
      <c r="J50" s="6" t="n"/>
      <c r="K50" s="4" t="n">
        <v>70.5</v>
      </c>
      <c r="L50" s="2" t="n">
        <v>0.1545541112225253</v>
      </c>
      <c r="M50" s="6" t="n">
        <v>0.1690761845579903</v>
      </c>
      <c r="N50" s="7" t="n">
        <v>100</v>
      </c>
    </row>
    <row r="51">
      <c r="A51" s="2" t="inlineStr">
        <is>
          <t>Chris Paddack</t>
        </is>
      </c>
      <c r="B51" s="2" t="n">
        <v>4</v>
      </c>
      <c r="C51" s="2" t="n">
        <v>3</v>
      </c>
      <c r="D51" s="2" t="n">
        <v>1</v>
      </c>
      <c r="E51" s="2" t="n">
        <v>0</v>
      </c>
      <c r="F51" s="6" t="n">
        <v>0.75</v>
      </c>
      <c r="G51" s="6" t="n">
        <v>0.4576477146042364</v>
      </c>
      <c r="H51" s="2" t="n">
        <v>1.830590858416945</v>
      </c>
      <c r="I51" s="7" t="n">
        <v>183.0590858416946</v>
      </c>
      <c r="J51" s="6" t="n"/>
      <c r="K51" s="4" t="n">
        <v>-60.25</v>
      </c>
      <c r="L51" s="2" t="n">
        <v>0.2419133461100093</v>
      </c>
      <c r="M51" s="6" t="n">
        <v>0.1168890552778826</v>
      </c>
      <c r="N51" s="7" t="n">
        <v>100</v>
      </c>
    </row>
    <row r="52">
      <c r="A52" s="2" t="inlineStr">
        <is>
          <t>Chris Sale</t>
        </is>
      </c>
      <c r="B52" s="2" t="n">
        <v>15</v>
      </c>
      <c r="C52" s="2" t="n">
        <v>8</v>
      </c>
      <c r="D52" s="2" t="n">
        <v>7</v>
      </c>
      <c r="E52" s="2" t="n">
        <v>0</v>
      </c>
      <c r="F52" s="6" t="n">
        <v>0.5333333333333333</v>
      </c>
      <c r="G52" s="6" t="n">
        <v>0.0177442751231961</v>
      </c>
      <c r="H52" s="2" t="n">
        <v>0.2661641268479413</v>
      </c>
      <c r="I52" s="7" t="n">
        <v>26.61641268479414</v>
      </c>
      <c r="J52" s="6" t="n"/>
      <c r="K52" s="4" t="n">
        <v>-34.8</v>
      </c>
      <c r="L52" s="2" t="n">
        <v>0.9836262800064233</v>
      </c>
      <c r="M52" s="6" t="n">
        <v>0.2662664097602254</v>
      </c>
      <c r="N52" s="7" t="n">
        <v>100</v>
      </c>
    </row>
    <row r="53">
      <c r="A53" s="2" t="inlineStr">
        <is>
          <t>Christian Scott</t>
        </is>
      </c>
      <c r="B53" s="2" t="n">
        <v>5</v>
      </c>
      <c r="C53" s="2" t="n">
        <v>1</v>
      </c>
      <c r="D53" s="2" t="n">
        <v>4</v>
      </c>
      <c r="E53" s="2" t="n">
        <v>0</v>
      </c>
      <c r="F53" s="6" t="n">
        <v>0.2</v>
      </c>
      <c r="G53" s="6" t="n">
        <v>-0.6857142857142858</v>
      </c>
      <c r="H53" s="2" t="n">
        <v>-3.428571428571429</v>
      </c>
      <c r="I53" s="7" t="n">
        <v>-342.8571428571429</v>
      </c>
      <c r="J53" s="6" t="n"/>
      <c r="K53" s="4" t="n">
        <v>6.6</v>
      </c>
      <c r="L53" s="2" t="n">
        <v>0.3766632689712915</v>
      </c>
      <c r="M53" s="6" t="n">
        <v>0.143183152846926</v>
      </c>
      <c r="N53" s="7" t="n">
        <v>100</v>
      </c>
    </row>
    <row r="54">
      <c r="A54" s="2" t="inlineStr">
        <is>
          <t>Clay Holmes</t>
        </is>
      </c>
      <c r="B54" s="2" t="n">
        <v>9</v>
      </c>
      <c r="C54" s="2" t="n">
        <v>6</v>
      </c>
      <c r="D54" s="2" t="n">
        <v>3</v>
      </c>
      <c r="E54" s="2" t="n">
        <v>0</v>
      </c>
      <c r="F54" s="6" t="n">
        <v>0.6666666666666666</v>
      </c>
      <c r="G54" s="6" t="n">
        <v>0.349678815807848</v>
      </c>
      <c r="H54" s="2" t="n">
        <v>3.147109342270632</v>
      </c>
      <c r="I54" s="7" t="n">
        <v>314.7109342270633</v>
      </c>
      <c r="J54" s="6" t="n"/>
      <c r="K54" s="4" t="n">
        <v>9.666666666666666</v>
      </c>
      <c r="L54" s="2" t="n">
        <v>0.1797498561996674</v>
      </c>
      <c r="M54" s="6" t="n">
        <v>0.1351324768196764</v>
      </c>
      <c r="N54" s="7" t="n">
        <v>100</v>
      </c>
    </row>
    <row r="55">
      <c r="A55" s="2" t="inlineStr">
        <is>
          <t>Clayton Kershaw</t>
        </is>
      </c>
      <c r="B55" s="2" t="n">
        <v>5</v>
      </c>
      <c r="C55" s="2" t="n">
        <v>5</v>
      </c>
      <c r="D55" s="2" t="n">
        <v>0</v>
      </c>
      <c r="E55" s="2" t="n">
        <v>0</v>
      </c>
      <c r="F55" s="6" t="n">
        <v>1</v>
      </c>
      <c r="G55" s="6" t="n">
        <v>0.8931081081081081</v>
      </c>
      <c r="H55" s="2" t="n">
        <v>4.46554054054054</v>
      </c>
      <c r="I55" s="7" t="n">
        <v>446.5540540540541</v>
      </c>
      <c r="J55" s="6" t="n"/>
      <c r="K55" s="4" t="n">
        <v>-44</v>
      </c>
      <c r="L55" s="2" t="n">
        <v>0.4027957219274809</v>
      </c>
      <c r="M55" s="6" t="n">
        <v>0.1316580999274205</v>
      </c>
      <c r="N55" s="7" t="n">
        <v>100</v>
      </c>
    </row>
    <row r="56">
      <c r="A56" s="2" t="inlineStr">
        <is>
          <t>Cole Ragans</t>
        </is>
      </c>
      <c r="B56" s="2" t="n">
        <v>7</v>
      </c>
      <c r="C56" s="2" t="n">
        <v>5</v>
      </c>
      <c r="D56" s="2" t="n">
        <v>2</v>
      </c>
      <c r="E56" s="2" t="n">
        <v>0</v>
      </c>
      <c r="F56" s="6" t="n">
        <v>0.7142857142857143</v>
      </c>
      <c r="G56" s="6" t="n">
        <v>0.3608135205029614</v>
      </c>
      <c r="H56" s="2" t="n">
        <v>2.525694643520731</v>
      </c>
      <c r="I56" s="7" t="n">
        <v>252.569464352073</v>
      </c>
      <c r="J56" s="6" t="n"/>
      <c r="K56" s="4" t="n">
        <v>-26.71428571428572</v>
      </c>
      <c r="L56" s="2" t="n">
        <v>0.7818482486356533</v>
      </c>
      <c r="M56" s="6" t="n">
        <v>0.241376287811398</v>
      </c>
      <c r="N56" s="7" t="n">
        <v>100</v>
      </c>
    </row>
    <row r="57">
      <c r="A57" s="2" t="inlineStr">
        <is>
          <t>Colin Rea</t>
        </is>
      </c>
      <c r="B57" s="2" t="n">
        <v>1</v>
      </c>
      <c r="C57" s="2" t="n">
        <v>0</v>
      </c>
      <c r="D57" s="2" t="n">
        <v>1</v>
      </c>
      <c r="E57" s="2" t="n">
        <v>0</v>
      </c>
      <c r="F57" s="6" t="n">
        <v>0</v>
      </c>
      <c r="G57" s="6" t="n">
        <v>-1</v>
      </c>
      <c r="H57" s="2" t="n">
        <v>-1</v>
      </c>
      <c r="I57" s="7" t="n">
        <v>-100</v>
      </c>
      <c r="J57" s="6" t="n"/>
      <c r="K57" s="4" t="n">
        <v>-135</v>
      </c>
      <c r="L57" s="2" t="n">
        <v>0.430195453881467</v>
      </c>
      <c r="M57" s="6" t="n">
        <v>0.07090751198135603</v>
      </c>
      <c r="N57" s="7" t="n">
        <v>100</v>
      </c>
    </row>
    <row r="58">
      <c r="A58" s="2" t="inlineStr">
        <is>
          <t>Connelly Early</t>
        </is>
      </c>
      <c r="B58" s="2" t="n">
        <v>1</v>
      </c>
      <c r="C58" s="2" t="n">
        <v>1</v>
      </c>
      <c r="D58" s="2" t="n">
        <v>0</v>
      </c>
      <c r="E58" s="2" t="n">
        <v>0</v>
      </c>
      <c r="F58" s="6" t="n">
        <v>1</v>
      </c>
      <c r="G58" s="6" t="n">
        <v>1</v>
      </c>
      <c r="H58" s="2" t="n">
        <v>1</v>
      </c>
      <c r="I58" s="7" t="n">
        <v>100</v>
      </c>
      <c r="J58" s="6" t="n"/>
      <c r="K58" s="4" t="n">
        <v>100</v>
      </c>
      <c r="L58" s="2" t="n">
        <v>0.08940630646010739</v>
      </c>
      <c r="M58" s="6" t="n">
        <v>0.08860402426082814</v>
      </c>
      <c r="N58" s="7" t="n">
        <v>100</v>
      </c>
    </row>
    <row r="59">
      <c r="A59" s="2" t="inlineStr">
        <is>
          <t>Connor Prielipp</t>
        </is>
      </c>
      <c r="B59" s="2" t="n">
        <v>4</v>
      </c>
      <c r="C59" s="2" t="n">
        <v>1</v>
      </c>
      <c r="D59" s="2" t="n">
        <v>3</v>
      </c>
      <c r="E59" s="2" t="n">
        <v>0</v>
      </c>
      <c r="F59" s="6" t="n">
        <v>0.25</v>
      </c>
      <c r="G59" s="6" t="n">
        <v>-0.6002994011976048</v>
      </c>
      <c r="H59" s="2" t="n">
        <v>-2.401197604790419</v>
      </c>
      <c r="I59" s="7" t="n">
        <v>-240.1197604790419</v>
      </c>
      <c r="J59" s="6" t="n"/>
      <c r="K59" s="4" t="n">
        <v>-9.5</v>
      </c>
      <c r="L59" s="2" t="n">
        <v>0.1980217295803315</v>
      </c>
      <c r="M59" s="6" t="n">
        <v>0.09888242455420646</v>
      </c>
      <c r="N59" s="7" t="n">
        <v>100</v>
      </c>
    </row>
    <row r="60">
      <c r="A60" s="2" t="inlineStr">
        <is>
          <t>Cristian Javier</t>
        </is>
      </c>
      <c r="B60" s="2" t="n">
        <v>2</v>
      </c>
      <c r="C60" s="2" t="n">
        <v>2</v>
      </c>
      <c r="D60" s="2" t="n">
        <v>0</v>
      </c>
      <c r="E60" s="2" t="n">
        <v>0</v>
      </c>
      <c r="F60" s="6" t="n">
        <v>1</v>
      </c>
      <c r="G60" s="6" t="n">
        <v>0.9571428571428572</v>
      </c>
      <c r="H60" s="2" t="n">
        <v>1.914285714285715</v>
      </c>
      <c r="I60" s="7" t="n">
        <v>191.4285714285714</v>
      </c>
      <c r="J60" s="6" t="n"/>
      <c r="K60" s="4" t="n">
        <v>-10</v>
      </c>
      <c r="L60" s="2" t="n">
        <v>0.2729423179315047</v>
      </c>
      <c r="M60" s="6" t="n">
        <v>0.1074892391224818</v>
      </c>
      <c r="N60" s="7" t="n">
        <v>100</v>
      </c>
    </row>
    <row r="61">
      <c r="A61" s="2" t="inlineStr">
        <is>
          <t>Cristopher Sánchez</t>
        </is>
      </c>
      <c r="B61" s="2" t="n">
        <v>11</v>
      </c>
      <c r="C61" s="2" t="n">
        <v>4</v>
      </c>
      <c r="D61" s="2" t="n">
        <v>7</v>
      </c>
      <c r="E61" s="2" t="n">
        <v>0</v>
      </c>
      <c r="F61" s="6" t="n">
        <v>0.3636363636363636</v>
      </c>
      <c r="G61" s="6" t="n">
        <v>-0.3648593028667749</v>
      </c>
      <c r="H61" s="2" t="n">
        <v>-4.013452331534523</v>
      </c>
      <c r="I61" s="7" t="n">
        <v>-401.3452331534523</v>
      </c>
      <c r="J61" s="6" t="n"/>
      <c r="K61" s="4" t="n">
        <v>-42.63636363636363</v>
      </c>
      <c r="L61" s="2" t="n">
        <v>0.6630757572771743</v>
      </c>
      <c r="M61" s="6" t="n">
        <v>0.1897531403099101</v>
      </c>
      <c r="N61" s="7" t="n">
        <v>100</v>
      </c>
    </row>
    <row r="62">
      <c r="A62" s="2" t="inlineStr">
        <is>
          <t>David Peterson</t>
        </is>
      </c>
      <c r="B62" s="2" t="n">
        <v>10</v>
      </c>
      <c r="C62" s="2" t="n">
        <v>6</v>
      </c>
      <c r="D62" s="2" t="n">
        <v>4</v>
      </c>
      <c r="E62" s="2" t="n">
        <v>0</v>
      </c>
      <c r="F62" s="6" t="n">
        <v>0.6</v>
      </c>
      <c r="G62" s="6" t="n">
        <v>0.1882068551744826</v>
      </c>
      <c r="H62" s="2" t="n">
        <v>1.882068551744827</v>
      </c>
      <c r="I62" s="7" t="n">
        <v>188.2068551744826</v>
      </c>
      <c r="J62" s="6" t="n"/>
      <c r="K62" s="4" t="n">
        <v>17.9</v>
      </c>
      <c r="L62" s="2" t="n">
        <v>0.406754194985281</v>
      </c>
      <c r="M62" s="6" t="n">
        <v>0.2063345324544592</v>
      </c>
      <c r="N62" s="7" t="n">
        <v>100</v>
      </c>
    </row>
    <row r="63">
      <c r="A63" s="2" t="inlineStr">
        <is>
          <t>Dean Kremer</t>
        </is>
      </c>
      <c r="B63" s="2" t="n">
        <v>5</v>
      </c>
      <c r="C63" s="2" t="n">
        <v>4</v>
      </c>
      <c r="D63" s="2" t="n">
        <v>1</v>
      </c>
      <c r="E63" s="2" t="n">
        <v>0</v>
      </c>
      <c r="F63" s="6" t="n">
        <v>0.8</v>
      </c>
      <c r="G63" s="6" t="n">
        <v>0.5657604790419162</v>
      </c>
      <c r="H63" s="2" t="n">
        <v>2.82880239520958</v>
      </c>
      <c r="I63" s="7" t="n">
        <v>282.8802395209581</v>
      </c>
      <c r="J63" s="6" t="n"/>
      <c r="K63" s="4" t="n">
        <v>-31.8</v>
      </c>
      <c r="L63" s="2" t="n">
        <v>0.4160579904850545</v>
      </c>
      <c r="M63" s="6" t="n">
        <v>0.1667311218749013</v>
      </c>
      <c r="N63" s="7" t="n">
        <v>100</v>
      </c>
    </row>
    <row r="64">
      <c r="A64" s="2" t="inlineStr">
        <is>
          <t>Drew Rasmussen</t>
        </is>
      </c>
      <c r="B64" s="2" t="n">
        <v>4</v>
      </c>
      <c r="C64" s="2" t="n">
        <v>1</v>
      </c>
      <c r="D64" s="2" t="n">
        <v>3</v>
      </c>
      <c r="E64" s="2" t="n">
        <v>0</v>
      </c>
      <c r="F64" s="6" t="n">
        <v>0.25</v>
      </c>
      <c r="G64" s="6" t="n">
        <v>-0.5606060606060607</v>
      </c>
      <c r="H64" s="2" t="n">
        <v>-2.242424242424242</v>
      </c>
      <c r="I64" s="7" t="n">
        <v>-224.2424242424242</v>
      </c>
      <c r="J64" s="6" t="n"/>
      <c r="K64" s="4" t="n">
        <v>-14</v>
      </c>
      <c r="L64" s="2" t="n">
        <v>0.3663740228376349</v>
      </c>
      <c r="M64" s="6" t="n">
        <v>0.123267749792071</v>
      </c>
      <c r="N64" s="7" t="n">
        <v>100</v>
      </c>
    </row>
    <row r="65">
      <c r="A65" s="2" t="inlineStr">
        <is>
          <t>Dustin May</t>
        </is>
      </c>
      <c r="B65" s="2" t="n">
        <v>1</v>
      </c>
      <c r="C65" s="2" t="n">
        <v>1</v>
      </c>
      <c r="D65" s="2" t="n">
        <v>0</v>
      </c>
      <c r="E65" s="2" t="n">
        <v>0</v>
      </c>
      <c r="F65" s="6" t="n">
        <v>1</v>
      </c>
      <c r="G65" s="6" t="n">
        <v>1.05</v>
      </c>
      <c r="H65" s="2" t="n">
        <v>1.05</v>
      </c>
      <c r="I65" s="7" t="n">
        <v>105</v>
      </c>
      <c r="J65" s="6" t="n"/>
      <c r="K65" s="4" t="n">
        <v>105</v>
      </c>
      <c r="L65" s="2" t="n">
        <v>0.2352672935325062</v>
      </c>
      <c r="M65" s="6" t="n">
        <v>0.1833887458087142</v>
      </c>
      <c r="N65" s="7" t="n">
        <v>100</v>
      </c>
    </row>
    <row r="66">
      <c r="A66" s="2" t="inlineStr">
        <is>
          <t>Dylan Cease</t>
        </is>
      </c>
      <c r="B66" s="2" t="n">
        <v>8</v>
      </c>
      <c r="C66" s="2" t="n">
        <v>3</v>
      </c>
      <c r="D66" s="2" t="n">
        <v>5</v>
      </c>
      <c r="E66" s="2" t="n">
        <v>0</v>
      </c>
      <c r="F66" s="6" t="n">
        <v>0.375</v>
      </c>
      <c r="G66" s="6" t="n">
        <v>-0.3105555555555555</v>
      </c>
      <c r="H66" s="2" t="n">
        <v>-2.484444444444444</v>
      </c>
      <c r="I66" s="7" t="n">
        <v>-248.4444444444444</v>
      </c>
      <c r="J66" s="6" t="n"/>
      <c r="K66" s="4" t="n">
        <v>16.375</v>
      </c>
      <c r="L66" s="2" t="n">
        <v>0.5367877948300301</v>
      </c>
      <c r="M66" s="6" t="n">
        <v>0.1945568572019059</v>
      </c>
      <c r="N66" s="7" t="n">
        <v>100</v>
      </c>
    </row>
    <row r="67">
      <c r="A67" s="2" t="inlineStr">
        <is>
          <t>Eduardo Rodriguez</t>
        </is>
      </c>
      <c r="B67" s="2" t="n">
        <v>1</v>
      </c>
      <c r="C67" s="2" t="n">
        <v>0</v>
      </c>
      <c r="D67" s="2" t="n">
        <v>1</v>
      </c>
      <c r="E67" s="2" t="n">
        <v>0</v>
      </c>
      <c r="F67" s="6" t="n">
        <v>0</v>
      </c>
      <c r="G67" s="6" t="n">
        <v>-1</v>
      </c>
      <c r="H67" s="2" t="n">
        <v>-1</v>
      </c>
      <c r="I67" s="7" t="n">
        <v>-100</v>
      </c>
      <c r="J67" s="6" t="n"/>
      <c r="K67" s="4" t="n">
        <v>138</v>
      </c>
      <c r="L67" s="2" t="n">
        <v>-0.4244325506519093</v>
      </c>
      <c r="M67" s="6" t="n">
        <v>0.08016670195097875</v>
      </c>
      <c r="N67" s="7" t="n">
        <v>100</v>
      </c>
    </row>
    <row r="68">
      <c r="A68" s="2" t="inlineStr">
        <is>
          <t>Edward Cabrera</t>
        </is>
      </c>
      <c r="B68" s="2" t="n">
        <v>5</v>
      </c>
      <c r="C68" s="2" t="n">
        <v>5</v>
      </c>
      <c r="D68" s="2" t="n">
        <v>0</v>
      </c>
      <c r="E68" s="2" t="n">
        <v>0</v>
      </c>
      <c r="F68" s="6" t="n">
        <v>1</v>
      </c>
      <c r="G68" s="6" t="n">
        <v>0.9958822539949538</v>
      </c>
      <c r="H68" s="2" t="n">
        <v>4.979411269974769</v>
      </c>
      <c r="I68" s="7" t="n">
        <v>497.9411269974769</v>
      </c>
      <c r="J68" s="6" t="n"/>
      <c r="K68" s="4" t="n">
        <v>11.8</v>
      </c>
      <c r="L68" s="2" t="n">
        <v>0.3932011942661832</v>
      </c>
      <c r="M68" s="6" t="n">
        <v>0.1474859689940849</v>
      </c>
      <c r="N68" s="7" t="n">
        <v>100</v>
      </c>
    </row>
    <row r="69">
      <c r="A69" s="2" t="inlineStr">
        <is>
          <t>Emerson Hancock</t>
        </is>
      </c>
      <c r="B69" s="2" t="n">
        <v>1</v>
      </c>
      <c r="C69" s="2" t="n">
        <v>1</v>
      </c>
      <c r="D69" s="2" t="n">
        <v>0</v>
      </c>
      <c r="E69" s="2" t="n">
        <v>0</v>
      </c>
      <c r="F69" s="6" t="n">
        <v>1</v>
      </c>
      <c r="G69" s="6" t="n">
        <v>1.02</v>
      </c>
      <c r="H69" s="2" t="n">
        <v>1.02</v>
      </c>
      <c r="I69" s="7" t="n">
        <v>102</v>
      </c>
      <c r="J69" s="6" t="n"/>
      <c r="K69" s="4" t="n">
        <v>102</v>
      </c>
      <c r="L69" s="2" t="n">
        <v>0.4818417288497674</v>
      </c>
      <c r="M69" s="6" t="n">
        <v>0.2378045015333752</v>
      </c>
      <c r="N69" s="7" t="n">
        <v>100</v>
      </c>
    </row>
    <row r="70">
      <c r="A70" s="2" t="inlineStr">
        <is>
          <t>Emmet Sheehan</t>
        </is>
      </c>
      <c r="B70" s="2" t="n">
        <v>2</v>
      </c>
      <c r="C70" s="2" t="n">
        <v>1</v>
      </c>
      <c r="D70" s="2" t="n">
        <v>1</v>
      </c>
      <c r="E70" s="2" t="n">
        <v>0</v>
      </c>
      <c r="F70" s="6" t="n">
        <v>0.5</v>
      </c>
      <c r="G70" s="6" t="n">
        <v>0.06499999999999993</v>
      </c>
      <c r="H70" s="2" t="n">
        <v>0.1299999999999999</v>
      </c>
      <c r="I70" s="7" t="n">
        <v>12.99999999999999</v>
      </c>
      <c r="J70" s="6" t="n"/>
      <c r="K70" s="4" t="n">
        <v>1.5</v>
      </c>
      <c r="L70" s="2" t="n">
        <v>0.339987620691125</v>
      </c>
      <c r="M70" s="6" t="n">
        <v>0.1853688794266811</v>
      </c>
      <c r="N70" s="7" t="n">
        <v>100</v>
      </c>
    </row>
    <row r="71">
      <c r="A71" s="2" t="inlineStr">
        <is>
          <t>Eric Lauer</t>
        </is>
      </c>
      <c r="B71" s="2" t="n">
        <v>1</v>
      </c>
      <c r="C71" s="2" t="n">
        <v>1</v>
      </c>
      <c r="D71" s="2" t="n">
        <v>0</v>
      </c>
      <c r="E71" s="2" t="n">
        <v>0</v>
      </c>
      <c r="F71" s="6" t="n">
        <v>1</v>
      </c>
      <c r="G71" s="6" t="n">
        <v>0.9523809523809522</v>
      </c>
      <c r="H71" s="2" t="n">
        <v>0.9523809523809523</v>
      </c>
      <c r="I71" s="7" t="n">
        <v>95.23809523809523</v>
      </c>
      <c r="J71" s="6" t="n"/>
      <c r="K71" s="4" t="n">
        <v>-105</v>
      </c>
      <c r="L71" s="2" t="n">
        <v>0.3154229345416768</v>
      </c>
      <c r="M71" s="6" t="n">
        <v>0.1574235160085481</v>
      </c>
      <c r="N71" s="7" t="n">
        <v>100</v>
      </c>
    </row>
    <row r="72">
      <c r="A72" s="2" t="inlineStr">
        <is>
          <t>Erick Fedde</t>
        </is>
      </c>
      <c r="B72" s="2" t="n">
        <v>2</v>
      </c>
      <c r="C72" s="2" t="n">
        <v>2</v>
      </c>
      <c r="D72" s="2" t="n">
        <v>0</v>
      </c>
      <c r="E72" s="2" t="n">
        <v>0</v>
      </c>
      <c r="F72" s="6" t="n">
        <v>1</v>
      </c>
      <c r="G72" s="6" t="n">
        <v>0.9664556962025316</v>
      </c>
      <c r="H72" s="2" t="n">
        <v>1.932911392405063</v>
      </c>
      <c r="I72" s="7" t="n">
        <v>193.2911392405063</v>
      </c>
      <c r="J72" s="6" t="n"/>
      <c r="K72" s="4" t="n">
        <v>-14</v>
      </c>
      <c r="L72" s="2" t="n">
        <v>0.2664052949174522</v>
      </c>
      <c r="M72" s="6" t="n">
        <v>0.1111446001841444</v>
      </c>
      <c r="N72" s="7" t="n">
        <v>100</v>
      </c>
    </row>
    <row r="73">
      <c r="A73" s="2" t="inlineStr">
        <is>
          <t>Eury Pérez</t>
        </is>
      </c>
      <c r="B73" s="2" t="n">
        <v>1</v>
      </c>
      <c r="C73" s="2" t="n">
        <v>0</v>
      </c>
      <c r="D73" s="2" t="n">
        <v>1</v>
      </c>
      <c r="E73" s="2" t="n">
        <v>0</v>
      </c>
      <c r="F73" s="6" t="n">
        <v>0</v>
      </c>
      <c r="G73" s="6" t="n">
        <v>-1</v>
      </c>
      <c r="H73" s="2" t="n">
        <v>-1</v>
      </c>
      <c r="I73" s="7" t="n">
        <v>-100</v>
      </c>
      <c r="J73" s="6" t="n"/>
      <c r="K73" s="4" t="n">
        <v>138</v>
      </c>
      <c r="L73" s="2" t="n">
        <v>-0.4202399051994856</v>
      </c>
      <c r="M73" s="6" t="n">
        <v>0.09140748021586219</v>
      </c>
      <c r="N73" s="7" t="n">
        <v>100</v>
      </c>
    </row>
    <row r="74">
      <c r="A74" s="2" t="inlineStr">
        <is>
          <t>Foster Griffin</t>
        </is>
      </c>
      <c r="B74" s="2" t="n">
        <v>7</v>
      </c>
      <c r="C74" s="2" t="n">
        <v>5</v>
      </c>
      <c r="D74" s="2" t="n">
        <v>2</v>
      </c>
      <c r="E74" s="2" t="n">
        <v>0</v>
      </c>
      <c r="F74" s="6" t="n">
        <v>0.7142857142857143</v>
      </c>
      <c r="G74" s="6" t="n">
        <v>0.4117552566279221</v>
      </c>
      <c r="H74" s="2" t="n">
        <v>2.882286796395455</v>
      </c>
      <c r="I74" s="7" t="n">
        <v>288.2286796395455</v>
      </c>
      <c r="J74" s="6" t="n"/>
      <c r="K74" s="4" t="n">
        <v>13.28571428571429</v>
      </c>
      <c r="L74" s="2" t="n">
        <v>0.2214606716600975</v>
      </c>
      <c r="M74" s="6" t="n">
        <v>0.1397799438353693</v>
      </c>
      <c r="N74" s="7" t="n">
        <v>100</v>
      </c>
    </row>
    <row r="75">
      <c r="A75" s="2" t="inlineStr">
        <is>
          <t>Framber Valdez</t>
        </is>
      </c>
      <c r="B75" s="2" t="n">
        <v>6</v>
      </c>
      <c r="C75" s="2" t="n">
        <v>3</v>
      </c>
      <c r="D75" s="2" t="n">
        <v>3</v>
      </c>
      <c r="E75" s="2" t="n">
        <v>0</v>
      </c>
      <c r="F75" s="6" t="n">
        <v>0.5</v>
      </c>
      <c r="G75" s="6" t="n">
        <v>-0.0008010335917312971</v>
      </c>
      <c r="H75" s="2" t="n">
        <v>-0.004806201550387801</v>
      </c>
      <c r="I75" s="7" t="n">
        <v>-0.4806201550387783</v>
      </c>
      <c r="J75" s="6" t="n"/>
      <c r="K75" s="4" t="n">
        <v>-10</v>
      </c>
      <c r="L75" s="2" t="n">
        <v>0.5671109134370886</v>
      </c>
      <c r="M75" s="6" t="n">
        <v>0.1990444806637207</v>
      </c>
      <c r="N75" s="7" t="n">
        <v>100</v>
      </c>
    </row>
    <row r="76">
      <c r="A76" s="2" t="inlineStr">
        <is>
          <t>Freddy Peralta</t>
        </is>
      </c>
      <c r="B76" s="2" t="n">
        <v>20</v>
      </c>
      <c r="C76" s="2" t="n">
        <v>11</v>
      </c>
      <c r="D76" s="2" t="n">
        <v>9</v>
      </c>
      <c r="E76" s="2" t="n">
        <v>0</v>
      </c>
      <c r="F76" s="6" t="n">
        <v>0.55</v>
      </c>
      <c r="G76" s="6" t="n">
        <v>0.03358557709716185</v>
      </c>
      <c r="H76" s="2" t="n">
        <v>0.6717115419432371</v>
      </c>
      <c r="I76" s="7" t="n">
        <v>67.17115419432371</v>
      </c>
      <c r="J76" s="6" t="n"/>
      <c r="K76" s="4" t="n">
        <v>-12.7</v>
      </c>
      <c r="L76" s="2" t="n">
        <v>0.4887892417144367</v>
      </c>
      <c r="M76" s="6" t="n">
        <v>0.1551922343320539</v>
      </c>
      <c r="N76" s="7" t="n">
        <v>100</v>
      </c>
    </row>
    <row r="77">
      <c r="A77" s="2" t="inlineStr">
        <is>
          <t>Garrett Crochet</t>
        </is>
      </c>
      <c r="B77" s="2" t="n">
        <v>16</v>
      </c>
      <c r="C77" s="2" t="n">
        <v>7</v>
      </c>
      <c r="D77" s="2" t="n">
        <v>9</v>
      </c>
      <c r="E77" s="2" t="n">
        <v>0</v>
      </c>
      <c r="F77" s="6" t="n">
        <v>0.4375</v>
      </c>
      <c r="G77" s="6" t="n">
        <v>-0.1239588216193517</v>
      </c>
      <c r="H77" s="2" t="n">
        <v>-1.983341145909627</v>
      </c>
      <c r="I77" s="7" t="n">
        <v>-198.3341145909627</v>
      </c>
      <c r="J77" s="6" t="n"/>
      <c r="K77" s="4" t="n">
        <v>-2.125</v>
      </c>
      <c r="L77" s="2" t="n">
        <v>0.4968752505115565</v>
      </c>
      <c r="M77" s="6" t="n">
        <v>0.1837353965699587</v>
      </c>
      <c r="N77" s="7" t="n">
        <v>100</v>
      </c>
    </row>
    <row r="78">
      <c r="A78" s="2" t="inlineStr">
        <is>
          <t>Gavin Williams</t>
        </is>
      </c>
      <c r="B78" s="2" t="n">
        <v>7</v>
      </c>
      <c r="C78" s="2" t="n">
        <v>5</v>
      </c>
      <c r="D78" s="2" t="n">
        <v>2</v>
      </c>
      <c r="E78" s="2" t="n">
        <v>0</v>
      </c>
      <c r="F78" s="6" t="n">
        <v>0.7142857142857143</v>
      </c>
      <c r="G78" s="6" t="n">
        <v>0.4111019837704474</v>
      </c>
      <c r="H78" s="2" t="n">
        <v>2.877713886393131</v>
      </c>
      <c r="I78" s="7" t="n">
        <v>287.7713886393132</v>
      </c>
      <c r="J78" s="6" t="n"/>
      <c r="K78" s="4" t="n">
        <v>-22.85714285714286</v>
      </c>
      <c r="L78" s="2" t="n">
        <v>0.6263114100825448</v>
      </c>
      <c r="M78" s="6" t="n">
        <v>0.2189131019926299</v>
      </c>
      <c r="N78" s="7" t="n">
        <v>100</v>
      </c>
    </row>
    <row r="79">
      <c r="A79" s="2" t="inlineStr">
        <is>
          <t>George Kirby</t>
        </is>
      </c>
      <c r="B79" s="2" t="n">
        <v>7</v>
      </c>
      <c r="C79" s="2" t="n">
        <v>3</v>
      </c>
      <c r="D79" s="2" t="n">
        <v>4</v>
      </c>
      <c r="E79" s="2" t="n">
        <v>0</v>
      </c>
      <c r="F79" s="6" t="n">
        <v>0.4285714285714285</v>
      </c>
      <c r="G79" s="6" t="n">
        <v>-0.1764810559985584</v>
      </c>
      <c r="H79" s="2" t="n">
        <v>-1.235367391989908</v>
      </c>
      <c r="I79" s="7" t="n">
        <v>-123.5367391989909</v>
      </c>
      <c r="J79" s="6" t="n"/>
      <c r="K79" s="4" t="n">
        <v>-22.71428571428572</v>
      </c>
      <c r="L79" s="2" t="n">
        <v>0.4688128863151287</v>
      </c>
      <c r="M79" s="6" t="n">
        <v>0.1628526224339384</v>
      </c>
      <c r="N79" s="7" t="n">
        <v>100</v>
      </c>
    </row>
    <row r="80">
      <c r="A80" s="2" t="inlineStr">
        <is>
          <t>Gerrit Cole</t>
        </is>
      </c>
      <c r="B80" s="2" t="n">
        <v>4</v>
      </c>
      <c r="C80" s="2" t="n">
        <v>3</v>
      </c>
      <c r="D80" s="2" t="n">
        <v>1</v>
      </c>
      <c r="E80" s="2" t="n">
        <v>0</v>
      </c>
      <c r="F80" s="6" t="n">
        <v>0.75</v>
      </c>
      <c r="G80" s="6" t="n">
        <v>0.5748913043478261</v>
      </c>
      <c r="H80" s="2" t="n">
        <v>2.299565217391304</v>
      </c>
      <c r="I80" s="7" t="n">
        <v>229.9565217391304</v>
      </c>
      <c r="J80" s="6" t="n"/>
      <c r="K80" s="4" t="n">
        <v>5.5</v>
      </c>
      <c r="L80" s="2" t="n">
        <v>0.1342418017199076</v>
      </c>
      <c r="M80" s="6" t="n">
        <v>0.1276830867982435</v>
      </c>
      <c r="N80" s="7" t="n">
        <v>100</v>
      </c>
    </row>
    <row r="81">
      <c r="A81" s="2" t="inlineStr">
        <is>
          <t>Grant Holmes</t>
        </is>
      </c>
      <c r="B81" s="2" t="n">
        <v>5</v>
      </c>
      <c r="C81" s="2" t="n">
        <v>5</v>
      </c>
      <c r="D81" s="2" t="n">
        <v>0</v>
      </c>
      <c r="E81" s="2" t="n">
        <v>0</v>
      </c>
      <c r="F81" s="6" t="n">
        <v>1</v>
      </c>
      <c r="G81" s="6" t="n">
        <v>1.023123297754877</v>
      </c>
      <c r="H81" s="2" t="n">
        <v>5.115616488774384</v>
      </c>
      <c r="I81" s="7" t="n">
        <v>511.5616488774384</v>
      </c>
      <c r="J81" s="6" t="n"/>
      <c r="K81" s="4" t="n">
        <v>11.2</v>
      </c>
      <c r="L81" s="2" t="n">
        <v>0.2827777370033259</v>
      </c>
      <c r="M81" s="6" t="n">
        <v>0.140018420592203</v>
      </c>
      <c r="N81" s="7" t="n">
        <v>100</v>
      </c>
    </row>
    <row r="82">
      <c r="A82" s="2" t="inlineStr">
        <is>
          <t>Grayson Rodriguez</t>
        </is>
      </c>
      <c r="B82" s="2" t="n">
        <v>2</v>
      </c>
      <c r="C82" s="2" t="n">
        <v>2</v>
      </c>
      <c r="D82" s="2" t="n">
        <v>0</v>
      </c>
      <c r="E82" s="2" t="n">
        <v>0</v>
      </c>
      <c r="F82" s="6" t="n">
        <v>1</v>
      </c>
      <c r="G82" s="6" t="n">
        <v>0.9325806451612901</v>
      </c>
      <c r="H82" s="2" t="n">
        <v>1.86516129032258</v>
      </c>
      <c r="I82" s="7" t="n">
        <v>186.516129032258</v>
      </c>
      <c r="J82" s="6" t="n"/>
      <c r="K82" s="4" t="n">
        <v>-16.5</v>
      </c>
      <c r="L82" s="2" t="n">
        <v>0.3485535918686278</v>
      </c>
      <c r="M82" s="6" t="n">
        <v>0.1157934292204531</v>
      </c>
      <c r="N82" s="7" t="n">
        <v>100</v>
      </c>
    </row>
    <row r="83">
      <c r="A83" s="2" t="inlineStr">
        <is>
          <t>Griffin Canning</t>
        </is>
      </c>
      <c r="B83" s="2" t="n">
        <v>1</v>
      </c>
      <c r="C83" s="2" t="n">
        <v>1</v>
      </c>
      <c r="D83" s="2" t="n">
        <v>0</v>
      </c>
      <c r="E83" s="2" t="n">
        <v>0</v>
      </c>
      <c r="F83" s="6" t="n">
        <v>1</v>
      </c>
      <c r="G83" s="6" t="n">
        <v>0.8</v>
      </c>
      <c r="H83" s="2" t="n">
        <v>0.8</v>
      </c>
      <c r="I83" s="7" t="n">
        <v>80</v>
      </c>
      <c r="J83" s="6" t="n"/>
      <c r="K83" s="4" t="n">
        <v>-125</v>
      </c>
      <c r="L83" s="2" t="n">
        <v>0.3701851959683866</v>
      </c>
      <c r="M83" s="6" t="n">
        <v>0.08628729914289324</v>
      </c>
      <c r="N83" s="7" t="n">
        <v>100</v>
      </c>
    </row>
    <row r="84">
      <c r="A84" s="2" t="inlineStr">
        <is>
          <t>Griffin Jax</t>
        </is>
      </c>
      <c r="B84" s="2" t="n">
        <v>6</v>
      </c>
      <c r="C84" s="2" t="n">
        <v>5</v>
      </c>
      <c r="D84" s="2" t="n">
        <v>1</v>
      </c>
      <c r="E84" s="2" t="n">
        <v>0</v>
      </c>
      <c r="F84" s="6" t="n">
        <v>0.8333333333333334</v>
      </c>
      <c r="G84" s="6" t="n">
        <v>0.6086684097218615</v>
      </c>
      <c r="H84" s="2" t="n">
        <v>3.652010458331169</v>
      </c>
      <c r="I84" s="7" t="n">
        <v>365.201045833117</v>
      </c>
      <c r="J84" s="6" t="n"/>
      <c r="K84" s="4" t="n">
        <v>-10.5</v>
      </c>
      <c r="L84" s="2" t="n">
        <v>0.5272845654461081</v>
      </c>
      <c r="M84" s="6" t="n">
        <v>0.2193219727427368</v>
      </c>
      <c r="N84" s="7" t="n">
        <v>100</v>
      </c>
    </row>
    <row r="85">
      <c r="A85" s="2" t="inlineStr">
        <is>
          <t>Hunter Greene</t>
        </is>
      </c>
      <c r="B85" s="2" t="n">
        <v>2</v>
      </c>
      <c r="C85" s="2" t="n">
        <v>1</v>
      </c>
      <c r="D85" s="2" t="n">
        <v>1</v>
      </c>
      <c r="E85" s="2" t="n">
        <v>0</v>
      </c>
      <c r="F85" s="6" t="n">
        <v>0.5</v>
      </c>
      <c r="G85" s="6" t="n">
        <v>0.08999999999999986</v>
      </c>
      <c r="H85" s="2" t="n">
        <v>0.1799999999999997</v>
      </c>
      <c r="I85" s="7" t="n">
        <v>17.99999999999997</v>
      </c>
      <c r="J85" s="6" t="n"/>
      <c r="K85" s="4" t="n">
        <v>120</v>
      </c>
      <c r="L85" s="2" t="n">
        <v>0.02516260603350506</v>
      </c>
      <c r="M85" s="6" t="n">
        <v>0.1652002200191779</v>
      </c>
      <c r="N85" s="7" t="n">
        <v>100</v>
      </c>
    </row>
    <row r="86">
      <c r="A86" s="2" t="inlineStr">
        <is>
          <t>Hurston Waldrep</t>
        </is>
      </c>
      <c r="B86" s="2" t="n">
        <v>6</v>
      </c>
      <c r="C86" s="2" t="n">
        <v>1</v>
      </c>
      <c r="D86" s="2" t="n">
        <v>5</v>
      </c>
      <c r="E86" s="2" t="n">
        <v>0</v>
      </c>
      <c r="F86" s="6" t="n">
        <v>0.1666666666666667</v>
      </c>
      <c r="G86" s="6" t="n">
        <v>-0.7222222222222223</v>
      </c>
      <c r="H86" s="2" t="n">
        <v>-4.333333333333334</v>
      </c>
      <c r="I86" s="7" t="n">
        <v>-433.3333333333334</v>
      </c>
      <c r="J86" s="6" t="n"/>
      <c r="K86" s="4" t="n">
        <v>-16.16666666666667</v>
      </c>
      <c r="L86" s="2" t="n">
        <v>0.3179544225649704</v>
      </c>
      <c r="M86" s="6" t="n">
        <v>0.1178901860503185</v>
      </c>
      <c r="N86" s="7" t="n">
        <v>100</v>
      </c>
    </row>
    <row r="87">
      <c r="A87" s="2" t="inlineStr">
        <is>
          <t>J.T. Ginn</t>
        </is>
      </c>
      <c r="B87" s="2" t="n">
        <v>1</v>
      </c>
      <c r="C87" s="2" t="n">
        <v>1</v>
      </c>
      <c r="D87" s="2" t="n">
        <v>0</v>
      </c>
      <c r="E87" s="2" t="n">
        <v>0</v>
      </c>
      <c r="F87" s="6" t="n">
        <v>1</v>
      </c>
      <c r="G87" s="6" t="n">
        <v>1.04</v>
      </c>
      <c r="H87" s="2" t="n">
        <v>1.04</v>
      </c>
      <c r="I87" s="7" t="n">
        <v>104</v>
      </c>
      <c r="J87" s="6" t="n"/>
      <c r="K87" s="4" t="n">
        <v>104</v>
      </c>
      <c r="L87" s="2" t="n">
        <v>-0.02544234169286419</v>
      </c>
      <c r="M87" s="6" t="n">
        <v>0.07565394959428318</v>
      </c>
      <c r="N87" s="7" t="n">
        <v>100</v>
      </c>
    </row>
    <row r="88">
      <c r="A88" s="2" t="inlineStr">
        <is>
          <t>Jack Flaherty</t>
        </is>
      </c>
      <c r="B88" s="2" t="n">
        <v>30</v>
      </c>
      <c r="C88" s="2" t="n">
        <v>15</v>
      </c>
      <c r="D88" s="2" t="n">
        <v>15</v>
      </c>
      <c r="E88" s="2" t="n">
        <v>0</v>
      </c>
      <c r="F88" s="6" t="n">
        <v>0.5</v>
      </c>
      <c r="G88" s="6" t="n">
        <v>-0.03554190290293188</v>
      </c>
      <c r="H88" s="2" t="n">
        <v>-1.066257087087956</v>
      </c>
      <c r="I88" s="7" t="n">
        <v>-106.6257087087956</v>
      </c>
      <c r="J88" s="6" t="n"/>
      <c r="K88" s="4" t="n">
        <v>2.1</v>
      </c>
      <c r="L88" s="2" t="n">
        <v>0.4146774410423286</v>
      </c>
      <c r="M88" s="6" t="n">
        <v>0.1803087075462973</v>
      </c>
      <c r="N88" s="7" t="n">
        <v>100</v>
      </c>
    </row>
    <row r="89">
      <c r="A89" s="2" t="inlineStr">
        <is>
          <t>Jack Leiter</t>
        </is>
      </c>
      <c r="B89" s="2" t="n">
        <v>4</v>
      </c>
      <c r="C89" s="2" t="n">
        <v>2</v>
      </c>
      <c r="D89" s="2" t="n">
        <v>2</v>
      </c>
      <c r="E89" s="2" t="n">
        <v>0</v>
      </c>
      <c r="F89" s="6" t="n">
        <v>0.5</v>
      </c>
      <c r="G89" s="6" t="n">
        <v>-0.06190476190476193</v>
      </c>
      <c r="H89" s="2" t="n">
        <v>-0.2476190476190476</v>
      </c>
      <c r="I89" s="7" t="n">
        <v>-24.76190476190477</v>
      </c>
      <c r="J89" s="6" t="n"/>
      <c r="K89" s="4" t="n">
        <v>-60</v>
      </c>
      <c r="L89" s="2" t="n">
        <v>0.3838257319345504</v>
      </c>
      <c r="M89" s="6" t="n">
        <v>0.1426122775099939</v>
      </c>
      <c r="N89" s="7" t="n">
        <v>100</v>
      </c>
    </row>
    <row r="90">
      <c r="A90" s="2" t="inlineStr">
        <is>
          <t>Jacob Lopez</t>
        </is>
      </c>
      <c r="B90" s="2" t="n">
        <v>10</v>
      </c>
      <c r="C90" s="2" t="n">
        <v>5</v>
      </c>
      <c r="D90" s="2" t="n">
        <v>5</v>
      </c>
      <c r="E90" s="2" t="n">
        <v>0</v>
      </c>
      <c r="F90" s="6" t="n">
        <v>0.5</v>
      </c>
      <c r="G90" s="6" t="n">
        <v>-0.04238673087845846</v>
      </c>
      <c r="H90" s="2" t="n">
        <v>-0.4238673087845848</v>
      </c>
      <c r="I90" s="7" t="n">
        <v>-42.38673087845847</v>
      </c>
      <c r="J90" s="6" t="n"/>
      <c r="K90" s="4" t="n">
        <v>-53.9</v>
      </c>
      <c r="L90" s="2" t="n">
        <v>0.5765035113160765</v>
      </c>
      <c r="M90" s="6" t="n">
        <v>0.1990852955926114</v>
      </c>
      <c r="N90" s="7" t="n">
        <v>100</v>
      </c>
    </row>
    <row r="91">
      <c r="A91" s="2" t="inlineStr">
        <is>
          <t>Jacob Misiorowski</t>
        </is>
      </c>
      <c r="B91" s="2" t="n">
        <v>2</v>
      </c>
      <c r="C91" s="2" t="n">
        <v>0</v>
      </c>
      <c r="D91" s="2" t="n">
        <v>2</v>
      </c>
      <c r="E91" s="2" t="n">
        <v>0</v>
      </c>
      <c r="F91" s="6" t="n">
        <v>0</v>
      </c>
      <c r="G91" s="6" t="n">
        <v>-1</v>
      </c>
      <c r="H91" s="2" t="n">
        <v>-2</v>
      </c>
      <c r="I91" s="7" t="n">
        <v>-200</v>
      </c>
      <c r="J91" s="6" t="n"/>
      <c r="K91" s="4" t="n">
        <v>-113.5</v>
      </c>
      <c r="L91" s="2" t="n">
        <v>1.41586070271055</v>
      </c>
      <c r="M91" s="6" t="n">
        <v>0.3627528440883486</v>
      </c>
      <c r="N91" s="7" t="n">
        <v>100</v>
      </c>
    </row>
    <row r="92">
      <c r="A92" s="2" t="inlineStr">
        <is>
          <t>Jacob deGrom</t>
        </is>
      </c>
      <c r="B92" s="2" t="n">
        <v>9</v>
      </c>
      <c r="C92" s="2" t="n">
        <v>3</v>
      </c>
      <c r="D92" s="2" t="n">
        <v>6</v>
      </c>
      <c r="E92" s="2" t="n">
        <v>0</v>
      </c>
      <c r="F92" s="6" t="n">
        <v>0.3333333333333333</v>
      </c>
      <c r="G92" s="6" t="n">
        <v>-0.3740322028091813</v>
      </c>
      <c r="H92" s="2" t="n">
        <v>-3.366289825282631</v>
      </c>
      <c r="I92" s="7" t="n">
        <v>-336.6289825282631</v>
      </c>
      <c r="J92" s="6" t="n"/>
      <c r="K92" s="4" t="n">
        <v>-23.22222222222222</v>
      </c>
      <c r="L92" s="2" t="n">
        <v>0.5969204155578539</v>
      </c>
      <c r="M92" s="6" t="n">
        <v>0.185050573764843</v>
      </c>
      <c r="N92" s="7" t="n">
        <v>100</v>
      </c>
    </row>
    <row r="93">
      <c r="A93" s="2" t="inlineStr">
        <is>
          <t>Jake Irvin</t>
        </is>
      </c>
      <c r="B93" s="2" t="n">
        <v>1</v>
      </c>
      <c r="C93" s="2" t="n">
        <v>1</v>
      </c>
      <c r="D93" s="2" t="n">
        <v>0</v>
      </c>
      <c r="E93" s="2" t="n">
        <v>0</v>
      </c>
      <c r="F93" s="6" t="n">
        <v>1</v>
      </c>
      <c r="G93" s="6" t="n">
        <v>0.9615384615384616</v>
      </c>
      <c r="H93" s="2" t="n">
        <v>0.9615384615384617</v>
      </c>
      <c r="I93" s="7" t="n">
        <v>96.15384615384616</v>
      </c>
      <c r="J93" s="6" t="n"/>
      <c r="K93" s="4" t="n">
        <v>-104</v>
      </c>
      <c r="L93" s="2" t="n">
        <v>0.1979696453481035</v>
      </c>
      <c r="M93" s="6" t="n">
        <v>0.118166565016906</v>
      </c>
      <c r="N93" s="7" t="n">
        <v>100</v>
      </c>
    </row>
    <row r="94">
      <c r="A94" s="2" t="inlineStr">
        <is>
          <t>Jameson Taillon</t>
        </is>
      </c>
      <c r="B94" s="2" t="n">
        <v>6</v>
      </c>
      <c r="C94" s="2" t="n">
        <v>3</v>
      </c>
      <c r="D94" s="2" t="n">
        <v>3</v>
      </c>
      <c r="E94" s="2" t="n">
        <v>0</v>
      </c>
      <c r="F94" s="6" t="n">
        <v>0.5</v>
      </c>
      <c r="G94" s="6" t="n">
        <v>-0.01751141552511416</v>
      </c>
      <c r="H94" s="2" t="n">
        <v>-0.1050684931506849</v>
      </c>
      <c r="I94" s="7" t="n">
        <v>-10.50684931506849</v>
      </c>
      <c r="J94" s="6" t="n"/>
      <c r="K94" s="4" t="n">
        <v>71.33333333333333</v>
      </c>
      <c r="L94" s="2" t="n">
        <v>0.08949015640680351</v>
      </c>
      <c r="M94" s="6" t="n">
        <v>0.1200417435575402</v>
      </c>
      <c r="N94" s="7" t="n">
        <v>100</v>
      </c>
    </row>
    <row r="95">
      <c r="A95" s="2" t="inlineStr">
        <is>
          <t>Janson Junk</t>
        </is>
      </c>
      <c r="B95" s="2" t="n">
        <v>2</v>
      </c>
      <c r="C95" s="2" t="n">
        <v>1</v>
      </c>
      <c r="D95" s="2" t="n">
        <v>1</v>
      </c>
      <c r="E95" s="2" t="n">
        <v>0</v>
      </c>
      <c r="F95" s="6" t="n">
        <v>0.5</v>
      </c>
      <c r="G95" s="6" t="n">
        <v>-0.02380952380952387</v>
      </c>
      <c r="H95" s="2" t="n">
        <v>-0.04761904761904767</v>
      </c>
      <c r="I95" s="7" t="n">
        <v>-4.761904761904773</v>
      </c>
      <c r="J95" s="6" t="n"/>
      <c r="K95" s="4" t="n">
        <v>10</v>
      </c>
      <c r="L95" s="2" t="n">
        <v>-0.07794864568975024</v>
      </c>
      <c r="M95" s="6" t="n">
        <v>0.08079135532954351</v>
      </c>
      <c r="N95" s="7" t="n">
        <v>100</v>
      </c>
    </row>
    <row r="96">
      <c r="A96" s="2" t="inlineStr">
        <is>
          <t>Javier Assad</t>
        </is>
      </c>
      <c r="B96" s="2" t="n">
        <v>2</v>
      </c>
      <c r="C96" s="2" t="n">
        <v>2</v>
      </c>
      <c r="D96" s="2" t="n">
        <v>0</v>
      </c>
      <c r="E96" s="2" t="n">
        <v>0</v>
      </c>
      <c r="F96" s="6" t="n">
        <v>1</v>
      </c>
      <c r="G96" s="6" t="n">
        <v>0.7614942528735633</v>
      </c>
      <c r="H96" s="2" t="n">
        <v>1.522988505747127</v>
      </c>
      <c r="I96" s="7" t="n">
        <v>152.2988505747127</v>
      </c>
      <c r="J96" s="6" t="n"/>
      <c r="K96" s="4" t="n">
        <v>-132.5</v>
      </c>
      <c r="L96" s="2" t="n">
        <v>0.3727182358284844</v>
      </c>
      <c r="M96" s="6" t="n">
        <v>0.07154908035188912</v>
      </c>
      <c r="N96" s="7" t="n">
        <v>100</v>
      </c>
    </row>
    <row r="97">
      <c r="A97" s="2" t="inlineStr">
        <is>
          <t>Jeffrey Springs</t>
        </is>
      </c>
      <c r="B97" s="2" t="n">
        <v>8</v>
      </c>
      <c r="C97" s="2" t="n">
        <v>4</v>
      </c>
      <c r="D97" s="2" t="n">
        <v>4</v>
      </c>
      <c r="E97" s="2" t="n">
        <v>0</v>
      </c>
      <c r="F97" s="6" t="n">
        <v>0.5</v>
      </c>
      <c r="G97" s="6" t="n">
        <v>-0.06747983870967744</v>
      </c>
      <c r="H97" s="2" t="n">
        <v>-0.5398387096774195</v>
      </c>
      <c r="I97" s="7" t="n">
        <v>-53.98387096774195</v>
      </c>
      <c r="J97" s="6" t="n"/>
      <c r="K97" s="4" t="n">
        <v>15.625</v>
      </c>
      <c r="L97" s="2" t="n">
        <v>0.2631418067988895</v>
      </c>
      <c r="M97" s="6" t="n">
        <v>0.1219559724548976</v>
      </c>
      <c r="N97" s="7" t="n">
        <v>100</v>
      </c>
    </row>
    <row r="98">
      <c r="A98" s="2" t="inlineStr">
        <is>
          <t>Jesús Luzardo</t>
        </is>
      </c>
      <c r="B98" s="2" t="n">
        <v>6</v>
      </c>
      <c r="C98" s="2" t="n">
        <v>2</v>
      </c>
      <c r="D98" s="2" t="n">
        <v>4</v>
      </c>
      <c r="E98" s="2" t="n">
        <v>0</v>
      </c>
      <c r="F98" s="6" t="n">
        <v>0.3333333333333333</v>
      </c>
      <c r="G98" s="6" t="n">
        <v>-0.2833333333333334</v>
      </c>
      <c r="H98" s="2" t="n">
        <v>-1.7</v>
      </c>
      <c r="I98" s="7" t="n">
        <v>-170</v>
      </c>
      <c r="J98" s="6" t="n"/>
      <c r="K98" s="4" t="n">
        <v>41.5</v>
      </c>
      <c r="L98" s="2" t="n">
        <v>0.3228875012798033</v>
      </c>
      <c r="M98" s="6" t="n">
        <v>0.1991440701906137</v>
      </c>
      <c r="N98" s="7" t="n">
        <v>100</v>
      </c>
    </row>
    <row r="99">
      <c r="A99" s="2" t="inlineStr">
        <is>
          <t>Joe Ryan</t>
        </is>
      </c>
      <c r="B99" s="2" t="n">
        <v>26</v>
      </c>
      <c r="C99" s="2" t="n">
        <v>12</v>
      </c>
      <c r="D99" s="2" t="n">
        <v>14</v>
      </c>
      <c r="E99" s="2" t="n">
        <v>0</v>
      </c>
      <c r="F99" s="6" t="n">
        <v>0.4615384615384616</v>
      </c>
      <c r="G99" s="6" t="n">
        <v>-0.09792265840101198</v>
      </c>
      <c r="H99" s="2" t="n">
        <v>-2.545989118426312</v>
      </c>
      <c r="I99" s="7" t="n">
        <v>-254.5989118426312</v>
      </c>
      <c r="J99" s="6" t="n"/>
      <c r="K99" s="4" t="n">
        <v>-19.76923076923077</v>
      </c>
      <c r="L99" s="2" t="n">
        <v>0.547985938592865</v>
      </c>
      <c r="M99" s="6" t="n">
        <v>0.1823018785293749</v>
      </c>
      <c r="N99" s="7" t="n">
        <v>100</v>
      </c>
    </row>
    <row r="100">
      <c r="A100" s="2" t="inlineStr">
        <is>
          <t>Joey Cantillo</t>
        </is>
      </c>
      <c r="B100" s="2" t="n">
        <v>12</v>
      </c>
      <c r="C100" s="2" t="n">
        <v>6</v>
      </c>
      <c r="D100" s="2" t="n">
        <v>6</v>
      </c>
      <c r="E100" s="2" t="n">
        <v>0</v>
      </c>
      <c r="F100" s="6" t="n">
        <v>0.5</v>
      </c>
      <c r="G100" s="6" t="n">
        <v>-0.004966356107660428</v>
      </c>
      <c r="H100" s="2" t="n">
        <v>-0.05959627329192507</v>
      </c>
      <c r="I100" s="7" t="n">
        <v>-5.959627329192514</v>
      </c>
      <c r="J100" s="6" t="n"/>
      <c r="K100" s="4" t="n">
        <v>13.16666666666667</v>
      </c>
      <c r="L100" s="2" t="n">
        <v>0.2396176100830966</v>
      </c>
      <c r="M100" s="6" t="n">
        <v>0.1333548413505295</v>
      </c>
      <c r="N100" s="7" t="n">
        <v>100</v>
      </c>
    </row>
    <row r="101">
      <c r="A101" s="2" t="inlineStr">
        <is>
          <t>Joey Wentz</t>
        </is>
      </c>
      <c r="B101" s="2" t="n">
        <v>2</v>
      </c>
      <c r="C101" s="2" t="n">
        <v>2</v>
      </c>
      <c r="D101" s="2" t="n">
        <v>0</v>
      </c>
      <c r="E101" s="2" t="n">
        <v>0</v>
      </c>
      <c r="F101" s="6" t="n">
        <v>1</v>
      </c>
      <c r="G101" s="6" t="n">
        <v>0.7290847102019407</v>
      </c>
      <c r="H101" s="2" t="n">
        <v>1.458169420403881</v>
      </c>
      <c r="I101" s="7" t="n">
        <v>145.8169420403881</v>
      </c>
      <c r="J101" s="6" t="n"/>
      <c r="K101" s="4" t="n">
        <v>-139</v>
      </c>
      <c r="L101" s="2" t="n">
        <v>0.7256290812720274</v>
      </c>
      <c r="M101" s="6" t="n">
        <v>0.1473779327666592</v>
      </c>
      <c r="N101" s="7" t="n">
        <v>100</v>
      </c>
    </row>
    <row r="102">
      <c r="A102" s="2" t="inlineStr">
        <is>
          <t>Jonah Tong</t>
        </is>
      </c>
      <c r="B102" s="2" t="n">
        <v>5</v>
      </c>
      <c r="C102" s="2" t="n">
        <v>3</v>
      </c>
      <c r="D102" s="2" t="n">
        <v>2</v>
      </c>
      <c r="E102" s="2" t="n">
        <v>0</v>
      </c>
      <c r="F102" s="6" t="n">
        <v>0.6</v>
      </c>
      <c r="G102" s="6" t="n">
        <v>0.06832323232323222</v>
      </c>
      <c r="H102" s="2" t="n">
        <v>0.3416161616161613</v>
      </c>
      <c r="I102" s="7" t="n">
        <v>34.16161616161611</v>
      </c>
      <c r="J102" s="6" t="n"/>
      <c r="K102" s="4" t="n">
        <v>-41.4</v>
      </c>
      <c r="L102" s="2" t="n">
        <v>0.937770349109679</v>
      </c>
      <c r="M102" s="6" t="n">
        <v>0.2820590929556092</v>
      </c>
      <c r="N102" s="7" t="n">
        <v>100</v>
      </c>
    </row>
    <row r="103">
      <c r="A103" s="2" t="inlineStr">
        <is>
          <t>Jose Quintana</t>
        </is>
      </c>
      <c r="B103" s="2" t="n">
        <v>1</v>
      </c>
      <c r="C103" s="2" t="n">
        <v>1</v>
      </c>
      <c r="D103" s="2" t="n">
        <v>0</v>
      </c>
      <c r="E103" s="2" t="n">
        <v>0</v>
      </c>
      <c r="F103" s="6" t="n">
        <v>1</v>
      </c>
      <c r="G103" s="6" t="n">
        <v>0.9523809523809522</v>
      </c>
      <c r="H103" s="2" t="n">
        <v>0.9523809523809523</v>
      </c>
      <c r="I103" s="7" t="n">
        <v>95.23809523809523</v>
      </c>
      <c r="J103" s="6" t="n"/>
      <c r="K103" s="4" t="n">
        <v>-105</v>
      </c>
      <c r="L103" s="2" t="n">
        <v>0.2411926855895485</v>
      </c>
      <c r="M103" s="6" t="n">
        <v>0.1292785471881838</v>
      </c>
      <c r="N103" s="7" t="n">
        <v>100</v>
      </c>
    </row>
    <row r="104">
      <c r="A104" s="2" t="inlineStr">
        <is>
          <t>José Soriano</t>
        </is>
      </c>
      <c r="B104" s="2" t="n">
        <v>1</v>
      </c>
      <c r="C104" s="2" t="n">
        <v>0</v>
      </c>
      <c r="D104" s="2" t="n">
        <v>1</v>
      </c>
      <c r="E104" s="2" t="n">
        <v>0</v>
      </c>
      <c r="F104" s="6" t="n">
        <v>0</v>
      </c>
      <c r="G104" s="6" t="n">
        <v>-1</v>
      </c>
      <c r="H104" s="2" t="n">
        <v>-1</v>
      </c>
      <c r="I104" s="7" t="n">
        <v>-100</v>
      </c>
      <c r="J104" s="6" t="n"/>
      <c r="K104" s="4" t="n">
        <v>-117</v>
      </c>
      <c r="L104" s="2" t="n">
        <v>0.4947494580508218</v>
      </c>
      <c r="M104" s="6" t="n">
        <v>0.1407140209051467</v>
      </c>
      <c r="N104" s="7" t="n">
        <v>100</v>
      </c>
    </row>
    <row r="105">
      <c r="A105" s="2" t="inlineStr">
        <is>
          <t>Kai-Wei Teng</t>
        </is>
      </c>
      <c r="B105" s="2" t="n">
        <v>1</v>
      </c>
      <c r="C105" s="2" t="n">
        <v>0</v>
      </c>
      <c r="D105" s="2" t="n">
        <v>1</v>
      </c>
      <c r="E105" s="2" t="n">
        <v>0</v>
      </c>
      <c r="F105" s="6" t="n">
        <v>0</v>
      </c>
      <c r="G105" s="6" t="n">
        <v>-1</v>
      </c>
      <c r="H105" s="2" t="n">
        <v>-1</v>
      </c>
      <c r="I105" s="7" t="n">
        <v>-100</v>
      </c>
      <c r="J105" s="6" t="n"/>
      <c r="K105" s="4" t="n">
        <v>-112</v>
      </c>
      <c r="L105" s="2" t="n">
        <v>0.266511409307844</v>
      </c>
      <c r="M105" s="6" t="n">
        <v>0.1041442877244172</v>
      </c>
      <c r="N105" s="7" t="n">
        <v>100</v>
      </c>
    </row>
    <row r="106">
      <c r="A106" s="2" t="inlineStr">
        <is>
          <t>Keider Montero</t>
        </is>
      </c>
      <c r="B106" s="2" t="n">
        <v>1</v>
      </c>
      <c r="C106" s="2" t="n">
        <v>0</v>
      </c>
      <c r="D106" s="2" t="n">
        <v>1</v>
      </c>
      <c r="E106" s="2" t="n">
        <v>0</v>
      </c>
      <c r="F106" s="6" t="n">
        <v>0</v>
      </c>
      <c r="G106" s="6" t="n">
        <v>-1</v>
      </c>
      <c r="H106" s="2" t="n">
        <v>-1</v>
      </c>
      <c r="I106" s="7" t="n">
        <v>-100</v>
      </c>
      <c r="J106" s="6" t="n"/>
      <c r="K106" s="4" t="n">
        <v>120</v>
      </c>
      <c r="L106" s="2" t="n">
        <v>-0.114345339638295</v>
      </c>
      <c r="M106" s="6" t="n">
        <v>0.1267780293890174</v>
      </c>
      <c r="N106" s="7" t="n">
        <v>100</v>
      </c>
    </row>
    <row r="107">
      <c r="A107" s="2" t="inlineStr">
        <is>
          <t>Kevin Gausman</t>
        </is>
      </c>
      <c r="B107" s="2" t="n">
        <v>20</v>
      </c>
      <c r="C107" s="2" t="n">
        <v>10</v>
      </c>
      <c r="D107" s="2" t="n">
        <v>10</v>
      </c>
      <c r="E107" s="2" t="n">
        <v>0</v>
      </c>
      <c r="F107" s="6" t="n">
        <v>0.5</v>
      </c>
      <c r="G107" s="6" t="n">
        <v>-0.05193499084383625</v>
      </c>
      <c r="H107" s="2" t="n">
        <v>-1.038699816876725</v>
      </c>
      <c r="I107" s="7" t="n">
        <v>-103.8699816876725</v>
      </c>
      <c r="J107" s="6" t="n"/>
      <c r="K107" s="4" t="n">
        <v>-45.8</v>
      </c>
      <c r="L107" s="2" t="n">
        <v>0.4562041488613353</v>
      </c>
      <c r="M107" s="6" t="n">
        <v>0.1343996161750887</v>
      </c>
      <c r="N107" s="7" t="n">
        <v>100</v>
      </c>
    </row>
    <row r="108">
      <c r="A108" s="2" t="inlineStr">
        <is>
          <t>Kodai Senga</t>
        </is>
      </c>
      <c r="B108" s="2" t="n">
        <v>18</v>
      </c>
      <c r="C108" s="2" t="n">
        <v>11</v>
      </c>
      <c r="D108" s="2" t="n">
        <v>7</v>
      </c>
      <c r="E108" s="2" t="n">
        <v>0</v>
      </c>
      <c r="F108" s="6" t="n">
        <v>0.6111111111111112</v>
      </c>
      <c r="G108" s="6" t="n">
        <v>0.2328421918035444</v>
      </c>
      <c r="H108" s="2" t="n">
        <v>4.1911594524638</v>
      </c>
      <c r="I108" s="7" t="n">
        <v>419.11594524638</v>
      </c>
      <c r="J108" s="6" t="n"/>
      <c r="K108" s="4" t="n">
        <v>-10</v>
      </c>
      <c r="L108" s="2" t="n">
        <v>0.5533716489823723</v>
      </c>
      <c r="M108" s="6" t="n">
        <v>0.2099215098860005</v>
      </c>
      <c r="N108" s="7" t="n">
        <v>100</v>
      </c>
    </row>
    <row r="109">
      <c r="A109" s="2" t="inlineStr">
        <is>
          <t>Kris Bubic</t>
        </is>
      </c>
      <c r="B109" s="2" t="n">
        <v>8</v>
      </c>
      <c r="C109" s="2" t="n">
        <v>3</v>
      </c>
      <c r="D109" s="2" t="n">
        <v>5</v>
      </c>
      <c r="E109" s="2" t="n">
        <v>0</v>
      </c>
      <c r="F109" s="6" t="n">
        <v>0.375</v>
      </c>
      <c r="G109" s="6" t="n">
        <v>-0.2796969696969697</v>
      </c>
      <c r="H109" s="2" t="n">
        <v>-2.237575757575757</v>
      </c>
      <c r="I109" s="7" t="n">
        <v>-223.7575757575758</v>
      </c>
      <c r="J109" s="6" t="n"/>
      <c r="K109" s="4" t="n">
        <v>-38.375</v>
      </c>
      <c r="L109" s="2" t="n">
        <v>0.7029298594671308</v>
      </c>
      <c r="M109" s="6" t="n">
        <v>0.2349036378403541</v>
      </c>
      <c r="N109" s="7" t="n">
        <v>100</v>
      </c>
    </row>
    <row r="110">
      <c r="A110" s="2" t="inlineStr">
        <is>
          <t>Kumar Rocker</t>
        </is>
      </c>
      <c r="B110" s="2" t="n">
        <v>1</v>
      </c>
      <c r="C110" s="2" t="n">
        <v>1</v>
      </c>
      <c r="D110" s="2" t="n">
        <v>0</v>
      </c>
      <c r="E110" s="2" t="n">
        <v>0</v>
      </c>
      <c r="F110" s="6" t="n">
        <v>1</v>
      </c>
      <c r="G110" s="6" t="n">
        <v>0.925925925925926</v>
      </c>
      <c r="H110" s="2" t="n">
        <v>0.925925925925926</v>
      </c>
      <c r="I110" s="7" t="n">
        <v>92.59259259259261</v>
      </c>
      <c r="J110" s="6" t="n"/>
      <c r="K110" s="4" t="n">
        <v>-108</v>
      </c>
      <c r="L110" s="2" t="n">
        <v>0.1889993611405121</v>
      </c>
      <c r="M110" s="6" t="n">
        <v>0.09452813007114781</v>
      </c>
      <c r="N110" s="7" t="n">
        <v>100</v>
      </c>
    </row>
    <row r="111">
      <c r="A111" s="2" t="inlineStr">
        <is>
          <t>Kyle Bradish</t>
        </is>
      </c>
      <c r="B111" s="2" t="n">
        <v>2</v>
      </c>
      <c r="C111" s="2" t="n">
        <v>2</v>
      </c>
      <c r="D111" s="2" t="n">
        <v>0</v>
      </c>
      <c r="E111" s="2" t="n">
        <v>0</v>
      </c>
      <c r="F111" s="6" t="n">
        <v>1</v>
      </c>
      <c r="G111" s="6" t="n">
        <v>0.9901960784313727</v>
      </c>
      <c r="H111" s="2" t="n">
        <v>1.980392156862745</v>
      </c>
      <c r="I111" s="7" t="n">
        <v>198.0392156862745</v>
      </c>
      <c r="J111" s="6" t="n"/>
      <c r="K111" s="4" t="n">
        <v>-1</v>
      </c>
      <c r="L111" s="2" t="n">
        <v>0.3018381000949009</v>
      </c>
      <c r="M111" s="6" t="n">
        <v>0.1572502038574643</v>
      </c>
      <c r="N111" s="7" t="n">
        <v>100</v>
      </c>
    </row>
    <row r="112">
      <c r="A112" s="2" t="inlineStr">
        <is>
          <t>Kyle Freeland</t>
        </is>
      </c>
      <c r="B112" s="2" t="n">
        <v>1</v>
      </c>
      <c r="C112" s="2" t="n">
        <v>1</v>
      </c>
      <c r="D112" s="2" t="n">
        <v>0</v>
      </c>
      <c r="E112" s="2" t="n">
        <v>0</v>
      </c>
      <c r="F112" s="6" t="n">
        <v>1</v>
      </c>
      <c r="G112" s="6" t="n">
        <v>1.1</v>
      </c>
      <c r="H112" s="2" t="n">
        <v>1.1</v>
      </c>
      <c r="I112" s="7" t="n">
        <v>110</v>
      </c>
      <c r="J112" s="6" t="n"/>
      <c r="K112" s="4" t="n">
        <v>110</v>
      </c>
      <c r="L112" s="2" t="n">
        <v>0.3580043488011624</v>
      </c>
      <c r="M112" s="6" t="n">
        <v>0.2623490199456341</v>
      </c>
      <c r="N112" s="7" t="n">
        <v>100</v>
      </c>
    </row>
    <row r="113">
      <c r="A113" s="2" t="inlineStr">
        <is>
          <t>Kyle Harrison</t>
        </is>
      </c>
      <c r="B113" s="2" t="n">
        <v>11</v>
      </c>
      <c r="C113" s="2" t="n">
        <v>5</v>
      </c>
      <c r="D113" s="2" t="n">
        <v>6</v>
      </c>
      <c r="E113" s="2" t="n">
        <v>0</v>
      </c>
      <c r="F113" s="6" t="n">
        <v>0.4545454545454545</v>
      </c>
      <c r="G113" s="6" t="n">
        <v>-0.1384626814832765</v>
      </c>
      <c r="H113" s="2" t="n">
        <v>-1.52308949631604</v>
      </c>
      <c r="I113" s="7" t="n">
        <v>-152.3089496316041</v>
      </c>
      <c r="J113" s="6" t="n"/>
      <c r="K113" s="4" t="n">
        <v>-4</v>
      </c>
      <c r="L113" s="2" t="n">
        <v>0.7992017559222346</v>
      </c>
      <c r="M113" s="6" t="n">
        <v>0.2626312663179595</v>
      </c>
      <c r="N113" s="7" t="n">
        <v>100</v>
      </c>
    </row>
    <row r="114">
      <c r="A114" s="2" t="inlineStr">
        <is>
          <t>Kyle Leahy</t>
        </is>
      </c>
      <c r="B114" s="2" t="n">
        <v>6</v>
      </c>
      <c r="C114" s="2" t="n">
        <v>2</v>
      </c>
      <c r="D114" s="2" t="n">
        <v>4</v>
      </c>
      <c r="E114" s="2" t="n">
        <v>0</v>
      </c>
      <c r="F114" s="6" t="n">
        <v>0.3333333333333333</v>
      </c>
      <c r="G114" s="6" t="n">
        <v>-0.3467391304347827</v>
      </c>
      <c r="H114" s="2" t="n">
        <v>-2.080434782608696</v>
      </c>
      <c r="I114" s="7" t="n">
        <v>-208.0434782608696</v>
      </c>
      <c r="J114" s="6" t="n"/>
      <c r="K114" s="4" t="n">
        <v>32.5</v>
      </c>
      <c r="L114" s="2" t="n">
        <v>0.3630364462913692</v>
      </c>
      <c r="M114" s="6" t="n">
        <v>0.236642321720428</v>
      </c>
      <c r="N114" s="7" t="n">
        <v>100</v>
      </c>
    </row>
    <row r="115">
      <c r="A115" s="2" t="inlineStr">
        <is>
          <t>Lance McCullers Jr.</t>
        </is>
      </c>
      <c r="B115" s="2" t="n">
        <v>5</v>
      </c>
      <c r="C115" s="2" t="n">
        <v>5</v>
      </c>
      <c r="D115" s="2" t="n">
        <v>0</v>
      </c>
      <c r="E115" s="2" t="n">
        <v>0</v>
      </c>
      <c r="F115" s="6" t="n">
        <v>1</v>
      </c>
      <c r="G115" s="6" t="n">
        <v>1.012871193456194</v>
      </c>
      <c r="H115" s="2" t="n">
        <v>5.06435596728097</v>
      </c>
      <c r="I115" s="7" t="n">
        <v>506.4355967280969</v>
      </c>
      <c r="J115" s="6" t="n"/>
      <c r="K115" s="4" t="n">
        <v>16.2</v>
      </c>
      <c r="L115" s="2" t="n">
        <v>0.5651792948269877</v>
      </c>
      <c r="M115" s="6" t="n">
        <v>0.2264079225295727</v>
      </c>
      <c r="N115" s="7" t="n">
        <v>100</v>
      </c>
    </row>
    <row r="116">
      <c r="A116" s="2" t="inlineStr">
        <is>
          <t>Landen Roupp</t>
        </is>
      </c>
      <c r="B116" s="2" t="n">
        <v>9</v>
      </c>
      <c r="C116" s="2" t="n">
        <v>3</v>
      </c>
      <c r="D116" s="2" t="n">
        <v>6</v>
      </c>
      <c r="E116" s="2" t="n">
        <v>0</v>
      </c>
      <c r="F116" s="6" t="n">
        <v>0.3333333333333333</v>
      </c>
      <c r="G116" s="6" t="n">
        <v>-0.3625619249823072</v>
      </c>
      <c r="H116" s="2" t="n">
        <v>-3.263057324840764</v>
      </c>
      <c r="I116" s="7" t="n">
        <v>-326.3057324840764</v>
      </c>
      <c r="J116" s="6" t="n"/>
      <c r="K116" s="4" t="n">
        <v>22.88888888888889</v>
      </c>
      <c r="L116" s="2" t="n">
        <v>0.4236416206797238</v>
      </c>
      <c r="M116" s="6" t="n">
        <v>0.1704498177915837</v>
      </c>
      <c r="N116" s="7" t="n">
        <v>100</v>
      </c>
    </row>
    <row r="117">
      <c r="A117" s="2" t="inlineStr">
        <is>
          <t>Logan Gilbert</t>
        </is>
      </c>
      <c r="B117" s="2" t="n">
        <v>23</v>
      </c>
      <c r="C117" s="2" t="n">
        <v>12</v>
      </c>
      <c r="D117" s="2" t="n">
        <v>11</v>
      </c>
      <c r="E117" s="2" t="n">
        <v>0</v>
      </c>
      <c r="F117" s="6" t="n">
        <v>0.5217391304347826</v>
      </c>
      <c r="G117" s="6" t="n">
        <v>0.04747198958004058</v>
      </c>
      <c r="H117" s="2" t="n">
        <v>1.091855760340933</v>
      </c>
      <c r="I117" s="7" t="n">
        <v>109.1855760340933</v>
      </c>
      <c r="J117" s="6" t="n"/>
      <c r="K117" s="4" t="n">
        <v>11.56521739130435</v>
      </c>
      <c r="L117" s="2" t="n">
        <v>0.5880980246894489</v>
      </c>
      <c r="M117" s="6" t="n">
        <v>0.2353509286249292</v>
      </c>
      <c r="N117" s="7" t="n">
        <v>100</v>
      </c>
    </row>
    <row r="118">
      <c r="A118" s="2" t="inlineStr">
        <is>
          <t>Logan Henderson</t>
        </is>
      </c>
      <c r="B118" s="2" t="n">
        <v>1</v>
      </c>
      <c r="C118" s="2" t="n">
        <v>0</v>
      </c>
      <c r="D118" s="2" t="n">
        <v>1</v>
      </c>
      <c r="E118" s="2" t="n">
        <v>0</v>
      </c>
      <c r="F118" s="6" t="n">
        <v>0</v>
      </c>
      <c r="G118" s="6" t="n">
        <v>-1</v>
      </c>
      <c r="H118" s="2" t="n">
        <v>-1</v>
      </c>
      <c r="I118" s="7" t="n">
        <v>-100</v>
      </c>
      <c r="J118" s="6" t="n"/>
      <c r="K118" s="4" t="n">
        <v>-110</v>
      </c>
      <c r="L118" s="2" t="n">
        <v>0.4419989521387011</v>
      </c>
      <c r="M118" s="6" t="n">
        <v>0.1564976781689853</v>
      </c>
      <c r="N118" s="7" t="n">
        <v>100</v>
      </c>
    </row>
    <row r="119">
      <c r="A119" s="2" t="inlineStr">
        <is>
          <t>Logan Webb</t>
        </is>
      </c>
      <c r="B119" s="2" t="n">
        <v>13</v>
      </c>
      <c r="C119" s="2" t="n">
        <v>5</v>
      </c>
      <c r="D119" s="2" t="n">
        <v>8</v>
      </c>
      <c r="E119" s="2" t="n">
        <v>0</v>
      </c>
      <c r="F119" s="6" t="n">
        <v>0.3846153846153846</v>
      </c>
      <c r="G119" s="6" t="n">
        <v>-0.2418711018711019</v>
      </c>
      <c r="H119" s="2" t="n">
        <v>-3.144324324324325</v>
      </c>
      <c r="I119" s="7" t="n">
        <v>-314.4324324324325</v>
      </c>
      <c r="J119" s="6" t="n"/>
      <c r="K119" s="4" t="n">
        <v>-19.38461538461538</v>
      </c>
      <c r="L119" s="2" t="n">
        <v>0.4554721894282689</v>
      </c>
      <c r="M119" s="6" t="n">
        <v>0.1552021673826439</v>
      </c>
      <c r="N119" s="7" t="n">
        <v>100</v>
      </c>
    </row>
    <row r="120">
      <c r="A120" s="2" t="inlineStr">
        <is>
          <t>Lucas Giolito</t>
        </is>
      </c>
      <c r="B120" s="2" t="n">
        <v>4</v>
      </c>
      <c r="C120" s="2" t="n">
        <v>2</v>
      </c>
      <c r="D120" s="2" t="n">
        <v>2</v>
      </c>
      <c r="E120" s="2" t="n">
        <v>0</v>
      </c>
      <c r="F120" s="6" t="n">
        <v>0.5</v>
      </c>
      <c r="G120" s="6" t="n">
        <v>-0.1648351648351649</v>
      </c>
      <c r="H120" s="2" t="n">
        <v>-0.6593406593406594</v>
      </c>
      <c r="I120" s="7" t="n">
        <v>-65.93406593406594</v>
      </c>
      <c r="J120" s="6" t="n"/>
      <c r="K120" s="4" t="n">
        <v>-81.25</v>
      </c>
      <c r="L120" s="2" t="n">
        <v>0.6065370318466101</v>
      </c>
      <c r="M120" s="6" t="n">
        <v>0.1328413091263796</v>
      </c>
      <c r="N120" s="7" t="n">
        <v>100</v>
      </c>
    </row>
    <row r="121">
      <c r="A121" s="2" t="inlineStr">
        <is>
          <t>Luis Castillo</t>
        </is>
      </c>
      <c r="B121" s="2" t="n">
        <v>2</v>
      </c>
      <c r="C121" s="2" t="n">
        <v>1</v>
      </c>
      <c r="D121" s="2" t="n">
        <v>1</v>
      </c>
      <c r="E121" s="2" t="n">
        <v>0</v>
      </c>
      <c r="F121" s="6" t="n">
        <v>0.5</v>
      </c>
      <c r="G121" s="6" t="n">
        <v>-0.05357142857142861</v>
      </c>
      <c r="H121" s="2" t="n">
        <v>-0.1071428571428572</v>
      </c>
      <c r="I121" s="7" t="n">
        <v>-10.71428571428572</v>
      </c>
      <c r="J121" s="6" t="n"/>
      <c r="K121" s="4" t="n">
        <v>-6</v>
      </c>
      <c r="L121" s="2" t="n">
        <v>0.3716565852918623</v>
      </c>
      <c r="M121" s="6" t="n">
        <v>0.1556421708063401</v>
      </c>
      <c r="N121" s="7" t="n">
        <v>100</v>
      </c>
    </row>
    <row r="122">
      <c r="A122" s="2" t="inlineStr">
        <is>
          <t>MacKenzie Gore</t>
        </is>
      </c>
      <c r="B122" s="2" t="n">
        <v>16</v>
      </c>
      <c r="C122" s="2" t="n">
        <v>9</v>
      </c>
      <c r="D122" s="2" t="n">
        <v>7</v>
      </c>
      <c r="E122" s="2" t="n">
        <v>0</v>
      </c>
      <c r="F122" s="6" t="n">
        <v>0.5625</v>
      </c>
      <c r="G122" s="6" t="n">
        <v>0.05840897341905404</v>
      </c>
      <c r="H122" s="2" t="n">
        <v>0.9345435747048647</v>
      </c>
      <c r="I122" s="7" t="n">
        <v>93.45435747048646</v>
      </c>
      <c r="J122" s="6" t="n"/>
      <c r="K122" s="4" t="n">
        <v>-13.1875</v>
      </c>
      <c r="L122" s="2" t="n">
        <v>0.6781204360589026</v>
      </c>
      <c r="M122" s="6" t="n">
        <v>0.2212730768954213</v>
      </c>
      <c r="N122" s="7" t="n">
        <v>100</v>
      </c>
    </row>
    <row r="123">
      <c r="A123" s="2" t="inlineStr">
        <is>
          <t>Martín Pérez</t>
        </is>
      </c>
      <c r="B123" s="2" t="n">
        <v>2</v>
      </c>
      <c r="C123" s="2" t="n">
        <v>2</v>
      </c>
      <c r="D123" s="2" t="n">
        <v>0</v>
      </c>
      <c r="E123" s="2" t="n">
        <v>0</v>
      </c>
      <c r="F123" s="6" t="n">
        <v>1</v>
      </c>
      <c r="G123" s="6" t="n">
        <v>0.9783333333333333</v>
      </c>
      <c r="H123" s="2" t="n">
        <v>1.956666666666667</v>
      </c>
      <c r="I123" s="7" t="n">
        <v>195.6666666666667</v>
      </c>
      <c r="J123" s="6" t="n"/>
      <c r="K123" s="4" t="n">
        <v>-10.5</v>
      </c>
      <c r="L123" s="2" t="n">
        <v>0.2653407286947469</v>
      </c>
      <c r="M123" s="6" t="n">
        <v>0.1246489027691161</v>
      </c>
      <c r="N123" s="7" t="n">
        <v>100</v>
      </c>
    </row>
    <row r="124">
      <c r="A124" s="2" t="inlineStr">
        <is>
          <t>Matthew Boyd</t>
        </is>
      </c>
      <c r="B124" s="2" t="n">
        <v>12</v>
      </c>
      <c r="C124" s="2" t="n">
        <v>7</v>
      </c>
      <c r="D124" s="2" t="n">
        <v>5</v>
      </c>
      <c r="E124" s="2" t="n">
        <v>0</v>
      </c>
      <c r="F124" s="6" t="n">
        <v>0.5833333333333334</v>
      </c>
      <c r="G124" s="6" t="n">
        <v>0.09727202012758385</v>
      </c>
      <c r="H124" s="2" t="n">
        <v>1.167264241531006</v>
      </c>
      <c r="I124" s="7" t="n">
        <v>116.7264241531006</v>
      </c>
      <c r="J124" s="6" t="n"/>
      <c r="K124" s="4" t="n">
        <v>-11.83333333333333</v>
      </c>
      <c r="L124" s="2" t="n">
        <v>0.6610823883738407</v>
      </c>
      <c r="M124" s="6" t="n">
        <v>0.2361211610774215</v>
      </c>
      <c r="N124" s="7" t="n">
        <v>100</v>
      </c>
    </row>
    <row r="125">
      <c r="A125" s="2" t="inlineStr">
        <is>
          <t>Matthew Liberatore</t>
        </is>
      </c>
      <c r="B125" s="2" t="n">
        <v>7</v>
      </c>
      <c r="C125" s="2" t="n">
        <v>3</v>
      </c>
      <c r="D125" s="2" t="n">
        <v>4</v>
      </c>
      <c r="E125" s="2" t="n">
        <v>0</v>
      </c>
      <c r="F125" s="6" t="n">
        <v>0.4285714285714285</v>
      </c>
      <c r="G125" s="6" t="n">
        <v>-0.1908434255802677</v>
      </c>
      <c r="H125" s="2" t="n">
        <v>-1.335903979061874</v>
      </c>
      <c r="I125" s="7" t="n">
        <v>-133.5903979061874</v>
      </c>
      <c r="J125" s="6" t="n"/>
      <c r="K125" s="4" t="n">
        <v>-27.28571428571428</v>
      </c>
      <c r="L125" s="2" t="n">
        <v>0.5462372940346646</v>
      </c>
      <c r="M125" s="6" t="n">
        <v>0.2259725805123203</v>
      </c>
      <c r="N125" s="7" t="n">
        <v>100</v>
      </c>
    </row>
    <row r="126">
      <c r="A126" s="2" t="inlineStr">
        <is>
          <t>Max Fried</t>
        </is>
      </c>
      <c r="B126" s="2" t="n">
        <v>6</v>
      </c>
      <c r="C126" s="2" t="n">
        <v>4</v>
      </c>
      <c r="D126" s="2" t="n">
        <v>2</v>
      </c>
      <c r="E126" s="2" t="n">
        <v>0</v>
      </c>
      <c r="F126" s="6" t="n">
        <v>0.6666666666666666</v>
      </c>
      <c r="G126" s="6" t="n">
        <v>0.3437373737373737</v>
      </c>
      <c r="H126" s="2" t="n">
        <v>2.062424242424242</v>
      </c>
      <c r="I126" s="7" t="n">
        <v>206.2424242424242</v>
      </c>
      <c r="J126" s="6" t="n"/>
      <c r="K126" s="4" t="n">
        <v>-39.33333333333334</v>
      </c>
      <c r="L126" s="2" t="n">
        <v>0.515404909315457</v>
      </c>
      <c r="M126" s="6" t="n">
        <v>0.2000318417348316</v>
      </c>
      <c r="N126" s="7" t="n">
        <v>100</v>
      </c>
    </row>
    <row r="127">
      <c r="A127" s="2" t="inlineStr">
        <is>
          <t>Max Meyer</t>
        </is>
      </c>
      <c r="B127" s="2" t="n">
        <v>5</v>
      </c>
      <c r="C127" s="2" t="n">
        <v>2</v>
      </c>
      <c r="D127" s="2" t="n">
        <v>3</v>
      </c>
      <c r="E127" s="2" t="n">
        <v>0</v>
      </c>
      <c r="F127" s="6" t="n">
        <v>0.4</v>
      </c>
      <c r="G127" s="6" t="n">
        <v>-0.2601098901098901</v>
      </c>
      <c r="H127" s="2" t="n">
        <v>-1.300549450549451</v>
      </c>
      <c r="I127" s="7" t="n">
        <v>-130.0549450549451</v>
      </c>
      <c r="J127" s="6" t="n"/>
      <c r="K127" s="4" t="n">
        <v>-40.4</v>
      </c>
      <c r="L127" s="2" t="n">
        <v>0.508397888184939</v>
      </c>
      <c r="M127" s="6" t="n">
        <v>0.1441161827149037</v>
      </c>
      <c r="N127" s="7" t="n">
        <v>100</v>
      </c>
    </row>
    <row r="128">
      <c r="A128" s="2" t="inlineStr">
        <is>
          <t>Max Scherzer</t>
        </is>
      </c>
      <c r="B128" s="2" t="n">
        <v>11</v>
      </c>
      <c r="C128" s="2" t="n">
        <v>10</v>
      </c>
      <c r="D128" s="2" t="n">
        <v>1</v>
      </c>
      <c r="E128" s="2" t="n">
        <v>0</v>
      </c>
      <c r="F128" s="6" t="n">
        <v>0.9090909090909091</v>
      </c>
      <c r="G128" s="6" t="n">
        <v>0.7460112610190237</v>
      </c>
      <c r="H128" s="2" t="n">
        <v>8.206123871209261</v>
      </c>
      <c r="I128" s="7" t="n">
        <v>820.6123871209261</v>
      </c>
      <c r="J128" s="6" t="n"/>
      <c r="K128" s="4" t="n">
        <v>-20.90909090909091</v>
      </c>
      <c r="L128" s="2" t="n">
        <v>0.4974072354059537</v>
      </c>
      <c r="M128" s="6" t="n">
        <v>0.1759184429285647</v>
      </c>
      <c r="N128" s="7" t="n">
        <v>100</v>
      </c>
    </row>
    <row r="129">
      <c r="A129" s="2" t="inlineStr">
        <is>
          <t>McCade Brown</t>
        </is>
      </c>
      <c r="B129" s="2" t="n">
        <v>1</v>
      </c>
      <c r="C129" s="2" t="n">
        <v>1</v>
      </c>
      <c r="D129" s="2" t="n">
        <v>0</v>
      </c>
      <c r="E129" s="2" t="n">
        <v>0</v>
      </c>
      <c r="F129" s="6" t="n">
        <v>1</v>
      </c>
      <c r="G129" s="6" t="n">
        <v>0.8333333333333335</v>
      </c>
      <c r="H129" s="2" t="n">
        <v>0.8333333333333335</v>
      </c>
      <c r="I129" s="7" t="n">
        <v>83.33333333333334</v>
      </c>
      <c r="J129" s="6" t="n"/>
      <c r="K129" s="4" t="n">
        <v>-120</v>
      </c>
      <c r="L129" s="2" t="n">
        <v>0.2683148246872706</v>
      </c>
      <c r="M129" s="6" t="n">
        <v>0.07006451107261974</v>
      </c>
      <c r="N129" s="7" t="n">
        <v>100</v>
      </c>
    </row>
    <row r="130">
      <c r="A130" s="2" t="inlineStr">
        <is>
          <t>Merrill Kelly</t>
        </is>
      </c>
      <c r="B130" s="2" t="n">
        <v>5</v>
      </c>
      <c r="C130" s="2" t="n">
        <v>4</v>
      </c>
      <c r="D130" s="2" t="n">
        <v>1</v>
      </c>
      <c r="E130" s="2" t="n">
        <v>0</v>
      </c>
      <c r="F130" s="6" t="n">
        <v>0.8</v>
      </c>
      <c r="G130" s="6" t="n">
        <v>0.6047261904761905</v>
      </c>
      <c r="H130" s="2" t="n">
        <v>3.023630952380953</v>
      </c>
      <c r="I130" s="7" t="n">
        <v>302.3630952380952</v>
      </c>
      <c r="J130" s="6" t="n"/>
      <c r="K130" s="4" t="n">
        <v>27.4</v>
      </c>
      <c r="L130" s="2" t="n">
        <v>0.06576380302428095</v>
      </c>
      <c r="M130" s="6" t="n">
        <v>0.1129929670597725</v>
      </c>
      <c r="N130" s="7" t="n">
        <v>100</v>
      </c>
    </row>
    <row r="131">
      <c r="A131" s="2" t="inlineStr">
        <is>
          <t>Michael King</t>
        </is>
      </c>
      <c r="B131" s="2" t="n">
        <v>6</v>
      </c>
      <c r="C131" s="2" t="n">
        <v>6</v>
      </c>
      <c r="D131" s="2" t="n">
        <v>0</v>
      </c>
      <c r="E131" s="2" t="n">
        <v>0</v>
      </c>
      <c r="F131" s="6" t="n">
        <v>1</v>
      </c>
      <c r="G131" s="6" t="n">
        <v>1.078366519357134</v>
      </c>
      <c r="H131" s="2" t="n">
        <v>6.470199116142807</v>
      </c>
      <c r="I131" s="7" t="n">
        <v>647.0199116142807</v>
      </c>
      <c r="J131" s="6" t="n"/>
      <c r="K131" s="4" t="n">
        <v>37</v>
      </c>
      <c r="L131" s="2" t="n">
        <v>0.4541613455722409</v>
      </c>
      <c r="M131" s="6" t="n">
        <v>0.2375031646580059</v>
      </c>
      <c r="N131" s="7" t="n">
        <v>100</v>
      </c>
    </row>
    <row r="132">
      <c r="A132" s="2" t="inlineStr">
        <is>
          <t>Michael Soroka</t>
        </is>
      </c>
      <c r="B132" s="2" t="n">
        <v>7</v>
      </c>
      <c r="C132" s="2" t="n">
        <v>2</v>
      </c>
      <c r="D132" s="2" t="n">
        <v>5</v>
      </c>
      <c r="E132" s="2" t="n">
        <v>0</v>
      </c>
      <c r="F132" s="6" t="n">
        <v>0.2857142857142857</v>
      </c>
      <c r="G132" s="6" t="n">
        <v>-0.4361904761904762</v>
      </c>
      <c r="H132" s="2" t="n">
        <v>-3.053333333333333</v>
      </c>
      <c r="I132" s="7" t="n">
        <v>-305.3333333333333</v>
      </c>
      <c r="J132" s="6" t="n"/>
      <c r="K132" s="4" t="n">
        <v>8.428571428571429</v>
      </c>
      <c r="L132" s="2" t="n">
        <v>0.3578028489199153</v>
      </c>
      <c r="M132" s="6" t="n">
        <v>0.1696581129630566</v>
      </c>
      <c r="N132" s="7" t="n">
        <v>100</v>
      </c>
    </row>
    <row r="133">
      <c r="A133" s="2" t="inlineStr">
        <is>
          <t>Michael Wacha</t>
        </is>
      </c>
      <c r="B133" s="2" t="n">
        <v>2</v>
      </c>
      <c r="C133" s="2" t="n">
        <v>0</v>
      </c>
      <c r="D133" s="2" t="n">
        <v>2</v>
      </c>
      <c r="E133" s="2" t="n">
        <v>0</v>
      </c>
      <c r="F133" s="6" t="n">
        <v>0</v>
      </c>
      <c r="G133" s="6" t="n">
        <v>-1</v>
      </c>
      <c r="H133" s="2" t="n">
        <v>-2</v>
      </c>
      <c r="I133" s="7" t="n">
        <v>-200</v>
      </c>
      <c r="J133" s="6" t="n"/>
      <c r="K133" s="4" t="n">
        <v>121</v>
      </c>
      <c r="L133" s="2" t="n">
        <v>-0.2047115019784649</v>
      </c>
      <c r="M133" s="6" t="n">
        <v>0.09145087512678718</v>
      </c>
      <c r="N133" s="7" t="n">
        <v>100</v>
      </c>
    </row>
    <row r="134">
      <c r="A134" s="2" t="inlineStr">
        <is>
          <t>Mick Abel</t>
        </is>
      </c>
      <c r="B134" s="2" t="n">
        <v>1</v>
      </c>
      <c r="C134" s="2" t="n">
        <v>1</v>
      </c>
      <c r="D134" s="2" t="n">
        <v>0</v>
      </c>
      <c r="E134" s="2" t="n">
        <v>0</v>
      </c>
      <c r="F134" s="6" t="n">
        <v>1</v>
      </c>
      <c r="G134" s="6" t="n">
        <v>0.819672131147541</v>
      </c>
      <c r="H134" s="2" t="n">
        <v>0.819672131147541</v>
      </c>
      <c r="I134" s="7" t="n">
        <v>81.9672131147541</v>
      </c>
      <c r="J134" s="6" t="n"/>
      <c r="K134" s="4" t="n">
        <v>-122</v>
      </c>
      <c r="L134" s="2" t="n">
        <v>0.45989647928383</v>
      </c>
      <c r="M134" s="6" t="n">
        <v>0.1300210526417215</v>
      </c>
      <c r="N134" s="7" t="n">
        <v>100</v>
      </c>
    </row>
    <row r="135">
      <c r="A135" s="2" t="inlineStr">
        <is>
          <t>Mike Burrows</t>
        </is>
      </c>
      <c r="B135" s="2" t="n">
        <v>2</v>
      </c>
      <c r="C135" s="2" t="n">
        <v>1</v>
      </c>
      <c r="D135" s="2" t="n">
        <v>1</v>
      </c>
      <c r="E135" s="2" t="n">
        <v>0</v>
      </c>
      <c r="F135" s="6" t="n">
        <v>0.5</v>
      </c>
      <c r="G135" s="6" t="n">
        <v>0.1499999999999999</v>
      </c>
      <c r="H135" s="2" t="n">
        <v>0.2999999999999998</v>
      </c>
      <c r="I135" s="7" t="n">
        <v>29.99999999999997</v>
      </c>
      <c r="J135" s="6" t="n"/>
      <c r="K135" s="4" t="n">
        <v>116</v>
      </c>
      <c r="L135" s="2" t="n">
        <v>0.1057669594992916</v>
      </c>
      <c r="M135" s="6" t="n">
        <v>0.1717495560204051</v>
      </c>
      <c r="N135" s="7" t="n">
        <v>100</v>
      </c>
    </row>
    <row r="136">
      <c r="A136" s="2" t="inlineStr">
        <is>
          <t>Mitch Farris</t>
        </is>
      </c>
      <c r="B136" s="2" t="n">
        <v>1</v>
      </c>
      <c r="C136" s="2" t="n">
        <v>1</v>
      </c>
      <c r="D136" s="2" t="n">
        <v>0</v>
      </c>
      <c r="E136" s="2" t="n">
        <v>0</v>
      </c>
      <c r="F136" s="6" t="n">
        <v>1</v>
      </c>
      <c r="G136" s="6" t="n">
        <v>0.8695652173913042</v>
      </c>
      <c r="H136" s="2" t="n">
        <v>0.8695652173913042</v>
      </c>
      <c r="I136" s="7" t="n">
        <v>86.95652173913042</v>
      </c>
      <c r="J136" s="6" t="n"/>
      <c r="K136" s="4" t="n">
        <v>-115</v>
      </c>
      <c r="L136" s="2" t="n">
        <v>1.162853527499179</v>
      </c>
      <c r="M136" s="6" t="n">
        <v>0.4130065096347358</v>
      </c>
      <c r="N136" s="7" t="n">
        <v>100</v>
      </c>
    </row>
    <row r="137">
      <c r="A137" s="2" t="inlineStr">
        <is>
          <t>Mitch Keller</t>
        </is>
      </c>
      <c r="B137" s="2" t="n">
        <v>4</v>
      </c>
      <c r="C137" s="2" t="n">
        <v>2</v>
      </c>
      <c r="D137" s="2" t="n">
        <v>2</v>
      </c>
      <c r="E137" s="2" t="n">
        <v>0</v>
      </c>
      <c r="F137" s="6" t="n">
        <v>0.5</v>
      </c>
      <c r="G137" s="6" t="n">
        <v>0.1500000000000001</v>
      </c>
      <c r="H137" s="2" t="n">
        <v>0.6000000000000005</v>
      </c>
      <c r="I137" s="7" t="n">
        <v>60.00000000000006</v>
      </c>
      <c r="J137" s="6" t="n"/>
      <c r="K137" s="4" t="n">
        <v>122.5</v>
      </c>
      <c r="L137" s="2" t="n">
        <v>-0.1611070537711889</v>
      </c>
      <c r="M137" s="6" t="n">
        <v>0.1131056981375428</v>
      </c>
      <c r="N137" s="7" t="n">
        <v>100</v>
      </c>
    </row>
    <row r="138">
      <c r="A138" s="2" t="inlineStr">
        <is>
          <t>Nathan Eovaldi</t>
        </is>
      </c>
      <c r="B138" s="2" t="n">
        <v>8</v>
      </c>
      <c r="C138" s="2" t="n">
        <v>3</v>
      </c>
      <c r="D138" s="2" t="n">
        <v>5</v>
      </c>
      <c r="E138" s="2" t="n">
        <v>0</v>
      </c>
      <c r="F138" s="6" t="n">
        <v>0.375</v>
      </c>
      <c r="G138" s="6" t="n">
        <v>-0.2592105263157896</v>
      </c>
      <c r="H138" s="2" t="n">
        <v>-2.073684210526316</v>
      </c>
      <c r="I138" s="7" t="n">
        <v>-207.3684210526316</v>
      </c>
      <c r="J138" s="6" t="n"/>
      <c r="K138" s="4" t="n">
        <v>-13.125</v>
      </c>
      <c r="L138" s="2" t="n">
        <v>0.3610488186176848</v>
      </c>
      <c r="M138" s="6" t="n">
        <v>0.1354780506898351</v>
      </c>
      <c r="N138" s="7" t="n">
        <v>100</v>
      </c>
    </row>
    <row r="139">
      <c r="A139" s="2" t="inlineStr">
        <is>
          <t>Nestor Cortes</t>
        </is>
      </c>
      <c r="B139" s="2" t="n">
        <v>1</v>
      </c>
      <c r="C139" s="2" t="n">
        <v>1</v>
      </c>
      <c r="D139" s="2" t="n">
        <v>0</v>
      </c>
      <c r="E139" s="2" t="n">
        <v>0</v>
      </c>
      <c r="F139" s="6" t="n">
        <v>1</v>
      </c>
      <c r="G139" s="6" t="n">
        <v>0.9090909090909092</v>
      </c>
      <c r="H139" s="2" t="n">
        <v>0.9090909090909092</v>
      </c>
      <c r="I139" s="7" t="n">
        <v>90.90909090909092</v>
      </c>
      <c r="J139" s="6" t="n"/>
      <c r="K139" s="4" t="n">
        <v>-110</v>
      </c>
      <c r="L139" s="2" t="n">
        <v>0.3053915464409025</v>
      </c>
      <c r="M139" s="6" t="n">
        <v>0.1108149745623789</v>
      </c>
      <c r="N139" s="7" t="n">
        <v>100</v>
      </c>
    </row>
    <row r="140">
      <c r="A140" s="2" t="inlineStr">
        <is>
          <t>Nick Lodolo</t>
        </is>
      </c>
      <c r="B140" s="2" t="n">
        <v>8</v>
      </c>
      <c r="C140" s="2" t="n">
        <v>5</v>
      </c>
      <c r="D140" s="2" t="n">
        <v>3</v>
      </c>
      <c r="E140" s="2" t="n">
        <v>0</v>
      </c>
      <c r="F140" s="6" t="n">
        <v>0.625</v>
      </c>
      <c r="G140" s="6" t="n">
        <v>0.1944862155388471</v>
      </c>
      <c r="H140" s="2" t="n">
        <v>1.555889724310777</v>
      </c>
      <c r="I140" s="7" t="n">
        <v>155.5889724310777</v>
      </c>
      <c r="J140" s="6" t="n"/>
      <c r="K140" s="4" t="n">
        <v>-67.625</v>
      </c>
      <c r="L140" s="2" t="n">
        <v>0.4829639042821094</v>
      </c>
      <c r="M140" s="6" t="n">
        <v>0.1455403426623419</v>
      </c>
      <c r="N140" s="7" t="n">
        <v>100</v>
      </c>
    </row>
    <row r="141">
      <c r="A141" s="2" t="inlineStr">
        <is>
          <t>Nick Martinez</t>
        </is>
      </c>
      <c r="B141" s="2" t="n">
        <v>5</v>
      </c>
      <c r="C141" s="2" t="n">
        <v>5</v>
      </c>
      <c r="D141" s="2" t="n">
        <v>0</v>
      </c>
      <c r="E141" s="2" t="n">
        <v>0</v>
      </c>
      <c r="F141" s="6" t="n">
        <v>1</v>
      </c>
      <c r="G141" s="6" t="n">
        <v>0.8969584895900684</v>
      </c>
      <c r="H141" s="2" t="n">
        <v>4.484792447950342</v>
      </c>
      <c r="I141" s="7" t="n">
        <v>448.4792447950342</v>
      </c>
      <c r="J141" s="6" t="n"/>
      <c r="K141" s="4" t="n">
        <v>-40.6</v>
      </c>
      <c r="L141" s="2" t="n">
        <v>0.438909898280418</v>
      </c>
      <c r="M141" s="6" t="n">
        <v>0.1551331797221896</v>
      </c>
      <c r="N141" s="7" t="n">
        <v>100</v>
      </c>
    </row>
    <row r="142">
      <c r="A142" s="2" t="inlineStr">
        <is>
          <t>Nick Pivetta</t>
        </is>
      </c>
      <c r="B142" s="2" t="n">
        <v>5</v>
      </c>
      <c r="C142" s="2" t="n">
        <v>2</v>
      </c>
      <c r="D142" s="2" t="n">
        <v>3</v>
      </c>
      <c r="E142" s="2" t="n">
        <v>0</v>
      </c>
      <c r="F142" s="6" t="n">
        <v>0.4</v>
      </c>
      <c r="G142" s="6" t="n">
        <v>-0.23</v>
      </c>
      <c r="H142" s="2" t="n">
        <v>-1.15</v>
      </c>
      <c r="I142" s="7" t="n">
        <v>-115</v>
      </c>
      <c r="J142" s="6" t="n"/>
      <c r="K142" s="4" t="n">
        <v>-39.8</v>
      </c>
      <c r="L142" s="2" t="n">
        <v>0.9364189115480224</v>
      </c>
      <c r="M142" s="6" t="n">
        <v>0.2687193992327601</v>
      </c>
      <c r="N142" s="7" t="n">
        <v>100</v>
      </c>
    </row>
    <row r="143">
      <c r="A143" s="2" t="inlineStr">
        <is>
          <t>Noah Cameron</t>
        </is>
      </c>
      <c r="B143" s="2" t="n">
        <v>3</v>
      </c>
      <c r="C143" s="2" t="n">
        <v>1</v>
      </c>
      <c r="D143" s="2" t="n">
        <v>2</v>
      </c>
      <c r="E143" s="2" t="n">
        <v>0</v>
      </c>
      <c r="F143" s="6" t="n">
        <v>0.3333333333333333</v>
      </c>
      <c r="G143" s="6" t="n">
        <v>-0.2733333333333334</v>
      </c>
      <c r="H143" s="2" t="n">
        <v>-0.8200000000000003</v>
      </c>
      <c r="I143" s="7" t="n">
        <v>-82.00000000000003</v>
      </c>
      <c r="J143" s="6" t="n"/>
      <c r="K143" s="4" t="n">
        <v>109.3333333333333</v>
      </c>
      <c r="L143" s="2" t="n">
        <v>-0.005191519293131996</v>
      </c>
      <c r="M143" s="6" t="n">
        <v>0.1110105610824476</v>
      </c>
      <c r="N143" s="7" t="n">
        <v>100</v>
      </c>
    </row>
    <row r="144">
      <c r="A144" s="2" t="inlineStr">
        <is>
          <t>Noah Schultz</t>
        </is>
      </c>
      <c r="B144" s="2" t="n">
        <v>1</v>
      </c>
      <c r="C144" s="2" t="n">
        <v>0</v>
      </c>
      <c r="D144" s="2" t="n">
        <v>1</v>
      </c>
      <c r="E144" s="2" t="n">
        <v>0</v>
      </c>
      <c r="F144" s="6" t="n">
        <v>0</v>
      </c>
      <c r="G144" s="6" t="n">
        <v>-1</v>
      </c>
      <c r="H144" s="2" t="n">
        <v>-1</v>
      </c>
      <c r="I144" s="7" t="n">
        <v>-100</v>
      </c>
      <c r="J144" s="6" t="n"/>
      <c r="K144" s="4" t="n">
        <v>128</v>
      </c>
      <c r="L144" s="2" t="n">
        <v>-0.3308414776051753</v>
      </c>
      <c r="M144" s="6" t="n">
        <v>0.07310314204222623</v>
      </c>
      <c r="N144" s="7" t="n">
        <v>100</v>
      </c>
    </row>
    <row r="145">
      <c r="A145" s="2" t="inlineStr">
        <is>
          <t>Nolan McLean</t>
        </is>
      </c>
      <c r="B145" s="2" t="n">
        <v>6</v>
      </c>
      <c r="C145" s="2" t="n">
        <v>4</v>
      </c>
      <c r="D145" s="2" t="n">
        <v>2</v>
      </c>
      <c r="E145" s="2" t="n">
        <v>0</v>
      </c>
      <c r="F145" s="6" t="n">
        <v>0.6666666666666666</v>
      </c>
      <c r="G145" s="6" t="n">
        <v>0.3514550264550265</v>
      </c>
      <c r="H145" s="2" t="n">
        <v>2.108730158730159</v>
      </c>
      <c r="I145" s="7" t="n">
        <v>210.8730158730159</v>
      </c>
      <c r="J145" s="6" t="n"/>
      <c r="K145" s="4" t="n">
        <v>-8</v>
      </c>
      <c r="L145" s="2" t="n">
        <v>0.558064778264307</v>
      </c>
      <c r="M145" s="6" t="n">
        <v>0.1982662942748673</v>
      </c>
      <c r="N145" s="7" t="n">
        <v>100</v>
      </c>
    </row>
    <row r="146">
      <c r="A146" s="2" t="inlineStr">
        <is>
          <t>Parker Messick</t>
        </is>
      </c>
      <c r="B146" s="2" t="n">
        <v>9</v>
      </c>
      <c r="C146" s="2" t="n">
        <v>5</v>
      </c>
      <c r="D146" s="2" t="n">
        <v>4</v>
      </c>
      <c r="E146" s="2" t="n">
        <v>0</v>
      </c>
      <c r="F146" s="6" t="n">
        <v>0.5555555555555556</v>
      </c>
      <c r="G146" s="6" t="n">
        <v>0.06438323247422267</v>
      </c>
      <c r="H146" s="2" t="n">
        <v>0.5794490922680038</v>
      </c>
      <c r="I146" s="7" t="n">
        <v>57.94490922680041</v>
      </c>
      <c r="J146" s="6" t="n"/>
      <c r="K146" s="4" t="n">
        <v>1.333333333333333</v>
      </c>
      <c r="L146" s="2" t="n">
        <v>0.4471508254292689</v>
      </c>
      <c r="M146" s="6" t="n">
        <v>0.1734476524124847</v>
      </c>
      <c r="N146" s="7" t="n">
        <v>100</v>
      </c>
    </row>
    <row r="147">
      <c r="A147" s="2" t="inlineStr">
        <is>
          <t>Patrick Corbin</t>
        </is>
      </c>
      <c r="B147" s="2" t="n">
        <v>5</v>
      </c>
      <c r="C147" s="2" t="n">
        <v>5</v>
      </c>
      <c r="D147" s="2" t="n">
        <v>0</v>
      </c>
      <c r="E147" s="2" t="n">
        <v>0</v>
      </c>
      <c r="F147" s="6" t="n">
        <v>1</v>
      </c>
      <c r="G147" s="6" t="n">
        <v>1.051846153846154</v>
      </c>
      <c r="H147" s="2" t="n">
        <v>5.259230769230769</v>
      </c>
      <c r="I147" s="7" t="n">
        <v>525.9230769230769</v>
      </c>
      <c r="J147" s="6" t="n"/>
      <c r="K147" s="4" t="n">
        <v>22.8</v>
      </c>
      <c r="L147" s="2" t="n">
        <v>0.19120318996181</v>
      </c>
      <c r="M147" s="6" t="n">
        <v>0.1487471027939386</v>
      </c>
      <c r="N147" s="7" t="n">
        <v>100</v>
      </c>
    </row>
    <row r="148">
      <c r="A148" s="2" t="inlineStr">
        <is>
          <t>Paul Skenes</t>
        </is>
      </c>
      <c r="B148" s="2" t="n">
        <v>15</v>
      </c>
      <c r="C148" s="2" t="n">
        <v>9</v>
      </c>
      <c r="D148" s="2" t="n">
        <v>6</v>
      </c>
      <c r="E148" s="2" t="n">
        <v>0</v>
      </c>
      <c r="F148" s="6" t="n">
        <v>0.6</v>
      </c>
      <c r="G148" s="6" t="n">
        <v>0.2364303350970017</v>
      </c>
      <c r="H148" s="2" t="n">
        <v>3.546455026455026</v>
      </c>
      <c r="I148" s="7" t="n">
        <v>354.6455026455026</v>
      </c>
      <c r="J148" s="6" t="n"/>
      <c r="K148" s="4" t="n">
        <v>9.066666666666666</v>
      </c>
      <c r="L148" s="2" t="n">
        <v>0.5094129331556757</v>
      </c>
      <c r="M148" s="6" t="n">
        <v>0.2255472198387191</v>
      </c>
      <c r="N148" s="7" t="n">
        <v>100</v>
      </c>
    </row>
    <row r="149">
      <c r="A149" s="2" t="inlineStr">
        <is>
          <t>Payton Tolle</t>
        </is>
      </c>
      <c r="B149" s="2" t="n">
        <v>2</v>
      </c>
      <c r="C149" s="2" t="n">
        <v>1</v>
      </c>
      <c r="D149" s="2" t="n">
        <v>1</v>
      </c>
      <c r="E149" s="2" t="n">
        <v>0</v>
      </c>
      <c r="F149" s="6" t="n">
        <v>0.5</v>
      </c>
      <c r="G149" s="6" t="n">
        <v>-0.1774193548387097</v>
      </c>
      <c r="H149" s="2" t="n">
        <v>-0.3548387096774195</v>
      </c>
      <c r="I149" s="7" t="n">
        <v>-35.48387096774195</v>
      </c>
      <c r="J149" s="6" t="n"/>
      <c r="K149" s="4" t="n">
        <v>-140</v>
      </c>
      <c r="L149" s="2" t="n">
        <v>0.8001282447526004</v>
      </c>
      <c r="M149" s="6" t="n">
        <v>0.1513464702526567</v>
      </c>
      <c r="N149" s="7" t="n">
        <v>100</v>
      </c>
    </row>
    <row r="150">
      <c r="A150" s="2" t="inlineStr">
        <is>
          <t>Peter Lambert</t>
        </is>
      </c>
      <c r="B150" s="2" t="n">
        <v>5</v>
      </c>
      <c r="C150" s="2" t="n">
        <v>2</v>
      </c>
      <c r="D150" s="2" t="n">
        <v>3</v>
      </c>
      <c r="E150" s="2" t="n">
        <v>0</v>
      </c>
      <c r="F150" s="6" t="n">
        <v>0.4</v>
      </c>
      <c r="G150" s="6" t="n">
        <v>-0.311991711991712</v>
      </c>
      <c r="H150" s="2" t="n">
        <v>-1.55995855995856</v>
      </c>
      <c r="I150" s="7" t="n">
        <v>-155.995855995856</v>
      </c>
      <c r="J150" s="6" t="n"/>
      <c r="K150" s="4" t="n">
        <v>-40.6</v>
      </c>
      <c r="L150" s="2" t="n">
        <v>0.5601572917461615</v>
      </c>
      <c r="M150" s="6" t="n">
        <v>0.1777627437115616</v>
      </c>
      <c r="N150" s="7" t="n">
        <v>100</v>
      </c>
    </row>
    <row r="151">
      <c r="A151" s="2" t="inlineStr">
        <is>
          <t>Quinn Priester</t>
        </is>
      </c>
      <c r="B151" s="2" t="n">
        <v>1</v>
      </c>
      <c r="C151" s="2" t="n">
        <v>1</v>
      </c>
      <c r="D151" s="2" t="n">
        <v>0</v>
      </c>
      <c r="E151" s="2" t="n">
        <v>0</v>
      </c>
      <c r="F151" s="6" t="n">
        <v>1</v>
      </c>
      <c r="G151" s="6" t="n">
        <v>1.1</v>
      </c>
      <c r="H151" s="2" t="n">
        <v>1.1</v>
      </c>
      <c r="I151" s="7" t="n">
        <v>110</v>
      </c>
      <c r="J151" s="6" t="n"/>
      <c r="K151" s="4" t="n">
        <v>110</v>
      </c>
      <c r="L151" s="2" t="n">
        <v>-0.09347889227076767</v>
      </c>
      <c r="M151" s="6" t="n">
        <v>0.08036055645179985</v>
      </c>
      <c r="N151" s="7" t="n">
        <v>100</v>
      </c>
    </row>
    <row r="152">
      <c r="A152" s="2" t="inlineStr">
        <is>
          <t>Ranger Suarez</t>
        </is>
      </c>
      <c r="B152" s="2" t="n">
        <v>26</v>
      </c>
      <c r="C152" s="2" t="n">
        <v>15</v>
      </c>
      <c r="D152" s="2" t="n">
        <v>11</v>
      </c>
      <c r="E152" s="2" t="n">
        <v>0</v>
      </c>
      <c r="F152" s="6" t="n">
        <v>0.5769230769230769</v>
      </c>
      <c r="G152" s="6" t="n">
        <v>0.1402040799151701</v>
      </c>
      <c r="H152" s="2" t="n">
        <v>3.645306077794421</v>
      </c>
      <c r="I152" s="7" t="n">
        <v>364.5306077794422</v>
      </c>
      <c r="J152" s="6" t="n"/>
      <c r="K152" s="4" t="n">
        <v>-20.34615384615385</v>
      </c>
      <c r="L152" s="2" t="n">
        <v>0.5571411889697393</v>
      </c>
      <c r="M152" s="6" t="n">
        <v>0.2005377632660401</v>
      </c>
      <c r="N152" s="7" t="n">
        <v>100</v>
      </c>
    </row>
    <row r="153">
      <c r="A153" s="2" t="inlineStr">
        <is>
          <t>Reese Olson</t>
        </is>
      </c>
      <c r="B153" s="2" t="n">
        <v>1</v>
      </c>
      <c r="C153" s="2" t="n">
        <v>1</v>
      </c>
      <c r="D153" s="2" t="n">
        <v>0</v>
      </c>
      <c r="E153" s="2" t="n">
        <v>0</v>
      </c>
      <c r="F153" s="6" t="n">
        <v>1</v>
      </c>
      <c r="G153" s="6" t="n">
        <v>1.1</v>
      </c>
      <c r="H153" s="2" t="n">
        <v>1.1</v>
      </c>
      <c r="I153" s="7" t="n">
        <v>110</v>
      </c>
      <c r="J153" s="6" t="n"/>
      <c r="K153" s="4" t="n">
        <v>110</v>
      </c>
      <c r="L153" s="2" t="n">
        <v>0.01960182654095188</v>
      </c>
      <c r="M153" s="6" t="n">
        <v>0.1252391355802005</v>
      </c>
      <c r="N153" s="7" t="n">
        <v>100</v>
      </c>
    </row>
    <row r="154">
      <c r="A154" s="2" t="inlineStr">
        <is>
          <t>Reid Detmers</t>
        </is>
      </c>
      <c r="B154" s="2" t="n">
        <v>2</v>
      </c>
      <c r="C154" s="2" t="n">
        <v>1</v>
      </c>
      <c r="D154" s="2" t="n">
        <v>1</v>
      </c>
      <c r="E154" s="2" t="n">
        <v>0</v>
      </c>
      <c r="F154" s="6" t="n">
        <v>0.5</v>
      </c>
      <c r="G154" s="6" t="n">
        <v>0.03</v>
      </c>
      <c r="H154" s="2" t="n">
        <v>0.06000000000000005</v>
      </c>
      <c r="I154" s="7" t="n">
        <v>6</v>
      </c>
      <c r="J154" s="6" t="n"/>
      <c r="K154" s="4" t="n">
        <v>1</v>
      </c>
      <c r="L154" s="2" t="n">
        <v>0.3612169573747899</v>
      </c>
      <c r="M154" s="6" t="n">
        <v>0.1737760623912272</v>
      </c>
      <c r="N154" s="7" t="n">
        <v>100</v>
      </c>
    </row>
    <row r="155">
      <c r="A155" s="2" t="inlineStr">
        <is>
          <t>Reynaldo López</t>
        </is>
      </c>
      <c r="B155" s="2" t="n">
        <v>1</v>
      </c>
      <c r="C155" s="2" t="n">
        <v>0</v>
      </c>
      <c r="D155" s="2" t="n">
        <v>1</v>
      </c>
      <c r="E155" s="2" t="n">
        <v>0</v>
      </c>
      <c r="F155" s="6" t="n">
        <v>0</v>
      </c>
      <c r="G155" s="6" t="n">
        <v>-1</v>
      </c>
      <c r="H155" s="2" t="n">
        <v>-1</v>
      </c>
      <c r="I155" s="7" t="n">
        <v>-100</v>
      </c>
      <c r="J155" s="6" t="n"/>
      <c r="K155" s="4" t="n">
        <v>-110</v>
      </c>
      <c r="L155" s="2" t="n">
        <v>0.2031434042306097</v>
      </c>
      <c r="M155" s="6" t="n">
        <v>0.09017823876073215</v>
      </c>
      <c r="N155" s="7" t="n">
        <v>100</v>
      </c>
    </row>
    <row r="156">
      <c r="A156" s="2" t="inlineStr">
        <is>
          <t>Rhett Lowder</t>
        </is>
      </c>
      <c r="B156" s="2" t="n">
        <v>1</v>
      </c>
      <c r="C156" s="2" t="n">
        <v>0</v>
      </c>
      <c r="D156" s="2" t="n">
        <v>1</v>
      </c>
      <c r="E156" s="2" t="n">
        <v>0</v>
      </c>
      <c r="F156" s="6" t="n">
        <v>0</v>
      </c>
      <c r="G156" s="6" t="n">
        <v>-1</v>
      </c>
      <c r="H156" s="2" t="n">
        <v>-1</v>
      </c>
      <c r="I156" s="7" t="n">
        <v>-100</v>
      </c>
      <c r="J156" s="6" t="n"/>
      <c r="K156" s="4" t="n">
        <v>100</v>
      </c>
      <c r="L156" s="2" t="n">
        <v>0.01765786400552649</v>
      </c>
      <c r="M156" s="6" t="n">
        <v>0.08089547911572303</v>
      </c>
      <c r="N156" s="7" t="n">
        <v>100</v>
      </c>
    </row>
    <row r="157">
      <c r="A157" s="2" t="inlineStr">
        <is>
          <t>Richard Fitts</t>
        </is>
      </c>
      <c r="B157" s="2" t="n">
        <v>1</v>
      </c>
      <c r="C157" s="2" t="n">
        <v>0</v>
      </c>
      <c r="D157" s="2" t="n">
        <v>1</v>
      </c>
      <c r="E157" s="2" t="n">
        <v>0</v>
      </c>
      <c r="F157" s="6" t="n">
        <v>0</v>
      </c>
      <c r="G157" s="6" t="n">
        <v>-1</v>
      </c>
      <c r="H157" s="2" t="n">
        <v>-1</v>
      </c>
      <c r="I157" s="7" t="n">
        <v>-100</v>
      </c>
      <c r="J157" s="6" t="n"/>
      <c r="K157" s="4" t="n">
        <v>105</v>
      </c>
      <c r="L157" s="2" t="n">
        <v>0.218190299138378</v>
      </c>
      <c r="M157" s="6" t="n">
        <v>0.1766101983288509</v>
      </c>
      <c r="N157" s="7" t="n">
        <v>100</v>
      </c>
    </row>
    <row r="158">
      <c r="A158" s="2" t="inlineStr">
        <is>
          <t>Robbie Ray</t>
        </is>
      </c>
      <c r="B158" s="2" t="n">
        <v>16</v>
      </c>
      <c r="C158" s="2" t="n">
        <v>11</v>
      </c>
      <c r="D158" s="2" t="n">
        <v>5</v>
      </c>
      <c r="E158" s="2" t="n">
        <v>0</v>
      </c>
      <c r="F158" s="6" t="n">
        <v>0.6875</v>
      </c>
      <c r="G158" s="6" t="n">
        <v>0.3114580817959368</v>
      </c>
      <c r="H158" s="2" t="n">
        <v>4.983329308734987</v>
      </c>
      <c r="I158" s="7" t="n">
        <v>498.3329308734989</v>
      </c>
      <c r="J158" s="6" t="n"/>
      <c r="K158" s="4" t="n">
        <v>1.1875</v>
      </c>
      <c r="L158" s="2" t="n">
        <v>0.4973761932426822</v>
      </c>
      <c r="M158" s="6" t="n">
        <v>0.1777463514095596</v>
      </c>
      <c r="N158" s="7" t="n">
        <v>100</v>
      </c>
    </row>
    <row r="159">
      <c r="A159" s="2" t="inlineStr">
        <is>
          <t>Robert Gasser</t>
        </is>
      </c>
      <c r="B159" s="2" t="n">
        <v>3</v>
      </c>
      <c r="C159" s="2" t="n">
        <v>1</v>
      </c>
      <c r="D159" s="2" t="n">
        <v>2</v>
      </c>
      <c r="E159" s="2" t="n">
        <v>0</v>
      </c>
      <c r="F159" s="6" t="n">
        <v>0.3333333333333333</v>
      </c>
      <c r="G159" s="6" t="n">
        <v>-0.4609053497942386</v>
      </c>
      <c r="H159" s="2" t="n">
        <v>-1.382716049382716</v>
      </c>
      <c r="I159" s="7" t="n">
        <v>-138.2716049382716</v>
      </c>
      <c r="J159" s="6" t="n"/>
      <c r="K159" s="4" t="n">
        <v>28</v>
      </c>
      <c r="L159" s="2" t="n">
        <v>0.3703099526267149</v>
      </c>
      <c r="M159" s="6" t="n">
        <v>0.20081827190243</v>
      </c>
      <c r="N159" s="7" t="n">
        <v>100</v>
      </c>
    </row>
    <row r="160">
      <c r="A160" s="2" t="inlineStr">
        <is>
          <t>Roki Sasaki</t>
        </is>
      </c>
      <c r="B160" s="2" t="n">
        <v>1</v>
      </c>
      <c r="C160" s="2" t="n">
        <v>1</v>
      </c>
      <c r="D160" s="2" t="n">
        <v>0</v>
      </c>
      <c r="E160" s="2" t="n">
        <v>0</v>
      </c>
      <c r="F160" s="6" t="n">
        <v>1</v>
      </c>
      <c r="G160" s="6" t="n">
        <v>0.8695652173913042</v>
      </c>
      <c r="H160" s="2" t="n">
        <v>0.8695652173913042</v>
      </c>
      <c r="I160" s="7" t="n">
        <v>86.95652173913042</v>
      </c>
      <c r="J160" s="6" t="n"/>
      <c r="K160" s="4" t="n">
        <v>-115</v>
      </c>
      <c r="L160" s="2" t="n">
        <v>0.516800346488572</v>
      </c>
      <c r="M160" s="6" t="n">
        <v>0.1570898784967292</v>
      </c>
      <c r="N160" s="7" t="n">
        <v>100</v>
      </c>
    </row>
    <row r="161">
      <c r="A161" s="2" t="inlineStr">
        <is>
          <t>Ryan Bergert</t>
        </is>
      </c>
      <c r="B161" s="2" t="n">
        <v>2</v>
      </c>
      <c r="C161" s="2" t="n">
        <v>0</v>
      </c>
      <c r="D161" s="2" t="n">
        <v>2</v>
      </c>
      <c r="E161" s="2" t="n">
        <v>0</v>
      </c>
      <c r="F161" s="6" t="n">
        <v>0</v>
      </c>
      <c r="G161" s="6" t="n">
        <v>-1</v>
      </c>
      <c r="H161" s="2" t="n">
        <v>-2</v>
      </c>
      <c r="I161" s="7" t="n">
        <v>-200</v>
      </c>
      <c r="J161" s="6" t="n"/>
      <c r="K161" s="4" t="n">
        <v>-10</v>
      </c>
      <c r="L161" s="2" t="n">
        <v>0.2634068521687891</v>
      </c>
      <c r="M161" s="6" t="n">
        <v>0.1263106345696097</v>
      </c>
      <c r="N161" s="7" t="n">
        <v>100</v>
      </c>
    </row>
    <row r="162">
      <c r="A162" s="2" t="inlineStr">
        <is>
          <t>Ryan Weathers</t>
        </is>
      </c>
      <c r="B162" s="2" t="n">
        <v>9</v>
      </c>
      <c r="C162" s="2" t="n">
        <v>5</v>
      </c>
      <c r="D162" s="2" t="n">
        <v>4</v>
      </c>
      <c r="E162" s="2" t="n">
        <v>0</v>
      </c>
      <c r="F162" s="6" t="n">
        <v>0.5555555555555556</v>
      </c>
      <c r="G162" s="6" t="n">
        <v>0.07902223630378968</v>
      </c>
      <c r="H162" s="2" t="n">
        <v>0.711200126734107</v>
      </c>
      <c r="I162" s="7" t="n">
        <v>71.12001267341071</v>
      </c>
      <c r="J162" s="6" t="n"/>
      <c r="K162" s="4" t="n">
        <v>-25.22222222222222</v>
      </c>
      <c r="L162" s="2" t="n">
        <v>0.5937954853221754</v>
      </c>
      <c r="M162" s="6" t="n">
        <v>0.1930902797233166</v>
      </c>
      <c r="N162" s="7" t="n">
        <v>100</v>
      </c>
    </row>
    <row r="163">
      <c r="A163" s="2" t="inlineStr">
        <is>
          <t>Sean Burke</t>
        </is>
      </c>
      <c r="B163" s="2" t="n">
        <v>1</v>
      </c>
      <c r="C163" s="2" t="n">
        <v>1</v>
      </c>
      <c r="D163" s="2" t="n">
        <v>0</v>
      </c>
      <c r="E163" s="2" t="n">
        <v>0</v>
      </c>
      <c r="F163" s="6" t="n">
        <v>1</v>
      </c>
      <c r="G163" s="6" t="n">
        <v>1.1</v>
      </c>
      <c r="H163" s="2" t="n">
        <v>1.1</v>
      </c>
      <c r="I163" s="7" t="n">
        <v>110</v>
      </c>
      <c r="J163" s="6" t="n"/>
      <c r="K163" s="4" t="n">
        <v>110</v>
      </c>
      <c r="L163" s="2" t="n">
        <v>-0.06180768320973051</v>
      </c>
      <c r="M163" s="6" t="n">
        <v>0.08854679874784355</v>
      </c>
      <c r="N163" s="7" t="n">
        <v>100</v>
      </c>
    </row>
    <row r="164">
      <c r="A164" s="2" t="inlineStr">
        <is>
          <t>Sean Manaea</t>
        </is>
      </c>
      <c r="B164" s="2" t="n">
        <v>7</v>
      </c>
      <c r="C164" s="2" t="n">
        <v>2</v>
      </c>
      <c r="D164" s="2" t="n">
        <v>5</v>
      </c>
      <c r="E164" s="2" t="n">
        <v>0</v>
      </c>
      <c r="F164" s="6" t="n">
        <v>0.2857142857142857</v>
      </c>
      <c r="G164" s="6" t="n">
        <v>-0.4983604179927005</v>
      </c>
      <c r="H164" s="2" t="n">
        <v>-3.488522925948903</v>
      </c>
      <c r="I164" s="7" t="n">
        <v>-348.8522925948903</v>
      </c>
      <c r="J164" s="6" t="n"/>
      <c r="K164" s="4" t="n">
        <v>-30.28571428571428</v>
      </c>
      <c r="L164" s="2" t="n">
        <v>0.5480305271288159</v>
      </c>
      <c r="M164" s="6" t="n">
        <v>0.1832534092954636</v>
      </c>
      <c r="N164" s="7" t="n">
        <v>100</v>
      </c>
    </row>
    <row r="165">
      <c r="A165" s="2" t="inlineStr">
        <is>
          <t>Seth Lugo</t>
        </is>
      </c>
      <c r="B165" s="2" t="n">
        <v>14</v>
      </c>
      <c r="C165" s="2" t="n">
        <v>7</v>
      </c>
      <c r="D165" s="2" t="n">
        <v>7</v>
      </c>
      <c r="E165" s="2" t="n">
        <v>0</v>
      </c>
      <c r="F165" s="6" t="n">
        <v>0.5</v>
      </c>
      <c r="G165" s="6" t="n">
        <v>0.0565178571428571</v>
      </c>
      <c r="H165" s="2" t="n">
        <v>0.7912499999999998</v>
      </c>
      <c r="I165" s="7" t="n">
        <v>79.12499999999994</v>
      </c>
      <c r="J165" s="6" t="n"/>
      <c r="K165" s="4" t="n">
        <v>47.78571428571428</v>
      </c>
      <c r="L165" s="2" t="n">
        <v>0.1913307084101103</v>
      </c>
      <c r="M165" s="6" t="n">
        <v>0.1665657077837607</v>
      </c>
      <c r="N165" s="7" t="n">
        <v>100</v>
      </c>
    </row>
    <row r="166">
      <c r="A166" s="2" t="inlineStr">
        <is>
          <t>Shane Baz</t>
        </is>
      </c>
      <c r="B166" s="2" t="n">
        <v>4</v>
      </c>
      <c r="C166" s="2" t="n">
        <v>2</v>
      </c>
      <c r="D166" s="2" t="n">
        <v>2</v>
      </c>
      <c r="E166" s="2" t="n">
        <v>0</v>
      </c>
      <c r="F166" s="6" t="n">
        <v>0.5</v>
      </c>
      <c r="G166" s="6" t="n">
        <v>-0.1387096774193549</v>
      </c>
      <c r="H166" s="2" t="n">
        <v>-0.5548387096774194</v>
      </c>
      <c r="I166" s="7" t="n">
        <v>-55.48387096774195</v>
      </c>
      <c r="J166" s="6" t="n"/>
      <c r="K166" s="4" t="n">
        <v>-139.25</v>
      </c>
      <c r="L166" s="2" t="n">
        <v>0.6409283708583213</v>
      </c>
      <c r="M166" s="6" t="n">
        <v>0.1123406316627475</v>
      </c>
      <c r="N166" s="7" t="n">
        <v>100</v>
      </c>
    </row>
    <row r="167">
      <c r="A167" s="2" t="inlineStr">
        <is>
          <t>Shane Bieber</t>
        </is>
      </c>
      <c r="B167" s="2" t="n">
        <v>2</v>
      </c>
      <c r="C167" s="2" t="n">
        <v>2</v>
      </c>
      <c r="D167" s="2" t="n">
        <v>0</v>
      </c>
      <c r="E167" s="2" t="n">
        <v>0</v>
      </c>
      <c r="F167" s="6" t="n">
        <v>1</v>
      </c>
      <c r="G167" s="6" t="n">
        <v>1.03731884057971</v>
      </c>
      <c r="H167" s="2" t="n">
        <v>2.07463768115942</v>
      </c>
      <c r="I167" s="7" t="n">
        <v>207.4637681159421</v>
      </c>
      <c r="J167" s="6" t="n"/>
      <c r="K167" s="4" t="n">
        <v>-1.5</v>
      </c>
      <c r="L167" s="2" t="n">
        <v>0.4804336119740062</v>
      </c>
      <c r="M167" s="6" t="n">
        <v>0.2064708817561036</v>
      </c>
      <c r="N167" s="7" t="n">
        <v>100</v>
      </c>
    </row>
    <row r="168">
      <c r="A168" s="2" t="inlineStr">
        <is>
          <t>Shane Drohan</t>
        </is>
      </c>
      <c r="B168" s="2" t="n">
        <v>2</v>
      </c>
      <c r="C168" s="2" t="n">
        <v>0</v>
      </c>
      <c r="D168" s="2" t="n">
        <v>2</v>
      </c>
      <c r="E168" s="2" t="n">
        <v>0</v>
      </c>
      <c r="F168" s="6" t="n">
        <v>0</v>
      </c>
      <c r="G168" s="6" t="n">
        <v>-1</v>
      </c>
      <c r="H168" s="2" t="n">
        <v>-2</v>
      </c>
      <c r="I168" s="7" t="n">
        <v>-200</v>
      </c>
      <c r="J168" s="6" t="n"/>
      <c r="K168" s="4" t="n">
        <v>-15</v>
      </c>
      <c r="L168" s="2" t="n">
        <v>0.3343947575752138</v>
      </c>
      <c r="M168" s="6" t="n">
        <v>0.1264996184517635</v>
      </c>
      <c r="N168" s="7" t="n">
        <v>100</v>
      </c>
    </row>
    <row r="169">
      <c r="A169" s="2" t="inlineStr">
        <is>
          <t>Shane McClanahan</t>
        </is>
      </c>
      <c r="B169" s="2" t="n">
        <v>8</v>
      </c>
      <c r="C169" s="2" t="n">
        <v>6</v>
      </c>
      <c r="D169" s="2" t="n">
        <v>2</v>
      </c>
      <c r="E169" s="2" t="n">
        <v>0</v>
      </c>
      <c r="F169" s="6" t="n">
        <v>0.75</v>
      </c>
      <c r="G169" s="6" t="n">
        <v>0.4167840261590261</v>
      </c>
      <c r="H169" s="2" t="n">
        <v>3.334272209272209</v>
      </c>
      <c r="I169" s="7" t="n">
        <v>333.4272209272209</v>
      </c>
      <c r="J169" s="6" t="n"/>
      <c r="K169" s="4" t="n">
        <v>-42.25</v>
      </c>
      <c r="L169" s="2" t="n">
        <v>0.3634325824631101</v>
      </c>
      <c r="M169" s="6" t="n">
        <v>0.1082771638016883</v>
      </c>
      <c r="N169" s="7" t="n">
        <v>100</v>
      </c>
    </row>
    <row r="170">
      <c r="A170" s="2" t="inlineStr">
        <is>
          <t>Shohei Ohtani</t>
        </is>
      </c>
      <c r="B170" s="2" t="n">
        <v>4</v>
      </c>
      <c r="C170" s="2" t="n">
        <v>4</v>
      </c>
      <c r="D170" s="2" t="n">
        <v>0</v>
      </c>
      <c r="E170" s="2" t="n">
        <v>0</v>
      </c>
      <c r="F170" s="6" t="n">
        <v>1</v>
      </c>
      <c r="G170" s="6" t="n">
        <v>1.033818981415804</v>
      </c>
      <c r="H170" s="2" t="n">
        <v>4.135275925663215</v>
      </c>
      <c r="I170" s="7" t="n">
        <v>413.5275925663215</v>
      </c>
      <c r="J170" s="6" t="n"/>
      <c r="K170" s="4" t="n">
        <v>1.25</v>
      </c>
      <c r="L170" s="2" t="n">
        <v>0.5834184887598486</v>
      </c>
      <c r="M170" s="6" t="n">
        <v>0.245640799425158</v>
      </c>
      <c r="N170" s="7" t="n">
        <v>100</v>
      </c>
    </row>
    <row r="171">
      <c r="A171" s="2" t="inlineStr">
        <is>
          <t>Shota Imanaga</t>
        </is>
      </c>
      <c r="B171" s="2" t="n">
        <v>24</v>
      </c>
      <c r="C171" s="2" t="n">
        <v>11</v>
      </c>
      <c r="D171" s="2" t="n">
        <v>13</v>
      </c>
      <c r="E171" s="2" t="n">
        <v>0</v>
      </c>
      <c r="F171" s="6" t="n">
        <v>0.4583333333333333</v>
      </c>
      <c r="G171" s="6" t="n">
        <v>-0.115819287166116</v>
      </c>
      <c r="H171" s="2" t="n">
        <v>-2.779662891986785</v>
      </c>
      <c r="I171" s="7" t="n">
        <v>-277.9662891986784</v>
      </c>
      <c r="J171" s="6" t="n"/>
      <c r="K171" s="4" t="n">
        <v>-7.541666666666667</v>
      </c>
      <c r="L171" s="2" t="n">
        <v>0.3668142646397887</v>
      </c>
      <c r="M171" s="6" t="n">
        <v>0.1577401477329601</v>
      </c>
      <c r="N171" s="7" t="n">
        <v>100</v>
      </c>
    </row>
    <row r="172">
      <c r="A172" s="2" t="inlineStr">
        <is>
          <t>Simeon Woods Richardson</t>
        </is>
      </c>
      <c r="B172" s="2" t="n">
        <v>1</v>
      </c>
      <c r="C172" s="2" t="n">
        <v>1</v>
      </c>
      <c r="D172" s="2" t="n">
        <v>0</v>
      </c>
      <c r="E172" s="2" t="n">
        <v>0</v>
      </c>
      <c r="F172" s="6" t="n">
        <v>1</v>
      </c>
      <c r="G172" s="6" t="n">
        <v>1.1</v>
      </c>
      <c r="H172" s="2" t="n">
        <v>1.1</v>
      </c>
      <c r="I172" s="7" t="n">
        <v>110</v>
      </c>
      <c r="J172" s="6" t="n"/>
      <c r="K172" s="4" t="n">
        <v>110</v>
      </c>
      <c r="L172" s="2" t="n">
        <v>0.009284298845763317</v>
      </c>
      <c r="M172" s="6" t="n">
        <v>0.1211200937267196</v>
      </c>
      <c r="N172" s="7" t="n">
        <v>100</v>
      </c>
    </row>
    <row r="173">
      <c r="A173" s="2" t="inlineStr">
        <is>
          <t>Slade Cecconi</t>
        </is>
      </c>
      <c r="B173" s="2" t="n">
        <v>3</v>
      </c>
      <c r="C173" s="2" t="n">
        <v>3</v>
      </c>
      <c r="D173" s="2" t="n">
        <v>0</v>
      </c>
      <c r="E173" s="2" t="n">
        <v>0</v>
      </c>
      <c r="F173" s="6" t="n">
        <v>1</v>
      </c>
      <c r="G173" s="6" t="n">
        <v>0.9584313725490196</v>
      </c>
      <c r="H173" s="2" t="n">
        <v>2.875294117647059</v>
      </c>
      <c r="I173" s="7" t="n">
        <v>287.5294117647059</v>
      </c>
      <c r="J173" s="6" t="n"/>
      <c r="K173" s="4" t="n">
        <v>26</v>
      </c>
      <c r="L173" s="2" t="n">
        <v>0.1648059283940307</v>
      </c>
      <c r="M173" s="6" t="n">
        <v>0.0926854806387379</v>
      </c>
      <c r="N173" s="7" t="n">
        <v>100</v>
      </c>
    </row>
    <row r="174">
      <c r="A174" s="2" t="inlineStr">
        <is>
          <t>Sonny Gray</t>
        </is>
      </c>
      <c r="B174" s="2" t="n">
        <v>16</v>
      </c>
      <c r="C174" s="2" t="n">
        <v>8</v>
      </c>
      <c r="D174" s="2" t="n">
        <v>8</v>
      </c>
      <c r="E174" s="2" t="n">
        <v>0</v>
      </c>
      <c r="F174" s="6" t="n">
        <v>0.5</v>
      </c>
      <c r="G174" s="6" t="n">
        <v>-0.05242392626299541</v>
      </c>
      <c r="H174" s="2" t="n">
        <v>-0.8387828202079266</v>
      </c>
      <c r="I174" s="7" t="n">
        <v>-83.87828202079265</v>
      </c>
      <c r="J174" s="6" t="n"/>
      <c r="K174" s="4" t="n">
        <v>-10.9375</v>
      </c>
      <c r="L174" s="2" t="n">
        <v>0.4533851193499975</v>
      </c>
      <c r="M174" s="6" t="n">
        <v>0.1718280969719821</v>
      </c>
      <c r="N174" s="7" t="n">
        <v>100</v>
      </c>
    </row>
    <row r="175">
      <c r="A175" s="2" t="inlineStr">
        <is>
          <t>Spencer Arrighetti</t>
        </is>
      </c>
      <c r="B175" s="2" t="n">
        <v>1</v>
      </c>
      <c r="C175" s="2" t="n">
        <v>1</v>
      </c>
      <c r="D175" s="2" t="n">
        <v>0</v>
      </c>
      <c r="E175" s="2" t="n">
        <v>0</v>
      </c>
      <c r="F175" s="6" t="n">
        <v>1</v>
      </c>
      <c r="G175" s="6" t="n">
        <v>0.6578947368421053</v>
      </c>
      <c r="H175" s="2" t="n">
        <v>0.6578947368421053</v>
      </c>
      <c r="I175" s="7" t="n">
        <v>65.78947368421053</v>
      </c>
      <c r="J175" s="6" t="n"/>
      <c r="K175" s="4" t="n">
        <v>-152</v>
      </c>
      <c r="L175" s="2" t="n">
        <v>0.7143925961410424</v>
      </c>
      <c r="M175" s="6" t="n">
        <v>0.08346859072091883</v>
      </c>
      <c r="N175" s="7" t="n">
        <v>100</v>
      </c>
    </row>
    <row r="176">
      <c r="A176" s="2" t="inlineStr">
        <is>
          <t>Spencer Strider</t>
        </is>
      </c>
      <c r="B176" s="2" t="n">
        <v>16</v>
      </c>
      <c r="C176" s="2" t="n">
        <v>14</v>
      </c>
      <c r="D176" s="2" t="n">
        <v>2</v>
      </c>
      <c r="E176" s="2" t="n">
        <v>0</v>
      </c>
      <c r="F176" s="6" t="n">
        <v>0.875</v>
      </c>
      <c r="G176" s="6" t="n">
        <v>0.6628551841286813</v>
      </c>
      <c r="H176" s="2" t="n">
        <v>10.6056829460589</v>
      </c>
      <c r="I176" s="7" t="n">
        <v>1060.56829460589</v>
      </c>
      <c r="J176" s="6" t="n"/>
      <c r="K176" s="4" t="n">
        <v>-29.6875</v>
      </c>
      <c r="L176" s="2" t="n">
        <v>0.8279617327388695</v>
      </c>
      <c r="M176" s="6" t="n">
        <v>0.2411471583746383</v>
      </c>
      <c r="N176" s="7" t="n">
        <v>100</v>
      </c>
    </row>
    <row r="177">
      <c r="A177" s="2" t="inlineStr">
        <is>
          <t>Steven Matz</t>
        </is>
      </c>
      <c r="B177" s="2" t="n">
        <v>11</v>
      </c>
      <c r="C177" s="2" t="n">
        <v>8</v>
      </c>
      <c r="D177" s="2" t="n">
        <v>3</v>
      </c>
      <c r="E177" s="2" t="n">
        <v>0</v>
      </c>
      <c r="F177" s="6" t="n">
        <v>0.7272727272727273</v>
      </c>
      <c r="G177" s="6" t="n">
        <v>0.4438817075180711</v>
      </c>
      <c r="H177" s="2" t="n">
        <v>4.882698782698782</v>
      </c>
      <c r="I177" s="7" t="n">
        <v>488.2698782698782</v>
      </c>
      <c r="J177" s="6" t="n"/>
      <c r="K177" s="4" t="n">
        <v>-19.09090909090909</v>
      </c>
      <c r="L177" s="2" t="n">
        <v>0.4070948736336513</v>
      </c>
      <c r="M177" s="6" t="n">
        <v>0.1715145348202204</v>
      </c>
      <c r="N177" s="7" t="n">
        <v>100</v>
      </c>
    </row>
    <row r="178">
      <c r="A178" s="2" t="inlineStr">
        <is>
          <t>Taj Bradley</t>
        </is>
      </c>
      <c r="B178" s="2" t="n">
        <v>8</v>
      </c>
      <c r="C178" s="2" t="n">
        <v>4</v>
      </c>
      <c r="D178" s="2" t="n">
        <v>4</v>
      </c>
      <c r="E178" s="2" t="n">
        <v>0</v>
      </c>
      <c r="F178" s="6" t="n">
        <v>0.5</v>
      </c>
      <c r="G178" s="6" t="n">
        <v>0.02991545344252344</v>
      </c>
      <c r="H178" s="2" t="n">
        <v>0.2393236275401875</v>
      </c>
      <c r="I178" s="7" t="n">
        <v>23.93236275401875</v>
      </c>
      <c r="J178" s="6" t="n"/>
      <c r="K178" s="4" t="n">
        <v>-8.5</v>
      </c>
      <c r="L178" s="2" t="n">
        <v>0.3933884426063123</v>
      </c>
      <c r="M178" s="6" t="n">
        <v>0.1624052896836382</v>
      </c>
      <c r="N178" s="7" t="n">
        <v>100</v>
      </c>
    </row>
    <row r="179">
      <c r="A179" s="2" t="inlineStr">
        <is>
          <t>Tanner Bibee</t>
        </is>
      </c>
      <c r="B179" s="2" t="n">
        <v>9</v>
      </c>
      <c r="C179" s="2" t="n">
        <v>7</v>
      </c>
      <c r="D179" s="2" t="n">
        <v>2</v>
      </c>
      <c r="E179" s="2" t="n">
        <v>0</v>
      </c>
      <c r="F179" s="6" t="n">
        <v>0.7777777777777778</v>
      </c>
      <c r="G179" s="6" t="n">
        <v>0.5763786008230453</v>
      </c>
      <c r="H179" s="2" t="n">
        <v>5.187407407407408</v>
      </c>
      <c r="I179" s="7" t="n">
        <v>518.7407407407408</v>
      </c>
      <c r="J179" s="6" t="n"/>
      <c r="K179" s="4" t="n">
        <v>5.777777777777778</v>
      </c>
      <c r="L179" s="2" t="n">
        <v>0.2641749184549929</v>
      </c>
      <c r="M179" s="6" t="n">
        <v>0.1292411594880646</v>
      </c>
      <c r="N179" s="7" t="n">
        <v>100</v>
      </c>
    </row>
    <row r="180">
      <c r="A180" s="2" t="inlineStr">
        <is>
          <t>Tarik Skubal</t>
        </is>
      </c>
      <c r="B180" s="2" t="n">
        <v>13</v>
      </c>
      <c r="C180" s="2" t="n">
        <v>11</v>
      </c>
      <c r="D180" s="2" t="n">
        <v>2</v>
      </c>
      <c r="E180" s="2" t="n">
        <v>0</v>
      </c>
      <c r="F180" s="6" t="n">
        <v>0.8461538461538461</v>
      </c>
      <c r="G180" s="6" t="n">
        <v>0.6731385943859108</v>
      </c>
      <c r="H180" s="2" t="n">
        <v>8.750801727016841</v>
      </c>
      <c r="I180" s="7" t="n">
        <v>875.0801727016841</v>
      </c>
      <c r="J180" s="6" t="n"/>
      <c r="K180" s="4" t="n">
        <v>0.6153846153846154</v>
      </c>
      <c r="L180" s="2" t="n">
        <v>0.7663804492032474</v>
      </c>
      <c r="M180" s="6" t="n">
        <v>0.2500785028601144</v>
      </c>
      <c r="N180" s="7" t="n">
        <v>100</v>
      </c>
    </row>
    <row r="181">
      <c r="A181" s="2" t="inlineStr">
        <is>
          <t>Tatsuya Imai</t>
        </is>
      </c>
      <c r="B181" s="2" t="n">
        <v>1</v>
      </c>
      <c r="C181" s="2" t="n">
        <v>0</v>
      </c>
      <c r="D181" s="2" t="n">
        <v>1</v>
      </c>
      <c r="E181" s="2" t="n">
        <v>0</v>
      </c>
      <c r="F181" s="6" t="n">
        <v>0</v>
      </c>
      <c r="G181" s="6" t="n">
        <v>-1</v>
      </c>
      <c r="H181" s="2" t="n">
        <v>-1</v>
      </c>
      <c r="I181" s="7" t="n">
        <v>-100</v>
      </c>
      <c r="J181" s="6" t="n"/>
      <c r="K181" s="4" t="n">
        <v>130</v>
      </c>
      <c r="L181" s="2" t="n">
        <v>-0.2945559023104014</v>
      </c>
      <c r="M181" s="6" t="n">
        <v>0.0976754261124315</v>
      </c>
      <c r="N181" s="7" t="n">
        <v>100</v>
      </c>
    </row>
    <row r="182">
      <c r="A182" s="2" t="inlineStr">
        <is>
          <t>Tomoyuki Sugano</t>
        </is>
      </c>
      <c r="B182" s="2" t="n">
        <v>1</v>
      </c>
      <c r="C182" s="2" t="n">
        <v>0</v>
      </c>
      <c r="D182" s="2" t="n">
        <v>1</v>
      </c>
      <c r="E182" s="2" t="n">
        <v>0</v>
      </c>
      <c r="F182" s="6" t="n">
        <v>0</v>
      </c>
      <c r="G182" s="6" t="n">
        <v>-1</v>
      </c>
      <c r="H182" s="2" t="n">
        <v>-1</v>
      </c>
      <c r="I182" s="7" t="n">
        <v>-100</v>
      </c>
      <c r="J182" s="6" t="n"/>
      <c r="K182" s="4" t="n">
        <v>130</v>
      </c>
      <c r="L182" s="2" t="n">
        <v>-0.07417544710237189</v>
      </c>
      <c r="M182" s="6" t="n">
        <v>0.1976438495408595</v>
      </c>
      <c r="N182" s="7" t="n">
        <v>100</v>
      </c>
    </row>
    <row r="183">
      <c r="A183" s="2" t="inlineStr">
        <is>
          <t>Trevor Rogers</t>
        </is>
      </c>
      <c r="B183" s="2" t="n">
        <v>4</v>
      </c>
      <c r="C183" s="2" t="n">
        <v>2</v>
      </c>
      <c r="D183" s="2" t="n">
        <v>2</v>
      </c>
      <c r="E183" s="2" t="n">
        <v>0</v>
      </c>
      <c r="F183" s="6" t="n">
        <v>0.5</v>
      </c>
      <c r="G183" s="6" t="n">
        <v>-0.1134328358208955</v>
      </c>
      <c r="H183" s="2" t="n">
        <v>-0.4537313432835821</v>
      </c>
      <c r="I183" s="7" t="n">
        <v>-45.37313432835822</v>
      </c>
      <c r="J183" s="6" t="n"/>
      <c r="K183" s="4" t="n">
        <v>-70</v>
      </c>
      <c r="L183" s="2" t="n">
        <v>0.4110822925556383</v>
      </c>
      <c r="M183" s="6" t="n">
        <v>0.1161879200642571</v>
      </c>
      <c r="N183" s="7" t="n">
        <v>100</v>
      </c>
    </row>
    <row r="184">
      <c r="A184" s="2" t="inlineStr">
        <is>
          <t>Trey Yesavage</t>
        </is>
      </c>
      <c r="B184" s="2" t="n">
        <v>7</v>
      </c>
      <c r="C184" s="2" t="n">
        <v>2</v>
      </c>
      <c r="D184" s="2" t="n">
        <v>5</v>
      </c>
      <c r="E184" s="2" t="n">
        <v>0</v>
      </c>
      <c r="F184" s="6" t="n">
        <v>0.2857142857142857</v>
      </c>
      <c r="G184" s="6" t="n">
        <v>-0.5158634468979297</v>
      </c>
      <c r="H184" s="2" t="n">
        <v>-3.611044128285507</v>
      </c>
      <c r="I184" s="7" t="n">
        <v>-361.1044128285508</v>
      </c>
      <c r="J184" s="6" t="n"/>
      <c r="K184" s="4" t="n">
        <v>-26.14285714285714</v>
      </c>
      <c r="L184" s="2" t="n">
        <v>0.5422449941353447</v>
      </c>
      <c r="M184" s="6" t="n">
        <v>0.1881911546974056</v>
      </c>
      <c r="N184" s="7" t="n">
        <v>100</v>
      </c>
    </row>
    <row r="185">
      <c r="A185" s="2" t="inlineStr">
        <is>
          <t>Tyler Glasnow</t>
        </is>
      </c>
      <c r="B185" s="2" t="n">
        <v>13</v>
      </c>
      <c r="C185" s="2" t="n">
        <v>5</v>
      </c>
      <c r="D185" s="2" t="n">
        <v>8</v>
      </c>
      <c r="E185" s="2" t="n">
        <v>0</v>
      </c>
      <c r="F185" s="6" t="n">
        <v>0.3846153846153846</v>
      </c>
      <c r="G185" s="6" t="n">
        <v>-0.2457802586449802</v>
      </c>
      <c r="H185" s="2" t="n">
        <v>-3.195143362384742</v>
      </c>
      <c r="I185" s="7" t="n">
        <v>-319.5143362384742</v>
      </c>
      <c r="J185" s="6" t="n"/>
      <c r="K185" s="4" t="n">
        <v>-1.923076923076923</v>
      </c>
      <c r="L185" s="2" t="n">
        <v>0.5338416983593695</v>
      </c>
      <c r="M185" s="6" t="n">
        <v>0.1920210303425793</v>
      </c>
      <c r="N185" s="7" t="n">
        <v>100</v>
      </c>
    </row>
    <row r="186">
      <c r="A186" s="2" t="inlineStr">
        <is>
          <t>Tyler Mahle</t>
        </is>
      </c>
      <c r="B186" s="2" t="n">
        <v>2</v>
      </c>
      <c r="C186" s="2" t="n">
        <v>2</v>
      </c>
      <c r="D186" s="2" t="n">
        <v>0</v>
      </c>
      <c r="E186" s="2" t="n">
        <v>0</v>
      </c>
      <c r="F186" s="6" t="n">
        <v>1</v>
      </c>
      <c r="G186" s="6" t="n">
        <v>0.9325806451612901</v>
      </c>
      <c r="H186" s="2" t="n">
        <v>1.86516129032258</v>
      </c>
      <c r="I186" s="7" t="n">
        <v>186.516129032258</v>
      </c>
      <c r="J186" s="6" t="n"/>
      <c r="K186" s="4" t="n">
        <v>-16.5</v>
      </c>
      <c r="L186" s="2" t="n">
        <v>0.2366620157552948</v>
      </c>
      <c r="M186" s="6" t="n">
        <v>0.07684819996340952</v>
      </c>
      <c r="N186" s="7" t="n">
        <v>100</v>
      </c>
    </row>
    <row r="187">
      <c r="A187" s="2" t="inlineStr">
        <is>
          <t>Tyler Wells</t>
        </is>
      </c>
      <c r="B187" s="2" t="n">
        <v>1</v>
      </c>
      <c r="C187" s="2" t="n">
        <v>1</v>
      </c>
      <c r="D187" s="2" t="n">
        <v>0</v>
      </c>
      <c r="E187" s="2" t="n">
        <v>0</v>
      </c>
      <c r="F187" s="6" t="n">
        <v>1</v>
      </c>
      <c r="G187" s="6" t="n">
        <v>1.33</v>
      </c>
      <c r="H187" s="2" t="n">
        <v>1.33</v>
      </c>
      <c r="I187" s="7" t="n">
        <v>133</v>
      </c>
      <c r="J187" s="6" t="n"/>
      <c r="K187" s="4" t="n">
        <v>133</v>
      </c>
      <c r="L187" s="2" t="n">
        <v>-0.2953424097160173</v>
      </c>
      <c r="M187" s="6" t="n">
        <v>0.1116590723076484</v>
      </c>
      <c r="N187" s="7" t="n">
        <v>100</v>
      </c>
    </row>
    <row r="188">
      <c r="A188" s="2" t="inlineStr">
        <is>
          <t>Will Warren</t>
        </is>
      </c>
      <c r="B188" s="2" t="n">
        <v>9</v>
      </c>
      <c r="C188" s="2" t="n">
        <v>2</v>
      </c>
      <c r="D188" s="2" t="n">
        <v>7</v>
      </c>
      <c r="E188" s="2" t="n">
        <v>0</v>
      </c>
      <c r="F188" s="6" t="n">
        <v>0.2222222222222222</v>
      </c>
      <c r="G188" s="6" t="n">
        <v>-0.5601010101010101</v>
      </c>
      <c r="H188" s="2" t="n">
        <v>-5.040909090909091</v>
      </c>
      <c r="I188" s="7" t="n">
        <v>-504.0909090909091</v>
      </c>
      <c r="J188" s="6" t="n"/>
      <c r="K188" s="4" t="n">
        <v>40.77777777777778</v>
      </c>
      <c r="L188" s="2" t="n">
        <v>0.2594264687722332</v>
      </c>
      <c r="M188" s="6" t="n">
        <v>0.1923833340867643</v>
      </c>
      <c r="N188" s="7" t="n">
        <v>100</v>
      </c>
    </row>
    <row r="189">
      <c r="A189" s="2" t="inlineStr">
        <is>
          <t>Yoshinobu Yamamoto</t>
        </is>
      </c>
      <c r="B189" s="2" t="n">
        <v>8</v>
      </c>
      <c r="C189" s="2" t="n">
        <v>3</v>
      </c>
      <c r="D189" s="2" t="n">
        <v>5</v>
      </c>
      <c r="E189" s="2" t="n">
        <v>0</v>
      </c>
      <c r="F189" s="6" t="n">
        <v>0.375</v>
      </c>
      <c r="G189" s="6" t="n">
        <v>-0.2921360759493671</v>
      </c>
      <c r="H189" s="2" t="n">
        <v>-2.337088607594937</v>
      </c>
      <c r="I189" s="7" t="n">
        <v>-233.7088607594937</v>
      </c>
      <c r="J189" s="6" t="n"/>
      <c r="K189" s="4" t="n">
        <v>-34.125</v>
      </c>
      <c r="L189" s="2" t="n">
        <v>0.3997371150893869</v>
      </c>
      <c r="M189" s="6" t="n">
        <v>0.141974005680836</v>
      </c>
      <c r="N189" s="7" t="n">
        <v>100</v>
      </c>
    </row>
    <row r="190">
      <c r="A190" s="2" t="inlineStr">
        <is>
          <t>Yu Darvish</t>
        </is>
      </c>
      <c r="B190" s="2" t="n">
        <v>3</v>
      </c>
      <c r="C190" s="2" t="n">
        <v>2</v>
      </c>
      <c r="D190" s="2" t="n">
        <v>1</v>
      </c>
      <c r="E190" s="2" t="n">
        <v>0</v>
      </c>
      <c r="F190" s="6" t="n">
        <v>0.6666666666666666</v>
      </c>
      <c r="G190" s="6" t="n">
        <v>0.2582125603864734</v>
      </c>
      <c r="H190" s="2" t="n">
        <v>0.7746376811594202</v>
      </c>
      <c r="I190" s="7" t="n">
        <v>77.46376811594203</v>
      </c>
      <c r="J190" s="6" t="n"/>
      <c r="K190" s="4" t="n">
        <v>24</v>
      </c>
      <c r="L190" s="2" t="n">
        <v>0.4112385792858155</v>
      </c>
      <c r="M190" s="6" t="n">
        <v>0.1571661798754063</v>
      </c>
      <c r="N190" s="7" t="n">
        <v>100</v>
      </c>
    </row>
    <row r="191">
      <c r="A191" s="2" t="inlineStr">
        <is>
          <t>Yusei Kikuchi</t>
        </is>
      </c>
      <c r="B191" s="2" t="n">
        <v>6</v>
      </c>
      <c r="C191" s="2" t="n">
        <v>3</v>
      </c>
      <c r="D191" s="2" t="n">
        <v>3</v>
      </c>
      <c r="E191" s="2" t="n">
        <v>0</v>
      </c>
      <c r="F191" s="6" t="n">
        <v>0.5</v>
      </c>
      <c r="G191" s="6" t="n">
        <v>-0.07790404040404043</v>
      </c>
      <c r="H191" s="2" t="n">
        <v>-0.4674242424242423</v>
      </c>
      <c r="I191" s="7" t="n">
        <v>-46.74242424242426</v>
      </c>
      <c r="J191" s="6" t="n"/>
      <c r="K191" s="4" t="n">
        <v>32</v>
      </c>
      <c r="L191" s="2" t="n">
        <v>0.3386143804195665</v>
      </c>
      <c r="M191" s="6" t="n">
        <v>0.1864555634459178</v>
      </c>
      <c r="N191" s="7" t="n">
        <v>100</v>
      </c>
    </row>
    <row r="192">
      <c r="A192" s="2" t="inlineStr">
        <is>
          <t>Zac Gallen</t>
        </is>
      </c>
      <c r="B192" s="2" t="n">
        <v>5</v>
      </c>
      <c r="C192" s="2" t="n">
        <v>4</v>
      </c>
      <c r="D192" s="2" t="n">
        <v>1</v>
      </c>
      <c r="E192" s="2" t="n">
        <v>0</v>
      </c>
      <c r="F192" s="6" t="n">
        <v>0.8</v>
      </c>
      <c r="G192" s="6" t="n">
        <v>0.4757771883289125</v>
      </c>
      <c r="H192" s="2" t="n">
        <v>2.378885941644563</v>
      </c>
      <c r="I192" s="7" t="n">
        <v>237.8885941644563</v>
      </c>
      <c r="J192" s="6" t="n"/>
      <c r="K192" s="4" t="n">
        <v>-32.6</v>
      </c>
      <c r="L192" s="2" t="n">
        <v>0.4679268911373624</v>
      </c>
      <c r="M192" s="6" t="n">
        <v>0.1649042422573661</v>
      </c>
      <c r="N192" s="7" t="n">
        <v>100</v>
      </c>
    </row>
    <row r="193">
      <c r="A193" s="2" t="inlineStr">
        <is>
          <t>Zach Eflin</t>
        </is>
      </c>
      <c r="B193" s="2" t="n">
        <v>1</v>
      </c>
      <c r="C193" s="2" t="n">
        <v>1</v>
      </c>
      <c r="D193" s="2" t="n">
        <v>0</v>
      </c>
      <c r="E193" s="2" t="n">
        <v>0</v>
      </c>
      <c r="F193" s="6" t="n">
        <v>1</v>
      </c>
      <c r="G193" s="6" t="n">
        <v>1</v>
      </c>
      <c r="H193" s="2" t="n">
        <v>1</v>
      </c>
      <c r="I193" s="7" t="n">
        <v>100</v>
      </c>
      <c r="J193" s="6" t="n"/>
      <c r="K193" s="4" t="n">
        <v>100</v>
      </c>
      <c r="L193" s="2" t="n">
        <v>0.004061592661560365</v>
      </c>
      <c r="M193" s="6" t="n">
        <v>0.0750187086038856</v>
      </c>
      <c r="N193" s="7" t="n">
        <v>100</v>
      </c>
    </row>
    <row r="194">
      <c r="A194" s="2" t="inlineStr">
        <is>
          <t>Zack Littell</t>
        </is>
      </c>
      <c r="B194" s="2" t="n">
        <v>4</v>
      </c>
      <c r="C194" s="2" t="n">
        <v>1</v>
      </c>
      <c r="D194" s="2" t="n">
        <v>3</v>
      </c>
      <c r="E194" s="2" t="n">
        <v>0</v>
      </c>
      <c r="F194" s="6" t="n">
        <v>0.25</v>
      </c>
      <c r="G194" s="6" t="n">
        <v>-0.5576923076923077</v>
      </c>
      <c r="H194" s="2" t="n">
        <v>-2.230769230769231</v>
      </c>
      <c r="I194" s="7" t="n">
        <v>-223.0769230769231</v>
      </c>
      <c r="J194" s="6" t="n"/>
      <c r="K194" s="4" t="n">
        <v>-60</v>
      </c>
      <c r="L194" s="2" t="n">
        <v>0.1391200181676654</v>
      </c>
      <c r="M194" s="6" t="n">
        <v>0.07910323866108177</v>
      </c>
      <c r="N194" s="7" t="n">
        <v>100</v>
      </c>
    </row>
    <row r="195">
      <c r="A195" s="2" t="inlineStr">
        <is>
          <t>Zack Wheeler</t>
        </is>
      </c>
      <c r="B195" s="2" t="n">
        <v>4</v>
      </c>
      <c r="C195" s="2" t="n">
        <v>1</v>
      </c>
      <c r="D195" s="2" t="n">
        <v>3</v>
      </c>
      <c r="E195" s="2" t="n">
        <v>0</v>
      </c>
      <c r="F195" s="6" t="n">
        <v>0.25</v>
      </c>
      <c r="G195" s="6" t="n">
        <v>-0.5</v>
      </c>
      <c r="H195" s="2" t="n">
        <v>-2</v>
      </c>
      <c r="I195" s="7" t="n">
        <v>-200</v>
      </c>
      <c r="J195" s="6" t="n"/>
      <c r="K195" s="4" t="n">
        <v>-5.75</v>
      </c>
      <c r="L195" s="2" t="n">
        <v>0.6234393303807797</v>
      </c>
      <c r="M195" s="6" t="n">
        <v>0.2210166346924133</v>
      </c>
      <c r="N195" s="7" t="n">
        <v>100</v>
      </c>
    </row>
    <row r="196"/>
    <row r="197"/>
    <row r="198"/>
    <row r="199">
      <c r="A199" s="16" t="inlineStr">
        <is>
          <t>By Opponent</t>
        </is>
      </c>
    </row>
    <row r="200">
      <c r="A200" s="1" t="inlineStr">
        <is>
          <t>Opponent</t>
        </is>
      </c>
      <c r="B200" s="1" t="inlineStr">
        <is>
          <t>Bets</t>
        </is>
      </c>
      <c r="C200" s="1" t="inlineStr">
        <is>
          <t>Wins</t>
        </is>
      </c>
      <c r="D200" s="1" t="inlineStr">
        <is>
          <t>Losses</t>
        </is>
      </c>
      <c r="E200" s="1" t="inlineStr">
        <is>
          <t>Pushes</t>
        </is>
      </c>
      <c r="F200" s="1" t="inlineStr">
        <is>
          <t>Win Rate</t>
        </is>
      </c>
      <c r="G200" s="1" t="inlineStr">
        <is>
          <t>ROI</t>
        </is>
      </c>
      <c r="H200" s="1" t="inlineStr">
        <is>
          <t>Units</t>
        </is>
      </c>
      <c r="I200" s="1" t="inlineStr">
        <is>
          <t>Profit</t>
        </is>
      </c>
      <c r="J200" s="1" t="inlineStr">
        <is>
          <t>CLV</t>
        </is>
      </c>
      <c r="K200" s="1" t="inlineStr">
        <is>
          <t>Average Odds</t>
        </is>
      </c>
      <c r="L200" s="1" t="inlineStr">
        <is>
          <t>Average Margin</t>
        </is>
      </c>
      <c r="M200" s="1" t="inlineStr">
        <is>
          <t>Average Devig Edge</t>
        </is>
      </c>
      <c r="N200" s="1" t="inlineStr">
        <is>
          <t>Average Stake</t>
        </is>
      </c>
    </row>
    <row r="201">
      <c r="A201" s="2" t="n">
        <v>108</v>
      </c>
      <c r="B201" s="2" t="n">
        <v>12</v>
      </c>
      <c r="C201" s="2" t="n">
        <v>5</v>
      </c>
      <c r="D201" s="2" t="n">
        <v>7</v>
      </c>
      <c r="E201" s="2" t="n">
        <v>0</v>
      </c>
      <c r="F201" s="6" t="n">
        <v>0.4166666666666667</v>
      </c>
      <c r="G201" s="6" t="n">
        <v>-0.2151427028256297</v>
      </c>
      <c r="H201" s="2" t="n">
        <v>-2.581712433907556</v>
      </c>
      <c r="I201" s="7" t="n">
        <v>-258.1712433907556</v>
      </c>
      <c r="J201" s="6" t="n"/>
      <c r="K201" s="4" t="n">
        <v>-6.833333333333333</v>
      </c>
      <c r="L201" s="2" t="n">
        <v>0.4137072956989307</v>
      </c>
      <c r="M201" s="6" t="n">
        <v>0.1524730180798071</v>
      </c>
      <c r="N201" s="7" t="n">
        <v>100</v>
      </c>
    </row>
    <row r="202">
      <c r="A202" s="2" t="n">
        <v>109</v>
      </c>
      <c r="B202" s="2" t="n">
        <v>18</v>
      </c>
      <c r="C202" s="2" t="n">
        <v>9</v>
      </c>
      <c r="D202" s="2" t="n">
        <v>9</v>
      </c>
      <c r="E202" s="2" t="n">
        <v>0</v>
      </c>
      <c r="F202" s="6" t="n">
        <v>0.5</v>
      </c>
      <c r="G202" s="6" t="n">
        <v>-0.005724270439221392</v>
      </c>
      <c r="H202" s="2" t="n">
        <v>-0.1030368679059843</v>
      </c>
      <c r="I202" s="7" t="n">
        <v>-10.3036867905985</v>
      </c>
      <c r="J202" s="6" t="n"/>
      <c r="K202" s="4" t="n">
        <v>17.66666666666667</v>
      </c>
      <c r="L202" s="2" t="n">
        <v>0.4420129604208717</v>
      </c>
      <c r="M202" s="6" t="n">
        <v>0.1889523705573995</v>
      </c>
      <c r="N202" s="7" t="n">
        <v>100</v>
      </c>
    </row>
    <row r="203">
      <c r="A203" s="2" t="n">
        <v>110</v>
      </c>
      <c r="B203" s="2" t="n">
        <v>23</v>
      </c>
      <c r="C203" s="2" t="n">
        <v>20</v>
      </c>
      <c r="D203" s="2" t="n">
        <v>3</v>
      </c>
      <c r="E203" s="2" t="n">
        <v>0</v>
      </c>
      <c r="F203" s="6" t="n">
        <v>0.8695652173913043</v>
      </c>
      <c r="G203" s="6" t="n">
        <v>0.7229480775971651</v>
      </c>
      <c r="H203" s="2" t="n">
        <v>16.6278057847348</v>
      </c>
      <c r="I203" s="7" t="n">
        <v>1662.78057847348</v>
      </c>
      <c r="J203" s="6" t="n"/>
      <c r="K203" s="4" t="n">
        <v>-9.043478260869565</v>
      </c>
      <c r="L203" s="2" t="n">
        <v>0.3600283894185488</v>
      </c>
      <c r="M203" s="6" t="n">
        <v>0.1518180505963719</v>
      </c>
      <c r="N203" s="7" t="n">
        <v>100</v>
      </c>
    </row>
    <row r="204">
      <c r="A204" s="2" t="n">
        <v>111</v>
      </c>
      <c r="B204" s="2" t="n">
        <v>29</v>
      </c>
      <c r="C204" s="2" t="n">
        <v>21</v>
      </c>
      <c r="D204" s="2" t="n">
        <v>8</v>
      </c>
      <c r="E204" s="2" t="n">
        <v>0</v>
      </c>
      <c r="F204" s="6" t="n">
        <v>0.7241379310344828</v>
      </c>
      <c r="G204" s="6" t="n">
        <v>0.3987597827959841</v>
      </c>
      <c r="H204" s="2" t="n">
        <v>11.56403370108354</v>
      </c>
      <c r="I204" s="7" t="n">
        <v>1156.403370108354</v>
      </c>
      <c r="J204" s="6" t="n"/>
      <c r="K204" s="4" t="n">
        <v>-43.10344827586207</v>
      </c>
      <c r="L204" s="2" t="n">
        <v>0.5943747196868884</v>
      </c>
      <c r="M204" s="6" t="n">
        <v>0.1973110806892876</v>
      </c>
      <c r="N204" s="7" t="n">
        <v>100</v>
      </c>
    </row>
    <row r="205">
      <c r="A205" s="2" t="n">
        <v>112</v>
      </c>
      <c r="B205" s="2" t="n">
        <v>38</v>
      </c>
      <c r="C205" s="2" t="n">
        <v>19</v>
      </c>
      <c r="D205" s="2" t="n">
        <v>19</v>
      </c>
      <c r="E205" s="2" t="n">
        <v>0</v>
      </c>
      <c r="F205" s="6" t="n">
        <v>0.5</v>
      </c>
      <c r="G205" s="6" t="n">
        <v>-0.0297193101886805</v>
      </c>
      <c r="H205" s="2" t="n">
        <v>-1.129333787169858</v>
      </c>
      <c r="I205" s="7" t="n">
        <v>-112.9333787169859</v>
      </c>
      <c r="J205" s="6" t="n"/>
      <c r="K205" s="4" t="n">
        <v>-2.131578947368421</v>
      </c>
      <c r="L205" s="2" t="n">
        <v>0.3687259527856769</v>
      </c>
      <c r="M205" s="6" t="n">
        <v>0.1528161399549736</v>
      </c>
      <c r="N205" s="7" t="n">
        <v>100</v>
      </c>
    </row>
    <row r="206">
      <c r="A206" s="2" t="n">
        <v>113</v>
      </c>
      <c r="B206" s="2" t="n">
        <v>43</v>
      </c>
      <c r="C206" s="2" t="n">
        <v>26</v>
      </c>
      <c r="D206" s="2" t="n">
        <v>17</v>
      </c>
      <c r="E206" s="2" t="n">
        <v>0</v>
      </c>
      <c r="F206" s="6" t="n">
        <v>0.6046511627906976</v>
      </c>
      <c r="G206" s="6" t="n">
        <v>0.1948514865549251</v>
      </c>
      <c r="H206" s="2" t="n">
        <v>8.378613921861779</v>
      </c>
      <c r="I206" s="7" t="n">
        <v>837.8613921861779</v>
      </c>
      <c r="J206" s="6" t="n"/>
      <c r="K206" s="4" t="n">
        <v>3.023255813953488</v>
      </c>
      <c r="L206" s="2" t="n">
        <v>0.3676371176527194</v>
      </c>
      <c r="M206" s="6" t="n">
        <v>0.1708984091441215</v>
      </c>
      <c r="N206" s="7" t="n">
        <v>100</v>
      </c>
    </row>
    <row r="207">
      <c r="A207" s="2" t="n">
        <v>114</v>
      </c>
      <c r="B207" s="2" t="n">
        <v>41</v>
      </c>
      <c r="C207" s="2" t="n">
        <v>25</v>
      </c>
      <c r="D207" s="2" t="n">
        <v>16</v>
      </c>
      <c r="E207" s="2" t="n">
        <v>0</v>
      </c>
      <c r="F207" s="6" t="n">
        <v>0.6097560975609756</v>
      </c>
      <c r="G207" s="6" t="n">
        <v>0.1876851617844801</v>
      </c>
      <c r="H207" s="2" t="n">
        <v>7.695091633163684</v>
      </c>
      <c r="I207" s="7" t="n">
        <v>769.5091633163684</v>
      </c>
      <c r="J207" s="6" t="n"/>
      <c r="K207" s="4" t="n">
        <v>-13.46341463414634</v>
      </c>
      <c r="L207" s="2" t="n">
        <v>0.4933122212566272</v>
      </c>
      <c r="M207" s="6" t="n">
        <v>0.1796931934574966</v>
      </c>
      <c r="N207" s="7" t="n">
        <v>100</v>
      </c>
    </row>
    <row r="208">
      <c r="A208" s="2" t="n">
        <v>115</v>
      </c>
      <c r="B208" s="2" t="n">
        <v>29</v>
      </c>
      <c r="C208" s="2" t="n">
        <v>14</v>
      </c>
      <c r="D208" s="2" t="n">
        <v>15</v>
      </c>
      <c r="E208" s="2" t="n">
        <v>0</v>
      </c>
      <c r="F208" s="6" t="n">
        <v>0.4827586206896552</v>
      </c>
      <c r="G208" s="6" t="n">
        <v>-0.03057099108501979</v>
      </c>
      <c r="H208" s="2" t="n">
        <v>-0.8865587414655747</v>
      </c>
      <c r="I208" s="7" t="n">
        <v>-88.65587414655738</v>
      </c>
      <c r="J208" s="6" t="n"/>
      <c r="K208" s="4" t="n">
        <v>29.75862068965517</v>
      </c>
      <c r="L208" s="2" t="n">
        <v>0.3790823993235942</v>
      </c>
      <c r="M208" s="6" t="n">
        <v>0.1778026713893132</v>
      </c>
      <c r="N208" s="7" t="n">
        <v>100</v>
      </c>
    </row>
    <row r="209">
      <c r="A209" s="2" t="n">
        <v>116</v>
      </c>
      <c r="B209" s="2" t="n">
        <v>36</v>
      </c>
      <c r="C209" s="2" t="n">
        <v>21</v>
      </c>
      <c r="D209" s="2" t="n">
        <v>15</v>
      </c>
      <c r="E209" s="2" t="n">
        <v>0</v>
      </c>
      <c r="F209" s="6" t="n">
        <v>0.5833333333333334</v>
      </c>
      <c r="G209" s="6" t="n">
        <v>0.1323688827809016</v>
      </c>
      <c r="H209" s="2" t="n">
        <v>4.765279780112458</v>
      </c>
      <c r="I209" s="7" t="n">
        <v>476.5279780112459</v>
      </c>
      <c r="J209" s="6" t="n"/>
      <c r="K209" s="4" t="n">
        <v>5</v>
      </c>
      <c r="L209" s="2" t="n">
        <v>0.4455690958362067</v>
      </c>
      <c r="M209" s="6" t="n">
        <v>0.190135130674592</v>
      </c>
      <c r="N209" s="7" t="n">
        <v>100</v>
      </c>
    </row>
    <row r="210">
      <c r="A210" s="2" t="n">
        <v>117</v>
      </c>
      <c r="B210" s="2" t="n">
        <v>18</v>
      </c>
      <c r="C210" s="2" t="n">
        <v>6</v>
      </c>
      <c r="D210" s="2" t="n">
        <v>12</v>
      </c>
      <c r="E210" s="2" t="n">
        <v>0</v>
      </c>
      <c r="F210" s="6" t="n">
        <v>0.3333333333333333</v>
      </c>
      <c r="G210" s="6" t="n">
        <v>-0.3605985519746988</v>
      </c>
      <c r="H210" s="2" t="n">
        <v>-6.490773935544578</v>
      </c>
      <c r="I210" s="7" t="n">
        <v>-649.0773935544578</v>
      </c>
      <c r="J210" s="6" t="n"/>
      <c r="K210" s="4" t="n">
        <v>-17.44444444444444</v>
      </c>
      <c r="L210" s="2" t="n">
        <v>0.3075910359346817</v>
      </c>
      <c r="M210" s="6" t="n">
        <v>0.1297101927863437</v>
      </c>
      <c r="N210" s="7" t="n">
        <v>100</v>
      </c>
    </row>
    <row r="211">
      <c r="A211" s="2" t="n">
        <v>118</v>
      </c>
      <c r="B211" s="2" t="n">
        <v>27</v>
      </c>
      <c r="C211" s="2" t="n">
        <v>14</v>
      </c>
      <c r="D211" s="2" t="n">
        <v>13</v>
      </c>
      <c r="E211" s="2" t="n">
        <v>0</v>
      </c>
      <c r="F211" s="6" t="n">
        <v>0.5185185185185185</v>
      </c>
      <c r="G211" s="6" t="n">
        <v>-0.03044863555276484</v>
      </c>
      <c r="H211" s="2" t="n">
        <v>-0.8221131599246512</v>
      </c>
      <c r="I211" s="7" t="n">
        <v>-82.21131599246507</v>
      </c>
      <c r="J211" s="6" t="n"/>
      <c r="K211" s="4" t="n">
        <v>-13.51851851851852</v>
      </c>
      <c r="L211" s="2" t="n">
        <v>0.4310928256390413</v>
      </c>
      <c r="M211" s="6" t="n">
        <v>0.1696816173693539</v>
      </c>
      <c r="N211" s="7" t="n">
        <v>100</v>
      </c>
    </row>
    <row r="212">
      <c r="A212" s="2" t="n">
        <v>119</v>
      </c>
      <c r="B212" s="2" t="n">
        <v>11</v>
      </c>
      <c r="C212" s="2" t="n">
        <v>5</v>
      </c>
      <c r="D212" s="2" t="n">
        <v>6</v>
      </c>
      <c r="E212" s="2" t="n">
        <v>0</v>
      </c>
      <c r="F212" s="6" t="n">
        <v>0.4545454545454545</v>
      </c>
      <c r="G212" s="6" t="n">
        <v>-0.1152784749361282</v>
      </c>
      <c r="H212" s="2" t="n">
        <v>-1.26806322429741</v>
      </c>
      <c r="I212" s="7" t="n">
        <v>-126.806322429741</v>
      </c>
      <c r="J212" s="6" t="n"/>
      <c r="K212" s="4" t="n">
        <v>-15</v>
      </c>
      <c r="L212" s="2" t="n">
        <v>0.4162314367150708</v>
      </c>
      <c r="M212" s="6" t="n">
        <v>0.1777990490854104</v>
      </c>
      <c r="N212" s="7" t="n">
        <v>100</v>
      </c>
    </row>
    <row r="213">
      <c r="A213" s="2" t="n">
        <v>120</v>
      </c>
      <c r="B213" s="2" t="n">
        <v>69</v>
      </c>
      <c r="C213" s="2" t="n">
        <v>30</v>
      </c>
      <c r="D213" s="2" t="n">
        <v>39</v>
      </c>
      <c r="E213" s="2" t="n">
        <v>0</v>
      </c>
      <c r="F213" s="6" t="n">
        <v>0.4347826086956522</v>
      </c>
      <c r="G213" s="6" t="n">
        <v>-0.1565124128382925</v>
      </c>
      <c r="H213" s="2" t="n">
        <v>-10.79935648584218</v>
      </c>
      <c r="I213" s="7" t="n">
        <v>-1079.935648584218</v>
      </c>
      <c r="J213" s="6" t="n"/>
      <c r="K213" s="4" t="n">
        <v>2.304347826086957</v>
      </c>
      <c r="L213" s="2" t="n">
        <v>0.5008903653508621</v>
      </c>
      <c r="M213" s="6" t="n">
        <v>0.1972789027633092</v>
      </c>
      <c r="N213" s="7" t="n">
        <v>100</v>
      </c>
    </row>
    <row r="214">
      <c r="A214" s="2" t="n">
        <v>121</v>
      </c>
      <c r="B214" s="2" t="n">
        <v>26</v>
      </c>
      <c r="C214" s="2" t="n">
        <v>17</v>
      </c>
      <c r="D214" s="2" t="n">
        <v>9</v>
      </c>
      <c r="E214" s="2" t="n">
        <v>0</v>
      </c>
      <c r="F214" s="6" t="n">
        <v>0.6538461538461539</v>
      </c>
      <c r="G214" s="6" t="n">
        <v>0.264616695748544</v>
      </c>
      <c r="H214" s="2" t="n">
        <v>6.880034089462145</v>
      </c>
      <c r="I214" s="7" t="n">
        <v>688.0034089462144</v>
      </c>
      <c r="J214" s="6" t="n"/>
      <c r="K214" s="4" t="n">
        <v>-0.8846153846153846</v>
      </c>
      <c r="L214" s="2" t="n">
        <v>0.429188862075585</v>
      </c>
      <c r="M214" s="6" t="n">
        <v>0.1688119035736517</v>
      </c>
      <c r="N214" s="7" t="n">
        <v>100</v>
      </c>
    </row>
    <row r="215">
      <c r="A215" s="2" t="n">
        <v>133</v>
      </c>
      <c r="B215" s="2" t="n">
        <v>27</v>
      </c>
      <c r="C215" s="2" t="n">
        <v>18</v>
      </c>
      <c r="D215" s="2" t="n">
        <v>9</v>
      </c>
      <c r="E215" s="2" t="n">
        <v>0</v>
      </c>
      <c r="F215" s="6" t="n">
        <v>0.6666666666666666</v>
      </c>
      <c r="G215" s="6" t="n">
        <v>0.29494133001642</v>
      </c>
      <c r="H215" s="2" t="n">
        <v>7.963415910443336</v>
      </c>
      <c r="I215" s="7" t="n">
        <v>796.3415910443339</v>
      </c>
      <c r="J215" s="6" t="n"/>
      <c r="K215" s="4" t="n">
        <v>8.25925925925926</v>
      </c>
      <c r="L215" s="2" t="n">
        <v>0.6748880833107146</v>
      </c>
      <c r="M215" s="6" t="n">
        <v>0.2370747238915847</v>
      </c>
      <c r="N215" s="7" t="n">
        <v>100</v>
      </c>
    </row>
    <row r="216">
      <c r="A216" s="2" t="n">
        <v>134</v>
      </c>
      <c r="B216" s="2" t="n">
        <v>41</v>
      </c>
      <c r="C216" s="2" t="n">
        <v>20</v>
      </c>
      <c r="D216" s="2" t="n">
        <v>21</v>
      </c>
      <c r="E216" s="2" t="n">
        <v>0</v>
      </c>
      <c r="F216" s="6" t="n">
        <v>0.4878048780487805</v>
      </c>
      <c r="G216" s="6" t="n">
        <v>-0.03606208701631981</v>
      </c>
      <c r="H216" s="2" t="n">
        <v>-1.478545567669113</v>
      </c>
      <c r="I216" s="7" t="n">
        <v>-147.8545567669112</v>
      </c>
      <c r="J216" s="6" t="n"/>
      <c r="K216" s="4" t="n">
        <v>-3.073170731707317</v>
      </c>
      <c r="L216" s="2" t="n">
        <v>0.4734287039701324</v>
      </c>
      <c r="M216" s="6" t="n">
        <v>0.1947223749657849</v>
      </c>
      <c r="N216" s="7" t="n">
        <v>100</v>
      </c>
    </row>
    <row r="217">
      <c r="A217" s="2" t="n">
        <v>135</v>
      </c>
      <c r="B217" s="2" t="n">
        <v>23</v>
      </c>
      <c r="C217" s="2" t="n">
        <v>11</v>
      </c>
      <c r="D217" s="2" t="n">
        <v>12</v>
      </c>
      <c r="E217" s="2" t="n">
        <v>0</v>
      </c>
      <c r="F217" s="6" t="n">
        <v>0.4782608695652174</v>
      </c>
      <c r="G217" s="6" t="n">
        <v>-0.1014646484935113</v>
      </c>
      <c r="H217" s="2" t="n">
        <v>-2.333686915350759</v>
      </c>
      <c r="I217" s="7" t="n">
        <v>-233.3686915350759</v>
      </c>
      <c r="J217" s="6" t="n"/>
      <c r="K217" s="4" t="n">
        <v>-35.26086956521739</v>
      </c>
      <c r="L217" s="2" t="n">
        <v>0.557289522859018</v>
      </c>
      <c r="M217" s="6" t="n">
        <v>0.1896775193234511</v>
      </c>
      <c r="N217" s="7" t="n">
        <v>100</v>
      </c>
    </row>
    <row r="218">
      <c r="A218" s="2" t="n">
        <v>136</v>
      </c>
      <c r="B218" s="2" t="n">
        <v>16</v>
      </c>
      <c r="C218" s="2" t="n">
        <v>9</v>
      </c>
      <c r="D218" s="2" t="n">
        <v>7</v>
      </c>
      <c r="E218" s="2" t="n">
        <v>0</v>
      </c>
      <c r="F218" s="6" t="n">
        <v>0.5625</v>
      </c>
      <c r="G218" s="6" t="n">
        <v>0.1146434306517941</v>
      </c>
      <c r="H218" s="2" t="n">
        <v>1.834294890428705</v>
      </c>
      <c r="I218" s="7" t="n">
        <v>183.4294890428705</v>
      </c>
      <c r="J218" s="6" t="n"/>
      <c r="K218" s="4" t="n">
        <v>-3.625</v>
      </c>
      <c r="L218" s="2" t="n">
        <v>0.4257667958618324</v>
      </c>
      <c r="M218" s="6" t="n">
        <v>0.1875488737518387</v>
      </c>
      <c r="N218" s="7" t="n">
        <v>100</v>
      </c>
    </row>
    <row r="219">
      <c r="A219" s="2" t="n">
        <v>137</v>
      </c>
      <c r="B219" s="2" t="n">
        <v>32</v>
      </c>
      <c r="C219" s="2" t="n">
        <v>19</v>
      </c>
      <c r="D219" s="2" t="n">
        <v>13</v>
      </c>
      <c r="E219" s="2" t="n">
        <v>0</v>
      </c>
      <c r="F219" s="6" t="n">
        <v>0.59375</v>
      </c>
      <c r="G219" s="6" t="n">
        <v>0.09735836064537541</v>
      </c>
      <c r="H219" s="2" t="n">
        <v>3.115467540652012</v>
      </c>
      <c r="I219" s="7" t="n">
        <v>311.5467540652013</v>
      </c>
      <c r="J219" s="6" t="n"/>
      <c r="K219" s="4" t="n">
        <v>-33</v>
      </c>
      <c r="L219" s="2" t="n">
        <v>0.5204482684547267</v>
      </c>
      <c r="M219" s="6" t="n">
        <v>0.1744750492915818</v>
      </c>
      <c r="N219" s="7" t="n">
        <v>100</v>
      </c>
    </row>
    <row r="220">
      <c r="A220" s="2" t="n">
        <v>138</v>
      </c>
      <c r="B220" s="2" t="n">
        <v>23</v>
      </c>
      <c r="C220" s="2" t="n">
        <v>10</v>
      </c>
      <c r="D220" s="2" t="n">
        <v>13</v>
      </c>
      <c r="E220" s="2" t="n">
        <v>0</v>
      </c>
      <c r="F220" s="6" t="n">
        <v>0.4347826086956522</v>
      </c>
      <c r="G220" s="6" t="n">
        <v>-0.1181553504781293</v>
      </c>
      <c r="H220" s="2" t="n">
        <v>-2.717573060996974</v>
      </c>
      <c r="I220" s="7" t="n">
        <v>-271.7573060996975</v>
      </c>
      <c r="J220" s="6" t="n"/>
      <c r="K220" s="4" t="n">
        <v>30.52173913043478</v>
      </c>
      <c r="L220" s="2" t="n">
        <v>0.3283232884525283</v>
      </c>
      <c r="M220" s="6" t="n">
        <v>0.1820104607364399</v>
      </c>
      <c r="N220" s="7" t="n">
        <v>100</v>
      </c>
    </row>
    <row r="221">
      <c r="A221" s="2" t="n">
        <v>139</v>
      </c>
      <c r="B221" s="2" t="n">
        <v>48</v>
      </c>
      <c r="C221" s="2" t="n">
        <v>29</v>
      </c>
      <c r="D221" s="2" t="n">
        <v>19</v>
      </c>
      <c r="E221" s="2" t="n">
        <v>0</v>
      </c>
      <c r="F221" s="6" t="n">
        <v>0.6041666666666666</v>
      </c>
      <c r="G221" s="6" t="n">
        <v>0.17904394447422</v>
      </c>
      <c r="H221" s="2" t="n">
        <v>8.594109334762559</v>
      </c>
      <c r="I221" s="7" t="n">
        <v>859.4109334762558</v>
      </c>
      <c r="J221" s="6" t="n"/>
      <c r="K221" s="4" t="n">
        <v>-9.083333333333334</v>
      </c>
      <c r="L221" s="2" t="n">
        <v>0.3814804364190881</v>
      </c>
      <c r="M221" s="6" t="n">
        <v>0.1581105100629575</v>
      </c>
      <c r="N221" s="7" t="n">
        <v>100</v>
      </c>
    </row>
    <row r="222">
      <c r="A222" s="2" t="n">
        <v>140</v>
      </c>
      <c r="B222" s="2" t="n">
        <v>29</v>
      </c>
      <c r="C222" s="2" t="n">
        <v>14</v>
      </c>
      <c r="D222" s="2" t="n">
        <v>15</v>
      </c>
      <c r="E222" s="2" t="n">
        <v>0</v>
      </c>
      <c r="F222" s="6" t="n">
        <v>0.4827586206896552</v>
      </c>
      <c r="G222" s="6" t="n">
        <v>-0.06214647327014289</v>
      </c>
      <c r="H222" s="2" t="n">
        <v>-1.802247724834144</v>
      </c>
      <c r="I222" s="7" t="n">
        <v>-180.2247724834144</v>
      </c>
      <c r="J222" s="6" t="n"/>
      <c r="K222" s="4" t="n">
        <v>-2.551724137931035</v>
      </c>
      <c r="L222" s="2" t="n">
        <v>0.3204046913888801</v>
      </c>
      <c r="M222" s="6" t="n">
        <v>0.1467265245152464</v>
      </c>
      <c r="N222" s="7" t="n">
        <v>100</v>
      </c>
    </row>
    <row r="223">
      <c r="A223" s="2" t="n">
        <v>141</v>
      </c>
      <c r="B223" s="2" t="n">
        <v>29</v>
      </c>
      <c r="C223" s="2" t="n">
        <v>16</v>
      </c>
      <c r="D223" s="2" t="n">
        <v>13</v>
      </c>
      <c r="E223" s="2" t="n">
        <v>0</v>
      </c>
      <c r="F223" s="6" t="n">
        <v>0.5517241379310345</v>
      </c>
      <c r="G223" s="6" t="n">
        <v>0.1001236461304655</v>
      </c>
      <c r="H223" s="2" t="n">
        <v>2.903585737783498</v>
      </c>
      <c r="I223" s="7" t="n">
        <v>290.3585737783499</v>
      </c>
      <c r="J223" s="6" t="n"/>
      <c r="K223" s="4" t="n">
        <v>-2.586206896551724</v>
      </c>
      <c r="L223" s="2" t="n">
        <v>0.348820111694808</v>
      </c>
      <c r="M223" s="6" t="n">
        <v>0.1493145375506272</v>
      </c>
      <c r="N223" s="7" t="n">
        <v>100</v>
      </c>
    </row>
    <row r="224">
      <c r="A224" s="2" t="n">
        <v>142</v>
      </c>
      <c r="B224" s="2" t="n">
        <v>40</v>
      </c>
      <c r="C224" s="2" t="n">
        <v>24</v>
      </c>
      <c r="D224" s="2" t="n">
        <v>16</v>
      </c>
      <c r="E224" s="2" t="n">
        <v>0</v>
      </c>
      <c r="F224" s="6" t="n">
        <v>0.6</v>
      </c>
      <c r="G224" s="6" t="n">
        <v>0.1607388690051998</v>
      </c>
      <c r="H224" s="2" t="n">
        <v>6.429554760207992</v>
      </c>
      <c r="I224" s="7" t="n">
        <v>642.9554760207992</v>
      </c>
      <c r="J224" s="6" t="n"/>
      <c r="K224" s="4" t="n">
        <v>-20.75</v>
      </c>
      <c r="L224" s="2" t="n">
        <v>0.4725961847864726</v>
      </c>
      <c r="M224" s="6" t="n">
        <v>0.1717703622291434</v>
      </c>
      <c r="N224" s="7" t="n">
        <v>100</v>
      </c>
    </row>
    <row r="225">
      <c r="A225" s="2" t="n">
        <v>143</v>
      </c>
      <c r="B225" s="2" t="n">
        <v>39</v>
      </c>
      <c r="C225" s="2" t="n">
        <v>15</v>
      </c>
      <c r="D225" s="2" t="n">
        <v>24</v>
      </c>
      <c r="E225" s="2" t="n">
        <v>0</v>
      </c>
      <c r="F225" s="6" t="n">
        <v>0.3846153846153846</v>
      </c>
      <c r="G225" s="6" t="n">
        <v>-0.2630882077772041</v>
      </c>
      <c r="H225" s="2" t="n">
        <v>-10.26044010331096</v>
      </c>
      <c r="I225" s="7" t="n">
        <v>-1026.044010331096</v>
      </c>
      <c r="J225" s="6" t="n"/>
      <c r="K225" s="4" t="n">
        <v>-22.30769230769231</v>
      </c>
      <c r="L225" s="2" t="n">
        <v>0.5862625167412557</v>
      </c>
      <c r="M225" s="6" t="n">
        <v>0.1867561155603777</v>
      </c>
      <c r="N225" s="7" t="n">
        <v>100</v>
      </c>
    </row>
    <row r="226">
      <c r="A226" s="2" t="n">
        <v>144</v>
      </c>
      <c r="B226" s="2" t="n">
        <v>42</v>
      </c>
      <c r="C226" s="2" t="n">
        <v>22</v>
      </c>
      <c r="D226" s="2" t="n">
        <v>20</v>
      </c>
      <c r="E226" s="2" t="n">
        <v>0</v>
      </c>
      <c r="F226" s="6" t="n">
        <v>0.5238095238095238</v>
      </c>
      <c r="G226" s="6" t="n">
        <v>0.02164499218301495</v>
      </c>
      <c r="H226" s="2" t="n">
        <v>0.9090896716866284</v>
      </c>
      <c r="I226" s="7" t="n">
        <v>90.9089671686628</v>
      </c>
      <c r="J226" s="6" t="n"/>
      <c r="K226" s="4" t="n">
        <v>5.047619047619047</v>
      </c>
      <c r="L226" s="2" t="n">
        <v>0.32135217402479</v>
      </c>
      <c r="M226" s="6" t="n">
        <v>0.1760040130780083</v>
      </c>
      <c r="N226" s="7" t="n">
        <v>100</v>
      </c>
    </row>
    <row r="227">
      <c r="A227" s="2" t="n">
        <v>145</v>
      </c>
      <c r="B227" s="2" t="n">
        <v>58</v>
      </c>
      <c r="C227" s="2" t="n">
        <v>35</v>
      </c>
      <c r="D227" s="2" t="n">
        <v>23</v>
      </c>
      <c r="E227" s="2" t="n">
        <v>0</v>
      </c>
      <c r="F227" s="6" t="n">
        <v>0.603448275862069</v>
      </c>
      <c r="G227" s="6" t="n">
        <v>0.1910668742281696</v>
      </c>
      <c r="H227" s="2" t="n">
        <v>11.08187870523384</v>
      </c>
      <c r="I227" s="7" t="n">
        <v>1108.187870523384</v>
      </c>
      <c r="J227" s="6" t="n"/>
      <c r="K227" s="4" t="n">
        <v>-18.22413793103448</v>
      </c>
      <c r="L227" s="2" t="n">
        <v>0.6152649193453136</v>
      </c>
      <c r="M227" s="6" t="n">
        <v>0.2119140967375507</v>
      </c>
      <c r="N227" s="7" t="n">
        <v>100</v>
      </c>
    </row>
    <row r="228">
      <c r="A228" s="2" t="n">
        <v>146</v>
      </c>
      <c r="B228" s="2" t="n">
        <v>63</v>
      </c>
      <c r="C228" s="2" t="n">
        <v>36</v>
      </c>
      <c r="D228" s="2" t="n">
        <v>27</v>
      </c>
      <c r="E228" s="2" t="n">
        <v>0</v>
      </c>
      <c r="F228" s="6" t="n">
        <v>0.5714285714285714</v>
      </c>
      <c r="G228" s="6" t="n">
        <v>0.110217565740361</v>
      </c>
      <c r="H228" s="2" t="n">
        <v>6.943706641642747</v>
      </c>
      <c r="I228" s="7" t="n">
        <v>694.3706641642746</v>
      </c>
      <c r="J228" s="6" t="n"/>
      <c r="K228" s="4" t="n">
        <v>-3.857142857142857</v>
      </c>
      <c r="L228" s="2" t="n">
        <v>0.5081732007672014</v>
      </c>
      <c r="M228" s="6" t="n">
        <v>0.1957549806040213</v>
      </c>
      <c r="N228" s="7" t="n">
        <v>100</v>
      </c>
    </row>
    <row r="229">
      <c r="A229" s="2" t="n">
        <v>147</v>
      </c>
      <c r="B229" s="2" t="n">
        <v>36</v>
      </c>
      <c r="C229" s="2" t="n">
        <v>21</v>
      </c>
      <c r="D229" s="2" t="n">
        <v>15</v>
      </c>
      <c r="E229" s="2" t="n">
        <v>0</v>
      </c>
      <c r="F229" s="6" t="n">
        <v>0.5833333333333334</v>
      </c>
      <c r="G229" s="6" t="n">
        <v>0.1342348755639527</v>
      </c>
      <c r="H229" s="2" t="n">
        <v>4.832455520302298</v>
      </c>
      <c r="I229" s="7" t="n">
        <v>483.2455520302299</v>
      </c>
      <c r="J229" s="6" t="n"/>
      <c r="K229" s="4" t="n">
        <v>2.194444444444445</v>
      </c>
      <c r="L229" s="2" t="n">
        <v>0.3479766537272798</v>
      </c>
      <c r="M229" s="6" t="n">
        <v>0.1333103046164333</v>
      </c>
      <c r="N229" s="7" t="n">
        <v>100</v>
      </c>
    </row>
    <row r="230">
      <c r="A230" s="2" t="n">
        <v>158</v>
      </c>
      <c r="B230" s="2" t="n">
        <v>49</v>
      </c>
      <c r="C230" s="2" t="n">
        <v>39</v>
      </c>
      <c r="D230" s="2" t="n">
        <v>10</v>
      </c>
      <c r="E230" s="2" t="n">
        <v>0</v>
      </c>
      <c r="F230" s="6" t="n">
        <v>0.7959183673469388</v>
      </c>
      <c r="G230" s="6" t="n">
        <v>0.5464444470080261</v>
      </c>
      <c r="H230" s="2" t="n">
        <v>26.77577790339328</v>
      </c>
      <c r="I230" s="7" t="n">
        <v>2677.577790339328</v>
      </c>
      <c r="J230" s="6" t="n"/>
      <c r="K230" s="4" t="n">
        <v>-22.28571428571428</v>
      </c>
      <c r="L230" s="2" t="n">
        <v>0.4337816402164452</v>
      </c>
      <c r="M230" s="6" t="n">
        <v>0.1567932736250357</v>
      </c>
      <c r="N230" s="7" t="n">
        <v>100</v>
      </c>
    </row>
    <row r="231"/>
    <row r="232"/>
    <row r="233"/>
    <row r="234">
      <c r="A234" s="16" t="inlineStr">
        <is>
          <t>By Team</t>
        </is>
      </c>
    </row>
    <row r="235">
      <c r="A235" s="1" t="inlineStr">
        <is>
          <t>Team</t>
        </is>
      </c>
      <c r="B235" s="1" t="inlineStr">
        <is>
          <t>Bets</t>
        </is>
      </c>
      <c r="C235" s="1" t="inlineStr">
        <is>
          <t>Wins</t>
        </is>
      </c>
      <c r="D235" s="1" t="inlineStr">
        <is>
          <t>Losses</t>
        </is>
      </c>
      <c r="E235" s="1" t="inlineStr">
        <is>
          <t>Pushes</t>
        </is>
      </c>
      <c r="F235" s="1" t="inlineStr">
        <is>
          <t>Win Rate</t>
        </is>
      </c>
      <c r="G235" s="1" t="inlineStr">
        <is>
          <t>ROI</t>
        </is>
      </c>
      <c r="H235" s="1" t="inlineStr">
        <is>
          <t>Units</t>
        </is>
      </c>
      <c r="I235" s="1" t="inlineStr">
        <is>
          <t>Profit</t>
        </is>
      </c>
      <c r="J235" s="1" t="inlineStr">
        <is>
          <t>CLV</t>
        </is>
      </c>
      <c r="K235" s="1" t="inlineStr">
        <is>
          <t>Average Odds</t>
        </is>
      </c>
      <c r="L235" s="1" t="inlineStr">
        <is>
          <t>Average Margin</t>
        </is>
      </c>
      <c r="M235" s="1" t="inlineStr">
        <is>
          <t>Average Devig Edge</t>
        </is>
      </c>
      <c r="N235" s="1" t="inlineStr">
        <is>
          <t>Average Stake</t>
        </is>
      </c>
    </row>
    <row r="236">
      <c r="A236" s="2" t="n">
        <v>108</v>
      </c>
      <c r="B236" s="2" t="n">
        <v>12</v>
      </c>
      <c r="C236" s="2" t="n">
        <v>7</v>
      </c>
      <c r="D236" s="2" t="n">
        <v>5</v>
      </c>
      <c r="E236" s="2" t="n">
        <v>0</v>
      </c>
      <c r="F236" s="6" t="n">
        <v>0.5833333333333334</v>
      </c>
      <c r="G236" s="6" t="n">
        <v>0.1106085221074702</v>
      </c>
      <c r="H236" s="2" t="n">
        <v>1.327302265289642</v>
      </c>
      <c r="I236" s="7" t="n">
        <v>132.7302265289642</v>
      </c>
      <c r="J236" s="6" t="n"/>
      <c r="K236" s="4" t="n">
        <v>-5.916666666666667</v>
      </c>
      <c r="L236" s="2" t="n">
        <v>0.4257358638795196</v>
      </c>
      <c r="M236" s="6" t="n">
        <v>0.1876327412032292</v>
      </c>
      <c r="N236" s="7" t="n">
        <v>100</v>
      </c>
    </row>
    <row r="237">
      <c r="A237" s="2" t="n">
        <v>109</v>
      </c>
      <c r="B237" s="2" t="n">
        <v>18</v>
      </c>
      <c r="C237" s="2" t="n">
        <v>12</v>
      </c>
      <c r="D237" s="2" t="n">
        <v>6</v>
      </c>
      <c r="E237" s="2" t="n">
        <v>0</v>
      </c>
      <c r="F237" s="6" t="n">
        <v>0.6666666666666666</v>
      </c>
      <c r="G237" s="6" t="n">
        <v>0.3117643533624233</v>
      </c>
      <c r="H237" s="2" t="n">
        <v>5.611758360523619</v>
      </c>
      <c r="I237" s="7" t="n">
        <v>561.175836052362</v>
      </c>
      <c r="J237" s="6" t="n"/>
      <c r="K237" s="4" t="n">
        <v>20.94444444444444</v>
      </c>
      <c r="L237" s="2" t="n">
        <v>0.2435117463547825</v>
      </c>
      <c r="M237" s="6" t="n">
        <v>0.1437316602372575</v>
      </c>
      <c r="N237" s="7" t="n">
        <v>100</v>
      </c>
    </row>
    <row r="238">
      <c r="A238" s="2" t="n">
        <v>110</v>
      </c>
      <c r="B238" s="2" t="n">
        <v>23</v>
      </c>
      <c r="C238" s="2" t="n">
        <v>18</v>
      </c>
      <c r="D238" s="2" t="n">
        <v>5</v>
      </c>
      <c r="E238" s="2" t="n">
        <v>0</v>
      </c>
      <c r="F238" s="6" t="n">
        <v>0.7826086956521739</v>
      </c>
      <c r="G238" s="6" t="n">
        <v>0.5402835623916852</v>
      </c>
      <c r="H238" s="2" t="n">
        <v>12.42652193500876</v>
      </c>
      <c r="I238" s="7" t="n">
        <v>1242.652193500876</v>
      </c>
      <c r="J238" s="6" t="n"/>
      <c r="K238" s="4" t="n">
        <v>-14.08695652173913</v>
      </c>
      <c r="L238" s="2" t="n">
        <v>0.367876098220884</v>
      </c>
      <c r="M238" s="6" t="n">
        <v>0.1527636682422908</v>
      </c>
      <c r="N238" s="7" t="n">
        <v>100</v>
      </c>
    </row>
    <row r="239">
      <c r="A239" s="2" t="n">
        <v>111</v>
      </c>
      <c r="B239" s="2" t="n">
        <v>45</v>
      </c>
      <c r="C239" s="2" t="n">
        <v>23</v>
      </c>
      <c r="D239" s="2" t="n">
        <v>22</v>
      </c>
      <c r="E239" s="2" t="n">
        <v>0</v>
      </c>
      <c r="F239" s="6" t="n">
        <v>0.5111111111111111</v>
      </c>
      <c r="G239" s="6" t="n">
        <v>-0.01478705354808368</v>
      </c>
      <c r="H239" s="2" t="n">
        <v>-0.6654174096637651</v>
      </c>
      <c r="I239" s="7" t="n">
        <v>-66.54174096637655</v>
      </c>
      <c r="J239" s="6" t="n"/>
      <c r="K239" s="4" t="n">
        <v>-20.26666666666667</v>
      </c>
      <c r="L239" s="2" t="n">
        <v>0.4993225654799225</v>
      </c>
      <c r="M239" s="6" t="n">
        <v>0.1661686036778966</v>
      </c>
      <c r="N239" s="7" t="n">
        <v>100</v>
      </c>
    </row>
    <row r="240">
      <c r="A240" s="2" t="n">
        <v>112</v>
      </c>
      <c r="B240" s="2" t="n">
        <v>51</v>
      </c>
      <c r="C240" s="2" t="n">
        <v>29</v>
      </c>
      <c r="D240" s="2" t="n">
        <v>22</v>
      </c>
      <c r="E240" s="2" t="n">
        <v>0</v>
      </c>
      <c r="F240" s="6" t="n">
        <v>0.5686274509803921</v>
      </c>
      <c r="G240" s="6" t="n">
        <v>0.0946065221983418</v>
      </c>
      <c r="H240" s="2" t="n">
        <v>4.824932632115432</v>
      </c>
      <c r="I240" s="7" t="n">
        <v>482.4932632115432</v>
      </c>
      <c r="J240" s="6" t="n"/>
      <c r="K240" s="4" t="n">
        <v>-2.588235294117647</v>
      </c>
      <c r="L240" s="2" t="n">
        <v>0.4026881256365924</v>
      </c>
      <c r="M240" s="6" t="n">
        <v>0.1651750187492664</v>
      </c>
      <c r="N240" s="7" t="n">
        <v>100</v>
      </c>
    </row>
    <row r="241">
      <c r="A241" s="2" t="n">
        <v>113</v>
      </c>
      <c r="B241" s="2" t="n">
        <v>47</v>
      </c>
      <c r="C241" s="2" t="n">
        <v>26</v>
      </c>
      <c r="D241" s="2" t="n">
        <v>21</v>
      </c>
      <c r="E241" s="2" t="n">
        <v>0</v>
      </c>
      <c r="F241" s="6" t="n">
        <v>0.5531914893617021</v>
      </c>
      <c r="G241" s="6" t="n">
        <v>0.07679822629644491</v>
      </c>
      <c r="H241" s="2" t="n">
        <v>3.60951663593291</v>
      </c>
      <c r="I241" s="7" t="n">
        <v>360.9516635932911</v>
      </c>
      <c r="J241" s="6" t="n"/>
      <c r="K241" s="4" t="n">
        <v>2.787234042553191</v>
      </c>
      <c r="L241" s="2" t="n">
        <v>0.3360896900924267</v>
      </c>
      <c r="M241" s="6" t="n">
        <v>0.1657907404673647</v>
      </c>
      <c r="N241" s="7" t="n">
        <v>100</v>
      </c>
    </row>
    <row r="242">
      <c r="A242" s="2" t="n">
        <v>114</v>
      </c>
      <c r="B242" s="2" t="n">
        <v>40</v>
      </c>
      <c r="C242" s="2" t="n">
        <v>26</v>
      </c>
      <c r="D242" s="2" t="n">
        <v>14</v>
      </c>
      <c r="E242" s="2" t="n">
        <v>0</v>
      </c>
      <c r="F242" s="6" t="n">
        <v>0.65</v>
      </c>
      <c r="G242" s="6" t="n">
        <v>0.2865067057605919</v>
      </c>
      <c r="H242" s="2" t="n">
        <v>11.46026823042368</v>
      </c>
      <c r="I242" s="7" t="n">
        <v>1146.026823042368</v>
      </c>
      <c r="J242" s="6" t="n"/>
      <c r="K242" s="4" t="n">
        <v>3.5</v>
      </c>
      <c r="L242" s="2" t="n">
        <v>0.3538985167928855</v>
      </c>
      <c r="M242" s="6" t="n">
        <v>0.153372638979398</v>
      </c>
      <c r="N242" s="7" t="n">
        <v>100</v>
      </c>
    </row>
    <row r="243">
      <c r="A243" s="2" t="n">
        <v>115</v>
      </c>
      <c r="B243" s="2" t="n">
        <v>5</v>
      </c>
      <c r="C243" s="2" t="n">
        <v>5</v>
      </c>
      <c r="D243" s="2" t="n">
        <v>0</v>
      </c>
      <c r="E243" s="2" t="n">
        <v>0</v>
      </c>
      <c r="F243" s="6" t="n">
        <v>1</v>
      </c>
      <c r="G243" s="6" t="n">
        <v>0.9643549783549784</v>
      </c>
      <c r="H243" s="2" t="n">
        <v>4.821774891774892</v>
      </c>
      <c r="I243" s="7" t="n">
        <v>482.1774891774892</v>
      </c>
      <c r="J243" s="6" t="n"/>
      <c r="K243" s="4" t="n">
        <v>-28.2</v>
      </c>
      <c r="L243" s="2" t="n">
        <v>0.2366376063077997</v>
      </c>
      <c r="M243" s="6" t="n">
        <v>0.1252258799351201</v>
      </c>
      <c r="N243" s="7" t="n">
        <v>100</v>
      </c>
    </row>
    <row r="244">
      <c r="A244" s="2" t="n">
        <v>116</v>
      </c>
      <c r="B244" s="2" t="n">
        <v>53</v>
      </c>
      <c r="C244" s="2" t="n">
        <v>33</v>
      </c>
      <c r="D244" s="2" t="n">
        <v>20</v>
      </c>
      <c r="E244" s="2" t="n">
        <v>0</v>
      </c>
      <c r="F244" s="6" t="n">
        <v>0.6226415094339622</v>
      </c>
      <c r="G244" s="6" t="n">
        <v>0.2122256562689059</v>
      </c>
      <c r="H244" s="2" t="n">
        <v>11.24795978225201</v>
      </c>
      <c r="I244" s="7" t="n">
        <v>1124.795978225201</v>
      </c>
      <c r="J244" s="6" t="n"/>
      <c r="K244" s="4" t="n">
        <v>0.2075471698113208</v>
      </c>
      <c r="L244" s="2" t="n">
        <v>0.4976156406567718</v>
      </c>
      <c r="M244" s="6" t="n">
        <v>0.1955519417373637</v>
      </c>
      <c r="N244" s="7" t="n">
        <v>100</v>
      </c>
    </row>
    <row r="245">
      <c r="A245" s="2" t="n">
        <v>117</v>
      </c>
      <c r="B245" s="2" t="n">
        <v>17</v>
      </c>
      <c r="C245" s="2" t="n">
        <v>11</v>
      </c>
      <c r="D245" s="2" t="n">
        <v>6</v>
      </c>
      <c r="E245" s="2" t="n">
        <v>0</v>
      </c>
      <c r="F245" s="6" t="n">
        <v>0.6470588235294118</v>
      </c>
      <c r="G245" s="6" t="n">
        <v>0.2503869328500135</v>
      </c>
      <c r="H245" s="2" t="n">
        <v>4.256577858450229</v>
      </c>
      <c r="I245" s="7" t="n">
        <v>425.6577858450229</v>
      </c>
      <c r="J245" s="6" t="n"/>
      <c r="K245" s="4" t="n">
        <v>-4.235294117647059</v>
      </c>
      <c r="L245" s="2" t="n">
        <v>0.4666308806082294</v>
      </c>
      <c r="M245" s="6" t="n">
        <v>0.1755216168892266</v>
      </c>
      <c r="N245" s="7" t="n">
        <v>100</v>
      </c>
    </row>
    <row r="246">
      <c r="A246" s="2" t="n">
        <v>118</v>
      </c>
      <c r="B246" s="2" t="n">
        <v>37</v>
      </c>
      <c r="C246" s="2" t="n">
        <v>16</v>
      </c>
      <c r="D246" s="2" t="n">
        <v>21</v>
      </c>
      <c r="E246" s="2" t="n">
        <v>0</v>
      </c>
      <c r="F246" s="6" t="n">
        <v>0.4324324324324325</v>
      </c>
      <c r="G246" s="6" t="n">
        <v>-0.1281251652447305</v>
      </c>
      <c r="H246" s="2" t="n">
        <v>-4.740631114055027</v>
      </c>
      <c r="I246" s="7" t="n">
        <v>-474.0631114055027</v>
      </c>
      <c r="J246" s="6" t="n"/>
      <c r="K246" s="4" t="n">
        <v>22.97297297297297</v>
      </c>
      <c r="L246" s="2" t="n">
        <v>0.3683227054967158</v>
      </c>
      <c r="M246" s="6" t="n">
        <v>0.1826576778441117</v>
      </c>
      <c r="N246" s="7" t="n">
        <v>100</v>
      </c>
    </row>
    <row r="247">
      <c r="A247" s="2" t="n">
        <v>119</v>
      </c>
      <c r="B247" s="2" t="n">
        <v>33</v>
      </c>
      <c r="C247" s="2" t="n">
        <v>19</v>
      </c>
      <c r="D247" s="2" t="n">
        <v>14</v>
      </c>
      <c r="E247" s="2" t="n">
        <v>0</v>
      </c>
      <c r="F247" s="6" t="n">
        <v>0.5757575757575758</v>
      </c>
      <c r="G247" s="6" t="n">
        <v>0.123277264048951</v>
      </c>
      <c r="H247" s="2" t="n">
        <v>4.068149713615381</v>
      </c>
      <c r="I247" s="7" t="n">
        <v>406.8149713615381</v>
      </c>
      <c r="J247" s="6" t="n"/>
      <c r="K247" s="4" t="n">
        <v>-18.93939393939394</v>
      </c>
      <c r="L247" s="2" t="n">
        <v>0.4752202167252884</v>
      </c>
      <c r="M247" s="6" t="n">
        <v>0.1757802052905468</v>
      </c>
      <c r="N247" s="7" t="n">
        <v>100</v>
      </c>
    </row>
    <row r="248">
      <c r="A248" s="2" t="n">
        <v>120</v>
      </c>
      <c r="B248" s="2" t="n">
        <v>17</v>
      </c>
      <c r="C248" s="2" t="n">
        <v>12</v>
      </c>
      <c r="D248" s="2" t="n">
        <v>5</v>
      </c>
      <c r="E248" s="2" t="n">
        <v>0</v>
      </c>
      <c r="F248" s="6" t="n">
        <v>0.7058823529411765</v>
      </c>
      <c r="G248" s="6" t="n">
        <v>0.354359801954429</v>
      </c>
      <c r="H248" s="2" t="n">
        <v>6.024116633225291</v>
      </c>
      <c r="I248" s="7" t="n">
        <v>602.4116633225292</v>
      </c>
      <c r="J248" s="6" t="n"/>
      <c r="K248" s="4" t="n">
        <v>-29.41176470588235</v>
      </c>
      <c r="L248" s="2" t="n">
        <v>0.3749350344212838</v>
      </c>
      <c r="M248" s="6" t="n">
        <v>0.1359795974356948</v>
      </c>
      <c r="N248" s="7" t="n">
        <v>100</v>
      </c>
    </row>
    <row r="249">
      <c r="A249" s="2" t="n">
        <v>121</v>
      </c>
      <c r="B249" s="2" t="n">
        <v>73</v>
      </c>
      <c r="C249" s="2" t="n">
        <v>41</v>
      </c>
      <c r="D249" s="2" t="n">
        <v>32</v>
      </c>
      <c r="E249" s="2" t="n">
        <v>0</v>
      </c>
      <c r="F249" s="6" t="n">
        <v>0.5616438356164384</v>
      </c>
      <c r="G249" s="6" t="n">
        <v>0.09665391283365998</v>
      </c>
      <c r="H249" s="2" t="n">
        <v>7.055735636857179</v>
      </c>
      <c r="I249" s="7" t="n">
        <v>705.5735636857179</v>
      </c>
      <c r="J249" s="6" t="n"/>
      <c r="K249" s="4" t="n">
        <v>-2.63013698630137</v>
      </c>
      <c r="L249" s="2" t="n">
        <v>0.4875754056433082</v>
      </c>
      <c r="M249" s="6" t="n">
        <v>0.1888226883339946</v>
      </c>
      <c r="N249" s="7" t="n">
        <v>100</v>
      </c>
    </row>
    <row r="250">
      <c r="A250" s="2" t="n">
        <v>133</v>
      </c>
      <c r="B250" s="2" t="n">
        <v>21</v>
      </c>
      <c r="C250" s="2" t="n">
        <v>10</v>
      </c>
      <c r="D250" s="2" t="n">
        <v>11</v>
      </c>
      <c r="E250" s="2" t="n">
        <v>0</v>
      </c>
      <c r="F250" s="6" t="n">
        <v>0.4761904761904762</v>
      </c>
      <c r="G250" s="6" t="n">
        <v>-0.09160504849819068</v>
      </c>
      <c r="H250" s="2" t="n">
        <v>-1.923706018462005</v>
      </c>
      <c r="I250" s="7" t="n">
        <v>-192.3706018462004</v>
      </c>
      <c r="J250" s="6" t="n"/>
      <c r="K250" s="4" t="n">
        <v>-4.714285714285714</v>
      </c>
      <c r="L250" s="2" t="n">
        <v>0.3839845987603553</v>
      </c>
      <c r="M250" s="6" t="n">
        <v>0.1578042574860416</v>
      </c>
      <c r="N250" s="7" t="n">
        <v>100</v>
      </c>
    </row>
    <row r="251">
      <c r="A251" s="2" t="n">
        <v>134</v>
      </c>
      <c r="B251" s="2" t="n">
        <v>31</v>
      </c>
      <c r="C251" s="2" t="n">
        <v>18</v>
      </c>
      <c r="D251" s="2" t="n">
        <v>13</v>
      </c>
      <c r="E251" s="2" t="n">
        <v>0</v>
      </c>
      <c r="F251" s="6" t="n">
        <v>0.5806451612903226</v>
      </c>
      <c r="G251" s="6" t="n">
        <v>0.2016549676554333</v>
      </c>
      <c r="H251" s="2" t="n">
        <v>6.251303997318432</v>
      </c>
      <c r="I251" s="7" t="n">
        <v>625.1303997318432</v>
      </c>
      <c r="J251" s="6" t="n"/>
      <c r="K251" s="4" t="n">
        <v>40.06451612903226</v>
      </c>
      <c r="L251" s="2" t="n">
        <v>0.2746367221102614</v>
      </c>
      <c r="M251" s="6" t="n">
        <v>0.174872130845237</v>
      </c>
      <c r="N251" s="7" t="n">
        <v>100</v>
      </c>
    </row>
    <row r="252">
      <c r="A252" s="2" t="n">
        <v>135</v>
      </c>
      <c r="B252" s="2" t="n">
        <v>20</v>
      </c>
      <c r="C252" s="2" t="n">
        <v>15</v>
      </c>
      <c r="D252" s="2" t="n">
        <v>5</v>
      </c>
      <c r="E252" s="2" t="n">
        <v>0</v>
      </c>
      <c r="F252" s="6" t="n">
        <v>0.75</v>
      </c>
      <c r="G252" s="6" t="n">
        <v>0.4659741630974347</v>
      </c>
      <c r="H252" s="2" t="n">
        <v>9.319483261948692</v>
      </c>
      <c r="I252" s="7" t="n">
        <v>931.9483261948693</v>
      </c>
      <c r="J252" s="6" t="n"/>
      <c r="K252" s="4" t="n">
        <v>-9.85</v>
      </c>
      <c r="L252" s="2" t="n">
        <v>0.5518431784113063</v>
      </c>
      <c r="M252" s="6" t="n">
        <v>0.19837336065898</v>
      </c>
      <c r="N252" s="7" t="n">
        <v>100</v>
      </c>
    </row>
    <row r="253">
      <c r="A253" s="2" t="n">
        <v>136</v>
      </c>
      <c r="B253" s="2" t="n">
        <v>39</v>
      </c>
      <c r="C253" s="2" t="n">
        <v>18</v>
      </c>
      <c r="D253" s="2" t="n">
        <v>21</v>
      </c>
      <c r="E253" s="2" t="n">
        <v>0</v>
      </c>
      <c r="F253" s="6" t="n">
        <v>0.4615384615384616</v>
      </c>
      <c r="G253" s="6" t="n">
        <v>-0.09016330191041333</v>
      </c>
      <c r="H253" s="2" t="n">
        <v>-3.516368774506119</v>
      </c>
      <c r="I253" s="7" t="n">
        <v>-351.636877450612</v>
      </c>
      <c r="J253" s="6" t="n"/>
      <c r="K253" s="4" t="n">
        <v>4.435897435897436</v>
      </c>
      <c r="L253" s="2" t="n">
        <v>0.5155785407613954</v>
      </c>
      <c r="M253" s="6" t="n">
        <v>0.2050727745150995</v>
      </c>
      <c r="N253" s="7" t="n">
        <v>100</v>
      </c>
    </row>
    <row r="254">
      <c r="A254" s="2" t="n">
        <v>137</v>
      </c>
      <c r="B254" s="2" t="n">
        <v>40</v>
      </c>
      <c r="C254" s="2" t="n">
        <v>19</v>
      </c>
      <c r="D254" s="2" t="n">
        <v>21</v>
      </c>
      <c r="E254" s="2" t="n">
        <v>0</v>
      </c>
      <c r="F254" s="6" t="n">
        <v>0.475</v>
      </c>
      <c r="G254" s="6" t="n">
        <v>-0.08560130851075251</v>
      </c>
      <c r="H254" s="2" t="n">
        <v>-3.424052340430101</v>
      </c>
      <c r="I254" s="7" t="n">
        <v>-342.4052340430101</v>
      </c>
      <c r="J254" s="6" t="n"/>
      <c r="K254" s="4" t="n">
        <v>-7.025</v>
      </c>
      <c r="L254" s="2" t="n">
        <v>0.4660069656931999</v>
      </c>
      <c r="M254" s="6" t="n">
        <v>0.1657974717132078</v>
      </c>
      <c r="N254" s="7" t="n">
        <v>100</v>
      </c>
    </row>
    <row r="255">
      <c r="A255" s="2" t="n">
        <v>138</v>
      </c>
      <c r="B255" s="2" t="n">
        <v>24</v>
      </c>
      <c r="C255" s="2" t="n">
        <v>10</v>
      </c>
      <c r="D255" s="2" t="n">
        <v>14</v>
      </c>
      <c r="E255" s="2" t="n">
        <v>0</v>
      </c>
      <c r="F255" s="6" t="n">
        <v>0.4166666666666667</v>
      </c>
      <c r="G255" s="6" t="n">
        <v>-0.1821027073026168</v>
      </c>
      <c r="H255" s="2" t="n">
        <v>-4.370464975262802</v>
      </c>
      <c r="I255" s="7" t="n">
        <v>-437.0464975262803</v>
      </c>
      <c r="J255" s="6" t="n"/>
      <c r="K255" s="4" t="n">
        <v>13.29166666666667</v>
      </c>
      <c r="L255" s="2" t="n">
        <v>0.3969766719478558</v>
      </c>
      <c r="M255" s="6" t="n">
        <v>0.2070501491879196</v>
      </c>
      <c r="N255" s="7" t="n">
        <v>100</v>
      </c>
    </row>
    <row r="256">
      <c r="A256" s="2" t="n">
        <v>139</v>
      </c>
      <c r="B256" s="2" t="n">
        <v>34</v>
      </c>
      <c r="C256" s="2" t="n">
        <v>24</v>
      </c>
      <c r="D256" s="2" t="n">
        <v>10</v>
      </c>
      <c r="E256" s="2" t="n">
        <v>0</v>
      </c>
      <c r="F256" s="6" t="n">
        <v>0.7058823529411765</v>
      </c>
      <c r="G256" s="6" t="n">
        <v>0.3591308457331577</v>
      </c>
      <c r="H256" s="2" t="n">
        <v>12.21044875492736</v>
      </c>
      <c r="I256" s="7" t="n">
        <v>1221.044875492736</v>
      </c>
      <c r="J256" s="6" t="n"/>
      <c r="K256" s="4" t="n">
        <v>-25.41176470588235</v>
      </c>
      <c r="L256" s="2" t="n">
        <v>0.4202106281644373</v>
      </c>
      <c r="M256" s="6" t="n">
        <v>0.1582337699204158</v>
      </c>
      <c r="N256" s="7" t="n">
        <v>100</v>
      </c>
    </row>
    <row r="257">
      <c r="A257" s="2" t="n">
        <v>140</v>
      </c>
      <c r="B257" s="2" t="n">
        <v>37</v>
      </c>
      <c r="C257" s="2" t="n">
        <v>17</v>
      </c>
      <c r="D257" s="2" t="n">
        <v>20</v>
      </c>
      <c r="E257" s="2" t="n">
        <v>0</v>
      </c>
      <c r="F257" s="6" t="n">
        <v>0.4594594594594595</v>
      </c>
      <c r="G257" s="6" t="n">
        <v>-0.1086659985447102</v>
      </c>
      <c r="H257" s="2" t="n">
        <v>-4.020641946154277</v>
      </c>
      <c r="I257" s="7" t="n">
        <v>-402.0641946154278</v>
      </c>
      <c r="J257" s="6" t="n"/>
      <c r="K257" s="4" t="n">
        <v>-16.83783783783784</v>
      </c>
      <c r="L257" s="2" t="n">
        <v>0.483538867674608</v>
      </c>
      <c r="M257" s="6" t="n">
        <v>0.1800027848832542</v>
      </c>
      <c r="N257" s="7" t="n">
        <v>100</v>
      </c>
    </row>
    <row r="258">
      <c r="A258" s="2" t="n">
        <v>141</v>
      </c>
      <c r="B258" s="2" t="n">
        <v>54</v>
      </c>
      <c r="C258" s="2" t="n">
        <v>30</v>
      </c>
      <c r="D258" s="2" t="n">
        <v>24</v>
      </c>
      <c r="E258" s="2" t="n">
        <v>0</v>
      </c>
      <c r="F258" s="6" t="n">
        <v>0.5555555555555556</v>
      </c>
      <c r="G258" s="6" t="n">
        <v>0.06804904739976665</v>
      </c>
      <c r="H258" s="2" t="n">
        <v>3.6746485595874</v>
      </c>
      <c r="I258" s="7" t="n">
        <v>367.4648559587399</v>
      </c>
      <c r="J258" s="6" t="n"/>
      <c r="K258" s="4" t="n">
        <v>-12.33333333333333</v>
      </c>
      <c r="L258" s="2" t="n">
        <v>0.4238777155363732</v>
      </c>
      <c r="M258" s="6" t="n">
        <v>0.1620367443152891</v>
      </c>
      <c r="N258" s="7" t="n">
        <v>100</v>
      </c>
    </row>
    <row r="259">
      <c r="A259" s="2" t="n">
        <v>142</v>
      </c>
      <c r="B259" s="2" t="n">
        <v>60</v>
      </c>
      <c r="C259" s="2" t="n">
        <v>32</v>
      </c>
      <c r="D259" s="2" t="n">
        <v>28</v>
      </c>
      <c r="E259" s="2" t="n">
        <v>0</v>
      </c>
      <c r="F259" s="6" t="n">
        <v>0.5333333333333333</v>
      </c>
      <c r="G259" s="6" t="n">
        <v>0.04298664900464715</v>
      </c>
      <c r="H259" s="2" t="n">
        <v>2.57919894027883</v>
      </c>
      <c r="I259" s="7" t="n">
        <v>257.9198940278829</v>
      </c>
      <c r="J259" s="6" t="n"/>
      <c r="K259" s="4" t="n">
        <v>-17.5</v>
      </c>
      <c r="L259" s="2" t="n">
        <v>0.434439055662833</v>
      </c>
      <c r="M259" s="6" t="n">
        <v>0.1638626095039366</v>
      </c>
      <c r="N259" s="7" t="n">
        <v>100</v>
      </c>
    </row>
    <row r="260">
      <c r="A260" s="2" t="n">
        <v>143</v>
      </c>
      <c r="B260" s="2" t="n">
        <v>47</v>
      </c>
      <c r="C260" s="2" t="n">
        <v>24</v>
      </c>
      <c r="D260" s="2" t="n">
        <v>23</v>
      </c>
      <c r="E260" s="2" t="n">
        <v>0</v>
      </c>
      <c r="F260" s="6" t="n">
        <v>0.5106382978723404</v>
      </c>
      <c r="G260" s="6" t="n">
        <v>-0.02578590650447929</v>
      </c>
      <c r="H260" s="2" t="n">
        <v>-1.211937605710527</v>
      </c>
      <c r="I260" s="7" t="n">
        <v>-121.1937605710526</v>
      </c>
      <c r="J260" s="6" t="n"/>
      <c r="K260" s="4" t="n">
        <v>-24.53191489361702</v>
      </c>
      <c r="L260" s="2" t="n">
        <v>0.5838827122115632</v>
      </c>
      <c r="M260" s="6" t="n">
        <v>0.2032813453543328</v>
      </c>
      <c r="N260" s="7" t="n">
        <v>100</v>
      </c>
    </row>
    <row r="261">
      <c r="A261" s="2" t="n">
        <v>144</v>
      </c>
      <c r="B261" s="2" t="n">
        <v>53</v>
      </c>
      <c r="C261" s="2" t="n">
        <v>38</v>
      </c>
      <c r="D261" s="2" t="n">
        <v>15</v>
      </c>
      <c r="E261" s="2" t="n">
        <v>0</v>
      </c>
      <c r="F261" s="6" t="n">
        <v>0.7169811320754716</v>
      </c>
      <c r="G261" s="6" t="n">
        <v>0.3775025525203977</v>
      </c>
      <c r="H261" s="2" t="n">
        <v>20.00763528358107</v>
      </c>
      <c r="I261" s="7" t="n">
        <v>2000.763528358108</v>
      </c>
      <c r="J261" s="6" t="n"/>
      <c r="K261" s="4" t="n">
        <v>-28.15094339622642</v>
      </c>
      <c r="L261" s="2" t="n">
        <v>0.6673076444407033</v>
      </c>
      <c r="M261" s="6" t="n">
        <v>0.2036538673820271</v>
      </c>
      <c r="N261" s="7" t="n">
        <v>100</v>
      </c>
    </row>
    <row r="262">
      <c r="A262" s="2" t="n">
        <v>145</v>
      </c>
      <c r="B262" s="2" t="n">
        <v>2</v>
      </c>
      <c r="C262" s="2" t="n">
        <v>1</v>
      </c>
      <c r="D262" s="2" t="n">
        <v>1</v>
      </c>
      <c r="E262" s="2" t="n">
        <v>0</v>
      </c>
      <c r="F262" s="6" t="n">
        <v>0.5</v>
      </c>
      <c r="G262" s="6" t="n">
        <v>0.05000000000000007</v>
      </c>
      <c r="H262" s="2" t="n">
        <v>0.1000000000000001</v>
      </c>
      <c r="I262" s="7" t="n">
        <v>10.00000000000001</v>
      </c>
      <c r="J262" s="6" t="n"/>
      <c r="K262" s="4" t="n">
        <v>119</v>
      </c>
      <c r="L262" s="2" t="n">
        <v>-0.1963245804074529</v>
      </c>
      <c r="M262" s="6" t="n">
        <v>0.08082497039503489</v>
      </c>
      <c r="N262" s="7" t="n">
        <v>100</v>
      </c>
    </row>
    <row r="263">
      <c r="A263" s="2" t="n">
        <v>146</v>
      </c>
      <c r="B263" s="2" t="n">
        <v>9</v>
      </c>
      <c r="C263" s="2" t="n">
        <v>4</v>
      </c>
      <c r="D263" s="2" t="n">
        <v>5</v>
      </c>
      <c r="E263" s="2" t="n">
        <v>0</v>
      </c>
      <c r="F263" s="6" t="n">
        <v>0.4444444444444444</v>
      </c>
      <c r="G263" s="6" t="n">
        <v>-0.1837471170804504</v>
      </c>
      <c r="H263" s="2" t="n">
        <v>-1.653724053724054</v>
      </c>
      <c r="I263" s="7" t="n">
        <v>-165.3724053724054</v>
      </c>
      <c r="J263" s="6" t="n"/>
      <c r="K263" s="4" t="n">
        <v>-20.88888888888889</v>
      </c>
      <c r="L263" s="2" t="n">
        <v>0.2913737068842452</v>
      </c>
      <c r="M263" s="6" t="n">
        <v>0.1212064029392805</v>
      </c>
      <c r="N263" s="7" t="n">
        <v>100</v>
      </c>
    </row>
    <row r="264">
      <c r="A264" s="2" t="n">
        <v>147</v>
      </c>
      <c r="B264" s="2" t="n">
        <v>36</v>
      </c>
      <c r="C264" s="2" t="n">
        <v>17</v>
      </c>
      <c r="D264" s="2" t="n">
        <v>19</v>
      </c>
      <c r="E264" s="2" t="n">
        <v>0</v>
      </c>
      <c r="F264" s="6" t="n">
        <v>0.4722222222222222</v>
      </c>
      <c r="G264" s="6" t="n">
        <v>-0.06204399574289057</v>
      </c>
      <c r="H264" s="2" t="n">
        <v>-2.233583846744061</v>
      </c>
      <c r="I264" s="7" t="n">
        <v>-223.3583846744061</v>
      </c>
      <c r="J264" s="6" t="n"/>
      <c r="K264" s="4" t="n">
        <v>-11</v>
      </c>
      <c r="L264" s="2" t="n">
        <v>0.4816911654769525</v>
      </c>
      <c r="M264" s="6" t="n">
        <v>0.1951879794903321</v>
      </c>
      <c r="N264" s="7" t="n">
        <v>100</v>
      </c>
    </row>
    <row r="265">
      <c r="A265" s="2" t="n">
        <v>158</v>
      </c>
      <c r="B265" s="2" t="n">
        <v>37</v>
      </c>
      <c r="C265" s="2" t="n">
        <v>15</v>
      </c>
      <c r="D265" s="2" t="n">
        <v>22</v>
      </c>
      <c r="E265" s="2" t="n">
        <v>0</v>
      </c>
      <c r="F265" s="6" t="n">
        <v>0.4054054054054054</v>
      </c>
      <c r="G265" s="6" t="n">
        <v>-0.2296230208016897</v>
      </c>
      <c r="H265" s="2" t="n">
        <v>-8.496051769662518</v>
      </c>
      <c r="I265" s="7" t="n">
        <v>-849.605176966252</v>
      </c>
      <c r="J265" s="6" t="n"/>
      <c r="K265" s="4" t="n">
        <v>-10.94594594594595</v>
      </c>
      <c r="L265" s="2" t="n">
        <v>0.5904053629833393</v>
      </c>
      <c r="M265" s="6" t="n">
        <v>0.2115134174345694</v>
      </c>
      <c r="N265" s="7" t="n">
        <v>100</v>
      </c>
    </row>
    <row r="266"/>
    <row r="267"/>
    <row r="268"/>
    <row r="269">
      <c r="A269" s="16" t="inlineStr">
        <is>
          <t>By Odds Bucket</t>
        </is>
      </c>
    </row>
    <row r="270">
      <c r="A270" s="1" t="inlineStr">
        <is>
          <t>Odds Bucket</t>
        </is>
      </c>
      <c r="B270" s="1" t="inlineStr">
        <is>
          <t>Bets</t>
        </is>
      </c>
      <c r="C270" s="1" t="inlineStr">
        <is>
          <t>Wins</t>
        </is>
      </c>
      <c r="D270" s="1" t="inlineStr">
        <is>
          <t>Losses</t>
        </is>
      </c>
      <c r="E270" s="1" t="inlineStr">
        <is>
          <t>Pushes</t>
        </is>
      </c>
      <c r="F270" s="1" t="inlineStr">
        <is>
          <t>Win Rate</t>
        </is>
      </c>
      <c r="G270" s="1" t="inlineStr">
        <is>
          <t>ROI</t>
        </is>
      </c>
      <c r="H270" s="1" t="inlineStr">
        <is>
          <t>Units</t>
        </is>
      </c>
      <c r="I270" s="1" t="inlineStr">
        <is>
          <t>Profit</t>
        </is>
      </c>
      <c r="J270" s="1" t="inlineStr">
        <is>
          <t>CLV</t>
        </is>
      </c>
      <c r="K270" s="1" t="inlineStr">
        <is>
          <t>Average Odds</t>
        </is>
      </c>
      <c r="L270" s="1" t="inlineStr">
        <is>
          <t>Average Margin</t>
        </is>
      </c>
      <c r="M270" s="1" t="inlineStr">
        <is>
          <t>Average Devig Edge</t>
        </is>
      </c>
      <c r="N270" s="1" t="inlineStr">
        <is>
          <t>Average Stake</t>
        </is>
      </c>
    </row>
    <row r="271">
      <c r="A271" s="2" t="inlineStr">
        <is>
          <t>+100 to +120</t>
        </is>
      </c>
      <c r="B271" s="2" t="n">
        <v>281</v>
      </c>
      <c r="C271" s="2" t="n">
        <v>154</v>
      </c>
      <c r="D271" s="2" t="n">
        <v>127</v>
      </c>
      <c r="E271" s="2" t="n">
        <v>0</v>
      </c>
      <c r="F271" s="6" t="n">
        <v>0.5480427046263345</v>
      </c>
      <c r="G271" s="6" t="n">
        <v>0.1572241992882562</v>
      </c>
      <c r="H271" s="2" t="n">
        <v>44.18</v>
      </c>
      <c r="I271" s="7" t="n">
        <v>4418</v>
      </c>
      <c r="J271" s="6" t="n"/>
      <c r="K271" s="4" t="n">
        <v>111.4092526690391</v>
      </c>
      <c r="L271" s="2" t="n">
        <v>0.2068274798511917</v>
      </c>
      <c r="M271" s="6" t="n">
        <v>0.1928822176443528</v>
      </c>
      <c r="N271" s="7" t="n">
        <v>100</v>
      </c>
    </row>
    <row r="272">
      <c r="A272" s="2" t="inlineStr">
        <is>
          <t>+121 to +150</t>
        </is>
      </c>
      <c r="B272" s="2" t="n">
        <v>227</v>
      </c>
      <c r="C272" s="2" t="n">
        <v>101</v>
      </c>
      <c r="D272" s="2" t="n">
        <v>126</v>
      </c>
      <c r="E272" s="2" t="n">
        <v>0</v>
      </c>
      <c r="F272" s="6" t="n">
        <v>0.4449339207048458</v>
      </c>
      <c r="G272" s="6" t="n">
        <v>0.02616740088105726</v>
      </c>
      <c r="H272" s="2" t="n">
        <v>5.939999999999996</v>
      </c>
      <c r="I272" s="7" t="n">
        <v>593.9999999999999</v>
      </c>
      <c r="J272" s="6" t="n"/>
      <c r="K272" s="4" t="n">
        <v>129.9647577092511</v>
      </c>
      <c r="L272" s="2" t="n">
        <v>-0.05113403888921794</v>
      </c>
      <c r="M272" s="6" t="n">
        <v>0.1966996078382457</v>
      </c>
      <c r="N272" s="7" t="n">
        <v>100</v>
      </c>
    </row>
    <row r="273">
      <c r="A273" s="2" t="inlineStr">
        <is>
          <t>-119 to -101</t>
        </is>
      </c>
      <c r="B273" s="2" t="n">
        <v>125</v>
      </c>
      <c r="C273" s="2" t="n">
        <v>80</v>
      </c>
      <c r="D273" s="2" t="n">
        <v>45</v>
      </c>
      <c r="E273" s="2" t="n">
        <v>0</v>
      </c>
      <c r="F273" s="6" t="n">
        <v>0.64</v>
      </c>
      <c r="G273" s="6" t="n">
        <v>0.2221545827571432</v>
      </c>
      <c r="H273" s="2" t="n">
        <v>27.76932284464289</v>
      </c>
      <c r="I273" s="7" t="n">
        <v>2776.93228446429</v>
      </c>
      <c r="J273" s="6" t="n"/>
      <c r="K273" s="4" t="n">
        <v>-109.848</v>
      </c>
      <c r="L273" s="2" t="n">
        <v>0.5269954052903689</v>
      </c>
      <c r="M273" s="6" t="n">
        <v>0.1815079397414774</v>
      </c>
      <c r="N273" s="7" t="n">
        <v>100</v>
      </c>
    </row>
    <row r="274">
      <c r="A274" s="2" t="inlineStr">
        <is>
          <t>-149 to -120</t>
        </is>
      </c>
      <c r="B274" s="2" t="n">
        <v>221</v>
      </c>
      <c r="C274" s="2" t="n">
        <v>129</v>
      </c>
      <c r="D274" s="2" t="n">
        <v>92</v>
      </c>
      <c r="E274" s="2" t="n">
        <v>0</v>
      </c>
      <c r="F274" s="6" t="n">
        <v>0.583710407239819</v>
      </c>
      <c r="G274" s="6" t="n">
        <v>0.02197316894619118</v>
      </c>
      <c r="H274" s="2" t="n">
        <v>4.856070337108246</v>
      </c>
      <c r="I274" s="7" t="n">
        <v>485.6070337108251</v>
      </c>
      <c r="J274" s="6" t="n"/>
      <c r="K274" s="4" t="n">
        <v>-133.6696832579186</v>
      </c>
      <c r="L274" s="2" t="n">
        <v>0.818621016853651</v>
      </c>
      <c r="M274" s="6" t="n">
        <v>0.1612737161678387</v>
      </c>
      <c r="N274" s="7" t="n">
        <v>100</v>
      </c>
    </row>
    <row r="275">
      <c r="A275" s="2" t="inlineStr">
        <is>
          <t>&lt;= -150</t>
        </is>
      </c>
      <c r="B275" s="2" t="n">
        <v>155</v>
      </c>
      <c r="C275" s="2" t="n">
        <v>104</v>
      </c>
      <c r="D275" s="2" t="n">
        <v>51</v>
      </c>
      <c r="E275" s="2" t="n">
        <v>0</v>
      </c>
      <c r="F275" s="6" t="n">
        <v>0.6709677419354839</v>
      </c>
      <c r="G275" s="6" t="n">
        <v>0.08242167959344787</v>
      </c>
      <c r="H275" s="2" t="n">
        <v>12.77536033698442</v>
      </c>
      <c r="I275" s="7" t="n">
        <v>1277.536033698442</v>
      </c>
      <c r="J275" s="6" t="n"/>
      <c r="K275" s="4" t="n">
        <v>-163.941935483871</v>
      </c>
      <c r="L275" s="2" t="n">
        <v>1.080663070863727</v>
      </c>
      <c r="M275" s="6" t="n">
        <v>0.1390897877758306</v>
      </c>
      <c r="N275" s="7" t="n">
        <v>100</v>
      </c>
    </row>
    <row r="276">
      <c r="A276" s="2" t="inlineStr">
        <is>
          <t>&gt;= +151</t>
        </is>
      </c>
      <c r="B276" s="2" t="n">
        <v>6</v>
      </c>
      <c r="C276" s="2" t="n">
        <v>2</v>
      </c>
      <c r="D276" s="2" t="n">
        <v>4</v>
      </c>
      <c r="E276" s="2" t="n">
        <v>0</v>
      </c>
      <c r="F276" s="6" t="n">
        <v>0.3333333333333333</v>
      </c>
      <c r="G276" s="6" t="n">
        <v>-0.1500000000000001</v>
      </c>
      <c r="H276" s="2" t="n">
        <v>-0.9000000000000004</v>
      </c>
      <c r="I276" s="7" t="n">
        <v>-90.00000000000006</v>
      </c>
      <c r="J276" s="6" t="n"/>
      <c r="K276" s="4" t="n">
        <v>162.1666666666667</v>
      </c>
      <c r="L276" s="2" t="n">
        <v>-0.3126911534716616</v>
      </c>
      <c r="M276" s="6" t="n">
        <v>0.2411017493459753</v>
      </c>
      <c r="N276" s="7" t="n">
        <v>100</v>
      </c>
    </row>
    <row r="277"/>
    <row r="278"/>
    <row r="279"/>
    <row r="280">
      <c r="A280" s="16" t="inlineStr">
        <is>
          <t>By Strikeout Line</t>
        </is>
      </c>
    </row>
    <row r="281">
      <c r="A281" s="1" t="inlineStr">
        <is>
          <t>Strikeout Line</t>
        </is>
      </c>
      <c r="B281" s="1" t="inlineStr">
        <is>
          <t>Bets</t>
        </is>
      </c>
      <c r="C281" s="1" t="inlineStr">
        <is>
          <t>Wins</t>
        </is>
      </c>
      <c r="D281" s="1" t="inlineStr">
        <is>
          <t>Losses</t>
        </is>
      </c>
      <c r="E281" s="1" t="inlineStr">
        <is>
          <t>Pushes</t>
        </is>
      </c>
      <c r="F281" s="1" t="inlineStr">
        <is>
          <t>Win Rate</t>
        </is>
      </c>
      <c r="G281" s="1" t="inlineStr">
        <is>
          <t>ROI</t>
        </is>
      </c>
      <c r="H281" s="1" t="inlineStr">
        <is>
          <t>Units</t>
        </is>
      </c>
      <c r="I281" s="1" t="inlineStr">
        <is>
          <t>Profit</t>
        </is>
      </c>
      <c r="J281" s="1" t="inlineStr">
        <is>
          <t>CLV</t>
        </is>
      </c>
      <c r="K281" s="1" t="inlineStr">
        <is>
          <t>Average Odds</t>
        </is>
      </c>
      <c r="L281" s="1" t="inlineStr">
        <is>
          <t>Average Margin</t>
        </is>
      </c>
      <c r="M281" s="1" t="inlineStr">
        <is>
          <t>Average Devig Edge</t>
        </is>
      </c>
      <c r="N281" s="1" t="inlineStr">
        <is>
          <t>Average Stake</t>
        </is>
      </c>
    </row>
    <row r="282">
      <c r="A282" s="5" t="n">
        <v>2.5</v>
      </c>
      <c r="B282" s="2" t="n">
        <v>1</v>
      </c>
      <c r="C282" s="2" t="n">
        <v>0</v>
      </c>
      <c r="D282" s="2" t="n">
        <v>1</v>
      </c>
      <c r="E282" s="2" t="n">
        <v>0</v>
      </c>
      <c r="F282" s="6" t="n">
        <v>0</v>
      </c>
      <c r="G282" s="6" t="n">
        <v>-1</v>
      </c>
      <c r="H282" s="2" t="n">
        <v>-1</v>
      </c>
      <c r="I282" s="7" t="n">
        <v>-100</v>
      </c>
      <c r="J282" s="6" t="n"/>
      <c r="K282" s="4" t="n">
        <v>130</v>
      </c>
      <c r="L282" s="2" t="n">
        <v>0.001629188817614313</v>
      </c>
      <c r="M282" s="6" t="n">
        <v>0.2517315214857139</v>
      </c>
      <c r="N282" s="7" t="n">
        <v>100</v>
      </c>
    </row>
    <row r="283">
      <c r="A283" s="5" t="n">
        <v>3.5</v>
      </c>
      <c r="B283" s="2" t="n">
        <v>56</v>
      </c>
      <c r="C283" s="2" t="n">
        <v>28</v>
      </c>
      <c r="D283" s="2" t="n">
        <v>28</v>
      </c>
      <c r="E283" s="2" t="n">
        <v>0</v>
      </c>
      <c r="F283" s="6" t="n">
        <v>0.5</v>
      </c>
      <c r="G283" s="6" t="n">
        <v>0.1027990799224369</v>
      </c>
      <c r="H283" s="2" t="n">
        <v>5.756748475656463</v>
      </c>
      <c r="I283" s="7" t="n">
        <v>575.6748475656464</v>
      </c>
      <c r="J283" s="6" t="n"/>
      <c r="K283" s="4" t="n">
        <v>91.16071428571429</v>
      </c>
      <c r="L283" s="2" t="n">
        <v>-0.05175117320309468</v>
      </c>
      <c r="M283" s="6" t="n">
        <v>0.1516649366569096</v>
      </c>
      <c r="N283" s="7" t="n">
        <v>100</v>
      </c>
    </row>
    <row r="284">
      <c r="A284" s="5" t="n">
        <v>4.5</v>
      </c>
      <c r="B284" s="2" t="n">
        <v>276</v>
      </c>
      <c r="C284" s="2" t="n">
        <v>146</v>
      </c>
      <c r="D284" s="2" t="n">
        <v>130</v>
      </c>
      <c r="E284" s="2" t="n">
        <v>0</v>
      </c>
      <c r="F284" s="6" t="n">
        <v>0.5289855072463768</v>
      </c>
      <c r="G284" s="6" t="n">
        <v>0.0806547355809237</v>
      </c>
      <c r="H284" s="2" t="n">
        <v>22.26070702033494</v>
      </c>
      <c r="I284" s="7" t="n">
        <v>2226.070702033494</v>
      </c>
      <c r="J284" s="6" t="n"/>
      <c r="K284" s="4" t="n">
        <v>48.6268115942029</v>
      </c>
      <c r="L284" s="2" t="n">
        <v>0.123081652164818</v>
      </c>
      <c r="M284" s="6" t="n">
        <v>0.1509757764498098</v>
      </c>
      <c r="N284" s="7" t="n">
        <v>100</v>
      </c>
    </row>
    <row r="285">
      <c r="A285" s="5" t="n">
        <v>5.5</v>
      </c>
      <c r="B285" s="2" t="n">
        <v>393</v>
      </c>
      <c r="C285" s="2" t="n">
        <v>225</v>
      </c>
      <c r="D285" s="2" t="n">
        <v>168</v>
      </c>
      <c r="E285" s="2" t="n">
        <v>0</v>
      </c>
      <c r="F285" s="6" t="n">
        <v>0.5725190839694656</v>
      </c>
      <c r="G285" s="6" t="n">
        <v>0.1057296445837441</v>
      </c>
      <c r="H285" s="2" t="n">
        <v>41.55175032141142</v>
      </c>
      <c r="I285" s="7" t="n">
        <v>4155.175032141141</v>
      </c>
      <c r="J285" s="6" t="n"/>
      <c r="K285" s="4" t="n">
        <v>-16.76081424936387</v>
      </c>
      <c r="L285" s="2" t="n">
        <v>0.464462697477862</v>
      </c>
      <c r="M285" s="6" t="n">
        <v>0.1771696235953084</v>
      </c>
      <c r="N285" s="7" t="n">
        <v>100</v>
      </c>
    </row>
    <row r="286">
      <c r="A286" s="5" t="n">
        <v>6.5</v>
      </c>
      <c r="B286" s="2" t="n">
        <v>215</v>
      </c>
      <c r="C286" s="2" t="n">
        <v>121</v>
      </c>
      <c r="D286" s="2" t="n">
        <v>94</v>
      </c>
      <c r="E286" s="2" t="n">
        <v>0</v>
      </c>
      <c r="F286" s="6" t="n">
        <v>0.5627906976744186</v>
      </c>
      <c r="G286" s="6" t="n">
        <v>0.04636584837947524</v>
      </c>
      <c r="H286" s="2" t="n">
        <v>9.968657401587173</v>
      </c>
      <c r="I286" s="7" t="n">
        <v>996.8657401587178</v>
      </c>
      <c r="J286" s="6" t="n"/>
      <c r="K286" s="4" t="n">
        <v>-59.24651162790698</v>
      </c>
      <c r="L286" s="2" t="n">
        <v>0.7886251276226405</v>
      </c>
      <c r="M286" s="6" t="n">
        <v>0.2076767545302459</v>
      </c>
      <c r="N286" s="7" t="n">
        <v>100</v>
      </c>
    </row>
    <row r="287">
      <c r="A287" s="5" t="n">
        <v>7.5</v>
      </c>
      <c r="B287" s="2" t="n">
        <v>66</v>
      </c>
      <c r="C287" s="2" t="n">
        <v>45</v>
      </c>
      <c r="D287" s="2" t="n">
        <v>21</v>
      </c>
      <c r="E287" s="2" t="n">
        <v>0</v>
      </c>
      <c r="F287" s="6" t="n">
        <v>0.6818181818181818</v>
      </c>
      <c r="G287" s="6" t="n">
        <v>0.2326861729532345</v>
      </c>
      <c r="H287" s="2" t="n">
        <v>15.35728741491347</v>
      </c>
      <c r="I287" s="7" t="n">
        <v>1535.728741491348</v>
      </c>
      <c r="J287" s="6" t="n"/>
      <c r="K287" s="4" t="n">
        <v>-81.60606060606061</v>
      </c>
      <c r="L287" s="2" t="n">
        <v>0.9726583953823023</v>
      </c>
      <c r="M287" s="6" t="n">
        <v>0.1996643951148986</v>
      </c>
      <c r="N287" s="7" t="n">
        <v>100</v>
      </c>
    </row>
    <row r="288">
      <c r="A288" s="5" t="n">
        <v>8.5</v>
      </c>
      <c r="B288" s="2" t="n">
        <v>8</v>
      </c>
      <c r="C288" s="2" t="n">
        <v>5</v>
      </c>
      <c r="D288" s="2" t="n">
        <v>3</v>
      </c>
      <c r="E288" s="2" t="n">
        <v>0</v>
      </c>
      <c r="F288" s="6" t="n">
        <v>0.625</v>
      </c>
      <c r="G288" s="6" t="n">
        <v>0.09070036060401172</v>
      </c>
      <c r="H288" s="2" t="n">
        <v>0.7256028848320939</v>
      </c>
      <c r="I288" s="7" t="n">
        <v>72.56028848320938</v>
      </c>
      <c r="J288" s="6" t="n"/>
      <c r="K288" s="4" t="n">
        <v>-105.875</v>
      </c>
      <c r="L288" s="2" t="n">
        <v>1.446199791187437</v>
      </c>
      <c r="M288" s="6" t="n">
        <v>0.2894911038111301</v>
      </c>
      <c r="N288" s="7" t="n">
        <v>100</v>
      </c>
    </row>
    <row r="289"/>
    <row r="290"/>
    <row r="291"/>
    <row r="292">
      <c r="A292" s="16" t="inlineStr">
        <is>
          <t>By Sportsbook</t>
        </is>
      </c>
    </row>
    <row r="293">
      <c r="A293" s="1" t="inlineStr">
        <is>
          <t>Sportsbook</t>
        </is>
      </c>
      <c r="B293" s="1" t="inlineStr">
        <is>
          <t>Bets</t>
        </is>
      </c>
      <c r="C293" s="1" t="inlineStr">
        <is>
          <t>Wins</t>
        </is>
      </c>
      <c r="D293" s="1" t="inlineStr">
        <is>
          <t>Losses</t>
        </is>
      </c>
      <c r="E293" s="1" t="inlineStr">
        <is>
          <t>Pushes</t>
        </is>
      </c>
      <c r="F293" s="1" t="inlineStr">
        <is>
          <t>Win Rate</t>
        </is>
      </c>
      <c r="G293" s="1" t="inlineStr">
        <is>
          <t>ROI</t>
        </is>
      </c>
      <c r="H293" s="1" t="inlineStr">
        <is>
          <t>Units</t>
        </is>
      </c>
      <c r="I293" s="1" t="inlineStr">
        <is>
          <t>Profit</t>
        </is>
      </c>
      <c r="J293" s="1" t="inlineStr">
        <is>
          <t>CLV</t>
        </is>
      </c>
      <c r="K293" s="1" t="inlineStr">
        <is>
          <t>Average Odds</t>
        </is>
      </c>
      <c r="L293" s="1" t="inlineStr">
        <is>
          <t>Average Margin</t>
        </is>
      </c>
      <c r="M293" s="1" t="inlineStr">
        <is>
          <t>Average Devig Edge</t>
        </is>
      </c>
      <c r="N293" s="1" t="inlineStr">
        <is>
          <t>Average Stake</t>
        </is>
      </c>
    </row>
    <row r="294">
      <c r="A294" s="2" t="inlineStr">
        <is>
          <t>betmgm</t>
        </is>
      </c>
      <c r="B294" s="2" t="n">
        <v>171</v>
      </c>
      <c r="C294" s="2" t="n">
        <v>98</v>
      </c>
      <c r="D294" s="2" t="n">
        <v>73</v>
      </c>
      <c r="E294" s="2" t="n">
        <v>0</v>
      </c>
      <c r="F294" s="6" t="n">
        <v>0.5730994152046783</v>
      </c>
      <c r="G294" s="6" t="n">
        <v>0.09042901672211735</v>
      </c>
      <c r="H294" s="2" t="n">
        <v>15.46336185948207</v>
      </c>
      <c r="I294" s="7" t="n">
        <v>1546.336185948207</v>
      </c>
      <c r="J294" s="6" t="n"/>
      <c r="K294" s="4" t="n">
        <v>-43.09356725146199</v>
      </c>
      <c r="L294" s="2" t="n">
        <v>0.5556477297251091</v>
      </c>
      <c r="M294" s="6" t="n">
        <v>0.177806921453502</v>
      </c>
      <c r="N294" s="7" t="n">
        <v>100</v>
      </c>
    </row>
    <row r="295">
      <c r="A295" s="2" t="inlineStr">
        <is>
          <t>betonlineag</t>
        </is>
      </c>
      <c r="B295" s="2" t="n">
        <v>68</v>
      </c>
      <c r="C295" s="2" t="n">
        <v>34</v>
      </c>
      <c r="D295" s="2" t="n">
        <v>34</v>
      </c>
      <c r="E295" s="2" t="n">
        <v>0</v>
      </c>
      <c r="F295" s="6" t="n">
        <v>0.5</v>
      </c>
      <c r="G295" s="6" t="n">
        <v>0.0276194427458052</v>
      </c>
      <c r="H295" s="2" t="n">
        <v>1.878122106714752</v>
      </c>
      <c r="I295" s="7" t="n">
        <v>187.8122106714753</v>
      </c>
      <c r="J295" s="6" t="n"/>
      <c r="K295" s="4" t="n">
        <v>40.60294117647059</v>
      </c>
      <c r="L295" s="2" t="n">
        <v>0.3672589622296158</v>
      </c>
      <c r="M295" s="6" t="n">
        <v>0.2025128070738634</v>
      </c>
      <c r="N295" s="7" t="n">
        <v>100</v>
      </c>
    </row>
    <row r="296">
      <c r="A296" s="2" t="inlineStr">
        <is>
          <t>betrivers</t>
        </is>
      </c>
      <c r="B296" s="2" t="n">
        <v>231</v>
      </c>
      <c r="C296" s="2" t="n">
        <v>137</v>
      </c>
      <c r="D296" s="2" t="n">
        <v>94</v>
      </c>
      <c r="E296" s="2" t="n">
        <v>0</v>
      </c>
      <c r="F296" s="6" t="n">
        <v>0.5930735930735931</v>
      </c>
      <c r="G296" s="6" t="n">
        <v>0.166468417833311</v>
      </c>
      <c r="H296" s="2" t="n">
        <v>38.45420451949483</v>
      </c>
      <c r="I296" s="7" t="n">
        <v>3845.420451949484</v>
      </c>
      <c r="J296" s="6" t="n"/>
      <c r="K296" s="4" t="n">
        <v>15.39393939393939</v>
      </c>
      <c r="L296" s="2" t="n">
        <v>0.3955027405774019</v>
      </c>
      <c r="M296" s="6" t="n">
        <v>0.1738200383427175</v>
      </c>
      <c r="N296" s="7" t="n">
        <v>100</v>
      </c>
    </row>
    <row r="297">
      <c r="A297" s="2" t="inlineStr">
        <is>
          <t>bovada</t>
        </is>
      </c>
      <c r="B297" s="2" t="n">
        <v>129</v>
      </c>
      <c r="C297" s="2" t="n">
        <v>70</v>
      </c>
      <c r="D297" s="2" t="n">
        <v>59</v>
      </c>
      <c r="E297" s="2" t="n">
        <v>0</v>
      </c>
      <c r="F297" s="6" t="n">
        <v>0.5426356589147286</v>
      </c>
      <c r="G297" s="6" t="n">
        <v>0.08069995688918785</v>
      </c>
      <c r="H297" s="2" t="n">
        <v>10.41029443870523</v>
      </c>
      <c r="I297" s="7" t="n">
        <v>1041.029443870523</v>
      </c>
      <c r="J297" s="6" t="n"/>
      <c r="K297" s="4" t="n">
        <v>29.45736434108527</v>
      </c>
      <c r="L297" s="2" t="n">
        <v>0.3622655781600844</v>
      </c>
      <c r="M297" s="6" t="n">
        <v>0.1914965268185242</v>
      </c>
      <c r="N297" s="7" t="n">
        <v>100</v>
      </c>
    </row>
    <row r="298">
      <c r="A298" s="2" t="inlineStr">
        <is>
          <t>draftkings</t>
        </is>
      </c>
      <c r="B298" s="2" t="n">
        <v>232</v>
      </c>
      <c r="C298" s="2" t="n">
        <v>131</v>
      </c>
      <c r="D298" s="2" t="n">
        <v>101</v>
      </c>
      <c r="E298" s="2" t="n">
        <v>0</v>
      </c>
      <c r="F298" s="6" t="n">
        <v>0.5646551724137931</v>
      </c>
      <c r="G298" s="6" t="n">
        <v>0.07358924052730594</v>
      </c>
      <c r="H298" s="2" t="n">
        <v>17.07270380233498</v>
      </c>
      <c r="I298" s="7" t="n">
        <v>1707.270380233498</v>
      </c>
      <c r="J298" s="6" t="n"/>
      <c r="K298" s="4" t="n">
        <v>-27.31896551724138</v>
      </c>
      <c r="L298" s="2" t="n">
        <v>0.5165281844447402</v>
      </c>
      <c r="M298" s="6" t="n">
        <v>0.175376897575457</v>
      </c>
      <c r="N298" s="7" t="n">
        <v>100</v>
      </c>
    </row>
    <row r="299">
      <c r="A299" s="2" t="inlineStr">
        <is>
          <t>fanatics</t>
        </is>
      </c>
      <c r="B299" s="2" t="n">
        <v>48</v>
      </c>
      <c r="C299" s="2" t="n">
        <v>27</v>
      </c>
      <c r="D299" s="2" t="n">
        <v>21</v>
      </c>
      <c r="E299" s="2" t="n">
        <v>0</v>
      </c>
      <c r="F299" s="6" t="n">
        <v>0.5625</v>
      </c>
      <c r="G299" s="6" t="n">
        <v>0.03791912136880275</v>
      </c>
      <c r="H299" s="2" t="n">
        <v>1.820117825702532</v>
      </c>
      <c r="I299" s="7" t="n">
        <v>182.0117825702532</v>
      </c>
      <c r="J299" s="6" t="n"/>
      <c r="K299" s="4" t="n">
        <v>-32.60416666666666</v>
      </c>
      <c r="L299" s="2" t="n">
        <v>0.5735405673390158</v>
      </c>
      <c r="M299" s="6" t="n">
        <v>0.1759584640087063</v>
      </c>
      <c r="N299" s="7" t="n">
        <v>100</v>
      </c>
    </row>
    <row r="300">
      <c r="A300" s="2" t="inlineStr">
        <is>
          <t>fanduel</t>
        </is>
      </c>
      <c r="B300" s="2" t="n">
        <v>131</v>
      </c>
      <c r="C300" s="2" t="n">
        <v>70</v>
      </c>
      <c r="D300" s="2" t="n">
        <v>61</v>
      </c>
      <c r="E300" s="2" t="n">
        <v>0</v>
      </c>
      <c r="F300" s="6" t="n">
        <v>0.5343511450381679</v>
      </c>
      <c r="G300" s="6" t="n">
        <v>0.07011659500317267</v>
      </c>
      <c r="H300" s="2" t="n">
        <v>9.185273945415622</v>
      </c>
      <c r="I300" s="7" t="n">
        <v>918.527394541562</v>
      </c>
      <c r="J300" s="6" t="n"/>
      <c r="K300" s="4" t="n">
        <v>-9.923664122137405</v>
      </c>
      <c r="L300" s="2" t="n">
        <v>0.3779933383951842</v>
      </c>
      <c r="M300" s="6" t="n">
        <v>0.1611171520489134</v>
      </c>
      <c r="N300" s="7" t="n">
        <v>100</v>
      </c>
    </row>
    <row r="301">
      <c r="A301" s="2" t="inlineStr">
        <is>
          <t>mybookieag</t>
        </is>
      </c>
      <c r="B301" s="2" t="n">
        <v>5</v>
      </c>
      <c r="C301" s="2" t="n">
        <v>3</v>
      </c>
      <c r="D301" s="2" t="n">
        <v>2</v>
      </c>
      <c r="E301" s="2" t="n">
        <v>0</v>
      </c>
      <c r="F301" s="6" t="n">
        <v>0.6</v>
      </c>
      <c r="G301" s="6" t="n">
        <v>0.06733500417710946</v>
      </c>
      <c r="H301" s="2" t="n">
        <v>0.3366750208855471</v>
      </c>
      <c r="I301" s="7" t="n">
        <v>33.66750208855473</v>
      </c>
      <c r="J301" s="6" t="n"/>
      <c r="K301" s="4" t="n">
        <v>-89.40000000000001</v>
      </c>
      <c r="L301" s="2" t="n">
        <v>0.792603447094627</v>
      </c>
      <c r="M301" s="6" t="n">
        <v>0.183019356958213</v>
      </c>
      <c r="N301" s="7" t="n">
        <v>100</v>
      </c>
    </row>
    <row r="302"/>
    <row r="303"/>
    <row r="304"/>
    <row r="305">
      <c r="A305" s="16" t="inlineStr">
        <is>
          <t>By Bet Side</t>
        </is>
      </c>
    </row>
    <row r="306">
      <c r="A306" s="1" t="inlineStr">
        <is>
          <t>Bet Side</t>
        </is>
      </c>
      <c r="B306" s="1" t="inlineStr">
        <is>
          <t>Bets</t>
        </is>
      </c>
      <c r="C306" s="1" t="inlineStr">
        <is>
          <t>Wins</t>
        </is>
      </c>
      <c r="D306" s="1" t="inlineStr">
        <is>
          <t>Losses</t>
        </is>
      </c>
      <c r="E306" s="1" t="inlineStr">
        <is>
          <t>Pushes</t>
        </is>
      </c>
      <c r="F306" s="1" t="inlineStr">
        <is>
          <t>Win Rate</t>
        </is>
      </c>
      <c r="G306" s="1" t="inlineStr">
        <is>
          <t>ROI</t>
        </is>
      </c>
      <c r="H306" s="1" t="inlineStr">
        <is>
          <t>Units</t>
        </is>
      </c>
      <c r="I306" s="1" t="inlineStr">
        <is>
          <t>Profit</t>
        </is>
      </c>
      <c r="J306" s="1" t="inlineStr">
        <is>
          <t>CLV</t>
        </is>
      </c>
      <c r="K306" s="1" t="inlineStr">
        <is>
          <t>Average Odds</t>
        </is>
      </c>
      <c r="L306" s="1" t="inlineStr">
        <is>
          <t>Average Margin</t>
        </is>
      </c>
      <c r="M306" s="1" t="inlineStr">
        <is>
          <t>Average Devig Edge</t>
        </is>
      </c>
      <c r="N306" s="1" t="inlineStr">
        <is>
          <t>Average Stake</t>
        </is>
      </c>
    </row>
    <row r="307">
      <c r="A307" s="2" t="inlineStr">
        <is>
          <t>Under</t>
        </is>
      </c>
      <c r="B307" s="2" t="n">
        <v>1015</v>
      </c>
      <c r="C307" s="2" t="n">
        <v>570</v>
      </c>
      <c r="D307" s="2" t="n">
        <v>445</v>
      </c>
      <c r="E307" s="2" t="n">
        <v>0</v>
      </c>
      <c r="F307" s="6" t="n">
        <v>0.5615763546798029</v>
      </c>
      <c r="G307" s="6" t="n">
        <v>0.093222417259838</v>
      </c>
      <c r="H307" s="2" t="n">
        <v>94.62075351873557</v>
      </c>
      <c r="I307" s="7" t="n">
        <v>9462.075351873556</v>
      </c>
      <c r="J307" s="6" t="n"/>
      <c r="K307" s="4" t="n">
        <v>-6.8</v>
      </c>
      <c r="L307" s="2" t="n">
        <v>0.4521452162160917</v>
      </c>
      <c r="M307" s="6" t="n">
        <v>0.1775233748566025</v>
      </c>
      <c r="N307" s="7" t="n">
        <v>100</v>
      </c>
    </row>
  </sheetData>
  <pageMargins left="0.75" right="0.75" top="1" bottom="1" header="0.5" footer="0.5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README</t>
        </is>
      </c>
    </row>
    <row r="3">
      <c r="A3" s="17" t="inlineStr">
        <is>
          <t>Workbook structure</t>
        </is>
      </c>
    </row>
    <row r="4">
      <c r="A4" s="18" t="inlineStr">
        <is>
          <t>2025 contains validation bets generated by the no-leak inner model trained only on games before 2025-07-01.</t>
        </is>
      </c>
    </row>
    <row r="5">
      <c r="A5" s="18" t="inlineStr">
        <is>
          <t>2026 Pre-June contains frozen 2026 test bets before 2026-06-01.</t>
        </is>
      </c>
    </row>
    <row r="6">
      <c r="A6" s="18" t="inlineStr">
        <is>
          <t>June Holdout contains settled June 2026 bets available in the source data, ending at the latest settled game date present.</t>
        </is>
      </c>
    </row>
    <row r="7">
      <c r="A7" s="18" t="inlineStr">
        <is>
          <t>Combined contains every bet in chronological order and is the source ledger for summary sheets.</t>
        </is>
      </c>
    </row>
    <row r="8">
      <c r="A8" s="18" t="inlineStr">
        <is>
          <t>Dashboard, Monthly Statistics, Drawdown Analysis, Bankroll Simulation, and Summary Tables summarize performance.</t>
        </is>
      </c>
    </row>
    <row r="9">
      <c r="A9" s="18" t="inlineStr"/>
    </row>
    <row r="10">
      <c r="A10" s="17" t="inlineStr">
        <is>
          <t>Model and bet rule</t>
        </is>
      </c>
    </row>
    <row r="11">
      <c r="A11" s="18" t="inlineStr">
        <is>
          <t>Model: poisson_top120_a2. Rule: under only with devig edge &gt;= 7% and edge-gap &gt;= 0.</t>
        </is>
      </c>
    </row>
    <row r="12">
      <c r="A12" s="18" t="inlineStr">
        <is>
          <t>2026 bets use a model fit only on 2025 pitcher-game rows. The raw same-day league_k leakage feature is excluded by the model-search feature screen.</t>
        </is>
      </c>
    </row>
    <row r="13">
      <c r="A13" s="18" t="inlineStr"/>
    </row>
    <row r="14">
      <c r="A14" s="17" t="inlineStr">
        <is>
          <t>Staking strategies</t>
        </is>
      </c>
    </row>
    <row r="15">
      <c r="A15" s="18" t="inlineStr">
        <is>
          <t>Strategy A risks a flat $100 per bet.</t>
        </is>
      </c>
    </row>
    <row r="16">
      <c r="A16" s="18" t="inlineStr">
        <is>
          <t>Strategy B risks 1% of current bankroll.</t>
        </is>
      </c>
    </row>
    <row r="17">
      <c r="A17" s="18" t="inlineStr">
        <is>
          <t>Strategy C risks one-quarter Kelly using the model probability and executed decimal odds.</t>
        </is>
      </c>
    </row>
    <row r="18">
      <c r="A18" s="18" t="inlineStr">
        <is>
          <t>Strategy D risks one-half Kelly using the model probability and executed decimal odds.</t>
        </is>
      </c>
    </row>
    <row r="19">
      <c r="A19" s="18" t="inlineStr">
        <is>
          <t>Kelly simulations are included because model probabilities exist, but they are not staking recommendations and are not CLV-validated.</t>
        </is>
      </c>
    </row>
    <row r="20">
      <c r="A20" s="18" t="inlineStr"/>
    </row>
    <row r="21">
      <c r="A21" s="17" t="inlineStr">
        <is>
          <t>Formulas</t>
        </is>
      </c>
    </row>
    <row r="22">
      <c r="A22" s="18" t="inlineStr">
        <is>
          <t>Profit/Loss equals Units Won/Lost times Stake.</t>
        </is>
      </c>
    </row>
    <row r="23">
      <c r="A23" s="18" t="inlineStr">
        <is>
          <t>ROI equals Profit/Loss divided by Stake.</t>
        </is>
      </c>
    </row>
    <row r="24">
      <c r="A24" s="18" t="inlineStr">
        <is>
          <t>Running Bankroll equals $10,000 plus cumulative Profit/Loss in the flat-stake ledger.</t>
        </is>
      </c>
    </row>
    <row r="25">
      <c r="A25" s="18" t="inlineStr">
        <is>
          <t>Kelly fraction equals max(0, (b*p - (1-p))/b), where b is decimal odds minus 1 and p is model probability.</t>
        </is>
      </c>
    </row>
    <row r="26">
      <c r="A26" s="18" t="inlineStr"/>
    </row>
    <row r="27">
      <c r="A27" s="17" t="inlineStr">
        <is>
          <t>Color coding</t>
        </is>
      </c>
    </row>
    <row r="28">
      <c r="A28" s="18" t="inlineStr">
        <is>
          <t>Wins are green, losses red, pushes gray. ROI uses a red-white-green scale. Drawdowns use orange/red scales.</t>
        </is>
      </c>
    </row>
    <row r="29">
      <c r="A29" s="18" t="inlineStr">
        <is>
          <t>Top 10 wins and losses are highlighted in the individual bet sheets.</t>
        </is>
      </c>
    </row>
    <row r="30">
      <c r="A30" s="18" t="inlineStr"/>
    </row>
    <row r="31">
      <c r="A31" s="17" t="inlineStr">
        <is>
          <t>Assumptions and excluded data</t>
        </is>
      </c>
    </row>
    <row r="32">
      <c r="A32" s="18" t="inlineStr">
        <is>
          <t>Opening odds, closing odds, and CLV are unavailable for the clean no-leak candidate ledger, so those columns are intentionally blank.</t>
        </is>
      </c>
    </row>
    <row r="33">
      <c r="A33" s="18" t="inlineStr">
        <is>
          <t>Exchange-adjusted odds equal executed odds because no exchange-specific adjustment was available in the source data.</t>
        </is>
      </c>
    </row>
    <row r="34">
      <c r="A34" s="18" t="inlineStr">
        <is>
          <t>Market Projection uses the posted strikeout line as a market-center proxy because no separate market mean was available.</t>
        </is>
      </c>
    </row>
    <row r="35">
      <c r="A35" s="18" t="inlineStr">
        <is>
          <t>No bets were excluded after applying the documented model rule and de-duplication key.</t>
        </is>
      </c>
    </row>
    <row r="36">
      <c r="A36" s="18" t="inlineStr"/>
    </row>
    <row r="37">
      <c r="A37" s="17" t="inlineStr">
        <is>
          <t>Validation checks</t>
        </is>
      </c>
    </row>
    <row r="38">
      <c r="A38" s="18" t="inlineStr">
        <is>
          <t>Unique Bet IDs: True</t>
        </is>
      </c>
    </row>
    <row r="39">
      <c r="A39" s="18" t="inlineStr">
        <is>
          <t>Duplicate bets detected: 0</t>
        </is>
      </c>
    </row>
    <row r="40">
      <c r="A40" s="18" t="inlineStr">
        <is>
          <t>Flat bankroll reconciliation: True</t>
        </is>
      </c>
    </row>
    <row r="41">
      <c r="A41" s="18" t="inlineStr">
        <is>
          <t>Profit reconciliation: True</t>
        </is>
      </c>
    </row>
    <row r="42">
      <c r="A42" s="18" t="inlineStr">
        <is>
          <t>Units reconciliation: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2026-06-30T06:48:44Z</dcterms:created>
  <dcterms:modified xmlns:dcterms="http://purl.org/dc/terms/" xmlns:xsi="http://www.w3.org/2001/XMLSchema-instance" xsi:type="dcterms:W3CDTF">2026-06-30T06:48:48Z</dcterms:modified>
</cp:coreProperties>
</file>